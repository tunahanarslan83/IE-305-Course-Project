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unahan\Downloads\"/>
    </mc:Choice>
  </mc:AlternateContent>
  <xr:revisionPtr revIDLastSave="0" documentId="13_ncr:1_{CD27693E-AD4A-4537-9182-F96076EC5530}" xr6:coauthVersionLast="47" xr6:coauthVersionMax="47" xr10:uidLastSave="{00000000-0000-0000-0000-000000000000}"/>
  <bookViews>
    <workbookView xWindow="-120" yWindow="-120" windowWidth="21840" windowHeight="130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ContinuousTimeStatsByRep!$A$1:$L$93</definedName>
    <definedName name="ExternalData_1" localSheetId="4" hidden="1">CounterStatsByRep!$A$1:$G$2</definedName>
    <definedName name="ExternalData_1" localSheetId="2" hidden="1">DiscreteTimeStatsByRep!$A$1:$K$175</definedName>
    <definedName name="ExternalData_1" localSheetId="6" hidden="1">FrequencyStatsByRep!$A$1:$K$2</definedName>
    <definedName name="ExternalData_1" localSheetId="5" hidden="1">OutputStatsByRep!$A$1:$H$216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91" r:id="rId8"/>
    <pivotCache cacheId="198" r:id="rId9"/>
    <pivotCache cacheId="205" r:id="rId10"/>
    <pivotCache cacheId="212" r:id="rId11"/>
    <pivotCache cacheId="21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L54" i="20" s="1" a="1"/>
  <c r="L54" i="20" s="1"/>
  <c r="I154" i="20"/>
  <c r="I155" i="20"/>
  <c r="I156" i="20"/>
  <c r="I157" i="20"/>
  <c r="K157" i="20" s="1" a="1"/>
  <c r="K157" i="20" s="1"/>
  <c r="I158" i="20"/>
  <c r="I159" i="20"/>
  <c r="I160" i="20"/>
  <c r="I161" i="20"/>
  <c r="I162" i="20"/>
  <c r="I163" i="20"/>
  <c r="I164" i="20"/>
  <c r="I165" i="20"/>
  <c r="K165" i="20" s="1" a="1"/>
  <c r="K165" i="20" s="1"/>
  <c r="I166" i="20"/>
  <c r="I167" i="20"/>
  <c r="I168" i="20"/>
  <c r="I169" i="20"/>
  <c r="I170" i="20"/>
  <c r="I171" i="20"/>
  <c r="I172" i="20"/>
  <c r="I173" i="20"/>
  <c r="K173" i="20" s="1" a="1"/>
  <c r="K173" i="20" s="1"/>
  <c r="I174" i="20"/>
  <c r="I175" i="20"/>
  <c r="I176" i="20"/>
  <c r="I177" i="20"/>
  <c r="I178" i="20"/>
  <c r="I179" i="20"/>
  <c r="I180" i="20"/>
  <c r="I181" i="20"/>
  <c r="K181" i="20" s="1" a="1"/>
  <c r="K181" i="20" s="1"/>
  <c r="I182" i="20"/>
  <c r="I183" i="20"/>
  <c r="I184" i="20"/>
  <c r="I185" i="20"/>
  <c r="I186" i="20"/>
  <c r="I187" i="20"/>
  <c r="I188" i="20"/>
  <c r="I189" i="20"/>
  <c r="K189" i="20" s="1" a="1"/>
  <c r="K189" i="20" s="1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K213" i="20" s="1" a="1"/>
  <c r="K213" i="20" s="1"/>
  <c r="I214" i="20"/>
  <c r="I215" i="20"/>
  <c r="I216" i="20"/>
  <c r="J2" i="20" a="1"/>
  <c r="J2" i="20" s="1"/>
  <c r="J3" i="20" a="1"/>
  <c r="J3" i="20" s="1"/>
  <c r="J4" i="20" a="1"/>
  <c r="J4" i="20" s="1"/>
  <c r="J5" i="20" a="1"/>
  <c r="J5" i="20" s="1"/>
  <c r="J6" i="20" a="1"/>
  <c r="J6" i="20"/>
  <c r="J7" i="20" a="1"/>
  <c r="J7" i="20" s="1"/>
  <c r="J8" i="20" a="1"/>
  <c r="J8" i="20"/>
  <c r="J9" i="20" a="1"/>
  <c r="J9" i="20" s="1"/>
  <c r="J10" i="20" a="1"/>
  <c r="J10" i="20"/>
  <c r="J11" i="20" a="1"/>
  <c r="J11" i="20" s="1"/>
  <c r="J12" i="20" a="1"/>
  <c r="J12" i="20"/>
  <c r="J13" i="20" a="1"/>
  <c r="J13" i="20" s="1"/>
  <c r="J14" i="20" a="1"/>
  <c r="J14" i="20"/>
  <c r="J15" i="20" a="1"/>
  <c r="J15" i="20" s="1"/>
  <c r="J16" i="20" a="1"/>
  <c r="J16" i="20"/>
  <c r="J17" i="20" a="1"/>
  <c r="J17" i="20" s="1"/>
  <c r="J18" i="20" a="1"/>
  <c r="J18" i="20"/>
  <c r="J19" i="20" a="1"/>
  <c r="J19" i="20" s="1"/>
  <c r="J20" i="20" a="1"/>
  <c r="J20" i="20"/>
  <c r="J21" i="20" a="1"/>
  <c r="J21" i="20" s="1"/>
  <c r="J22" i="20" a="1"/>
  <c r="J22" i="20" s="1"/>
  <c r="J23" i="20" a="1"/>
  <c r="J23" i="20" s="1"/>
  <c r="J24" i="20" a="1"/>
  <c r="J24" i="20" s="1"/>
  <c r="J25" i="20" a="1"/>
  <c r="J25" i="20"/>
  <c r="J26" i="20" a="1"/>
  <c r="J26" i="20" s="1"/>
  <c r="J27" i="20" a="1"/>
  <c r="J27" i="20"/>
  <c r="J28" i="20" a="1"/>
  <c r="J28" i="20" s="1"/>
  <c r="J29" i="20" a="1"/>
  <c r="J29" i="20"/>
  <c r="J30" i="20" a="1"/>
  <c r="J30" i="20" s="1"/>
  <c r="J31" i="20" a="1"/>
  <c r="J31" i="20"/>
  <c r="J32" i="20" a="1"/>
  <c r="J32" i="20" s="1"/>
  <c r="J33" i="20" a="1"/>
  <c r="J33" i="20"/>
  <c r="J34" i="20" a="1"/>
  <c r="J34" i="20" s="1"/>
  <c r="J35" i="20" a="1"/>
  <c r="J35" i="20"/>
  <c r="J36" i="20" a="1"/>
  <c r="J36" i="20" s="1"/>
  <c r="J37" i="20" a="1"/>
  <c r="J37" i="20"/>
  <c r="J38" i="20" a="1"/>
  <c r="J38" i="20" s="1"/>
  <c r="J39" i="20" a="1"/>
  <c r="J39" i="20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/>
  <c r="J51" i="20" a="1"/>
  <c r="J51" i="20" s="1"/>
  <c r="J52" i="20" a="1"/>
  <c r="J52" i="20" s="1"/>
  <c r="J53" i="20" a="1"/>
  <c r="J53" i="20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/>
  <c r="J62" i="20" a="1"/>
  <c r="J62" i="20" s="1"/>
  <c r="J63" i="20" a="1"/>
  <c r="J63" i="20"/>
  <c r="J64" i="20" a="1"/>
  <c r="J64" i="20" s="1"/>
  <c r="J65" i="20" a="1"/>
  <c r="J65" i="20" s="1"/>
  <c r="J66" i="20" a="1"/>
  <c r="J66" i="20"/>
  <c r="J67" i="20" a="1"/>
  <c r="J67" i="20" s="1"/>
  <c r="J68" i="20" a="1"/>
  <c r="J68" i="20" s="1"/>
  <c r="J69" i="20" a="1"/>
  <c r="J69" i="20" s="1"/>
  <c r="J70" i="20" a="1"/>
  <c r="J70" i="20"/>
  <c r="J71" i="20" a="1"/>
  <c r="J71" i="20" s="1"/>
  <c r="J72" i="20" a="1"/>
  <c r="J72" i="20"/>
  <c r="J73" i="20" a="1"/>
  <c r="J73" i="20" s="1"/>
  <c r="J74" i="20" a="1"/>
  <c r="J74" i="20"/>
  <c r="J75" i="20" a="1"/>
  <c r="J75" i="20" s="1"/>
  <c r="J76" i="20" a="1"/>
  <c r="J76" i="20" s="1"/>
  <c r="J77" i="20" a="1"/>
  <c r="J77" i="20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/>
  <c r="J86" i="20" a="1"/>
  <c r="J86" i="20" s="1"/>
  <c r="J87" i="20" a="1"/>
  <c r="J87" i="20" s="1"/>
  <c r="J88" i="20" a="1"/>
  <c r="J88" i="20"/>
  <c r="J89" i="20" a="1"/>
  <c r="J89" i="20" s="1"/>
  <c r="J90" i="20" a="1"/>
  <c r="J90" i="20"/>
  <c r="J91" i="20" a="1"/>
  <c r="J91" i="20" s="1"/>
  <c r="J92" i="20" a="1"/>
  <c r="J92" i="20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/>
  <c r="J100" i="20" a="1"/>
  <c r="J100" i="20" s="1"/>
  <c r="J101" i="20" a="1"/>
  <c r="J101" i="20"/>
  <c r="J102" i="20" a="1"/>
  <c r="J102" i="20" s="1"/>
  <c r="J103" i="20" a="1"/>
  <c r="J103" i="20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/>
  <c r="J113" i="20" a="1"/>
  <c r="J113" i="20" s="1"/>
  <c r="J114" i="20" a="1"/>
  <c r="J114" i="20"/>
  <c r="J115" i="20" a="1"/>
  <c r="J115" i="20" s="1"/>
  <c r="J116" i="20" a="1"/>
  <c r="J116" i="20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/>
  <c r="J122" i="20" a="1"/>
  <c r="J122" i="20" s="1"/>
  <c r="J123" i="20" a="1"/>
  <c r="J123" i="20"/>
  <c r="J124" i="20" a="1"/>
  <c r="J124" i="20" s="1"/>
  <c r="J125" i="20" a="1"/>
  <c r="J125" i="20"/>
  <c r="J126" i="20" a="1"/>
  <c r="J126" i="20" s="1"/>
  <c r="J127" i="20" a="1"/>
  <c r="J127" i="20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/>
  <c r="J135" i="20" a="1"/>
  <c r="J135" i="20" s="1"/>
  <c r="J136" i="20" a="1"/>
  <c r="J136" i="20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/>
  <c r="J144" i="20" a="1"/>
  <c r="J144" i="20" s="1"/>
  <c r="J145" i="20" a="1"/>
  <c r="J145" i="20"/>
  <c r="J146" i="20" a="1"/>
  <c r="J146" i="20" s="1"/>
  <c r="J147" i="20" a="1"/>
  <c r="J147" i="20"/>
  <c r="J148" i="20" a="1"/>
  <c r="J148" i="20" s="1"/>
  <c r="J149" i="20" a="1"/>
  <c r="J149" i="20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/>
  <c r="J157" i="20" a="1"/>
  <c r="J157" i="20" s="1"/>
  <c r="J158" i="20" a="1"/>
  <c r="J158" i="20"/>
  <c r="J159" i="20" a="1"/>
  <c r="J159" i="20" s="1"/>
  <c r="J160" i="20" a="1"/>
  <c r="J160" i="20"/>
  <c r="J161" i="20" a="1"/>
  <c r="J161" i="20" s="1"/>
  <c r="J162" i="20" a="1"/>
  <c r="J162" i="20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/>
  <c r="J168" i="20" a="1"/>
  <c r="J168" i="20" s="1"/>
  <c r="J169" i="20" a="1"/>
  <c r="J169" i="20"/>
  <c r="J170" i="20" a="1"/>
  <c r="J170" i="20" s="1"/>
  <c r="J171" i="20" a="1"/>
  <c r="J171" i="20"/>
  <c r="J172" i="20" a="1"/>
  <c r="J172" i="20" s="1"/>
  <c r="J173" i="20" a="1"/>
  <c r="J173" i="20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/>
  <c r="J181" i="20" a="1"/>
  <c r="J181" i="20" s="1"/>
  <c r="J182" i="20" a="1"/>
  <c r="J182" i="20"/>
  <c r="J183" i="20" a="1"/>
  <c r="J183" i="20" s="1"/>
  <c r="J184" i="20" a="1"/>
  <c r="J184" i="20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/>
  <c r="J190" i="20" a="1"/>
  <c r="J190" i="20" s="1"/>
  <c r="J191" i="20" a="1"/>
  <c r="J191" i="20"/>
  <c r="J192" i="20" a="1"/>
  <c r="J192" i="20" s="1"/>
  <c r="J193" i="20" a="1"/>
  <c r="J193" i="20"/>
  <c r="J194" i="20" a="1"/>
  <c r="J194" i="20" s="1"/>
  <c r="J195" i="20" a="1"/>
  <c r="J195" i="20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/>
  <c r="J203" i="20" a="1"/>
  <c r="J203" i="20" s="1"/>
  <c r="J204" i="20" a="1"/>
  <c r="J204" i="20"/>
  <c r="J205" i="20" a="1"/>
  <c r="J205" i="20" s="1"/>
  <c r="J206" i="20" a="1"/>
  <c r="J206" i="20"/>
  <c r="J207" i="20" a="1"/>
  <c r="J207" i="20" s="1"/>
  <c r="J208" i="20" a="1"/>
  <c r="J208" i="20"/>
  <c r="J209" i="20" a="1"/>
  <c r="J209" i="20" s="1"/>
  <c r="J210" i="20" a="1"/>
  <c r="J210" i="20" s="1"/>
  <c r="J211" i="20" a="1"/>
  <c r="J211" i="20"/>
  <c r="J212" i="20" a="1"/>
  <c r="J212" i="20" s="1"/>
  <c r="J213" i="20" a="1"/>
  <c r="J213" i="20"/>
  <c r="J214" i="20" a="1"/>
  <c r="J214" i="20" s="1"/>
  <c r="J215" i="20" a="1"/>
  <c r="J215" i="20"/>
  <c r="J216" i="20" a="1"/>
  <c r="J216" i="20" s="1"/>
  <c r="K3" i="20" a="1"/>
  <c r="K3" i="20" s="1"/>
  <c r="K67" i="20" a="1"/>
  <c r="K67" i="20" s="1"/>
  <c r="K94" i="20" a="1"/>
  <c r="K94" i="20" s="1"/>
  <c r="K115" i="20" a="1"/>
  <c r="K115" i="20" s="1"/>
  <c r="K136" i="20" a="1"/>
  <c r="K136" i="20" s="1"/>
  <c r="K153" i="20" a="1"/>
  <c r="K153" i="20" s="1"/>
  <c r="K169" i="20" a="1"/>
  <c r="K169" i="20" s="1"/>
  <c r="K177" i="20" a="1"/>
  <c r="K177" i="20" s="1"/>
  <c r="K185" i="20" a="1"/>
  <c r="K185" i="20" s="1"/>
  <c r="K193" i="20" a="1"/>
  <c r="K193" i="20" s="1"/>
  <c r="K199" i="20" a="1"/>
  <c r="K199" i="20" s="1"/>
  <c r="K204" i="20" a="1"/>
  <c r="K204" i="20" s="1"/>
  <c r="K215" i="20" a="1"/>
  <c r="K215" i="20" s="1"/>
  <c r="L5" i="20" a="1"/>
  <c r="L5" i="20" s="1"/>
  <c r="L16" i="20" a="1"/>
  <c r="L16" i="20" s="1"/>
  <c r="L21" i="20" a="1"/>
  <c r="L21" i="20" s="1"/>
  <c r="L27" i="20" a="1"/>
  <c r="L27" i="20" s="1"/>
  <c r="L34" i="20" a="1"/>
  <c r="L34" i="20" s="1"/>
  <c r="L40" i="20" a="1"/>
  <c r="L40" i="20" s="1"/>
  <c r="L45" i="20" a="1"/>
  <c r="L45" i="20" s="1"/>
  <c r="L51" i="20" a="1"/>
  <c r="L51" i="20" s="1"/>
  <c r="L57" i="20" a="1"/>
  <c r="L57" i="20" s="1"/>
  <c r="L63" i="20" a="1"/>
  <c r="L63" i="20" s="1"/>
  <c r="L83" i="20" a="1"/>
  <c r="L83" i="20" s="1"/>
  <c r="L86" i="20" a="1"/>
  <c r="L86" i="20" s="1"/>
  <c r="L89" i="20" a="1"/>
  <c r="L89" i="20" s="1"/>
  <c r="L92" i="20" a="1"/>
  <c r="L92" i="20" s="1"/>
  <c r="L95" i="20" a="1"/>
  <c r="L95" i="20" s="1"/>
  <c r="L98" i="20" a="1"/>
  <c r="L98" i="20" s="1"/>
  <c r="L104" i="20" a="1"/>
  <c r="L104" i="20" s="1"/>
  <c r="L109" i="20" a="1"/>
  <c r="L109" i="20" s="1"/>
  <c r="L111" i="20" a="1"/>
  <c r="L111" i="20" s="1"/>
  <c r="L114" i="20" a="1"/>
  <c r="L114" i="20" s="1"/>
  <c r="L115" i="20" a="1"/>
  <c r="L115" i="20" s="1"/>
  <c r="L118" i="20" a="1"/>
  <c r="L118" i="20" s="1"/>
  <c r="L120" i="20" a="1"/>
  <c r="L120" i="20" s="1"/>
  <c r="L121" i="20" a="1"/>
  <c r="L121" i="20" s="1"/>
  <c r="L124" i="20" a="1"/>
  <c r="L124" i="20" s="1"/>
  <c r="L125" i="20" a="1"/>
  <c r="L125" i="20" s="1"/>
  <c r="L127" i="20" a="1"/>
  <c r="L127" i="20" s="1"/>
  <c r="L129" i="20" a="1"/>
  <c r="L129" i="20" s="1"/>
  <c r="L130" i="20" a="1"/>
  <c r="L130" i="20" s="1"/>
  <c r="L131" i="20" a="1"/>
  <c r="L131" i="20" s="1"/>
  <c r="L132" i="20" a="1"/>
  <c r="L132" i="20"/>
  <c r="L134" i="20" a="1"/>
  <c r="L134" i="20" s="1"/>
  <c r="L135" i="20" a="1"/>
  <c r="L135" i="20" s="1"/>
  <c r="L136" i="20" a="1"/>
  <c r="L136" i="20"/>
  <c r="L137" i="20" a="1"/>
  <c r="L137" i="20" s="1"/>
  <c r="L138" i="20" a="1"/>
  <c r="L138" i="20" s="1"/>
  <c r="L139" i="20" a="1"/>
  <c r="L139" i="20" s="1"/>
  <c r="L140" i="20" a="1"/>
  <c r="L140" i="20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/>
  <c r="L187" i="20" a="1"/>
  <c r="L187" i="20" s="1"/>
  <c r="L188" i="20" a="1"/>
  <c r="L188" i="20"/>
  <c r="L189" i="20" a="1"/>
  <c r="L189" i="20" s="1"/>
  <c r="L190" i="20" a="1"/>
  <c r="L190" i="20" s="1"/>
  <c r="L191" i="20" a="1"/>
  <c r="L191" i="20" s="1"/>
  <c r="L192" i="20" a="1"/>
  <c r="L192" i="20"/>
  <c r="L193" i="20" a="1"/>
  <c r="L193" i="20" s="1"/>
  <c r="L194" i="20" a="1"/>
  <c r="L194" i="20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/>
  <c r="L213" i="20" a="1"/>
  <c r="L213" i="20" s="1"/>
  <c r="L214" i="20" a="1"/>
  <c r="L214" i="20" s="1"/>
  <c r="L215" i="20" a="1"/>
  <c r="L215" i="20" s="1"/>
  <c r="L216" i="20" a="1"/>
  <c r="L216" i="20" s="1"/>
  <c r="N216" i="20" s="1"/>
  <c r="M2" i="20" a="1"/>
  <c r="M2" i="20" s="1"/>
  <c r="M3" i="20" a="1"/>
  <c r="M3" i="20"/>
  <c r="M4" i="20" a="1"/>
  <c r="M4" i="20" s="1"/>
  <c r="M5" i="20" a="1"/>
  <c r="M5" i="20"/>
  <c r="M6" i="20" a="1"/>
  <c r="M6" i="20" s="1"/>
  <c r="M7" i="20" a="1"/>
  <c r="M7" i="20" s="1"/>
  <c r="M8" i="20" a="1"/>
  <c r="M8" i="20" s="1"/>
  <c r="M9" i="20" a="1"/>
  <c r="M9" i="20"/>
  <c r="M10" i="20" a="1"/>
  <c r="M10" i="20" s="1"/>
  <c r="M11" i="20" a="1"/>
  <c r="M11" i="20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N27" i="20" s="1"/>
  <c r="M28" i="20" a="1"/>
  <c r="M28" i="20" s="1"/>
  <c r="M29" i="20" a="1"/>
  <c r="M29" i="20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/>
  <c r="M36" i="20" a="1"/>
  <c r="M36" i="20" s="1"/>
  <c r="M37" i="20" a="1"/>
  <c r="M37" i="20"/>
  <c r="M38" i="20" a="1"/>
  <c r="M38" i="20" s="1"/>
  <c r="M39" i="20" a="1"/>
  <c r="M39" i="20" s="1"/>
  <c r="M40" i="20" a="1"/>
  <c r="M40" i="20" s="1"/>
  <c r="M41" i="20" a="1"/>
  <c r="M41" i="20"/>
  <c r="M42" i="20" a="1"/>
  <c r="M42" i="20" s="1"/>
  <c r="M43" i="20" a="1"/>
  <c r="M43" i="20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N51" i="20" s="1"/>
  <c r="M52" i="20" a="1"/>
  <c r="M52" i="20"/>
  <c r="M53" i="20" a="1"/>
  <c r="M53" i="20" s="1"/>
  <c r="M54" i="20" a="1"/>
  <c r="M54" i="20"/>
  <c r="M55" i="20" a="1"/>
  <c r="M55" i="20" s="1"/>
  <c r="M56" i="20" a="1"/>
  <c r="M56" i="20" s="1"/>
  <c r="M57" i="20" a="1"/>
  <c r="M57" i="20" s="1"/>
  <c r="N57" i="20" s="1"/>
  <c r="M58" i="20" a="1"/>
  <c r="M58" i="20" s="1"/>
  <c r="M59" i="20" a="1"/>
  <c r="M59" i="20" s="1"/>
  <c r="M60" i="20" a="1"/>
  <c r="M60" i="20"/>
  <c r="M61" i="20" a="1"/>
  <c r="M61" i="20" s="1"/>
  <c r="M62" i="20" a="1"/>
  <c r="M62" i="20"/>
  <c r="M63" i="20" a="1"/>
  <c r="M63" i="20" s="1"/>
  <c r="N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/>
  <c r="M69" i="20" a="1"/>
  <c r="M69" i="20" s="1"/>
  <c r="M70" i="20" a="1"/>
  <c r="M70" i="20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/>
  <c r="M77" i="20" a="1"/>
  <c r="M77" i="20" s="1"/>
  <c r="M78" i="20" a="1"/>
  <c r="M78" i="20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N83" i="20" s="1"/>
  <c r="M84" i="20" a="1"/>
  <c r="M84" i="20"/>
  <c r="M85" i="20" a="1"/>
  <c r="M85" i="20" s="1"/>
  <c r="M86" i="20" a="1"/>
  <c r="M86" i="20"/>
  <c r="M87" i="20" a="1"/>
  <c r="M87" i="20" s="1"/>
  <c r="M88" i="20" a="1"/>
  <c r="M88" i="20" s="1"/>
  <c r="M89" i="20" a="1"/>
  <c r="M89" i="20" s="1"/>
  <c r="N89" i="20" s="1"/>
  <c r="M90" i="20" a="1"/>
  <c r="M90" i="20" s="1"/>
  <c r="M91" i="20" a="1"/>
  <c r="M91" i="20" s="1"/>
  <c r="M92" i="20" a="1"/>
  <c r="M92" i="20"/>
  <c r="N92" i="20" s="1"/>
  <c r="M93" i="20" a="1"/>
  <c r="M93" i="20" s="1"/>
  <c r="M94" i="20" a="1"/>
  <c r="M94" i="20"/>
  <c r="M95" i="20" a="1"/>
  <c r="M95" i="20" s="1"/>
  <c r="N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/>
  <c r="M101" i="20" a="1"/>
  <c r="M101" i="20" s="1"/>
  <c r="M102" i="20" a="1"/>
  <c r="M102" i="20"/>
  <c r="M103" i="20" a="1"/>
  <c r="M103" i="20" s="1"/>
  <c r="M104" i="20" a="1"/>
  <c r="M104" i="20" s="1"/>
  <c r="N104" i="20" s="1"/>
  <c r="M105" i="20" a="1"/>
  <c r="M105" i="20" s="1"/>
  <c r="M106" i="20" a="1"/>
  <c r="M106" i="20" s="1"/>
  <c r="M107" i="20" a="1"/>
  <c r="M107" i="20" s="1"/>
  <c r="M108" i="20" a="1"/>
  <c r="M108" i="20"/>
  <c r="M109" i="20" a="1"/>
  <c r="M109" i="20" s="1"/>
  <c r="N109" i="20" s="1"/>
  <c r="M110" i="20" a="1"/>
  <c r="M110" i="20"/>
  <c r="M111" i="20" a="1"/>
  <c r="M111" i="20" s="1"/>
  <c r="N111" i="20" s="1"/>
  <c r="M112" i="20" a="1"/>
  <c r="M112" i="20" s="1"/>
  <c r="M113" i="20" a="1"/>
  <c r="M113" i="20" s="1"/>
  <c r="M114" i="20" a="1"/>
  <c r="M114" i="20" s="1"/>
  <c r="N114" i="20" s="1"/>
  <c r="M115" i="20" a="1"/>
  <c r="M115" i="20" s="1"/>
  <c r="N115" i="20" s="1"/>
  <c r="M116" i="20" a="1"/>
  <c r="M116" i="20"/>
  <c r="M117" i="20" a="1"/>
  <c r="M117" i="20" s="1"/>
  <c r="M118" i="20" a="1"/>
  <c r="M118" i="20"/>
  <c r="M119" i="20" a="1"/>
  <c r="M119" i="20" s="1"/>
  <c r="M120" i="20" a="1"/>
  <c r="M120" i="20" s="1"/>
  <c r="N120" i="20" s="1"/>
  <c r="M121" i="20" a="1"/>
  <c r="M121" i="20" s="1"/>
  <c r="N121" i="20" s="1"/>
  <c r="M122" i="20" a="1"/>
  <c r="M122" i="20" s="1"/>
  <c r="M123" i="20" a="1"/>
  <c r="M123" i="20" s="1"/>
  <c r="M124" i="20" a="1"/>
  <c r="M124" i="20"/>
  <c r="N124" i="20" s="1"/>
  <c r="M125" i="20" a="1"/>
  <c r="M125" i="20" s="1"/>
  <c r="M126" i="20" a="1"/>
  <c r="M126" i="20"/>
  <c r="M127" i="20" a="1"/>
  <c r="M127" i="20" s="1"/>
  <c r="N127" i="20" s="1"/>
  <c r="M128" i="20" a="1"/>
  <c r="M128" i="20" s="1"/>
  <c r="M129" i="20" a="1"/>
  <c r="M129" i="20" s="1"/>
  <c r="M130" i="20" a="1"/>
  <c r="M130" i="20" s="1"/>
  <c r="M131" i="20" a="1"/>
  <c r="M131" i="20" s="1"/>
  <c r="N131" i="20" s="1"/>
  <c r="M132" i="20" a="1"/>
  <c r="M132" i="20"/>
  <c r="N132" i="20" s="1"/>
  <c r="M133" i="20" a="1"/>
  <c r="M133" i="20" s="1"/>
  <c r="M134" i="20" a="1"/>
  <c r="M134" i="20"/>
  <c r="N134" i="20" s="1"/>
  <c r="M135" i="20" a="1"/>
  <c r="M135" i="20" s="1"/>
  <c r="N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/>
  <c r="N140" i="20" s="1"/>
  <c r="M141" i="20" a="1"/>
  <c r="M141" i="20" s="1"/>
  <c r="M142" i="20" a="1"/>
  <c r="M142" i="20"/>
  <c r="M143" i="20" a="1"/>
  <c r="M143" i="20" s="1"/>
  <c r="N143" i="20" s="1"/>
  <c r="M144" i="20" a="1"/>
  <c r="M144" i="20" s="1"/>
  <c r="M145" i="20" a="1"/>
  <c r="M145" i="20" s="1"/>
  <c r="N145" i="20" s="1"/>
  <c r="M146" i="20" a="1"/>
  <c r="M146" i="20" s="1"/>
  <c r="N146" i="20" s="1"/>
  <c r="M147" i="20" a="1"/>
  <c r="M147" i="20" s="1"/>
  <c r="N147" i="20" s="1"/>
  <c r="M148" i="20" a="1"/>
  <c r="M148" i="20"/>
  <c r="M149" i="20" a="1"/>
  <c r="M149" i="20" s="1"/>
  <c r="M150" i="20" a="1"/>
  <c r="M150" i="20"/>
  <c r="M151" i="20" a="1"/>
  <c r="M151" i="20" s="1"/>
  <c r="N151" i="20" s="1"/>
  <c r="M152" i="20" a="1"/>
  <c r="M152" i="20" s="1"/>
  <c r="M153" i="20" a="1"/>
  <c r="M153" i="20" s="1"/>
  <c r="N153" i="20" s="1"/>
  <c r="M154" i="20" a="1"/>
  <c r="M154" i="20" s="1"/>
  <c r="M155" i="20" a="1"/>
  <c r="M155" i="20" s="1"/>
  <c r="N155" i="20" s="1"/>
  <c r="M156" i="20" a="1"/>
  <c r="M156" i="20"/>
  <c r="M157" i="20" a="1"/>
  <c r="M157" i="20" s="1"/>
  <c r="M158" i="20" a="1"/>
  <c r="M158" i="20"/>
  <c r="M159" i="20" a="1"/>
  <c r="M159" i="20" s="1"/>
  <c r="N159" i="20" s="1"/>
  <c r="M160" i="20" a="1"/>
  <c r="M160" i="20" s="1"/>
  <c r="M161" i="20" a="1"/>
  <c r="M161" i="20" s="1"/>
  <c r="N161" i="20" s="1"/>
  <c r="M162" i="20" a="1"/>
  <c r="M162" i="20" s="1"/>
  <c r="N162" i="20" s="1"/>
  <c r="M163" i="20" a="1"/>
  <c r="M163" i="20" s="1"/>
  <c r="N163" i="20" s="1"/>
  <c r="M164" i="20" a="1"/>
  <c r="M164" i="20"/>
  <c r="M165" i="20" a="1"/>
  <c r="M165" i="20" s="1"/>
  <c r="M166" i="20" a="1"/>
  <c r="M166" i="20"/>
  <c r="M167" i="20" a="1"/>
  <c r="M167" i="20" s="1"/>
  <c r="N167" i="20" s="1"/>
  <c r="M168" i="20" a="1"/>
  <c r="M168" i="20" s="1"/>
  <c r="M169" i="20" a="1"/>
  <c r="M169" i="20" s="1"/>
  <c r="N169" i="20" s="1"/>
  <c r="M170" i="20" a="1"/>
  <c r="M170" i="20"/>
  <c r="N170" i="20" s="1"/>
  <c r="M171" i="20" a="1"/>
  <c r="M171" i="20" s="1"/>
  <c r="M172" i="20" a="1"/>
  <c r="M172" i="20"/>
  <c r="M173" i="20" a="1"/>
  <c r="M173" i="20" s="1"/>
  <c r="M174" i="20" a="1"/>
  <c r="M174" i="20"/>
  <c r="M175" i="20" a="1"/>
  <c r="M175" i="20" s="1"/>
  <c r="N175" i="20" s="1"/>
  <c r="M176" i="20" a="1"/>
  <c r="M176" i="20" s="1"/>
  <c r="M177" i="20" a="1"/>
  <c r="M177" i="20" s="1"/>
  <c r="N177" i="20" s="1"/>
  <c r="M178" i="20" a="1"/>
  <c r="M178" i="20" s="1"/>
  <c r="N178" i="20" s="1"/>
  <c r="M179" i="20" a="1"/>
  <c r="M179" i="20" s="1"/>
  <c r="N179" i="20" s="1"/>
  <c r="M180" i="20" a="1"/>
  <c r="M180" i="20"/>
  <c r="N180" i="20" s="1"/>
  <c r="M181" i="20" a="1"/>
  <c r="M181" i="20" s="1"/>
  <c r="M182" i="20" a="1"/>
  <c r="M182" i="20"/>
  <c r="M183" i="20" a="1"/>
  <c r="M183" i="20" s="1"/>
  <c r="N183" i="20" s="1"/>
  <c r="M184" i="20" a="1"/>
  <c r="M184" i="20" s="1"/>
  <c r="M185" i="20" a="1"/>
  <c r="M185" i="20" s="1"/>
  <c r="N185" i="20" s="1"/>
  <c r="M186" i="20" a="1"/>
  <c r="M186" i="20" s="1"/>
  <c r="N186" i="20" s="1"/>
  <c r="M187" i="20" a="1"/>
  <c r="M187" i="20" s="1"/>
  <c r="N187" i="20" s="1"/>
  <c r="M188" i="20" a="1"/>
  <c r="M188" i="20"/>
  <c r="N188" i="20" s="1"/>
  <c r="M189" i="20" a="1"/>
  <c r="M189" i="20" s="1"/>
  <c r="M190" i="20" a="1"/>
  <c r="M190" i="20"/>
  <c r="M191" i="20" a="1"/>
  <c r="M191" i="20" s="1"/>
  <c r="N191" i="20" s="1"/>
  <c r="M192" i="20" a="1"/>
  <c r="M192" i="20" s="1"/>
  <c r="M193" i="20" a="1"/>
  <c r="M193" i="20" s="1"/>
  <c r="N193" i="20" s="1"/>
  <c r="M194" i="20" a="1"/>
  <c r="M194" i="20"/>
  <c r="N194" i="20" s="1"/>
  <c r="M195" i="20" a="1"/>
  <c r="M195" i="20" s="1"/>
  <c r="M196" i="20" a="1"/>
  <c r="M196" i="20"/>
  <c r="N196" i="20" s="1"/>
  <c r="M197" i="20" a="1"/>
  <c r="M197" i="20" s="1"/>
  <c r="N197" i="20" s="1"/>
  <c r="M198" i="20" a="1"/>
  <c r="M198" i="20"/>
  <c r="M199" i="20" a="1"/>
  <c r="M199" i="20" s="1"/>
  <c r="N199" i="20" s="1"/>
  <c r="M200" i="20" a="1"/>
  <c r="M200" i="20" s="1"/>
  <c r="M201" i="20" a="1"/>
  <c r="M201" i="20" s="1"/>
  <c r="N201" i="20" s="1"/>
  <c r="M202" i="20" a="1"/>
  <c r="M202" i="20"/>
  <c r="M203" i="20" a="1"/>
  <c r="M203" i="20" s="1"/>
  <c r="M204" i="20" a="1"/>
  <c r="M204" i="20" s="1"/>
  <c r="N204" i="20" s="1"/>
  <c r="M205" i="20" a="1"/>
  <c r="M205" i="20" s="1"/>
  <c r="M206" i="20" a="1"/>
  <c r="M206" i="20"/>
  <c r="M207" i="20" a="1"/>
  <c r="M207" i="20" s="1"/>
  <c r="N207" i="20" s="1"/>
  <c r="M208" i="20" a="1"/>
  <c r="M208" i="20" s="1"/>
  <c r="M209" i="20" a="1"/>
  <c r="M209" i="20" s="1"/>
  <c r="N209" i="20" s="1"/>
  <c r="M210" i="20" a="1"/>
  <c r="M210" i="20" s="1"/>
  <c r="N210" i="20" s="1"/>
  <c r="M211" i="20" a="1"/>
  <c r="M211" i="20" s="1"/>
  <c r="N211" i="20" s="1"/>
  <c r="M212" i="20" a="1"/>
  <c r="M212" i="20" s="1"/>
  <c r="N212" i="20" s="1"/>
  <c r="M213" i="20" a="1"/>
  <c r="M213" i="20" s="1"/>
  <c r="N213" i="20" s="1"/>
  <c r="M214" i="20" a="1"/>
  <c r="M214" i="20"/>
  <c r="M215" i="20" a="1"/>
  <c r="M215" i="20" s="1"/>
  <c r="N215" i="20" s="1"/>
  <c r="M216" i="20" a="1"/>
  <c r="M216" i="20" s="1"/>
  <c r="N5" i="20"/>
  <c r="N16" i="20"/>
  <c r="N21" i="20"/>
  <c r="N34" i="20"/>
  <c r="N40" i="20"/>
  <c r="N45" i="20"/>
  <c r="N54" i="20"/>
  <c r="N86" i="20"/>
  <c r="N98" i="20"/>
  <c r="N118" i="20"/>
  <c r="N125" i="20"/>
  <c r="N129" i="20"/>
  <c r="N130" i="20"/>
  <c r="N137" i="20"/>
  <c r="N138" i="20"/>
  <c r="N141" i="20"/>
  <c r="N148" i="20"/>
  <c r="N149" i="20"/>
  <c r="N150" i="20"/>
  <c r="N156" i="20"/>
  <c r="N157" i="20"/>
  <c r="N158" i="20"/>
  <c r="N164" i="20"/>
  <c r="N165" i="20"/>
  <c r="N166" i="20"/>
  <c r="N172" i="20"/>
  <c r="N173" i="20"/>
  <c r="N181" i="20"/>
  <c r="N182" i="20"/>
  <c r="N189" i="20"/>
  <c r="N190" i="20"/>
  <c r="N198" i="20"/>
  <c r="N202" i="20"/>
  <c r="N205" i="20"/>
  <c r="N214" i="20"/>
  <c r="O2" i="20" a="1"/>
  <c r="O2" i="20" s="1"/>
  <c r="O3" i="20" a="1"/>
  <c r="O3" i="20"/>
  <c r="O4" i="20" a="1"/>
  <c r="O4" i="20" s="1"/>
  <c r="O5" i="20" a="1"/>
  <c r="O5" i="20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/>
  <c r="O214" i="20" a="1"/>
  <c r="O214" i="20" s="1"/>
  <c r="O215" i="20" a="1"/>
  <c r="O215" i="20" s="1"/>
  <c r="O216" i="20" a="1"/>
  <c r="O216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/>
  <c r="P93" i="20" a="1"/>
  <c r="P93" i="20" s="1"/>
  <c r="P94" i="20" a="1"/>
  <c r="P94" i="20" s="1"/>
  <c r="P95" i="20" a="1"/>
  <c r="P95" i="20" s="1"/>
  <c r="P96" i="20" a="1"/>
  <c r="P96" i="20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/>
  <c r="P109" i="20" a="1"/>
  <c r="P109" i="20" s="1"/>
  <c r="P110" i="20" a="1"/>
  <c r="P110" i="20" s="1"/>
  <c r="P111" i="20" a="1"/>
  <c r="P111" i="20" s="1"/>
  <c r="P112" i="20" a="1"/>
  <c r="P112" i="20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/>
  <c r="P125" i="20" a="1"/>
  <c r="P125" i="20" s="1"/>
  <c r="P126" i="20" a="1"/>
  <c r="P126" i="20" s="1"/>
  <c r="P127" i="20" a="1"/>
  <c r="P127" i="20" s="1"/>
  <c r="P128" i="20" a="1"/>
  <c r="P128" i="20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/>
  <c r="P141" i="20" a="1"/>
  <c r="P141" i="20" s="1"/>
  <c r="P142" i="20" a="1"/>
  <c r="P142" i="20" s="1"/>
  <c r="P143" i="20" a="1"/>
  <c r="P143" i="20" s="1"/>
  <c r="P144" i="20" a="1"/>
  <c r="P144" i="20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/>
  <c r="P157" i="20" a="1"/>
  <c r="P157" i="20" s="1"/>
  <c r="P158" i="20" a="1"/>
  <c r="P158" i="20" s="1"/>
  <c r="P159" i="20" a="1"/>
  <c r="P159" i="20" s="1"/>
  <c r="P160" i="20" a="1"/>
  <c r="P160" i="20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/>
  <c r="P173" i="20" a="1"/>
  <c r="P173" i="20" s="1"/>
  <c r="P174" i="20" a="1"/>
  <c r="P174" i="20" s="1"/>
  <c r="P175" i="20" a="1"/>
  <c r="P175" i="20" s="1"/>
  <c r="P176" i="20" a="1"/>
  <c r="P176" i="20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/>
  <c r="P207" i="20" a="1"/>
  <c r="P207" i="20" s="1"/>
  <c r="P208" i="20" a="1"/>
  <c r="P208" i="20" s="1"/>
  <c r="P209" i="20" a="1"/>
  <c r="P209" i="20" s="1"/>
  <c r="P210" i="20" a="1"/>
  <c r="P210" i="20"/>
  <c r="P211" i="20" a="1"/>
  <c r="P211" i="20" s="1"/>
  <c r="P212" i="20" a="1"/>
  <c r="P212" i="20" s="1"/>
  <c r="P213" i="20" a="1"/>
  <c r="P213" i="20" s="1"/>
  <c r="P214" i="20" a="1"/>
  <c r="P214" i="20"/>
  <c r="P215" i="20" a="1"/>
  <c r="P215" i="20" s="1"/>
  <c r="P216" i="20" a="1"/>
  <c r="P216" i="20" s="1"/>
  <c r="H2" i="19"/>
  <c r="J2" i="19" s="1" a="1"/>
  <c r="J2" i="19" s="1"/>
  <c r="I2" i="19" a="1"/>
  <c r="I2" i="19" s="1"/>
  <c r="L2" i="19" a="1"/>
  <c r="L2" i="19" s="1"/>
  <c r="N2" i="19" a="1"/>
  <c r="N2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O3" i="18" s="1" a="1"/>
  <c r="O3" i="18" s="1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N2" i="18" a="1"/>
  <c r="N2" i="18" s="1"/>
  <c r="N3" i="18" a="1"/>
  <c r="N3" i="18" s="1"/>
  <c r="N4" i="18" a="1"/>
  <c r="N4" i="18" s="1"/>
  <c r="U4" i="18" s="1"/>
  <c r="N5" i="18" a="1"/>
  <c r="N5" i="18" s="1"/>
  <c r="N6" i="18" a="1"/>
  <c r="N6" i="18"/>
  <c r="N7" i="18" a="1"/>
  <c r="N7" i="18" s="1"/>
  <c r="N8" i="18" a="1"/>
  <c r="N8" i="18"/>
  <c r="N9" i="18" a="1"/>
  <c r="N9" i="18" s="1"/>
  <c r="N10" i="18" a="1"/>
  <c r="N10" i="18" s="1"/>
  <c r="U10" i="18" s="1"/>
  <c r="N11" i="18" a="1"/>
  <c r="N11" i="18" s="1"/>
  <c r="N12" i="18" a="1"/>
  <c r="N12" i="18" s="1"/>
  <c r="U12" i="18" s="1"/>
  <c r="N13" i="18" a="1"/>
  <c r="N13" i="18" s="1"/>
  <c r="N14" i="18" a="1"/>
  <c r="N14" i="18"/>
  <c r="N15" i="18" a="1"/>
  <c r="N15" i="18" s="1"/>
  <c r="N16" i="18" a="1"/>
  <c r="N16" i="18"/>
  <c r="N17" i="18" a="1"/>
  <c r="N17" i="18" s="1"/>
  <c r="N18" i="18" a="1"/>
  <c r="N18" i="18" s="1"/>
  <c r="U18" i="18" s="1"/>
  <c r="N19" i="18" a="1"/>
  <c r="N19" i="18" s="1"/>
  <c r="N20" i="18" a="1"/>
  <c r="N20" i="18" s="1"/>
  <c r="U20" i="18" s="1"/>
  <c r="N21" i="18" a="1"/>
  <c r="N21" i="18" s="1"/>
  <c r="N22" i="18" a="1"/>
  <c r="N22" i="18"/>
  <c r="N23" i="18" a="1"/>
  <c r="N23" i="18" s="1"/>
  <c r="N24" i="18" a="1"/>
  <c r="N24" i="18"/>
  <c r="N25" i="18" a="1"/>
  <c r="N25" i="18" s="1"/>
  <c r="N26" i="18" a="1"/>
  <c r="N26" i="18" s="1"/>
  <c r="N27" i="18" a="1"/>
  <c r="N27" i="18" s="1"/>
  <c r="N28" i="18" a="1"/>
  <c r="N28" i="18"/>
  <c r="N29" i="18" a="1"/>
  <c r="N29" i="18" s="1"/>
  <c r="N30" i="18" a="1"/>
  <c r="N30" i="18"/>
  <c r="N31" i="18" a="1"/>
  <c r="N31" i="18" s="1"/>
  <c r="N32" i="18" a="1"/>
  <c r="N32" i="18" s="1"/>
  <c r="N33" i="18" a="1"/>
  <c r="N33" i="18"/>
  <c r="N34" i="18" a="1"/>
  <c r="N34" i="18" s="1"/>
  <c r="U34" i="18" s="1"/>
  <c r="N35" i="18" a="1"/>
  <c r="N35" i="18"/>
  <c r="N36" i="18" a="1"/>
  <c r="N36" i="18"/>
  <c r="N37" i="18" a="1"/>
  <c r="N37" i="18"/>
  <c r="N38" i="18" a="1"/>
  <c r="N38" i="18"/>
  <c r="N39" i="18" a="1"/>
  <c r="N39" i="18" s="1"/>
  <c r="N40" i="18" a="1"/>
  <c r="N40" i="18" s="1"/>
  <c r="N41" i="18" a="1"/>
  <c r="N41" i="18"/>
  <c r="N42" i="18" a="1"/>
  <c r="N42" i="18" s="1"/>
  <c r="N43" i="18" a="1"/>
  <c r="N43" i="18" s="1"/>
  <c r="U43" i="18" s="1"/>
  <c r="N44" i="18" a="1"/>
  <c r="N44" i="18"/>
  <c r="N45" i="18" a="1"/>
  <c r="N45" i="18" s="1"/>
  <c r="U45" i="18" s="1"/>
  <c r="N46" i="18" a="1"/>
  <c r="N46" i="18"/>
  <c r="N47" i="18" a="1"/>
  <c r="N47" i="18"/>
  <c r="N48" i="18" a="1"/>
  <c r="N48" i="18"/>
  <c r="N49" i="18" a="1"/>
  <c r="N49" i="18" s="1"/>
  <c r="N50" i="18" a="1"/>
  <c r="N50" i="18"/>
  <c r="N51" i="18" a="1"/>
  <c r="N51" i="18" s="1"/>
  <c r="U51" i="18" s="1"/>
  <c r="N52" i="18" a="1"/>
  <c r="N52" i="18"/>
  <c r="N53" i="18" a="1"/>
  <c r="N53" i="18" s="1"/>
  <c r="U53" i="18" s="1"/>
  <c r="N54" i="18" a="1"/>
  <c r="N54" i="18" s="1"/>
  <c r="N55" i="18" a="1"/>
  <c r="N55" i="18"/>
  <c r="N56" i="18" a="1"/>
  <c r="N56" i="18" s="1"/>
  <c r="N57" i="18" a="1"/>
  <c r="N57" i="18"/>
  <c r="N58" i="18" a="1"/>
  <c r="N58" i="18" s="1"/>
  <c r="N59" i="18" a="1"/>
  <c r="N59" i="18" s="1"/>
  <c r="N60" i="18" a="1"/>
  <c r="N60" i="18" s="1"/>
  <c r="U60" i="18" s="1"/>
  <c r="N61" i="18" a="1"/>
  <c r="N61" i="18"/>
  <c r="N62" i="18" a="1"/>
  <c r="N62" i="18" s="1"/>
  <c r="N63" i="18" a="1"/>
  <c r="N63" i="18"/>
  <c r="N64" i="18" a="1"/>
  <c r="N64" i="18" s="1"/>
  <c r="N65" i="18" a="1"/>
  <c r="N65" i="18"/>
  <c r="N66" i="18" a="1"/>
  <c r="N66" i="18" s="1"/>
  <c r="N67" i="18" a="1"/>
  <c r="N67" i="18" s="1"/>
  <c r="U67" i="18" s="1"/>
  <c r="N68" i="18" a="1"/>
  <c r="N68" i="18"/>
  <c r="N69" i="18" a="1"/>
  <c r="N69" i="18" s="1"/>
  <c r="U69" i="18" s="1"/>
  <c r="N70" i="18" a="1"/>
  <c r="N70" i="18"/>
  <c r="N71" i="18" a="1"/>
  <c r="N71" i="18" s="1"/>
  <c r="N72" i="18" a="1"/>
  <c r="N72" i="18"/>
  <c r="N73" i="18" a="1"/>
  <c r="N73" i="18" s="1"/>
  <c r="U73" i="18" s="1"/>
  <c r="N74" i="18" a="1"/>
  <c r="N74" i="18"/>
  <c r="N75" i="18" a="1"/>
  <c r="N75" i="18" s="1"/>
  <c r="U75" i="18" s="1"/>
  <c r="N76" i="18" a="1"/>
  <c r="N76" i="18" s="1"/>
  <c r="N77" i="18" a="1"/>
  <c r="N77" i="18"/>
  <c r="N78" i="18" a="1"/>
  <c r="N78" i="18" s="1"/>
  <c r="N79" i="18" a="1"/>
  <c r="N79" i="18"/>
  <c r="N80" i="18" a="1"/>
  <c r="N80" i="18" s="1"/>
  <c r="N81" i="18" a="1"/>
  <c r="N81" i="18" s="1"/>
  <c r="N82" i="18" a="1"/>
  <c r="N82" i="18" s="1"/>
  <c r="N83" i="18" a="1"/>
  <c r="N83" i="18"/>
  <c r="N84" i="18" a="1"/>
  <c r="N84" i="18" s="1"/>
  <c r="U84" i="18" s="1"/>
  <c r="N85" i="18" a="1"/>
  <c r="N85" i="18"/>
  <c r="N86" i="18" a="1"/>
  <c r="N86" i="18" s="1"/>
  <c r="U86" i="18" s="1"/>
  <c r="N87" i="18" a="1"/>
  <c r="N87" i="18"/>
  <c r="N88" i="18" a="1"/>
  <c r="N88" i="18" s="1"/>
  <c r="N89" i="18" a="1"/>
  <c r="N89" i="18" s="1"/>
  <c r="U89" i="18" s="1"/>
  <c r="N90" i="18" a="1"/>
  <c r="N90" i="18"/>
  <c r="N91" i="18" a="1"/>
  <c r="N91" i="18" s="1"/>
  <c r="U91" i="18" s="1"/>
  <c r="N92" i="18" a="1"/>
  <c r="N92" i="18"/>
  <c r="N93" i="18" a="1"/>
  <c r="N93" i="18" s="1"/>
  <c r="O5" i="18" a="1"/>
  <c r="O5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/>
  <c r="O92" i="18" a="1"/>
  <c r="O92" i="18" s="1"/>
  <c r="O93" i="18" a="1"/>
  <c r="O93" i="18" s="1"/>
  <c r="P2" i="18" a="1"/>
  <c r="P2" i="18" s="1"/>
  <c r="P3" i="18" a="1"/>
  <c r="P3" i="18" s="1"/>
  <c r="P4" i="18" a="1"/>
  <c r="P4" i="18" s="1"/>
  <c r="P5" i="18" a="1"/>
  <c r="P5" i="18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R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/>
  <c r="P73" i="18" a="1"/>
  <c r="P73" i="18" s="1"/>
  <c r="P74" i="18" a="1"/>
  <c r="P74" i="18" s="1"/>
  <c r="P75" i="18" a="1"/>
  <c r="P75" i="18" s="1"/>
  <c r="P76" i="18" a="1"/>
  <c r="P76" i="18"/>
  <c r="P77" i="18" a="1"/>
  <c r="P77" i="18" s="1"/>
  <c r="P78" i="18" a="1"/>
  <c r="P78" i="18" s="1"/>
  <c r="P79" i="18" a="1"/>
  <c r="P79" i="18" s="1"/>
  <c r="P80" i="18" a="1"/>
  <c r="P80" i="18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Q2" i="18" a="1"/>
  <c r="Q2" i="18" s="1"/>
  <c r="Q3" i="18" a="1"/>
  <c r="Q3" i="18" s="1"/>
  <c r="R3" i="18" s="1"/>
  <c r="Q4" i="18" a="1"/>
  <c r="Q4" i="18" s="1"/>
  <c r="Q5" i="18" a="1"/>
  <c r="Q5" i="18" s="1"/>
  <c r="Q6" i="18" a="1"/>
  <c r="Q6" i="18" s="1"/>
  <c r="R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R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R16" i="18" s="1"/>
  <c r="Q17" i="18" a="1"/>
  <c r="Q17" i="18" s="1"/>
  <c r="Q18" i="18" a="1"/>
  <c r="Q18" i="18" s="1"/>
  <c r="Q19" i="18" a="1"/>
  <c r="Q19" i="18" s="1"/>
  <c r="R19" i="18" s="1"/>
  <c r="Q20" i="18" a="1"/>
  <c r="Q20" i="18" s="1"/>
  <c r="Q21" i="18" a="1"/>
  <c r="Q21" i="18" s="1"/>
  <c r="Q22" i="18" a="1"/>
  <c r="Q22" i="18" s="1"/>
  <c r="R22" i="18" s="1"/>
  <c r="Q23" i="18" a="1"/>
  <c r="Q23" i="18" s="1"/>
  <c r="Q24" i="18" a="1"/>
  <c r="Q24" i="18"/>
  <c r="Q25" i="18" a="1"/>
  <c r="Q25" i="18" s="1"/>
  <c r="Q26" i="18" a="1"/>
  <c r="Q26" i="18" s="1"/>
  <c r="R26" i="18" s="1"/>
  <c r="Q27" i="18" a="1"/>
  <c r="Q27" i="18" s="1"/>
  <c r="R27" i="18" s="1"/>
  <c r="Q28" i="18" a="1"/>
  <c r="Q28" i="18"/>
  <c r="R28" i="18" s="1"/>
  <c r="Q29" i="18" a="1"/>
  <c r="Q29" i="18" s="1"/>
  <c r="Q30" i="18" a="1"/>
  <c r="Q30" i="18" s="1"/>
  <c r="R30" i="18" s="1"/>
  <c r="Q31" i="18" a="1"/>
  <c r="Q31" i="18" s="1"/>
  <c r="R31" i="18" s="1"/>
  <c r="Q32" i="18" a="1"/>
  <c r="Q32" i="18"/>
  <c r="Q33" i="18" a="1"/>
  <c r="Q33" i="18" s="1"/>
  <c r="Q34" i="18" a="1"/>
  <c r="Q34" i="18" s="1"/>
  <c r="Q35" i="18" a="1"/>
  <c r="Q35" i="18" s="1"/>
  <c r="R35" i="18" s="1"/>
  <c r="Q36" i="18" a="1"/>
  <c r="Q36" i="18" s="1"/>
  <c r="R36" i="18" s="1"/>
  <c r="Q37" i="18" a="1"/>
  <c r="Q37" i="18" s="1"/>
  <c r="R37" i="18" s="1"/>
  <c r="Q38" i="18" a="1"/>
  <c r="Q38" i="18"/>
  <c r="R38" i="18" s="1"/>
  <c r="Q39" i="18" a="1"/>
  <c r="Q39" i="18" s="1"/>
  <c r="Q40" i="18" a="1"/>
  <c r="Q40" i="18" s="1"/>
  <c r="Q41" i="18" a="1"/>
  <c r="Q41" i="18" s="1"/>
  <c r="Q42" i="18" a="1"/>
  <c r="Q42" i="18"/>
  <c r="R42" i="18" s="1"/>
  <c r="Q43" i="18" a="1"/>
  <c r="Q43" i="18" s="1"/>
  <c r="Q44" i="18" a="1"/>
  <c r="Q44" i="18" s="1"/>
  <c r="R44" i="18" s="1"/>
  <c r="Q45" i="18" a="1"/>
  <c r="Q45" i="18" s="1"/>
  <c r="Q46" i="18" a="1"/>
  <c r="Q46" i="18"/>
  <c r="R46" i="18" s="1"/>
  <c r="Q47" i="18" a="1"/>
  <c r="Q47" i="18" s="1"/>
  <c r="Q48" i="18" a="1"/>
  <c r="Q48" i="18" s="1"/>
  <c r="R48" i="18" s="1"/>
  <c r="Q49" i="18" a="1"/>
  <c r="Q49" i="18" s="1"/>
  <c r="Q50" i="18" a="1"/>
  <c r="Q50" i="18" s="1"/>
  <c r="R50" i="18" s="1"/>
  <c r="Q51" i="18" a="1"/>
  <c r="Q51" i="18" s="1"/>
  <c r="Q52" i="18" a="1"/>
  <c r="Q52" i="18"/>
  <c r="Q53" i="18" a="1"/>
  <c r="Q53" i="18" s="1"/>
  <c r="Q54" i="18" a="1"/>
  <c r="Q54" i="18" s="1"/>
  <c r="R54" i="18" s="1"/>
  <c r="Q55" i="18" a="1"/>
  <c r="Q55" i="18" s="1"/>
  <c r="Q56" i="18" a="1"/>
  <c r="Q56" i="18"/>
  <c r="Q57" i="18" a="1"/>
  <c r="Q57" i="18" s="1"/>
  <c r="Q58" i="18" a="1"/>
  <c r="Q58" i="18" s="1"/>
  <c r="Q59" i="18" a="1"/>
  <c r="Q59" i="18" s="1"/>
  <c r="R59" i="18" s="1"/>
  <c r="Q60" i="18" a="1"/>
  <c r="Q60" i="18" s="1"/>
  <c r="Q61" i="18" a="1"/>
  <c r="Q61" i="18" s="1"/>
  <c r="Q62" i="18" a="1"/>
  <c r="Q62" i="18"/>
  <c r="Q63" i="18" a="1"/>
  <c r="Q63" i="18" s="1"/>
  <c r="Q64" i="18" a="1"/>
  <c r="Q64" i="18" s="1"/>
  <c r="Q65" i="18" a="1"/>
  <c r="Q65" i="18" s="1"/>
  <c r="Q66" i="18" a="1"/>
  <c r="Q66" i="18" s="1"/>
  <c r="R66" i="18" s="1"/>
  <c r="Q67" i="18" a="1"/>
  <c r="Q67" i="18" s="1"/>
  <c r="Q68" i="18" a="1"/>
  <c r="Q68" i="18" s="1"/>
  <c r="R68" i="18" s="1"/>
  <c r="Q69" i="18" a="1"/>
  <c r="Q69" i="18" s="1"/>
  <c r="Q70" i="18" a="1"/>
  <c r="Q70" i="18"/>
  <c r="R70" i="18" s="1"/>
  <c r="Q71" i="18" a="1"/>
  <c r="Q71" i="18" s="1"/>
  <c r="R71" i="18" s="1"/>
  <c r="Q72" i="18" a="1"/>
  <c r="Q72" i="18" s="1"/>
  <c r="R72" i="18" s="1"/>
  <c r="Q73" i="18" a="1"/>
  <c r="Q73" i="18" s="1"/>
  <c r="Q74" i="18" a="1"/>
  <c r="Q74" i="18" s="1"/>
  <c r="R74" i="18" s="1"/>
  <c r="Q75" i="18" a="1"/>
  <c r="Q75" i="18" s="1"/>
  <c r="Q76" i="18" a="1"/>
  <c r="Q76" i="18" s="1"/>
  <c r="R76" i="18" s="1"/>
  <c r="Q77" i="18" a="1"/>
  <c r="Q77" i="18" s="1"/>
  <c r="R77" i="18" s="1"/>
  <c r="Q78" i="18" a="1"/>
  <c r="Q78" i="18"/>
  <c r="Q79" i="18" a="1"/>
  <c r="Q79" i="18" s="1"/>
  <c r="R79" i="18" s="1"/>
  <c r="Q80" i="18" a="1"/>
  <c r="Q80" i="18" s="1"/>
  <c r="Q81" i="18" a="1"/>
  <c r="Q81" i="18" s="1"/>
  <c r="R81" i="18" s="1"/>
  <c r="Q82" i="18" a="1"/>
  <c r="Q82" i="18" s="1"/>
  <c r="Q83" i="18" a="1"/>
  <c r="Q83" i="18" s="1"/>
  <c r="Q84" i="18" a="1"/>
  <c r="Q84" i="18" s="1"/>
  <c r="Q85" i="18" a="1"/>
  <c r="Q85" i="18" s="1"/>
  <c r="R85" i="18" s="1"/>
  <c r="Q86" i="18" a="1"/>
  <c r="Q86" i="18"/>
  <c r="Q87" i="18" a="1"/>
  <c r="Q87" i="18" s="1"/>
  <c r="Q88" i="18" a="1"/>
  <c r="Q88" i="18" s="1"/>
  <c r="R88" i="18" s="1"/>
  <c r="Q89" i="18" a="1"/>
  <c r="Q89" i="18"/>
  <c r="Q90" i="18" a="1"/>
  <c r="Q90" i="18" s="1"/>
  <c r="Q91" i="18" a="1"/>
  <c r="Q91" i="18"/>
  <c r="Q92" i="18" a="1"/>
  <c r="Q92" i="18" s="1"/>
  <c r="Q93" i="18" a="1"/>
  <c r="Q93" i="18"/>
  <c r="R24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/>
  <c r="S93" i="18" a="1"/>
  <c r="S93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/>
  <c r="T25" i="18" a="1"/>
  <c r="T25" i="18"/>
  <c r="T26" i="18" a="1"/>
  <c r="T26" i="18"/>
  <c r="T27" i="18" a="1"/>
  <c r="T27" i="18"/>
  <c r="T28" i="18" a="1"/>
  <c r="T28" i="18"/>
  <c r="T29" i="18" a="1"/>
  <c r="T29" i="18"/>
  <c r="T30" i="18" a="1"/>
  <c r="T30" i="18" s="1"/>
  <c r="T31" i="18" a="1"/>
  <c r="T31" i="18" s="1"/>
  <c r="T32" i="18" a="1"/>
  <c r="T32" i="18" s="1"/>
  <c r="T33" i="18" a="1"/>
  <c r="T33" i="18"/>
  <c r="T34" i="18" a="1"/>
  <c r="T34" i="18" s="1"/>
  <c r="T35" i="18" a="1"/>
  <c r="T35" i="18" s="1"/>
  <c r="T36" i="18" a="1"/>
  <c r="T36" i="18" s="1"/>
  <c r="T37" i="18" a="1"/>
  <c r="T37" i="18"/>
  <c r="T38" i="18" a="1"/>
  <c r="T38" i="18" s="1"/>
  <c r="T39" i="18" a="1"/>
  <c r="T39" i="18" s="1"/>
  <c r="T40" i="18" a="1"/>
  <c r="T40" i="18" s="1"/>
  <c r="T41" i="18" a="1"/>
  <c r="T41" i="18"/>
  <c r="T42" i="18" a="1"/>
  <c r="T42" i="18" s="1"/>
  <c r="T43" i="18" a="1"/>
  <c r="T43" i="18" s="1"/>
  <c r="T44" i="18" a="1"/>
  <c r="T44" i="18" s="1"/>
  <c r="T45" i="18" a="1"/>
  <c r="T45" i="18"/>
  <c r="T46" i="18" a="1"/>
  <c r="T46" i="18" s="1"/>
  <c r="T47" i="18" a="1"/>
  <c r="T47" i="18" s="1"/>
  <c r="T48" i="18" a="1"/>
  <c r="T48" i="18" s="1"/>
  <c r="T49" i="18" a="1"/>
  <c r="T49" i="18"/>
  <c r="T50" i="18" a="1"/>
  <c r="T50" i="18" s="1"/>
  <c r="T51" i="18" a="1"/>
  <c r="T51" i="18" s="1"/>
  <c r="T52" i="18" a="1"/>
  <c r="T52" i="18" s="1"/>
  <c r="T53" i="18" a="1"/>
  <c r="T53" i="18"/>
  <c r="T54" i="18" a="1"/>
  <c r="T54" i="18" s="1"/>
  <c r="T55" i="18" a="1"/>
  <c r="T55" i="18" s="1"/>
  <c r="T56" i="18" a="1"/>
  <c r="T56" i="18" s="1"/>
  <c r="T57" i="18" a="1"/>
  <c r="T57" i="18"/>
  <c r="T58" i="18" a="1"/>
  <c r="T58" i="18" s="1"/>
  <c r="T59" i="18" a="1"/>
  <c r="T59" i="18" s="1"/>
  <c r="T60" i="18" a="1"/>
  <c r="T60" i="18" s="1"/>
  <c r="T61" i="18" a="1"/>
  <c r="T61" i="18"/>
  <c r="T62" i="18" a="1"/>
  <c r="T62" i="18" s="1"/>
  <c r="T63" i="18" a="1"/>
  <c r="T63" i="18" s="1"/>
  <c r="T64" i="18" a="1"/>
  <c r="T64" i="18" s="1"/>
  <c r="T65" i="18" a="1"/>
  <c r="T65" i="18"/>
  <c r="T66" i="18" a="1"/>
  <c r="T66" i="18" s="1"/>
  <c r="T67" i="18" a="1"/>
  <c r="T67" i="18" s="1"/>
  <c r="T68" i="18" a="1"/>
  <c r="T68" i="18" s="1"/>
  <c r="T69" i="18" a="1"/>
  <c r="T69" i="18"/>
  <c r="T70" i="18" a="1"/>
  <c r="T70" i="18" s="1"/>
  <c r="T71" i="18" a="1"/>
  <c r="T71" i="18" s="1"/>
  <c r="T72" i="18" a="1"/>
  <c r="T72" i="18" s="1"/>
  <c r="T73" i="18" a="1"/>
  <c r="T73" i="18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U2" i="18"/>
  <c r="U3" i="18"/>
  <c r="U5" i="18"/>
  <c r="U6" i="18"/>
  <c r="U7" i="18"/>
  <c r="U8" i="18"/>
  <c r="U9" i="18"/>
  <c r="U11" i="18"/>
  <c r="U13" i="18"/>
  <c r="U14" i="18"/>
  <c r="U15" i="18"/>
  <c r="U16" i="18"/>
  <c r="U17" i="18"/>
  <c r="U19" i="18"/>
  <c r="U21" i="18"/>
  <c r="U22" i="18"/>
  <c r="U23" i="18"/>
  <c r="U24" i="18"/>
  <c r="U25" i="18"/>
  <c r="U26" i="18"/>
  <c r="U27" i="18"/>
  <c r="U28" i="18"/>
  <c r="U29" i="18"/>
  <c r="U30" i="18"/>
  <c r="U31" i="18"/>
  <c r="U33" i="18"/>
  <c r="U35" i="18"/>
  <c r="U36" i="18"/>
  <c r="U37" i="18"/>
  <c r="U38" i="18"/>
  <c r="U39" i="18"/>
  <c r="U41" i="18"/>
  <c r="U42" i="18"/>
  <c r="U44" i="18"/>
  <c r="U46" i="18"/>
  <c r="U47" i="18"/>
  <c r="U48" i="18"/>
  <c r="U49" i="18"/>
  <c r="U50" i="18"/>
  <c r="U52" i="18"/>
  <c r="U54" i="18"/>
  <c r="U55" i="18"/>
  <c r="U57" i="18"/>
  <c r="U59" i="18"/>
  <c r="U61" i="18"/>
  <c r="U63" i="18"/>
  <c r="U65" i="18"/>
  <c r="U66" i="18"/>
  <c r="U68" i="18"/>
  <c r="U70" i="18"/>
  <c r="U71" i="18"/>
  <c r="U72" i="18"/>
  <c r="U74" i="18"/>
  <c r="U76" i="18"/>
  <c r="U77" i="18"/>
  <c r="U79" i="18"/>
  <c r="U81" i="18"/>
  <c r="U83" i="18"/>
  <c r="U85" i="18"/>
  <c r="U87" i="18"/>
  <c r="U88" i="18"/>
  <c r="U90" i="18"/>
  <c r="U92" i="18"/>
  <c r="U93" i="18"/>
  <c r="L2" i="17"/>
  <c r="L3" i="17"/>
  <c r="L4" i="17"/>
  <c r="L5" i="17"/>
  <c r="L6" i="17"/>
  <c r="L7" i="17"/>
  <c r="L8" i="17"/>
  <c r="L9" i="17"/>
  <c r="N15" i="17" s="1" a="1"/>
  <c r="N15" i="17" s="1"/>
  <c r="L10" i="17"/>
  <c r="L11" i="17"/>
  <c r="L12" i="17"/>
  <c r="L13" i="17"/>
  <c r="N13" i="17" s="1" a="1"/>
  <c r="N13" i="17" s="1"/>
  <c r="L14" i="17"/>
  <c r="L15" i="17"/>
  <c r="L16" i="17"/>
  <c r="L17" i="17"/>
  <c r="N17" i="17" s="1" a="1"/>
  <c r="N17" i="17" s="1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N19" i="17" s="1" a="1"/>
  <c r="N19" i="17" s="1"/>
  <c r="L130" i="17"/>
  <c r="L131" i="17"/>
  <c r="L132" i="17"/>
  <c r="L133" i="17"/>
  <c r="L134" i="17"/>
  <c r="L135" i="17"/>
  <c r="L136" i="17"/>
  <c r="L137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38" i="17"/>
  <c r="L139" i="17"/>
  <c r="N28" i="17" s="1" a="1"/>
  <c r="N28" i="17" s="1"/>
  <c r="L140" i="17"/>
  <c r="L141" i="17"/>
  <c r="L142" i="17"/>
  <c r="L143" i="17"/>
  <c r="L144" i="17"/>
  <c r="L145" i="17"/>
  <c r="M2" i="17" a="1"/>
  <c r="M2" i="17"/>
  <c r="M3" i="17" a="1"/>
  <c r="M3" i="17" s="1"/>
  <c r="M4" i="17" a="1"/>
  <c r="M4" i="17" s="1"/>
  <c r="W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W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W22" i="17" s="1"/>
  <c r="M23" i="17" a="1"/>
  <c r="M23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/>
  <c r="M29" i="17" a="1"/>
  <c r="M29" i="17" s="1"/>
  <c r="M30" i="17" a="1"/>
  <c r="M30" i="17" s="1"/>
  <c r="W30" i="17" s="1"/>
  <c r="M31" i="17" a="1"/>
  <c r="M31" i="17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W42" i="17" s="1"/>
  <c r="M43" i="17" a="1"/>
  <c r="M43" i="17" s="1"/>
  <c r="W43" i="17" s="1"/>
  <c r="M44" i="17" a="1"/>
  <c r="M44" i="17" s="1"/>
  <c r="M45" i="17" a="1"/>
  <c r="M45" i="17" s="1"/>
  <c r="M46" i="17" a="1"/>
  <c r="M46" i="17" s="1"/>
  <c r="W46" i="17" s="1"/>
  <c r="M47" i="17" a="1"/>
  <c r="M47" i="17" s="1"/>
  <c r="W47" i="17" s="1"/>
  <c r="M48" i="17" a="1"/>
  <c r="M48" i="17" s="1"/>
  <c r="M49" i="17" a="1"/>
  <c r="M49" i="17" s="1"/>
  <c r="M50" i="17" a="1"/>
  <c r="M50" i="17" s="1"/>
  <c r="W50" i="17" s="1"/>
  <c r="M51" i="17" a="1"/>
  <c r="M51" i="17" s="1"/>
  <c r="W51" i="17" s="1"/>
  <c r="M52" i="17" a="1"/>
  <c r="M52" i="17" s="1"/>
  <c r="M53" i="17" a="1"/>
  <c r="M53" i="17" s="1"/>
  <c r="M54" i="17" a="1"/>
  <c r="M54" i="17"/>
  <c r="M55" i="17" a="1"/>
  <c r="M55" i="17"/>
  <c r="M56" i="17" a="1"/>
  <c r="M56" i="17"/>
  <c r="M57" i="17" a="1"/>
  <c r="M57" i="17"/>
  <c r="M58" i="17" a="1"/>
  <c r="M58" i="17"/>
  <c r="M59" i="17" a="1"/>
  <c r="M59" i="17"/>
  <c r="M60" i="17" a="1"/>
  <c r="M60" i="17"/>
  <c r="M61" i="17" a="1"/>
  <c r="M61" i="17"/>
  <c r="M62" i="17" a="1"/>
  <c r="M62" i="17"/>
  <c r="M63" i="17" a="1"/>
  <c r="M63" i="17"/>
  <c r="M64" i="17" a="1"/>
  <c r="M64" i="17"/>
  <c r="M65" i="17" a="1"/>
  <c r="M65" i="17" s="1"/>
  <c r="M66" i="17" a="1"/>
  <c r="M66" i="17" s="1"/>
  <c r="W66" i="17" s="1"/>
  <c r="M67" i="17" a="1"/>
  <c r="M67" i="17" s="1"/>
  <c r="W67" i="17" s="1"/>
  <c r="M68" i="17" a="1"/>
  <c r="M68" i="17"/>
  <c r="M69" i="17" a="1"/>
  <c r="M69" i="17" s="1"/>
  <c r="W69" i="17" s="1"/>
  <c r="M70" i="17" a="1"/>
  <c r="M70" i="17" s="1"/>
  <c r="W70" i="17" s="1"/>
  <c r="M71" i="17" a="1"/>
  <c r="M71" i="17" s="1"/>
  <c r="W71" i="17" s="1"/>
  <c r="M72" i="17" a="1"/>
  <c r="M72" i="17"/>
  <c r="M73" i="17" a="1"/>
  <c r="M73" i="17" s="1"/>
  <c r="W73" i="17" s="1"/>
  <c r="M74" i="17" a="1"/>
  <c r="M74" i="17" s="1"/>
  <c r="W74" i="17" s="1"/>
  <c r="M75" i="17" a="1"/>
  <c r="M75" i="17" s="1"/>
  <c r="W75" i="17" s="1"/>
  <c r="M76" i="17" a="1"/>
  <c r="M76" i="17"/>
  <c r="M77" i="17" a="1"/>
  <c r="M77" i="17" s="1"/>
  <c r="M78" i="17" a="1"/>
  <c r="M78" i="17" s="1"/>
  <c r="W78" i="17" s="1"/>
  <c r="M79" i="17" a="1"/>
  <c r="M79" i="17" s="1"/>
  <c r="M80" i="17" a="1"/>
  <c r="M80" i="17" s="1"/>
  <c r="M81" i="17" a="1"/>
  <c r="M81" i="17" s="1"/>
  <c r="M82" i="17" a="1"/>
  <c r="M82" i="17"/>
  <c r="M83" i="17" a="1"/>
  <c r="M83" i="17" s="1"/>
  <c r="M84" i="17" a="1"/>
  <c r="M84" i="17"/>
  <c r="M85" i="17" a="1"/>
  <c r="M85" i="17" s="1"/>
  <c r="M86" i="17" a="1"/>
  <c r="M86" i="17" s="1"/>
  <c r="W86" i="17" s="1"/>
  <c r="M87" i="17" a="1"/>
  <c r="M87" i="17" s="1"/>
  <c r="M88" i="17" a="1"/>
  <c r="M88" i="17"/>
  <c r="M89" i="17" a="1"/>
  <c r="M89" i="17" s="1"/>
  <c r="M90" i="17" a="1"/>
  <c r="M90" i="17"/>
  <c r="M91" i="17" a="1"/>
  <c r="M91" i="17" s="1"/>
  <c r="M92" i="17" a="1"/>
  <c r="M92" i="17" s="1"/>
  <c r="M93" i="17" a="1"/>
  <c r="M93" i="17"/>
  <c r="M94" i="17" a="1"/>
  <c r="M94" i="17" s="1"/>
  <c r="W94" i="17" s="1"/>
  <c r="M95" i="17" a="1"/>
  <c r="M95" i="17"/>
  <c r="M96" i="17" a="1"/>
  <c r="M96" i="17" s="1"/>
  <c r="M97" i="17" a="1"/>
  <c r="M97" i="17" s="1"/>
  <c r="M98" i="17" a="1"/>
  <c r="M98" i="17" s="1"/>
  <c r="W98" i="17" s="1"/>
  <c r="M99" i="17" a="1"/>
  <c r="M99" i="17"/>
  <c r="M100" i="17" a="1"/>
  <c r="M100" i="17" s="1"/>
  <c r="M101" i="17" a="1"/>
  <c r="M101" i="17"/>
  <c r="M102" i="17" a="1"/>
  <c r="M102" i="17" s="1"/>
  <c r="W102" i="17" s="1"/>
  <c r="M103" i="17" a="1"/>
  <c r="M103" i="17" s="1"/>
  <c r="M104" i="17" a="1"/>
  <c r="M104" i="17"/>
  <c r="M105" i="17" a="1"/>
  <c r="M105" i="17" s="1"/>
  <c r="M106" i="17" a="1"/>
  <c r="M106" i="17"/>
  <c r="M107" i="17" a="1"/>
  <c r="M107" i="17" s="1"/>
  <c r="M108" i="17" a="1"/>
  <c r="M108" i="17" s="1"/>
  <c r="M109" i="17" a="1"/>
  <c r="M109" i="17" s="1"/>
  <c r="M110" i="17" a="1"/>
  <c r="M110" i="17"/>
  <c r="M111" i="17" a="1"/>
  <c r="M111" i="17" s="1"/>
  <c r="M112" i="17" a="1"/>
  <c r="M112" i="17"/>
  <c r="M113" i="17" a="1"/>
  <c r="M113" i="17" s="1"/>
  <c r="M114" i="17" a="1"/>
  <c r="M114" i="17"/>
  <c r="M115" i="17" a="1"/>
  <c r="M115" i="17" s="1"/>
  <c r="M116" i="17" a="1"/>
  <c r="M116" i="17" s="1"/>
  <c r="M117" i="17" a="1"/>
  <c r="M117" i="17" s="1"/>
  <c r="W117" i="17" s="1"/>
  <c r="M118" i="17" a="1"/>
  <c r="M118" i="17" s="1"/>
  <c r="M119" i="17" a="1"/>
  <c r="M119" i="17" s="1"/>
  <c r="W119" i="17" s="1"/>
  <c r="M120" i="17" a="1"/>
  <c r="M120" i="17"/>
  <c r="M121" i="17" a="1"/>
  <c r="M121" i="17" s="1"/>
  <c r="W121" i="17" s="1"/>
  <c r="M122" i="17" a="1"/>
  <c r="M122" i="17" s="1"/>
  <c r="M123" i="17" a="1"/>
  <c r="M123" i="17" s="1"/>
  <c r="W123" i="17" s="1"/>
  <c r="M124" i="17" a="1"/>
  <c r="M124" i="17" s="1"/>
  <c r="M125" i="17" a="1"/>
  <c r="M125" i="17" s="1"/>
  <c r="W125" i="17" s="1"/>
  <c r="M126" i="17" a="1"/>
  <c r="M126" i="17" s="1"/>
  <c r="M127" i="17" a="1"/>
  <c r="M127" i="17" s="1"/>
  <c r="M128" i="17" a="1"/>
  <c r="M128" i="17" s="1"/>
  <c r="M129" i="17" a="1"/>
  <c r="M129" i="17" s="1"/>
  <c r="M130" i="17" a="1"/>
  <c r="M130" i="17" s="1"/>
  <c r="W130" i="17" s="1"/>
  <c r="M131" i="17" a="1"/>
  <c r="M131" i="17"/>
  <c r="M132" i="17" a="1"/>
  <c r="M132" i="17" s="1"/>
  <c r="M133" i="17" a="1"/>
  <c r="M133" i="17" s="1"/>
  <c r="M134" i="17" a="1"/>
  <c r="M134" i="17" s="1"/>
  <c r="W134" i="17" s="1"/>
  <c r="M135" i="17" a="1"/>
  <c r="M135" i="17" s="1"/>
  <c r="M136" i="17" a="1"/>
  <c r="M136" i="17" s="1"/>
  <c r="M137" i="17" a="1"/>
  <c r="M137" i="17" s="1"/>
  <c r="M146" i="17" a="1"/>
  <c r="M146" i="17" s="1"/>
  <c r="W146" i="17" s="1"/>
  <c r="M147" i="17" a="1"/>
  <c r="M147" i="17" s="1"/>
  <c r="M148" i="17" a="1"/>
  <c r="M148" i="17" s="1"/>
  <c r="M149" i="17" a="1"/>
  <c r="M149" i="17" s="1"/>
  <c r="M150" i="17" a="1"/>
  <c r="M150" i="17" s="1"/>
  <c r="W150" i="17" s="1"/>
  <c r="M151" i="17" a="1"/>
  <c r="M151" i="17" s="1"/>
  <c r="M152" i="17" a="1"/>
  <c r="M152" i="17" s="1"/>
  <c r="W152" i="17" s="1"/>
  <c r="M153" i="17" a="1"/>
  <c r="M153" i="17"/>
  <c r="M154" i="17" a="1"/>
  <c r="M154" i="17" s="1"/>
  <c r="W154" i="17" s="1"/>
  <c r="M155" i="17" a="1"/>
  <c r="M155" i="17" s="1"/>
  <c r="M156" i="17" a="1"/>
  <c r="M156" i="17" s="1"/>
  <c r="W156" i="17" s="1"/>
  <c r="M157" i="17" a="1"/>
  <c r="M157" i="17" s="1"/>
  <c r="M158" i="17" a="1"/>
  <c r="M158" i="17" s="1"/>
  <c r="W158" i="17" s="1"/>
  <c r="M159" i="17" a="1"/>
  <c r="M159" i="17" s="1"/>
  <c r="M160" i="17" a="1"/>
  <c r="M160" i="17" s="1"/>
  <c r="M161" i="17" a="1"/>
  <c r="M161" i="17" s="1"/>
  <c r="W161" i="17" s="1"/>
  <c r="M162" i="17" a="1"/>
  <c r="M162" i="17" s="1"/>
  <c r="M163" i="17" a="1"/>
  <c r="M163" i="17" s="1"/>
  <c r="W163" i="17" s="1"/>
  <c r="M164" i="17" a="1"/>
  <c r="M164" i="17"/>
  <c r="M165" i="17" a="1"/>
  <c r="M165" i="17" s="1"/>
  <c r="W165" i="17" s="1"/>
  <c r="M166" i="17" a="1"/>
  <c r="M166" i="17" s="1"/>
  <c r="M167" i="17" a="1"/>
  <c r="M167" i="17" s="1"/>
  <c r="W167" i="17" s="1"/>
  <c r="M168" i="17" a="1"/>
  <c r="M168" i="17" s="1"/>
  <c r="M169" i="17" a="1"/>
  <c r="M169" i="17" s="1"/>
  <c r="W169" i="17" s="1"/>
  <c r="M170" i="17" a="1"/>
  <c r="M170" i="17" s="1"/>
  <c r="M171" i="17" a="1"/>
  <c r="M171" i="17" s="1"/>
  <c r="M172" i="17" a="1"/>
  <c r="M172" i="17"/>
  <c r="M173" i="17" a="1"/>
  <c r="M173" i="17" s="1"/>
  <c r="W173" i="17" s="1"/>
  <c r="M174" i="17" a="1"/>
  <c r="M174" i="17" s="1"/>
  <c r="M175" i="17" a="1"/>
  <c r="M175" i="17" s="1"/>
  <c r="W175" i="17" s="1"/>
  <c r="M138" i="17" a="1"/>
  <c r="M138" i="17" s="1"/>
  <c r="M139" i="17" a="1"/>
  <c r="M139" i="17" s="1"/>
  <c r="W139" i="17" s="1"/>
  <c r="M140" i="17" a="1"/>
  <c r="M140" i="17" s="1"/>
  <c r="W140" i="17" s="1"/>
  <c r="M141" i="17" a="1"/>
  <c r="M141" i="17" s="1"/>
  <c r="W141" i="17" s="1"/>
  <c r="M142" i="17" a="1"/>
  <c r="M142" i="17"/>
  <c r="M143" i="17" a="1"/>
  <c r="M143" i="17" s="1"/>
  <c r="W143" i="17" s="1"/>
  <c r="M144" i="17" a="1"/>
  <c r="M144" i="17" s="1"/>
  <c r="W144" i="17" s="1"/>
  <c r="M145" i="17" a="1"/>
  <c r="M145" i="17" s="1"/>
  <c r="N14" i="17" a="1"/>
  <c r="N14" i="17" s="1"/>
  <c r="N18" i="17" a="1"/>
  <c r="N18" i="17" s="1"/>
  <c r="N20" i="17" a="1"/>
  <c r="N20" i="17" s="1"/>
  <c r="N21" i="17" a="1"/>
  <c r="N21" i="17" s="1"/>
  <c r="N22" i="17" a="1"/>
  <c r="N22" i="17" s="1"/>
  <c r="N23" i="17" a="1"/>
  <c r="N23" i="17" s="1"/>
  <c r="N25" i="17" a="1"/>
  <c r="N25" i="17" s="1"/>
  <c r="N26" i="17" a="1"/>
  <c r="N26" i="17" s="1"/>
  <c r="N27" i="17" a="1"/>
  <c r="N27" i="17" s="1"/>
  <c r="N29" i="17" a="1"/>
  <c r="N29" i="17" s="1"/>
  <c r="N30" i="17" a="1"/>
  <c r="N30" i="17" s="1"/>
  <c r="N31" i="17" a="1"/>
  <c r="N31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128" i="17" a="1"/>
  <c r="N128" i="17" s="1"/>
  <c r="N129" i="17" a="1"/>
  <c r="N129" i="17" s="1"/>
  <c r="N130" i="17" a="1"/>
  <c r="N130" i="17" s="1"/>
  <c r="N131" i="17" a="1"/>
  <c r="N131" i="17" s="1"/>
  <c r="N132" i="17" a="1"/>
  <c r="N132" i="17" s="1"/>
  <c r="N133" i="17" a="1"/>
  <c r="N133" i="17" s="1"/>
  <c r="N134" i="17" a="1"/>
  <c r="N134" i="17" s="1"/>
  <c r="N135" i="17" a="1"/>
  <c r="N135" i="17" s="1"/>
  <c r="N136" i="17" a="1"/>
  <c r="N136" i="17" s="1"/>
  <c r="N137" i="17" a="1"/>
  <c r="N137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 s="1"/>
  <c r="N169" i="17" a="1"/>
  <c r="N169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138" i="17" a="1"/>
  <c r="N138" i="17" s="1"/>
  <c r="N139" i="17" a="1"/>
  <c r="N139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92" i="17" a="1"/>
  <c r="O92" i="17" s="1"/>
  <c r="O93" i="17" a="1"/>
  <c r="O93" i="17" s="1"/>
  <c r="O94" i="17" a="1"/>
  <c r="O94" i="17"/>
  <c r="O95" i="17" a="1"/>
  <c r="O95" i="17"/>
  <c r="O96" i="17" a="1"/>
  <c r="O96" i="17"/>
  <c r="O97" i="17" a="1"/>
  <c r="O97" i="17"/>
  <c r="O98" i="17" a="1"/>
  <c r="O98" i="17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104" i="17" a="1"/>
  <c r="O104" i="17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134" i="17" a="1"/>
  <c r="O134" i="17" s="1"/>
  <c r="O135" i="17" a="1"/>
  <c r="O135" i="17" s="1"/>
  <c r="O136" i="17" a="1"/>
  <c r="O136" i="17" s="1"/>
  <c r="O137" i="17" a="1"/>
  <c r="O137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138" i="17" a="1"/>
  <c r="O138" i="17" s="1"/>
  <c r="O139" i="17" a="1"/>
  <c r="O139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/>
  <c r="P67" i="17" a="1"/>
  <c r="P67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80" i="17" a="1"/>
  <c r="P80" i="17" s="1"/>
  <c r="P81" i="17" a="1"/>
  <c r="P81" i="17" s="1"/>
  <c r="P82" i="17" a="1"/>
  <c r="P82" i="17"/>
  <c r="P83" i="17" a="1"/>
  <c r="P83" i="17" s="1"/>
  <c r="P84" i="17" a="1"/>
  <c r="P84" i="17" s="1"/>
  <c r="P85" i="17" a="1"/>
  <c r="P8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98" i="17" a="1"/>
  <c r="P98" i="17" s="1"/>
  <c r="P99" i="17" a="1"/>
  <c r="P99" i="17"/>
  <c r="P100" i="17" a="1"/>
  <c r="P100" i="17" s="1"/>
  <c r="P101" i="17" a="1"/>
  <c r="P101" i="17" s="1"/>
  <c r="P102" i="17" a="1"/>
  <c r="P102" i="17" s="1"/>
  <c r="P103" i="17" a="1"/>
  <c r="P103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/>
  <c r="P110" i="17" a="1"/>
  <c r="P110" i="17"/>
  <c r="P111" i="17" a="1"/>
  <c r="P111" i="17"/>
  <c r="P112" i="17" a="1"/>
  <c r="P112" i="17"/>
  <c r="P113" i="17" a="1"/>
  <c r="P113" i="17"/>
  <c r="P114" i="17" a="1"/>
  <c r="P114" i="17"/>
  <c r="P115" i="17" a="1"/>
  <c r="P115" i="17"/>
  <c r="P116" i="17" a="1"/>
  <c r="P116" i="17"/>
  <c r="P117" i="17" a="1"/>
  <c r="P117" i="17"/>
  <c r="P118" i="17" a="1"/>
  <c r="P118" i="17"/>
  <c r="P119" i="17" a="1"/>
  <c r="P119" i="17"/>
  <c r="P120" i="17" a="1"/>
  <c r="P120" i="17"/>
  <c r="P121" i="17" a="1"/>
  <c r="P121" i="17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/>
  <c r="P128" i="17" a="1"/>
  <c r="P128" i="17" s="1"/>
  <c r="P129" i="17" a="1"/>
  <c r="P129" i="17" s="1"/>
  <c r="P130" i="17" a="1"/>
  <c r="P130" i="17" s="1"/>
  <c r="P131" i="17" a="1"/>
  <c r="P131" i="17"/>
  <c r="P132" i="17" a="1"/>
  <c r="P132" i="17" s="1"/>
  <c r="P133" i="17" a="1"/>
  <c r="P133" i="17" s="1"/>
  <c r="P134" i="17" a="1"/>
  <c r="P134" i="17" s="1"/>
  <c r="P135" i="17" a="1"/>
  <c r="P135" i="17"/>
  <c r="P136" i="17" a="1"/>
  <c r="P136" i="17" s="1"/>
  <c r="P137" i="17" a="1"/>
  <c r="P137" i="17" s="1"/>
  <c r="P146" i="17" a="1"/>
  <c r="P146" i="17" s="1"/>
  <c r="P147" i="17" a="1"/>
  <c r="P147" i="17"/>
  <c r="P148" i="17" a="1"/>
  <c r="P148" i="17" s="1"/>
  <c r="P149" i="17" a="1"/>
  <c r="P149" i="17" s="1"/>
  <c r="P150" i="17" a="1"/>
  <c r="P150" i="17" s="1"/>
  <c r="P151" i="17" a="1"/>
  <c r="P151" i="17"/>
  <c r="P152" i="17" a="1"/>
  <c r="P152" i="17" s="1"/>
  <c r="P153" i="17" a="1"/>
  <c r="P153" i="17" s="1"/>
  <c r="P154" i="17" a="1"/>
  <c r="P154" i="17" s="1"/>
  <c r="P155" i="17" a="1"/>
  <c r="P155" i="17"/>
  <c r="P156" i="17" a="1"/>
  <c r="P156" i="17" s="1"/>
  <c r="P157" i="17" a="1"/>
  <c r="P157" i="17" s="1"/>
  <c r="P158" i="17" a="1"/>
  <c r="P158" i="17"/>
  <c r="P159" i="17" a="1"/>
  <c r="P159" i="17"/>
  <c r="P160" i="17" a="1"/>
  <c r="P160" i="17"/>
  <c r="P161" i="17" a="1"/>
  <c r="P161" i="17"/>
  <c r="P162" i="17" a="1"/>
  <c r="P162" i="17"/>
  <c r="P163" i="17" a="1"/>
  <c r="P163" i="17"/>
  <c r="P164" i="17" a="1"/>
  <c r="P164" i="17"/>
  <c r="P165" i="17" a="1"/>
  <c r="P165" i="17"/>
  <c r="P166" i="17" a="1"/>
  <c r="P166" i="17"/>
  <c r="P167" i="17" a="1"/>
  <c r="P167" i="17"/>
  <c r="P168" i="17" a="1"/>
  <c r="P168" i="17"/>
  <c r="P169" i="17" a="1"/>
  <c r="P169" i="17"/>
  <c r="P170" i="17" a="1"/>
  <c r="P170" i="17"/>
  <c r="P171" i="17" a="1"/>
  <c r="P171" i="17"/>
  <c r="P172" i="17" a="1"/>
  <c r="P172" i="17"/>
  <c r="P173" i="17" a="1"/>
  <c r="P173" i="17"/>
  <c r="P174" i="17" a="1"/>
  <c r="P174" i="17" s="1"/>
  <c r="P175" i="17" a="1"/>
  <c r="P175" i="17" s="1"/>
  <c r="P138" i="17" a="1"/>
  <c r="P138" i="17"/>
  <c r="P139" i="17" a="1"/>
  <c r="P139" i="17" s="1"/>
  <c r="P140" i="17" a="1"/>
  <c r="P140" i="17" s="1"/>
  <c r="P141" i="17" a="1"/>
  <c r="P141" i="17" s="1"/>
  <c r="P142" i="17" a="1"/>
  <c r="P142" i="17"/>
  <c r="P143" i="17" a="1"/>
  <c r="P143" i="17"/>
  <c r="P144" i="17" a="1"/>
  <c r="P144" i="17"/>
  <c r="P145" i="17" a="1"/>
  <c r="P145" i="17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128" i="17" a="1"/>
  <c r="R128" i="17" s="1"/>
  <c r="R129" i="17" a="1"/>
  <c r="R129" i="17" s="1"/>
  <c r="R130" i="17" a="1"/>
  <c r="R130" i="17"/>
  <c r="R131" i="17" a="1"/>
  <c r="R131" i="17" s="1"/>
  <c r="R132" i="17" a="1"/>
  <c r="R132" i="17" s="1"/>
  <c r="R133" i="17" a="1"/>
  <c r="R133" i="17" s="1"/>
  <c r="R134" i="17" a="1"/>
  <c r="R134" i="17" s="1"/>
  <c r="R135" i="17" a="1"/>
  <c r="R135" i="17" s="1"/>
  <c r="R136" i="17" a="1"/>
  <c r="R136" i="17" s="1"/>
  <c r="R137" i="17" a="1"/>
  <c r="R137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170" i="17" a="1"/>
  <c r="R170" i="17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138" i="17" a="1"/>
  <c r="R138" i="17" s="1"/>
  <c r="R139" i="17" a="1"/>
  <c r="R139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20" i="17" a="1"/>
  <c r="S20" i="17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50" i="17" a="1"/>
  <c r="S50" i="17" s="1"/>
  <c r="S51" i="17" a="1"/>
  <c r="S51" i="17" s="1"/>
  <c r="S52" i="17" a="1"/>
  <c r="S52" i="17"/>
  <c r="S53" i="17" a="1"/>
  <c r="S53" i="17" s="1"/>
  <c r="S54" i="17" a="1"/>
  <c r="S54" i="17" s="1"/>
  <c r="S55" i="17" a="1"/>
  <c r="S55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80" i="17" a="1"/>
  <c r="S80" i="17" s="1"/>
  <c r="S81" i="17" a="1"/>
  <c r="S81" i="17" s="1"/>
  <c r="S82" i="17" a="1"/>
  <c r="S82" i="17" s="1"/>
  <c r="S83" i="17" a="1"/>
  <c r="S83" i="17"/>
  <c r="S84" i="17" a="1"/>
  <c r="S84" i="17" s="1"/>
  <c r="S85" i="17" a="1"/>
  <c r="S8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04" i="17" a="1"/>
  <c r="S104" i="17" s="1"/>
  <c r="S105" i="17" a="1"/>
  <c r="S105" i="17" s="1"/>
  <c r="S106" i="17" a="1"/>
  <c r="S106" i="17" s="1"/>
  <c r="S107" i="17" a="1"/>
  <c r="S107" i="17"/>
  <c r="S108" i="17" a="1"/>
  <c r="S108" i="17" s="1"/>
  <c r="S109" i="17" a="1"/>
  <c r="S10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134" i="17" a="1"/>
  <c r="S134" i="17" s="1"/>
  <c r="S135" i="17" a="1"/>
  <c r="S135" i="17" s="1"/>
  <c r="S136" i="17" a="1"/>
  <c r="S136" i="17" s="1"/>
  <c r="S137" i="17" a="1"/>
  <c r="S137" i="17" s="1"/>
  <c r="S146" i="17" a="1"/>
  <c r="S146" i="17" s="1"/>
  <c r="S147" i="17" a="1"/>
  <c r="S147" i="17"/>
  <c r="S148" i="17" a="1"/>
  <c r="S148" i="17" s="1"/>
  <c r="S149" i="17" a="1"/>
  <c r="S149" i="17" s="1"/>
  <c r="S150" i="17" a="1"/>
  <c r="S150" i="17" s="1"/>
  <c r="S151" i="17" a="1"/>
  <c r="S151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138" i="17" a="1"/>
  <c r="S138" i="17" s="1"/>
  <c r="S139" i="17" a="1"/>
  <c r="S139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134" i="17" a="1"/>
  <c r="T134" i="17" s="1"/>
  <c r="T135" i="17" a="1"/>
  <c r="T135" i="17" s="1"/>
  <c r="T136" i="17" a="1"/>
  <c r="T136" i="17" s="1"/>
  <c r="T137" i="17" a="1"/>
  <c r="T137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138" i="17" a="1"/>
  <c r="T138" i="17" s="1"/>
  <c r="T139" i="17" a="1"/>
  <c r="T139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134" i="17" a="1"/>
  <c r="U134" i="17" s="1"/>
  <c r="U135" i="17" a="1"/>
  <c r="U135" i="17" s="1"/>
  <c r="U136" i="17" a="1"/>
  <c r="U136" i="17" s="1"/>
  <c r="U137" i="17" a="1"/>
  <c r="U137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138" i="17" a="1"/>
  <c r="U138" i="17" s="1"/>
  <c r="U139" i="17" a="1"/>
  <c r="U139" i="17" s="1"/>
  <c r="U140" i="17" a="1"/>
  <c r="U140" i="17" s="1"/>
  <c r="U141" i="17" a="1"/>
  <c r="U141" i="17" s="1"/>
  <c r="U142" i="17" a="1"/>
  <c r="U142" i="17" s="1"/>
  <c r="U143" i="17" a="1"/>
  <c r="U143" i="17"/>
  <c r="U144" i="17" a="1"/>
  <c r="U144" i="17" s="1"/>
  <c r="U145" i="17" a="1"/>
  <c r="U145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134" i="17" a="1"/>
  <c r="V134" i="17" s="1"/>
  <c r="V135" i="17" a="1"/>
  <c r="V135" i="17" s="1"/>
  <c r="V136" i="17" a="1"/>
  <c r="V136" i="17" s="1"/>
  <c r="V137" i="17" a="1"/>
  <c r="V137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138" i="17" a="1"/>
  <c r="V138" i="17" s="1"/>
  <c r="V139" i="17" a="1"/>
  <c r="V139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W2" i="17"/>
  <c r="W3" i="17"/>
  <c r="W5" i="17"/>
  <c r="W7" i="17"/>
  <c r="W9" i="17"/>
  <c r="W11" i="17"/>
  <c r="W13" i="17"/>
  <c r="W15" i="17"/>
  <c r="W17" i="17"/>
  <c r="W19" i="17"/>
  <c r="W21" i="17"/>
  <c r="W23" i="17"/>
  <c r="W25" i="17"/>
  <c r="W27" i="17"/>
  <c r="W28" i="17"/>
  <c r="W29" i="17"/>
  <c r="W31" i="17"/>
  <c r="W41" i="17"/>
  <c r="W53" i="17"/>
  <c r="W54" i="17"/>
  <c r="W55" i="17"/>
  <c r="W56" i="17"/>
  <c r="W57" i="17"/>
  <c r="W58" i="17"/>
  <c r="W59" i="17"/>
  <c r="W60" i="17"/>
  <c r="W61" i="17"/>
  <c r="W62" i="17"/>
  <c r="W63" i="17"/>
  <c r="W64" i="17"/>
  <c r="W65" i="17"/>
  <c r="W68" i="17"/>
  <c r="W72" i="17"/>
  <c r="W76" i="17"/>
  <c r="W77" i="17"/>
  <c r="W82" i="17"/>
  <c r="W84" i="17"/>
  <c r="W88" i="17"/>
  <c r="W90" i="17"/>
  <c r="W91" i="17"/>
  <c r="W93" i="17"/>
  <c r="W95" i="17"/>
  <c r="W99" i="17"/>
  <c r="W101" i="17"/>
  <c r="W103" i="17"/>
  <c r="W104" i="17"/>
  <c r="W106" i="17"/>
  <c r="W110" i="17"/>
  <c r="W112" i="17"/>
  <c r="W114" i="17"/>
  <c r="W115" i="17"/>
  <c r="W120" i="17"/>
  <c r="W127" i="17"/>
  <c r="W131" i="17"/>
  <c r="W147" i="17"/>
  <c r="W153" i="17"/>
  <c r="W159" i="17"/>
  <c r="W164" i="17"/>
  <c r="W171" i="17"/>
  <c r="W172" i="17"/>
  <c r="W142" i="17"/>
  <c r="W145" i="17"/>
  <c r="X2" i="17" a="1"/>
  <c r="X2" i="17" s="1"/>
  <c r="X3" i="17" a="1"/>
  <c r="X3" i="17" s="1"/>
  <c r="Y3" i="17" s="1"/>
  <c r="Q3" i="17" s="1"/>
  <c r="X4" i="17" a="1"/>
  <c r="X4" i="17" s="1"/>
  <c r="X5" i="17" a="1"/>
  <c r="X5" i="17" s="1"/>
  <c r="X6" i="17" a="1"/>
  <c r="X6" i="17" s="1"/>
  <c r="X7" i="17" a="1"/>
  <c r="X7" i="17" s="1"/>
  <c r="Y7" i="17" s="1"/>
  <c r="Q7" i="17" s="1"/>
  <c r="X8" i="17" a="1"/>
  <c r="X8" i="17" s="1"/>
  <c r="X9" i="17" a="1"/>
  <c r="X9" i="17" s="1"/>
  <c r="X10" i="17" a="1"/>
  <c r="X10" i="17" s="1"/>
  <c r="X11" i="17" a="1"/>
  <c r="X11" i="17" s="1"/>
  <c r="Y11" i="17" s="1"/>
  <c r="Q11" i="17" s="1"/>
  <c r="X12" i="17" a="1"/>
  <c r="X12" i="17" s="1"/>
  <c r="X13" i="17" a="1"/>
  <c r="X13" i="17" s="1"/>
  <c r="X14" i="17" a="1"/>
  <c r="X14" i="17" s="1"/>
  <c r="X15" i="17" a="1"/>
  <c r="X15" i="17" s="1"/>
  <c r="X16" i="17" a="1"/>
  <c r="X16" i="17" s="1"/>
  <c r="X17" i="17" a="1"/>
  <c r="X17" i="17" s="1"/>
  <c r="X18" i="17" a="1"/>
  <c r="X18" i="17" s="1"/>
  <c r="X19" i="17" a="1"/>
  <c r="X19" i="17" s="1"/>
  <c r="X20" i="17" a="1"/>
  <c r="X20" i="17" s="1"/>
  <c r="X21" i="17" a="1"/>
  <c r="X21" i="17" s="1"/>
  <c r="X22" i="17" a="1"/>
  <c r="X22" i="17" s="1"/>
  <c r="X23" i="17" a="1"/>
  <c r="X23" i="17" s="1"/>
  <c r="X24" i="17" a="1"/>
  <c r="X24" i="17" s="1"/>
  <c r="X25" i="17" a="1"/>
  <c r="X25" i="17" s="1"/>
  <c r="X26" i="17" a="1"/>
  <c r="X26" i="17" s="1"/>
  <c r="X27" i="17" a="1"/>
  <c r="X27" i="17" s="1"/>
  <c r="X28" i="17" a="1"/>
  <c r="X28" i="17" s="1"/>
  <c r="X29" i="17" a="1"/>
  <c r="X29" i="17" s="1"/>
  <c r="X30" i="17" a="1"/>
  <c r="X30" i="17" s="1"/>
  <c r="X31" i="17" a="1"/>
  <c r="X31" i="17" s="1"/>
  <c r="X32" i="17" a="1"/>
  <c r="X32" i="17" s="1"/>
  <c r="X33" i="17" a="1"/>
  <c r="X33" i="17" s="1"/>
  <c r="X34" i="17" a="1"/>
  <c r="X34" i="17" s="1"/>
  <c r="X35" i="17" a="1"/>
  <c r="X35" i="17" s="1"/>
  <c r="X36" i="17" a="1"/>
  <c r="X36" i="17" s="1"/>
  <c r="X37" i="17" a="1"/>
  <c r="X37" i="17" s="1"/>
  <c r="X38" i="17" a="1"/>
  <c r="X38" i="17" s="1"/>
  <c r="X39" i="17" a="1"/>
  <c r="X39" i="17" s="1"/>
  <c r="X40" i="17" a="1"/>
  <c r="X40" i="17" s="1"/>
  <c r="X41" i="17" a="1"/>
  <c r="X41" i="17" s="1"/>
  <c r="X42" i="17" a="1"/>
  <c r="X42" i="17" s="1"/>
  <c r="X43" i="17" a="1"/>
  <c r="X43" i="17" s="1"/>
  <c r="X44" i="17" a="1"/>
  <c r="X44" i="17" s="1"/>
  <c r="X45" i="17" a="1"/>
  <c r="X45" i="17" s="1"/>
  <c r="X46" i="17" a="1"/>
  <c r="X46" i="17" s="1"/>
  <c r="Y46" i="17" s="1"/>
  <c r="Q46" i="17" s="1"/>
  <c r="X47" i="17" a="1"/>
  <c r="X47" i="17" s="1"/>
  <c r="X48" i="17" a="1"/>
  <c r="X48" i="17" s="1"/>
  <c r="X49" i="17" a="1"/>
  <c r="X49" i="17" s="1"/>
  <c r="X50" i="17" a="1"/>
  <c r="X50" i="17" s="1"/>
  <c r="X51" i="17" a="1"/>
  <c r="X51" i="17" s="1"/>
  <c r="X52" i="17" a="1"/>
  <c r="X52" i="17" s="1"/>
  <c r="X53" i="17" a="1"/>
  <c r="X53" i="17" s="1"/>
  <c r="X54" i="17" a="1"/>
  <c r="X54" i="17" s="1"/>
  <c r="Y54" i="17" s="1"/>
  <c r="Q54" i="17" s="1"/>
  <c r="X55" i="17" a="1"/>
  <c r="X55" i="17" s="1"/>
  <c r="X56" i="17" a="1"/>
  <c r="X56" i="17" s="1"/>
  <c r="X57" i="17" a="1"/>
  <c r="X57" i="17" s="1"/>
  <c r="X58" i="17" a="1"/>
  <c r="X58" i="17" s="1"/>
  <c r="Y58" i="17" s="1"/>
  <c r="Q58" i="17" s="1"/>
  <c r="X59" i="17" a="1"/>
  <c r="X59" i="17" s="1"/>
  <c r="X60" i="17" a="1"/>
  <c r="X60" i="17" s="1"/>
  <c r="X61" i="17" a="1"/>
  <c r="X61" i="17" s="1"/>
  <c r="X62" i="17" a="1"/>
  <c r="X62" i="17" s="1"/>
  <c r="Y62" i="17" s="1"/>
  <c r="Q62" i="17" s="1"/>
  <c r="X63" i="17" a="1"/>
  <c r="X63" i="17" s="1"/>
  <c r="X64" i="17" a="1"/>
  <c r="X64" i="17" s="1"/>
  <c r="X65" i="17" a="1"/>
  <c r="X65" i="17" s="1"/>
  <c r="X66" i="17" a="1"/>
  <c r="X66" i="17" s="1"/>
  <c r="X67" i="17" a="1"/>
  <c r="X67" i="17" s="1"/>
  <c r="X68" i="17" a="1"/>
  <c r="X68" i="17" s="1"/>
  <c r="X69" i="17" a="1"/>
  <c r="X69" i="17" s="1"/>
  <c r="X70" i="17" a="1"/>
  <c r="X70" i="17" s="1"/>
  <c r="X71" i="17" a="1"/>
  <c r="X71" i="17" s="1"/>
  <c r="X72" i="17" a="1"/>
  <c r="X72" i="17" s="1"/>
  <c r="X73" i="17" a="1"/>
  <c r="X73" i="17" s="1"/>
  <c r="X74" i="17" a="1"/>
  <c r="X74" i="17" s="1"/>
  <c r="X75" i="17" a="1"/>
  <c r="X75" i="17" s="1"/>
  <c r="X76" i="17" a="1"/>
  <c r="X76" i="17" s="1"/>
  <c r="X77" i="17" a="1"/>
  <c r="X77" i="17" s="1"/>
  <c r="X78" i="17" a="1"/>
  <c r="X78" i="17" s="1"/>
  <c r="X79" i="17" a="1"/>
  <c r="X79" i="17" s="1"/>
  <c r="X80" i="17" a="1"/>
  <c r="X80" i="17" s="1"/>
  <c r="X81" i="17" a="1"/>
  <c r="X81" i="17" s="1"/>
  <c r="X82" i="17" a="1"/>
  <c r="X82" i="17" s="1"/>
  <c r="Y82" i="17" s="1"/>
  <c r="Q82" i="17" s="1"/>
  <c r="X83" i="17" a="1"/>
  <c r="X83" i="17" s="1"/>
  <c r="X84" i="17" a="1"/>
  <c r="X84" i="17" s="1"/>
  <c r="X85" i="17" a="1"/>
  <c r="X85" i="17" s="1"/>
  <c r="X86" i="17" a="1"/>
  <c r="X86" i="17" s="1"/>
  <c r="X87" i="17" a="1"/>
  <c r="X87" i="17" s="1"/>
  <c r="X88" i="17" a="1"/>
  <c r="X88" i="17" s="1"/>
  <c r="X89" i="17" a="1"/>
  <c r="X89" i="17" s="1"/>
  <c r="X90" i="17" a="1"/>
  <c r="X90" i="17" s="1"/>
  <c r="Y90" i="17" s="1"/>
  <c r="X91" i="17" a="1"/>
  <c r="X91" i="17" s="1"/>
  <c r="X92" i="17" a="1"/>
  <c r="X92" i="17" s="1"/>
  <c r="X93" i="17" a="1"/>
  <c r="X93" i="17" s="1"/>
  <c r="X94" i="17" a="1"/>
  <c r="X94" i="17" s="1"/>
  <c r="Y94" i="17" s="1"/>
  <c r="Q94" i="17" s="1"/>
  <c r="X95" i="17" a="1"/>
  <c r="X95" i="17" s="1"/>
  <c r="X96" i="17" a="1"/>
  <c r="X96" i="17" s="1"/>
  <c r="X97" i="17" a="1"/>
  <c r="X97" i="17" s="1"/>
  <c r="X98" i="17" a="1"/>
  <c r="X98" i="17" s="1"/>
  <c r="Y98" i="17" s="1"/>
  <c r="Q98" i="17" s="1"/>
  <c r="X99" i="17" a="1"/>
  <c r="X99" i="17" s="1"/>
  <c r="X100" i="17" a="1"/>
  <c r="X100" i="17" s="1"/>
  <c r="X101" i="17" a="1"/>
  <c r="X101" i="17" s="1"/>
  <c r="X102" i="17" a="1"/>
  <c r="X102" i="17" s="1"/>
  <c r="X103" i="17" a="1"/>
  <c r="X103" i="17" s="1"/>
  <c r="X104" i="17" a="1"/>
  <c r="X104" i="17" s="1"/>
  <c r="X105" i="17" a="1"/>
  <c r="X105" i="17" s="1"/>
  <c r="X106" i="17" a="1"/>
  <c r="X106" i="17" s="1"/>
  <c r="X107" i="17" a="1"/>
  <c r="X107" i="17" s="1"/>
  <c r="X108" i="17" a="1"/>
  <c r="X108" i="17" s="1"/>
  <c r="X109" i="17" a="1"/>
  <c r="X109" i="17" s="1"/>
  <c r="X110" i="17" a="1"/>
  <c r="X110" i="17" s="1"/>
  <c r="X111" i="17" a="1"/>
  <c r="X111" i="17" s="1"/>
  <c r="X112" i="17" a="1"/>
  <c r="X112" i="17" s="1"/>
  <c r="X113" i="17" a="1"/>
  <c r="X113" i="17" s="1"/>
  <c r="X114" i="17" a="1"/>
  <c r="X114" i="17" s="1"/>
  <c r="X115" i="17" a="1"/>
  <c r="X115" i="17" s="1"/>
  <c r="X116" i="17" a="1"/>
  <c r="X116" i="17" s="1"/>
  <c r="X117" i="17" a="1"/>
  <c r="X117" i="17" s="1"/>
  <c r="X118" i="17" a="1"/>
  <c r="X118" i="17" s="1"/>
  <c r="X119" i="17" a="1"/>
  <c r="X119" i="17" s="1"/>
  <c r="X120" i="17" a="1"/>
  <c r="X120" i="17" s="1"/>
  <c r="X121" i="17" a="1"/>
  <c r="X121" i="17" s="1"/>
  <c r="X122" i="17" a="1"/>
  <c r="X122" i="17" s="1"/>
  <c r="X123" i="17" a="1"/>
  <c r="X123" i="17" s="1"/>
  <c r="X124" i="17" a="1"/>
  <c r="X124" i="17" s="1"/>
  <c r="X125" i="17" a="1"/>
  <c r="X125" i="17" s="1"/>
  <c r="X126" i="17" a="1"/>
  <c r="X126" i="17" s="1"/>
  <c r="X127" i="17" a="1"/>
  <c r="X127" i="17" s="1"/>
  <c r="X128" i="17" a="1"/>
  <c r="X128" i="17" s="1"/>
  <c r="X129" i="17" a="1"/>
  <c r="X129" i="17" s="1"/>
  <c r="X130" i="17" a="1"/>
  <c r="X130" i="17" s="1"/>
  <c r="Y130" i="17" s="1"/>
  <c r="Q130" i="17" s="1"/>
  <c r="X131" i="17" a="1"/>
  <c r="X131" i="17" s="1"/>
  <c r="X132" i="17" a="1"/>
  <c r="X132" i="17" s="1"/>
  <c r="X133" i="17" a="1"/>
  <c r="X133" i="17" s="1"/>
  <c r="X134" i="17" a="1"/>
  <c r="X134" i="17" s="1"/>
  <c r="Y134" i="17" s="1"/>
  <c r="Q134" i="17" s="1"/>
  <c r="X135" i="17" a="1"/>
  <c r="X135" i="17" s="1"/>
  <c r="X136" i="17" a="1"/>
  <c r="X136" i="17" s="1"/>
  <c r="X137" i="17" a="1"/>
  <c r="X137" i="17" s="1"/>
  <c r="X146" i="17" a="1"/>
  <c r="X146" i="17" s="1"/>
  <c r="Y146" i="17" s="1"/>
  <c r="Q146" i="17" s="1"/>
  <c r="X147" i="17" a="1"/>
  <c r="X147" i="17" s="1"/>
  <c r="X148" i="17" a="1"/>
  <c r="X148" i="17" s="1"/>
  <c r="X149" i="17" a="1"/>
  <c r="X149" i="17" s="1"/>
  <c r="X150" i="17" a="1"/>
  <c r="X150" i="17" s="1"/>
  <c r="X151" i="17" a="1"/>
  <c r="X151" i="17" s="1"/>
  <c r="X152" i="17" a="1"/>
  <c r="X152" i="17" s="1"/>
  <c r="X153" i="17" a="1"/>
  <c r="X153" i="17" s="1"/>
  <c r="X154" i="17" a="1"/>
  <c r="X154" i="17" s="1"/>
  <c r="X155" i="17" a="1"/>
  <c r="X155" i="17" s="1"/>
  <c r="X156" i="17" a="1"/>
  <c r="X156" i="17" s="1"/>
  <c r="X157" i="17" a="1"/>
  <c r="X157" i="17" s="1"/>
  <c r="X158" i="17" a="1"/>
  <c r="X158" i="17" s="1"/>
  <c r="X159" i="17" a="1"/>
  <c r="X159" i="17" s="1"/>
  <c r="X160" i="17" a="1"/>
  <c r="X160" i="17" s="1"/>
  <c r="X161" i="17" a="1"/>
  <c r="X161" i="17" s="1"/>
  <c r="X162" i="17" a="1"/>
  <c r="X162" i="17" s="1"/>
  <c r="X163" i="17" a="1"/>
  <c r="X163" i="17" s="1"/>
  <c r="X164" i="17" a="1"/>
  <c r="X164" i="17" s="1"/>
  <c r="X165" i="17" a="1"/>
  <c r="X165" i="17" s="1"/>
  <c r="X166" i="17" a="1"/>
  <c r="X166" i="17" s="1"/>
  <c r="X167" i="17" a="1"/>
  <c r="X167" i="17" s="1"/>
  <c r="X168" i="17" a="1"/>
  <c r="X168" i="17" s="1"/>
  <c r="X169" i="17" a="1"/>
  <c r="X169" i="17" s="1"/>
  <c r="X170" i="17" a="1"/>
  <c r="X170" i="17" s="1"/>
  <c r="X171" i="17" a="1"/>
  <c r="X171" i="17" s="1"/>
  <c r="X172" i="17" a="1"/>
  <c r="X172" i="17" s="1"/>
  <c r="X173" i="17" a="1"/>
  <c r="X173" i="17" s="1"/>
  <c r="X174" i="17" a="1"/>
  <c r="X174" i="17" s="1"/>
  <c r="X175" i="17" a="1"/>
  <c r="X175" i="17" s="1"/>
  <c r="X138" i="17" a="1"/>
  <c r="X138" i="17" s="1"/>
  <c r="X139" i="17" a="1"/>
  <c r="X139" i="17" s="1"/>
  <c r="X140" i="17" a="1"/>
  <c r="X140" i="17" s="1"/>
  <c r="X141" i="17" a="1"/>
  <c r="X141" i="17" s="1"/>
  <c r="Y141" i="17" s="1"/>
  <c r="Q141" i="17" s="1"/>
  <c r="X142" i="17" a="1"/>
  <c r="X142" i="17" s="1"/>
  <c r="Y142" i="17" s="1"/>
  <c r="Q142" i="17" s="1"/>
  <c r="X143" i="17" a="1"/>
  <c r="X143" i="17" s="1"/>
  <c r="X144" i="17" a="1"/>
  <c r="X144" i="17" s="1"/>
  <c r="X145" i="17" a="1"/>
  <c r="X145" i="17" s="1"/>
  <c r="Y2" i="17"/>
  <c r="Q2" i="17" s="1"/>
  <c r="Y4" i="17"/>
  <c r="Q4" i="17" s="1"/>
  <c r="Y5" i="17"/>
  <c r="Q5" i="17" s="1"/>
  <c r="Y9" i="17"/>
  <c r="Q9" i="17" s="1"/>
  <c r="Y13" i="17"/>
  <c r="Q13" i="17" s="1"/>
  <c r="Y14" i="17"/>
  <c r="Q14" i="17" s="1"/>
  <c r="Y15" i="17"/>
  <c r="Q15" i="17" s="1"/>
  <c r="Y17" i="17"/>
  <c r="Q17" i="17" s="1"/>
  <c r="Y19" i="17"/>
  <c r="Q19" i="17" s="1"/>
  <c r="Y21" i="17"/>
  <c r="Q21" i="17" s="1"/>
  <c r="Y22" i="17"/>
  <c r="Q22" i="17" s="1"/>
  <c r="Y23" i="17"/>
  <c r="Q23" i="17" s="1"/>
  <c r="Y25" i="17"/>
  <c r="Q25" i="17" s="1"/>
  <c r="Y27" i="17"/>
  <c r="Q27" i="17" s="1"/>
  <c r="Y28" i="17"/>
  <c r="Q28" i="17" s="1"/>
  <c r="Y29" i="17"/>
  <c r="Q29" i="17" s="1"/>
  <c r="Y30" i="17"/>
  <c r="Q30" i="17" s="1"/>
  <c r="Y31" i="17"/>
  <c r="Q31" i="17" s="1"/>
  <c r="Y41" i="17"/>
  <c r="Q41" i="17" s="1"/>
  <c r="Y42" i="17"/>
  <c r="Q42" i="17" s="1"/>
  <c r="Y43" i="17"/>
  <c r="Q43" i="17" s="1"/>
  <c r="Y47" i="17"/>
  <c r="Q47" i="17" s="1"/>
  <c r="Y50" i="17"/>
  <c r="Q50" i="17" s="1"/>
  <c r="Y51" i="17"/>
  <c r="Q51" i="17" s="1"/>
  <c r="Y53" i="17"/>
  <c r="Q53" i="17" s="1"/>
  <c r="Y55" i="17"/>
  <c r="Q55" i="17" s="1"/>
  <c r="Y56" i="17"/>
  <c r="Q56" i="17" s="1"/>
  <c r="Y57" i="17"/>
  <c r="Q57" i="17" s="1"/>
  <c r="Y59" i="17"/>
  <c r="Q59" i="17" s="1"/>
  <c r="Y60" i="17"/>
  <c r="Q60" i="17" s="1"/>
  <c r="Y61" i="17"/>
  <c r="Q61" i="17" s="1"/>
  <c r="Y63" i="17"/>
  <c r="Q63" i="17" s="1"/>
  <c r="Y64" i="17"/>
  <c r="Y65" i="17"/>
  <c r="Q65" i="17" s="1"/>
  <c r="Y67" i="17"/>
  <c r="Q67" i="17" s="1"/>
  <c r="Y68" i="17"/>
  <c r="Q68" i="17" s="1"/>
  <c r="Y69" i="17"/>
  <c r="Q69" i="17" s="1"/>
  <c r="Y71" i="17"/>
  <c r="Q71" i="17" s="1"/>
  <c r="Y72" i="17"/>
  <c r="Y73" i="17"/>
  <c r="Q73" i="17" s="1"/>
  <c r="Y75" i="17"/>
  <c r="Q75" i="17" s="1"/>
  <c r="Y76" i="17"/>
  <c r="Q76" i="17" s="1"/>
  <c r="Y77" i="17"/>
  <c r="Q77" i="17" s="1"/>
  <c r="Y84" i="17"/>
  <c r="Q84" i="17" s="1"/>
  <c r="Y88" i="17"/>
  <c r="Y91" i="17"/>
  <c r="Q91" i="17" s="1"/>
  <c r="Y93" i="17"/>
  <c r="Q93" i="17" s="1"/>
  <c r="Y95" i="17"/>
  <c r="Y99" i="17"/>
  <c r="Y101" i="17"/>
  <c r="Q101" i="17" s="1"/>
  <c r="Y102" i="17"/>
  <c r="Q102" i="17" s="1"/>
  <c r="Y103" i="17"/>
  <c r="Y104" i="17"/>
  <c r="Q104" i="17" s="1"/>
  <c r="Y106" i="17"/>
  <c r="Q106" i="17" s="1"/>
  <c r="Y110" i="17"/>
  <c r="Q110" i="17" s="1"/>
  <c r="Y112" i="17"/>
  <c r="Q112" i="17" s="1"/>
  <c r="Y114" i="17"/>
  <c r="Q114" i="17" s="1"/>
  <c r="Y115" i="17"/>
  <c r="Q115" i="17" s="1"/>
  <c r="Y117" i="17"/>
  <c r="Q117" i="17" s="1"/>
  <c r="Y119" i="17"/>
  <c r="Q119" i="17" s="1"/>
  <c r="Y120" i="17"/>
  <c r="Q120" i="17" s="1"/>
  <c r="Y121" i="17"/>
  <c r="Q121" i="17" s="1"/>
  <c r="Y123" i="17"/>
  <c r="Q123" i="17" s="1"/>
  <c r="Y125" i="17"/>
  <c r="Y127" i="17"/>
  <c r="Q127" i="17" s="1"/>
  <c r="Y131" i="17"/>
  <c r="Q131" i="17" s="1"/>
  <c r="Y147" i="17"/>
  <c r="Q147" i="17" s="1"/>
  <c r="Y150" i="17"/>
  <c r="Q150" i="17" s="1"/>
  <c r="Y152" i="17"/>
  <c r="Q152" i="17" s="1"/>
  <c r="Y153" i="17"/>
  <c r="Y154" i="17"/>
  <c r="Q154" i="17" s="1"/>
  <c r="Y156" i="17"/>
  <c r="Q156" i="17" s="1"/>
  <c r="Y158" i="17"/>
  <c r="Q158" i="17" s="1"/>
  <c r="Y159" i="17"/>
  <c r="Q159" i="17" s="1"/>
  <c r="Y161" i="17"/>
  <c r="Q161" i="17" s="1"/>
  <c r="Y163" i="17"/>
  <c r="Q163" i="17" s="1"/>
  <c r="Y164" i="17"/>
  <c r="Q164" i="17" s="1"/>
  <c r="Y165" i="17"/>
  <c r="Q165" i="17" s="1"/>
  <c r="Y167" i="17"/>
  <c r="Q167" i="17" s="1"/>
  <c r="Y169" i="17"/>
  <c r="Q169" i="17" s="1"/>
  <c r="Y171" i="17"/>
  <c r="Q171" i="17" s="1"/>
  <c r="Y172" i="17"/>
  <c r="Q172" i="17" s="1"/>
  <c r="Y173" i="17"/>
  <c r="Q173" i="17" s="1"/>
  <c r="Y175" i="17"/>
  <c r="Q175" i="17" s="1"/>
  <c r="Y145" i="17"/>
  <c r="Q145" i="17" s="1"/>
  <c r="G2" i="16"/>
  <c r="N208" i="20" l="1"/>
  <c r="N160" i="20"/>
  <c r="N184" i="20"/>
  <c r="N152" i="20"/>
  <c r="N154" i="20"/>
  <c r="N176" i="20"/>
  <c r="N144" i="20"/>
  <c r="N206" i="20"/>
  <c r="N200" i="20"/>
  <c r="N174" i="20"/>
  <c r="N168" i="20"/>
  <c r="N142" i="20"/>
  <c r="K209" i="20" a="1"/>
  <c r="K209" i="20" s="1"/>
  <c r="K205" i="20" a="1"/>
  <c r="K205" i="20" s="1"/>
  <c r="K201" i="20" a="1"/>
  <c r="K201" i="20" s="1"/>
  <c r="K197" i="20" a="1"/>
  <c r="K197" i="20" s="1"/>
  <c r="K149" i="20" a="1"/>
  <c r="K149" i="20" s="1"/>
  <c r="K145" i="20" a="1"/>
  <c r="K145" i="20" s="1"/>
  <c r="K141" i="20" a="1"/>
  <c r="K141" i="20" s="1"/>
  <c r="K137" i="20" a="1"/>
  <c r="K137" i="20" s="1"/>
  <c r="K133" i="20" a="1"/>
  <c r="K133" i="20" s="1"/>
  <c r="L133" i="20" a="1"/>
  <c r="L133" i="20" s="1"/>
  <c r="N133" i="20" s="1"/>
  <c r="K129" i="20" a="1"/>
  <c r="K129" i="20" s="1"/>
  <c r="K125" i="20" a="1"/>
  <c r="K125" i="20" s="1"/>
  <c r="K121" i="20" a="1"/>
  <c r="K121" i="20" s="1"/>
  <c r="K117" i="20" a="1"/>
  <c r="K117" i="20" s="1"/>
  <c r="L117" i="20" a="1"/>
  <c r="L117" i="20" s="1"/>
  <c r="K113" i="20" a="1"/>
  <c r="K113" i="20" s="1"/>
  <c r="L113" i="20" a="1"/>
  <c r="L113" i="20" s="1"/>
  <c r="N113" i="20" s="1"/>
  <c r="K109" i="20" a="1"/>
  <c r="K109" i="20" s="1"/>
  <c r="K105" i="20" a="1"/>
  <c r="K105" i="20" s="1"/>
  <c r="K101" i="20" a="1"/>
  <c r="K101" i="20" s="1"/>
  <c r="L101" i="20" a="1"/>
  <c r="L101" i="20" s="1"/>
  <c r="N101" i="20" s="1"/>
  <c r="N195" i="20"/>
  <c r="N99" i="20"/>
  <c r="N31" i="20"/>
  <c r="L105" i="20" a="1"/>
  <c r="L105" i="20" s="1"/>
  <c r="N105" i="20" s="1"/>
  <c r="L99" i="20" a="1"/>
  <c r="L99" i="20" s="1"/>
  <c r="L93" i="20" a="1"/>
  <c r="L93" i="20" s="1"/>
  <c r="N93" i="20" s="1"/>
  <c r="L88" i="20" a="1"/>
  <c r="L88" i="20" s="1"/>
  <c r="N88" i="20" s="1"/>
  <c r="L82" i="20" a="1"/>
  <c r="L82" i="20" s="1"/>
  <c r="N82" i="20" s="1"/>
  <c r="L72" i="20" a="1"/>
  <c r="L72" i="20" s="1"/>
  <c r="N72" i="20" s="1"/>
  <c r="L60" i="20" a="1"/>
  <c r="L60" i="20" s="1"/>
  <c r="N60" i="20" s="1"/>
  <c r="L13" i="20" a="1"/>
  <c r="L13" i="20" s="1"/>
  <c r="N13" i="20" s="1"/>
  <c r="K207" i="20" a="1"/>
  <c r="K207" i="20" s="1"/>
  <c r="K196" i="20" a="1"/>
  <c r="K196" i="20" s="1"/>
  <c r="K147" i="20" a="1"/>
  <c r="K147" i="20" s="1"/>
  <c r="K131" i="20" a="1"/>
  <c r="K131" i="20" s="1"/>
  <c r="K110" i="20" a="1"/>
  <c r="K110" i="20" s="1"/>
  <c r="K88" i="20" a="1"/>
  <c r="K88" i="20" s="1"/>
  <c r="K51" i="20" a="1"/>
  <c r="K51" i="20" s="1"/>
  <c r="N117" i="20"/>
  <c r="K161" i="20" a="1"/>
  <c r="K161" i="20" s="1"/>
  <c r="K126" i="20" a="1"/>
  <c r="K126" i="20" s="1"/>
  <c r="K104" i="20" a="1"/>
  <c r="K104" i="20" s="1"/>
  <c r="K83" i="20" a="1"/>
  <c r="K83" i="20" s="1"/>
  <c r="K35" i="20" a="1"/>
  <c r="K35" i="20" s="1"/>
  <c r="N192" i="20"/>
  <c r="L108" i="20" a="1"/>
  <c r="L108" i="20" s="1"/>
  <c r="N108" i="20" s="1"/>
  <c r="L102" i="20" a="1"/>
  <c r="L102" i="20" s="1"/>
  <c r="N102" i="20" s="1"/>
  <c r="L77" i="20" a="1"/>
  <c r="L77" i="20" s="1"/>
  <c r="N77" i="20" s="1"/>
  <c r="L66" i="20" a="1"/>
  <c r="L66" i="20" s="1"/>
  <c r="N66" i="20" s="1"/>
  <c r="L31" i="20" a="1"/>
  <c r="L31" i="20" s="1"/>
  <c r="L8" i="20" a="1"/>
  <c r="L8" i="20" s="1"/>
  <c r="N8" i="20" s="1"/>
  <c r="K212" i="20" a="1"/>
  <c r="K212" i="20" s="1"/>
  <c r="K140" i="20" a="1"/>
  <c r="K140" i="20" s="1"/>
  <c r="K120" i="20" a="1"/>
  <c r="K120" i="20" s="1"/>
  <c r="K99" i="20" a="1"/>
  <c r="K99" i="20" s="1"/>
  <c r="K78" i="20" a="1"/>
  <c r="K78" i="20" s="1"/>
  <c r="K19" i="20" a="1"/>
  <c r="K19" i="20" s="1"/>
  <c r="K97" i="20" a="1"/>
  <c r="K97" i="20" s="1"/>
  <c r="K93" i="20" a="1"/>
  <c r="K93" i="20" s="1"/>
  <c r="K89" i="20" a="1"/>
  <c r="K89" i="20" s="1"/>
  <c r="K85" i="20" a="1"/>
  <c r="K85" i="20" s="1"/>
  <c r="K81" i="20" a="1"/>
  <c r="K81" i="20" s="1"/>
  <c r="K77" i="20" a="1"/>
  <c r="K77" i="20" s="1"/>
  <c r="K73" i="20" a="1"/>
  <c r="K73" i="20" s="1"/>
  <c r="K69" i="20" a="1"/>
  <c r="K69" i="20" s="1"/>
  <c r="K65" i="20" a="1"/>
  <c r="K65" i="20" s="1"/>
  <c r="K61" i="20" a="1"/>
  <c r="K61" i="20" s="1"/>
  <c r="K57" i="20" a="1"/>
  <c r="K57" i="20" s="1"/>
  <c r="K53" i="20" a="1"/>
  <c r="K53" i="20" s="1"/>
  <c r="K49" i="20" a="1"/>
  <c r="K49" i="20" s="1"/>
  <c r="K45" i="20" a="1"/>
  <c r="K45" i="20" s="1"/>
  <c r="K41" i="20" a="1"/>
  <c r="K41" i="20" s="1"/>
  <c r="K37" i="20" a="1"/>
  <c r="K37" i="20" s="1"/>
  <c r="K33" i="20" a="1"/>
  <c r="K33" i="20" s="1"/>
  <c r="K29" i="20" a="1"/>
  <c r="K29" i="20" s="1"/>
  <c r="K25" i="20" a="1"/>
  <c r="K25" i="20" s="1"/>
  <c r="K21" i="20" a="1"/>
  <c r="K21" i="20" s="1"/>
  <c r="K17" i="20" a="1"/>
  <c r="K17" i="20" s="1"/>
  <c r="K13" i="20" a="1"/>
  <c r="K13" i="20" s="1"/>
  <c r="K9" i="20" a="1"/>
  <c r="K9" i="20" s="1"/>
  <c r="K4" i="20" a="1"/>
  <c r="K4" i="20" s="1"/>
  <c r="K8" i="20" a="1"/>
  <c r="K8" i="20" s="1"/>
  <c r="K12" i="20" a="1"/>
  <c r="K12" i="20" s="1"/>
  <c r="K16" i="20" a="1"/>
  <c r="K16" i="20" s="1"/>
  <c r="K20" i="20" a="1"/>
  <c r="K20" i="20" s="1"/>
  <c r="K24" i="20" a="1"/>
  <c r="K24" i="20" s="1"/>
  <c r="K28" i="20" a="1"/>
  <c r="K28" i="20" s="1"/>
  <c r="K32" i="20" a="1"/>
  <c r="K32" i="20" s="1"/>
  <c r="K36" i="20" a="1"/>
  <c r="K36" i="20" s="1"/>
  <c r="K40" i="20" a="1"/>
  <c r="K40" i="20" s="1"/>
  <c r="K44" i="20" a="1"/>
  <c r="K44" i="20" s="1"/>
  <c r="K48" i="20" a="1"/>
  <c r="K48" i="20" s="1"/>
  <c r="K52" i="20" a="1"/>
  <c r="K52" i="20" s="1"/>
  <c r="K56" i="20" a="1"/>
  <c r="K56" i="20" s="1"/>
  <c r="K60" i="20" a="1"/>
  <c r="K60" i="20" s="1"/>
  <c r="K64" i="20" a="1"/>
  <c r="K64" i="20" s="1"/>
  <c r="K68" i="20" a="1"/>
  <c r="K68" i="20" s="1"/>
  <c r="K72" i="20" a="1"/>
  <c r="K72" i="20" s="1"/>
  <c r="K5" i="20" a="1"/>
  <c r="K5" i="20" s="1"/>
  <c r="K142" i="20" a="1"/>
  <c r="K142" i="20" s="1"/>
  <c r="K148" i="20" a="1"/>
  <c r="K148" i="20" s="1"/>
  <c r="K152" i="20" a="1"/>
  <c r="K152" i="20" s="1"/>
  <c r="K2" i="20" a="1"/>
  <c r="K2" i="20" s="1"/>
  <c r="K6" i="20" a="1"/>
  <c r="K6" i="20" s="1"/>
  <c r="K10" i="20" a="1"/>
  <c r="K10" i="20" s="1"/>
  <c r="K14" i="20" a="1"/>
  <c r="K14" i="20" s="1"/>
  <c r="K18" i="20" a="1"/>
  <c r="K18" i="20" s="1"/>
  <c r="K22" i="20" a="1"/>
  <c r="K22" i="20" s="1"/>
  <c r="K26" i="20" a="1"/>
  <c r="K26" i="20" s="1"/>
  <c r="K30" i="20" a="1"/>
  <c r="K30" i="20" s="1"/>
  <c r="K34" i="20" a="1"/>
  <c r="K34" i="20" s="1"/>
  <c r="K38" i="20" a="1"/>
  <c r="K38" i="20" s="1"/>
  <c r="K42" i="20" a="1"/>
  <c r="K42" i="20" s="1"/>
  <c r="K46" i="20" a="1"/>
  <c r="K46" i="20" s="1"/>
  <c r="K50" i="20" a="1"/>
  <c r="K50" i="20" s="1"/>
  <c r="K54" i="20" a="1"/>
  <c r="K54" i="20" s="1"/>
  <c r="K58" i="20" a="1"/>
  <c r="K58" i="20" s="1"/>
  <c r="K62" i="20" a="1"/>
  <c r="K62" i="20" s="1"/>
  <c r="K66" i="20" a="1"/>
  <c r="K66" i="20" s="1"/>
  <c r="K70" i="20" a="1"/>
  <c r="K70" i="20" s="1"/>
  <c r="K74" i="20" a="1"/>
  <c r="K74" i="20" s="1"/>
  <c r="L126" i="20" a="1"/>
  <c r="L126" i="20" s="1"/>
  <c r="N126" i="20" s="1"/>
  <c r="L123" i="20" a="1"/>
  <c r="L123" i="20" s="1"/>
  <c r="N123" i="20" s="1"/>
  <c r="L112" i="20" a="1"/>
  <c r="L112" i="20" s="1"/>
  <c r="N112" i="20" s="1"/>
  <c r="L106" i="20" a="1"/>
  <c r="L106" i="20" s="1"/>
  <c r="N106" i="20" s="1"/>
  <c r="L103" i="20" a="1"/>
  <c r="L103" i="20" s="1"/>
  <c r="N103" i="20" s="1"/>
  <c r="L100" i="20" a="1"/>
  <c r="L100" i="20" s="1"/>
  <c r="N100" i="20" s="1"/>
  <c r="L97" i="20" a="1"/>
  <c r="L97" i="20" s="1"/>
  <c r="N97" i="20" s="1"/>
  <c r="L94" i="20" a="1"/>
  <c r="L94" i="20" s="1"/>
  <c r="N94" i="20" s="1"/>
  <c r="L91" i="20" a="1"/>
  <c r="L91" i="20" s="1"/>
  <c r="N91" i="20" s="1"/>
  <c r="L85" i="20" a="1"/>
  <c r="L85" i="20" s="1"/>
  <c r="N85" i="20" s="1"/>
  <c r="L80" i="20" a="1"/>
  <c r="L80" i="20" s="1"/>
  <c r="N80" i="20" s="1"/>
  <c r="L74" i="20" a="1"/>
  <c r="L74" i="20" s="1"/>
  <c r="N74" i="20" s="1"/>
  <c r="L71" i="20" a="1"/>
  <c r="L71" i="20" s="1"/>
  <c r="N71" i="20" s="1"/>
  <c r="L68" i="20" a="1"/>
  <c r="L68" i="20" s="1"/>
  <c r="N68" i="20" s="1"/>
  <c r="L65" i="20" a="1"/>
  <c r="L65" i="20" s="1"/>
  <c r="N65" i="20" s="1"/>
  <c r="L62" i="20" a="1"/>
  <c r="L62" i="20" s="1"/>
  <c r="N62" i="20" s="1"/>
  <c r="L59" i="20" a="1"/>
  <c r="L59" i="20" s="1"/>
  <c r="N59" i="20" s="1"/>
  <c r="L53" i="20" a="1"/>
  <c r="L53" i="20" s="1"/>
  <c r="N53" i="20" s="1"/>
  <c r="L48" i="20" a="1"/>
  <c r="L48" i="20" s="1"/>
  <c r="N48" i="20" s="1"/>
  <c r="L42" i="20" a="1"/>
  <c r="L42" i="20" s="1"/>
  <c r="N42" i="20" s="1"/>
  <c r="L39" i="20" a="1"/>
  <c r="L39" i="20" s="1"/>
  <c r="N39" i="20" s="1"/>
  <c r="L36" i="20" a="1"/>
  <c r="L36" i="20" s="1"/>
  <c r="N36" i="20" s="1"/>
  <c r="L33" i="20" a="1"/>
  <c r="L33" i="20" s="1"/>
  <c r="N33" i="20" s="1"/>
  <c r="L30" i="20" a="1"/>
  <c r="L30" i="20" s="1"/>
  <c r="N30" i="20" s="1"/>
  <c r="L24" i="20" a="1"/>
  <c r="L24" i="20" s="1"/>
  <c r="N24" i="20" s="1"/>
  <c r="L18" i="20" a="1"/>
  <c r="L18" i="20" s="1"/>
  <c r="N18" i="20" s="1"/>
  <c r="L15" i="20" a="1"/>
  <c r="L15" i="20" s="1"/>
  <c r="N15" i="20" s="1"/>
  <c r="L10" i="20" a="1"/>
  <c r="L10" i="20" s="1"/>
  <c r="N10" i="20" s="1"/>
  <c r="L7" i="20" a="1"/>
  <c r="L7" i="20" s="1"/>
  <c r="N7" i="20" s="1"/>
  <c r="L2" i="20" a="1"/>
  <c r="L2" i="20" s="1"/>
  <c r="N2" i="20" s="1"/>
  <c r="K214" i="20" a="1"/>
  <c r="K214" i="20" s="1"/>
  <c r="K206" i="20" a="1"/>
  <c r="K206" i="20" s="1"/>
  <c r="K198" i="20" a="1"/>
  <c r="K198" i="20" s="1"/>
  <c r="K192" i="20" a="1"/>
  <c r="K192" i="20" s="1"/>
  <c r="K188" i="20" a="1"/>
  <c r="K188" i="20" s="1"/>
  <c r="K184" i="20" a="1"/>
  <c r="K184" i="20" s="1"/>
  <c r="K180" i="20" a="1"/>
  <c r="K180" i="20" s="1"/>
  <c r="K176" i="20" a="1"/>
  <c r="K176" i="20" s="1"/>
  <c r="K172" i="20" a="1"/>
  <c r="K172" i="20" s="1"/>
  <c r="K168" i="20" a="1"/>
  <c r="K168" i="20" s="1"/>
  <c r="K164" i="20" a="1"/>
  <c r="K164" i="20" s="1"/>
  <c r="K160" i="20" a="1"/>
  <c r="K160" i="20" s="1"/>
  <c r="K156" i="20" a="1"/>
  <c r="K156" i="20" s="1"/>
  <c r="K151" i="20" a="1"/>
  <c r="K151" i="20" s="1"/>
  <c r="K146" i="20" a="1"/>
  <c r="K146" i="20" s="1"/>
  <c r="K143" i="20" a="1"/>
  <c r="K143" i="20" s="1"/>
  <c r="K139" i="20" a="1"/>
  <c r="K139" i="20" s="1"/>
  <c r="K135" i="20" a="1"/>
  <c r="K135" i="20" s="1"/>
  <c r="K130" i="20" a="1"/>
  <c r="K130" i="20" s="1"/>
  <c r="K124" i="20" a="1"/>
  <c r="K124" i="20" s="1"/>
  <c r="K119" i="20" a="1"/>
  <c r="K119" i="20" s="1"/>
  <c r="K114" i="20" a="1"/>
  <c r="K114" i="20" s="1"/>
  <c r="K108" i="20" a="1"/>
  <c r="K108" i="20" s="1"/>
  <c r="K103" i="20" a="1"/>
  <c r="K103" i="20" s="1"/>
  <c r="K98" i="20" a="1"/>
  <c r="K98" i="20" s="1"/>
  <c r="K92" i="20" a="1"/>
  <c r="K92" i="20" s="1"/>
  <c r="K87" i="20" a="1"/>
  <c r="K87" i="20" s="1"/>
  <c r="K82" i="20" a="1"/>
  <c r="K82" i="20" s="1"/>
  <c r="K76" i="20" a="1"/>
  <c r="K76" i="20" s="1"/>
  <c r="K63" i="20" a="1"/>
  <c r="K63" i="20" s="1"/>
  <c r="K47" i="20" a="1"/>
  <c r="K47" i="20" s="1"/>
  <c r="K31" i="20" a="1"/>
  <c r="K31" i="20" s="1"/>
  <c r="K15" i="20" a="1"/>
  <c r="K15" i="20" s="1"/>
  <c r="L79" i="20" a="1"/>
  <c r="L79" i="20" s="1"/>
  <c r="N79" i="20" s="1"/>
  <c r="L76" i="20" a="1"/>
  <c r="L76" i="20" s="1"/>
  <c r="N76" i="20" s="1"/>
  <c r="L73" i="20" a="1"/>
  <c r="L73" i="20" s="1"/>
  <c r="N73" i="20" s="1"/>
  <c r="L70" i="20" a="1"/>
  <c r="L70" i="20" s="1"/>
  <c r="N70" i="20" s="1"/>
  <c r="L67" i="20" a="1"/>
  <c r="L67" i="20" s="1"/>
  <c r="N67" i="20" s="1"/>
  <c r="L61" i="20" a="1"/>
  <c r="L61" i="20" s="1"/>
  <c r="N61" i="20" s="1"/>
  <c r="L56" i="20" a="1"/>
  <c r="L56" i="20" s="1"/>
  <c r="N56" i="20" s="1"/>
  <c r="L50" i="20" a="1"/>
  <c r="L50" i="20" s="1"/>
  <c r="N50" i="20" s="1"/>
  <c r="L47" i="20" a="1"/>
  <c r="L47" i="20" s="1"/>
  <c r="N47" i="20" s="1"/>
  <c r="L44" i="20" a="1"/>
  <c r="L44" i="20" s="1"/>
  <c r="N44" i="20" s="1"/>
  <c r="L41" i="20" a="1"/>
  <c r="L41" i="20" s="1"/>
  <c r="N41" i="20" s="1"/>
  <c r="L38" i="20" a="1"/>
  <c r="L38" i="20" s="1"/>
  <c r="N38" i="20" s="1"/>
  <c r="L35" i="20" a="1"/>
  <c r="L35" i="20" s="1"/>
  <c r="N35" i="20" s="1"/>
  <c r="L29" i="20" a="1"/>
  <c r="L29" i="20" s="1"/>
  <c r="N29" i="20" s="1"/>
  <c r="L26" i="20" a="1"/>
  <c r="L26" i="20" s="1"/>
  <c r="N26" i="20" s="1"/>
  <c r="L23" i="20" a="1"/>
  <c r="L23" i="20" s="1"/>
  <c r="N23" i="20" s="1"/>
  <c r="L20" i="20" a="1"/>
  <c r="L20" i="20" s="1"/>
  <c r="N20" i="20" s="1"/>
  <c r="L17" i="20" a="1"/>
  <c r="L17" i="20" s="1"/>
  <c r="N17" i="20" s="1"/>
  <c r="L12" i="20" a="1"/>
  <c r="L12" i="20" s="1"/>
  <c r="N12" i="20" s="1"/>
  <c r="L9" i="20" a="1"/>
  <c r="L9" i="20" s="1"/>
  <c r="N9" i="20" s="1"/>
  <c r="L4" i="20" a="1"/>
  <c r="L4" i="20" s="1"/>
  <c r="N4" i="20" s="1"/>
  <c r="K216" i="20" a="1"/>
  <c r="K216" i="20" s="1"/>
  <c r="K211" i="20" a="1"/>
  <c r="K211" i="20" s="1"/>
  <c r="K208" i="20" a="1"/>
  <c r="K208" i="20" s="1"/>
  <c r="K203" i="20" a="1"/>
  <c r="K203" i="20" s="1"/>
  <c r="K200" i="20" a="1"/>
  <c r="K200" i="20" s="1"/>
  <c r="K195" i="20" a="1"/>
  <c r="K195" i="20" s="1"/>
  <c r="K191" i="20" a="1"/>
  <c r="K191" i="20" s="1"/>
  <c r="K187" i="20" a="1"/>
  <c r="K187" i="20" s="1"/>
  <c r="K183" i="20" a="1"/>
  <c r="K183" i="20" s="1"/>
  <c r="K179" i="20" a="1"/>
  <c r="K179" i="20" s="1"/>
  <c r="K175" i="20" a="1"/>
  <c r="K175" i="20" s="1"/>
  <c r="K171" i="20" a="1"/>
  <c r="K171" i="20" s="1"/>
  <c r="K167" i="20" a="1"/>
  <c r="K167" i="20" s="1"/>
  <c r="K163" i="20" a="1"/>
  <c r="K163" i="20" s="1"/>
  <c r="K159" i="20" a="1"/>
  <c r="K159" i="20" s="1"/>
  <c r="K155" i="20" a="1"/>
  <c r="K155" i="20" s="1"/>
  <c r="K150" i="20" a="1"/>
  <c r="K150" i="20" s="1"/>
  <c r="K138" i="20" a="1"/>
  <c r="K138" i="20" s="1"/>
  <c r="K134" i="20" a="1"/>
  <c r="K134" i="20" s="1"/>
  <c r="K128" i="20" a="1"/>
  <c r="K128" i="20" s="1"/>
  <c r="K123" i="20" a="1"/>
  <c r="K123" i="20" s="1"/>
  <c r="K118" i="20" a="1"/>
  <c r="K118" i="20" s="1"/>
  <c r="K112" i="20" a="1"/>
  <c r="K112" i="20" s="1"/>
  <c r="K107" i="20" a="1"/>
  <c r="K107" i="20" s="1"/>
  <c r="K102" i="20" a="1"/>
  <c r="K102" i="20" s="1"/>
  <c r="K96" i="20" a="1"/>
  <c r="K96" i="20" s="1"/>
  <c r="K91" i="20" a="1"/>
  <c r="K91" i="20" s="1"/>
  <c r="K86" i="20" a="1"/>
  <c r="K86" i="20" s="1"/>
  <c r="K80" i="20" a="1"/>
  <c r="K80" i="20" s="1"/>
  <c r="K75" i="20" a="1"/>
  <c r="K75" i="20" s="1"/>
  <c r="K59" i="20" a="1"/>
  <c r="K59" i="20" s="1"/>
  <c r="K43" i="20" a="1"/>
  <c r="K43" i="20" s="1"/>
  <c r="K27" i="20" a="1"/>
  <c r="K27" i="20" s="1"/>
  <c r="K11" i="20" a="1"/>
  <c r="K11" i="20" s="1"/>
  <c r="L128" i="20" a="1"/>
  <c r="L128" i="20" s="1"/>
  <c r="N128" i="20" s="1"/>
  <c r="L122" i="20" a="1"/>
  <c r="L122" i="20" s="1"/>
  <c r="N122" i="20" s="1"/>
  <c r="L119" i="20" a="1"/>
  <c r="L119" i="20" s="1"/>
  <c r="N119" i="20" s="1"/>
  <c r="L116" i="20" a="1"/>
  <c r="L116" i="20" s="1"/>
  <c r="N116" i="20" s="1"/>
  <c r="L110" i="20" a="1"/>
  <c r="L110" i="20" s="1"/>
  <c r="N110" i="20" s="1"/>
  <c r="L107" i="20" a="1"/>
  <c r="L107" i="20" s="1"/>
  <c r="N107" i="20" s="1"/>
  <c r="L96" i="20" a="1"/>
  <c r="L96" i="20" s="1"/>
  <c r="N96" i="20" s="1"/>
  <c r="L90" i="20" a="1"/>
  <c r="L90" i="20" s="1"/>
  <c r="N90" i="20" s="1"/>
  <c r="L87" i="20" a="1"/>
  <c r="L87" i="20" s="1"/>
  <c r="N87" i="20" s="1"/>
  <c r="L84" i="20" a="1"/>
  <c r="L84" i="20" s="1"/>
  <c r="N84" i="20" s="1"/>
  <c r="L81" i="20" a="1"/>
  <c r="L81" i="20" s="1"/>
  <c r="N81" i="20" s="1"/>
  <c r="L78" i="20" a="1"/>
  <c r="L78" i="20" s="1"/>
  <c r="N78" i="20" s="1"/>
  <c r="L75" i="20" a="1"/>
  <c r="L75" i="20" s="1"/>
  <c r="N75" i="20" s="1"/>
  <c r="L69" i="20" a="1"/>
  <c r="L69" i="20" s="1"/>
  <c r="N69" i="20" s="1"/>
  <c r="L64" i="20" a="1"/>
  <c r="L64" i="20" s="1"/>
  <c r="N64" i="20" s="1"/>
  <c r="L58" i="20" a="1"/>
  <c r="L58" i="20" s="1"/>
  <c r="N58" i="20" s="1"/>
  <c r="L55" i="20" a="1"/>
  <c r="L55" i="20" s="1"/>
  <c r="N55" i="20" s="1"/>
  <c r="L52" i="20" a="1"/>
  <c r="L52" i="20" s="1"/>
  <c r="N52" i="20" s="1"/>
  <c r="L49" i="20" a="1"/>
  <c r="L49" i="20" s="1"/>
  <c r="N49" i="20" s="1"/>
  <c r="L46" i="20" a="1"/>
  <c r="L46" i="20" s="1"/>
  <c r="N46" i="20" s="1"/>
  <c r="L43" i="20" a="1"/>
  <c r="L43" i="20" s="1"/>
  <c r="N43" i="20" s="1"/>
  <c r="L37" i="20" a="1"/>
  <c r="L37" i="20" s="1"/>
  <c r="N37" i="20" s="1"/>
  <c r="L32" i="20" a="1"/>
  <c r="L32" i="20" s="1"/>
  <c r="N32" i="20" s="1"/>
  <c r="L28" i="20" a="1"/>
  <c r="L28" i="20" s="1"/>
  <c r="N28" i="20" s="1"/>
  <c r="L25" i="20" a="1"/>
  <c r="L25" i="20" s="1"/>
  <c r="N25" i="20" s="1"/>
  <c r="L22" i="20" a="1"/>
  <c r="L22" i="20" s="1"/>
  <c r="N22" i="20" s="1"/>
  <c r="L19" i="20" a="1"/>
  <c r="L19" i="20" s="1"/>
  <c r="N19" i="20" s="1"/>
  <c r="L14" i="20" a="1"/>
  <c r="L14" i="20" s="1"/>
  <c r="N14" i="20" s="1"/>
  <c r="L11" i="20" a="1"/>
  <c r="L11" i="20" s="1"/>
  <c r="N11" i="20" s="1"/>
  <c r="L6" i="20" a="1"/>
  <c r="L6" i="20" s="1"/>
  <c r="N6" i="20" s="1"/>
  <c r="L3" i="20" a="1"/>
  <c r="L3" i="20" s="1"/>
  <c r="N3" i="20" s="1"/>
  <c r="K210" i="20" a="1"/>
  <c r="K210" i="20" s="1"/>
  <c r="K202" i="20" a="1"/>
  <c r="K202" i="20" s="1"/>
  <c r="K194" i="20" a="1"/>
  <c r="K194" i="20" s="1"/>
  <c r="K190" i="20" a="1"/>
  <c r="K190" i="20" s="1"/>
  <c r="K186" i="20" a="1"/>
  <c r="K186" i="20" s="1"/>
  <c r="K182" i="20" a="1"/>
  <c r="K182" i="20" s="1"/>
  <c r="K178" i="20" a="1"/>
  <c r="K178" i="20" s="1"/>
  <c r="K174" i="20" a="1"/>
  <c r="K174" i="20" s="1"/>
  <c r="K170" i="20" a="1"/>
  <c r="K170" i="20" s="1"/>
  <c r="K166" i="20" a="1"/>
  <c r="K166" i="20" s="1"/>
  <c r="K162" i="20" a="1"/>
  <c r="K162" i="20" s="1"/>
  <c r="K158" i="20" a="1"/>
  <c r="K158" i="20" s="1"/>
  <c r="K154" i="20" a="1"/>
  <c r="K154" i="20" s="1"/>
  <c r="K144" i="20" a="1"/>
  <c r="K144" i="20" s="1"/>
  <c r="K132" i="20" a="1"/>
  <c r="K132" i="20" s="1"/>
  <c r="K127" i="20" a="1"/>
  <c r="K127" i="20" s="1"/>
  <c r="K122" i="20" a="1"/>
  <c r="K122" i="20" s="1"/>
  <c r="K116" i="20" a="1"/>
  <c r="K116" i="20" s="1"/>
  <c r="K111" i="20" a="1"/>
  <c r="K111" i="20" s="1"/>
  <c r="K106" i="20" a="1"/>
  <c r="K106" i="20" s="1"/>
  <c r="K100" i="20" a="1"/>
  <c r="K100" i="20" s="1"/>
  <c r="K95" i="20" a="1"/>
  <c r="K95" i="20" s="1"/>
  <c r="K90" i="20" a="1"/>
  <c r="K90" i="20" s="1"/>
  <c r="K84" i="20" a="1"/>
  <c r="K84" i="20" s="1"/>
  <c r="K79" i="20" a="1"/>
  <c r="K79" i="20" s="1"/>
  <c r="K71" i="20" a="1"/>
  <c r="K71" i="20" s="1"/>
  <c r="K55" i="20" a="1"/>
  <c r="K55" i="20" s="1"/>
  <c r="K39" i="20" a="1"/>
  <c r="K39" i="20" s="1"/>
  <c r="K23" i="20" a="1"/>
  <c r="K23" i="20" s="1"/>
  <c r="K7" i="20" a="1"/>
  <c r="K7" i="20" s="1"/>
  <c r="N203" i="20"/>
  <c r="N171" i="20"/>
  <c r="N139" i="20"/>
  <c r="N136" i="20"/>
  <c r="M2" i="19"/>
  <c r="K2" i="19" a="1"/>
  <c r="K2" i="19" s="1"/>
  <c r="O2" i="19" a="1"/>
  <c r="O2" i="19" s="1"/>
  <c r="R78" i="18"/>
  <c r="U78" i="18"/>
  <c r="R64" i="18"/>
  <c r="U64" i="18"/>
  <c r="U58" i="18"/>
  <c r="R58" i="18"/>
  <c r="R32" i="18"/>
  <c r="U32" i="18"/>
  <c r="R80" i="18"/>
  <c r="U80" i="18"/>
  <c r="U82" i="18"/>
  <c r="R82" i="18"/>
  <c r="R62" i="18"/>
  <c r="U62" i="18"/>
  <c r="R56" i="18"/>
  <c r="U56" i="18"/>
  <c r="U40" i="18"/>
  <c r="R40" i="18"/>
  <c r="R73" i="18"/>
  <c r="R65" i="18"/>
  <c r="R83" i="18"/>
  <c r="R75" i="18"/>
  <c r="R67" i="18"/>
  <c r="R53" i="18"/>
  <c r="R47" i="18"/>
  <c r="R39" i="18"/>
  <c r="R33" i="18"/>
  <c r="R25" i="18"/>
  <c r="R18" i="18"/>
  <c r="R14" i="18"/>
  <c r="R10" i="18"/>
  <c r="R2" i="18"/>
  <c r="R90" i="18"/>
  <c r="R86" i="18"/>
  <c r="O6" i="18" a="1"/>
  <c r="O6" i="18" s="1"/>
  <c r="R69" i="18"/>
  <c r="R61" i="18"/>
  <c r="R55" i="18"/>
  <c r="R41" i="18"/>
  <c r="R21" i="18"/>
  <c r="R17" i="18"/>
  <c r="R13" i="18"/>
  <c r="R9" i="18"/>
  <c r="R5" i="18"/>
  <c r="R93" i="18"/>
  <c r="R89" i="18"/>
  <c r="O2" i="18" a="1"/>
  <c r="O2" i="18" s="1"/>
  <c r="R87" i="18"/>
  <c r="R63" i="18"/>
  <c r="R60" i="18"/>
  <c r="R57" i="18"/>
  <c r="R49" i="18"/>
  <c r="R43" i="18"/>
  <c r="R29" i="18"/>
  <c r="R20" i="18"/>
  <c r="R12" i="18"/>
  <c r="R8" i="18"/>
  <c r="R4" i="18"/>
  <c r="R92" i="18"/>
  <c r="R84" i="18"/>
  <c r="O4" i="18" a="1"/>
  <c r="O4" i="18" s="1"/>
  <c r="R51" i="18"/>
  <c r="R45" i="18"/>
  <c r="R34" i="18"/>
  <c r="R23" i="18"/>
  <c r="R15" i="18"/>
  <c r="R7" i="18"/>
  <c r="R91" i="18"/>
  <c r="W168" i="17"/>
  <c r="Y168" i="17"/>
  <c r="Q168" i="17" s="1"/>
  <c r="Y157" i="17"/>
  <c r="Q157" i="17" s="1"/>
  <c r="W157" i="17"/>
  <c r="Y116" i="17"/>
  <c r="Q116" i="17" s="1"/>
  <c r="W116" i="17"/>
  <c r="Y113" i="17"/>
  <c r="Q113" i="17" s="1"/>
  <c r="W113" i="17"/>
  <c r="W107" i="17"/>
  <c r="Y107" i="17"/>
  <c r="Q107" i="17" s="1"/>
  <c r="Y87" i="17"/>
  <c r="Q87" i="17" s="1"/>
  <c r="W87" i="17"/>
  <c r="Y81" i="17"/>
  <c r="Q81" i="17" s="1"/>
  <c r="W81" i="17"/>
  <c r="Y39" i="17"/>
  <c r="Q39" i="17" s="1"/>
  <c r="W39" i="17"/>
  <c r="Y35" i="17"/>
  <c r="Q35" i="17" s="1"/>
  <c r="W35" i="17"/>
  <c r="W174" i="17"/>
  <c r="Y174" i="17"/>
  <c r="Q174" i="17" s="1"/>
  <c r="W160" i="17"/>
  <c r="Y160" i="17"/>
  <c r="Q160" i="17" s="1"/>
  <c r="Y149" i="17"/>
  <c r="Q149" i="17" s="1"/>
  <c r="W149" i="17"/>
  <c r="Y137" i="17"/>
  <c r="Q137" i="17" s="1"/>
  <c r="W137" i="17"/>
  <c r="Y133" i="17"/>
  <c r="Q133" i="17" s="1"/>
  <c r="W133" i="17"/>
  <c r="Y126" i="17"/>
  <c r="Q126" i="17" s="1"/>
  <c r="W126" i="17"/>
  <c r="W122" i="17"/>
  <c r="Y122" i="17"/>
  <c r="Q122" i="17" s="1"/>
  <c r="W89" i="17"/>
  <c r="Y89" i="17"/>
  <c r="Q89" i="17" s="1"/>
  <c r="Y83" i="17"/>
  <c r="Q83" i="17" s="1"/>
  <c r="W83" i="17"/>
  <c r="W80" i="17"/>
  <c r="Y80" i="17"/>
  <c r="W38" i="17"/>
  <c r="Y38" i="17"/>
  <c r="Q38" i="17" s="1"/>
  <c r="W34" i="17"/>
  <c r="Y34" i="17"/>
  <c r="Q34" i="17" s="1"/>
  <c r="Y138" i="17"/>
  <c r="Q138" i="17" s="1"/>
  <c r="W138" i="17"/>
  <c r="W162" i="17"/>
  <c r="Y162" i="17"/>
  <c r="Q162" i="17" s="1"/>
  <c r="W151" i="17"/>
  <c r="Y151" i="17"/>
  <c r="Q151" i="17" s="1"/>
  <c r="W135" i="17"/>
  <c r="Y135" i="17"/>
  <c r="Q135" i="17" s="1"/>
  <c r="Y124" i="17"/>
  <c r="W124" i="17"/>
  <c r="W111" i="17"/>
  <c r="Y111" i="17"/>
  <c r="Q111" i="17" s="1"/>
  <c r="Y108" i="17"/>
  <c r="Q108" i="17" s="1"/>
  <c r="W108" i="17"/>
  <c r="Y105" i="17"/>
  <c r="Q105" i="17" s="1"/>
  <c r="W105" i="17"/>
  <c r="W40" i="17"/>
  <c r="Y40" i="17"/>
  <c r="Q40" i="17" s="1"/>
  <c r="W36" i="17"/>
  <c r="Y36" i="17"/>
  <c r="Q36" i="17" s="1"/>
  <c r="W26" i="17"/>
  <c r="Y26" i="17"/>
  <c r="Q26" i="17" s="1"/>
  <c r="Y18" i="17"/>
  <c r="Q18" i="17" s="1"/>
  <c r="W18" i="17"/>
  <c r="Y10" i="17"/>
  <c r="Q10" i="17" s="1"/>
  <c r="W10" i="17"/>
  <c r="Y170" i="17"/>
  <c r="Q170" i="17" s="1"/>
  <c r="W170" i="17"/>
  <c r="W166" i="17"/>
  <c r="Y166" i="17"/>
  <c r="Q166" i="17" s="1"/>
  <c r="Y155" i="17"/>
  <c r="Q155" i="17" s="1"/>
  <c r="W155" i="17"/>
  <c r="Y129" i="17"/>
  <c r="Q129" i="17" s="1"/>
  <c r="W129" i="17"/>
  <c r="Y118" i="17"/>
  <c r="Q118" i="17" s="1"/>
  <c r="W118" i="17"/>
  <c r="Y109" i="17"/>
  <c r="Q109" i="17" s="1"/>
  <c r="W109" i="17"/>
  <c r="W97" i="17"/>
  <c r="Y97" i="17"/>
  <c r="Q97" i="17" s="1"/>
  <c r="Y85" i="17"/>
  <c r="Q85" i="17" s="1"/>
  <c r="W85" i="17"/>
  <c r="Y79" i="17"/>
  <c r="Q79" i="17" s="1"/>
  <c r="W79" i="17"/>
  <c r="W37" i="17"/>
  <c r="Y37" i="17"/>
  <c r="Q37" i="17" s="1"/>
  <c r="W33" i="17"/>
  <c r="Y33" i="17"/>
  <c r="Q33" i="17" s="1"/>
  <c r="Q103" i="17"/>
  <c r="Y140" i="17"/>
  <c r="Q140" i="17" s="1"/>
  <c r="Q90" i="17"/>
  <c r="Y86" i="17"/>
  <c r="Q86" i="17" s="1"/>
  <c r="Y78" i="17"/>
  <c r="Q78" i="17" s="1"/>
  <c r="Y74" i="17"/>
  <c r="Q74" i="17" s="1"/>
  <c r="Y70" i="17"/>
  <c r="Q70" i="17" s="1"/>
  <c r="Y66" i="17"/>
  <c r="Q66" i="17" s="1"/>
  <c r="N12" i="17" a="1"/>
  <c r="N12" i="17" s="1"/>
  <c r="N5" i="17" a="1"/>
  <c r="N5" i="17" s="1"/>
  <c r="Y144" i="17"/>
  <c r="Q144" i="17" s="1"/>
  <c r="Q153" i="17"/>
  <c r="Q95" i="17"/>
  <c r="N24" i="17" a="1"/>
  <c r="N24" i="17" s="1"/>
  <c r="Q125" i="17"/>
  <c r="N16" i="17" a="1"/>
  <c r="N16" i="17" s="1"/>
  <c r="N11" i="17" a="1"/>
  <c r="N11" i="17" s="1"/>
  <c r="Q99" i="17"/>
  <c r="N10" i="17" a="1"/>
  <c r="N10" i="17" s="1"/>
  <c r="W148" i="17"/>
  <c r="Y148" i="17"/>
  <c r="Q148" i="17" s="1"/>
  <c r="W49" i="17"/>
  <c r="Y49" i="17"/>
  <c r="Q49" i="17" s="1"/>
  <c r="W45" i="17"/>
  <c r="Y45" i="17"/>
  <c r="Q45" i="17" s="1"/>
  <c r="W24" i="17"/>
  <c r="Y24" i="17"/>
  <c r="Q24" i="17" s="1"/>
  <c r="W20" i="17"/>
  <c r="Y20" i="17"/>
  <c r="Q20" i="17" s="1"/>
  <c r="W6" i="17"/>
  <c r="Y6" i="17"/>
  <c r="Q6" i="17" s="1"/>
  <c r="W136" i="17"/>
  <c r="Y136" i="17"/>
  <c r="Q136" i="17" s="1"/>
  <c r="W128" i="17"/>
  <c r="Y128" i="17"/>
  <c r="Q128" i="17" s="1"/>
  <c r="W96" i="17"/>
  <c r="Y96" i="17"/>
  <c r="Q96" i="17" s="1"/>
  <c r="W52" i="17"/>
  <c r="Y52" i="17"/>
  <c r="Q52" i="17" s="1"/>
  <c r="W48" i="17"/>
  <c r="Y48" i="17"/>
  <c r="Q48" i="17" s="1"/>
  <c r="W44" i="17"/>
  <c r="Y44" i="17"/>
  <c r="Q44" i="17" s="1"/>
  <c r="W32" i="17"/>
  <c r="Y32" i="17"/>
  <c r="Q32" i="17" s="1"/>
  <c r="W16" i="17"/>
  <c r="Y16" i="17"/>
  <c r="Q16" i="17" s="1"/>
  <c r="W12" i="17"/>
  <c r="Y12" i="17"/>
  <c r="Q12" i="17" s="1"/>
  <c r="W8" i="17"/>
  <c r="Y8" i="17"/>
  <c r="Q8" i="17" s="1"/>
  <c r="W132" i="17"/>
  <c r="Y132" i="17"/>
  <c r="Q132" i="17" s="1"/>
  <c r="W100" i="17"/>
  <c r="Y100" i="17"/>
  <c r="Q100" i="17" s="1"/>
  <c r="W92" i="17"/>
  <c r="Y92" i="17"/>
  <c r="Q92" i="17" s="1"/>
  <c r="Y143" i="17"/>
  <c r="Q143" i="17" s="1"/>
  <c r="Y139" i="17"/>
  <c r="Q139" i="17" s="1"/>
  <c r="N6" i="17" a="1"/>
  <c r="N6" i="17" s="1"/>
  <c r="Q124" i="17"/>
  <c r="Q88" i="17"/>
  <c r="Q80" i="17"/>
  <c r="Q72" i="17"/>
  <c r="Q64" i="17"/>
  <c r="N9" i="17" a="1"/>
  <c r="N9" i="17" s="1"/>
  <c r="N8" i="17" a="1"/>
  <c r="N8" i="17" s="1"/>
  <c r="N3" i="17" a="1"/>
  <c r="N3" i="17" s="1"/>
  <c r="N7" i="17" a="1"/>
  <c r="N7" i="17" s="1"/>
  <c r="N4" i="17" a="1"/>
  <c r="N4" i="17" s="1"/>
  <c r="N2" i="17" a="1"/>
  <c r="N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tunahan\downloads\model without break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<sst xmlns="http://schemas.openxmlformats.org/spreadsheetml/2006/main" count="3845" uniqueCount="394">
  <si>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</si>
  <si>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</si>
  <si>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</si>
  <si>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</si>
  <si>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</si>
  <si>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</si>
  <si>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</si>
  <si>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</si>
  <si>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</si>
  <si>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</si>
  <si>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</si>
  <si>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</si>
  <si>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</si>
  <si>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</si>
  <si>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</si>
  <si>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</si>
  <si>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</si>
  <si>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</si>
  <si>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</si>
  <si>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</si>
  <si>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</si>
  <si>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</si>
  <si>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</si>
  <si>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</si>
  <si>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</si>
  <si>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</si>
  <si>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</si>
  <si>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</si>
  <si>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</si>
  <si>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</si>
  <si>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</si>
  <si>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</si>
  <si>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</si>
  <si>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</si>
  <si>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</si>
  <si>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</si>
  <si>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</si>
  <si>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</si>
  <si>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</si>
  <si>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</si>
  <si>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</si>
  <si>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</si>
  <si>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</si>
  <si>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</si>
  <si>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</si>
  <si>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</si>
  <si>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</si>
  <si>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</si>
  <si>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</si>
  <si>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</si>
  <si>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</si>
  <si>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</si>
  <si>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</si>
  <si>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</si>
  <si>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</si>
  <si>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</si>
  <si>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</si>
  <si>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</si>
  <si>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</si>
  <si>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</si>
  <si>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</si>
  <si>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</si>
  <si>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</si>
  <si>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</si>
  <si>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</si>
  <si>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</si>
  <si>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</si>
  <si>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</si>
  <si>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</si>
  <si>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C:\Users\Tunahan\Downloads\model without breaks.p</t>
  </si>
  <si>
    <t>2025-12-26 20:24:34</t>
  </si>
  <si>
    <t>Assembly Batch.Queue</t>
  </si>
  <si>
    <t>Waiting Cost</t>
  </si>
  <si>
    <t>Queue</t>
  </si>
  <si>
    <t>Waiting Time</t>
  </si>
  <si>
    <t>Batch 2.Queue</t>
  </si>
  <si>
    <t>Batch 3.Queue</t>
  </si>
  <si>
    <t>Batch 5.Queue</t>
  </si>
  <si>
    <t>Customer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</si>
  <si>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</si>
  <si>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</si>
  <si>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</si>
  <si>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</si>
  <si>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</si>
  <si>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</si>
  <si>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</si>
  <si>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</si>
  <si>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</si>
  <si>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</si>
  <si>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</si>
  <si>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</si>
  <si>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</si>
  <si>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Entity 1</t>
  </si>
  <si>
    <t>Entity 2</t>
  </si>
  <si>
    <t>Entity 3</t>
  </si>
  <si>
    <t>Process 1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</si>
  <si>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</si>
  <si>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</si>
  <si>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</si>
  <si>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</si>
  <si>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</si>
  <si>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</si>
  <si>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</si>
  <si>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Process 1.Queue</t>
  </si>
  <si>
    <t>Process 14</t>
  </si>
  <si>
    <t>Process 14.Queue</t>
  </si>
  <si>
    <t>Process 2</t>
  </si>
  <si>
    <t>Process 2.Queue</t>
  </si>
  <si>
    <t>Process 3</t>
  </si>
  <si>
    <t>Process 3.Queue</t>
  </si>
  <si>
    <t>Process 4</t>
  </si>
  <si>
    <t>Process 4.Queue</t>
  </si>
  <si>
    <t>Process 5</t>
  </si>
  <si>
    <t>Process 5.Queue</t>
  </si>
  <si>
    <t>Process 6</t>
  </si>
  <si>
    <t>Process 6.Queue</t>
  </si>
  <si>
    <t>Process 7</t>
  </si>
  <si>
    <t>Process 7.Queue</t>
  </si>
  <si>
    <t>Process 8</t>
  </si>
  <si>
    <t>Process 8.Queue</t>
  </si>
  <si>
    <t>Process 9</t>
  </si>
  <si>
    <t>Process 9.Queue</t>
  </si>
  <si>
    <t>Seize 1.Queue</t>
  </si>
  <si>
    <t>Seize 2.Queue</t>
  </si>
  <si>
    <t>Seize 3.Queue</t>
  </si>
  <si>
    <t>Seize 4.Queue</t>
  </si>
  <si>
    <t>Seize 5.Queue</t>
  </si>
  <si>
    <t>Seize 6.Queue</t>
  </si>
  <si>
    <t>Seize 7.Queue</t>
  </si>
  <si>
    <t>Seize 8.Queue</t>
  </si>
  <si>
    <t>Seize 9.Queue</t>
  </si>
  <si>
    <t>Wire Harness</t>
  </si>
  <si>
    <t>sales</t>
  </si>
  <si>
    <t>sales.Queue</t>
  </si>
  <si>
    <t>Assembler</t>
  </si>
  <si>
    <t>Instantaneous Utilization</t>
  </si>
  <si>
    <t>Resource</t>
  </si>
  <si>
    <t>Number Busy</t>
  </si>
  <si>
    <t>Number Scheduled</t>
  </si>
  <si>
    <t>Number Waiting</t>
  </si>
  <si>
    <t>WIP</t>
  </si>
  <si>
    <t>Kanban L1S1</t>
  </si>
  <si>
    <t>Kanban L1S2</t>
  </si>
  <si>
    <t>Kanban L1S3</t>
  </si>
  <si>
    <t>Kanban L2S1</t>
  </si>
  <si>
    <t>Kanban L2S2</t>
  </si>
  <si>
    <t>Kanban L2S3</t>
  </si>
  <si>
    <t>Kanban L2S4</t>
  </si>
  <si>
    <t>Kanban L3S1</t>
  </si>
  <si>
    <t>Kanban L3S2</t>
  </si>
  <si>
    <t>L1 Station1</t>
  </si>
  <si>
    <t>L1 Station2</t>
  </si>
  <si>
    <t>L1 Station3</t>
  </si>
  <si>
    <t>L2 Station1</t>
  </si>
  <si>
    <t>L2 Station2</t>
  </si>
  <si>
    <t>L2 Station3</t>
  </si>
  <si>
    <t>L2 Station4</t>
  </si>
  <si>
    <t>L3 Station1</t>
  </si>
  <si>
    <t>L3 Station2</t>
  </si>
  <si>
    <t>Sales Department</t>
  </si>
  <si>
    <t>Sales Rep</t>
  </si>
  <si>
    <t>Scrap</t>
  </si>
  <si>
    <t>Count</t>
  </si>
  <si>
    <t>User Specified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</si>
  <si>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</si>
  <si>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</si>
  <si>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</si>
  <si>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</si>
  <si>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</si>
  <si>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</si>
  <si>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</si>
  <si>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</si>
  <si>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</si>
  <si>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</si>
  <si>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</si>
  <si>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</si>
  <si>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</si>
  <si>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</si>
  <si>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</si>
  <si>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Assembler.BusyCost</t>
  </si>
  <si>
    <t>Assembler.IdleCost</t>
  </si>
  <si>
    <t>Assembler.NumberSeized</t>
  </si>
  <si>
    <t>Total Number Seized</t>
  </si>
  <si>
    <t>Assembler.ScheduledUtilization</t>
  </si>
  <si>
    <t>Scheduled Utilization</t>
  </si>
  <si>
    <t>Assembler.UsageCost</t>
  </si>
  <si>
    <t>Customer.NumberIn</t>
  </si>
  <si>
    <t>Number In</t>
  </si>
  <si>
    <t>Customer.NumberOut</t>
  </si>
  <si>
    <t>Number Out</t>
  </si>
  <si>
    <t>Entity 1.NumberIn</t>
  </si>
  <si>
    <t>Entity 1.NumberOut</t>
  </si>
  <si>
    <t>Entity 2.NumberIn</t>
  </si>
  <si>
    <t>Entity 2.NumberOut</t>
  </si>
  <si>
    <t>Entity 3.NumberIn</t>
  </si>
  <si>
    <t>Entity 3.NumberOut</t>
  </si>
  <si>
    <t>Kanban L1S1.BusyCost</t>
  </si>
  <si>
    <t>Kanban L1S1.IdleCost</t>
  </si>
  <si>
    <t>Kanban L1S1.NumberSeized</t>
  </si>
  <si>
    <t>Kanban L1S1.ScheduledUtilization</t>
  </si>
  <si>
    <t>Kanban L1S1.UsageCost</t>
  </si>
  <si>
    <t>Kanban L1S2.BusyCost</t>
  </si>
  <si>
    <t>Kanban L1S2.IdleCost</t>
  </si>
  <si>
    <t>Kanban L1S2.NumberSeized</t>
  </si>
  <si>
    <t>Kanban L1S2.ScheduledUtilization</t>
  </si>
  <si>
    <t>Kanban L1S2.UsageCost</t>
  </si>
  <si>
    <t>Kanban L1S3.BusyCost</t>
  </si>
  <si>
    <t>Kanban L1S3.IdleCost</t>
  </si>
  <si>
    <t>Kanban L1S3.NumberSeized</t>
  </si>
  <si>
    <t>Kanban L1S3.ScheduledUtilization</t>
  </si>
  <si>
    <t>Kanban L1S3.UsageCost</t>
  </si>
  <si>
    <t>Kanban L2S1.BusyCost</t>
  </si>
  <si>
    <t>Kanban L2S1.IdleCost</t>
  </si>
  <si>
    <t>Kanban L2S1.NumberSeized</t>
  </si>
  <si>
    <t>Kanban L2S1.ScheduledUtilization</t>
  </si>
  <si>
    <t>Kanban L2S1.UsageCost</t>
  </si>
  <si>
    <t>Kanban L2S2.BusyCost</t>
  </si>
  <si>
    <t>Kanban L2S2.IdleCost</t>
  </si>
  <si>
    <t>Kanban L2S2.NumberSeized</t>
  </si>
  <si>
    <t>Kanban L2S2.ScheduledUtilization</t>
  </si>
  <si>
    <t>Kanban L2S2.UsageCost</t>
  </si>
  <si>
    <t>Kanban L2S3.BusyCost</t>
  </si>
  <si>
    <t>Kanban L2S3.IdleCost</t>
  </si>
  <si>
    <t>Kanban L2S3.NumberSeized</t>
  </si>
  <si>
    <t>Kanban L2S3.ScheduledUtilization</t>
  </si>
  <si>
    <t>Kanban L2S3.UsageCost</t>
  </si>
  <si>
    <t>Kanban L2S4.BusyCost</t>
  </si>
  <si>
    <t>Kanban L2S4.IdleCost</t>
  </si>
  <si>
    <t>Kanban L2S4.NumberSeized</t>
  </si>
  <si>
    <t>Kanban L2S4.ScheduledUtilization</t>
  </si>
  <si>
    <t>Kanban L2S4.UsageCost</t>
  </si>
  <si>
    <t>Kanban L3S1.BusyCost</t>
  </si>
  <si>
    <t>Kanban L3S1.IdleCost</t>
  </si>
  <si>
    <t>Kanban L3S1.NumberSeized</t>
  </si>
  <si>
    <t>Kanban L3S1.ScheduledUtilization</t>
  </si>
  <si>
    <t>Kanban L3S1.UsageCost</t>
  </si>
  <si>
    <t>Kanban L3S2.BusyCost</t>
  </si>
  <si>
    <t>Kanban L3S2.IdleCost</t>
  </si>
  <si>
    <t>Kanban L3S2.NumberSeized</t>
  </si>
  <si>
    <t>Kanban L3S2.ScheduledUtilization</t>
  </si>
  <si>
    <t>Kanban L3S2.UsageCost</t>
  </si>
  <si>
    <t>L1 Station1.BusyCost</t>
  </si>
  <si>
    <t>L1 Station1.IdleCost</t>
  </si>
  <si>
    <t>L1 Station1.NumberSeized</t>
  </si>
  <si>
    <t>L1 Station1.ScheduledUtilization</t>
  </si>
  <si>
    <t>L1 Station1.UsageCost</t>
  </si>
  <si>
    <t>L1 Station2.BusyCost</t>
  </si>
  <si>
    <t>L1 Station2.IdleCost</t>
  </si>
  <si>
    <t>L1 Station2.NumberSeized</t>
  </si>
  <si>
    <t>L1 Station2.ScheduledUtilization</t>
  </si>
  <si>
    <t>L1 Station2.UsageCost</t>
  </si>
  <si>
    <t>L1 Station3.BusyCost</t>
  </si>
  <si>
    <t>L1 Station3.IdleCost</t>
  </si>
  <si>
    <t>L1 Station3.NumberSeized</t>
  </si>
  <si>
    <t>L1 Station3.ScheduledUtilization</t>
  </si>
  <si>
    <t>L1 Station3.UsageCost</t>
  </si>
  <si>
    <t>L2 Station1.BusyCost</t>
  </si>
  <si>
    <t>L2 Station1.IdleCost</t>
  </si>
  <si>
    <t>L2 Station1.NumberSeized</t>
  </si>
  <si>
    <t>L2 Station1.ScheduledUtilization</t>
  </si>
  <si>
    <t>L2 Station1.UsageCost</t>
  </si>
  <si>
    <t>L2 Station2.BusyCost</t>
  </si>
  <si>
    <t>L2 Station2.IdleCost</t>
  </si>
  <si>
    <t>L2 Station2.NumberSeized</t>
  </si>
  <si>
    <t>L2 Station2.ScheduledUtilization</t>
  </si>
  <si>
    <t>L2 Station2.UsageCost</t>
  </si>
  <si>
    <t>L2 Station3.BusyCost</t>
  </si>
  <si>
    <t>L2 Station3.IdleCost</t>
  </si>
  <si>
    <t>L2 Station3.NumberSeized</t>
  </si>
  <si>
    <t>L2 Station3.ScheduledUtilization</t>
  </si>
  <si>
    <t>L2 Station3.UsageCost</t>
  </si>
  <si>
    <t>L2 Station4.BusyCost</t>
  </si>
  <si>
    <t>L2 Station4.IdleCost</t>
  </si>
  <si>
    <t>L2 Station4.NumberSeized</t>
  </si>
  <si>
    <t>L2 Station4.ScheduledUtilization</t>
  </si>
  <si>
    <t>L2 Station4.UsageCost</t>
  </si>
  <si>
    <t>L3 Station1.BusyCost</t>
  </si>
  <si>
    <t>L3 Station1.IdleCost</t>
  </si>
  <si>
    <t>L3 Station1.NumberSeized</t>
  </si>
  <si>
    <t>L3 Station1.ScheduledUtilization</t>
  </si>
  <si>
    <t>L3 Station1.UsageCost</t>
  </si>
  <si>
    <t>L3 Station2.BusyCost</t>
  </si>
  <si>
    <t>L3 Station2.IdleCost</t>
  </si>
  <si>
    <t>L3 Station2.NumberSeized</t>
  </si>
  <si>
    <t>L3 Station2.ScheduledUtilization</t>
  </si>
  <si>
    <t>L3 Station2.UsageCost</t>
  </si>
  <si>
    <t>Process 1 Accum VA Cost</t>
  </si>
  <si>
    <t>Accum VA Cost</t>
  </si>
  <si>
    <t>Process 1 Accum VA Time</t>
  </si>
  <si>
    <t>Accum VA Time</t>
  </si>
  <si>
    <t>Process 1 Accum Wait Cost</t>
  </si>
  <si>
    <t>Accum Wait Cost</t>
  </si>
  <si>
    <t>Process 1 Accum Wait Time</t>
  </si>
  <si>
    <t>Accum Wait Time</t>
  </si>
  <si>
    <t>Process 1 Number In</t>
  </si>
  <si>
    <t>Process 1 Number Out</t>
  </si>
  <si>
    <t>Process 1 Total Accum Cost</t>
  </si>
  <si>
    <t>Total Accum Cost</t>
  </si>
  <si>
    <t>Process 1 Total Accum Time</t>
  </si>
  <si>
    <t>Total Accum Time</t>
  </si>
  <si>
    <t>Process 14 Accum VA Cost</t>
  </si>
  <si>
    <t>Process 14 Accum VA Time</t>
  </si>
  <si>
    <t>Process 14 Accum Wait Cost</t>
  </si>
  <si>
    <t>Process 14 Accum Wait Time</t>
  </si>
  <si>
    <t>Process 14 Number In</t>
  </si>
  <si>
    <t>Process 14 Number Out</t>
  </si>
  <si>
    <t>Process 14 Total Accum Cost</t>
  </si>
  <si>
    <t>Process 14 Total Accum Time</t>
  </si>
  <si>
    <t>Process 2 Accum VA Cost</t>
  </si>
  <si>
    <t>Process 2 Accum VA Time</t>
  </si>
  <si>
    <t>Process 2 Accum Wait Cost</t>
  </si>
  <si>
    <t>Process 2 Accum Wait Time</t>
  </si>
  <si>
    <t>Process 2 Number In</t>
  </si>
  <si>
    <t>Process 2 Number Out</t>
  </si>
  <si>
    <t>Process 2 Total Accum Cost</t>
  </si>
  <si>
    <t>Process 2 Total Accum Time</t>
  </si>
  <si>
    <t>Process 3 Accum VA Cost</t>
  </si>
  <si>
    <t>Process 3 Accum VA Time</t>
  </si>
  <si>
    <t>Process 3 Accum Wait Cost</t>
  </si>
  <si>
    <t>Process 3 Accum Wait Time</t>
  </si>
  <si>
    <t>Process 3 Number In</t>
  </si>
  <si>
    <t>Process 3 Number Out</t>
  </si>
  <si>
    <t>Process 3 Total Accum Cost</t>
  </si>
  <si>
    <t>Process 3 Total Accum Time</t>
  </si>
  <si>
    <t>Process 4 Accum VA Cost</t>
  </si>
  <si>
    <t>Process 4 Accum VA Time</t>
  </si>
  <si>
    <t>Process 4 Accum Wait Cost</t>
  </si>
  <si>
    <t>Process 4 Accum Wait Time</t>
  </si>
  <si>
    <t>Process 4 Number In</t>
  </si>
  <si>
    <t>Process 4 Number Out</t>
  </si>
  <si>
    <t>Process 4 Total Accum Cost</t>
  </si>
  <si>
    <t>Process 4 Total Accum Time</t>
  </si>
  <si>
    <t>Process 5 Accum VA Cost</t>
  </si>
  <si>
    <t>Process 5 Accum VA Time</t>
  </si>
  <si>
    <t>Process 5 Accum Wait Cost</t>
  </si>
  <si>
    <t>Process 5 Accum Wait Time</t>
  </si>
  <si>
    <t>Process 5 Number In</t>
  </si>
  <si>
    <t>Process 5 Number Out</t>
  </si>
  <si>
    <t>Process 5 Total Accum Cost</t>
  </si>
  <si>
    <t>Process 5 Total Accum Time</t>
  </si>
  <si>
    <t>Process 6 Accum VA Cost</t>
  </si>
  <si>
    <t>Process 6 Accum VA Time</t>
  </si>
  <si>
    <t>Process 6 Accum Wait Cost</t>
  </si>
  <si>
    <t>Process 6 Accum Wait Time</t>
  </si>
  <si>
    <t>Process 6 Number In</t>
  </si>
  <si>
    <t>Process 6 Number Out</t>
  </si>
  <si>
    <t>Process 6 Total Accum Cost</t>
  </si>
  <si>
    <t>Process 6 Total Accum Time</t>
  </si>
  <si>
    <t>Process 7 Accum VA Cost</t>
  </si>
  <si>
    <t>Process 7 Accum VA Time</t>
  </si>
  <si>
    <t>Process 7 Accum Wait Cost</t>
  </si>
  <si>
    <t>Process 7 Accum Wait Time</t>
  </si>
  <si>
    <t>Process 7 Number In</t>
  </si>
  <si>
    <t>Process 7 Number Out</t>
  </si>
  <si>
    <t>Process 7 Total Accum Cost</t>
  </si>
  <si>
    <t>Process 7 Total Accum Time</t>
  </si>
  <si>
    <t>Process 8 Accum VA Cost</t>
  </si>
  <si>
    <t>Process 8 Accum VA Time</t>
  </si>
  <si>
    <t>Process 8 Accum Wait Cost</t>
  </si>
  <si>
    <t>Process 8 Accum Wait Time</t>
  </si>
  <si>
    <t>Process 8 Number In</t>
  </si>
  <si>
    <t>Process 8 Number Out</t>
  </si>
  <si>
    <t>Process 8 Total Accum Cost</t>
  </si>
  <si>
    <t>Process 8 Total Accum Time</t>
  </si>
  <si>
    <t>Process 9 Accum VA Cost</t>
  </si>
  <si>
    <t>Process 9 Accum VA Time</t>
  </si>
  <si>
    <t>Process 9 Accum Wait Cost</t>
  </si>
  <si>
    <t>Process 9 Accum Wait Time</t>
  </si>
  <si>
    <t>Process 9 Number In</t>
  </si>
  <si>
    <t>Process 9 Number Out</t>
  </si>
  <si>
    <t>Process 9 Total Accum Cost</t>
  </si>
  <si>
    <t>Process 9 Total Accum Time</t>
  </si>
  <si>
    <t>Sales Department.BusyCost</t>
  </si>
  <si>
    <t>Sales Department.IdleCost</t>
  </si>
  <si>
    <t>Sales Department.NumberSeized</t>
  </si>
  <si>
    <t>Sales Department.ScheduledUtilization</t>
  </si>
  <si>
    <t>Sales Department.UsageCost</t>
  </si>
  <si>
    <t>Sales Rep.BusyCost</t>
  </si>
  <si>
    <t>Sales Rep.IdleCost</t>
  </si>
  <si>
    <t>Sales Rep.NumberSeized</t>
  </si>
  <si>
    <t>Sales Rep.ScheduledUtilization</t>
  </si>
  <si>
    <t>Sales Rep.UsageCost</t>
  </si>
  <si>
    <t>System.NumberOut</t>
  </si>
  <si>
    <t>System.TotalCost</t>
  </si>
  <si>
    <t>Wire Harness.NumberIn</t>
  </si>
  <si>
    <t>Wire Harness.NumberOut</t>
  </si>
  <si>
    <t>sales Accum VA Cost</t>
  </si>
  <si>
    <t>sales Accum VA Time</t>
  </si>
  <si>
    <t>sales Accum Wait Cost</t>
  </si>
  <si>
    <t>sales Accum Wait Time</t>
  </si>
  <si>
    <t>sales Number In</t>
  </si>
  <si>
    <t>sales Number Out</t>
  </si>
  <si>
    <t>sales Total Accum Cost</t>
  </si>
  <si>
    <t>sales Total Accum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</si>
</sst>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17.850644791666" createdVersion="7" refreshedVersion="8" minRefreshableVersion="3" recordCount="17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8">
        <s v="Assembly Batch.Queue"/>
        <s v="Batch 2.Queue"/>
        <s v="Batch 3.Queue"/>
        <s v="Batch 5.Queue"/>
        <s v="Customer"/>
        <s v="Entity 1"/>
        <s v="Entity 2"/>
        <s v="Entity 3"/>
        <s v="Process 1"/>
        <s v="Process 1.Queue"/>
        <s v="Process 14"/>
        <s v="Process 14.Queue"/>
        <s v="Process 2"/>
        <s v="Process 2.Queue"/>
        <s v="Process 3"/>
        <s v="Process 3.Queue"/>
        <s v="Process 4"/>
        <s v="Process 4.Queue"/>
        <s v="Process 5"/>
        <s v="Process 5.Queue"/>
        <s v="Process 6"/>
        <s v="Process 6.Queue"/>
        <s v="Process 7"/>
        <s v="Process 7.Queue"/>
        <s v="Process 8"/>
        <s v="Process 8.Queue"/>
        <s v="Process 9"/>
        <s v="Process 9.Queue"/>
        <s v="sales"/>
        <s v="sales.Queue"/>
        <s v="Seize 1.Queue"/>
        <s v="Seize 2.Queue"/>
        <s v="Seize 3.Queue"/>
        <s v="Seize 4.Queue"/>
        <s v="Seize 5.Queue"/>
        <s v="Seize 6.Queue"/>
        <s v="Seize 7.Queue"/>
        <s v="Seize 8.Queue"/>
        <s v="Seize 9.Queue"/>
        <s v="Wire Harness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s v="Total Cost Per Entity"/>
        <s v="Total Time Per Entity"/>
        <s v="VA Cost Per Entity"/>
        <s v="VA Time Per Entity"/>
        <s v="Wait Cost Per Entity"/>
        <s v="Wait Time Per Entity"/>
        <m u="1"/>
        <s v="Interval" u="1"/>
      </sharedItems>
    </cacheField>
    <cacheField name="Source" numFmtId="0">
      <sharedItems containsBlank="1" count="5">
        <s v="Queue"/>
        <s v="Entity"/>
        <s v="Process"/>
        <m u="1"/>
        <s v="User Specified" u="1"/>
      </sharedItems>
    </cacheField>
    <cacheField name="Average" numFmtId="0">
      <sharedItems containsSemiMixedTypes="0" containsString="0" containsNumber="1" minValue="0" maxValue="1.00540515636633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36596685738812701"/>
    </cacheField>
    <cacheField name="Maximum" numFmtId="0">
      <sharedItems containsSemiMixedTypes="0" containsString="0" containsNumber="1" minValue="0" maxValue="69.446922899356693"/>
    </cacheField>
    <cacheField name="NumberObservations" numFmtId="0">
      <sharedItems containsSemiMixedTypes="0" containsString="0" containsNumber="1" containsInteger="1" minValue="7" maxValue="870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.0054051563663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.00540515636633"/>
    </cacheField>
    <cacheField name="MaximumAverage" numFmtId="0">
      <sharedItems containsSemiMixedTypes="0" containsString="0" containsNumber="1" minValue="0" maxValue="1.00540515636633"/>
    </cacheField>
    <cacheField name="OverallMinimum" numFmtId="0">
      <sharedItems containsSemiMixedTypes="0" containsString="0" containsNumber="1" minValue="0" maxValue="0.36596685738812701"/>
    </cacheField>
    <cacheField name="OverallMaximum" numFmtId="0">
      <sharedItems containsSemiMixedTypes="0" containsString="0" containsNumber="1" minValue="0" maxValue="69.446922899356693"/>
    </cacheField>
    <cacheField name="AverageNumberObservations" numFmtId="0">
      <sharedItems containsSemiMixedTypes="0" containsString="0" containsNumber="1" containsInteger="1" minValue="7" maxValue="8700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17.850645254628" createdVersion="7" refreshedVersion="8" minRefreshableVersion="3" recordCount="21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291"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Assembler.BusyCost"/>
        <s v="Assembler.IdleCost"/>
        <s v="Assembler.NumberSeized"/>
        <s v="Assembler.ScheduledUtilization"/>
        <s v="Assembler.UsageCost"/>
        <s v="Customer.NumberIn"/>
        <s v="Customer.NumberOut"/>
        <s v="Entity 1.NumberIn"/>
        <s v="Entity 1.NumberOut"/>
        <s v="Entity 2.NumberIn"/>
        <s v="Entity 2.NumberOut"/>
        <s v="Entity 3.NumberIn"/>
        <s v="Entity 3.NumberOut"/>
        <s v="Kanban L1S1.BusyCost"/>
        <s v="Kanban L1S1.IdleCost"/>
        <s v="Kanban L1S1.NumberSeized"/>
        <s v="Kanban L1S1.ScheduledUtilization"/>
        <s v="Kanban L1S1.UsageCost"/>
        <s v="Kanban L1S2.BusyCost"/>
        <s v="Kanban L1S2.IdleCost"/>
        <s v="Kanban L1S2.NumberSeized"/>
        <s v="Kanban L1S2.ScheduledUtilization"/>
        <s v="Kanban L1S2.UsageCost"/>
        <s v="Kanban L1S3.BusyCost"/>
        <s v="Kanban L1S3.IdleCost"/>
        <s v="Kanban L1S3.NumberSeized"/>
        <s v="Kanban L1S3.ScheduledUtilization"/>
        <s v="Kanban L1S3.UsageCost"/>
        <s v="Kanban L2S1.BusyCost"/>
        <s v="Kanban L2S1.IdleCost"/>
        <s v="Kanban L2S1.NumberSeized"/>
        <s v="Kanban L2S1.ScheduledUtilization"/>
        <s v="Kanban L2S1.UsageCost"/>
        <s v="Kanban L2S2.BusyCost"/>
        <s v="Kanban L2S2.IdleCost"/>
        <s v="Kanban L2S2.NumberSeized"/>
        <s v="Kanban L2S2.ScheduledUtilization"/>
        <s v="Kanban L2S2.UsageCost"/>
        <s v="Kanban L2S3.BusyCost"/>
        <s v="Kanban L2S3.IdleCost"/>
        <s v="Kanban L2S3.NumberSeized"/>
        <s v="Kanban L2S3.ScheduledUtilization"/>
        <s v="Kanban L2S3.UsageCost"/>
        <s v="Kanban L2S4.BusyCost"/>
        <s v="Kanban L2S4.IdleCost"/>
        <s v="Kanban L2S4.NumberSeized"/>
        <s v="Kanban L2S4.ScheduledUtilization"/>
        <s v="Kanban L2S4.UsageCost"/>
        <s v="Kanban L3S1.BusyCost"/>
        <s v="Kanban L3S1.IdleCost"/>
        <s v="Kanban L3S1.NumberSeized"/>
        <s v="Kanban L3S1.ScheduledUtilization"/>
        <s v="Kanban L3S1.UsageCost"/>
        <s v="Kanban L3S2.BusyCost"/>
        <s v="Kanban L3S2.IdleCost"/>
        <s v="Kanban L3S2.NumberSeized"/>
        <s v="Kanban L3S2.ScheduledUtilization"/>
        <s v="Kanban L3S2.UsageCost"/>
        <s v="L1 Station1.BusyCost"/>
        <s v="L1 Station1.IdleCost"/>
        <s v="L1 Station1.NumberSeized"/>
        <s v="L1 Station1.ScheduledUtilization"/>
        <s v="L1 Station1.UsageCost"/>
        <s v="L1 Station2.BusyCost"/>
        <s v="L1 Station2.IdleCost"/>
        <s v="L1 Station2.NumberSeized"/>
        <s v="L1 Station2.ScheduledUtilization"/>
        <s v="L1 Station2.UsageCost"/>
        <s v="L1 Station3.BusyCost"/>
        <s v="L1 Station3.IdleCost"/>
        <s v="L1 Station3.NumberSeized"/>
        <s v="L1 Station3.ScheduledUtilization"/>
        <s v="L1 Station3.UsageCost"/>
        <s v="L2 Station1.BusyCost"/>
        <s v="L2 Station1.IdleCost"/>
        <s v="L2 Station1.NumberSeized"/>
        <s v="L2 Station1.ScheduledUtilization"/>
        <s v="L2 Station1.UsageCost"/>
        <s v="L2 Station2.BusyCost"/>
        <s v="L2 Station2.IdleCost"/>
        <s v="L2 Station2.NumberSeized"/>
        <s v="L2 Station2.ScheduledUtilization"/>
        <s v="L2 Station2.UsageCost"/>
        <s v="L2 Station3.BusyCost"/>
        <s v="L2 Station3.IdleCost"/>
        <s v="L2 Station3.NumberSeized"/>
        <s v="L2 Station3.ScheduledUtilization"/>
        <s v="L2 Station3.UsageCost"/>
        <s v="L2 Station4.BusyCost"/>
        <s v="L2 Station4.IdleCost"/>
        <s v="L2 Station4.NumberSeized"/>
        <s v="L2 Station4.ScheduledUtilization"/>
        <s v="L2 Station4.UsageCost"/>
        <s v="L3 Station1.BusyCost"/>
        <s v="L3 Station1.IdleCost"/>
        <s v="L3 Station1.NumberSeized"/>
        <s v="L3 Station1.ScheduledUtilization"/>
        <s v="L3 Station1.UsageCost"/>
        <s v="L3 Station2.BusyCost"/>
        <s v="L3 Station2.IdleCost"/>
        <s v="L3 Station2.NumberSeized"/>
        <s v="L3 Station2.ScheduledUtilization"/>
        <s v="L3 Station2.UsageCost"/>
        <s v="Process 1 Accum VA Cost"/>
        <s v="Process 1 Accum VA Time"/>
        <s v="Process 1 Accum Wait Cost"/>
        <s v="Process 1 Accum Wait Time"/>
        <s v="Process 1 Number In"/>
        <s v="Process 1 Number Out"/>
        <s v="Process 1 Total Accum Cost"/>
        <s v="Process 1 Total Accum Time"/>
        <s v="Process 14 Accum VA Cost"/>
        <s v="Process 14 Accum VA Time"/>
        <s v="Process 14 Accum Wait Cost"/>
        <s v="Process 14 Accum Wait Time"/>
        <s v="Process 14 Number In"/>
        <s v="Process 14 Number Out"/>
        <s v="Process 14 Total Accum Cost"/>
        <s v="Process 14 Total Accum Time"/>
        <s v="Process 2 Accum VA Cost"/>
        <s v="Process 2 Accum VA Time"/>
        <s v="Process 2 Accum Wait Cost"/>
        <s v="Process 2 Accum Wait Time"/>
        <s v="Process 2 Number In"/>
        <s v="Process 2 Number Out"/>
        <s v="Process 2 Total Accum Cost"/>
        <s v="Process 2 Total Accum Time"/>
        <s v="Process 3 Accum VA Cost"/>
        <s v="Process 3 Accum VA Time"/>
        <s v="Process 3 Accum Wait Cost"/>
        <s v="Process 3 Accum Wait Time"/>
        <s v="Process 3 Number In"/>
        <s v="Process 3 Number Out"/>
        <s v="Process 3 Total Accum Cost"/>
        <s v="Process 3 Total Accum Time"/>
        <s v="Process 4 Accum VA Cost"/>
        <s v="Process 4 Accum VA Time"/>
        <s v="Process 4 Accum Wait Cost"/>
        <s v="Process 4 Accum Wait Time"/>
        <s v="Process 4 Number In"/>
        <s v="Process 4 Number Out"/>
        <s v="Process 4 Total Accum Cost"/>
        <s v="Process 4 Total Accum Time"/>
        <s v="Process 5 Accum VA Cost"/>
        <s v="Process 5 Accum VA Time"/>
        <s v="Process 5 Accum Wait Cost"/>
        <s v="Process 5 Accum Wait Time"/>
        <s v="Process 5 Number In"/>
        <s v="Process 5 Number Out"/>
        <s v="Process 5 Total Accum Cost"/>
        <s v="Process 5 Total Accum Time"/>
        <s v="Process 6 Accum VA Cost"/>
        <s v="Process 6 Accum VA Time"/>
        <s v="Process 6 Accum Wait Cost"/>
        <s v="Process 6 Accum Wait Time"/>
        <s v="Process 6 Number In"/>
        <s v="Process 6 Number Out"/>
        <s v="Process 6 Total Accum Cost"/>
        <s v="Process 6 Total Accum Time"/>
        <s v="Process 7 Accum VA Cost"/>
        <s v="Process 7 Accum VA Time"/>
        <s v="Process 7 Accum Wait Cost"/>
        <s v="Process 7 Accum Wait Time"/>
        <s v="Process 7 Number In"/>
        <s v="Process 7 Number Out"/>
        <s v="Process 7 Total Accum Cost"/>
        <s v="Process 7 Total Accum Time"/>
        <s v="Process 8 Accum VA Cost"/>
        <s v="Process 8 Accum VA Time"/>
        <s v="Process 8 Accum Wait Cost"/>
        <s v="Process 8 Accum Wait Time"/>
        <s v="Process 8 Number In"/>
        <s v="Process 8 Number Out"/>
        <s v="Process 8 Total Accum Cost"/>
        <s v="Process 8 Total Accum Time"/>
        <s v="Process 9 Accum VA Cost"/>
        <s v="Process 9 Accum VA Time"/>
        <s v="Process 9 Accum Wait Cost"/>
        <s v="Process 9 Accum Wait Time"/>
        <s v="Process 9 Number In"/>
        <s v="Process 9 Number Out"/>
        <s v="Process 9 Total Accum Cost"/>
        <s v="Process 9 Total Accum Time"/>
        <s v="Sales Department.BusyCost"/>
        <s v="Sales Department.IdleCost"/>
        <s v="Sales Department.NumberSeized"/>
        <s v="Sales Department.ScheduledUtilization"/>
        <s v="Sales Department.UsageCost"/>
        <s v="Sales Rep.BusyCost"/>
        <s v="Sales Rep.IdleCost"/>
        <s v="Sales Rep.NumberSeized"/>
        <s v="Sales Rep.ScheduledUtilization"/>
        <s v="Sales Rep.UsageCost"/>
        <s v="System.NumberOut"/>
        <s v="System.TotalCost"/>
        <s v="Wire Harness.NumberIn"/>
        <s v="Wire Harness.NumberOut"/>
        <s v="sales Accum VA Cost"/>
        <s v="sales Accum VA Time"/>
        <s v="sales Accum Wait Cost"/>
        <s v="sales Accum Wait Time"/>
        <s v="sales Number In"/>
        <s v="sales Number Out"/>
        <s v="sales Total Accum Cost"/>
        <s v="sales Total Accum Time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s v="Number In"/>
        <s v="Number Out"/>
        <s v="Accum VA Cost"/>
        <s v="Accum VA Time"/>
        <s v="Accum Wait Cost"/>
        <s v="Accum Wait Time"/>
        <s v="Total Accum Cost"/>
        <s v="Total Accum Time"/>
        <m u="1"/>
      </sharedItems>
    </cacheField>
    <cacheField name="Source" numFmtId="0">
      <sharedItems containsBlank="1" count="5">
        <s v="System"/>
        <s v="Resource"/>
        <s v="Entity"/>
        <s v="Process"/>
        <m u="1"/>
      </sharedItems>
    </cacheField>
    <cacheField name="RecordedValue" numFmtId="0">
      <sharedItems containsSemiMixedTypes="0" containsString="0" containsNumber="1" minValue="0" maxValue="1497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14978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14978"/>
    </cacheField>
    <cacheField name="Maximum" numFmtId="0">
      <sharedItems containsSemiMixedTypes="0" containsString="0" containsNumber="1" minValue="0" maxValue="149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17.85064583333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5">
        <s v="Scrap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47" maxValue="47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47" maxValue="47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47" maxValue="47"/>
    </cacheField>
    <cacheField name="Maximum" numFmtId="0">
      <sharedItems containsSemiMixedTypes="0" containsString="0" containsNumber="1" containsInteger="1" minValue="47" maxValue="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17.850646874998" createdVersion="7" refreshedVersion="8" minRefreshableVersion="3" recordCount="92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73">
        <s v="Assembler"/>
        <s v="Assembly Batch.Queue"/>
        <s v="Batch 2.Queue"/>
        <s v="Batch 3.Queue"/>
        <s v="Batch 5.Queue"/>
        <s v="Customer"/>
        <s v="Entity 1"/>
        <s v="Entity 2"/>
        <s v="Entity 3"/>
        <s v="Kanban L1S1"/>
        <s v="Kanban L1S2"/>
        <s v="Kanban L1S3"/>
        <s v="Kanban L2S1"/>
        <s v="Kanban L2S2"/>
        <s v="Kanban L2S3"/>
        <s v="Kanban L2S4"/>
        <s v="Kanban L3S1"/>
        <s v="Kanban L3S2"/>
        <s v="L1 Station1"/>
        <s v="L1 Station2"/>
        <s v="L1 Station3"/>
        <s v="L2 Station1"/>
        <s v="L2 Station2"/>
        <s v="L2 Station3"/>
        <s v="L2 Station4"/>
        <s v="L3 Station1"/>
        <s v="L3 Station2"/>
        <s v="Process 1.Queue"/>
        <s v="Process 14.Queue"/>
        <s v="Process 2.Queue"/>
        <s v="Process 3.Queue"/>
        <s v="Process 4.Queue"/>
        <s v="Process 5.Queue"/>
        <s v="Process 6.Queue"/>
        <s v="Process 7.Queue"/>
        <s v="Process 8.Queue"/>
        <s v="Process 9.Queue"/>
        <s v="Sales Department"/>
        <s v="Sales Rep"/>
        <s v="Seize 1.Queue"/>
        <s v="Seize 2.Queue"/>
        <s v="Seize 3.Queue"/>
        <s v="Seize 4.Queue"/>
        <s v="Seize 5.Queue"/>
        <s v="Seize 6.Queue"/>
        <s v="Seize 7.Queue"/>
        <s v="Seize 8.Queue"/>
        <s v="Seize 9.Queue"/>
        <s v="Wire Harness"/>
        <s v="sale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20.877832467085501"/>
    </cacheField>
    <cacheField name="BatchMeansHalfWidth" numFmtId="0">
      <sharedItems containsSemiMixedTypes="0" containsString="0" containsNumber="1" minValue="0.18101961076145401" maxValue="3E+20"/>
    </cacheField>
    <cacheField name="Minimum" numFmtId="0">
      <sharedItems containsSemiMixedTypes="0" containsString="0" containsNumber="1" containsInteger="1" minValue="0" maxValue="5"/>
    </cacheField>
    <cacheField name="Maximum" numFmtId="0">
      <sharedItems containsSemiMixedTypes="0" containsString="0" containsNumber="1" containsInteger="1" minValue="0" maxValue="44"/>
    </cacheField>
    <cacheField name="LastRecordedValue" numFmtId="0">
      <sharedItems containsSemiMixedTypes="0" containsString="0" containsNumber="1" minValue="0" maxValue="3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0.8778324670855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0.877832467085501"/>
    </cacheField>
    <cacheField name="MaximumAverage" numFmtId="0">
      <sharedItems containsSemiMixedTypes="0" containsString="0" containsNumber="1" minValue="0" maxValue="20.877832467085501"/>
    </cacheField>
    <cacheField name="SummaryHalfWidth" numFmtId="0">
      <sharedItems containsSemiMixedTypes="0" containsString="0" containsNumber="1" minValue="0.18101961076145401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ahan" refreshedDate="46017.85064803240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x v="0"/>
    <s v="2025-12-26 20:24:34"/>
    <n v="1"/>
    <x v="0"/>
    <x v="0"/>
    <x v="0"/>
    <n v="0"/>
    <n v="0"/>
    <n v="0"/>
    <n v="0"/>
    <n v="2769"/>
    <s v="Unnamed ProjectAssembly Batch.QueueWaiting CostQueue"/>
    <n v="1"/>
    <n v="0"/>
    <n v="0"/>
    <n v="0.95"/>
    <n v="4E+20"/>
    <n v="0"/>
    <n v="0"/>
    <n v="0"/>
    <n v="0"/>
    <n v="2769"/>
    <n v="0"/>
    <n v="1"/>
    <n v="1"/>
  </r>
  <r>
    <x v="0"/>
    <s v="2025-12-26 20:24:34"/>
    <n v="1"/>
    <x v="0"/>
    <x v="1"/>
    <x v="0"/>
    <n v="6.1187786182283601E-3"/>
    <n v="1.6989642477940299E-3"/>
    <n v="0"/>
    <n v="1.00933579764523"/>
    <n v="2769"/>
    <s v="Unnamed ProjectAssembly Batch.QueueWaiting TimeQueue"/>
    <n v="1"/>
    <n v="6.1187786182283601E-3"/>
    <n v="0"/>
    <n v="0.95"/>
    <n v="4E+20"/>
    <n v="6.1187786182283601E-3"/>
    <n v="6.1187786182283601E-3"/>
    <n v="0"/>
    <n v="1.00933579764523"/>
    <n v="2769"/>
    <n v="1.6989642477940299E-3"/>
    <n v="1"/>
    <n v="1"/>
  </r>
  <r>
    <x v="0"/>
    <s v="2025-12-26 20:24:34"/>
    <n v="1"/>
    <x v="1"/>
    <x v="0"/>
    <x v="0"/>
    <n v="0"/>
    <n v="0"/>
    <n v="0"/>
    <n v="0"/>
    <n v="4192"/>
    <s v="Unnamed ProjectBatch 2.QueueWaiting CostQueue"/>
    <n v="1"/>
    <n v="0"/>
    <n v="0"/>
    <n v="0.95"/>
    <n v="4E+20"/>
    <n v="0"/>
    <n v="0"/>
    <n v="0"/>
    <n v="0"/>
    <n v="4192"/>
    <n v="0"/>
    <n v="1"/>
    <n v="1"/>
  </r>
  <r>
    <x v="0"/>
    <s v="2025-12-26 20:24:34"/>
    <n v="1"/>
    <x v="1"/>
    <x v="1"/>
    <x v="0"/>
    <n v="1.9150069138842199E-3"/>
    <n v="4.9625924607949595E-4"/>
    <n v="0"/>
    <n v="1.0030500517329699"/>
    <n v="4192"/>
    <s v="Unnamed ProjectBatch 2.QueueWaiting TimeQueue"/>
    <n v="1"/>
    <n v="1.9150069138842199E-3"/>
    <n v="0"/>
    <n v="0.95"/>
    <n v="4E+20"/>
    <n v="1.9150069138842199E-3"/>
    <n v="1.9150069138842199E-3"/>
    <n v="0"/>
    <n v="1.0030500517329699"/>
    <n v="4192"/>
    <n v="4.9625924607949595E-4"/>
    <n v="1"/>
    <n v="1"/>
  </r>
  <r>
    <x v="0"/>
    <s v="2025-12-26 20:24:34"/>
    <n v="1"/>
    <x v="2"/>
    <x v="0"/>
    <x v="0"/>
    <n v="0"/>
    <n v="0"/>
    <n v="0"/>
    <n v="0"/>
    <n v="8694"/>
    <s v="Unnamed ProjectBatch 3.QueueWaiting CostQueue"/>
    <n v="1"/>
    <n v="0"/>
    <n v="0"/>
    <n v="0.95"/>
    <n v="4E+20"/>
    <n v="0"/>
    <n v="0"/>
    <n v="0"/>
    <n v="0"/>
    <n v="8694"/>
    <n v="0"/>
    <n v="1"/>
    <n v="1"/>
  </r>
  <r>
    <x v="0"/>
    <s v="2025-12-26 20:24:34"/>
    <n v="1"/>
    <x v="2"/>
    <x v="1"/>
    <x v="0"/>
    <n v="9.2100499442435298E-4"/>
    <n v="2.4130090306216401E-4"/>
    <n v="0"/>
    <n v="1.00145322527628"/>
    <n v="8694"/>
    <s v="Unnamed ProjectBatch 3.QueueWaiting TimeQueue"/>
    <n v="1"/>
    <n v="9.2100499442435298E-4"/>
    <n v="0"/>
    <n v="0.95"/>
    <n v="4E+20"/>
    <n v="9.2100499442435298E-4"/>
    <n v="9.2100499442435298E-4"/>
    <n v="0"/>
    <n v="1.00145322527628"/>
    <n v="8694"/>
    <n v="2.4130090306216401E-4"/>
    <n v="1"/>
    <n v="1"/>
  </r>
  <r>
    <x v="0"/>
    <s v="2025-12-26 20:24:34"/>
    <n v="1"/>
    <x v="3"/>
    <x v="0"/>
    <x v="0"/>
    <n v="0"/>
    <n v="0"/>
    <n v="0"/>
    <n v="0"/>
    <n v="8454"/>
    <s v="Unnamed ProjectBatch 5.QueueWaiting CostQueue"/>
    <n v="1"/>
    <n v="0"/>
    <n v="0"/>
    <n v="0.95"/>
    <n v="4E+20"/>
    <n v="0"/>
    <n v="0"/>
    <n v="0"/>
    <n v="0"/>
    <n v="8454"/>
    <n v="0"/>
    <n v="1"/>
    <n v="1"/>
  </r>
  <r>
    <x v="0"/>
    <s v="2025-12-26 20:24:34"/>
    <n v="1"/>
    <x v="3"/>
    <x v="1"/>
    <x v="0"/>
    <n v="1.8908440734168299E-3"/>
    <n v="3.2950636737314202E-4"/>
    <n v="0"/>
    <n v="1.00313773952281"/>
    <n v="8454"/>
    <s v="Unnamed ProjectBatch 5.QueueWaiting TimeQueue"/>
    <n v="1"/>
    <n v="1.8908440734168299E-3"/>
    <n v="0"/>
    <n v="0.95"/>
    <n v="4E+20"/>
    <n v="1.8908440734168299E-3"/>
    <n v="1.8908440734168299E-3"/>
    <n v="0"/>
    <n v="1.00313773952281"/>
    <n v="8454"/>
    <n v="3.2950636737314202E-4"/>
    <n v="1"/>
    <n v="1"/>
  </r>
  <r>
    <x v="0"/>
    <s v="2025-12-26 20:24:34"/>
    <n v="1"/>
    <x v="4"/>
    <x v="2"/>
    <x v="1"/>
    <n v="0"/>
    <n v="2E+20"/>
    <n v="0"/>
    <n v="0"/>
    <n v="127"/>
    <s v="Unnamed ProjectCustomerNVA CostEntity"/>
    <n v="1"/>
    <n v="0"/>
    <n v="0"/>
    <n v="0.95"/>
    <n v="4E+20"/>
    <n v="0"/>
    <n v="0"/>
    <n v="0"/>
    <n v="0"/>
    <n v="127"/>
    <n v="2E+20"/>
    <n v="1"/>
    <n v="1"/>
  </r>
  <r>
    <x v="0"/>
    <s v="2025-12-26 20:24:34"/>
    <n v="1"/>
    <x v="4"/>
    <x v="3"/>
    <x v="1"/>
    <n v="0"/>
    <n v="2E+20"/>
    <n v="0"/>
    <n v="0"/>
    <n v="127"/>
    <s v="Unnamed ProjectCustomerNVA TimeEntity"/>
    <n v="1"/>
    <n v="0"/>
    <n v="0"/>
    <n v="0.95"/>
    <n v="4E+20"/>
    <n v="0"/>
    <n v="0"/>
    <n v="0"/>
    <n v="0"/>
    <n v="127"/>
    <n v="2E+20"/>
    <n v="1"/>
    <n v="1"/>
  </r>
  <r>
    <x v="0"/>
    <s v="2025-12-26 20:24:34"/>
    <n v="1"/>
    <x v="4"/>
    <x v="4"/>
    <x v="1"/>
    <n v="0"/>
    <n v="2E+20"/>
    <n v="0"/>
    <n v="0"/>
    <n v="127"/>
    <s v="Unnamed ProjectCustomerOther CostEntity"/>
    <n v="1"/>
    <n v="0"/>
    <n v="0"/>
    <n v="0.95"/>
    <n v="4E+20"/>
    <n v="0"/>
    <n v="0"/>
    <n v="0"/>
    <n v="0"/>
    <n v="127"/>
    <n v="2E+20"/>
    <n v="1"/>
    <n v="1"/>
  </r>
  <r>
    <x v="0"/>
    <s v="2025-12-26 20:24:34"/>
    <n v="1"/>
    <x v="4"/>
    <x v="5"/>
    <x v="1"/>
    <n v="0"/>
    <n v="2E+20"/>
    <n v="0"/>
    <n v="0"/>
    <n v="127"/>
    <s v="Unnamed ProjectCustomerOther TimeEntity"/>
    <n v="1"/>
    <n v="0"/>
    <n v="0"/>
    <n v="0.95"/>
    <n v="4E+20"/>
    <n v="0"/>
    <n v="0"/>
    <n v="0"/>
    <n v="0"/>
    <n v="127"/>
    <n v="2E+20"/>
    <n v="1"/>
    <n v="1"/>
  </r>
  <r>
    <x v="0"/>
    <s v="2025-12-26 20:24:34"/>
    <n v="1"/>
    <x v="4"/>
    <x v="6"/>
    <x v="1"/>
    <n v="0"/>
    <n v="2E+20"/>
    <n v="0"/>
    <n v="0"/>
    <n v="127"/>
    <s v="Unnamed ProjectCustomerTotal CostEntity"/>
    <n v="1"/>
    <n v="0"/>
    <n v="0"/>
    <n v="0.95"/>
    <n v="4E+20"/>
    <n v="0"/>
    <n v="0"/>
    <n v="0"/>
    <n v="0"/>
    <n v="127"/>
    <n v="2E+20"/>
    <n v="1"/>
    <n v="1"/>
  </r>
  <r>
    <x v="0"/>
    <s v="2025-12-26 20:24:34"/>
    <n v="1"/>
    <x v="4"/>
    <x v="7"/>
    <x v="1"/>
    <n v="1.6354647225872002E-2"/>
    <n v="2E+20"/>
    <n v="0"/>
    <n v="0.28466188240354401"/>
    <n v="127"/>
    <s v="Unnamed ProjectCustomerTotal TimeEntity"/>
    <n v="1"/>
    <n v="1.6354647225872002E-2"/>
    <n v="0"/>
    <n v="0.95"/>
    <n v="4E+20"/>
    <n v="1.6354647225872002E-2"/>
    <n v="1.6354647225872002E-2"/>
    <n v="0"/>
    <n v="0.28466188240354401"/>
    <n v="127"/>
    <n v="2E+20"/>
    <n v="1"/>
    <n v="1"/>
  </r>
  <r>
    <x v="0"/>
    <s v="2025-12-26 20:24:34"/>
    <n v="1"/>
    <x v="4"/>
    <x v="8"/>
    <x v="1"/>
    <n v="0"/>
    <n v="2E+20"/>
    <n v="0"/>
    <n v="0"/>
    <n v="127"/>
    <s v="Unnamed ProjectCustomerTransfer CostEntity"/>
    <n v="1"/>
    <n v="0"/>
    <n v="0"/>
    <n v="0.95"/>
    <n v="4E+20"/>
    <n v="0"/>
    <n v="0"/>
    <n v="0"/>
    <n v="0"/>
    <n v="127"/>
    <n v="2E+20"/>
    <n v="1"/>
    <n v="1"/>
  </r>
  <r>
    <x v="0"/>
    <s v="2025-12-26 20:24:34"/>
    <n v="1"/>
    <x v="4"/>
    <x v="9"/>
    <x v="1"/>
    <n v="0"/>
    <n v="2E+20"/>
    <n v="0"/>
    <n v="0"/>
    <n v="127"/>
    <s v="Unnamed ProjectCustomerTransfer TimeEntity"/>
    <n v="1"/>
    <n v="0"/>
    <n v="0"/>
    <n v="0.95"/>
    <n v="4E+20"/>
    <n v="0"/>
    <n v="0"/>
    <n v="0"/>
    <n v="0"/>
    <n v="127"/>
    <n v="2E+20"/>
    <n v="1"/>
    <n v="1"/>
  </r>
  <r>
    <x v="0"/>
    <s v="2025-12-26 20:24:34"/>
    <n v="1"/>
    <x v="4"/>
    <x v="10"/>
    <x v="1"/>
    <n v="0"/>
    <n v="2E+20"/>
    <n v="0"/>
    <n v="0"/>
    <n v="127"/>
    <s v="Unnamed ProjectCustomerVA CostEntity"/>
    <n v="1"/>
    <n v="0"/>
    <n v="0"/>
    <n v="0.95"/>
    <n v="4E+20"/>
    <n v="0"/>
    <n v="0"/>
    <n v="0"/>
    <n v="0"/>
    <n v="127"/>
    <n v="2E+20"/>
    <n v="1"/>
    <n v="1"/>
  </r>
  <r>
    <x v="0"/>
    <s v="2025-12-26 20:24:34"/>
    <n v="1"/>
    <x v="4"/>
    <x v="11"/>
    <x v="1"/>
    <n v="1.3982161909108099E-2"/>
    <n v="2E+20"/>
    <n v="0"/>
    <n v="0.16065896246063699"/>
    <n v="127"/>
    <s v="Unnamed ProjectCustomerVA TimeEntity"/>
    <n v="1"/>
    <n v="1.3982161909108099E-2"/>
    <n v="0"/>
    <n v="0.95"/>
    <n v="4E+20"/>
    <n v="1.3982161909108099E-2"/>
    <n v="1.3982161909108099E-2"/>
    <n v="0"/>
    <n v="0.16065896246063699"/>
    <n v="127"/>
    <n v="2E+20"/>
    <n v="1"/>
    <n v="1"/>
  </r>
  <r>
    <x v="0"/>
    <s v="2025-12-26 20:24:34"/>
    <n v="1"/>
    <x v="4"/>
    <x v="12"/>
    <x v="1"/>
    <n v="0"/>
    <n v="2E+20"/>
    <n v="0"/>
    <n v="0"/>
    <n v="127"/>
    <s v="Unnamed ProjectCustomerWait CostEntity"/>
    <n v="1"/>
    <n v="0"/>
    <n v="0"/>
    <n v="0.95"/>
    <n v="4E+20"/>
    <n v="0"/>
    <n v="0"/>
    <n v="0"/>
    <n v="0"/>
    <n v="127"/>
    <n v="2E+20"/>
    <n v="1"/>
    <n v="1"/>
  </r>
  <r>
    <x v="0"/>
    <s v="2025-12-26 20:24:34"/>
    <n v="1"/>
    <x v="4"/>
    <x v="13"/>
    <x v="1"/>
    <n v="2.3724853167638601E-3"/>
    <n v="2E+20"/>
    <n v="0"/>
    <n v="0.12400291994290701"/>
    <n v="127"/>
    <s v="Unnamed ProjectCustomerWait TimeEntity"/>
    <n v="1"/>
    <n v="2.3724853167638601E-3"/>
    <n v="0"/>
    <n v="0.95"/>
    <n v="4E+20"/>
    <n v="2.3724853167638601E-3"/>
    <n v="2.3724853167638601E-3"/>
    <n v="0"/>
    <n v="0.12400291994290701"/>
    <n v="127"/>
    <n v="2E+20"/>
    <n v="1"/>
    <n v="1"/>
  </r>
  <r>
    <x v="0"/>
    <s v="2025-12-26 20:24:34"/>
    <n v="1"/>
    <x v="5"/>
    <x v="2"/>
    <x v="1"/>
    <n v="0"/>
    <n v="2E+20"/>
    <n v="0"/>
    <n v="0"/>
    <n v="7"/>
    <s v="Unnamed ProjectEntity 1NVA CostEntity"/>
    <n v="1"/>
    <n v="0"/>
    <n v="0"/>
    <n v="0.95"/>
    <n v="4E+20"/>
    <n v="0"/>
    <n v="0"/>
    <n v="0"/>
    <n v="0"/>
    <n v="7"/>
    <n v="2E+20"/>
    <n v="1"/>
    <n v="1"/>
  </r>
  <r>
    <x v="0"/>
    <s v="2025-12-26 20:24:34"/>
    <n v="1"/>
    <x v="5"/>
    <x v="3"/>
    <x v="1"/>
    <n v="0"/>
    <n v="2E+20"/>
    <n v="0"/>
    <n v="0"/>
    <n v="7"/>
    <s v="Unnamed ProjectEntity 1NVA TimeEntity"/>
    <n v="1"/>
    <n v="0"/>
    <n v="0"/>
    <n v="0.95"/>
    <n v="4E+20"/>
    <n v="0"/>
    <n v="0"/>
    <n v="0"/>
    <n v="0"/>
    <n v="7"/>
    <n v="2E+20"/>
    <n v="1"/>
    <n v="1"/>
  </r>
  <r>
    <x v="0"/>
    <s v="2025-12-26 20:24:34"/>
    <n v="1"/>
    <x v="5"/>
    <x v="4"/>
    <x v="1"/>
    <n v="0"/>
    <n v="2E+20"/>
    <n v="0"/>
    <n v="0"/>
    <n v="7"/>
    <s v="Unnamed ProjectEntity 1Other CostEntity"/>
    <n v="1"/>
    <n v="0"/>
    <n v="0"/>
    <n v="0.95"/>
    <n v="4E+20"/>
    <n v="0"/>
    <n v="0"/>
    <n v="0"/>
    <n v="0"/>
    <n v="7"/>
    <n v="2E+20"/>
    <n v="1"/>
    <n v="1"/>
  </r>
  <r>
    <x v="0"/>
    <s v="2025-12-26 20:24:34"/>
    <n v="1"/>
    <x v="5"/>
    <x v="5"/>
    <x v="1"/>
    <n v="3.9169409945696503E-2"/>
    <n v="2E+20"/>
    <n v="3.8326397983983199E-2"/>
    <n v="4.0021802683181597E-2"/>
    <n v="7"/>
    <s v="Unnamed ProjectEntity 1Other TimeEntity"/>
    <n v="1"/>
    <n v="3.9169409945696503E-2"/>
    <n v="0"/>
    <n v="0.95"/>
    <n v="4E+20"/>
    <n v="3.9169409945696503E-2"/>
    <n v="3.9169409945696503E-2"/>
    <n v="3.8326397983983199E-2"/>
    <n v="4.0021802683181597E-2"/>
    <n v="7"/>
    <n v="2E+20"/>
    <n v="1"/>
    <n v="1"/>
  </r>
  <r>
    <x v="0"/>
    <s v="2025-12-26 20:24:34"/>
    <n v="1"/>
    <x v="5"/>
    <x v="6"/>
    <x v="1"/>
    <n v="0"/>
    <n v="2E+20"/>
    <n v="0"/>
    <n v="0"/>
    <n v="7"/>
    <s v="Unnamed ProjectEntity 1Total CostEntity"/>
    <n v="1"/>
    <n v="0"/>
    <n v="0"/>
    <n v="0.95"/>
    <n v="4E+20"/>
    <n v="0"/>
    <n v="0"/>
    <n v="0"/>
    <n v="0"/>
    <n v="7"/>
    <n v="2E+20"/>
    <n v="1"/>
    <n v="1"/>
  </r>
  <r>
    <x v="0"/>
    <s v="2025-12-26 20:24:34"/>
    <n v="1"/>
    <x v="5"/>
    <x v="7"/>
    <x v="1"/>
    <n v="0.16230064882199799"/>
    <n v="2E+20"/>
    <n v="5.5797619731336602E-2"/>
    <n v="0.24978741802230101"/>
    <n v="7"/>
    <s v="Unnamed ProjectEntity 1Total TimeEntity"/>
    <n v="1"/>
    <n v="0.16230064882199799"/>
    <n v="0"/>
    <n v="0.95"/>
    <n v="4E+20"/>
    <n v="0.16230064882199799"/>
    <n v="0.16230064882199799"/>
    <n v="5.5797619731336602E-2"/>
    <n v="0.24978741802230101"/>
    <n v="7"/>
    <n v="2E+20"/>
    <n v="1"/>
    <n v="1"/>
  </r>
  <r>
    <x v="0"/>
    <s v="2025-12-26 20:24:34"/>
    <n v="1"/>
    <x v="5"/>
    <x v="8"/>
    <x v="1"/>
    <n v="0"/>
    <n v="2E+20"/>
    <n v="0"/>
    <n v="0"/>
    <n v="7"/>
    <s v="Unnamed ProjectEntity 1Transfer CostEntity"/>
    <n v="1"/>
    <n v="0"/>
    <n v="0"/>
    <n v="0.95"/>
    <n v="4E+20"/>
    <n v="0"/>
    <n v="0"/>
    <n v="0"/>
    <n v="0"/>
    <n v="7"/>
    <n v="2E+20"/>
    <n v="1"/>
    <n v="1"/>
  </r>
  <r>
    <x v="0"/>
    <s v="2025-12-26 20:24:34"/>
    <n v="1"/>
    <x v="5"/>
    <x v="9"/>
    <x v="1"/>
    <n v="0"/>
    <n v="2E+20"/>
    <n v="0"/>
    <n v="0"/>
    <n v="7"/>
    <s v="Unnamed ProjectEntity 1Transfer TimeEntity"/>
    <n v="1"/>
    <n v="0"/>
    <n v="0"/>
    <n v="0.95"/>
    <n v="4E+20"/>
    <n v="0"/>
    <n v="0"/>
    <n v="0"/>
    <n v="0"/>
    <n v="7"/>
    <n v="2E+20"/>
    <n v="1"/>
    <n v="1"/>
  </r>
  <r>
    <x v="0"/>
    <s v="2025-12-26 20:24:34"/>
    <n v="1"/>
    <x v="5"/>
    <x v="10"/>
    <x v="1"/>
    <n v="0"/>
    <n v="2E+20"/>
    <n v="0"/>
    <n v="0"/>
    <n v="7"/>
    <s v="Unnamed ProjectEntity 1VA CostEntity"/>
    <n v="1"/>
    <n v="0"/>
    <n v="0"/>
    <n v="0.95"/>
    <n v="4E+20"/>
    <n v="0"/>
    <n v="0"/>
    <n v="0"/>
    <n v="0"/>
    <n v="7"/>
    <n v="2E+20"/>
    <n v="1"/>
    <n v="1"/>
  </r>
  <r>
    <x v="0"/>
    <s v="2025-12-26 20:24:34"/>
    <n v="1"/>
    <x v="5"/>
    <x v="11"/>
    <x v="1"/>
    <n v="3.42239003398443E-2"/>
    <n v="2E+20"/>
    <n v="2.9157961042942701E-2"/>
    <n v="3.73674984491714E-2"/>
    <n v="7"/>
    <s v="Unnamed ProjectEntity 1VA TimeEntity"/>
    <n v="1"/>
    <n v="3.42239003398443E-2"/>
    <n v="0"/>
    <n v="0.95"/>
    <n v="4E+20"/>
    <n v="3.42239003398443E-2"/>
    <n v="3.42239003398443E-2"/>
    <n v="2.9157961042942701E-2"/>
    <n v="3.73674984491714E-2"/>
    <n v="7"/>
    <n v="2E+20"/>
    <n v="1"/>
    <n v="1"/>
  </r>
  <r>
    <x v="0"/>
    <s v="2025-12-26 20:24:34"/>
    <n v="1"/>
    <x v="5"/>
    <x v="12"/>
    <x v="1"/>
    <n v="0"/>
    <n v="2E+20"/>
    <n v="0"/>
    <n v="0"/>
    <n v="7"/>
    <s v="Unnamed ProjectEntity 1Wait CostEntity"/>
    <n v="1"/>
    <n v="0"/>
    <n v="0"/>
    <n v="0.95"/>
    <n v="4E+20"/>
    <n v="0"/>
    <n v="0"/>
    <n v="0"/>
    <n v="0"/>
    <n v="7"/>
    <n v="2E+20"/>
    <n v="1"/>
    <n v="1"/>
  </r>
  <r>
    <x v="0"/>
    <s v="2025-12-26 20:24:34"/>
    <n v="1"/>
    <x v="5"/>
    <x v="13"/>
    <x v="1"/>
    <n v="0.27311475470444802"/>
    <n v="2E+20"/>
    <n v="0.15412615213487699"/>
    <n v="0.40833613998929502"/>
    <n v="7"/>
    <s v="Unnamed ProjectEntity 1Wait TimeEntity"/>
    <n v="1"/>
    <n v="0.27311475470444802"/>
    <n v="0"/>
    <n v="0.95"/>
    <n v="4E+20"/>
    <n v="0.27311475470444802"/>
    <n v="0.27311475470444802"/>
    <n v="0.15412615213487699"/>
    <n v="0.40833613998929502"/>
    <n v="7"/>
    <n v="2E+20"/>
    <n v="1"/>
    <n v="1"/>
  </r>
  <r>
    <x v="0"/>
    <s v="2025-12-26 20:24:34"/>
    <n v="1"/>
    <x v="6"/>
    <x v="2"/>
    <x v="1"/>
    <n v="0"/>
    <n v="2E+20"/>
    <n v="0"/>
    <n v="0"/>
    <n v="8"/>
    <s v="Unnamed ProjectEntity 2NVA CostEntity"/>
    <n v="1"/>
    <n v="0"/>
    <n v="0"/>
    <n v="0.95"/>
    <n v="4E+20"/>
    <n v="0"/>
    <n v="0"/>
    <n v="0"/>
    <n v="0"/>
    <n v="8"/>
    <n v="2E+20"/>
    <n v="1"/>
    <n v="1"/>
  </r>
  <r>
    <x v="0"/>
    <s v="2025-12-26 20:24:34"/>
    <n v="1"/>
    <x v="6"/>
    <x v="3"/>
    <x v="1"/>
    <n v="0"/>
    <n v="2E+20"/>
    <n v="0"/>
    <n v="0"/>
    <n v="8"/>
    <s v="Unnamed ProjectEntity 2NVA TimeEntity"/>
    <n v="1"/>
    <n v="0"/>
    <n v="0"/>
    <n v="0.95"/>
    <n v="4E+20"/>
    <n v="0"/>
    <n v="0"/>
    <n v="0"/>
    <n v="0"/>
    <n v="8"/>
    <n v="2E+20"/>
    <n v="1"/>
    <n v="1"/>
  </r>
  <r>
    <x v="0"/>
    <s v="2025-12-26 20:24:34"/>
    <n v="1"/>
    <x v="6"/>
    <x v="4"/>
    <x v="1"/>
    <n v="0"/>
    <n v="2E+20"/>
    <n v="0"/>
    <n v="0"/>
    <n v="8"/>
    <s v="Unnamed ProjectEntity 2Other CostEntity"/>
    <n v="1"/>
    <n v="0"/>
    <n v="0"/>
    <n v="0.95"/>
    <n v="4E+20"/>
    <n v="0"/>
    <n v="0"/>
    <n v="0"/>
    <n v="0"/>
    <n v="8"/>
    <n v="2E+20"/>
    <n v="1"/>
    <n v="1"/>
  </r>
  <r>
    <x v="0"/>
    <s v="2025-12-26 20:24:34"/>
    <n v="1"/>
    <x v="6"/>
    <x v="5"/>
    <x v="1"/>
    <n v="3.9047821944086597E-2"/>
    <n v="2E+20"/>
    <n v="3.8276730405336003E-2"/>
    <n v="4.0386145614100102E-2"/>
    <n v="8"/>
    <s v="Unnamed ProjectEntity 2Other TimeEntity"/>
    <n v="1"/>
    <n v="3.9047821944086597E-2"/>
    <n v="0"/>
    <n v="0.95"/>
    <n v="4E+20"/>
    <n v="3.9047821944086597E-2"/>
    <n v="3.9047821944086597E-2"/>
    <n v="3.8276730405336003E-2"/>
    <n v="4.0386145614100102E-2"/>
    <n v="8"/>
    <n v="2E+20"/>
    <n v="1"/>
    <n v="1"/>
  </r>
  <r>
    <x v="0"/>
    <s v="2025-12-26 20:24:34"/>
    <n v="1"/>
    <x v="6"/>
    <x v="6"/>
    <x v="1"/>
    <n v="0"/>
    <n v="2E+20"/>
    <n v="0"/>
    <n v="0"/>
    <n v="8"/>
    <s v="Unnamed ProjectEntity 2Total CostEntity"/>
    <n v="1"/>
    <n v="0"/>
    <n v="0"/>
    <n v="0.95"/>
    <n v="4E+20"/>
    <n v="0"/>
    <n v="0"/>
    <n v="0"/>
    <n v="0"/>
    <n v="8"/>
    <n v="2E+20"/>
    <n v="1"/>
    <n v="1"/>
  </r>
  <r>
    <x v="0"/>
    <s v="2025-12-26 20:24:34"/>
    <n v="1"/>
    <x v="6"/>
    <x v="7"/>
    <x v="1"/>
    <n v="0.19360249686598299"/>
    <n v="2E+20"/>
    <n v="0.141949877821162"/>
    <n v="0.25350700089165601"/>
    <n v="8"/>
    <s v="Unnamed ProjectEntity 2Total TimeEntity"/>
    <n v="1"/>
    <n v="0.19360249686598299"/>
    <n v="0"/>
    <n v="0.95"/>
    <n v="4E+20"/>
    <n v="0.19360249686598299"/>
    <n v="0.19360249686598299"/>
    <n v="0.141949877821162"/>
    <n v="0.25350700089165601"/>
    <n v="8"/>
    <n v="2E+20"/>
    <n v="1"/>
    <n v="1"/>
  </r>
  <r>
    <x v="0"/>
    <s v="2025-12-26 20:24:34"/>
    <n v="1"/>
    <x v="6"/>
    <x v="8"/>
    <x v="1"/>
    <n v="0"/>
    <n v="2E+20"/>
    <n v="0"/>
    <n v="0"/>
    <n v="8"/>
    <s v="Unnamed ProjectEntity 2Transfer CostEntity"/>
    <n v="1"/>
    <n v="0"/>
    <n v="0"/>
    <n v="0.95"/>
    <n v="4E+20"/>
    <n v="0"/>
    <n v="0"/>
    <n v="0"/>
    <n v="0"/>
    <n v="8"/>
    <n v="2E+20"/>
    <n v="1"/>
    <n v="1"/>
  </r>
  <r>
    <x v="0"/>
    <s v="2025-12-26 20:24:34"/>
    <n v="1"/>
    <x v="6"/>
    <x v="9"/>
    <x v="1"/>
    <n v="0"/>
    <n v="2E+20"/>
    <n v="0"/>
    <n v="0"/>
    <n v="8"/>
    <s v="Unnamed ProjectEntity 2Transfer TimeEntity"/>
    <n v="1"/>
    <n v="0"/>
    <n v="0"/>
    <n v="0.95"/>
    <n v="4E+20"/>
    <n v="0"/>
    <n v="0"/>
    <n v="0"/>
    <n v="0"/>
    <n v="8"/>
    <n v="2E+20"/>
    <n v="1"/>
    <n v="1"/>
  </r>
  <r>
    <x v="0"/>
    <s v="2025-12-26 20:24:34"/>
    <n v="1"/>
    <x v="6"/>
    <x v="10"/>
    <x v="1"/>
    <n v="0"/>
    <n v="2E+20"/>
    <n v="0"/>
    <n v="0"/>
    <n v="8"/>
    <s v="Unnamed ProjectEntity 2VA CostEntity"/>
    <n v="1"/>
    <n v="0"/>
    <n v="0"/>
    <n v="0.95"/>
    <n v="4E+20"/>
    <n v="0"/>
    <n v="0"/>
    <n v="0"/>
    <n v="0"/>
    <n v="8"/>
    <n v="2E+20"/>
    <n v="1"/>
    <n v="1"/>
  </r>
  <r>
    <x v="0"/>
    <s v="2025-12-26 20:24:34"/>
    <n v="1"/>
    <x v="6"/>
    <x v="11"/>
    <x v="1"/>
    <n v="3.7301066179888903E-2"/>
    <n v="2E+20"/>
    <n v="3.5530760019554498E-2"/>
    <n v="3.9628853513811201E-2"/>
    <n v="8"/>
    <s v="Unnamed ProjectEntity 2VA TimeEntity"/>
    <n v="1"/>
    <n v="3.7301066179888903E-2"/>
    <n v="0"/>
    <n v="0.95"/>
    <n v="4E+20"/>
    <n v="3.7301066179888903E-2"/>
    <n v="3.7301066179888903E-2"/>
    <n v="3.5530760019554498E-2"/>
    <n v="3.9628853513811201E-2"/>
    <n v="8"/>
    <n v="2E+20"/>
    <n v="1"/>
    <n v="1"/>
  </r>
  <r>
    <x v="0"/>
    <s v="2025-12-26 20:24:34"/>
    <n v="1"/>
    <x v="6"/>
    <x v="12"/>
    <x v="1"/>
    <n v="0"/>
    <n v="2E+20"/>
    <n v="0"/>
    <n v="0"/>
    <n v="8"/>
    <s v="Unnamed ProjectEntity 2Wait CostEntity"/>
    <n v="1"/>
    <n v="0"/>
    <n v="0"/>
    <n v="0.95"/>
    <n v="4E+20"/>
    <n v="0"/>
    <n v="0"/>
    <n v="0"/>
    <n v="0"/>
    <n v="8"/>
    <n v="2E+20"/>
    <n v="1"/>
    <n v="1"/>
  </r>
  <r>
    <x v="0"/>
    <s v="2025-12-26 20:24:34"/>
    <n v="1"/>
    <x v="6"/>
    <x v="13"/>
    <x v="1"/>
    <n v="0.30068165875506803"/>
    <n v="2E+20"/>
    <n v="0.19332324267151599"/>
    <n v="0.42369664744215602"/>
    <n v="8"/>
    <s v="Unnamed ProjectEntity 2Wait TimeEntity"/>
    <n v="1"/>
    <n v="0.30068165875506803"/>
    <n v="0"/>
    <n v="0.95"/>
    <n v="4E+20"/>
    <n v="0.30068165875506803"/>
    <n v="0.30068165875506803"/>
    <n v="0.19332324267151599"/>
    <n v="0.42369664744215602"/>
    <n v="8"/>
    <n v="2E+20"/>
    <n v="1"/>
    <n v="1"/>
  </r>
  <r>
    <x v="0"/>
    <s v="2025-12-26 20:24:34"/>
    <n v="1"/>
    <x v="7"/>
    <x v="2"/>
    <x v="1"/>
    <n v="0"/>
    <n v="2E+20"/>
    <n v="0"/>
    <n v="0"/>
    <n v="32"/>
    <s v="Unnamed ProjectEntity 3NVA CostEntity"/>
    <n v="1"/>
    <n v="0"/>
    <n v="0"/>
    <n v="0.95"/>
    <n v="4E+20"/>
    <n v="0"/>
    <n v="0"/>
    <n v="0"/>
    <n v="0"/>
    <n v="32"/>
    <n v="2E+20"/>
    <n v="1"/>
    <n v="1"/>
  </r>
  <r>
    <x v="0"/>
    <s v="2025-12-26 20:24:34"/>
    <n v="1"/>
    <x v="7"/>
    <x v="3"/>
    <x v="1"/>
    <n v="0"/>
    <n v="2E+20"/>
    <n v="0"/>
    <n v="0"/>
    <n v="32"/>
    <s v="Unnamed ProjectEntity 3NVA TimeEntity"/>
    <n v="1"/>
    <n v="0"/>
    <n v="0"/>
    <n v="0.95"/>
    <n v="4E+20"/>
    <n v="0"/>
    <n v="0"/>
    <n v="0"/>
    <n v="0"/>
    <n v="32"/>
    <n v="2E+20"/>
    <n v="1"/>
    <n v="1"/>
  </r>
  <r>
    <x v="0"/>
    <s v="2025-12-26 20:24:34"/>
    <n v="1"/>
    <x v="7"/>
    <x v="4"/>
    <x v="1"/>
    <n v="0"/>
    <n v="2E+20"/>
    <n v="0"/>
    <n v="0"/>
    <n v="32"/>
    <s v="Unnamed ProjectEntity 3Other CostEntity"/>
    <n v="1"/>
    <n v="0"/>
    <n v="0"/>
    <n v="0.95"/>
    <n v="4E+20"/>
    <n v="0"/>
    <n v="0"/>
    <n v="0"/>
    <n v="0"/>
    <n v="32"/>
    <n v="2E+20"/>
    <n v="1"/>
    <n v="1"/>
  </r>
  <r>
    <x v="0"/>
    <s v="2025-12-26 20:24:34"/>
    <n v="1"/>
    <x v="7"/>
    <x v="5"/>
    <x v="1"/>
    <n v="3.6466131701607597E-2"/>
    <n v="2E+20"/>
    <n v="3.2043638370984298E-2"/>
    <n v="4.1199192016065901E-2"/>
    <n v="32"/>
    <s v="Unnamed ProjectEntity 3Other TimeEntity"/>
    <n v="1"/>
    <n v="3.6466131701607597E-2"/>
    <n v="0"/>
    <n v="0.95"/>
    <n v="4E+20"/>
    <n v="3.6466131701607597E-2"/>
    <n v="3.6466131701607597E-2"/>
    <n v="3.2043638370984298E-2"/>
    <n v="4.1199192016065901E-2"/>
    <n v="32"/>
    <n v="2E+20"/>
    <n v="1"/>
    <n v="1"/>
  </r>
  <r>
    <x v="0"/>
    <s v="2025-12-26 20:24:34"/>
    <n v="1"/>
    <x v="7"/>
    <x v="6"/>
    <x v="1"/>
    <n v="0"/>
    <n v="2E+20"/>
    <n v="0"/>
    <n v="0"/>
    <n v="32"/>
    <s v="Unnamed ProjectEntity 3Total CostEntity"/>
    <n v="1"/>
    <n v="0"/>
    <n v="0"/>
    <n v="0.95"/>
    <n v="4E+20"/>
    <n v="0"/>
    <n v="0"/>
    <n v="0"/>
    <n v="0"/>
    <n v="32"/>
    <n v="2E+20"/>
    <n v="1"/>
    <n v="1"/>
  </r>
  <r>
    <x v="0"/>
    <s v="2025-12-26 20:24:34"/>
    <n v="1"/>
    <x v="7"/>
    <x v="7"/>
    <x v="1"/>
    <n v="0.152188588540485"/>
    <n v="2E+20"/>
    <n v="4.2840486797594203E-2"/>
    <n v="1.23223104723892"/>
    <n v="32"/>
    <s v="Unnamed ProjectEntity 3Total TimeEntity"/>
    <n v="1"/>
    <n v="0.152188588540485"/>
    <n v="0"/>
    <n v="0.95"/>
    <n v="4E+20"/>
    <n v="0.152188588540485"/>
    <n v="0.152188588540485"/>
    <n v="4.2840486797594203E-2"/>
    <n v="1.23223104723892"/>
    <n v="32"/>
    <n v="2E+20"/>
    <n v="1"/>
    <n v="1"/>
  </r>
  <r>
    <x v="0"/>
    <s v="2025-12-26 20:24:34"/>
    <n v="1"/>
    <x v="7"/>
    <x v="8"/>
    <x v="1"/>
    <n v="0"/>
    <n v="2E+20"/>
    <n v="0"/>
    <n v="0"/>
    <n v="32"/>
    <s v="Unnamed ProjectEntity 3Transfer CostEntity"/>
    <n v="1"/>
    <n v="0"/>
    <n v="0"/>
    <n v="0.95"/>
    <n v="4E+20"/>
    <n v="0"/>
    <n v="0"/>
    <n v="0"/>
    <n v="0"/>
    <n v="32"/>
    <n v="2E+20"/>
    <n v="1"/>
    <n v="1"/>
  </r>
  <r>
    <x v="0"/>
    <s v="2025-12-26 20:24:34"/>
    <n v="1"/>
    <x v="7"/>
    <x v="9"/>
    <x v="1"/>
    <n v="0"/>
    <n v="2E+20"/>
    <n v="0"/>
    <n v="0"/>
    <n v="32"/>
    <s v="Unnamed ProjectEntity 3Transfer TimeEntity"/>
    <n v="1"/>
    <n v="0"/>
    <n v="0"/>
    <n v="0.95"/>
    <n v="4E+20"/>
    <n v="0"/>
    <n v="0"/>
    <n v="0"/>
    <n v="0"/>
    <n v="32"/>
    <n v="2E+20"/>
    <n v="1"/>
    <n v="1"/>
  </r>
  <r>
    <x v="0"/>
    <s v="2025-12-26 20:24:34"/>
    <n v="1"/>
    <x v="7"/>
    <x v="10"/>
    <x v="1"/>
    <n v="0"/>
    <n v="2E+20"/>
    <n v="0"/>
    <n v="0"/>
    <n v="32"/>
    <s v="Unnamed ProjectEntity 3VA CostEntity"/>
    <n v="1"/>
    <n v="0"/>
    <n v="0"/>
    <n v="0.95"/>
    <n v="4E+20"/>
    <n v="0"/>
    <n v="0"/>
    <n v="0"/>
    <n v="0"/>
    <n v="32"/>
    <n v="2E+20"/>
    <n v="1"/>
    <n v="1"/>
  </r>
  <r>
    <x v="0"/>
    <s v="2025-12-26 20:24:34"/>
    <n v="1"/>
    <x v="7"/>
    <x v="11"/>
    <x v="1"/>
    <n v="2.8617905044617999E-2"/>
    <n v="2E+20"/>
    <n v="2.4693548711935499E-2"/>
    <n v="4.0728529665004801E-2"/>
    <n v="32"/>
    <s v="Unnamed ProjectEntity 3VA TimeEntity"/>
    <n v="1"/>
    <n v="2.8617905044617999E-2"/>
    <n v="0"/>
    <n v="0.95"/>
    <n v="4E+20"/>
    <n v="2.8617905044617999E-2"/>
    <n v="2.8617905044617999E-2"/>
    <n v="2.4693548711935499E-2"/>
    <n v="4.0728529665004801E-2"/>
    <n v="32"/>
    <n v="2E+20"/>
    <n v="1"/>
    <n v="1"/>
  </r>
  <r>
    <x v="0"/>
    <s v="2025-12-26 20:24:34"/>
    <n v="1"/>
    <x v="7"/>
    <x v="12"/>
    <x v="1"/>
    <n v="0"/>
    <n v="2E+20"/>
    <n v="0"/>
    <n v="0"/>
    <n v="32"/>
    <s v="Unnamed ProjectEntity 3Wait CostEntity"/>
    <n v="1"/>
    <n v="0"/>
    <n v="0"/>
    <n v="0.95"/>
    <n v="4E+20"/>
    <n v="0"/>
    <n v="0"/>
    <n v="0"/>
    <n v="0"/>
    <n v="32"/>
    <n v="2E+20"/>
    <n v="1"/>
    <n v="1"/>
  </r>
  <r>
    <x v="0"/>
    <s v="2025-12-26 20:24:34"/>
    <n v="1"/>
    <x v="7"/>
    <x v="13"/>
    <x v="1"/>
    <n v="0.28888366124387099"/>
    <n v="2E+20"/>
    <n v="0.105941444046145"/>
    <n v="3.32162236638914"/>
    <n v="32"/>
    <s v="Unnamed ProjectEntity 3Wait TimeEntity"/>
    <n v="1"/>
    <n v="0.28888366124387099"/>
    <n v="0"/>
    <n v="0.95"/>
    <n v="4E+20"/>
    <n v="0.28888366124387099"/>
    <n v="0.28888366124387099"/>
    <n v="0.105941444046145"/>
    <n v="3.32162236638914"/>
    <n v="32"/>
    <n v="2E+20"/>
    <n v="1"/>
    <n v="1"/>
  </r>
  <r>
    <x v="0"/>
    <s v="2025-12-26 20:24:34"/>
    <n v="1"/>
    <x v="8"/>
    <x v="14"/>
    <x v="2"/>
    <n v="0"/>
    <n v="0"/>
    <n v="0"/>
    <n v="0"/>
    <n v="4195"/>
    <s v="Unnamed ProjectProcess 1Total Cost Per EntityProcess"/>
    <n v="1"/>
    <n v="0"/>
    <n v="0"/>
    <n v="0.95"/>
    <n v="4E+20"/>
    <n v="0"/>
    <n v="0"/>
    <n v="0"/>
    <n v="0"/>
    <n v="4195"/>
    <n v="0"/>
    <n v="1"/>
    <n v="1"/>
  </r>
  <r>
    <x v="0"/>
    <s v="2025-12-26 20:24:34"/>
    <n v="1"/>
    <x v="8"/>
    <x v="15"/>
    <x v="2"/>
    <n v="1.5506124567044101E-2"/>
    <n v="3E+20"/>
    <n v="4.0517902306849204E-3"/>
    <n v="8.0000758552306905"/>
    <n v="4195"/>
    <s v="Unnamed ProjectProcess 1Total Time Per EntityProcess"/>
    <n v="1"/>
    <n v="1.5506124567044101E-2"/>
    <n v="0"/>
    <n v="0.95"/>
    <n v="4E+20"/>
    <n v="1.5506124567044101E-2"/>
    <n v="1.5506124567044101E-2"/>
    <n v="4.0517902306849204E-3"/>
    <n v="8.0000758552306905"/>
    <n v="4195"/>
    <n v="3E+20"/>
    <n v="1"/>
    <n v="1"/>
  </r>
  <r>
    <x v="0"/>
    <s v="2025-12-26 20:24:34"/>
    <n v="1"/>
    <x v="8"/>
    <x v="16"/>
    <x v="2"/>
    <n v="0"/>
    <n v="0"/>
    <n v="0"/>
    <n v="0"/>
    <n v="4195"/>
    <s v="Unnamed ProjectProcess 1VA Cost Per EntityProcess"/>
    <n v="1"/>
    <n v="0"/>
    <n v="0"/>
    <n v="0.95"/>
    <n v="4E+20"/>
    <n v="0"/>
    <n v="0"/>
    <n v="0"/>
    <n v="0"/>
    <n v="4195"/>
    <n v="0"/>
    <n v="1"/>
    <n v="1"/>
  </r>
  <r>
    <x v="0"/>
    <s v="2025-12-26 20:24:34"/>
    <n v="1"/>
    <x v="8"/>
    <x v="17"/>
    <x v="2"/>
    <n v="3.3370755663654299E-3"/>
    <n v="1.31980711851678E-5"/>
    <n v="2.27974885024729E-3"/>
    <n v="4.4319116929738599E-3"/>
    <n v="4195"/>
    <s v="Unnamed ProjectProcess 1VA Time Per EntityProcess"/>
    <n v="1"/>
    <n v="3.3370755663654299E-3"/>
    <n v="0"/>
    <n v="0.95"/>
    <n v="4E+20"/>
    <n v="3.3370755663654299E-3"/>
    <n v="3.3370755663654299E-3"/>
    <n v="2.27974885024729E-3"/>
    <n v="4.4319116929738599E-3"/>
    <n v="4195"/>
    <n v="1.31980711851678E-5"/>
    <n v="1"/>
    <n v="1"/>
  </r>
  <r>
    <x v="0"/>
    <s v="2025-12-26 20:24:34"/>
    <n v="1"/>
    <x v="8"/>
    <x v="18"/>
    <x v="2"/>
    <n v="0"/>
    <n v="0"/>
    <n v="0"/>
    <n v="0"/>
    <n v="4195"/>
    <s v="Unnamed ProjectProcess 1Wait Cost Per EntityProcess"/>
    <n v="1"/>
    <n v="0"/>
    <n v="0"/>
    <n v="0.95"/>
    <n v="4E+20"/>
    <n v="0"/>
    <n v="0"/>
    <n v="0"/>
    <n v="0"/>
    <n v="4195"/>
    <n v="0"/>
    <n v="1"/>
    <n v="1"/>
  </r>
  <r>
    <x v="0"/>
    <s v="2025-12-26 20:24:34"/>
    <n v="1"/>
    <x v="8"/>
    <x v="19"/>
    <x v="2"/>
    <n v="1.2169049000678601E-2"/>
    <n v="3E+20"/>
    <n v="1.5076431609468699E-3"/>
    <n v="7.9973785362475196"/>
    <n v="4195"/>
    <s v="Unnamed ProjectProcess 1Wait Time Per EntityProcess"/>
    <n v="1"/>
    <n v="1.2169049000678601E-2"/>
    <n v="0"/>
    <n v="0.95"/>
    <n v="4E+20"/>
    <n v="1.2169049000678601E-2"/>
    <n v="1.2169049000678601E-2"/>
    <n v="1.5076431609468699E-3"/>
    <n v="7.9973785362475196"/>
    <n v="4195"/>
    <n v="3E+20"/>
    <n v="1"/>
    <n v="1"/>
  </r>
  <r>
    <x v="0"/>
    <s v="2025-12-26 20:24:34"/>
    <n v="1"/>
    <x v="9"/>
    <x v="0"/>
    <x v="0"/>
    <n v="0"/>
    <n v="0"/>
    <n v="0"/>
    <n v="0"/>
    <n v="4196"/>
    <s v="Unnamed ProjectProcess 1.QueueWaiting CostQueue"/>
    <n v="1"/>
    <n v="0"/>
    <n v="0"/>
    <n v="0.95"/>
    <n v="4E+20"/>
    <n v="0"/>
    <n v="0"/>
    <n v="0"/>
    <n v="0"/>
    <n v="4196"/>
    <n v="0"/>
    <n v="1"/>
    <n v="1"/>
  </r>
  <r>
    <x v="0"/>
    <s v="2025-12-26 20:24:34"/>
    <n v="1"/>
    <x v="9"/>
    <x v="1"/>
    <x v="0"/>
    <n v="1.2167119887867599E-2"/>
    <n v="3E+20"/>
    <n v="1.5076431609468699E-3"/>
    <n v="7.9973785362475196"/>
    <n v="4196"/>
    <s v="Unnamed ProjectProcess 1.QueueWaiting TimeQueue"/>
    <n v="1"/>
    <n v="1.2167119887867599E-2"/>
    <n v="0"/>
    <n v="0.95"/>
    <n v="4E+20"/>
    <n v="1.2167119887867599E-2"/>
    <n v="1.2167119887867599E-2"/>
    <n v="1.5076431609468699E-3"/>
    <n v="7.9973785362475196"/>
    <n v="4196"/>
    <n v="3E+20"/>
    <n v="1"/>
    <n v="1"/>
  </r>
  <r>
    <x v="0"/>
    <s v="2025-12-26 20:24:34"/>
    <n v="1"/>
    <x v="10"/>
    <x v="14"/>
    <x v="2"/>
    <n v="0"/>
    <n v="0"/>
    <n v="0"/>
    <n v="0"/>
    <n v="2818"/>
    <s v="Unnamed ProjectProcess 14Total Cost Per EntityProcess"/>
    <n v="1"/>
    <n v="0"/>
    <n v="0"/>
    <n v="0.95"/>
    <n v="4E+20"/>
    <n v="0"/>
    <n v="0"/>
    <n v="0"/>
    <n v="0"/>
    <n v="2818"/>
    <n v="0"/>
    <n v="1"/>
    <n v="1"/>
  </r>
  <r>
    <x v="0"/>
    <s v="2025-12-26 20:24:34"/>
    <n v="1"/>
    <x v="10"/>
    <x v="15"/>
    <x v="2"/>
    <n v="9.2348993199235405E-4"/>
    <n v="5.9834399740404303E-6"/>
    <n v="5.7498046025195005E-4"/>
    <n v="1.3762029483377299E-3"/>
    <n v="2818"/>
    <s v="Unnamed ProjectProcess 14Total Time Per EntityProcess"/>
    <n v="1"/>
    <n v="9.2348993199235405E-4"/>
    <n v="0"/>
    <n v="0.95"/>
    <n v="4E+20"/>
    <n v="9.2348993199235405E-4"/>
    <n v="9.2348993199235405E-4"/>
    <n v="5.7498046025195005E-4"/>
    <n v="1.3762029483377299E-3"/>
    <n v="2818"/>
    <n v="5.9834399740404303E-6"/>
    <n v="1"/>
    <n v="1"/>
  </r>
  <r>
    <x v="0"/>
    <s v="2025-12-26 20:24:34"/>
    <n v="1"/>
    <x v="10"/>
    <x v="16"/>
    <x v="2"/>
    <n v="0"/>
    <n v="0"/>
    <n v="0"/>
    <n v="0"/>
    <n v="2818"/>
    <s v="Unnamed ProjectProcess 14VA Cost Per EntityProcess"/>
    <n v="1"/>
    <n v="0"/>
    <n v="0"/>
    <n v="0.95"/>
    <n v="4E+20"/>
    <n v="0"/>
    <n v="0"/>
    <n v="0"/>
    <n v="0"/>
    <n v="2818"/>
    <n v="0"/>
    <n v="1"/>
    <n v="1"/>
  </r>
  <r>
    <x v="0"/>
    <s v="2025-12-26 20:24:34"/>
    <n v="1"/>
    <x v="10"/>
    <x v="17"/>
    <x v="2"/>
    <n v="9.2348993199235405E-4"/>
    <n v="5.9834399740404303E-6"/>
    <n v="5.7498046025195005E-4"/>
    <n v="1.3762029483377299E-3"/>
    <n v="2818"/>
    <s v="Unnamed ProjectProcess 14VA Time Per EntityProcess"/>
    <n v="1"/>
    <n v="9.2348993199235405E-4"/>
    <n v="0"/>
    <n v="0.95"/>
    <n v="4E+20"/>
    <n v="9.2348993199235405E-4"/>
    <n v="9.2348993199235405E-4"/>
    <n v="5.7498046025195005E-4"/>
    <n v="1.3762029483377299E-3"/>
    <n v="2818"/>
    <n v="5.9834399740404303E-6"/>
    <n v="1"/>
    <n v="1"/>
  </r>
  <r>
    <x v="0"/>
    <s v="2025-12-26 20:24:34"/>
    <n v="1"/>
    <x v="10"/>
    <x v="18"/>
    <x v="2"/>
    <n v="0"/>
    <n v="0"/>
    <n v="0"/>
    <n v="0"/>
    <n v="2818"/>
    <s v="Unnamed ProjectProcess 14Wait Cost Per EntityProcess"/>
    <n v="1"/>
    <n v="0"/>
    <n v="0"/>
    <n v="0.95"/>
    <n v="4E+20"/>
    <n v="0"/>
    <n v="0"/>
    <n v="0"/>
    <n v="0"/>
    <n v="2818"/>
    <n v="0"/>
    <n v="1"/>
    <n v="1"/>
  </r>
  <r>
    <x v="0"/>
    <s v="2025-12-26 20:24:34"/>
    <n v="1"/>
    <x v="10"/>
    <x v="19"/>
    <x v="2"/>
    <n v="0"/>
    <n v="0"/>
    <n v="0"/>
    <n v="0"/>
    <n v="2818"/>
    <s v="Unnamed ProjectProcess 14Wait Time Per EntityProcess"/>
    <n v="1"/>
    <n v="0"/>
    <n v="0"/>
    <n v="0.95"/>
    <n v="4E+20"/>
    <n v="0"/>
    <n v="0"/>
    <n v="0"/>
    <n v="0"/>
    <n v="2818"/>
    <n v="0"/>
    <n v="1"/>
    <n v="1"/>
  </r>
  <r>
    <x v="0"/>
    <s v="2025-12-26 20:24:34"/>
    <n v="1"/>
    <x v="11"/>
    <x v="0"/>
    <x v="0"/>
    <n v="0"/>
    <n v="0"/>
    <n v="0"/>
    <n v="0"/>
    <n v="2818"/>
    <s v="Unnamed ProjectProcess 14.QueueWaiting CostQueue"/>
    <n v="1"/>
    <n v="0"/>
    <n v="0"/>
    <n v="0.95"/>
    <n v="4E+20"/>
    <n v="0"/>
    <n v="0"/>
    <n v="0"/>
    <n v="0"/>
    <n v="2818"/>
    <n v="0"/>
    <n v="1"/>
    <n v="1"/>
  </r>
  <r>
    <x v="0"/>
    <s v="2025-12-26 20:24:34"/>
    <n v="1"/>
    <x v="11"/>
    <x v="1"/>
    <x v="0"/>
    <n v="0"/>
    <n v="0"/>
    <n v="0"/>
    <n v="0"/>
    <n v="2818"/>
    <s v="Unnamed ProjectProcess 14.QueueWaiting TimeQueue"/>
    <n v="1"/>
    <n v="0"/>
    <n v="0"/>
    <n v="0.95"/>
    <n v="4E+20"/>
    <n v="0"/>
    <n v="0"/>
    <n v="0"/>
    <n v="0"/>
    <n v="2818"/>
    <n v="0"/>
    <n v="1"/>
    <n v="1"/>
  </r>
  <r>
    <x v="0"/>
    <s v="2025-12-26 20:24:34"/>
    <n v="1"/>
    <x v="12"/>
    <x v="14"/>
    <x v="2"/>
    <n v="0"/>
    <n v="0"/>
    <n v="0"/>
    <n v="0"/>
    <n v="4193"/>
    <s v="Unnamed ProjectProcess 2Total Cost Per EntityProcess"/>
    <n v="1"/>
    <n v="0"/>
    <n v="0"/>
    <n v="0.95"/>
    <n v="4E+20"/>
    <n v="0"/>
    <n v="0"/>
    <n v="0"/>
    <n v="0"/>
    <n v="4193"/>
    <n v="0"/>
    <n v="1"/>
    <n v="1"/>
  </r>
  <r>
    <x v="0"/>
    <s v="2025-12-26 20:24:34"/>
    <n v="1"/>
    <x v="12"/>
    <x v="15"/>
    <x v="2"/>
    <n v="2.85473496429792E-3"/>
    <n v="1.76094461761863E-3"/>
    <n v="8.4975853797431E-4"/>
    <n v="0.99996002445603005"/>
    <n v="4193"/>
    <s v="Unnamed ProjectProcess 2Total Time Per EntityProcess"/>
    <n v="1"/>
    <n v="2.85473496429792E-3"/>
    <n v="0"/>
    <n v="0.95"/>
    <n v="4E+20"/>
    <n v="2.85473496429792E-3"/>
    <n v="2.85473496429792E-3"/>
    <n v="8.4975853797431E-4"/>
    <n v="0.99996002445603005"/>
    <n v="4193"/>
    <n v="1.76094461761863E-3"/>
    <n v="1"/>
    <n v="1"/>
  </r>
  <r>
    <x v="0"/>
    <s v="2025-12-26 20:24:34"/>
    <n v="1"/>
    <x v="12"/>
    <x v="16"/>
    <x v="2"/>
    <n v="0"/>
    <n v="0"/>
    <n v="0"/>
    <n v="0"/>
    <n v="4193"/>
    <s v="Unnamed ProjectProcess 2VA Cost Per EntityProcess"/>
    <n v="1"/>
    <n v="0"/>
    <n v="0"/>
    <n v="0.95"/>
    <n v="4E+20"/>
    <n v="0"/>
    <n v="0"/>
    <n v="0"/>
    <n v="0"/>
    <n v="4193"/>
    <n v="0"/>
    <n v="1"/>
    <n v="1"/>
  </r>
  <r>
    <x v="0"/>
    <s v="2025-12-26 20:24:34"/>
    <n v="1"/>
    <x v="12"/>
    <x v="17"/>
    <x v="2"/>
    <n v="1.66367747207923E-3"/>
    <n v="9.0865320198744907E-6"/>
    <n v="8.4975853797431E-4"/>
    <n v="2.4898955234622399E-3"/>
    <n v="4193"/>
    <s v="Unnamed ProjectProcess 2VA Time Per EntityProcess"/>
    <n v="1"/>
    <n v="1.66367747207923E-3"/>
    <n v="0"/>
    <n v="0.95"/>
    <n v="4E+20"/>
    <n v="1.66367747207923E-3"/>
    <n v="1.66367747207923E-3"/>
    <n v="8.4975853797431E-4"/>
    <n v="2.4898955234622399E-3"/>
    <n v="4193"/>
    <n v="9.0865320198744907E-6"/>
    <n v="1"/>
    <n v="1"/>
  </r>
  <r>
    <x v="0"/>
    <s v="2025-12-26 20:24:34"/>
    <n v="1"/>
    <x v="12"/>
    <x v="18"/>
    <x v="2"/>
    <n v="0"/>
    <n v="0"/>
    <n v="0"/>
    <n v="0"/>
    <n v="4193"/>
    <s v="Unnamed ProjectProcess 2Wait Cost Per EntityProcess"/>
    <n v="1"/>
    <n v="0"/>
    <n v="0"/>
    <n v="0.95"/>
    <n v="4E+20"/>
    <n v="0"/>
    <n v="0"/>
    <n v="0"/>
    <n v="0"/>
    <n v="4193"/>
    <n v="0"/>
    <n v="1"/>
    <n v="1"/>
  </r>
  <r>
    <x v="0"/>
    <s v="2025-12-26 20:24:34"/>
    <n v="1"/>
    <x v="12"/>
    <x v="19"/>
    <x v="2"/>
    <n v="1.19105749221868E-3"/>
    <n v="1.76307333267762E-3"/>
    <n v="0"/>
    <n v="0.99887965490322395"/>
    <n v="4193"/>
    <s v="Unnamed ProjectProcess 2Wait Time Per EntityProcess"/>
    <n v="1"/>
    <n v="1.19105749221868E-3"/>
    <n v="0"/>
    <n v="0.95"/>
    <n v="4E+20"/>
    <n v="1.19105749221868E-3"/>
    <n v="1.19105749221868E-3"/>
    <n v="0"/>
    <n v="0.99887965490322395"/>
    <n v="4193"/>
    <n v="1.76307333267762E-3"/>
    <n v="1"/>
    <n v="1"/>
  </r>
  <r>
    <x v="0"/>
    <s v="2025-12-26 20:24:34"/>
    <n v="1"/>
    <x v="13"/>
    <x v="0"/>
    <x v="0"/>
    <n v="0"/>
    <n v="0"/>
    <n v="0"/>
    <n v="0"/>
    <n v="4194"/>
    <s v="Unnamed ProjectProcess 2.QueueWaiting CostQueue"/>
    <n v="1"/>
    <n v="0"/>
    <n v="0"/>
    <n v="0.95"/>
    <n v="4E+20"/>
    <n v="0"/>
    <n v="0"/>
    <n v="0"/>
    <n v="0"/>
    <n v="4194"/>
    <n v="0"/>
    <n v="1"/>
    <n v="1"/>
  </r>
  <r>
    <x v="0"/>
    <s v="2025-12-26 20:24:34"/>
    <n v="1"/>
    <x v="13"/>
    <x v="1"/>
    <x v="0"/>
    <n v="1.1907735014003099E-3"/>
    <n v="1.76307333267762E-3"/>
    <n v="0"/>
    <n v="0.99887965490322395"/>
    <n v="4194"/>
    <s v="Unnamed ProjectProcess 2.QueueWaiting TimeQueue"/>
    <n v="1"/>
    <n v="1.1907735014003099E-3"/>
    <n v="0"/>
    <n v="0.95"/>
    <n v="4E+20"/>
    <n v="1.1907735014003099E-3"/>
    <n v="1.1907735014003099E-3"/>
    <n v="0"/>
    <n v="0.99887965490322395"/>
    <n v="4194"/>
    <n v="1.76307333267762E-3"/>
    <n v="1"/>
    <n v="1"/>
  </r>
  <r>
    <x v="0"/>
    <s v="2025-12-26 20:24:34"/>
    <n v="1"/>
    <x v="14"/>
    <x v="14"/>
    <x v="2"/>
    <n v="0"/>
    <n v="0"/>
    <n v="0"/>
    <n v="0"/>
    <n v="4192"/>
    <s v="Unnamed ProjectProcess 3Total Cost Per EntityProcess"/>
    <n v="1"/>
    <n v="0"/>
    <n v="0"/>
    <n v="0.95"/>
    <n v="4E+20"/>
    <n v="0"/>
    <n v="0"/>
    <n v="0"/>
    <n v="0"/>
    <n v="4192"/>
    <n v="0"/>
    <n v="1"/>
    <n v="1"/>
  </r>
  <r>
    <x v="0"/>
    <s v="2025-12-26 20:24:34"/>
    <n v="1"/>
    <x v="14"/>
    <x v="15"/>
    <x v="2"/>
    <n v="4.2648943662273496E-3"/>
    <n v="1.1036037478179301E-3"/>
    <n v="2.7812016783812501E-3"/>
    <n v="1.0047351753867799"/>
    <n v="4192"/>
    <s v="Unnamed ProjectProcess 3Total Time Per EntityProcess"/>
    <n v="1"/>
    <n v="4.2648943662273496E-3"/>
    <n v="0"/>
    <n v="0.95"/>
    <n v="4E+20"/>
    <n v="4.2648943662273496E-3"/>
    <n v="4.2648943662273496E-3"/>
    <n v="2.7812016783812501E-3"/>
    <n v="1.0047351753867799"/>
    <n v="4192"/>
    <n v="1.1036037478179301E-3"/>
    <n v="1"/>
    <n v="1"/>
  </r>
  <r>
    <x v="0"/>
    <s v="2025-12-26 20:24:34"/>
    <n v="1"/>
    <x v="14"/>
    <x v="16"/>
    <x v="2"/>
    <n v="0"/>
    <n v="0"/>
    <n v="0"/>
    <n v="0"/>
    <n v="4192"/>
    <s v="Unnamed ProjectProcess 3VA Cost Per EntityProcess"/>
    <n v="1"/>
    <n v="0"/>
    <n v="0"/>
    <n v="0.95"/>
    <n v="4E+20"/>
    <n v="0"/>
    <n v="0"/>
    <n v="0"/>
    <n v="0"/>
    <n v="4192"/>
    <n v="0"/>
    <n v="1"/>
    <n v="1"/>
  </r>
  <r>
    <x v="0"/>
    <s v="2025-12-26 20:24:34"/>
    <n v="1"/>
    <x v="14"/>
    <x v="17"/>
    <x v="2"/>
    <n v="3.05850768794919E-3"/>
    <n v="3.4802944743200201E-6"/>
    <n v="2.7812016783812501E-3"/>
    <n v="3.3303157934412302E-3"/>
    <n v="4192"/>
    <s v="Unnamed ProjectProcess 3VA Time Per EntityProcess"/>
    <n v="1"/>
    <n v="3.05850768794919E-3"/>
    <n v="0"/>
    <n v="0.95"/>
    <n v="4E+20"/>
    <n v="3.05850768794919E-3"/>
    <n v="3.05850768794919E-3"/>
    <n v="2.7812016783812501E-3"/>
    <n v="3.3303157934412302E-3"/>
    <n v="4192"/>
    <n v="3.4802944743200201E-6"/>
    <n v="1"/>
    <n v="1"/>
  </r>
  <r>
    <x v="0"/>
    <s v="2025-12-26 20:24:34"/>
    <n v="1"/>
    <x v="14"/>
    <x v="18"/>
    <x v="2"/>
    <n v="0"/>
    <n v="0"/>
    <n v="0"/>
    <n v="0"/>
    <n v="4192"/>
    <s v="Unnamed ProjectProcess 3Wait Cost Per EntityProcess"/>
    <n v="1"/>
    <n v="0"/>
    <n v="0"/>
    <n v="0.95"/>
    <n v="4E+20"/>
    <n v="0"/>
    <n v="0"/>
    <n v="0"/>
    <n v="0"/>
    <n v="4192"/>
    <n v="0"/>
    <n v="1"/>
    <n v="1"/>
  </r>
  <r>
    <x v="0"/>
    <s v="2025-12-26 20:24:34"/>
    <n v="1"/>
    <x v="14"/>
    <x v="19"/>
    <x v="2"/>
    <n v="1.20638667827817E-3"/>
    <n v="1.1030906118940499E-3"/>
    <n v="0"/>
    <n v="1.00157777489091"/>
    <n v="4192"/>
    <s v="Unnamed ProjectProcess 3Wait Time Per EntityProcess"/>
    <n v="1"/>
    <n v="1.20638667827817E-3"/>
    <n v="0"/>
    <n v="0.95"/>
    <n v="4E+20"/>
    <n v="1.20638667827817E-3"/>
    <n v="1.20638667827817E-3"/>
    <n v="0"/>
    <n v="1.00157777489091"/>
    <n v="4192"/>
    <n v="1.1030906118940499E-3"/>
    <n v="1"/>
    <n v="1"/>
  </r>
  <r>
    <x v="0"/>
    <s v="2025-12-26 20:24:34"/>
    <n v="1"/>
    <x v="15"/>
    <x v="0"/>
    <x v="0"/>
    <n v="0"/>
    <n v="0"/>
    <n v="0"/>
    <n v="0"/>
    <n v="4193"/>
    <s v="Unnamed ProjectProcess 3.QueueWaiting CostQueue"/>
    <n v="1"/>
    <n v="0"/>
    <n v="0"/>
    <n v="0.95"/>
    <n v="4E+20"/>
    <n v="0"/>
    <n v="0"/>
    <n v="0"/>
    <n v="0"/>
    <n v="4193"/>
    <n v="0"/>
    <n v="1"/>
    <n v="1"/>
  </r>
  <r>
    <x v="0"/>
    <s v="2025-12-26 20:24:34"/>
    <n v="1"/>
    <x v="15"/>
    <x v="1"/>
    <x v="0"/>
    <n v="1.2060989638307E-3"/>
    <n v="1.1030906118940499E-3"/>
    <n v="0"/>
    <n v="1.00157777489091"/>
    <n v="4193"/>
    <s v="Unnamed ProjectProcess 3.QueueWaiting TimeQueue"/>
    <n v="1"/>
    <n v="1.2060989638307E-3"/>
    <n v="0"/>
    <n v="0.95"/>
    <n v="4E+20"/>
    <n v="1.2060989638307E-3"/>
    <n v="1.2060989638307E-3"/>
    <n v="0"/>
    <n v="1.00157777489091"/>
    <n v="4193"/>
    <n v="1.1030906118940499E-3"/>
    <n v="1"/>
    <n v="1"/>
  </r>
  <r>
    <x v="0"/>
    <s v="2025-12-26 20:24:34"/>
    <n v="1"/>
    <x v="16"/>
    <x v="14"/>
    <x v="2"/>
    <n v="0"/>
    <n v="0"/>
    <n v="0"/>
    <n v="0"/>
    <n v="2023"/>
    <s v="Unnamed ProjectProcess 4Total Cost Per EntityProcess"/>
    <n v="1"/>
    <n v="0"/>
    <n v="0"/>
    <n v="0.95"/>
    <n v="4E+20"/>
    <n v="0"/>
    <n v="0"/>
    <n v="0"/>
    <n v="0"/>
    <n v="2023"/>
    <n v="0"/>
    <n v="1"/>
    <n v="1"/>
  </r>
  <r>
    <x v="0"/>
    <s v="2025-12-26 20:24:34"/>
    <n v="1"/>
    <x v="16"/>
    <x v="15"/>
    <x v="2"/>
    <n v="1.16930685159152E-2"/>
    <n v="3E+20"/>
    <n v="8.9713796901946796E-4"/>
    <n v="8.0003582705983103"/>
    <n v="2023"/>
    <s v="Unnamed ProjectProcess 4Total Time Per EntityProcess"/>
    <n v="1"/>
    <n v="1.16930685159152E-2"/>
    <n v="0"/>
    <n v="0.95"/>
    <n v="4E+20"/>
    <n v="1.16930685159152E-2"/>
    <n v="1.16930685159152E-2"/>
    <n v="8.9713796901946796E-4"/>
    <n v="8.0003582705983103"/>
    <n v="2023"/>
    <n v="3E+20"/>
    <n v="1"/>
    <n v="1"/>
  </r>
  <r>
    <x v="0"/>
    <s v="2025-12-26 20:24:34"/>
    <n v="1"/>
    <x v="16"/>
    <x v="16"/>
    <x v="2"/>
    <n v="0"/>
    <n v="0"/>
    <n v="0"/>
    <n v="0"/>
    <n v="2023"/>
    <s v="Unnamed ProjectProcess 4VA Cost Per EntityProcess"/>
    <n v="1"/>
    <n v="0"/>
    <n v="0"/>
    <n v="0.95"/>
    <n v="4E+20"/>
    <n v="0"/>
    <n v="0"/>
    <n v="0"/>
    <n v="0"/>
    <n v="2023"/>
    <n v="0"/>
    <n v="1"/>
    <n v="1"/>
  </r>
  <r>
    <x v="0"/>
    <s v="2025-12-26 20:24:34"/>
    <n v="1"/>
    <x v="16"/>
    <x v="17"/>
    <x v="2"/>
    <n v="1.95337032969288E-3"/>
    <n v="1.41282150716664E-5"/>
    <n v="8.9713796901946796E-4"/>
    <n v="2.7780930111536099E-3"/>
    <n v="2023"/>
    <s v="Unnamed ProjectProcess 4VA Time Per EntityProcess"/>
    <n v="1"/>
    <n v="1.95337032969288E-3"/>
    <n v="0"/>
    <n v="0.95"/>
    <n v="4E+20"/>
    <n v="1.95337032969288E-3"/>
    <n v="1.95337032969288E-3"/>
    <n v="8.9713796901946796E-4"/>
    <n v="2.7780930111536099E-3"/>
    <n v="2023"/>
    <n v="1.41282150716664E-5"/>
    <n v="1"/>
    <n v="1"/>
  </r>
  <r>
    <x v="0"/>
    <s v="2025-12-26 20:24:34"/>
    <n v="1"/>
    <x v="16"/>
    <x v="18"/>
    <x v="2"/>
    <n v="0"/>
    <n v="0"/>
    <n v="0"/>
    <n v="0"/>
    <n v="2023"/>
    <s v="Unnamed ProjectProcess 4Wait Cost Per EntityProcess"/>
    <n v="1"/>
    <n v="0"/>
    <n v="0"/>
    <n v="0.95"/>
    <n v="4E+20"/>
    <n v="0"/>
    <n v="0"/>
    <n v="0"/>
    <n v="0"/>
    <n v="2023"/>
    <n v="0"/>
    <n v="1"/>
    <n v="1"/>
  </r>
  <r>
    <x v="0"/>
    <s v="2025-12-26 20:24:34"/>
    <n v="1"/>
    <x v="16"/>
    <x v="19"/>
    <x v="2"/>
    <n v="9.7396981862222197E-3"/>
    <n v="3E+20"/>
    <n v="0"/>
    <n v="7.9977128924139098"/>
    <n v="2023"/>
    <s v="Unnamed ProjectProcess 4Wait Time Per EntityProcess"/>
    <n v="1"/>
    <n v="9.7396981862222197E-3"/>
    <n v="0"/>
    <n v="0.95"/>
    <n v="4E+20"/>
    <n v="9.7396981862222197E-3"/>
    <n v="9.7396981862222197E-3"/>
    <n v="0"/>
    <n v="7.9977128924139098"/>
    <n v="2023"/>
    <n v="3E+20"/>
    <n v="1"/>
    <n v="1"/>
  </r>
  <r>
    <x v="0"/>
    <s v="2025-12-26 20:24:34"/>
    <n v="1"/>
    <x v="17"/>
    <x v="0"/>
    <x v="0"/>
    <n v="0"/>
    <n v="0"/>
    <n v="0"/>
    <n v="0"/>
    <n v="2023"/>
    <s v="Unnamed ProjectProcess 4.QueueWaiting CostQueue"/>
    <n v="1"/>
    <n v="0"/>
    <n v="0"/>
    <n v="0.95"/>
    <n v="4E+20"/>
    <n v="0"/>
    <n v="0"/>
    <n v="0"/>
    <n v="0"/>
    <n v="2023"/>
    <n v="0"/>
    <n v="1"/>
    <n v="1"/>
  </r>
  <r>
    <x v="0"/>
    <s v="2025-12-26 20:24:34"/>
    <n v="1"/>
    <x v="17"/>
    <x v="1"/>
    <x v="0"/>
    <n v="9.7396981862222197E-3"/>
    <n v="3E+20"/>
    <n v="0"/>
    <n v="7.9977128924139098"/>
    <n v="2023"/>
    <s v="Unnamed ProjectProcess 4.QueueWaiting TimeQueue"/>
    <n v="1"/>
    <n v="9.7396981862222197E-3"/>
    <n v="0"/>
    <n v="0.95"/>
    <n v="4E+20"/>
    <n v="9.7396981862222197E-3"/>
    <n v="9.7396981862222197E-3"/>
    <n v="0"/>
    <n v="7.9977128924139098"/>
    <n v="2023"/>
    <n v="3E+20"/>
    <n v="1"/>
    <n v="1"/>
  </r>
  <r>
    <x v="0"/>
    <s v="2025-12-26 20:24:34"/>
    <n v="1"/>
    <x v="18"/>
    <x v="14"/>
    <x v="2"/>
    <n v="0"/>
    <n v="0"/>
    <n v="0"/>
    <n v="0"/>
    <n v="2021"/>
    <s v="Unnamed ProjectProcess 5Total Cost Per EntityProcess"/>
    <n v="1"/>
    <n v="0"/>
    <n v="0"/>
    <n v="0.95"/>
    <n v="4E+20"/>
    <n v="0"/>
    <n v="0"/>
    <n v="0"/>
    <n v="0"/>
    <n v="2021"/>
    <n v="0"/>
    <n v="1"/>
    <n v="1"/>
  </r>
  <r>
    <x v="0"/>
    <s v="2025-12-26 20:24:34"/>
    <n v="1"/>
    <x v="18"/>
    <x v="15"/>
    <x v="2"/>
    <n v="3.7572714915572901E-3"/>
    <n v="1.4224738009402599E-3"/>
    <n v="2.2479024509252099E-3"/>
    <n v="0.99796594047532705"/>
    <n v="2021"/>
    <s v="Unnamed ProjectProcess 5Total Time Per EntityProcess"/>
    <n v="1"/>
    <n v="3.7572714915572901E-3"/>
    <n v="0"/>
    <n v="0.95"/>
    <n v="4E+20"/>
    <n v="3.7572714915572901E-3"/>
    <n v="3.7572714915572901E-3"/>
    <n v="2.2479024509252099E-3"/>
    <n v="0.99796594047532705"/>
    <n v="2021"/>
    <n v="1.4224738009402599E-3"/>
    <n v="1"/>
    <n v="1"/>
  </r>
  <r>
    <x v="0"/>
    <s v="2025-12-26 20:24:34"/>
    <n v="1"/>
    <x v="18"/>
    <x v="16"/>
    <x v="2"/>
    <n v="0"/>
    <n v="0"/>
    <n v="0"/>
    <n v="0"/>
    <n v="2021"/>
    <s v="Unnamed ProjectProcess 5VA Cost Per EntityProcess"/>
    <n v="1"/>
    <n v="0"/>
    <n v="0"/>
    <n v="0.95"/>
    <n v="4E+20"/>
    <n v="0"/>
    <n v="0"/>
    <n v="0"/>
    <n v="0"/>
    <n v="2021"/>
    <n v="0"/>
    <n v="1"/>
    <n v="1"/>
  </r>
  <r>
    <x v="0"/>
    <s v="2025-12-26 20:24:34"/>
    <n v="1"/>
    <x v="18"/>
    <x v="17"/>
    <x v="2"/>
    <n v="2.7710215081433801E-3"/>
    <n v="1.1391854670328199E-5"/>
    <n v="2.2479024509252099E-3"/>
    <n v="3.32494864058219E-3"/>
    <n v="2021"/>
    <s v="Unnamed ProjectProcess 5VA Time Per EntityProcess"/>
    <n v="1"/>
    <n v="2.7710215081433801E-3"/>
    <n v="0"/>
    <n v="0.95"/>
    <n v="4E+20"/>
    <n v="2.7710215081433801E-3"/>
    <n v="2.7710215081433801E-3"/>
    <n v="2.2479024509252099E-3"/>
    <n v="3.32494864058219E-3"/>
    <n v="2021"/>
    <n v="1.1391854670328199E-5"/>
    <n v="1"/>
    <n v="1"/>
  </r>
  <r>
    <x v="0"/>
    <s v="2025-12-26 20:24:34"/>
    <n v="1"/>
    <x v="18"/>
    <x v="18"/>
    <x v="2"/>
    <n v="0"/>
    <n v="0"/>
    <n v="0"/>
    <n v="0"/>
    <n v="2021"/>
    <s v="Unnamed ProjectProcess 5Wait Cost Per EntityProcess"/>
    <n v="1"/>
    <n v="0"/>
    <n v="0"/>
    <n v="0.95"/>
    <n v="4E+20"/>
    <n v="0"/>
    <n v="0"/>
    <n v="0"/>
    <n v="0"/>
    <n v="2021"/>
    <n v="0"/>
    <n v="1"/>
    <n v="1"/>
  </r>
  <r>
    <x v="0"/>
    <s v="2025-12-26 20:24:34"/>
    <n v="1"/>
    <x v="18"/>
    <x v="19"/>
    <x v="2"/>
    <n v="9.8624998341391001E-4"/>
    <n v="1.4230314710354599E-3"/>
    <n v="0"/>
    <n v="0.99523521451780494"/>
    <n v="2021"/>
    <s v="Unnamed ProjectProcess 5Wait Time Per EntityProcess"/>
    <n v="1"/>
    <n v="9.8624998341391001E-4"/>
    <n v="0"/>
    <n v="0.95"/>
    <n v="4E+20"/>
    <n v="9.8624998341391001E-4"/>
    <n v="9.8624998341391001E-4"/>
    <n v="0"/>
    <n v="0.99523521451780494"/>
    <n v="2021"/>
    <n v="1.4230314710354599E-3"/>
    <n v="1"/>
    <n v="1"/>
  </r>
  <r>
    <x v="0"/>
    <s v="2025-12-26 20:24:34"/>
    <n v="1"/>
    <x v="19"/>
    <x v="0"/>
    <x v="0"/>
    <n v="0"/>
    <n v="0"/>
    <n v="0"/>
    <n v="0"/>
    <n v="2022"/>
    <s v="Unnamed ProjectProcess 5.QueueWaiting CostQueue"/>
    <n v="1"/>
    <n v="0"/>
    <n v="0"/>
    <n v="0.95"/>
    <n v="4E+20"/>
    <n v="0"/>
    <n v="0"/>
    <n v="0"/>
    <n v="0"/>
    <n v="2022"/>
    <n v="0"/>
    <n v="1"/>
    <n v="1"/>
  </r>
  <r>
    <x v="0"/>
    <s v="2025-12-26 20:24:34"/>
    <n v="1"/>
    <x v="19"/>
    <x v="1"/>
    <x v="0"/>
    <n v="9.857622237781959E-4"/>
    <n v="1.4230314710354599E-3"/>
    <n v="0"/>
    <n v="0.99523521451780494"/>
    <n v="2022"/>
    <s v="Unnamed ProjectProcess 5.QueueWaiting TimeQueue"/>
    <n v="1"/>
    <n v="9.857622237781959E-4"/>
    <n v="0"/>
    <n v="0.95"/>
    <n v="4E+20"/>
    <n v="9.857622237781959E-4"/>
    <n v="9.857622237781959E-4"/>
    <n v="0"/>
    <n v="0.99523521451780494"/>
    <n v="2022"/>
    <n v="1.4230314710354599E-3"/>
    <n v="1"/>
    <n v="1"/>
  </r>
  <r>
    <x v="0"/>
    <s v="2025-12-26 20:24:34"/>
    <n v="1"/>
    <x v="20"/>
    <x v="14"/>
    <x v="2"/>
    <n v="0"/>
    <n v="0"/>
    <n v="0"/>
    <n v="0"/>
    <n v="2014"/>
    <s v="Unnamed ProjectProcess 6Total Cost Per EntityProcess"/>
    <n v="1"/>
    <n v="0"/>
    <n v="0"/>
    <n v="0.95"/>
    <n v="4E+20"/>
    <n v="0"/>
    <n v="0"/>
    <n v="0"/>
    <n v="0"/>
    <n v="2014"/>
    <n v="0"/>
    <n v="1"/>
    <n v="1"/>
  </r>
  <r>
    <x v="0"/>
    <s v="2025-12-26 20:24:34"/>
    <n v="1"/>
    <x v="20"/>
    <x v="15"/>
    <x v="2"/>
    <n v="2.6160429464394501E-2"/>
    <n v="5.7510289079358099E-3"/>
    <n v="6.1961403559003302E-3"/>
    <n v="1.0247721151365801"/>
    <n v="2014"/>
    <s v="Unnamed ProjectProcess 6Total Time Per EntityProcess"/>
    <n v="1"/>
    <n v="2.6160429464394501E-2"/>
    <n v="0"/>
    <n v="0.95"/>
    <n v="4E+20"/>
    <n v="2.6160429464394501E-2"/>
    <n v="2.6160429464394501E-2"/>
    <n v="6.1961403559003302E-3"/>
    <n v="1.0247721151365801"/>
    <n v="2014"/>
    <n v="5.7510289079358099E-3"/>
    <n v="1"/>
    <n v="1"/>
  </r>
  <r>
    <x v="0"/>
    <s v="2025-12-26 20:24:34"/>
    <n v="1"/>
    <x v="20"/>
    <x v="16"/>
    <x v="2"/>
    <n v="0"/>
    <n v="0"/>
    <n v="0"/>
    <n v="0"/>
    <n v="2014"/>
    <s v="Unnamed ProjectProcess 6VA Cost Per EntityProcess"/>
    <n v="1"/>
    <n v="0"/>
    <n v="0"/>
    <n v="0.95"/>
    <n v="4E+20"/>
    <n v="0"/>
    <n v="0"/>
    <n v="0"/>
    <n v="0"/>
    <n v="2014"/>
    <n v="0"/>
    <n v="1"/>
    <n v="1"/>
  </r>
  <r>
    <x v="0"/>
    <s v="2025-12-26 20:24:34"/>
    <n v="1"/>
    <x v="20"/>
    <x v="17"/>
    <x v="2"/>
    <n v="6.94443146012252E-3"/>
    <n v="2.7110166223064701E-5"/>
    <n v="5.5969585350936803E-3"/>
    <n v="8.3111748020794404E-3"/>
    <n v="2014"/>
    <s v="Unnamed ProjectProcess 6VA Time Per EntityProcess"/>
    <n v="1"/>
    <n v="6.94443146012252E-3"/>
    <n v="0"/>
    <n v="0.95"/>
    <n v="4E+20"/>
    <n v="6.94443146012252E-3"/>
    <n v="6.94443146012252E-3"/>
    <n v="5.5969585350936803E-3"/>
    <n v="8.3111748020794404E-3"/>
    <n v="2014"/>
    <n v="2.7110166223064701E-5"/>
    <n v="1"/>
    <n v="1"/>
  </r>
  <r>
    <x v="0"/>
    <s v="2025-12-26 20:24:34"/>
    <n v="1"/>
    <x v="20"/>
    <x v="18"/>
    <x v="2"/>
    <n v="0"/>
    <n v="0"/>
    <n v="0"/>
    <n v="0"/>
    <n v="2014"/>
    <s v="Unnamed ProjectProcess 6Wait Cost Per EntityProcess"/>
    <n v="1"/>
    <n v="0"/>
    <n v="0"/>
    <n v="0.95"/>
    <n v="4E+20"/>
    <n v="0"/>
    <n v="0"/>
    <n v="0"/>
    <n v="0"/>
    <n v="2014"/>
    <n v="0"/>
    <n v="1"/>
    <n v="1"/>
  </r>
  <r>
    <x v="0"/>
    <s v="2025-12-26 20:24:34"/>
    <n v="1"/>
    <x v="20"/>
    <x v="19"/>
    <x v="2"/>
    <n v="1.9215998004272001E-2"/>
    <n v="5.7453255304478696E-3"/>
    <n v="0"/>
    <n v="1.01815548013261"/>
    <n v="2014"/>
    <s v="Unnamed ProjectProcess 6Wait Time Per EntityProcess"/>
    <n v="1"/>
    <n v="1.9215998004272001E-2"/>
    <n v="0"/>
    <n v="0.95"/>
    <n v="4E+20"/>
    <n v="1.9215998004272001E-2"/>
    <n v="1.9215998004272001E-2"/>
    <n v="0"/>
    <n v="1.01815548013261"/>
    <n v="2014"/>
    <n v="5.7453255304478696E-3"/>
    <n v="1"/>
    <n v="1"/>
  </r>
  <r>
    <x v="0"/>
    <s v="2025-12-26 20:24:34"/>
    <n v="1"/>
    <x v="21"/>
    <x v="0"/>
    <x v="0"/>
    <n v="0"/>
    <n v="0"/>
    <n v="0"/>
    <n v="0"/>
    <n v="2015"/>
    <s v="Unnamed ProjectProcess 6.QueueWaiting CostQueue"/>
    <n v="1"/>
    <n v="0"/>
    <n v="0"/>
    <n v="0.95"/>
    <n v="4E+20"/>
    <n v="0"/>
    <n v="0"/>
    <n v="0"/>
    <n v="0"/>
    <n v="2015"/>
    <n v="0"/>
    <n v="1"/>
    <n v="1"/>
  </r>
  <r>
    <x v="0"/>
    <s v="2025-12-26 20:24:34"/>
    <n v="1"/>
    <x v="21"/>
    <x v="1"/>
    <x v="0"/>
    <n v="1.92134499818277E-2"/>
    <n v="5.7453255304478696E-3"/>
    <n v="0"/>
    <n v="1.01815548013261"/>
    <n v="2015"/>
    <s v="Unnamed ProjectProcess 6.QueueWaiting TimeQueue"/>
    <n v="1"/>
    <n v="1.92134499818277E-2"/>
    <n v="0"/>
    <n v="0.95"/>
    <n v="4E+20"/>
    <n v="1.92134499818277E-2"/>
    <n v="1.92134499818277E-2"/>
    <n v="0"/>
    <n v="1.01815548013261"/>
    <n v="2015"/>
    <n v="5.7453255304478696E-3"/>
    <n v="1"/>
    <n v="1"/>
  </r>
  <r>
    <x v="0"/>
    <s v="2025-12-26 20:24:34"/>
    <n v="1"/>
    <x v="22"/>
    <x v="14"/>
    <x v="2"/>
    <n v="0"/>
    <n v="0"/>
    <n v="0"/>
    <n v="0"/>
    <n v="2013"/>
    <s v="Unnamed ProjectProcess 7Total Cost Per EntityProcess"/>
    <n v="1"/>
    <n v="0"/>
    <n v="0"/>
    <n v="0.95"/>
    <n v="4E+20"/>
    <n v="0"/>
    <n v="0"/>
    <n v="0"/>
    <n v="0"/>
    <n v="2013"/>
    <n v="0"/>
    <n v="1"/>
    <n v="1"/>
  </r>
  <r>
    <x v="0"/>
    <s v="2025-12-26 20:24:34"/>
    <n v="1"/>
    <x v="22"/>
    <x v="15"/>
    <x v="2"/>
    <n v="5.3091193776964004E-3"/>
    <n v="2.8516069544035202E-3"/>
    <n v="1.0187343846546099E-3"/>
    <n v="1.0023769568424801"/>
    <n v="2013"/>
    <s v="Unnamed ProjectProcess 7Total Time Per EntityProcess"/>
    <n v="1"/>
    <n v="5.3091193776964004E-3"/>
    <n v="0"/>
    <n v="0.95"/>
    <n v="4E+20"/>
    <n v="5.3091193776964004E-3"/>
    <n v="5.3091193776964004E-3"/>
    <n v="1.0187343846546099E-3"/>
    <n v="1.0023769568424801"/>
    <n v="2013"/>
    <n v="2.8516069544035202E-3"/>
    <n v="1"/>
    <n v="1"/>
  </r>
  <r>
    <x v="0"/>
    <s v="2025-12-26 20:24:34"/>
    <n v="1"/>
    <x v="22"/>
    <x v="16"/>
    <x v="2"/>
    <n v="0"/>
    <n v="0"/>
    <n v="0"/>
    <n v="0"/>
    <n v="2013"/>
    <s v="Unnamed ProjectProcess 7VA Cost Per EntityProcess"/>
    <n v="1"/>
    <n v="0"/>
    <n v="0"/>
    <n v="0.95"/>
    <n v="4E+20"/>
    <n v="0"/>
    <n v="0"/>
    <n v="0"/>
    <n v="0"/>
    <n v="2013"/>
    <n v="0"/>
    <n v="1"/>
    <n v="1"/>
  </r>
  <r>
    <x v="0"/>
    <s v="2025-12-26 20:24:34"/>
    <n v="1"/>
    <x v="22"/>
    <x v="17"/>
    <x v="2"/>
    <n v="3.3304516814194099E-3"/>
    <n v="2.6014975276011499E-5"/>
    <n v="1.0187343846546099E-3"/>
    <n v="5.1138704822903903E-3"/>
    <n v="2013"/>
    <s v="Unnamed ProjectProcess 7VA Time Per EntityProcess"/>
    <n v="1"/>
    <n v="3.3304516814194099E-3"/>
    <n v="0"/>
    <n v="0.95"/>
    <n v="4E+20"/>
    <n v="3.3304516814194099E-3"/>
    <n v="3.3304516814194099E-3"/>
    <n v="1.0187343846546099E-3"/>
    <n v="5.1138704822903903E-3"/>
    <n v="2013"/>
    <n v="2.6014975276011499E-5"/>
    <n v="1"/>
    <n v="1"/>
  </r>
  <r>
    <x v="0"/>
    <s v="2025-12-26 20:24:34"/>
    <n v="1"/>
    <x v="22"/>
    <x v="18"/>
    <x v="2"/>
    <n v="0"/>
    <n v="0"/>
    <n v="0"/>
    <n v="0"/>
    <n v="2013"/>
    <s v="Unnamed ProjectProcess 7Wait Cost Per EntityProcess"/>
    <n v="1"/>
    <n v="0"/>
    <n v="0"/>
    <n v="0.95"/>
    <n v="4E+20"/>
    <n v="0"/>
    <n v="0"/>
    <n v="0"/>
    <n v="0"/>
    <n v="2013"/>
    <n v="0"/>
    <n v="1"/>
    <n v="1"/>
  </r>
  <r>
    <x v="0"/>
    <s v="2025-12-26 20:24:34"/>
    <n v="1"/>
    <x v="22"/>
    <x v="19"/>
    <x v="2"/>
    <n v="1.97866769627699E-3"/>
    <n v="2.8472704709670998E-3"/>
    <n v="0"/>
    <n v="0.99918646846566395"/>
    <n v="2013"/>
    <s v="Unnamed ProjectProcess 7Wait Time Per EntityProcess"/>
    <n v="1"/>
    <n v="1.97866769627699E-3"/>
    <n v="0"/>
    <n v="0.95"/>
    <n v="4E+20"/>
    <n v="1.97866769627699E-3"/>
    <n v="1.97866769627699E-3"/>
    <n v="0"/>
    <n v="0.99918646846566395"/>
    <n v="2013"/>
    <n v="2.8472704709670998E-3"/>
    <n v="1"/>
    <n v="1"/>
  </r>
  <r>
    <x v="0"/>
    <s v="2025-12-26 20:24:34"/>
    <n v="1"/>
    <x v="23"/>
    <x v="0"/>
    <x v="0"/>
    <n v="0"/>
    <n v="0"/>
    <n v="0"/>
    <n v="0"/>
    <n v="2014"/>
    <s v="Unnamed ProjectProcess 7.QueueWaiting CostQueue"/>
    <n v="1"/>
    <n v="0"/>
    <n v="0"/>
    <n v="0.95"/>
    <n v="4E+20"/>
    <n v="0"/>
    <n v="0"/>
    <n v="0"/>
    <n v="0"/>
    <n v="2014"/>
    <n v="0"/>
    <n v="1"/>
    <n v="1"/>
  </r>
  <r>
    <x v="0"/>
    <s v="2025-12-26 20:24:34"/>
    <n v="1"/>
    <x v="23"/>
    <x v="1"/>
    <x v="0"/>
    <n v="1.9776852396254101E-3"/>
    <n v="2.8472704709670998E-3"/>
    <n v="0"/>
    <n v="0.99918646846566395"/>
    <n v="2014"/>
    <s v="Unnamed ProjectProcess 7.QueueWaiting TimeQueue"/>
    <n v="1"/>
    <n v="1.9776852396254101E-3"/>
    <n v="0"/>
    <n v="0.95"/>
    <n v="4E+20"/>
    <n v="1.9776852396254101E-3"/>
    <n v="1.9776852396254101E-3"/>
    <n v="0"/>
    <n v="0.99918646846566395"/>
    <n v="2014"/>
    <n v="2.8472704709670998E-3"/>
    <n v="1"/>
    <n v="1"/>
  </r>
  <r>
    <x v="0"/>
    <s v="2025-12-26 20:24:34"/>
    <n v="1"/>
    <x v="24"/>
    <x v="14"/>
    <x v="2"/>
    <n v="0"/>
    <n v="0"/>
    <n v="0"/>
    <n v="0"/>
    <n v="8698"/>
    <s v="Unnamed ProjectProcess 8Total Cost Per EntityProcess"/>
    <n v="1"/>
    <n v="0"/>
    <n v="0"/>
    <n v="0.95"/>
    <n v="4E+20"/>
    <n v="0"/>
    <n v="0"/>
    <n v="0"/>
    <n v="0"/>
    <n v="8698"/>
    <n v="0"/>
    <n v="1"/>
    <n v="1"/>
  </r>
  <r>
    <x v="0"/>
    <s v="2025-12-26 20:24:34"/>
    <n v="1"/>
    <x v="24"/>
    <x v="15"/>
    <x v="2"/>
    <n v="6.4240582788332203E-3"/>
    <n v="3E+20"/>
    <n v="3.7720932485640901E-4"/>
    <n v="7.9983909706167502"/>
    <n v="8698"/>
    <s v="Unnamed ProjectProcess 8Total Time Per EntityProcess"/>
    <n v="1"/>
    <n v="6.4240582788332203E-3"/>
    <n v="0"/>
    <n v="0.95"/>
    <n v="4E+20"/>
    <n v="6.4240582788332203E-3"/>
    <n v="6.4240582788332203E-3"/>
    <n v="3.7720932485640901E-4"/>
    <n v="7.9983909706167502"/>
    <n v="8698"/>
    <n v="3E+20"/>
    <n v="1"/>
    <n v="1"/>
  </r>
  <r>
    <x v="0"/>
    <s v="2025-12-26 20:24:34"/>
    <n v="1"/>
    <x v="24"/>
    <x v="16"/>
    <x v="2"/>
    <n v="0"/>
    <n v="0"/>
    <n v="0"/>
    <n v="0"/>
    <n v="8698"/>
    <s v="Unnamed ProjectProcess 8VA Cost Per EntityProcess"/>
    <n v="1"/>
    <n v="0"/>
    <n v="0"/>
    <n v="0.95"/>
    <n v="4E+20"/>
    <n v="0"/>
    <n v="0"/>
    <n v="0"/>
    <n v="0"/>
    <n v="8698"/>
    <n v="0"/>
    <n v="1"/>
    <n v="1"/>
  </r>
  <r>
    <x v="0"/>
    <s v="2025-12-26 20:24:34"/>
    <n v="1"/>
    <x v="24"/>
    <x v="17"/>
    <x v="2"/>
    <n v="1.39248126237719E-3"/>
    <n v="4.8241127351894697E-6"/>
    <n v="3.7720932485640901E-4"/>
    <n v="2.38218035337212E-3"/>
    <n v="8698"/>
    <s v="Unnamed ProjectProcess 8VA Time Per EntityProcess"/>
    <n v="1"/>
    <n v="1.39248126237719E-3"/>
    <n v="0"/>
    <n v="0.95"/>
    <n v="4E+20"/>
    <n v="1.39248126237719E-3"/>
    <n v="1.39248126237719E-3"/>
    <n v="3.7720932485640901E-4"/>
    <n v="2.38218035337212E-3"/>
    <n v="8698"/>
    <n v="4.8241127351894697E-6"/>
    <n v="1"/>
    <n v="1"/>
  </r>
  <r>
    <x v="0"/>
    <s v="2025-12-26 20:24:34"/>
    <n v="1"/>
    <x v="24"/>
    <x v="18"/>
    <x v="2"/>
    <n v="0"/>
    <n v="0"/>
    <n v="0"/>
    <n v="0"/>
    <n v="8698"/>
    <s v="Unnamed ProjectProcess 8Wait Cost Per EntityProcess"/>
    <n v="1"/>
    <n v="0"/>
    <n v="0"/>
    <n v="0.95"/>
    <n v="4E+20"/>
    <n v="0"/>
    <n v="0"/>
    <n v="0"/>
    <n v="0"/>
    <n v="8698"/>
    <n v="0"/>
    <n v="1"/>
    <n v="1"/>
  </r>
  <r>
    <x v="0"/>
    <s v="2025-12-26 20:24:34"/>
    <n v="1"/>
    <x v="24"/>
    <x v="19"/>
    <x v="2"/>
    <n v="5.0315770164560004E-3"/>
    <n v="3E+20"/>
    <n v="0"/>
    <n v="7.9976473242317301"/>
    <n v="8698"/>
    <s v="Unnamed ProjectProcess 8Wait Time Per EntityProcess"/>
    <n v="1"/>
    <n v="5.0315770164560004E-3"/>
    <n v="0"/>
    <n v="0.95"/>
    <n v="4E+20"/>
    <n v="5.0315770164560004E-3"/>
    <n v="5.0315770164560004E-3"/>
    <n v="0"/>
    <n v="7.9976473242317301"/>
    <n v="8698"/>
    <n v="3E+20"/>
    <n v="1"/>
    <n v="1"/>
  </r>
  <r>
    <x v="0"/>
    <s v="2025-12-26 20:24:34"/>
    <n v="1"/>
    <x v="25"/>
    <x v="0"/>
    <x v="0"/>
    <n v="0"/>
    <n v="0"/>
    <n v="0"/>
    <n v="0"/>
    <n v="8699"/>
    <s v="Unnamed ProjectProcess 8.QueueWaiting CostQueue"/>
    <n v="1"/>
    <n v="0"/>
    <n v="0"/>
    <n v="0.95"/>
    <n v="4E+20"/>
    <n v="0"/>
    <n v="0"/>
    <n v="0"/>
    <n v="0"/>
    <n v="8699"/>
    <n v="0"/>
    <n v="1"/>
    <n v="1"/>
  </r>
  <r>
    <x v="0"/>
    <s v="2025-12-26 20:24:34"/>
    <n v="1"/>
    <x v="25"/>
    <x v="1"/>
    <x v="0"/>
    <n v="5.0311106096046004E-3"/>
    <n v="3E+20"/>
    <n v="0"/>
    <n v="7.9976473242317301"/>
    <n v="8699"/>
    <s v="Unnamed ProjectProcess 8.QueueWaiting TimeQueue"/>
    <n v="1"/>
    <n v="5.0311106096046004E-3"/>
    <n v="0"/>
    <n v="0.95"/>
    <n v="4E+20"/>
    <n v="5.0311106096046004E-3"/>
    <n v="5.0311106096046004E-3"/>
    <n v="0"/>
    <n v="7.9976473242317301"/>
    <n v="8699"/>
    <n v="3E+20"/>
    <n v="1"/>
    <n v="1"/>
  </r>
  <r>
    <x v="0"/>
    <s v="2025-12-26 20:24:34"/>
    <n v="1"/>
    <x v="26"/>
    <x v="14"/>
    <x v="2"/>
    <n v="0"/>
    <n v="0"/>
    <n v="0"/>
    <n v="0"/>
    <n v="8694"/>
    <s v="Unnamed ProjectProcess 9Total Cost Per EntityProcess"/>
    <n v="1"/>
    <n v="0"/>
    <n v="0"/>
    <n v="0.95"/>
    <n v="4E+20"/>
    <n v="0"/>
    <n v="0"/>
    <n v="0"/>
    <n v="0"/>
    <n v="8694"/>
    <n v="0"/>
    <n v="1"/>
    <n v="1"/>
  </r>
  <r>
    <x v="0"/>
    <s v="2025-12-26 20:24:34"/>
    <n v="1"/>
    <x v="26"/>
    <x v="15"/>
    <x v="2"/>
    <n v="2.7200901641872702E-3"/>
    <n v="1.0044193843753099E-3"/>
    <n v="1.1178344763784799E-3"/>
    <n v="1.0023758661664599"/>
    <n v="8694"/>
    <s v="Unnamed ProjectProcess 9Total Time Per EntityProcess"/>
    <n v="1"/>
    <n v="2.7200901641872702E-3"/>
    <n v="0"/>
    <n v="0.95"/>
    <n v="4E+20"/>
    <n v="2.7200901641872702E-3"/>
    <n v="2.7200901641872702E-3"/>
    <n v="1.1178344763784799E-3"/>
    <n v="1.0023758661664599"/>
    <n v="8694"/>
    <n v="1.0044193843753099E-3"/>
    <n v="1"/>
    <n v="1"/>
  </r>
  <r>
    <x v="0"/>
    <s v="2025-12-26 20:24:34"/>
    <n v="1"/>
    <x v="26"/>
    <x v="16"/>
    <x v="2"/>
    <n v="0"/>
    <n v="0"/>
    <n v="0"/>
    <n v="0"/>
    <n v="8694"/>
    <s v="Unnamed ProjectProcess 9VA Cost Per EntityProcess"/>
    <n v="1"/>
    <n v="0"/>
    <n v="0"/>
    <n v="0.95"/>
    <n v="4E+20"/>
    <n v="0"/>
    <n v="0"/>
    <n v="0"/>
    <n v="0"/>
    <n v="8694"/>
    <n v="0"/>
    <n v="1"/>
    <n v="1"/>
  </r>
  <r>
    <x v="0"/>
    <s v="2025-12-26 20:24:34"/>
    <n v="1"/>
    <x v="26"/>
    <x v="17"/>
    <x v="2"/>
    <n v="1.5754592866948601E-3"/>
    <n v="3.73279723252574E-6"/>
    <n v="1.1128741452122201E-3"/>
    <n v="1.93799393688465E-3"/>
    <n v="8694"/>
    <s v="Unnamed ProjectProcess 9VA Time Per EntityProcess"/>
    <n v="1"/>
    <n v="1.5754592866948601E-3"/>
    <n v="0"/>
    <n v="0.95"/>
    <n v="4E+20"/>
    <n v="1.5754592866948601E-3"/>
    <n v="1.5754592866948601E-3"/>
    <n v="1.1128741452122201E-3"/>
    <n v="1.93799393688465E-3"/>
    <n v="8694"/>
    <n v="3.73279723252574E-6"/>
    <n v="1"/>
    <n v="1"/>
  </r>
  <r>
    <x v="0"/>
    <s v="2025-12-26 20:24:34"/>
    <n v="1"/>
    <x v="26"/>
    <x v="18"/>
    <x v="2"/>
    <n v="0"/>
    <n v="0"/>
    <n v="0"/>
    <n v="0"/>
    <n v="8694"/>
    <s v="Unnamed ProjectProcess 9Wait Cost Per EntityProcess"/>
    <n v="1"/>
    <n v="0"/>
    <n v="0"/>
    <n v="0.95"/>
    <n v="4E+20"/>
    <n v="0"/>
    <n v="0"/>
    <n v="0"/>
    <n v="0"/>
    <n v="8694"/>
    <n v="0"/>
    <n v="1"/>
    <n v="1"/>
  </r>
  <r>
    <x v="0"/>
    <s v="2025-12-26 20:24:34"/>
    <n v="1"/>
    <x v="26"/>
    <x v="19"/>
    <x v="2"/>
    <n v="1.1446308774923899E-3"/>
    <n v="1.00572291615402E-3"/>
    <n v="0"/>
    <n v="1.0008952813548599"/>
    <n v="8694"/>
    <s v="Unnamed ProjectProcess 9Wait Time Per EntityProcess"/>
    <n v="1"/>
    <n v="1.1446308774923899E-3"/>
    <n v="0"/>
    <n v="0.95"/>
    <n v="4E+20"/>
    <n v="1.1446308774923899E-3"/>
    <n v="1.1446308774923899E-3"/>
    <n v="0"/>
    <n v="1.0008952813548599"/>
    <n v="8694"/>
    <n v="1.00572291615402E-3"/>
    <n v="1"/>
    <n v="1"/>
  </r>
  <r>
    <x v="0"/>
    <s v="2025-12-26 20:24:34"/>
    <n v="1"/>
    <x v="27"/>
    <x v="0"/>
    <x v="0"/>
    <n v="0"/>
    <n v="0"/>
    <n v="0"/>
    <n v="0"/>
    <n v="8695"/>
    <s v="Unnamed ProjectProcess 9.QueueWaiting CostQueue"/>
    <n v="1"/>
    <n v="0"/>
    <n v="0"/>
    <n v="0.95"/>
    <n v="4E+20"/>
    <n v="0"/>
    <n v="0"/>
    <n v="0"/>
    <n v="0"/>
    <n v="8695"/>
    <n v="0"/>
    <n v="1"/>
    <n v="1"/>
  </r>
  <r>
    <x v="0"/>
    <s v="2025-12-26 20:24:34"/>
    <n v="1"/>
    <x v="27"/>
    <x v="1"/>
    <x v="0"/>
    <n v="1.1444992350683001E-3"/>
    <n v="1.00572291615402E-3"/>
    <n v="0"/>
    <n v="1.0008952813548599"/>
    <n v="8695"/>
    <s v="Unnamed ProjectProcess 9.QueueWaiting TimeQueue"/>
    <n v="1"/>
    <n v="1.1444992350683001E-3"/>
    <n v="0"/>
    <n v="0.95"/>
    <n v="4E+20"/>
    <n v="1.1444992350683001E-3"/>
    <n v="1.1444992350683001E-3"/>
    <n v="0"/>
    <n v="1.0008952813548599"/>
    <n v="8695"/>
    <n v="1.00572291615402E-3"/>
    <n v="1"/>
    <n v="1"/>
  </r>
  <r>
    <x v="0"/>
    <s v="2025-12-26 20:24:34"/>
    <n v="1"/>
    <x v="28"/>
    <x v="14"/>
    <x v="2"/>
    <n v="0"/>
    <n v="2E+20"/>
    <n v="0"/>
    <n v="0"/>
    <n v="14"/>
    <s v="Unnamed ProjectsalesTotal Cost Per EntityProcess"/>
    <n v="1"/>
    <n v="0"/>
    <n v="0"/>
    <n v="0.95"/>
    <n v="4E+20"/>
    <n v="0"/>
    <n v="0"/>
    <n v="0"/>
    <n v="0"/>
    <n v="14"/>
    <n v="2E+20"/>
    <n v="1"/>
    <n v="1"/>
  </r>
  <r>
    <x v="0"/>
    <s v="2025-12-26 20:24:34"/>
    <n v="1"/>
    <x v="28"/>
    <x v="15"/>
    <x v="2"/>
    <n v="0.14836001412041"/>
    <n v="2E+20"/>
    <n v="9.4198948242915803E-2"/>
    <n v="0.28466188240354401"/>
    <n v="14"/>
    <s v="Unnamed ProjectsalesTotal Time Per EntityProcess"/>
    <n v="1"/>
    <n v="0.14836001412041"/>
    <n v="0"/>
    <n v="0.95"/>
    <n v="4E+20"/>
    <n v="0.14836001412041"/>
    <n v="0.14836001412041"/>
    <n v="9.4198948242915803E-2"/>
    <n v="0.28466188240354401"/>
    <n v="14"/>
    <n v="2E+20"/>
    <n v="1"/>
    <n v="1"/>
  </r>
  <r>
    <x v="0"/>
    <s v="2025-12-26 20:24:34"/>
    <n v="1"/>
    <x v="28"/>
    <x v="16"/>
    <x v="2"/>
    <n v="0"/>
    <n v="2E+20"/>
    <n v="0"/>
    <n v="0"/>
    <n v="14"/>
    <s v="Unnamed ProjectsalesVA Cost Per EntityProcess"/>
    <n v="1"/>
    <n v="0"/>
    <n v="0"/>
    <n v="0.95"/>
    <n v="4E+20"/>
    <n v="0"/>
    <n v="0"/>
    <n v="0"/>
    <n v="0"/>
    <n v="14"/>
    <n v="2E+20"/>
    <n v="1"/>
    <n v="1"/>
  </r>
  <r>
    <x v="0"/>
    <s v="2025-12-26 20:24:34"/>
    <n v="1"/>
    <x v="28"/>
    <x v="17"/>
    <x v="2"/>
    <n v="0.12683818303262401"/>
    <n v="2E+20"/>
    <n v="9.4198948242915803E-2"/>
    <n v="0.16065896246063699"/>
    <n v="14"/>
    <s v="Unnamed ProjectsalesVA Time Per EntityProcess"/>
    <n v="1"/>
    <n v="0.12683818303262401"/>
    <n v="0"/>
    <n v="0.95"/>
    <n v="4E+20"/>
    <n v="0.12683818303262401"/>
    <n v="0.12683818303262401"/>
    <n v="9.4198948242915803E-2"/>
    <n v="0.16065896246063699"/>
    <n v="14"/>
    <n v="2E+20"/>
    <n v="1"/>
    <n v="1"/>
  </r>
  <r>
    <x v="0"/>
    <s v="2025-12-26 20:24:34"/>
    <n v="1"/>
    <x v="28"/>
    <x v="18"/>
    <x v="2"/>
    <n v="0"/>
    <n v="2E+20"/>
    <n v="0"/>
    <n v="0"/>
    <n v="14"/>
    <s v="Unnamed ProjectsalesWait Cost Per EntityProcess"/>
    <n v="1"/>
    <n v="0"/>
    <n v="0"/>
    <n v="0.95"/>
    <n v="4E+20"/>
    <n v="0"/>
    <n v="0"/>
    <n v="0"/>
    <n v="0"/>
    <n v="14"/>
    <n v="2E+20"/>
    <n v="1"/>
    <n v="1"/>
  </r>
  <r>
    <x v="0"/>
    <s v="2025-12-26 20:24:34"/>
    <n v="1"/>
    <x v="28"/>
    <x v="19"/>
    <x v="2"/>
    <n v="2.1521831087786401E-2"/>
    <n v="2E+20"/>
    <n v="0"/>
    <n v="0.12400291994290701"/>
    <n v="14"/>
    <s v="Unnamed ProjectsalesWait Time Per EntityProcess"/>
    <n v="1"/>
    <n v="2.1521831087786401E-2"/>
    <n v="0"/>
    <n v="0.95"/>
    <n v="4E+20"/>
    <n v="2.1521831087786401E-2"/>
    <n v="2.1521831087786401E-2"/>
    <n v="0"/>
    <n v="0.12400291994290701"/>
    <n v="14"/>
    <n v="2E+20"/>
    <n v="1"/>
    <n v="1"/>
  </r>
  <r>
    <x v="0"/>
    <s v="2025-12-26 20:24:34"/>
    <n v="1"/>
    <x v="29"/>
    <x v="0"/>
    <x v="0"/>
    <n v="0"/>
    <n v="2E+20"/>
    <n v="0"/>
    <n v="0"/>
    <n v="14"/>
    <s v="Unnamed Projectsales.QueueWaiting CostQueue"/>
    <n v="1"/>
    <n v="0"/>
    <n v="0"/>
    <n v="0.95"/>
    <n v="4E+20"/>
    <n v="0"/>
    <n v="0"/>
    <n v="0"/>
    <n v="0"/>
    <n v="14"/>
    <n v="2E+20"/>
    <n v="1"/>
    <n v="1"/>
  </r>
  <r>
    <x v="0"/>
    <s v="2025-12-26 20:24:34"/>
    <n v="1"/>
    <x v="29"/>
    <x v="1"/>
    <x v="0"/>
    <n v="2.1521831087786401E-2"/>
    <n v="2E+20"/>
    <n v="0"/>
    <n v="0.12400291994290701"/>
    <n v="14"/>
    <s v="Unnamed Projectsales.QueueWaiting TimeQueue"/>
    <n v="1"/>
    <n v="2.1521831087786401E-2"/>
    <n v="0"/>
    <n v="0.95"/>
    <n v="4E+20"/>
    <n v="2.1521831087786401E-2"/>
    <n v="2.1521831087786401E-2"/>
    <n v="0"/>
    <n v="0.12400291994290701"/>
    <n v="14"/>
    <n v="2E+20"/>
    <n v="1"/>
    <n v="1"/>
  </r>
  <r>
    <x v="0"/>
    <s v="2025-12-26 20:24:34"/>
    <n v="1"/>
    <x v="30"/>
    <x v="0"/>
    <x v="0"/>
    <n v="0"/>
    <n v="0"/>
    <n v="0"/>
    <n v="0"/>
    <n v="4198"/>
    <s v="Unnamed ProjectSeize 1.QueueWaiting CostQueue"/>
    <n v="1"/>
    <n v="0"/>
    <n v="0"/>
    <n v="0.95"/>
    <n v="4E+20"/>
    <n v="0"/>
    <n v="0"/>
    <n v="0"/>
    <n v="0"/>
    <n v="4198"/>
    <n v="0"/>
    <n v="1"/>
    <n v="1"/>
  </r>
  <r>
    <x v="0"/>
    <s v="2025-12-26 20:24:34"/>
    <n v="1"/>
    <x v="30"/>
    <x v="1"/>
    <x v="0"/>
    <n v="3.96007192766345E-2"/>
    <n v="3E+20"/>
    <n v="0"/>
    <n v="3.8638815435139402"/>
    <n v="4198"/>
    <s v="Unnamed ProjectSeize 1.QueueWaiting TimeQueue"/>
    <n v="1"/>
    <n v="3.96007192766345E-2"/>
    <n v="0"/>
    <n v="0.95"/>
    <n v="4E+20"/>
    <n v="3.96007192766345E-2"/>
    <n v="3.96007192766345E-2"/>
    <n v="0"/>
    <n v="3.8638815435139402"/>
    <n v="4198"/>
    <n v="3E+20"/>
    <n v="1"/>
    <n v="1"/>
  </r>
  <r>
    <x v="0"/>
    <s v="2025-12-26 20:24:34"/>
    <n v="1"/>
    <x v="31"/>
    <x v="0"/>
    <x v="0"/>
    <n v="0"/>
    <n v="0"/>
    <n v="0"/>
    <n v="0"/>
    <n v="4195"/>
    <s v="Unnamed ProjectSeize 2.QueueWaiting CostQueue"/>
    <n v="1"/>
    <n v="0"/>
    <n v="0"/>
    <n v="0.95"/>
    <n v="4E+20"/>
    <n v="0"/>
    <n v="0"/>
    <n v="0"/>
    <n v="0"/>
    <n v="4195"/>
    <n v="0"/>
    <n v="1"/>
    <n v="1"/>
  </r>
  <r>
    <x v="0"/>
    <s v="2025-12-26 20:24:34"/>
    <n v="1"/>
    <x v="31"/>
    <x v="1"/>
    <x v="0"/>
    <n v="6.0071963093201097E-7"/>
    <n v="4.1205394076126201E-7"/>
    <n v="0"/>
    <n v="4.6678403817068702E-4"/>
    <n v="4195"/>
    <s v="Unnamed ProjectSeize 2.QueueWaiting TimeQueue"/>
    <n v="1"/>
    <n v="6.0071963093201097E-7"/>
    <n v="0"/>
    <n v="0.95"/>
    <n v="4E+20"/>
    <n v="6.0071963093201097E-7"/>
    <n v="6.0071963093201097E-7"/>
    <n v="0"/>
    <n v="4.6678403817068702E-4"/>
    <n v="4195"/>
    <n v="4.1205394076126201E-7"/>
    <n v="1"/>
    <n v="1"/>
  </r>
  <r>
    <x v="0"/>
    <s v="2025-12-26 20:24:34"/>
    <n v="1"/>
    <x v="32"/>
    <x v="0"/>
    <x v="0"/>
    <n v="0"/>
    <n v="0"/>
    <n v="0"/>
    <n v="0"/>
    <n v="4193"/>
    <s v="Unnamed ProjectSeize 3.QueueWaiting CostQueue"/>
    <n v="1"/>
    <n v="0"/>
    <n v="0"/>
    <n v="0.95"/>
    <n v="4E+20"/>
    <n v="0"/>
    <n v="0"/>
    <n v="0"/>
    <n v="0"/>
    <n v="4193"/>
    <n v="0"/>
    <n v="1"/>
    <n v="1"/>
  </r>
  <r>
    <x v="0"/>
    <s v="2025-12-26 20:24:34"/>
    <n v="1"/>
    <x v="32"/>
    <x v="1"/>
    <x v="0"/>
    <n v="2.58546579529569E-7"/>
    <n v="5.3992554889005496E-7"/>
    <n v="0"/>
    <n v="1.0840858079674801E-3"/>
    <n v="4193"/>
    <s v="Unnamed ProjectSeize 3.QueueWaiting TimeQueue"/>
    <n v="1"/>
    <n v="2.58546579529569E-7"/>
    <n v="0"/>
    <n v="0.95"/>
    <n v="4E+20"/>
    <n v="2.58546579529569E-7"/>
    <n v="2.58546579529569E-7"/>
    <n v="0"/>
    <n v="1.0840858079674801E-3"/>
    <n v="4193"/>
    <n v="5.3992554889005496E-7"/>
    <n v="1"/>
    <n v="1"/>
  </r>
  <r>
    <x v="0"/>
    <s v="2025-12-26 20:24:34"/>
    <n v="1"/>
    <x v="33"/>
    <x v="0"/>
    <x v="0"/>
    <n v="0"/>
    <n v="0"/>
    <n v="0"/>
    <n v="0"/>
    <n v="2024"/>
    <s v="Unnamed ProjectSeize 4.QueueWaiting CostQueue"/>
    <n v="1"/>
    <n v="0"/>
    <n v="0"/>
    <n v="0.95"/>
    <n v="4E+20"/>
    <n v="0"/>
    <n v="0"/>
    <n v="0"/>
    <n v="0"/>
    <n v="2024"/>
    <n v="0"/>
    <n v="1"/>
    <n v="1"/>
  </r>
  <r>
    <x v="0"/>
    <s v="2025-12-26 20:24:34"/>
    <n v="1"/>
    <x v="33"/>
    <x v="1"/>
    <x v="0"/>
    <n v="0.142537166503032"/>
    <n v="3.9643868999529597E-2"/>
    <n v="0"/>
    <n v="7.5940290580715901"/>
    <n v="2024"/>
    <s v="Unnamed ProjectSeize 4.QueueWaiting TimeQueue"/>
    <n v="1"/>
    <n v="0.142537166503032"/>
    <n v="0"/>
    <n v="0.95"/>
    <n v="4E+20"/>
    <n v="0.142537166503032"/>
    <n v="0.142537166503032"/>
    <n v="0"/>
    <n v="7.5940290580715901"/>
    <n v="2024"/>
    <n v="3.9643868999529597E-2"/>
    <n v="1"/>
    <n v="1"/>
  </r>
  <r>
    <x v="0"/>
    <s v="2025-12-26 20:24:34"/>
    <n v="1"/>
    <x v="34"/>
    <x v="0"/>
    <x v="0"/>
    <n v="0"/>
    <n v="0"/>
    <n v="0"/>
    <n v="0"/>
    <n v="2022"/>
    <s v="Unnamed ProjectSeize 5.QueueWaiting CostQueue"/>
    <n v="1"/>
    <n v="0"/>
    <n v="0"/>
    <n v="0.95"/>
    <n v="4E+20"/>
    <n v="0"/>
    <n v="0"/>
    <n v="0"/>
    <n v="0"/>
    <n v="2022"/>
    <n v="0"/>
    <n v="1"/>
    <n v="1"/>
  </r>
  <r>
    <x v="0"/>
    <s v="2025-12-26 20:24:34"/>
    <n v="1"/>
    <x v="34"/>
    <x v="1"/>
    <x v="0"/>
    <n v="6.3555062944367297E-3"/>
    <n v="3E+20"/>
    <n v="0"/>
    <n v="1.71941097332073E-2"/>
    <n v="2022"/>
    <s v="Unnamed ProjectSeize 5.QueueWaiting TimeQueue"/>
    <n v="1"/>
    <n v="6.3555062944367297E-3"/>
    <n v="0"/>
    <n v="0.95"/>
    <n v="4E+20"/>
    <n v="6.3555062944367297E-3"/>
    <n v="6.3555062944367297E-3"/>
    <n v="0"/>
    <n v="1.71941097332073E-2"/>
    <n v="2022"/>
    <n v="3E+20"/>
    <n v="1"/>
    <n v="1"/>
  </r>
  <r>
    <x v="0"/>
    <s v="2025-12-26 20:24:34"/>
    <n v="1"/>
    <x v="35"/>
    <x v="0"/>
    <x v="0"/>
    <n v="0"/>
    <n v="0"/>
    <n v="0"/>
    <n v="0"/>
    <n v="2018"/>
    <s v="Unnamed ProjectSeize 6.QueueWaiting CostQueue"/>
    <n v="1"/>
    <n v="0"/>
    <n v="0"/>
    <n v="0.95"/>
    <n v="4E+20"/>
    <n v="0"/>
    <n v="0"/>
    <n v="0"/>
    <n v="0"/>
    <n v="2018"/>
    <n v="0"/>
    <n v="1"/>
    <n v="1"/>
  </r>
  <r>
    <x v="0"/>
    <s v="2025-12-26 20:24:34"/>
    <n v="1"/>
    <x v="35"/>
    <x v="1"/>
    <x v="0"/>
    <n v="2.9258281897080001E-2"/>
    <n v="4.3664549235224396E-3"/>
    <n v="0"/>
    <n v="1.0299602080235499"/>
    <n v="2018"/>
    <s v="Unnamed ProjectSeize 6.QueueWaiting TimeQueue"/>
    <n v="1"/>
    <n v="2.9258281897080001E-2"/>
    <n v="0"/>
    <n v="0.95"/>
    <n v="4E+20"/>
    <n v="2.9258281897080001E-2"/>
    <n v="2.9258281897080001E-2"/>
    <n v="0"/>
    <n v="1.0299602080235499"/>
    <n v="2018"/>
    <n v="4.3664549235224396E-3"/>
    <n v="1"/>
    <n v="1"/>
  </r>
  <r>
    <x v="0"/>
    <s v="2025-12-26 20:24:34"/>
    <n v="1"/>
    <x v="36"/>
    <x v="0"/>
    <x v="0"/>
    <n v="0"/>
    <n v="0"/>
    <n v="0"/>
    <n v="0"/>
    <n v="2014"/>
    <s v="Unnamed ProjectSeize 7.QueueWaiting CostQueue"/>
    <n v="1"/>
    <n v="0"/>
    <n v="0"/>
    <n v="0.95"/>
    <n v="4E+20"/>
    <n v="0"/>
    <n v="0"/>
    <n v="0"/>
    <n v="0"/>
    <n v="2014"/>
    <n v="0"/>
    <n v="1"/>
    <n v="1"/>
  </r>
  <r>
    <x v="0"/>
    <s v="2025-12-26 20:24:34"/>
    <n v="1"/>
    <x v="36"/>
    <x v="1"/>
    <x v="0"/>
    <n v="0"/>
    <n v="0"/>
    <n v="0"/>
    <n v="0"/>
    <n v="2014"/>
    <s v="Unnamed ProjectSeize 7.QueueWaiting TimeQueue"/>
    <n v="1"/>
    <n v="0"/>
    <n v="0"/>
    <n v="0.95"/>
    <n v="4E+20"/>
    <n v="0"/>
    <n v="0"/>
    <n v="0"/>
    <n v="0"/>
    <n v="2014"/>
    <n v="0"/>
    <n v="1"/>
    <n v="1"/>
  </r>
  <r>
    <x v="0"/>
    <s v="2025-12-26 20:24:34"/>
    <n v="1"/>
    <x v="37"/>
    <x v="0"/>
    <x v="0"/>
    <n v="0"/>
    <n v="0"/>
    <n v="0"/>
    <n v="0"/>
    <n v="8700"/>
    <s v="Unnamed ProjectSeize 8.QueueWaiting CostQueue"/>
    <n v="1"/>
    <n v="0"/>
    <n v="0"/>
    <n v="0.95"/>
    <n v="4E+20"/>
    <n v="0"/>
    <n v="0"/>
    <n v="0"/>
    <n v="0"/>
    <n v="8700"/>
    <n v="0"/>
    <n v="1"/>
    <n v="1"/>
  </r>
  <r>
    <x v="0"/>
    <s v="2025-12-26 20:24:34"/>
    <n v="1"/>
    <x v="37"/>
    <x v="1"/>
    <x v="0"/>
    <n v="2.11189867886965E-2"/>
    <n v="4.5407033740051403E-3"/>
    <n v="0"/>
    <n v="2.17874660095067"/>
    <n v="8700"/>
    <s v="Unnamed ProjectSeize 8.QueueWaiting TimeQueue"/>
    <n v="1"/>
    <n v="2.11189867886965E-2"/>
    <n v="0"/>
    <n v="0.95"/>
    <n v="4E+20"/>
    <n v="2.11189867886965E-2"/>
    <n v="2.11189867886965E-2"/>
    <n v="0"/>
    <n v="2.17874660095067"/>
    <n v="8700"/>
    <n v="4.5407033740051403E-3"/>
    <n v="1"/>
    <n v="1"/>
  </r>
  <r>
    <x v="0"/>
    <s v="2025-12-26 20:24:34"/>
    <n v="1"/>
    <x v="38"/>
    <x v="0"/>
    <x v="0"/>
    <n v="0"/>
    <n v="0"/>
    <n v="0"/>
    <n v="0"/>
    <n v="8697"/>
    <s v="Unnamed ProjectSeize 9.QueueWaiting CostQueue"/>
    <n v="1"/>
    <n v="0"/>
    <n v="0"/>
    <n v="0.95"/>
    <n v="4E+20"/>
    <n v="0"/>
    <n v="0"/>
    <n v="0"/>
    <n v="0"/>
    <n v="8697"/>
    <n v="0"/>
    <n v="1"/>
    <n v="1"/>
  </r>
  <r>
    <x v="0"/>
    <s v="2025-12-26 20:24:34"/>
    <n v="1"/>
    <x v="38"/>
    <x v="1"/>
    <x v="0"/>
    <n v="7.6632435281698004E-4"/>
    <n v="1.64930815910628E-5"/>
    <n v="0"/>
    <n v="3.15283974695646E-3"/>
    <n v="8697"/>
    <s v="Unnamed ProjectSeize 9.QueueWaiting TimeQueue"/>
    <n v="1"/>
    <n v="7.6632435281698004E-4"/>
    <n v="0"/>
    <n v="0.95"/>
    <n v="4E+20"/>
    <n v="7.6632435281698004E-4"/>
    <n v="7.6632435281698004E-4"/>
    <n v="0"/>
    <n v="3.15283974695646E-3"/>
    <n v="8697"/>
    <n v="1.64930815910628E-5"/>
    <n v="1"/>
    <n v="1"/>
  </r>
  <r>
    <x v="0"/>
    <s v="2025-12-26 20:24:34"/>
    <n v="1"/>
    <x v="39"/>
    <x v="2"/>
    <x v="1"/>
    <n v="0"/>
    <n v="0"/>
    <n v="0"/>
    <n v="0"/>
    <n v="923"/>
    <s v="Unnamed ProjectWire HarnessNVA CostEntity"/>
    <n v="1"/>
    <n v="0"/>
    <n v="0"/>
    <n v="0.95"/>
    <n v="4E+20"/>
    <n v="0"/>
    <n v="0"/>
    <n v="0"/>
    <n v="0"/>
    <n v="923"/>
    <n v="0"/>
    <n v="1"/>
    <n v="1"/>
  </r>
  <r>
    <x v="0"/>
    <s v="2025-12-26 20:24:34"/>
    <n v="1"/>
    <x v="39"/>
    <x v="3"/>
    <x v="1"/>
    <n v="0"/>
    <n v="0"/>
    <n v="0"/>
    <n v="0"/>
    <n v="923"/>
    <s v="Unnamed ProjectWire HarnessNVA TimeEntity"/>
    <n v="1"/>
    <n v="0"/>
    <n v="0"/>
    <n v="0.95"/>
    <n v="4E+20"/>
    <n v="0"/>
    <n v="0"/>
    <n v="0"/>
    <n v="0"/>
    <n v="923"/>
    <n v="0"/>
    <n v="1"/>
    <n v="1"/>
  </r>
  <r>
    <x v="0"/>
    <s v="2025-12-26 20:24:34"/>
    <n v="1"/>
    <x v="39"/>
    <x v="4"/>
    <x v="1"/>
    <n v="0"/>
    <n v="0"/>
    <n v="0"/>
    <n v="0"/>
    <n v="923"/>
    <s v="Unnamed ProjectWire HarnessOther CostEntity"/>
    <n v="1"/>
    <n v="0"/>
    <n v="0"/>
    <n v="0.95"/>
    <n v="4E+20"/>
    <n v="0"/>
    <n v="0"/>
    <n v="0"/>
    <n v="0"/>
    <n v="923"/>
    <n v="0"/>
    <n v="1"/>
    <n v="1"/>
  </r>
  <r>
    <x v="0"/>
    <s v="2025-12-26 20:24:34"/>
    <n v="1"/>
    <x v="39"/>
    <x v="5"/>
    <x v="1"/>
    <n v="0.11241301980896801"/>
    <n v="1.86369892602537E-4"/>
    <n v="0.102114763280785"/>
    <n v="0.12231217423969599"/>
    <n v="923"/>
    <s v="Unnamed ProjectWire HarnessOther TimeEntity"/>
    <n v="1"/>
    <n v="0.11241301980896801"/>
    <n v="0"/>
    <n v="0.95"/>
    <n v="4E+20"/>
    <n v="0.11241301980896801"/>
    <n v="0.11241301980896801"/>
    <n v="0.102114763280785"/>
    <n v="0.12231217423969599"/>
    <n v="923"/>
    <n v="1.86369892602537E-4"/>
    <n v="1"/>
    <n v="1"/>
  </r>
  <r>
    <x v="0"/>
    <s v="2025-12-26 20:24:34"/>
    <n v="1"/>
    <x v="39"/>
    <x v="6"/>
    <x v="1"/>
    <n v="0"/>
    <n v="0"/>
    <n v="0"/>
    <n v="0"/>
    <n v="923"/>
    <s v="Unnamed ProjectWire HarnessTotal CostEntity"/>
    <n v="1"/>
    <n v="0"/>
    <n v="0"/>
    <n v="0.95"/>
    <n v="4E+20"/>
    <n v="0"/>
    <n v="0"/>
    <n v="0"/>
    <n v="0"/>
    <n v="923"/>
    <n v="0"/>
    <n v="1"/>
    <n v="1"/>
  </r>
  <r>
    <x v="0"/>
    <s v="2025-12-26 20:24:34"/>
    <n v="1"/>
    <x v="39"/>
    <x v="7"/>
    <x v="1"/>
    <n v="0.25842576848467802"/>
    <n v="3E+20"/>
    <n v="9.6878254544718004E-2"/>
    <n v="8.0255973808015106"/>
    <n v="923"/>
    <s v="Unnamed ProjectWire HarnessTotal TimeEntity"/>
    <n v="1"/>
    <n v="0.25842576848467802"/>
    <n v="0"/>
    <n v="0.95"/>
    <n v="4E+20"/>
    <n v="0.25842576848467802"/>
    <n v="0.25842576848467802"/>
    <n v="9.6878254544718004E-2"/>
    <n v="8.0255973808015106"/>
    <n v="923"/>
    <n v="3E+20"/>
    <n v="1"/>
    <n v="1"/>
  </r>
  <r>
    <x v="0"/>
    <s v="2025-12-26 20:24:34"/>
    <n v="1"/>
    <x v="39"/>
    <x v="8"/>
    <x v="1"/>
    <n v="0"/>
    <n v="0"/>
    <n v="0"/>
    <n v="0"/>
    <n v="923"/>
    <s v="Unnamed ProjectWire HarnessTransfer CostEntity"/>
    <n v="1"/>
    <n v="0"/>
    <n v="0"/>
    <n v="0.95"/>
    <n v="4E+20"/>
    <n v="0"/>
    <n v="0"/>
    <n v="0"/>
    <n v="0"/>
    <n v="923"/>
    <n v="0"/>
    <n v="1"/>
    <n v="1"/>
  </r>
  <r>
    <x v="0"/>
    <s v="2025-12-26 20:24:34"/>
    <n v="1"/>
    <x v="39"/>
    <x v="9"/>
    <x v="1"/>
    <n v="0"/>
    <n v="0"/>
    <n v="0"/>
    <n v="0"/>
    <n v="923"/>
    <s v="Unnamed ProjectWire HarnessTransfer TimeEntity"/>
    <n v="1"/>
    <n v="0"/>
    <n v="0"/>
    <n v="0.95"/>
    <n v="4E+20"/>
    <n v="0"/>
    <n v="0"/>
    <n v="0"/>
    <n v="0"/>
    <n v="923"/>
    <n v="0"/>
    <n v="1"/>
    <n v="1"/>
  </r>
  <r>
    <x v="0"/>
    <s v="2025-12-26 20:24:34"/>
    <n v="1"/>
    <x v="39"/>
    <x v="10"/>
    <x v="1"/>
    <n v="0"/>
    <n v="0"/>
    <n v="0"/>
    <n v="0"/>
    <n v="923"/>
    <s v="Unnamed ProjectWire HarnessVA CostEntity"/>
    <n v="1"/>
    <n v="0"/>
    <n v="0"/>
    <n v="0.95"/>
    <n v="4E+20"/>
    <n v="0"/>
    <n v="0"/>
    <n v="0"/>
    <n v="0"/>
    <n v="923"/>
    <n v="0"/>
    <n v="1"/>
    <n v="1"/>
  </r>
  <r>
    <x v="0"/>
    <s v="2025-12-26 20:24:34"/>
    <n v="1"/>
    <x v="39"/>
    <x v="11"/>
    <x v="1"/>
    <n v="9.8421031535727302E-2"/>
    <n v="2.1326318539663901E-4"/>
    <n v="8.3289302622970907E-2"/>
    <n v="0.11001656922439899"/>
    <n v="923"/>
    <s v="Unnamed ProjectWire HarnessVA TimeEntity"/>
    <n v="1"/>
    <n v="9.8421031535727302E-2"/>
    <n v="0"/>
    <n v="0.95"/>
    <n v="4E+20"/>
    <n v="9.8421031535727302E-2"/>
    <n v="9.8421031535727302E-2"/>
    <n v="8.3289302622970907E-2"/>
    <n v="0.11001656922439899"/>
    <n v="923"/>
    <n v="2.1326318539663901E-4"/>
    <n v="1"/>
    <n v="1"/>
  </r>
  <r>
    <x v="0"/>
    <s v="2025-12-26 20:24:34"/>
    <n v="1"/>
    <x v="39"/>
    <x v="12"/>
    <x v="1"/>
    <n v="0"/>
    <n v="0"/>
    <n v="0"/>
    <n v="0"/>
    <n v="923"/>
    <s v="Unnamed ProjectWire HarnessWait CostEntity"/>
    <n v="1"/>
    <n v="0"/>
    <n v="0"/>
    <n v="0.95"/>
    <n v="4E+20"/>
    <n v="0"/>
    <n v="0"/>
    <n v="0"/>
    <n v="0"/>
    <n v="923"/>
    <n v="0"/>
    <n v="1"/>
    <n v="1"/>
  </r>
  <r>
    <x v="0"/>
    <s v="2025-12-26 20:24:34"/>
    <n v="1"/>
    <x v="39"/>
    <x v="13"/>
    <x v="1"/>
    <n v="1.00540515636633"/>
    <n v="0.30882506923152098"/>
    <n v="0.36596685738812701"/>
    <n v="69.446922899356693"/>
    <n v="923"/>
    <s v="Unnamed ProjectWire HarnessWait TimeEntity"/>
    <n v="1"/>
    <n v="1.00540515636633"/>
    <n v="0"/>
    <n v="0.95"/>
    <n v="4E+20"/>
    <n v="1.00540515636633"/>
    <n v="1.00540515636633"/>
    <n v="0.36596685738812701"/>
    <n v="69.446922899356693"/>
    <n v="923"/>
    <n v="0.30882506923152098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">
  <r>
    <x v="0"/>
    <s v="2025-12-26 20:24:34"/>
    <n v="1"/>
    <x v="0"/>
    <x v="0"/>
    <x v="0"/>
    <n v="0"/>
    <n v="0"/>
    <s v="Unnamed ProjectAll Entities.NVACostNVA CostSystem"/>
    <n v="1"/>
    <n v="0"/>
    <n v="0"/>
    <n v="0.95"/>
    <n v="4E+20"/>
    <n v="0"/>
    <n v="0"/>
  </r>
  <r>
    <x v="0"/>
    <s v="2025-12-26 20:24:34"/>
    <n v="1"/>
    <x v="1"/>
    <x v="1"/>
    <x v="0"/>
    <n v="0"/>
    <n v="0"/>
    <s v="Unnamed ProjectAll Entities.OtherCostOther CostSystem"/>
    <n v="1"/>
    <n v="0"/>
    <n v="0"/>
    <n v="0.95"/>
    <n v="4E+20"/>
    <n v="0"/>
    <n v="0"/>
  </r>
  <r>
    <x v="0"/>
    <s v="2025-12-26 20:24:34"/>
    <n v="1"/>
    <x v="2"/>
    <x v="2"/>
    <x v="0"/>
    <n v="0"/>
    <n v="0"/>
    <s v="Unnamed ProjectAll Entities.TotalCostTotal CostSystem"/>
    <n v="1"/>
    <n v="0"/>
    <n v="0"/>
    <n v="0.95"/>
    <n v="4E+20"/>
    <n v="0"/>
    <n v="0"/>
  </r>
  <r>
    <x v="0"/>
    <s v="2025-12-26 20:24:34"/>
    <n v="1"/>
    <x v="3"/>
    <x v="3"/>
    <x v="0"/>
    <n v="0"/>
    <n v="0"/>
    <s v="Unnamed ProjectAll Entities.TranCostTran CostSystem"/>
    <n v="1"/>
    <n v="0"/>
    <n v="0"/>
    <n v="0.95"/>
    <n v="4E+20"/>
    <n v="0"/>
    <n v="0"/>
  </r>
  <r>
    <x v="0"/>
    <s v="2025-12-26 20:24:34"/>
    <n v="1"/>
    <x v="4"/>
    <x v="4"/>
    <x v="0"/>
    <n v="0"/>
    <n v="0"/>
    <s v="Unnamed ProjectAll Entities.VACostVA CostSystem"/>
    <n v="1"/>
    <n v="0"/>
    <n v="0"/>
    <n v="0.95"/>
    <n v="4E+20"/>
    <n v="0"/>
    <n v="0"/>
  </r>
  <r>
    <x v="0"/>
    <s v="2025-12-26 20:24:34"/>
    <n v="1"/>
    <x v="5"/>
    <x v="5"/>
    <x v="0"/>
    <n v="0"/>
    <n v="0"/>
    <s v="Unnamed ProjectAll Entities.WaitCostWait CostSystem"/>
    <n v="1"/>
    <n v="0"/>
    <n v="0"/>
    <n v="0.95"/>
    <n v="4E+20"/>
    <n v="0"/>
    <n v="0"/>
  </r>
  <r>
    <x v="0"/>
    <s v="2025-12-26 20:24:34"/>
    <n v="1"/>
    <x v="6"/>
    <x v="6"/>
    <x v="0"/>
    <n v="0"/>
    <n v="0"/>
    <s v="Unnamed ProjectAll Resources.BusyCostBusy CostSystem"/>
    <n v="1"/>
    <n v="0"/>
    <n v="0"/>
    <n v="0.95"/>
    <n v="4E+20"/>
    <n v="0"/>
    <n v="0"/>
  </r>
  <r>
    <x v="0"/>
    <s v="2025-12-26 20:24:34"/>
    <n v="1"/>
    <x v="7"/>
    <x v="7"/>
    <x v="0"/>
    <n v="0"/>
    <n v="0"/>
    <s v="Unnamed ProjectAll Resources.IdleCostIdle CostSystem"/>
    <n v="1"/>
    <n v="0"/>
    <n v="0"/>
    <n v="0.95"/>
    <n v="4E+20"/>
    <n v="0"/>
    <n v="0"/>
  </r>
  <r>
    <x v="0"/>
    <s v="2025-12-26 20:24:34"/>
    <n v="1"/>
    <x v="8"/>
    <x v="2"/>
    <x v="0"/>
    <n v="0"/>
    <n v="0"/>
    <s v="Unnamed ProjectAll Resources.TotalCostTotal CostSystem"/>
    <n v="1"/>
    <n v="0"/>
    <n v="0"/>
    <n v="0.95"/>
    <n v="4E+20"/>
    <n v="0"/>
    <n v="0"/>
  </r>
  <r>
    <x v="0"/>
    <s v="2025-12-26 20:24:34"/>
    <n v="1"/>
    <x v="9"/>
    <x v="8"/>
    <x v="0"/>
    <n v="0"/>
    <n v="0"/>
    <s v="Unnamed ProjectAll Resources.UsageCostUsage CostSystem"/>
    <n v="1"/>
    <n v="0"/>
    <n v="0"/>
    <n v="0.95"/>
    <n v="4E+20"/>
    <n v="0"/>
    <n v="0"/>
  </r>
  <r>
    <x v="0"/>
    <s v="2025-12-26 20:24:34"/>
    <n v="1"/>
    <x v="10"/>
    <x v="6"/>
    <x v="1"/>
    <n v="0"/>
    <n v="0"/>
    <s v="Unnamed ProjectAssembler.BusyCostBusy CostResource"/>
    <n v="1"/>
    <n v="0"/>
    <n v="0"/>
    <n v="0.95"/>
    <n v="4E+20"/>
    <n v="0"/>
    <n v="0"/>
  </r>
  <r>
    <x v="0"/>
    <s v="2025-12-26 20:24:34"/>
    <n v="1"/>
    <x v="11"/>
    <x v="7"/>
    <x v="1"/>
    <n v="0"/>
    <n v="0"/>
    <s v="Unnamed ProjectAssembler.IdleCostIdle CostResource"/>
    <n v="1"/>
    <n v="0"/>
    <n v="0"/>
    <n v="0.95"/>
    <n v="4E+20"/>
    <n v="0"/>
    <n v="0"/>
  </r>
  <r>
    <x v="0"/>
    <s v="2025-12-26 20:24:34"/>
    <n v="1"/>
    <x v="12"/>
    <x v="9"/>
    <x v="1"/>
    <n v="2818"/>
    <n v="0"/>
    <s v="Unnamed ProjectAssembler.NumberSeizedTotal Number SeizedResource"/>
    <n v="1"/>
    <n v="2818"/>
    <n v="0"/>
    <n v="0.95"/>
    <n v="4E+20"/>
    <n v="2818"/>
    <n v="2818"/>
  </r>
  <r>
    <x v="0"/>
    <s v="2025-12-26 20:24:34"/>
    <n v="1"/>
    <x v="13"/>
    <x v="10"/>
    <x v="1"/>
    <n v="0.185890978356896"/>
    <n v="0"/>
    <s v="Unnamed ProjectAssembler.ScheduledUtilizationScheduled UtilizationResource"/>
    <n v="1"/>
    <n v="0.185890978356896"/>
    <n v="0"/>
    <n v="0.95"/>
    <n v="4E+20"/>
    <n v="0.185890978356896"/>
    <n v="0.185890978356896"/>
  </r>
  <r>
    <x v="0"/>
    <s v="2025-12-26 20:24:34"/>
    <n v="1"/>
    <x v="14"/>
    <x v="8"/>
    <x v="1"/>
    <n v="0"/>
    <n v="0"/>
    <s v="Unnamed ProjectAssembler.UsageCostUsage CostResource"/>
    <n v="1"/>
    <n v="0"/>
    <n v="0"/>
    <n v="0.95"/>
    <n v="4E+20"/>
    <n v="0"/>
    <n v="0"/>
  </r>
  <r>
    <x v="0"/>
    <s v="2025-12-26 20:24:34"/>
    <n v="1"/>
    <x v="15"/>
    <x v="11"/>
    <x v="2"/>
    <n v="127"/>
    <n v="0"/>
    <s v="Unnamed ProjectCustomer.NumberInNumber InEntity"/>
    <n v="1"/>
    <n v="127"/>
    <n v="0"/>
    <n v="0.95"/>
    <n v="4E+20"/>
    <n v="127"/>
    <n v="127"/>
  </r>
  <r>
    <x v="0"/>
    <s v="2025-12-26 20:24:34"/>
    <n v="1"/>
    <x v="16"/>
    <x v="12"/>
    <x v="2"/>
    <n v="127"/>
    <n v="0"/>
    <s v="Unnamed ProjectCustomer.NumberOutNumber OutEntity"/>
    <n v="1"/>
    <n v="127"/>
    <n v="0"/>
    <n v="0.95"/>
    <n v="4E+20"/>
    <n v="127"/>
    <n v="127"/>
  </r>
  <r>
    <x v="0"/>
    <s v="2025-12-26 20:24:34"/>
    <n v="1"/>
    <x v="17"/>
    <x v="11"/>
    <x v="2"/>
    <n v="7235"/>
    <n v="0"/>
    <s v="Unnamed ProjectEntity 1.NumberInNumber InEntity"/>
    <n v="1"/>
    <n v="7235"/>
    <n v="0"/>
    <n v="0.95"/>
    <n v="4E+20"/>
    <n v="7235"/>
    <n v="7235"/>
  </r>
  <r>
    <x v="0"/>
    <s v="2025-12-26 20:24:34"/>
    <n v="1"/>
    <x v="18"/>
    <x v="12"/>
    <x v="2"/>
    <n v="7204"/>
    <n v="0"/>
    <s v="Unnamed ProjectEntity 1.NumberOutNumber OutEntity"/>
    <n v="1"/>
    <n v="7204"/>
    <n v="0"/>
    <n v="0.95"/>
    <n v="4E+20"/>
    <n v="7204"/>
    <n v="7204"/>
  </r>
  <r>
    <x v="0"/>
    <s v="2025-12-26 20:24:34"/>
    <n v="1"/>
    <x v="19"/>
    <x v="11"/>
    <x v="2"/>
    <n v="2955"/>
    <n v="0"/>
    <s v="Unnamed ProjectEntity 2.NumberInNumber InEntity"/>
    <n v="1"/>
    <n v="2955"/>
    <n v="0"/>
    <n v="0.95"/>
    <n v="4E+20"/>
    <n v="2955"/>
    <n v="2955"/>
  </r>
  <r>
    <x v="0"/>
    <s v="2025-12-26 20:24:34"/>
    <n v="1"/>
    <x v="20"/>
    <x v="12"/>
    <x v="2"/>
    <n v="2917"/>
    <n v="0"/>
    <s v="Unnamed ProjectEntity 2.NumberOutNumber OutEntity"/>
    <n v="1"/>
    <n v="2917"/>
    <n v="0"/>
    <n v="0.95"/>
    <n v="4E+20"/>
    <n v="2917"/>
    <n v="2917"/>
  </r>
  <r>
    <x v="0"/>
    <s v="2025-12-26 20:24:34"/>
    <n v="1"/>
    <x v="21"/>
    <x v="11"/>
    <x v="2"/>
    <n v="14978"/>
    <n v="0"/>
    <s v="Unnamed ProjectEntity 3.NumberInNumber InEntity"/>
    <n v="1"/>
    <n v="14978"/>
    <n v="0"/>
    <n v="0.95"/>
    <n v="4E+20"/>
    <n v="14978"/>
    <n v="14978"/>
  </r>
  <r>
    <x v="0"/>
    <s v="2025-12-26 20:24:34"/>
    <n v="1"/>
    <x v="22"/>
    <x v="12"/>
    <x v="2"/>
    <n v="14940"/>
    <n v="0"/>
    <s v="Unnamed ProjectEntity 3.NumberOutNumber OutEntity"/>
    <n v="1"/>
    <n v="14940"/>
    <n v="0"/>
    <n v="0.95"/>
    <n v="4E+20"/>
    <n v="14940"/>
    <n v="14940"/>
  </r>
  <r>
    <x v="0"/>
    <s v="2025-12-26 20:24:34"/>
    <n v="1"/>
    <x v="23"/>
    <x v="6"/>
    <x v="1"/>
    <n v="0"/>
    <n v="0"/>
    <s v="Unnamed ProjectKanban L1S1.BusyCostBusy CostResource"/>
    <n v="1"/>
    <n v="0"/>
    <n v="0"/>
    <n v="0.95"/>
    <n v="4E+20"/>
    <n v="0"/>
    <n v="0"/>
  </r>
  <r>
    <x v="0"/>
    <s v="2025-12-26 20:24:34"/>
    <n v="1"/>
    <x v="24"/>
    <x v="7"/>
    <x v="1"/>
    <n v="0"/>
    <n v="0"/>
    <s v="Unnamed ProjectKanban L1S1.IdleCostIdle CostResource"/>
    <n v="1"/>
    <n v="0"/>
    <n v="0"/>
    <n v="0.95"/>
    <n v="4E+20"/>
    <n v="0"/>
    <n v="0"/>
  </r>
  <r>
    <x v="0"/>
    <s v="2025-12-26 20:24:34"/>
    <n v="1"/>
    <x v="25"/>
    <x v="9"/>
    <x v="1"/>
    <n v="4198"/>
    <n v="0"/>
    <s v="Unnamed ProjectKanban L1S1.NumberSeizedTotal Number SeizedResource"/>
    <n v="1"/>
    <n v="4198"/>
    <n v="0"/>
    <n v="0.95"/>
    <n v="4E+20"/>
    <n v="4198"/>
    <n v="4198"/>
  </r>
  <r>
    <x v="0"/>
    <s v="2025-12-26 20:24:34"/>
    <n v="1"/>
    <x v="26"/>
    <x v="10"/>
    <x v="1"/>
    <n v="0.92075442211088998"/>
    <n v="0"/>
    <s v="Unnamed ProjectKanban L1S1.ScheduledUtilizationScheduled UtilizationResource"/>
    <n v="1"/>
    <n v="0.92075442211088998"/>
    <n v="0"/>
    <n v="0.95"/>
    <n v="4E+20"/>
    <n v="0.92075442211088998"/>
    <n v="0.92075442211088998"/>
  </r>
  <r>
    <x v="0"/>
    <s v="2025-12-26 20:24:34"/>
    <n v="1"/>
    <x v="27"/>
    <x v="8"/>
    <x v="1"/>
    <n v="0"/>
    <n v="0"/>
    <s v="Unnamed ProjectKanban L1S1.UsageCostUsage CostResource"/>
    <n v="1"/>
    <n v="0"/>
    <n v="0"/>
    <n v="0.95"/>
    <n v="4E+20"/>
    <n v="0"/>
    <n v="0"/>
  </r>
  <r>
    <x v="0"/>
    <s v="2025-12-26 20:24:34"/>
    <n v="1"/>
    <x v="28"/>
    <x v="6"/>
    <x v="1"/>
    <n v="0"/>
    <n v="0"/>
    <s v="Unnamed ProjectKanban L1S2.BusyCostBusy CostResource"/>
    <n v="1"/>
    <n v="0"/>
    <n v="0"/>
    <n v="0.95"/>
    <n v="4E+20"/>
    <n v="0"/>
    <n v="0"/>
  </r>
  <r>
    <x v="0"/>
    <s v="2025-12-26 20:24:34"/>
    <n v="1"/>
    <x v="29"/>
    <x v="7"/>
    <x v="1"/>
    <n v="0"/>
    <n v="0"/>
    <s v="Unnamed ProjectKanban L1S2.IdleCostIdle CostResource"/>
    <n v="1"/>
    <n v="0"/>
    <n v="0"/>
    <n v="0.95"/>
    <n v="4E+20"/>
    <n v="0"/>
    <n v="0"/>
  </r>
  <r>
    <x v="0"/>
    <s v="2025-12-26 20:24:34"/>
    <n v="1"/>
    <x v="30"/>
    <x v="9"/>
    <x v="1"/>
    <n v="4195"/>
    <n v="0"/>
    <s v="Unnamed ProjectKanban L1S2.NumberSeizedTotal Number SeizedResource"/>
    <n v="1"/>
    <n v="4195"/>
    <n v="0"/>
    <n v="0.95"/>
    <n v="4E+20"/>
    <n v="4195"/>
    <n v="4195"/>
  </r>
  <r>
    <x v="0"/>
    <s v="2025-12-26 20:24:34"/>
    <n v="1"/>
    <x v="31"/>
    <x v="10"/>
    <x v="1"/>
    <n v="0.48970904361694501"/>
    <n v="0"/>
    <s v="Unnamed ProjectKanban L1S2.ScheduledUtilizationScheduled UtilizationResource"/>
    <n v="1"/>
    <n v="0.48970904361694501"/>
    <n v="0"/>
    <n v="0.95"/>
    <n v="4E+20"/>
    <n v="0.48970904361694501"/>
    <n v="0.48970904361694501"/>
  </r>
  <r>
    <x v="0"/>
    <s v="2025-12-26 20:24:34"/>
    <n v="1"/>
    <x v="32"/>
    <x v="8"/>
    <x v="1"/>
    <n v="0"/>
    <n v="0"/>
    <s v="Unnamed ProjectKanban L1S2.UsageCostUsage CostResource"/>
    <n v="1"/>
    <n v="0"/>
    <n v="0"/>
    <n v="0.95"/>
    <n v="4E+20"/>
    <n v="0"/>
    <n v="0"/>
  </r>
  <r>
    <x v="0"/>
    <s v="2025-12-26 20:24:34"/>
    <n v="1"/>
    <x v="33"/>
    <x v="6"/>
    <x v="1"/>
    <n v="0"/>
    <n v="0"/>
    <s v="Unnamed ProjectKanban L1S3.BusyCostBusy CostResource"/>
    <n v="1"/>
    <n v="0"/>
    <n v="0"/>
    <n v="0.95"/>
    <n v="4E+20"/>
    <n v="0"/>
    <n v="0"/>
  </r>
  <r>
    <x v="0"/>
    <s v="2025-12-26 20:24:34"/>
    <n v="1"/>
    <x v="34"/>
    <x v="7"/>
    <x v="1"/>
    <n v="0"/>
    <n v="0"/>
    <s v="Unnamed ProjectKanban L1S3.IdleCostIdle CostResource"/>
    <n v="1"/>
    <n v="0"/>
    <n v="0"/>
    <n v="0.95"/>
    <n v="4E+20"/>
    <n v="0"/>
    <n v="0"/>
  </r>
  <r>
    <x v="0"/>
    <s v="2025-12-26 20:24:34"/>
    <n v="1"/>
    <x v="35"/>
    <x v="9"/>
    <x v="1"/>
    <n v="4193"/>
    <n v="0"/>
    <s v="Unnamed ProjectKanban L1S3.NumberSeizedTotal Number SeizedResource"/>
    <n v="1"/>
    <n v="4193"/>
    <n v="0"/>
    <n v="0.95"/>
    <n v="4E+20"/>
    <n v="4193"/>
    <n v="4193"/>
  </r>
  <r>
    <x v="0"/>
    <s v="2025-12-26 20:24:34"/>
    <n v="1"/>
    <x v="36"/>
    <x v="10"/>
    <x v="1"/>
    <n v="0.40981440879307901"/>
    <n v="0"/>
    <s v="Unnamed ProjectKanban L1S3.ScheduledUtilizationScheduled UtilizationResource"/>
    <n v="1"/>
    <n v="0.40981440879307901"/>
    <n v="0"/>
    <n v="0.95"/>
    <n v="4E+20"/>
    <n v="0.40981440879307901"/>
    <n v="0.40981440879307901"/>
  </r>
  <r>
    <x v="0"/>
    <s v="2025-12-26 20:24:34"/>
    <n v="1"/>
    <x v="37"/>
    <x v="8"/>
    <x v="1"/>
    <n v="0"/>
    <n v="0"/>
    <s v="Unnamed ProjectKanban L1S3.UsageCostUsage CostResource"/>
    <n v="1"/>
    <n v="0"/>
    <n v="0"/>
    <n v="0.95"/>
    <n v="4E+20"/>
    <n v="0"/>
    <n v="0"/>
  </r>
  <r>
    <x v="0"/>
    <s v="2025-12-26 20:24:34"/>
    <n v="1"/>
    <x v="38"/>
    <x v="6"/>
    <x v="1"/>
    <n v="0"/>
    <n v="0"/>
    <s v="Unnamed ProjectKanban L2S1.BusyCostBusy CostResource"/>
    <n v="1"/>
    <n v="0"/>
    <n v="0"/>
    <n v="0.95"/>
    <n v="4E+20"/>
    <n v="0"/>
    <n v="0"/>
  </r>
  <r>
    <x v="0"/>
    <s v="2025-12-26 20:24:34"/>
    <n v="1"/>
    <x v="39"/>
    <x v="7"/>
    <x v="1"/>
    <n v="0"/>
    <n v="0"/>
    <s v="Unnamed ProjectKanban L2S1.IdleCostIdle CostResource"/>
    <n v="1"/>
    <n v="0"/>
    <n v="0"/>
    <n v="0.95"/>
    <n v="4E+20"/>
    <n v="0"/>
    <n v="0"/>
  </r>
  <r>
    <x v="0"/>
    <s v="2025-12-26 20:24:34"/>
    <n v="1"/>
    <x v="40"/>
    <x v="9"/>
    <x v="1"/>
    <n v="2024"/>
    <n v="0"/>
    <s v="Unnamed ProjectKanban L2S1.NumberSeizedTotal Number SeizedResource"/>
    <n v="1"/>
    <n v="2024"/>
    <n v="0"/>
    <n v="0.95"/>
    <n v="4E+20"/>
    <n v="2024"/>
    <n v="2024"/>
  </r>
  <r>
    <x v="0"/>
    <s v="2025-12-26 20:24:34"/>
    <n v="1"/>
    <x v="41"/>
    <x v="10"/>
    <x v="1"/>
    <n v="0.99437007322419102"/>
    <n v="0"/>
    <s v="Unnamed ProjectKanban L2S1.ScheduledUtilizationScheduled UtilizationResource"/>
    <n v="1"/>
    <n v="0.99437007322419102"/>
    <n v="0"/>
    <n v="0.95"/>
    <n v="4E+20"/>
    <n v="0.99437007322419102"/>
    <n v="0.99437007322419102"/>
  </r>
  <r>
    <x v="0"/>
    <s v="2025-12-26 20:24:34"/>
    <n v="1"/>
    <x v="42"/>
    <x v="8"/>
    <x v="1"/>
    <n v="0"/>
    <n v="0"/>
    <s v="Unnamed ProjectKanban L2S1.UsageCostUsage CostResource"/>
    <n v="1"/>
    <n v="0"/>
    <n v="0"/>
    <n v="0.95"/>
    <n v="4E+20"/>
    <n v="0"/>
    <n v="0"/>
  </r>
  <r>
    <x v="0"/>
    <s v="2025-12-26 20:24:34"/>
    <n v="1"/>
    <x v="43"/>
    <x v="6"/>
    <x v="1"/>
    <n v="0"/>
    <n v="0"/>
    <s v="Unnamed ProjectKanban L2S2.BusyCostBusy CostResource"/>
    <n v="1"/>
    <n v="0"/>
    <n v="0"/>
    <n v="0.95"/>
    <n v="4E+20"/>
    <n v="0"/>
    <n v="0"/>
  </r>
  <r>
    <x v="0"/>
    <s v="2025-12-26 20:24:34"/>
    <n v="1"/>
    <x v="44"/>
    <x v="7"/>
    <x v="1"/>
    <n v="0"/>
    <n v="0"/>
    <s v="Unnamed ProjectKanban L2S2.IdleCostIdle CostResource"/>
    <n v="1"/>
    <n v="0"/>
    <n v="0"/>
    <n v="0.95"/>
    <n v="4E+20"/>
    <n v="0"/>
    <n v="0"/>
  </r>
  <r>
    <x v="0"/>
    <s v="2025-12-26 20:24:34"/>
    <n v="1"/>
    <x v="45"/>
    <x v="9"/>
    <x v="1"/>
    <n v="2022"/>
    <n v="0"/>
    <s v="Unnamed ProjectKanban L2S2.NumberSeizedTotal Number SeizedResource"/>
    <n v="1"/>
    <n v="2022"/>
    <n v="0"/>
    <n v="0.95"/>
    <n v="4E+20"/>
    <n v="2022"/>
    <n v="2022"/>
  </r>
  <r>
    <x v="0"/>
    <s v="2025-12-26 20:24:34"/>
    <n v="1"/>
    <x v="46"/>
    <x v="10"/>
    <x v="1"/>
    <n v="0.64915601926033095"/>
    <n v="0"/>
    <s v="Unnamed ProjectKanban L2S2.ScheduledUtilizationScheduled UtilizationResource"/>
    <n v="1"/>
    <n v="0.64915601926033095"/>
    <n v="0"/>
    <n v="0.95"/>
    <n v="4E+20"/>
    <n v="0.64915601926033095"/>
    <n v="0.64915601926033095"/>
  </r>
  <r>
    <x v="0"/>
    <s v="2025-12-26 20:24:34"/>
    <n v="1"/>
    <x v="47"/>
    <x v="8"/>
    <x v="1"/>
    <n v="0"/>
    <n v="0"/>
    <s v="Unnamed ProjectKanban L2S2.UsageCostUsage CostResource"/>
    <n v="1"/>
    <n v="0"/>
    <n v="0"/>
    <n v="0.95"/>
    <n v="4E+20"/>
    <n v="0"/>
    <n v="0"/>
  </r>
  <r>
    <x v="0"/>
    <s v="2025-12-26 20:24:34"/>
    <n v="1"/>
    <x v="48"/>
    <x v="6"/>
    <x v="1"/>
    <n v="0"/>
    <n v="0"/>
    <s v="Unnamed ProjectKanban L2S3.BusyCostBusy CostResource"/>
    <n v="1"/>
    <n v="0"/>
    <n v="0"/>
    <n v="0.95"/>
    <n v="4E+20"/>
    <n v="0"/>
    <n v="0"/>
  </r>
  <r>
    <x v="0"/>
    <s v="2025-12-26 20:24:34"/>
    <n v="1"/>
    <x v="49"/>
    <x v="7"/>
    <x v="1"/>
    <n v="0"/>
    <n v="0"/>
    <s v="Unnamed ProjectKanban L2S3.IdleCostIdle CostResource"/>
    <n v="1"/>
    <n v="0"/>
    <n v="0"/>
    <n v="0.95"/>
    <n v="4E+20"/>
    <n v="0"/>
    <n v="0"/>
  </r>
  <r>
    <x v="0"/>
    <s v="2025-12-26 20:24:34"/>
    <n v="1"/>
    <x v="50"/>
    <x v="9"/>
    <x v="1"/>
    <n v="2018"/>
    <n v="0"/>
    <s v="Unnamed ProjectKanban L2S3.NumberSeizedTotal Number SeizedResource"/>
    <n v="1"/>
    <n v="2018"/>
    <n v="0"/>
    <n v="0.95"/>
    <n v="4E+20"/>
    <n v="2018"/>
    <n v="2018"/>
  </r>
  <r>
    <x v="0"/>
    <s v="2025-12-26 20:24:34"/>
    <n v="1"/>
    <x v="51"/>
    <x v="10"/>
    <x v="1"/>
    <n v="0.66607687117899494"/>
    <n v="0"/>
    <s v="Unnamed ProjectKanban L2S3.ScheduledUtilizationScheduled UtilizationResource"/>
    <n v="1"/>
    <n v="0.66607687117899494"/>
    <n v="0"/>
    <n v="0.95"/>
    <n v="4E+20"/>
    <n v="0.66607687117899494"/>
    <n v="0.66607687117899494"/>
  </r>
  <r>
    <x v="0"/>
    <s v="2025-12-26 20:24:34"/>
    <n v="1"/>
    <x v="52"/>
    <x v="8"/>
    <x v="1"/>
    <n v="0"/>
    <n v="0"/>
    <s v="Unnamed ProjectKanban L2S3.UsageCostUsage CostResource"/>
    <n v="1"/>
    <n v="0"/>
    <n v="0"/>
    <n v="0.95"/>
    <n v="4E+20"/>
    <n v="0"/>
    <n v="0"/>
  </r>
  <r>
    <x v="0"/>
    <s v="2025-12-26 20:24:34"/>
    <n v="1"/>
    <x v="53"/>
    <x v="6"/>
    <x v="1"/>
    <n v="0"/>
    <n v="0"/>
    <s v="Unnamed ProjectKanban L2S4.BusyCostBusy CostResource"/>
    <n v="1"/>
    <n v="0"/>
    <n v="0"/>
    <n v="0.95"/>
    <n v="4E+20"/>
    <n v="0"/>
    <n v="0"/>
  </r>
  <r>
    <x v="0"/>
    <s v="2025-12-26 20:24:34"/>
    <n v="1"/>
    <x v="54"/>
    <x v="7"/>
    <x v="1"/>
    <n v="0"/>
    <n v="0"/>
    <s v="Unnamed ProjectKanban L2S4.IdleCostIdle CostResource"/>
    <n v="1"/>
    <n v="0"/>
    <n v="0"/>
    <n v="0.95"/>
    <n v="4E+20"/>
    <n v="0"/>
    <n v="0"/>
  </r>
  <r>
    <x v="0"/>
    <s v="2025-12-26 20:24:34"/>
    <n v="1"/>
    <x v="55"/>
    <x v="9"/>
    <x v="1"/>
    <n v="2014"/>
    <n v="0"/>
    <s v="Unnamed ProjectKanban L2S4.NumberSeizedTotal Number SeizedResource"/>
    <n v="1"/>
    <n v="2014"/>
    <n v="0"/>
    <n v="0.95"/>
    <n v="4E+20"/>
    <n v="2014"/>
    <n v="2014"/>
  </r>
  <r>
    <x v="0"/>
    <s v="2025-12-26 20:24:34"/>
    <n v="1"/>
    <x v="56"/>
    <x v="10"/>
    <x v="1"/>
    <n v="0.33931560369556002"/>
    <n v="0"/>
    <s v="Unnamed ProjectKanban L2S4.ScheduledUtilizationScheduled UtilizationResource"/>
    <n v="1"/>
    <n v="0.33931560369556002"/>
    <n v="0"/>
    <n v="0.95"/>
    <n v="4E+20"/>
    <n v="0.33931560369556002"/>
    <n v="0.33931560369556002"/>
  </r>
  <r>
    <x v="0"/>
    <s v="2025-12-26 20:24:34"/>
    <n v="1"/>
    <x v="57"/>
    <x v="8"/>
    <x v="1"/>
    <n v="0"/>
    <n v="0"/>
    <s v="Unnamed ProjectKanban L2S4.UsageCostUsage CostResource"/>
    <n v="1"/>
    <n v="0"/>
    <n v="0"/>
    <n v="0.95"/>
    <n v="4E+20"/>
    <n v="0"/>
    <n v="0"/>
  </r>
  <r>
    <x v="0"/>
    <s v="2025-12-26 20:24:34"/>
    <n v="1"/>
    <x v="58"/>
    <x v="6"/>
    <x v="1"/>
    <n v="0"/>
    <n v="0"/>
    <s v="Unnamed ProjectKanban L3S1.BusyCostBusy CostResource"/>
    <n v="1"/>
    <n v="0"/>
    <n v="0"/>
    <n v="0.95"/>
    <n v="4E+20"/>
    <n v="0"/>
    <n v="0"/>
  </r>
  <r>
    <x v="0"/>
    <s v="2025-12-26 20:24:34"/>
    <n v="1"/>
    <x v="59"/>
    <x v="7"/>
    <x v="1"/>
    <n v="0"/>
    <n v="0"/>
    <s v="Unnamed ProjectKanban L3S1.IdleCostIdle CostResource"/>
    <n v="1"/>
    <n v="0"/>
    <n v="0"/>
    <n v="0.95"/>
    <n v="4E+20"/>
    <n v="0"/>
    <n v="0"/>
  </r>
  <r>
    <x v="0"/>
    <s v="2025-12-26 20:24:34"/>
    <n v="1"/>
    <x v="60"/>
    <x v="9"/>
    <x v="1"/>
    <n v="8700"/>
    <n v="0"/>
    <s v="Unnamed ProjectKanban L3S1.NumberSeizedTotal Number SeizedResource"/>
    <n v="1"/>
    <n v="8700"/>
    <n v="0"/>
    <n v="0.95"/>
    <n v="4E+20"/>
    <n v="8700"/>
    <n v="8700"/>
  </r>
  <r>
    <x v="0"/>
    <s v="2025-12-26 20:24:34"/>
    <n v="1"/>
    <x v="61"/>
    <x v="10"/>
    <x v="1"/>
    <n v="0.923864885868942"/>
    <n v="0"/>
    <s v="Unnamed ProjectKanban L3S1.ScheduledUtilizationScheduled UtilizationResource"/>
    <n v="1"/>
    <n v="0.923864885868942"/>
    <n v="0"/>
    <n v="0.95"/>
    <n v="4E+20"/>
    <n v="0.923864885868942"/>
    <n v="0.923864885868942"/>
  </r>
  <r>
    <x v="0"/>
    <s v="2025-12-26 20:24:34"/>
    <n v="1"/>
    <x v="62"/>
    <x v="8"/>
    <x v="1"/>
    <n v="0"/>
    <n v="0"/>
    <s v="Unnamed ProjectKanban L3S1.UsageCostUsage CostResource"/>
    <n v="1"/>
    <n v="0"/>
    <n v="0"/>
    <n v="0.95"/>
    <n v="4E+20"/>
    <n v="0"/>
    <n v="0"/>
  </r>
  <r>
    <x v="0"/>
    <s v="2025-12-26 20:24:34"/>
    <n v="1"/>
    <x v="63"/>
    <x v="6"/>
    <x v="1"/>
    <n v="0"/>
    <n v="0"/>
    <s v="Unnamed ProjectKanban L3S2.BusyCostBusy CostResource"/>
    <n v="1"/>
    <n v="0"/>
    <n v="0"/>
    <n v="0.95"/>
    <n v="4E+20"/>
    <n v="0"/>
    <n v="0"/>
  </r>
  <r>
    <x v="0"/>
    <s v="2025-12-26 20:24:34"/>
    <n v="1"/>
    <x v="64"/>
    <x v="7"/>
    <x v="1"/>
    <n v="0"/>
    <n v="0"/>
    <s v="Unnamed ProjectKanban L3S2.IdleCostIdle CostResource"/>
    <n v="1"/>
    <n v="0"/>
    <n v="0"/>
    <n v="0.95"/>
    <n v="4E+20"/>
    <n v="0"/>
    <n v="0"/>
  </r>
  <r>
    <x v="0"/>
    <s v="2025-12-26 20:24:34"/>
    <n v="1"/>
    <x v="65"/>
    <x v="9"/>
    <x v="1"/>
    <n v="8697"/>
    <n v="0"/>
    <s v="Unnamed ProjectKanban L3S2.NumberSeizedTotal Number SeizedResource"/>
    <n v="1"/>
    <n v="8697"/>
    <n v="0"/>
    <n v="0.95"/>
    <n v="4E+20"/>
    <n v="8697"/>
    <n v="8697"/>
  </r>
  <r>
    <x v="0"/>
    <s v="2025-12-26 20:24:34"/>
    <n v="1"/>
    <x v="66"/>
    <x v="10"/>
    <x v="1"/>
    <n v="0.66362836165822503"/>
    <n v="0"/>
    <s v="Unnamed ProjectKanban L3S2.ScheduledUtilizationScheduled UtilizationResource"/>
    <n v="1"/>
    <n v="0.66362836165822503"/>
    <n v="0"/>
    <n v="0.95"/>
    <n v="4E+20"/>
    <n v="0.66362836165822503"/>
    <n v="0.66362836165822503"/>
  </r>
  <r>
    <x v="0"/>
    <s v="2025-12-26 20:24:34"/>
    <n v="1"/>
    <x v="67"/>
    <x v="8"/>
    <x v="1"/>
    <n v="0"/>
    <n v="0"/>
    <s v="Unnamed ProjectKanban L3S2.UsageCostUsage CostResource"/>
    <n v="1"/>
    <n v="0"/>
    <n v="0"/>
    <n v="0.95"/>
    <n v="4E+20"/>
    <n v="0"/>
    <n v="0"/>
  </r>
  <r>
    <x v="0"/>
    <s v="2025-12-26 20:24:34"/>
    <n v="1"/>
    <x v="68"/>
    <x v="6"/>
    <x v="1"/>
    <n v="0"/>
    <n v="0"/>
    <s v="Unnamed ProjectL1 Station1.BusyCostBusy CostResource"/>
    <n v="1"/>
    <n v="0"/>
    <n v="0"/>
    <n v="0.95"/>
    <n v="4E+20"/>
    <n v="0"/>
    <n v="0"/>
  </r>
  <r>
    <x v="0"/>
    <s v="2025-12-26 20:24:34"/>
    <n v="1"/>
    <x v="69"/>
    <x v="7"/>
    <x v="1"/>
    <n v="0"/>
    <n v="0"/>
    <s v="Unnamed ProjectL1 Station1.IdleCostIdle CostResource"/>
    <n v="1"/>
    <n v="0"/>
    <n v="0"/>
    <n v="0.95"/>
    <n v="4E+20"/>
    <n v="0"/>
    <n v="0"/>
  </r>
  <r>
    <x v="0"/>
    <s v="2025-12-26 20:24:34"/>
    <n v="1"/>
    <x v="70"/>
    <x v="9"/>
    <x v="1"/>
    <n v="4196"/>
    <n v="0"/>
    <s v="Unnamed ProjectL1 Station1.NumberSeizedTotal Number SeizedResource"/>
    <n v="1"/>
    <n v="4196"/>
    <n v="0"/>
    <n v="0.95"/>
    <n v="4E+20"/>
    <n v="4196"/>
    <n v="4196"/>
  </r>
  <r>
    <x v="0"/>
    <s v="2025-12-26 20:24:34"/>
    <n v="1"/>
    <x v="71"/>
    <x v="10"/>
    <x v="1"/>
    <n v="1.00045041343626"/>
    <n v="0"/>
    <s v="Unnamed ProjectL1 Station1.ScheduledUtilizationScheduled UtilizationResource"/>
    <n v="1"/>
    <n v="1.00045041343626"/>
    <n v="0"/>
    <n v="0.95"/>
    <n v="4E+20"/>
    <n v="1.00045041343626"/>
    <n v="1.00045041343626"/>
  </r>
  <r>
    <x v="0"/>
    <s v="2025-12-26 20:24:34"/>
    <n v="1"/>
    <x v="72"/>
    <x v="8"/>
    <x v="1"/>
    <n v="0"/>
    <n v="0"/>
    <s v="Unnamed ProjectL1 Station1.UsageCostUsage CostResource"/>
    <n v="1"/>
    <n v="0"/>
    <n v="0"/>
    <n v="0.95"/>
    <n v="4E+20"/>
    <n v="0"/>
    <n v="0"/>
  </r>
  <r>
    <x v="0"/>
    <s v="2025-12-26 20:24:34"/>
    <n v="1"/>
    <x v="73"/>
    <x v="6"/>
    <x v="1"/>
    <n v="0"/>
    <n v="0"/>
    <s v="Unnamed ProjectL1 Station2.BusyCostBusy CostResource"/>
    <n v="1"/>
    <n v="0"/>
    <n v="0"/>
    <n v="0.95"/>
    <n v="4E+20"/>
    <n v="0"/>
    <n v="0"/>
  </r>
  <r>
    <x v="0"/>
    <s v="2025-12-26 20:24:34"/>
    <n v="1"/>
    <x v="74"/>
    <x v="7"/>
    <x v="1"/>
    <n v="0"/>
    <n v="0"/>
    <s v="Unnamed ProjectL1 Station2.IdleCostIdle CostResource"/>
    <n v="1"/>
    <n v="0"/>
    <n v="0"/>
    <n v="0.95"/>
    <n v="4E+20"/>
    <n v="0"/>
    <n v="0"/>
  </r>
  <r>
    <x v="0"/>
    <s v="2025-12-26 20:24:34"/>
    <n v="1"/>
    <x v="75"/>
    <x v="9"/>
    <x v="1"/>
    <n v="4194"/>
    <n v="0"/>
    <s v="Unnamed ProjectL1 Station2.NumberSeizedTotal Number SeizedResource"/>
    <n v="1"/>
    <n v="4194"/>
    <n v="0"/>
    <n v="0.95"/>
    <n v="4E+20"/>
    <n v="4194"/>
    <n v="4194"/>
  </r>
  <r>
    <x v="0"/>
    <s v="2025-12-26 20:24:34"/>
    <n v="1"/>
    <x v="76"/>
    <x v="10"/>
    <x v="1"/>
    <n v="0.49840691245013202"/>
    <n v="0"/>
    <s v="Unnamed ProjectL1 Station2.ScheduledUtilizationScheduled UtilizationResource"/>
    <n v="1"/>
    <n v="0.49840691245013202"/>
    <n v="0"/>
    <n v="0.95"/>
    <n v="4E+20"/>
    <n v="0.49840691245013202"/>
    <n v="0.49840691245013202"/>
  </r>
  <r>
    <x v="0"/>
    <s v="2025-12-26 20:24:34"/>
    <n v="1"/>
    <x v="77"/>
    <x v="8"/>
    <x v="1"/>
    <n v="0"/>
    <n v="0"/>
    <s v="Unnamed ProjectL1 Station2.UsageCostUsage CostResource"/>
    <n v="1"/>
    <n v="0"/>
    <n v="0"/>
    <n v="0.95"/>
    <n v="4E+20"/>
    <n v="0"/>
    <n v="0"/>
  </r>
  <r>
    <x v="0"/>
    <s v="2025-12-26 20:24:34"/>
    <n v="1"/>
    <x v="78"/>
    <x v="6"/>
    <x v="1"/>
    <n v="0"/>
    <n v="0"/>
    <s v="Unnamed ProjectL1 Station3.BusyCostBusy CostResource"/>
    <n v="1"/>
    <n v="0"/>
    <n v="0"/>
    <n v="0.95"/>
    <n v="4E+20"/>
    <n v="0"/>
    <n v="0"/>
  </r>
  <r>
    <x v="0"/>
    <s v="2025-12-26 20:24:34"/>
    <n v="1"/>
    <x v="79"/>
    <x v="7"/>
    <x v="1"/>
    <n v="0"/>
    <n v="0"/>
    <s v="Unnamed ProjectL1 Station3.IdleCostIdle CostResource"/>
    <n v="1"/>
    <n v="0"/>
    <n v="0"/>
    <n v="0.95"/>
    <n v="4E+20"/>
    <n v="0"/>
    <n v="0"/>
  </r>
  <r>
    <x v="0"/>
    <s v="2025-12-26 20:24:34"/>
    <n v="1"/>
    <x v="80"/>
    <x v="9"/>
    <x v="1"/>
    <n v="4193"/>
    <n v="0"/>
    <s v="Unnamed ProjectL1 Station3.NumberSeizedTotal Number SeizedResource"/>
    <n v="1"/>
    <n v="4193"/>
    <n v="0"/>
    <n v="0.95"/>
    <n v="4E+20"/>
    <n v="4193"/>
    <n v="4193"/>
  </r>
  <r>
    <x v="0"/>
    <s v="2025-12-26 20:24:34"/>
    <n v="1"/>
    <x v="81"/>
    <x v="10"/>
    <x v="1"/>
    <n v="0.91597279721514702"/>
    <n v="0"/>
    <s v="Unnamed ProjectL1 Station3.ScheduledUtilizationScheduled UtilizationResource"/>
    <n v="1"/>
    <n v="0.91597279721514702"/>
    <n v="0"/>
    <n v="0.95"/>
    <n v="4E+20"/>
    <n v="0.91597279721514702"/>
    <n v="0.91597279721514702"/>
  </r>
  <r>
    <x v="0"/>
    <s v="2025-12-26 20:24:34"/>
    <n v="1"/>
    <x v="82"/>
    <x v="8"/>
    <x v="1"/>
    <n v="0"/>
    <n v="0"/>
    <s v="Unnamed ProjectL1 Station3.UsageCostUsage CostResource"/>
    <n v="1"/>
    <n v="0"/>
    <n v="0"/>
    <n v="0.95"/>
    <n v="4E+20"/>
    <n v="0"/>
    <n v="0"/>
  </r>
  <r>
    <x v="0"/>
    <s v="2025-12-26 20:24:34"/>
    <n v="1"/>
    <x v="83"/>
    <x v="6"/>
    <x v="1"/>
    <n v="0"/>
    <n v="0"/>
    <s v="Unnamed ProjectL2 Station1.BusyCostBusy CostResource"/>
    <n v="1"/>
    <n v="0"/>
    <n v="0"/>
    <n v="0.95"/>
    <n v="4E+20"/>
    <n v="0"/>
    <n v="0"/>
  </r>
  <r>
    <x v="0"/>
    <s v="2025-12-26 20:24:34"/>
    <n v="1"/>
    <x v="84"/>
    <x v="7"/>
    <x v="1"/>
    <n v="0"/>
    <n v="0"/>
    <s v="Unnamed ProjectL2 Station1.IdleCostIdle CostResource"/>
    <n v="1"/>
    <n v="0"/>
    <n v="0"/>
    <n v="0.95"/>
    <n v="4E+20"/>
    <n v="0"/>
    <n v="0"/>
  </r>
  <r>
    <x v="0"/>
    <s v="2025-12-26 20:24:34"/>
    <n v="1"/>
    <x v="85"/>
    <x v="9"/>
    <x v="1"/>
    <n v="2023"/>
    <n v="0"/>
    <s v="Unnamed ProjectL2 Station1.NumberSeizedTotal Number SeizedResource"/>
    <n v="1"/>
    <n v="2023"/>
    <n v="0"/>
    <n v="0.95"/>
    <n v="4E+20"/>
    <n v="2023"/>
    <n v="2023"/>
  </r>
  <r>
    <x v="0"/>
    <s v="2025-12-26 20:24:34"/>
    <n v="1"/>
    <x v="86"/>
    <x v="10"/>
    <x v="1"/>
    <n v="0.28226201264062101"/>
    <n v="0"/>
    <s v="Unnamed ProjectL2 Station1.ScheduledUtilizationScheduled UtilizationResource"/>
    <n v="1"/>
    <n v="0.28226201264062101"/>
    <n v="0"/>
    <n v="0.95"/>
    <n v="4E+20"/>
    <n v="0.28226201264062101"/>
    <n v="0.28226201264062101"/>
  </r>
  <r>
    <x v="0"/>
    <s v="2025-12-26 20:24:34"/>
    <n v="1"/>
    <x v="87"/>
    <x v="8"/>
    <x v="1"/>
    <n v="0"/>
    <n v="0"/>
    <s v="Unnamed ProjectL2 Station1.UsageCostUsage CostResource"/>
    <n v="1"/>
    <n v="0"/>
    <n v="0"/>
    <n v="0.95"/>
    <n v="4E+20"/>
    <n v="0"/>
    <n v="0"/>
  </r>
  <r>
    <x v="0"/>
    <s v="2025-12-26 20:24:34"/>
    <n v="1"/>
    <x v="88"/>
    <x v="6"/>
    <x v="1"/>
    <n v="0"/>
    <n v="0"/>
    <s v="Unnamed ProjectL2 Station2.BusyCostBusy CostResource"/>
    <n v="1"/>
    <n v="0"/>
    <n v="0"/>
    <n v="0.95"/>
    <n v="4E+20"/>
    <n v="0"/>
    <n v="0"/>
  </r>
  <r>
    <x v="0"/>
    <s v="2025-12-26 20:24:34"/>
    <n v="1"/>
    <x v="89"/>
    <x v="7"/>
    <x v="1"/>
    <n v="0"/>
    <n v="0"/>
    <s v="Unnamed ProjectL2 Station2.IdleCostIdle CostResource"/>
    <n v="1"/>
    <n v="0"/>
    <n v="0"/>
    <n v="0.95"/>
    <n v="4E+20"/>
    <n v="0"/>
    <n v="0"/>
  </r>
  <r>
    <x v="0"/>
    <s v="2025-12-26 20:24:34"/>
    <n v="1"/>
    <x v="90"/>
    <x v="9"/>
    <x v="1"/>
    <n v="2022"/>
    <n v="0"/>
    <s v="Unnamed ProjectL2 Station2.NumberSeizedTotal Number SeizedResource"/>
    <n v="1"/>
    <n v="2022"/>
    <n v="0"/>
    <n v="0.95"/>
    <n v="4E+20"/>
    <n v="2022"/>
    <n v="2022"/>
  </r>
  <r>
    <x v="0"/>
    <s v="2025-12-26 20:24:34"/>
    <n v="1"/>
    <x v="91"/>
    <x v="10"/>
    <x v="1"/>
    <n v="0.400248686969426"/>
    <n v="0"/>
    <s v="Unnamed ProjectL2 Station2.ScheduledUtilizationScheduled UtilizationResource"/>
    <n v="1"/>
    <n v="0.400248686969426"/>
    <n v="0"/>
    <n v="0.95"/>
    <n v="4E+20"/>
    <n v="0.400248686969426"/>
    <n v="0.400248686969426"/>
  </r>
  <r>
    <x v="0"/>
    <s v="2025-12-26 20:24:34"/>
    <n v="1"/>
    <x v="92"/>
    <x v="8"/>
    <x v="1"/>
    <n v="0"/>
    <n v="0"/>
    <s v="Unnamed ProjectL2 Station2.UsageCostUsage CostResource"/>
    <n v="1"/>
    <n v="0"/>
    <n v="0"/>
    <n v="0.95"/>
    <n v="4E+20"/>
    <n v="0"/>
    <n v="0"/>
  </r>
  <r>
    <x v="0"/>
    <s v="2025-12-26 20:24:34"/>
    <n v="1"/>
    <x v="93"/>
    <x v="6"/>
    <x v="1"/>
    <n v="0"/>
    <n v="0"/>
    <s v="Unnamed ProjectL2 Station3.BusyCostBusy CostResource"/>
    <n v="1"/>
    <n v="0"/>
    <n v="0"/>
    <n v="0.95"/>
    <n v="4E+20"/>
    <n v="0"/>
    <n v="0"/>
  </r>
  <r>
    <x v="0"/>
    <s v="2025-12-26 20:24:34"/>
    <n v="1"/>
    <x v="94"/>
    <x v="7"/>
    <x v="1"/>
    <n v="0"/>
    <n v="0"/>
    <s v="Unnamed ProjectL2 Station3.IdleCostIdle CostResource"/>
    <n v="1"/>
    <n v="0"/>
    <n v="0"/>
    <n v="0.95"/>
    <n v="4E+20"/>
    <n v="0"/>
    <n v="0"/>
  </r>
  <r>
    <x v="0"/>
    <s v="2025-12-26 20:24:34"/>
    <n v="1"/>
    <x v="95"/>
    <x v="9"/>
    <x v="1"/>
    <n v="2015"/>
    <n v="0"/>
    <s v="Unnamed ProjectL2 Station3.NumberSeizedTotal Number SeizedResource"/>
    <n v="1"/>
    <n v="2015"/>
    <n v="0"/>
    <n v="0.95"/>
    <n v="4E+20"/>
    <n v="2015"/>
    <n v="2015"/>
  </r>
  <r>
    <x v="0"/>
    <s v="2025-12-26 20:24:34"/>
    <n v="1"/>
    <x v="96"/>
    <x v="10"/>
    <x v="1"/>
    <n v="0.999710769940933"/>
    <n v="0"/>
    <s v="Unnamed ProjectL2 Station3.ScheduledUtilizationScheduled UtilizationResource"/>
    <n v="1"/>
    <n v="0.999710769940933"/>
    <n v="0"/>
    <n v="0.95"/>
    <n v="4E+20"/>
    <n v="0.999710769940933"/>
    <n v="0.999710769940933"/>
  </r>
  <r>
    <x v="0"/>
    <s v="2025-12-26 20:24:34"/>
    <n v="1"/>
    <x v="97"/>
    <x v="8"/>
    <x v="1"/>
    <n v="0"/>
    <n v="0"/>
    <s v="Unnamed ProjectL2 Station3.UsageCostUsage CostResource"/>
    <n v="1"/>
    <n v="0"/>
    <n v="0"/>
    <n v="0.95"/>
    <n v="4E+20"/>
    <n v="0"/>
    <n v="0"/>
  </r>
  <r>
    <x v="0"/>
    <s v="2025-12-26 20:24:34"/>
    <n v="1"/>
    <x v="98"/>
    <x v="6"/>
    <x v="1"/>
    <n v="0"/>
    <n v="0"/>
    <s v="Unnamed ProjectL2 Station4.BusyCostBusy CostResource"/>
    <n v="1"/>
    <n v="0"/>
    <n v="0"/>
    <n v="0.95"/>
    <n v="4E+20"/>
    <n v="0"/>
    <n v="0"/>
  </r>
  <r>
    <x v="0"/>
    <s v="2025-12-26 20:24:34"/>
    <n v="1"/>
    <x v="99"/>
    <x v="7"/>
    <x v="1"/>
    <n v="0"/>
    <n v="0"/>
    <s v="Unnamed ProjectL2 Station4.IdleCostIdle CostResource"/>
    <n v="1"/>
    <n v="0"/>
    <n v="0"/>
    <n v="0.95"/>
    <n v="4E+20"/>
    <n v="0"/>
    <n v="0"/>
  </r>
  <r>
    <x v="0"/>
    <s v="2025-12-26 20:24:34"/>
    <n v="1"/>
    <x v="100"/>
    <x v="9"/>
    <x v="1"/>
    <n v="2014"/>
    <n v="0"/>
    <s v="Unnamed ProjectL2 Station4.NumberSeizedTotal Number SeizedResource"/>
    <n v="1"/>
    <n v="2014"/>
    <n v="0"/>
    <n v="0.95"/>
    <n v="4E+20"/>
    <n v="2014"/>
    <n v="2014"/>
  </r>
  <r>
    <x v="0"/>
    <s v="2025-12-26 20:24:34"/>
    <n v="1"/>
    <x v="101"/>
    <x v="10"/>
    <x v="1"/>
    <n v="0.47888381979299199"/>
    <n v="0"/>
    <s v="Unnamed ProjectL2 Station4.ScheduledUtilizationScheduled UtilizationResource"/>
    <n v="1"/>
    <n v="0.47888381979299199"/>
    <n v="0"/>
    <n v="0.95"/>
    <n v="4E+20"/>
    <n v="0.47888381979299199"/>
    <n v="0.47888381979299199"/>
  </r>
  <r>
    <x v="0"/>
    <s v="2025-12-26 20:24:34"/>
    <n v="1"/>
    <x v="102"/>
    <x v="8"/>
    <x v="1"/>
    <n v="0"/>
    <n v="0"/>
    <s v="Unnamed ProjectL2 Station4.UsageCostUsage CostResource"/>
    <n v="1"/>
    <n v="0"/>
    <n v="0"/>
    <n v="0.95"/>
    <n v="4E+20"/>
    <n v="0"/>
    <n v="0"/>
  </r>
  <r>
    <x v="0"/>
    <s v="2025-12-26 20:24:34"/>
    <n v="1"/>
    <x v="103"/>
    <x v="6"/>
    <x v="1"/>
    <n v="0"/>
    <n v="0"/>
    <s v="Unnamed ProjectL3 Station1.BusyCostBusy CostResource"/>
    <n v="1"/>
    <n v="0"/>
    <n v="0"/>
    <n v="0.95"/>
    <n v="4E+20"/>
    <n v="0"/>
    <n v="0"/>
  </r>
  <r>
    <x v="0"/>
    <s v="2025-12-26 20:24:34"/>
    <n v="1"/>
    <x v="104"/>
    <x v="7"/>
    <x v="1"/>
    <n v="0"/>
    <n v="0"/>
    <s v="Unnamed ProjectL3 Station1.IdleCostIdle CostResource"/>
    <n v="1"/>
    <n v="0"/>
    <n v="0"/>
    <n v="0.95"/>
    <n v="4E+20"/>
    <n v="0"/>
    <n v="0"/>
  </r>
  <r>
    <x v="0"/>
    <s v="2025-12-26 20:24:34"/>
    <n v="1"/>
    <x v="105"/>
    <x v="9"/>
    <x v="1"/>
    <n v="8699"/>
    <n v="0"/>
    <s v="Unnamed ProjectL3 Station1.NumberSeizedTotal Number SeizedResource"/>
    <n v="1"/>
    <n v="8699"/>
    <n v="0"/>
    <n v="0.95"/>
    <n v="4E+20"/>
    <n v="8699"/>
    <n v="8699"/>
  </r>
  <r>
    <x v="0"/>
    <s v="2025-12-26 20:24:34"/>
    <n v="1"/>
    <x v="106"/>
    <x v="10"/>
    <x v="1"/>
    <n v="0.86515959015468702"/>
    <n v="0"/>
    <s v="Unnamed ProjectL3 Station1.ScheduledUtilizationScheduled UtilizationResource"/>
    <n v="1"/>
    <n v="0.86515959015468702"/>
    <n v="0"/>
    <n v="0.95"/>
    <n v="4E+20"/>
    <n v="0.86515959015468702"/>
    <n v="0.86515959015468702"/>
  </r>
  <r>
    <x v="0"/>
    <s v="2025-12-26 20:24:34"/>
    <n v="1"/>
    <x v="107"/>
    <x v="8"/>
    <x v="1"/>
    <n v="0"/>
    <n v="0"/>
    <s v="Unnamed ProjectL3 Station1.UsageCostUsage CostResource"/>
    <n v="1"/>
    <n v="0"/>
    <n v="0"/>
    <n v="0.95"/>
    <n v="4E+20"/>
    <n v="0"/>
    <n v="0"/>
  </r>
  <r>
    <x v="0"/>
    <s v="2025-12-26 20:24:34"/>
    <n v="1"/>
    <x v="108"/>
    <x v="6"/>
    <x v="1"/>
    <n v="0"/>
    <n v="0"/>
    <s v="Unnamed ProjectL3 Station2.BusyCostBusy CostResource"/>
    <n v="1"/>
    <n v="0"/>
    <n v="0"/>
    <n v="0.95"/>
    <n v="4E+20"/>
    <n v="0"/>
    <n v="0"/>
  </r>
  <r>
    <x v="0"/>
    <s v="2025-12-26 20:24:34"/>
    <n v="1"/>
    <x v="109"/>
    <x v="7"/>
    <x v="1"/>
    <n v="0"/>
    <n v="0"/>
    <s v="Unnamed ProjectL3 Station2.IdleCostIdle CostResource"/>
    <n v="1"/>
    <n v="0"/>
    <n v="0"/>
    <n v="0.95"/>
    <n v="4E+20"/>
    <n v="0"/>
    <n v="0"/>
  </r>
  <r>
    <x v="0"/>
    <s v="2025-12-26 20:24:34"/>
    <n v="1"/>
    <x v="110"/>
    <x v="9"/>
    <x v="1"/>
    <n v="8695"/>
    <n v="0"/>
    <s v="Unnamed ProjectL3 Station2.NumberSeizedTotal Number SeizedResource"/>
    <n v="1"/>
    <n v="8695"/>
    <n v="0"/>
    <n v="0.95"/>
    <n v="4E+20"/>
    <n v="8695"/>
    <n v="8695"/>
  </r>
  <r>
    <x v="0"/>
    <s v="2025-12-26 20:24:34"/>
    <n v="1"/>
    <x v="111"/>
    <x v="10"/>
    <x v="1"/>
    <n v="0.97851514202337897"/>
    <n v="0"/>
    <s v="Unnamed ProjectL3 Station2.ScheduledUtilizationScheduled UtilizationResource"/>
    <n v="1"/>
    <n v="0.97851514202337897"/>
    <n v="0"/>
    <n v="0.95"/>
    <n v="4E+20"/>
    <n v="0.97851514202337897"/>
    <n v="0.97851514202337897"/>
  </r>
  <r>
    <x v="0"/>
    <s v="2025-12-26 20:24:34"/>
    <n v="1"/>
    <x v="112"/>
    <x v="8"/>
    <x v="1"/>
    <n v="0"/>
    <n v="0"/>
    <s v="Unnamed ProjectL3 Station2.UsageCostUsage CostResource"/>
    <n v="1"/>
    <n v="0"/>
    <n v="0"/>
    <n v="0.95"/>
    <n v="4E+20"/>
    <n v="0"/>
    <n v="0"/>
  </r>
  <r>
    <x v="0"/>
    <s v="2025-12-26 20:24:34"/>
    <n v="1"/>
    <x v="113"/>
    <x v="13"/>
    <x v="3"/>
    <n v="0"/>
    <n v="0"/>
    <s v="Unnamed ProjectProcess 1 Accum VA CostAccum VA CostProcess"/>
    <n v="1"/>
    <n v="0"/>
    <n v="0"/>
    <n v="0.95"/>
    <n v="4E+20"/>
    <n v="0"/>
    <n v="0"/>
  </r>
  <r>
    <x v="0"/>
    <s v="2025-12-26 20:24:34"/>
    <n v="1"/>
    <x v="114"/>
    <x v="14"/>
    <x v="3"/>
    <n v="13.999032000903"/>
    <n v="0"/>
    <s v="Unnamed ProjectProcess 1 Accum VA TimeAccum VA TimeProcess"/>
    <n v="1"/>
    <n v="13.999032000903"/>
    <n v="0"/>
    <n v="0.95"/>
    <n v="4E+20"/>
    <n v="13.999032000903"/>
    <n v="13.999032000903"/>
  </r>
  <r>
    <x v="0"/>
    <s v="2025-12-26 20:24:34"/>
    <n v="1"/>
    <x v="115"/>
    <x v="15"/>
    <x v="3"/>
    <n v="0"/>
    <n v="0"/>
    <s v="Unnamed ProjectProcess 1 Accum Wait CostAccum Wait CostProcess"/>
    <n v="1"/>
    <n v="0"/>
    <n v="0"/>
    <n v="0.95"/>
    <n v="4E+20"/>
    <n v="0"/>
    <n v="0"/>
  </r>
  <r>
    <x v="0"/>
    <s v="2025-12-26 20:24:34"/>
    <n v="1"/>
    <x v="116"/>
    <x v="16"/>
    <x v="3"/>
    <n v="51.049160557846903"/>
    <n v="0"/>
    <s v="Unnamed ProjectProcess 1 Accum Wait TimeAccum Wait TimeProcess"/>
    <n v="1"/>
    <n v="51.049160557846903"/>
    <n v="0"/>
    <n v="0.95"/>
    <n v="4E+20"/>
    <n v="51.049160557846903"/>
    <n v="51.049160557846903"/>
  </r>
  <r>
    <x v="0"/>
    <s v="2025-12-26 20:24:34"/>
    <n v="1"/>
    <x v="117"/>
    <x v="11"/>
    <x v="3"/>
    <n v="4197"/>
    <n v="0"/>
    <s v="Unnamed ProjectProcess 1 Number InNumber InProcess"/>
    <n v="1"/>
    <n v="4197"/>
    <n v="0"/>
    <n v="0.95"/>
    <n v="4E+20"/>
    <n v="4197"/>
    <n v="4197"/>
  </r>
  <r>
    <x v="0"/>
    <s v="2025-12-26 20:24:34"/>
    <n v="1"/>
    <x v="118"/>
    <x v="12"/>
    <x v="3"/>
    <n v="4195"/>
    <n v="0"/>
    <s v="Unnamed ProjectProcess 1 Number OutNumber OutProcess"/>
    <n v="1"/>
    <n v="4195"/>
    <n v="0"/>
    <n v="0.95"/>
    <n v="4E+20"/>
    <n v="4195"/>
    <n v="4195"/>
  </r>
  <r>
    <x v="0"/>
    <s v="2025-12-26 20:24:34"/>
    <n v="1"/>
    <x v="119"/>
    <x v="17"/>
    <x v="3"/>
    <n v="0"/>
    <n v="0"/>
    <s v="Unnamed ProjectProcess 1 Total Accum CostTotal Accum CostProcess"/>
    <n v="1"/>
    <n v="0"/>
    <n v="0"/>
    <n v="0.95"/>
    <n v="4E+20"/>
    <n v="0"/>
    <n v="0"/>
  </r>
  <r>
    <x v="0"/>
    <s v="2025-12-26 20:24:34"/>
    <n v="1"/>
    <x v="120"/>
    <x v="18"/>
    <x v="3"/>
    <n v="65.048192558749903"/>
    <n v="0"/>
    <s v="Unnamed ProjectProcess 1 Total Accum TimeTotal Accum TimeProcess"/>
    <n v="1"/>
    <n v="65.048192558749903"/>
    <n v="0"/>
    <n v="0.95"/>
    <n v="4E+20"/>
    <n v="65.048192558749903"/>
    <n v="65.048192558749903"/>
  </r>
  <r>
    <x v="0"/>
    <s v="2025-12-26 20:24:34"/>
    <n v="1"/>
    <x v="121"/>
    <x v="13"/>
    <x v="3"/>
    <n v="0"/>
    <n v="0"/>
    <s v="Unnamed ProjectProcess 14 Accum VA CostAccum VA CostProcess"/>
    <n v="1"/>
    <n v="0"/>
    <n v="0"/>
    <n v="0.95"/>
    <n v="4E+20"/>
    <n v="0"/>
    <n v="0"/>
  </r>
  <r>
    <x v="0"/>
    <s v="2025-12-26 20:24:34"/>
    <n v="1"/>
    <x v="122"/>
    <x v="14"/>
    <x v="3"/>
    <n v="2.6023946283544599"/>
    <n v="0"/>
    <s v="Unnamed ProjectProcess 14 Accum VA TimeAccum VA TimeProcess"/>
    <n v="1"/>
    <n v="2.6023946283544599"/>
    <n v="0"/>
    <n v="0.95"/>
    <n v="4E+20"/>
    <n v="2.6023946283544599"/>
    <n v="2.6023946283544599"/>
  </r>
  <r>
    <x v="0"/>
    <s v="2025-12-26 20:24:34"/>
    <n v="1"/>
    <x v="123"/>
    <x v="15"/>
    <x v="3"/>
    <n v="0"/>
    <n v="0"/>
    <s v="Unnamed ProjectProcess 14 Accum Wait CostAccum Wait CostProcess"/>
    <n v="1"/>
    <n v="0"/>
    <n v="0"/>
    <n v="0.95"/>
    <n v="4E+20"/>
    <n v="0"/>
    <n v="0"/>
  </r>
  <r>
    <x v="0"/>
    <s v="2025-12-26 20:24:34"/>
    <n v="1"/>
    <x v="124"/>
    <x v="16"/>
    <x v="3"/>
    <n v="0"/>
    <n v="0"/>
    <s v="Unnamed ProjectProcess 14 Accum Wait TimeAccum Wait TimeProcess"/>
    <n v="1"/>
    <n v="0"/>
    <n v="0"/>
    <n v="0.95"/>
    <n v="4E+20"/>
    <n v="0"/>
    <n v="0"/>
  </r>
  <r>
    <x v="0"/>
    <s v="2025-12-26 20:24:34"/>
    <n v="1"/>
    <x v="125"/>
    <x v="11"/>
    <x v="3"/>
    <n v="2818"/>
    <n v="0"/>
    <s v="Unnamed ProjectProcess 14 Number InNumber InProcess"/>
    <n v="1"/>
    <n v="2818"/>
    <n v="0"/>
    <n v="0.95"/>
    <n v="4E+20"/>
    <n v="2818"/>
    <n v="2818"/>
  </r>
  <r>
    <x v="0"/>
    <s v="2025-12-26 20:24:34"/>
    <n v="1"/>
    <x v="126"/>
    <x v="12"/>
    <x v="3"/>
    <n v="2818"/>
    <n v="0"/>
    <s v="Unnamed ProjectProcess 14 Number OutNumber OutProcess"/>
    <n v="1"/>
    <n v="2818"/>
    <n v="0"/>
    <n v="0.95"/>
    <n v="4E+20"/>
    <n v="2818"/>
    <n v="2818"/>
  </r>
  <r>
    <x v="0"/>
    <s v="2025-12-26 20:24:34"/>
    <n v="1"/>
    <x v="127"/>
    <x v="17"/>
    <x v="3"/>
    <n v="0"/>
    <n v="0"/>
    <s v="Unnamed ProjectProcess 14 Total Accum CostTotal Accum CostProcess"/>
    <n v="1"/>
    <n v="0"/>
    <n v="0"/>
    <n v="0.95"/>
    <n v="4E+20"/>
    <n v="0"/>
    <n v="0"/>
  </r>
  <r>
    <x v="0"/>
    <s v="2025-12-26 20:24:34"/>
    <n v="1"/>
    <x v="128"/>
    <x v="18"/>
    <x v="3"/>
    <n v="2.6023946283544599"/>
    <n v="0"/>
    <s v="Unnamed ProjectProcess 14 Total Accum TimeTotal Accum TimeProcess"/>
    <n v="1"/>
    <n v="2.6023946283544599"/>
    <n v="0"/>
    <n v="0.95"/>
    <n v="4E+20"/>
    <n v="2.6023946283544599"/>
    <n v="2.6023946283544599"/>
  </r>
  <r>
    <x v="0"/>
    <s v="2025-12-26 20:24:34"/>
    <n v="1"/>
    <x v="129"/>
    <x v="13"/>
    <x v="3"/>
    <n v="0"/>
    <n v="0"/>
    <s v="Unnamed ProjectProcess 2 Accum VA CostAccum VA CostProcess"/>
    <n v="1"/>
    <n v="0"/>
    <n v="0"/>
    <n v="0.95"/>
    <n v="4E+20"/>
    <n v="0"/>
    <n v="0"/>
  </r>
  <r>
    <x v="0"/>
    <s v="2025-12-26 20:24:34"/>
    <n v="1"/>
    <x v="130"/>
    <x v="14"/>
    <x v="3"/>
    <n v="6.9757996404281997"/>
    <n v="0"/>
    <s v="Unnamed ProjectProcess 2 Accum VA TimeAccum VA TimeProcess"/>
    <n v="1"/>
    <n v="6.9757996404281997"/>
    <n v="0"/>
    <n v="0.95"/>
    <n v="4E+20"/>
    <n v="6.9757996404281997"/>
    <n v="6.9757996404281997"/>
  </r>
  <r>
    <x v="0"/>
    <s v="2025-12-26 20:24:34"/>
    <n v="1"/>
    <x v="131"/>
    <x v="15"/>
    <x v="3"/>
    <n v="0"/>
    <n v="0"/>
    <s v="Unnamed ProjectProcess 2 Accum Wait CostAccum Wait CostProcess"/>
    <n v="1"/>
    <n v="0"/>
    <n v="0"/>
    <n v="0.95"/>
    <n v="4E+20"/>
    <n v="0"/>
    <n v="0"/>
  </r>
  <r>
    <x v="0"/>
    <s v="2025-12-26 20:24:34"/>
    <n v="1"/>
    <x v="132"/>
    <x v="16"/>
    <x v="3"/>
    <n v="4.9941040648729098"/>
    <n v="0"/>
    <s v="Unnamed ProjectProcess 2 Accum Wait TimeAccum Wait TimeProcess"/>
    <n v="1"/>
    <n v="4.9941040648729098"/>
    <n v="0"/>
    <n v="0.95"/>
    <n v="4E+20"/>
    <n v="4.9941040648729098"/>
    <n v="4.9941040648729098"/>
  </r>
  <r>
    <x v="0"/>
    <s v="2025-12-26 20:24:34"/>
    <n v="1"/>
    <x v="133"/>
    <x v="11"/>
    <x v="3"/>
    <n v="4194"/>
    <n v="0"/>
    <s v="Unnamed ProjectProcess 2 Number InNumber InProcess"/>
    <n v="1"/>
    <n v="4194"/>
    <n v="0"/>
    <n v="0.95"/>
    <n v="4E+20"/>
    <n v="4194"/>
    <n v="4194"/>
  </r>
  <r>
    <x v="0"/>
    <s v="2025-12-26 20:24:34"/>
    <n v="1"/>
    <x v="134"/>
    <x v="12"/>
    <x v="3"/>
    <n v="4193"/>
    <n v="0"/>
    <s v="Unnamed ProjectProcess 2 Number OutNumber OutProcess"/>
    <n v="1"/>
    <n v="4193"/>
    <n v="0"/>
    <n v="0.95"/>
    <n v="4E+20"/>
    <n v="4193"/>
    <n v="4193"/>
  </r>
  <r>
    <x v="0"/>
    <s v="2025-12-26 20:24:34"/>
    <n v="1"/>
    <x v="135"/>
    <x v="17"/>
    <x v="3"/>
    <n v="0"/>
    <n v="0"/>
    <s v="Unnamed ProjectProcess 2 Total Accum CostTotal Accum CostProcess"/>
    <n v="1"/>
    <n v="0"/>
    <n v="0"/>
    <n v="0.95"/>
    <n v="4E+20"/>
    <n v="0"/>
    <n v="0"/>
  </r>
  <r>
    <x v="0"/>
    <s v="2025-12-26 20:24:34"/>
    <n v="1"/>
    <x v="136"/>
    <x v="18"/>
    <x v="3"/>
    <n v="11.9699037053011"/>
    <n v="0"/>
    <s v="Unnamed ProjectProcess 2 Total Accum TimeTotal Accum TimeProcess"/>
    <n v="1"/>
    <n v="11.9699037053011"/>
    <n v="0"/>
    <n v="0.95"/>
    <n v="4E+20"/>
    <n v="11.9699037053011"/>
    <n v="11.9699037053011"/>
  </r>
  <r>
    <x v="0"/>
    <s v="2025-12-26 20:24:34"/>
    <n v="1"/>
    <x v="137"/>
    <x v="13"/>
    <x v="3"/>
    <n v="0"/>
    <n v="0"/>
    <s v="Unnamed ProjectProcess 3 Accum VA CostAccum VA CostProcess"/>
    <n v="1"/>
    <n v="0"/>
    <n v="0"/>
    <n v="0.95"/>
    <n v="4E+20"/>
    <n v="0"/>
    <n v="0"/>
  </r>
  <r>
    <x v="0"/>
    <s v="2025-12-26 20:24:34"/>
    <n v="1"/>
    <x v="138"/>
    <x v="14"/>
    <x v="3"/>
    <n v="12.821264227883001"/>
    <n v="0"/>
    <s v="Unnamed ProjectProcess 3 Accum VA TimeAccum VA TimeProcess"/>
    <n v="1"/>
    <n v="12.821264227883001"/>
    <n v="0"/>
    <n v="0.95"/>
    <n v="4E+20"/>
    <n v="12.821264227883001"/>
    <n v="12.821264227883001"/>
  </r>
  <r>
    <x v="0"/>
    <s v="2025-12-26 20:24:34"/>
    <n v="1"/>
    <x v="139"/>
    <x v="15"/>
    <x v="3"/>
    <n v="0"/>
    <n v="0"/>
    <s v="Unnamed ProjectProcess 3 Accum Wait CostAccum Wait CostProcess"/>
    <n v="1"/>
    <n v="0"/>
    <n v="0"/>
    <n v="0.95"/>
    <n v="4E+20"/>
    <n v="0"/>
    <n v="0"/>
  </r>
  <r>
    <x v="0"/>
    <s v="2025-12-26 20:24:34"/>
    <n v="1"/>
    <x v="140"/>
    <x v="16"/>
    <x v="3"/>
    <n v="5.0571729553421099"/>
    <n v="0"/>
    <s v="Unnamed ProjectProcess 3 Accum Wait TimeAccum Wait TimeProcess"/>
    <n v="1"/>
    <n v="5.0571729553421099"/>
    <n v="0"/>
    <n v="0.95"/>
    <n v="4E+20"/>
    <n v="5.0571729553421099"/>
    <n v="5.0571729553421099"/>
  </r>
  <r>
    <x v="0"/>
    <s v="2025-12-26 20:24:34"/>
    <n v="1"/>
    <x v="141"/>
    <x v="11"/>
    <x v="3"/>
    <n v="4193"/>
    <n v="0"/>
    <s v="Unnamed ProjectProcess 3 Number InNumber InProcess"/>
    <n v="1"/>
    <n v="4193"/>
    <n v="0"/>
    <n v="0.95"/>
    <n v="4E+20"/>
    <n v="4193"/>
    <n v="4193"/>
  </r>
  <r>
    <x v="0"/>
    <s v="2025-12-26 20:24:34"/>
    <n v="1"/>
    <x v="142"/>
    <x v="12"/>
    <x v="3"/>
    <n v="4192"/>
    <n v="0"/>
    <s v="Unnamed ProjectProcess 3 Number OutNumber OutProcess"/>
    <n v="1"/>
    <n v="4192"/>
    <n v="0"/>
    <n v="0.95"/>
    <n v="4E+20"/>
    <n v="4192"/>
    <n v="4192"/>
  </r>
  <r>
    <x v="0"/>
    <s v="2025-12-26 20:24:34"/>
    <n v="1"/>
    <x v="143"/>
    <x v="17"/>
    <x v="3"/>
    <n v="0"/>
    <n v="0"/>
    <s v="Unnamed ProjectProcess 3 Total Accum CostTotal Accum CostProcess"/>
    <n v="1"/>
    <n v="0"/>
    <n v="0"/>
    <n v="0.95"/>
    <n v="4E+20"/>
    <n v="0"/>
    <n v="0"/>
  </r>
  <r>
    <x v="0"/>
    <s v="2025-12-26 20:24:34"/>
    <n v="1"/>
    <x v="144"/>
    <x v="18"/>
    <x v="3"/>
    <n v="17.878437183225099"/>
    <n v="0"/>
    <s v="Unnamed ProjectProcess 3 Total Accum TimeTotal Accum TimeProcess"/>
    <n v="1"/>
    <n v="17.878437183225099"/>
    <n v="0"/>
    <n v="0.95"/>
    <n v="4E+20"/>
    <n v="17.878437183225099"/>
    <n v="17.878437183225099"/>
  </r>
  <r>
    <x v="0"/>
    <s v="2025-12-26 20:24:34"/>
    <n v="1"/>
    <x v="145"/>
    <x v="13"/>
    <x v="3"/>
    <n v="0"/>
    <n v="0"/>
    <s v="Unnamed ProjectProcess 4 Accum VA CostAccum VA CostProcess"/>
    <n v="1"/>
    <n v="0"/>
    <n v="0"/>
    <n v="0.95"/>
    <n v="4E+20"/>
    <n v="0"/>
    <n v="0"/>
  </r>
  <r>
    <x v="0"/>
    <s v="2025-12-26 20:24:34"/>
    <n v="1"/>
    <x v="146"/>
    <x v="14"/>
    <x v="3"/>
    <n v="3.9516681769686901"/>
    <n v="0"/>
    <s v="Unnamed ProjectProcess 4 Accum VA TimeAccum VA TimeProcess"/>
    <n v="1"/>
    <n v="3.9516681769686901"/>
    <n v="0"/>
    <n v="0.95"/>
    <n v="4E+20"/>
    <n v="3.9516681769686901"/>
    <n v="3.9516681769686901"/>
  </r>
  <r>
    <x v="0"/>
    <s v="2025-12-26 20:24:34"/>
    <n v="1"/>
    <x v="147"/>
    <x v="15"/>
    <x v="3"/>
    <n v="0"/>
    <n v="0"/>
    <s v="Unnamed ProjectProcess 4 Accum Wait CostAccum Wait CostProcess"/>
    <n v="1"/>
    <n v="0"/>
    <n v="0"/>
    <n v="0.95"/>
    <n v="4E+20"/>
    <n v="0"/>
    <n v="0"/>
  </r>
  <r>
    <x v="0"/>
    <s v="2025-12-26 20:24:34"/>
    <n v="1"/>
    <x v="148"/>
    <x v="16"/>
    <x v="3"/>
    <n v="19.7034094307276"/>
    <n v="0"/>
    <s v="Unnamed ProjectProcess 4 Accum Wait TimeAccum Wait TimeProcess"/>
    <n v="1"/>
    <n v="19.7034094307276"/>
    <n v="0"/>
    <n v="0.95"/>
    <n v="4E+20"/>
    <n v="19.7034094307276"/>
    <n v="19.7034094307276"/>
  </r>
  <r>
    <x v="0"/>
    <s v="2025-12-26 20:24:34"/>
    <n v="1"/>
    <x v="149"/>
    <x v="11"/>
    <x v="3"/>
    <n v="2023"/>
    <n v="0"/>
    <s v="Unnamed ProjectProcess 4 Number InNumber InProcess"/>
    <n v="1"/>
    <n v="2023"/>
    <n v="0"/>
    <n v="0.95"/>
    <n v="4E+20"/>
    <n v="2023"/>
    <n v="2023"/>
  </r>
  <r>
    <x v="0"/>
    <s v="2025-12-26 20:24:34"/>
    <n v="1"/>
    <x v="150"/>
    <x v="12"/>
    <x v="3"/>
    <n v="2023"/>
    <n v="0"/>
    <s v="Unnamed ProjectProcess 4 Number OutNumber OutProcess"/>
    <n v="1"/>
    <n v="2023"/>
    <n v="0"/>
    <n v="0.95"/>
    <n v="4E+20"/>
    <n v="2023"/>
    <n v="2023"/>
  </r>
  <r>
    <x v="0"/>
    <s v="2025-12-26 20:24:34"/>
    <n v="1"/>
    <x v="151"/>
    <x v="17"/>
    <x v="3"/>
    <n v="0"/>
    <n v="0"/>
    <s v="Unnamed ProjectProcess 4 Total Accum CostTotal Accum CostProcess"/>
    <n v="1"/>
    <n v="0"/>
    <n v="0"/>
    <n v="0.95"/>
    <n v="4E+20"/>
    <n v="0"/>
    <n v="0"/>
  </r>
  <r>
    <x v="0"/>
    <s v="2025-12-26 20:24:34"/>
    <n v="1"/>
    <x v="152"/>
    <x v="18"/>
    <x v="3"/>
    <n v="23.655077607696299"/>
    <n v="0"/>
    <s v="Unnamed ProjectProcess 4 Total Accum TimeTotal Accum TimeProcess"/>
    <n v="1"/>
    <n v="23.655077607696299"/>
    <n v="0"/>
    <n v="0.95"/>
    <n v="4E+20"/>
    <n v="23.655077607696299"/>
    <n v="23.655077607696299"/>
  </r>
  <r>
    <x v="0"/>
    <s v="2025-12-26 20:24:34"/>
    <n v="1"/>
    <x v="153"/>
    <x v="13"/>
    <x v="3"/>
    <n v="0"/>
    <n v="0"/>
    <s v="Unnamed ProjectProcess 5 Accum VA CostAccum VA CostProcess"/>
    <n v="1"/>
    <n v="0"/>
    <n v="0"/>
    <n v="0.95"/>
    <n v="4E+20"/>
    <n v="0"/>
    <n v="0"/>
  </r>
  <r>
    <x v="0"/>
    <s v="2025-12-26 20:24:34"/>
    <n v="1"/>
    <x v="154"/>
    <x v="14"/>
    <x v="3"/>
    <n v="5.60023446795776"/>
    <n v="0"/>
    <s v="Unnamed ProjectProcess 5 Accum VA TimeAccum VA TimeProcess"/>
    <n v="1"/>
    <n v="5.60023446795776"/>
    <n v="0"/>
    <n v="0.95"/>
    <n v="4E+20"/>
    <n v="5.60023446795776"/>
    <n v="5.60023446795776"/>
  </r>
  <r>
    <x v="0"/>
    <s v="2025-12-26 20:24:34"/>
    <n v="1"/>
    <x v="155"/>
    <x v="15"/>
    <x v="3"/>
    <n v="0"/>
    <n v="0"/>
    <s v="Unnamed ProjectProcess 5 Accum Wait CostAccum Wait CostProcess"/>
    <n v="1"/>
    <n v="0"/>
    <n v="0"/>
    <n v="0.95"/>
    <n v="4E+20"/>
    <n v="0"/>
    <n v="0"/>
  </r>
  <r>
    <x v="0"/>
    <s v="2025-12-26 20:24:34"/>
    <n v="1"/>
    <x v="156"/>
    <x v="16"/>
    <x v="3"/>
    <n v="1.9932112164795099"/>
    <n v="0"/>
    <s v="Unnamed ProjectProcess 5 Accum Wait TimeAccum Wait TimeProcess"/>
    <n v="1"/>
    <n v="1.9932112164795099"/>
    <n v="0"/>
    <n v="0.95"/>
    <n v="4E+20"/>
    <n v="1.9932112164795099"/>
    <n v="1.9932112164795099"/>
  </r>
  <r>
    <x v="0"/>
    <s v="2025-12-26 20:24:34"/>
    <n v="1"/>
    <x v="157"/>
    <x v="11"/>
    <x v="3"/>
    <n v="2022"/>
    <n v="0"/>
    <s v="Unnamed ProjectProcess 5 Number InNumber InProcess"/>
    <n v="1"/>
    <n v="2022"/>
    <n v="0"/>
    <n v="0.95"/>
    <n v="4E+20"/>
    <n v="2022"/>
    <n v="2022"/>
  </r>
  <r>
    <x v="0"/>
    <s v="2025-12-26 20:24:34"/>
    <n v="1"/>
    <x v="158"/>
    <x v="12"/>
    <x v="3"/>
    <n v="2021"/>
    <n v="0"/>
    <s v="Unnamed ProjectProcess 5 Number OutNumber OutProcess"/>
    <n v="1"/>
    <n v="2021"/>
    <n v="0"/>
    <n v="0.95"/>
    <n v="4E+20"/>
    <n v="2021"/>
    <n v="2021"/>
  </r>
  <r>
    <x v="0"/>
    <s v="2025-12-26 20:24:34"/>
    <n v="1"/>
    <x v="159"/>
    <x v="17"/>
    <x v="3"/>
    <n v="0"/>
    <n v="0"/>
    <s v="Unnamed ProjectProcess 5 Total Accum CostTotal Accum CostProcess"/>
    <n v="1"/>
    <n v="0"/>
    <n v="0"/>
    <n v="0.95"/>
    <n v="4E+20"/>
    <n v="0"/>
    <n v="0"/>
  </r>
  <r>
    <x v="0"/>
    <s v="2025-12-26 20:24:34"/>
    <n v="1"/>
    <x v="160"/>
    <x v="18"/>
    <x v="3"/>
    <n v="7.5934456844372704"/>
    <n v="0"/>
    <s v="Unnamed ProjectProcess 5 Total Accum TimeTotal Accum TimeProcess"/>
    <n v="1"/>
    <n v="7.5934456844372704"/>
    <n v="0"/>
    <n v="0.95"/>
    <n v="4E+20"/>
    <n v="7.5934456844372704"/>
    <n v="7.5934456844372704"/>
  </r>
  <r>
    <x v="0"/>
    <s v="2025-12-26 20:24:34"/>
    <n v="1"/>
    <x v="161"/>
    <x v="13"/>
    <x v="3"/>
    <n v="0"/>
    <n v="0"/>
    <s v="Unnamed ProjectProcess 6 Accum VA CostAccum VA CostProcess"/>
    <n v="1"/>
    <n v="0"/>
    <n v="0"/>
    <n v="0.95"/>
    <n v="4E+20"/>
    <n v="0"/>
    <n v="0"/>
  </r>
  <r>
    <x v="0"/>
    <s v="2025-12-26 20:24:34"/>
    <n v="1"/>
    <x v="162"/>
    <x v="14"/>
    <x v="3"/>
    <n v="13.986084960686799"/>
    <n v="0"/>
    <s v="Unnamed ProjectProcess 6 Accum VA TimeAccum VA TimeProcess"/>
    <n v="1"/>
    <n v="13.986084960686799"/>
    <n v="0"/>
    <n v="0.95"/>
    <n v="4E+20"/>
    <n v="13.986084960686799"/>
    <n v="13.986084960686799"/>
  </r>
  <r>
    <x v="0"/>
    <s v="2025-12-26 20:24:34"/>
    <n v="1"/>
    <x v="163"/>
    <x v="15"/>
    <x v="3"/>
    <n v="0"/>
    <n v="0"/>
    <s v="Unnamed ProjectProcess 6 Accum Wait CostAccum Wait CostProcess"/>
    <n v="1"/>
    <n v="0"/>
    <n v="0"/>
    <n v="0.95"/>
    <n v="4E+20"/>
    <n v="0"/>
    <n v="0"/>
  </r>
  <r>
    <x v="0"/>
    <s v="2025-12-26 20:24:34"/>
    <n v="1"/>
    <x v="164"/>
    <x v="16"/>
    <x v="3"/>
    <n v="38.701019980603697"/>
    <n v="0"/>
    <s v="Unnamed ProjectProcess 6 Accum Wait TimeAccum Wait TimeProcess"/>
    <n v="1"/>
    <n v="38.701019980603697"/>
    <n v="0"/>
    <n v="0.95"/>
    <n v="4E+20"/>
    <n v="38.701019980603697"/>
    <n v="38.701019980603697"/>
  </r>
  <r>
    <x v="0"/>
    <s v="2025-12-26 20:24:34"/>
    <n v="1"/>
    <x v="165"/>
    <x v="11"/>
    <x v="3"/>
    <n v="2017"/>
    <n v="0"/>
    <s v="Unnamed ProjectProcess 6 Number InNumber InProcess"/>
    <n v="1"/>
    <n v="2017"/>
    <n v="0"/>
    <n v="0.95"/>
    <n v="4E+20"/>
    <n v="2017"/>
    <n v="2017"/>
  </r>
  <r>
    <x v="0"/>
    <s v="2025-12-26 20:24:34"/>
    <n v="1"/>
    <x v="166"/>
    <x v="12"/>
    <x v="3"/>
    <n v="2014"/>
    <n v="0"/>
    <s v="Unnamed ProjectProcess 6 Number OutNumber OutProcess"/>
    <n v="1"/>
    <n v="2014"/>
    <n v="0"/>
    <n v="0.95"/>
    <n v="4E+20"/>
    <n v="2014"/>
    <n v="2014"/>
  </r>
  <r>
    <x v="0"/>
    <s v="2025-12-26 20:24:34"/>
    <n v="1"/>
    <x v="167"/>
    <x v="17"/>
    <x v="3"/>
    <n v="0"/>
    <n v="0"/>
    <s v="Unnamed ProjectProcess 6 Total Accum CostTotal Accum CostProcess"/>
    <n v="1"/>
    <n v="0"/>
    <n v="0"/>
    <n v="0.95"/>
    <n v="4E+20"/>
    <n v="0"/>
    <n v="0"/>
  </r>
  <r>
    <x v="0"/>
    <s v="2025-12-26 20:24:34"/>
    <n v="1"/>
    <x v="168"/>
    <x v="18"/>
    <x v="3"/>
    <n v="52.6871049412904"/>
    <n v="0"/>
    <s v="Unnamed ProjectProcess 6 Total Accum TimeTotal Accum TimeProcess"/>
    <n v="1"/>
    <n v="52.6871049412904"/>
    <n v="0"/>
    <n v="0.95"/>
    <n v="4E+20"/>
    <n v="52.6871049412904"/>
    <n v="52.6871049412904"/>
  </r>
  <r>
    <x v="0"/>
    <s v="2025-12-26 20:24:34"/>
    <n v="1"/>
    <x v="169"/>
    <x v="13"/>
    <x v="3"/>
    <n v="0"/>
    <n v="0"/>
    <s v="Unnamed ProjectProcess 7 Accum VA CostAccum VA CostProcess"/>
    <n v="1"/>
    <n v="0"/>
    <n v="0"/>
    <n v="0.95"/>
    <n v="4E+20"/>
    <n v="0"/>
    <n v="0"/>
  </r>
  <r>
    <x v="0"/>
    <s v="2025-12-26 20:24:34"/>
    <n v="1"/>
    <x v="170"/>
    <x v="14"/>
    <x v="3"/>
    <n v="6.7041992346972803"/>
    <n v="0"/>
    <s v="Unnamed ProjectProcess 7 Accum VA TimeAccum VA TimeProcess"/>
    <n v="1"/>
    <n v="6.7041992346972803"/>
    <n v="0"/>
    <n v="0.95"/>
    <n v="4E+20"/>
    <n v="6.7041992346972803"/>
    <n v="6.7041992346972803"/>
  </r>
  <r>
    <x v="0"/>
    <s v="2025-12-26 20:24:34"/>
    <n v="1"/>
    <x v="171"/>
    <x v="15"/>
    <x v="3"/>
    <n v="0"/>
    <n v="0"/>
    <s v="Unnamed ProjectProcess 7 Accum Wait CostAccum Wait CostProcess"/>
    <n v="1"/>
    <n v="0"/>
    <n v="0"/>
    <n v="0.95"/>
    <n v="4E+20"/>
    <n v="0"/>
    <n v="0"/>
  </r>
  <r>
    <x v="0"/>
    <s v="2025-12-26 20:24:34"/>
    <n v="1"/>
    <x v="172"/>
    <x v="16"/>
    <x v="3"/>
    <n v="3.98305807260558"/>
    <n v="0"/>
    <s v="Unnamed ProjectProcess 7 Accum Wait TimeAccum Wait TimeProcess"/>
    <n v="1"/>
    <n v="3.98305807260558"/>
    <n v="0"/>
    <n v="0.95"/>
    <n v="4E+20"/>
    <n v="3.98305807260558"/>
    <n v="3.98305807260558"/>
  </r>
  <r>
    <x v="0"/>
    <s v="2025-12-26 20:24:34"/>
    <n v="1"/>
    <x v="173"/>
    <x v="11"/>
    <x v="3"/>
    <n v="2014"/>
    <n v="0"/>
    <s v="Unnamed ProjectProcess 7 Number InNumber InProcess"/>
    <n v="1"/>
    <n v="2014"/>
    <n v="0"/>
    <n v="0.95"/>
    <n v="4E+20"/>
    <n v="2014"/>
    <n v="2014"/>
  </r>
  <r>
    <x v="0"/>
    <s v="2025-12-26 20:24:34"/>
    <n v="1"/>
    <x v="174"/>
    <x v="12"/>
    <x v="3"/>
    <n v="2013"/>
    <n v="0"/>
    <s v="Unnamed ProjectProcess 7 Number OutNumber OutProcess"/>
    <n v="1"/>
    <n v="2013"/>
    <n v="0"/>
    <n v="0.95"/>
    <n v="4E+20"/>
    <n v="2013"/>
    <n v="2013"/>
  </r>
  <r>
    <x v="0"/>
    <s v="2025-12-26 20:24:34"/>
    <n v="1"/>
    <x v="175"/>
    <x v="17"/>
    <x v="3"/>
    <n v="0"/>
    <n v="0"/>
    <s v="Unnamed ProjectProcess 7 Total Accum CostTotal Accum CostProcess"/>
    <n v="1"/>
    <n v="0"/>
    <n v="0"/>
    <n v="0.95"/>
    <n v="4E+20"/>
    <n v="0"/>
    <n v="0"/>
  </r>
  <r>
    <x v="0"/>
    <s v="2025-12-26 20:24:34"/>
    <n v="1"/>
    <x v="176"/>
    <x v="18"/>
    <x v="3"/>
    <n v="10.6872573073029"/>
    <n v="0"/>
    <s v="Unnamed ProjectProcess 7 Total Accum TimeTotal Accum TimeProcess"/>
    <n v="1"/>
    <n v="10.6872573073029"/>
    <n v="0"/>
    <n v="0.95"/>
    <n v="4E+20"/>
    <n v="10.6872573073029"/>
    <n v="10.6872573073029"/>
  </r>
  <r>
    <x v="0"/>
    <s v="2025-12-26 20:24:34"/>
    <n v="1"/>
    <x v="177"/>
    <x v="13"/>
    <x v="3"/>
    <n v="0"/>
    <n v="0"/>
    <s v="Unnamed ProjectProcess 8 Accum VA CostAccum VA CostProcess"/>
    <n v="1"/>
    <n v="0"/>
    <n v="0"/>
    <n v="0.95"/>
    <n v="4E+20"/>
    <n v="0"/>
    <n v="0"/>
  </r>
  <r>
    <x v="0"/>
    <s v="2025-12-26 20:24:34"/>
    <n v="1"/>
    <x v="178"/>
    <x v="14"/>
    <x v="3"/>
    <n v="12.1118020201568"/>
    <n v="0"/>
    <s v="Unnamed ProjectProcess 8 Accum VA TimeAccum VA TimeProcess"/>
    <n v="1"/>
    <n v="12.1118020201568"/>
    <n v="0"/>
    <n v="0.95"/>
    <n v="4E+20"/>
    <n v="12.1118020201568"/>
    <n v="12.1118020201568"/>
  </r>
  <r>
    <x v="0"/>
    <s v="2025-12-26 20:24:34"/>
    <n v="1"/>
    <x v="179"/>
    <x v="15"/>
    <x v="3"/>
    <n v="0"/>
    <n v="0"/>
    <s v="Unnamed ProjectProcess 8 Accum Wait CostAccum Wait CostProcess"/>
    <n v="1"/>
    <n v="0"/>
    <n v="0"/>
    <n v="0.95"/>
    <n v="4E+20"/>
    <n v="0"/>
    <n v="0"/>
  </r>
  <r>
    <x v="0"/>
    <s v="2025-12-26 20:24:34"/>
    <n v="1"/>
    <x v="180"/>
    <x v="16"/>
    <x v="3"/>
    <n v="43.764656889134301"/>
    <n v="0"/>
    <s v="Unnamed ProjectProcess 8 Accum Wait TimeAccum Wait TimeProcess"/>
    <n v="1"/>
    <n v="43.764656889134301"/>
    <n v="0"/>
    <n v="0.95"/>
    <n v="4E+20"/>
    <n v="43.764656889134301"/>
    <n v="43.764656889134301"/>
  </r>
  <r>
    <x v="0"/>
    <s v="2025-12-26 20:24:34"/>
    <n v="1"/>
    <x v="181"/>
    <x v="11"/>
    <x v="3"/>
    <n v="8699"/>
    <n v="0"/>
    <s v="Unnamed ProjectProcess 8 Number InNumber InProcess"/>
    <n v="1"/>
    <n v="8699"/>
    <n v="0"/>
    <n v="0.95"/>
    <n v="4E+20"/>
    <n v="8699"/>
    <n v="8699"/>
  </r>
  <r>
    <x v="0"/>
    <s v="2025-12-26 20:24:34"/>
    <n v="1"/>
    <x v="182"/>
    <x v="12"/>
    <x v="3"/>
    <n v="8698"/>
    <n v="0"/>
    <s v="Unnamed ProjectProcess 8 Number OutNumber OutProcess"/>
    <n v="1"/>
    <n v="8698"/>
    <n v="0"/>
    <n v="0.95"/>
    <n v="4E+20"/>
    <n v="8698"/>
    <n v="8698"/>
  </r>
  <r>
    <x v="0"/>
    <s v="2025-12-26 20:24:34"/>
    <n v="1"/>
    <x v="183"/>
    <x v="17"/>
    <x v="3"/>
    <n v="0"/>
    <n v="0"/>
    <s v="Unnamed ProjectProcess 8 Total Accum CostTotal Accum CostProcess"/>
    <n v="1"/>
    <n v="0"/>
    <n v="0"/>
    <n v="0.95"/>
    <n v="4E+20"/>
    <n v="0"/>
    <n v="0"/>
  </r>
  <r>
    <x v="0"/>
    <s v="2025-12-26 20:24:34"/>
    <n v="1"/>
    <x v="184"/>
    <x v="18"/>
    <x v="3"/>
    <n v="55.876458909291102"/>
    <n v="0"/>
    <s v="Unnamed ProjectProcess 8 Total Accum TimeTotal Accum TimeProcess"/>
    <n v="1"/>
    <n v="55.876458909291102"/>
    <n v="0"/>
    <n v="0.95"/>
    <n v="4E+20"/>
    <n v="55.876458909291102"/>
    <n v="55.876458909291102"/>
  </r>
  <r>
    <x v="0"/>
    <s v="2025-12-26 20:24:34"/>
    <n v="1"/>
    <x v="185"/>
    <x v="13"/>
    <x v="3"/>
    <n v="0"/>
    <n v="0"/>
    <s v="Unnamed ProjectProcess 9 Accum VA CostAccum VA CostProcess"/>
    <n v="1"/>
    <n v="0"/>
    <n v="0"/>
    <n v="0.95"/>
    <n v="4E+20"/>
    <n v="0"/>
    <n v="0"/>
  </r>
  <r>
    <x v="0"/>
    <s v="2025-12-26 20:24:34"/>
    <n v="1"/>
    <x v="186"/>
    <x v="14"/>
    <x v="3"/>
    <n v="13.6970430385252"/>
    <n v="0"/>
    <s v="Unnamed ProjectProcess 9 Accum VA TimeAccum VA TimeProcess"/>
    <n v="1"/>
    <n v="13.6970430385252"/>
    <n v="0"/>
    <n v="0.95"/>
    <n v="4E+20"/>
    <n v="13.6970430385252"/>
    <n v="13.6970430385252"/>
  </r>
  <r>
    <x v="0"/>
    <s v="2025-12-26 20:24:34"/>
    <n v="1"/>
    <x v="187"/>
    <x v="15"/>
    <x v="3"/>
    <n v="0"/>
    <n v="0"/>
    <s v="Unnamed ProjectProcess 9 Accum Wait CostAccum Wait CostProcess"/>
    <n v="1"/>
    <n v="0"/>
    <n v="0"/>
    <n v="0.95"/>
    <n v="4E+20"/>
    <n v="0"/>
    <n v="0"/>
  </r>
  <r>
    <x v="0"/>
    <s v="2025-12-26 20:24:34"/>
    <n v="1"/>
    <x v="188"/>
    <x v="16"/>
    <x v="3"/>
    <n v="9.9514208489188292"/>
    <n v="0"/>
    <s v="Unnamed ProjectProcess 9 Accum Wait TimeAccum Wait TimeProcess"/>
    <n v="1"/>
    <n v="9.9514208489188292"/>
    <n v="0"/>
    <n v="0.95"/>
    <n v="4E+20"/>
    <n v="9.9514208489188292"/>
    <n v="9.9514208489188292"/>
  </r>
  <r>
    <x v="0"/>
    <s v="2025-12-26 20:24:34"/>
    <n v="1"/>
    <x v="189"/>
    <x v="11"/>
    <x v="3"/>
    <n v="8695"/>
    <n v="0"/>
    <s v="Unnamed ProjectProcess 9 Number InNumber InProcess"/>
    <n v="1"/>
    <n v="8695"/>
    <n v="0"/>
    <n v="0.95"/>
    <n v="4E+20"/>
    <n v="8695"/>
    <n v="8695"/>
  </r>
  <r>
    <x v="0"/>
    <s v="2025-12-26 20:24:34"/>
    <n v="1"/>
    <x v="190"/>
    <x v="12"/>
    <x v="3"/>
    <n v="8694"/>
    <n v="0"/>
    <s v="Unnamed ProjectProcess 9 Number OutNumber OutProcess"/>
    <n v="1"/>
    <n v="8694"/>
    <n v="0"/>
    <n v="0.95"/>
    <n v="4E+20"/>
    <n v="8694"/>
    <n v="8694"/>
  </r>
  <r>
    <x v="0"/>
    <s v="2025-12-26 20:24:34"/>
    <n v="1"/>
    <x v="191"/>
    <x v="17"/>
    <x v="3"/>
    <n v="0"/>
    <n v="0"/>
    <s v="Unnamed ProjectProcess 9 Total Accum CostTotal Accum CostProcess"/>
    <n v="1"/>
    <n v="0"/>
    <n v="0"/>
    <n v="0.95"/>
    <n v="4E+20"/>
    <n v="0"/>
    <n v="0"/>
  </r>
  <r>
    <x v="0"/>
    <s v="2025-12-26 20:24:34"/>
    <n v="1"/>
    <x v="192"/>
    <x v="18"/>
    <x v="3"/>
    <n v="23.648463887443999"/>
    <n v="0"/>
    <s v="Unnamed ProjectProcess 9 Total Accum TimeTotal Accum TimeProcess"/>
    <n v="1"/>
    <n v="23.648463887443999"/>
    <n v="0"/>
    <n v="0.95"/>
    <n v="4E+20"/>
    <n v="23.648463887443999"/>
    <n v="23.648463887443999"/>
  </r>
  <r>
    <x v="0"/>
    <s v="2025-12-26 20:24:34"/>
    <n v="1"/>
    <x v="193"/>
    <x v="6"/>
    <x v="1"/>
    <n v="0"/>
    <n v="0"/>
    <s v="Unnamed ProjectSales Department.BusyCostBusy CostResource"/>
    <n v="1"/>
    <n v="0"/>
    <n v="0"/>
    <n v="0.95"/>
    <n v="4E+20"/>
    <n v="0"/>
    <n v="0"/>
  </r>
  <r>
    <x v="0"/>
    <s v="2025-12-26 20:24:34"/>
    <n v="1"/>
    <x v="194"/>
    <x v="7"/>
    <x v="1"/>
    <n v="0"/>
    <n v="0"/>
    <s v="Unnamed ProjectSales Department.IdleCostIdle CostResource"/>
    <n v="1"/>
    <n v="0"/>
    <n v="0"/>
    <n v="0.95"/>
    <n v="4E+20"/>
    <n v="0"/>
    <n v="0"/>
  </r>
  <r>
    <x v="0"/>
    <s v="2025-12-26 20:24:34"/>
    <n v="1"/>
    <x v="195"/>
    <x v="9"/>
    <x v="1"/>
    <n v="0"/>
    <n v="0"/>
    <s v="Unnamed ProjectSales Department.NumberSeizedTotal Number SeizedResource"/>
    <n v="1"/>
    <n v="0"/>
    <n v="0"/>
    <n v="0.95"/>
    <n v="4E+20"/>
    <n v="0"/>
    <n v="0"/>
  </r>
  <r>
    <x v="0"/>
    <s v="2025-12-26 20:24:34"/>
    <n v="1"/>
    <x v="196"/>
    <x v="10"/>
    <x v="1"/>
    <n v="0"/>
    <n v="0"/>
    <s v="Unnamed ProjectSales Department.ScheduledUtilizationScheduled UtilizationResource"/>
    <n v="1"/>
    <n v="0"/>
    <n v="0"/>
    <n v="0.95"/>
    <n v="4E+20"/>
    <n v="0"/>
    <n v="0"/>
  </r>
  <r>
    <x v="0"/>
    <s v="2025-12-26 20:24:34"/>
    <n v="1"/>
    <x v="197"/>
    <x v="8"/>
    <x v="1"/>
    <n v="0"/>
    <n v="0"/>
    <s v="Unnamed ProjectSales Department.UsageCostUsage CostResource"/>
    <n v="1"/>
    <n v="0"/>
    <n v="0"/>
    <n v="0.95"/>
    <n v="4E+20"/>
    <n v="0"/>
    <n v="0"/>
  </r>
  <r>
    <x v="0"/>
    <s v="2025-12-26 20:24:34"/>
    <n v="1"/>
    <x v="198"/>
    <x v="6"/>
    <x v="1"/>
    <n v="0"/>
    <n v="0"/>
    <s v="Unnamed ProjectSales Rep.BusyCostBusy CostResource"/>
    <n v="1"/>
    <n v="0"/>
    <n v="0"/>
    <n v="0.95"/>
    <n v="4E+20"/>
    <n v="0"/>
    <n v="0"/>
  </r>
  <r>
    <x v="0"/>
    <s v="2025-12-26 20:24:34"/>
    <n v="1"/>
    <x v="199"/>
    <x v="7"/>
    <x v="1"/>
    <n v="0"/>
    <n v="0"/>
    <s v="Unnamed ProjectSales Rep.IdleCostIdle CostResource"/>
    <n v="1"/>
    <n v="0"/>
    <n v="0"/>
    <n v="0.95"/>
    <n v="4E+20"/>
    <n v="0"/>
    <n v="0"/>
  </r>
  <r>
    <x v="0"/>
    <s v="2025-12-26 20:24:34"/>
    <n v="1"/>
    <x v="200"/>
    <x v="9"/>
    <x v="1"/>
    <n v="14"/>
    <n v="0"/>
    <s v="Unnamed ProjectSales Rep.NumberSeizedTotal Number SeizedResource"/>
    <n v="1"/>
    <n v="14"/>
    <n v="0"/>
    <n v="0.95"/>
    <n v="4E+20"/>
    <n v="14"/>
    <n v="14"/>
  </r>
  <r>
    <x v="0"/>
    <s v="2025-12-26 20:24:34"/>
    <n v="1"/>
    <x v="201"/>
    <x v="10"/>
    <x v="1"/>
    <n v="7.3988940102363898E-2"/>
    <n v="0"/>
    <s v="Unnamed ProjectSales Rep.ScheduledUtilizationScheduled UtilizationResource"/>
    <n v="1"/>
    <n v="7.3988940102363898E-2"/>
    <n v="0"/>
    <n v="0.95"/>
    <n v="4E+20"/>
    <n v="7.3988940102363898E-2"/>
    <n v="7.3988940102363898E-2"/>
  </r>
  <r>
    <x v="0"/>
    <s v="2025-12-26 20:24:34"/>
    <n v="1"/>
    <x v="202"/>
    <x v="8"/>
    <x v="1"/>
    <n v="0"/>
    <n v="0"/>
    <s v="Unnamed ProjectSales Rep.UsageCostUsage CostResource"/>
    <n v="1"/>
    <n v="0"/>
    <n v="0"/>
    <n v="0.95"/>
    <n v="4E+20"/>
    <n v="0"/>
    <n v="0"/>
  </r>
  <r>
    <x v="0"/>
    <s v="2025-12-26 20:24:34"/>
    <n v="1"/>
    <x v="203"/>
    <x v="12"/>
    <x v="0"/>
    <n v="1097"/>
    <n v="0"/>
    <s v="Unnamed ProjectSystem.NumberOutNumber OutSystem"/>
    <n v="1"/>
    <n v="1097"/>
    <n v="0"/>
    <n v="0.95"/>
    <n v="4E+20"/>
    <n v="1097"/>
    <n v="1097"/>
  </r>
  <r>
    <x v="0"/>
    <s v="2025-12-26 20:24:34"/>
    <n v="1"/>
    <x v="204"/>
    <x v="2"/>
    <x v="0"/>
    <n v="0"/>
    <n v="0"/>
    <s v="Unnamed ProjectSystem.TotalCostTotal CostSystem"/>
    <n v="1"/>
    <n v="0"/>
    <n v="0"/>
    <n v="0.95"/>
    <n v="4E+20"/>
    <n v="0"/>
    <n v="0"/>
  </r>
  <r>
    <x v="0"/>
    <s v="2025-12-26 20:24:34"/>
    <n v="1"/>
    <x v="205"/>
    <x v="11"/>
    <x v="2"/>
    <n v="923"/>
    <n v="0"/>
    <s v="Unnamed ProjectWire Harness.NumberInNumber InEntity"/>
    <n v="1"/>
    <n v="923"/>
    <n v="0"/>
    <n v="0.95"/>
    <n v="4E+20"/>
    <n v="923"/>
    <n v="923"/>
  </r>
  <r>
    <x v="0"/>
    <s v="2025-12-26 20:24:34"/>
    <n v="1"/>
    <x v="206"/>
    <x v="12"/>
    <x v="2"/>
    <n v="923"/>
    <n v="0"/>
    <s v="Unnamed ProjectWire Harness.NumberOutNumber OutEntity"/>
    <n v="1"/>
    <n v="923"/>
    <n v="0"/>
    <n v="0.95"/>
    <n v="4E+20"/>
    <n v="923"/>
    <n v="923"/>
  </r>
  <r>
    <x v="0"/>
    <s v="2025-12-26 20:24:34"/>
    <n v="1"/>
    <x v="207"/>
    <x v="13"/>
    <x v="3"/>
    <n v="0"/>
    <n v="0"/>
    <s v="Unnamed Projectsales Accum VA CostAccum VA CostProcess"/>
    <n v="1"/>
    <n v="0"/>
    <n v="0"/>
    <n v="0.95"/>
    <n v="4E+20"/>
    <n v="0"/>
    <n v="0"/>
  </r>
  <r>
    <x v="0"/>
    <s v="2025-12-26 20:24:34"/>
    <n v="1"/>
    <x v="208"/>
    <x v="14"/>
    <x v="3"/>
    <n v="1.77573456245673"/>
    <n v="0"/>
    <s v="Unnamed Projectsales Accum VA TimeAccum VA TimeProcess"/>
    <n v="1"/>
    <n v="1.77573456245673"/>
    <n v="0"/>
    <n v="0.95"/>
    <n v="4E+20"/>
    <n v="1.77573456245673"/>
    <n v="1.77573456245673"/>
  </r>
  <r>
    <x v="0"/>
    <s v="2025-12-26 20:24:34"/>
    <n v="1"/>
    <x v="209"/>
    <x v="15"/>
    <x v="3"/>
    <n v="0"/>
    <n v="0"/>
    <s v="Unnamed Projectsales Accum Wait CostAccum Wait CostProcess"/>
    <n v="1"/>
    <n v="0"/>
    <n v="0"/>
    <n v="0.95"/>
    <n v="4E+20"/>
    <n v="0"/>
    <n v="0"/>
  </r>
  <r>
    <x v="0"/>
    <s v="2025-12-26 20:24:34"/>
    <n v="1"/>
    <x v="210"/>
    <x v="16"/>
    <x v="3"/>
    <n v="0.30130563522900999"/>
    <n v="0"/>
    <s v="Unnamed Projectsales Accum Wait TimeAccum Wait TimeProcess"/>
    <n v="1"/>
    <n v="0.30130563522900999"/>
    <n v="0"/>
    <n v="0.95"/>
    <n v="4E+20"/>
    <n v="0.30130563522900999"/>
    <n v="0.30130563522900999"/>
  </r>
  <r>
    <x v="0"/>
    <s v="2025-12-26 20:24:34"/>
    <n v="1"/>
    <x v="211"/>
    <x v="11"/>
    <x v="3"/>
    <n v="14"/>
    <n v="0"/>
    <s v="Unnamed Projectsales Number InNumber InProcess"/>
    <n v="1"/>
    <n v="14"/>
    <n v="0"/>
    <n v="0.95"/>
    <n v="4E+20"/>
    <n v="14"/>
    <n v="14"/>
  </r>
  <r>
    <x v="0"/>
    <s v="2025-12-26 20:24:34"/>
    <n v="1"/>
    <x v="212"/>
    <x v="12"/>
    <x v="3"/>
    <n v="14"/>
    <n v="0"/>
    <s v="Unnamed Projectsales Number OutNumber OutProcess"/>
    <n v="1"/>
    <n v="14"/>
    <n v="0"/>
    <n v="0.95"/>
    <n v="4E+20"/>
    <n v="14"/>
    <n v="14"/>
  </r>
  <r>
    <x v="0"/>
    <s v="2025-12-26 20:24:34"/>
    <n v="1"/>
    <x v="213"/>
    <x v="17"/>
    <x v="3"/>
    <n v="0"/>
    <n v="0"/>
    <s v="Unnamed Projectsales Total Accum CostTotal Accum CostProcess"/>
    <n v="1"/>
    <n v="0"/>
    <n v="0"/>
    <n v="0.95"/>
    <n v="4E+20"/>
    <n v="0"/>
    <n v="0"/>
  </r>
  <r>
    <x v="0"/>
    <s v="2025-12-26 20:24:34"/>
    <n v="1"/>
    <x v="214"/>
    <x v="18"/>
    <x v="3"/>
    <n v="2.07704019768574"/>
    <n v="0"/>
    <s v="Unnamed Projectsales Total Accum TimeTotal Accum TimeProcess"/>
    <n v="1"/>
    <n v="2.07704019768574"/>
    <n v="0"/>
    <n v="0.95"/>
    <n v="4E+20"/>
    <n v="2.07704019768574"/>
    <n v="2.0770401976857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2025-12-26 20:24:34"/>
    <n v="1"/>
    <x v="0"/>
    <x v="0"/>
    <x v="0"/>
    <n v="47"/>
    <s v="Unnamed ProjectScrapCountUser Specified"/>
    <n v="1"/>
    <n v="47"/>
    <n v="0"/>
    <n v="0.95"/>
    <n v="4E+20"/>
    <n v="47"/>
    <n v="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x v="0"/>
    <s v="2025-12-26 20:24:34"/>
    <n v="1"/>
    <x v="0"/>
    <x v="0"/>
    <x v="0"/>
    <n v="0.108433109514769"/>
    <n v="3E+20"/>
    <n v="0"/>
    <n v="1"/>
    <n v="0"/>
    <n v="0"/>
    <s v="Unnamed ProjectAssemblerInstantaneous UtilizationResource"/>
    <n v="1"/>
    <n v="0.108433109514769"/>
    <n v="0"/>
    <n v="0.95"/>
    <n v="4E+20"/>
    <n v="0.108433109514769"/>
    <n v="0.108433109514769"/>
    <n v="3E+20"/>
  </r>
  <r>
    <x v="0"/>
    <s v="2025-12-26 20:24:34"/>
    <n v="1"/>
    <x v="0"/>
    <x v="1"/>
    <x v="0"/>
    <n v="0.108433109514769"/>
    <n v="3E+20"/>
    <n v="0"/>
    <n v="1"/>
    <n v="0"/>
    <n v="0"/>
    <s v="Unnamed ProjectAssemblerNumber BusyResource"/>
    <n v="1"/>
    <n v="0.108433109514769"/>
    <n v="0"/>
    <n v="0.95"/>
    <n v="4E+20"/>
    <n v="0.108433109514769"/>
    <n v="0.108433109514769"/>
    <n v="3E+20"/>
  </r>
  <r>
    <x v="0"/>
    <s v="2025-12-26 20:24:34"/>
    <n v="1"/>
    <x v="0"/>
    <x v="2"/>
    <x v="0"/>
    <n v="0.58331561043584501"/>
    <n v="2E+20"/>
    <n v="0"/>
    <n v="1"/>
    <n v="1"/>
    <n v="0"/>
    <s v="Unnamed ProjectAssemblerNumber ScheduledResource"/>
    <n v="1"/>
    <n v="0.58331561043584501"/>
    <n v="0"/>
    <n v="0.95"/>
    <n v="4E+20"/>
    <n v="0.58331561043584501"/>
    <n v="0.58331561043584501"/>
    <n v="2E+20"/>
  </r>
  <r>
    <x v="0"/>
    <s v="2025-12-26 20:24:34"/>
    <n v="1"/>
    <x v="1"/>
    <x v="3"/>
    <x v="1"/>
    <n v="0.70638818364012401"/>
    <n v="3E+20"/>
    <n v="0"/>
    <n v="3"/>
    <n v="2"/>
    <n v="0"/>
    <s v="Unnamed ProjectAssembly Batch.QueueNumber WaitingQueue"/>
    <n v="1"/>
    <n v="0.70638818364012401"/>
    <n v="0"/>
    <n v="0.95"/>
    <n v="4E+20"/>
    <n v="0.70638818364012401"/>
    <n v="0.70638818364012401"/>
    <n v="3E+20"/>
  </r>
  <r>
    <x v="0"/>
    <s v="2025-12-26 20:24:34"/>
    <n v="1"/>
    <x v="2"/>
    <x v="3"/>
    <x v="1"/>
    <n v="0.33448787429177601"/>
    <n v="3E+20"/>
    <n v="0"/>
    <n v="2"/>
    <n v="0"/>
    <n v="0"/>
    <s v="Unnamed ProjectBatch 2.QueueNumber WaitingQueue"/>
    <n v="1"/>
    <n v="0.33448787429177601"/>
    <n v="0"/>
    <n v="0.95"/>
    <n v="4E+20"/>
    <n v="0.33448787429177601"/>
    <n v="0.33448787429177601"/>
    <n v="3E+20"/>
  </r>
  <r>
    <x v="0"/>
    <s v="2025-12-26 20:24:34"/>
    <n v="1"/>
    <x v="3"/>
    <x v="3"/>
    <x v="1"/>
    <n v="0.33363405923022299"/>
    <n v="3E+20"/>
    <n v="0"/>
    <n v="2"/>
    <n v="0"/>
    <n v="0"/>
    <s v="Unnamed ProjectBatch 3.QueueNumber WaitingQueue"/>
    <n v="1"/>
    <n v="0.33363405923022299"/>
    <n v="0"/>
    <n v="0.95"/>
    <n v="4E+20"/>
    <n v="0.33363405923022299"/>
    <n v="0.33363405923022299"/>
    <n v="3E+20"/>
  </r>
  <r>
    <x v="0"/>
    <s v="2025-12-26 20:24:34"/>
    <n v="1"/>
    <x v="4"/>
    <x v="3"/>
    <x v="1"/>
    <n v="0.66612663747794398"/>
    <n v="3E+20"/>
    <n v="0"/>
    <n v="3"/>
    <n v="2"/>
    <n v="0"/>
    <s v="Unnamed ProjectBatch 5.QueueNumber WaitingQueue"/>
    <n v="1"/>
    <n v="0.66612663747794398"/>
    <n v="0"/>
    <n v="0.95"/>
    <n v="4E+20"/>
    <n v="0.66612663747794398"/>
    <n v="0.66612663747794398"/>
    <n v="3E+20"/>
  </r>
  <r>
    <x v="0"/>
    <s v="2025-12-26 20:24:34"/>
    <n v="1"/>
    <x v="5"/>
    <x v="4"/>
    <x v="2"/>
    <n v="8.6543341570239296E-2"/>
    <n v="2E+20"/>
    <n v="0"/>
    <n v="3"/>
    <n v="0"/>
    <n v="0"/>
    <s v="Unnamed ProjectCustomerWIPEntity"/>
    <n v="1"/>
    <n v="8.6543341570239296E-2"/>
    <n v="0"/>
    <n v="0.95"/>
    <n v="4E+20"/>
    <n v="8.6543341570239296E-2"/>
    <n v="8.6543341570239296E-2"/>
    <n v="2E+20"/>
  </r>
  <r>
    <x v="0"/>
    <s v="2025-12-26 20:24:34"/>
    <n v="1"/>
    <x v="6"/>
    <x v="4"/>
    <x v="2"/>
    <n v="15.3190956470623"/>
    <n v="3E+20"/>
    <n v="0"/>
    <n v="36"/>
    <n v="31"/>
    <n v="0"/>
    <s v="Unnamed ProjectEntity 1WIPEntity"/>
    <n v="1"/>
    <n v="15.3190956470623"/>
    <n v="0"/>
    <n v="0.95"/>
    <n v="4E+20"/>
    <n v="15.3190956470623"/>
    <n v="15.3190956470623"/>
    <n v="3E+20"/>
  </r>
  <r>
    <x v="0"/>
    <s v="2025-12-26 20:24:34"/>
    <n v="1"/>
    <x v="7"/>
    <x v="4"/>
    <x v="2"/>
    <n v="20.877832467085501"/>
    <n v="3E+20"/>
    <n v="0"/>
    <n v="42"/>
    <n v="38"/>
    <n v="0"/>
    <s v="Unnamed ProjectEntity 2WIPEntity"/>
    <n v="1"/>
    <n v="20.877832467085501"/>
    <n v="0"/>
    <n v="0.95"/>
    <n v="4E+20"/>
    <n v="20.877832467085501"/>
    <n v="20.877832467085501"/>
    <n v="3E+20"/>
  </r>
  <r>
    <x v="0"/>
    <s v="2025-12-26 20:24:34"/>
    <n v="1"/>
    <x v="8"/>
    <x v="4"/>
    <x v="2"/>
    <n v="18.807822425644702"/>
    <n v="3E+20"/>
    <n v="0"/>
    <n v="44"/>
    <n v="38"/>
    <n v="0"/>
    <s v="Unnamed ProjectEntity 3WIPEntity"/>
    <n v="1"/>
    <n v="18.807822425644702"/>
    <n v="0"/>
    <n v="0.95"/>
    <n v="4E+20"/>
    <n v="18.807822425644702"/>
    <n v="18.807822425644702"/>
    <n v="3E+20"/>
  </r>
  <r>
    <x v="0"/>
    <s v="2025-12-26 20:24:34"/>
    <n v="1"/>
    <x v="9"/>
    <x v="0"/>
    <x v="0"/>
    <n v="0.92075442211088998"/>
    <n v="2E+20"/>
    <n v="0"/>
    <n v="1"/>
    <n v="1"/>
    <n v="0"/>
    <s v="Unnamed ProjectKanban L1S1Instantaneous UtilizationResource"/>
    <n v="1"/>
    <n v="0.92075442211088998"/>
    <n v="0"/>
    <n v="0.95"/>
    <n v="4E+20"/>
    <n v="0.92075442211088998"/>
    <n v="0.92075442211088998"/>
    <n v="2E+20"/>
  </r>
  <r>
    <x v="0"/>
    <s v="2025-12-26 20:24:34"/>
    <n v="1"/>
    <x v="9"/>
    <x v="1"/>
    <x v="0"/>
    <n v="3.6830176884435599"/>
    <n v="2E+20"/>
    <n v="0"/>
    <n v="4"/>
    <n v="4"/>
    <n v="0"/>
    <s v="Unnamed ProjectKanban L1S1Number BusyResource"/>
    <n v="1"/>
    <n v="3.6830176884435599"/>
    <n v="0"/>
    <n v="0.95"/>
    <n v="4E+20"/>
    <n v="3.6830176884435599"/>
    <n v="3.6830176884435599"/>
    <n v="2E+20"/>
  </r>
  <r>
    <x v="0"/>
    <s v="2025-12-26 20:24:34"/>
    <n v="1"/>
    <x v="9"/>
    <x v="2"/>
    <x v="0"/>
    <n v="4"/>
    <n v="2E+20"/>
    <n v="4"/>
    <n v="4"/>
    <n v="4"/>
    <n v="0"/>
    <s v="Unnamed ProjectKanban L1S1Number ScheduledResource"/>
    <n v="1"/>
    <n v="4"/>
    <n v="0"/>
    <n v="0.95"/>
    <n v="4E+20"/>
    <n v="4"/>
    <n v="4"/>
    <n v="2E+20"/>
  </r>
  <r>
    <x v="0"/>
    <s v="2025-12-26 20:24:34"/>
    <n v="1"/>
    <x v="10"/>
    <x v="0"/>
    <x v="0"/>
    <n v="0.489709043616947"/>
    <n v="3E+20"/>
    <n v="0"/>
    <n v="1"/>
    <n v="0.66666666666666696"/>
    <n v="0"/>
    <s v="Unnamed ProjectKanban L1S2Instantaneous UtilizationResource"/>
    <n v="1"/>
    <n v="0.489709043616947"/>
    <n v="0"/>
    <n v="0.95"/>
    <n v="4E+20"/>
    <n v="0.489709043616947"/>
    <n v="0.489709043616947"/>
    <n v="3E+20"/>
  </r>
  <r>
    <x v="0"/>
    <s v="2025-12-26 20:24:34"/>
    <n v="1"/>
    <x v="10"/>
    <x v="1"/>
    <x v="0"/>
    <n v="1.46912713085083"/>
    <n v="3E+20"/>
    <n v="0"/>
    <n v="3"/>
    <n v="2"/>
    <n v="0"/>
    <s v="Unnamed ProjectKanban L1S2Number BusyResource"/>
    <n v="1"/>
    <n v="1.46912713085083"/>
    <n v="0"/>
    <n v="0.95"/>
    <n v="4E+20"/>
    <n v="1.46912713085083"/>
    <n v="1.46912713085083"/>
    <n v="3E+20"/>
  </r>
  <r>
    <x v="0"/>
    <s v="2025-12-26 20:24:34"/>
    <n v="1"/>
    <x v="10"/>
    <x v="2"/>
    <x v="0"/>
    <n v="3"/>
    <n v="2E+20"/>
    <n v="3"/>
    <n v="3"/>
    <n v="3"/>
    <n v="0"/>
    <s v="Unnamed ProjectKanban L1S2Number ScheduledResource"/>
    <n v="1"/>
    <n v="3"/>
    <n v="0"/>
    <n v="0.95"/>
    <n v="4E+20"/>
    <n v="3"/>
    <n v="3"/>
    <n v="2E+20"/>
  </r>
  <r>
    <x v="0"/>
    <s v="2025-12-26 20:24:34"/>
    <n v="1"/>
    <x v="11"/>
    <x v="0"/>
    <x v="0"/>
    <n v="0.40981440879308101"/>
    <n v="3E+20"/>
    <n v="0"/>
    <n v="1"/>
    <n v="0.33333333333333298"/>
    <n v="0"/>
    <s v="Unnamed ProjectKanban L1S3Instantaneous UtilizationResource"/>
    <n v="1"/>
    <n v="0.40981440879308101"/>
    <n v="0"/>
    <n v="0.95"/>
    <n v="4E+20"/>
    <n v="0.40981440879308101"/>
    <n v="0.40981440879308101"/>
    <n v="3E+20"/>
  </r>
  <r>
    <x v="0"/>
    <s v="2025-12-26 20:24:34"/>
    <n v="1"/>
    <x v="11"/>
    <x v="1"/>
    <x v="0"/>
    <n v="1.2294432263792401"/>
    <n v="3E+20"/>
    <n v="0"/>
    <n v="3"/>
    <n v="1"/>
    <n v="0"/>
    <s v="Unnamed ProjectKanban L1S3Number BusyResource"/>
    <n v="1"/>
    <n v="1.2294432263792401"/>
    <n v="0"/>
    <n v="0.95"/>
    <n v="4E+20"/>
    <n v="1.2294432263792401"/>
    <n v="1.2294432263792401"/>
    <n v="3E+20"/>
  </r>
  <r>
    <x v="0"/>
    <s v="2025-12-26 20:24:34"/>
    <n v="1"/>
    <x v="11"/>
    <x v="2"/>
    <x v="0"/>
    <n v="3"/>
    <n v="2E+20"/>
    <n v="3"/>
    <n v="3"/>
    <n v="3"/>
    <n v="0"/>
    <s v="Unnamed ProjectKanban L1S3Number ScheduledResource"/>
    <n v="1"/>
    <n v="3"/>
    <n v="0"/>
    <n v="0.95"/>
    <n v="4E+20"/>
    <n v="3"/>
    <n v="3"/>
    <n v="2E+20"/>
  </r>
  <r>
    <x v="0"/>
    <s v="2025-12-26 20:24:34"/>
    <n v="1"/>
    <x v="12"/>
    <x v="0"/>
    <x v="0"/>
    <n v="0.99437007322419102"/>
    <n v="2E+20"/>
    <n v="0"/>
    <n v="1"/>
    <n v="1"/>
    <n v="0"/>
    <s v="Unnamed ProjectKanban L2S1Instantaneous UtilizationResource"/>
    <n v="1"/>
    <n v="0.99437007322419102"/>
    <n v="0"/>
    <n v="0.95"/>
    <n v="4E+20"/>
    <n v="0.99437007322419102"/>
    <n v="0.99437007322419102"/>
    <n v="2E+20"/>
  </r>
  <r>
    <x v="0"/>
    <s v="2025-12-26 20:24:34"/>
    <n v="1"/>
    <x v="12"/>
    <x v="1"/>
    <x v="0"/>
    <n v="1.98874014644838"/>
    <n v="2E+20"/>
    <n v="0"/>
    <n v="2"/>
    <n v="2"/>
    <n v="0"/>
    <s v="Unnamed ProjectKanban L2S1Number BusyResource"/>
    <n v="1"/>
    <n v="1.98874014644838"/>
    <n v="0"/>
    <n v="0.95"/>
    <n v="4E+20"/>
    <n v="1.98874014644838"/>
    <n v="1.98874014644838"/>
    <n v="2E+20"/>
  </r>
  <r>
    <x v="0"/>
    <s v="2025-12-26 20:24:34"/>
    <n v="1"/>
    <x v="12"/>
    <x v="2"/>
    <x v="0"/>
    <n v="2"/>
    <n v="2E+20"/>
    <n v="2"/>
    <n v="2"/>
    <n v="2"/>
    <n v="0"/>
    <s v="Unnamed ProjectKanban L2S1Number ScheduledResource"/>
    <n v="1"/>
    <n v="2"/>
    <n v="0"/>
    <n v="0.95"/>
    <n v="4E+20"/>
    <n v="2"/>
    <n v="2"/>
    <n v="2E+20"/>
  </r>
  <r>
    <x v="0"/>
    <s v="2025-12-26 20:24:34"/>
    <n v="1"/>
    <x v="13"/>
    <x v="0"/>
    <x v="0"/>
    <n v="0.64915601926033195"/>
    <n v="2E+20"/>
    <n v="0"/>
    <n v="1"/>
    <n v="1"/>
    <n v="0"/>
    <s v="Unnamed ProjectKanban L2S2Instantaneous UtilizationResource"/>
    <n v="1"/>
    <n v="0.64915601926033195"/>
    <n v="0"/>
    <n v="0.95"/>
    <n v="4E+20"/>
    <n v="0.64915601926033195"/>
    <n v="0.64915601926033195"/>
    <n v="2E+20"/>
  </r>
  <r>
    <x v="0"/>
    <s v="2025-12-26 20:24:34"/>
    <n v="1"/>
    <x v="13"/>
    <x v="1"/>
    <x v="0"/>
    <n v="3.2457800963016501"/>
    <n v="2E+20"/>
    <n v="0"/>
    <n v="5"/>
    <n v="5"/>
    <n v="0"/>
    <s v="Unnamed ProjectKanban L2S2Number BusyResource"/>
    <n v="1"/>
    <n v="3.2457800963016501"/>
    <n v="0"/>
    <n v="0.95"/>
    <n v="4E+20"/>
    <n v="3.2457800963016501"/>
    <n v="3.2457800963016501"/>
    <n v="2E+20"/>
  </r>
  <r>
    <x v="0"/>
    <s v="2025-12-26 20:24:34"/>
    <n v="1"/>
    <x v="13"/>
    <x v="2"/>
    <x v="0"/>
    <n v="5"/>
    <n v="2E+20"/>
    <n v="5"/>
    <n v="5"/>
    <n v="5"/>
    <n v="0"/>
    <s v="Unnamed ProjectKanban L2S2Number ScheduledResource"/>
    <n v="1"/>
    <n v="5"/>
    <n v="0"/>
    <n v="0.95"/>
    <n v="4E+20"/>
    <n v="5"/>
    <n v="5"/>
    <n v="2E+20"/>
  </r>
  <r>
    <x v="0"/>
    <s v="2025-12-26 20:24:34"/>
    <n v="1"/>
    <x v="14"/>
    <x v="0"/>
    <x v="0"/>
    <n v="0.66607687117899494"/>
    <n v="2E+20"/>
    <n v="0"/>
    <n v="1"/>
    <n v="1"/>
    <n v="0"/>
    <s v="Unnamed ProjectKanban L2S3Instantaneous UtilizationResource"/>
    <n v="1"/>
    <n v="0.66607687117899494"/>
    <n v="0"/>
    <n v="0.95"/>
    <n v="4E+20"/>
    <n v="0.66607687117899494"/>
    <n v="0.66607687117899494"/>
    <n v="2E+20"/>
  </r>
  <r>
    <x v="0"/>
    <s v="2025-12-26 20:24:34"/>
    <n v="1"/>
    <x v="14"/>
    <x v="1"/>
    <x v="0"/>
    <n v="2.6643074847159798"/>
    <n v="2E+20"/>
    <n v="0"/>
    <n v="4"/>
    <n v="4"/>
    <n v="0"/>
    <s v="Unnamed ProjectKanban L2S3Number BusyResource"/>
    <n v="1"/>
    <n v="2.6643074847159798"/>
    <n v="0"/>
    <n v="0.95"/>
    <n v="4E+20"/>
    <n v="2.6643074847159798"/>
    <n v="2.6643074847159798"/>
    <n v="2E+20"/>
  </r>
  <r>
    <x v="0"/>
    <s v="2025-12-26 20:24:34"/>
    <n v="1"/>
    <x v="14"/>
    <x v="2"/>
    <x v="0"/>
    <n v="4"/>
    <n v="2E+20"/>
    <n v="4"/>
    <n v="4"/>
    <n v="4"/>
    <n v="0"/>
    <s v="Unnamed ProjectKanban L2S3Number ScheduledResource"/>
    <n v="1"/>
    <n v="4"/>
    <n v="0"/>
    <n v="0.95"/>
    <n v="4E+20"/>
    <n v="4"/>
    <n v="4"/>
    <n v="2E+20"/>
  </r>
  <r>
    <x v="0"/>
    <s v="2025-12-26 20:24:34"/>
    <n v="1"/>
    <x v="15"/>
    <x v="0"/>
    <x v="0"/>
    <n v="0.33931560369556002"/>
    <n v="3E+20"/>
    <n v="0"/>
    <n v="1"/>
    <n v="0.5"/>
    <n v="0"/>
    <s v="Unnamed ProjectKanban L2S4Instantaneous UtilizationResource"/>
    <n v="1"/>
    <n v="0.33931560369556002"/>
    <n v="0"/>
    <n v="0.95"/>
    <n v="4E+20"/>
    <n v="0.33931560369556002"/>
    <n v="0.33931560369556002"/>
    <n v="3E+20"/>
  </r>
  <r>
    <x v="0"/>
    <s v="2025-12-26 20:24:34"/>
    <n v="1"/>
    <x v="15"/>
    <x v="1"/>
    <x v="0"/>
    <n v="0.67863120739112104"/>
    <n v="3E+20"/>
    <n v="0"/>
    <n v="2"/>
    <n v="1"/>
    <n v="0"/>
    <s v="Unnamed ProjectKanban L2S4Number BusyResource"/>
    <n v="1"/>
    <n v="0.67863120739112104"/>
    <n v="0"/>
    <n v="0.95"/>
    <n v="4E+20"/>
    <n v="0.67863120739112104"/>
    <n v="0.67863120739112104"/>
    <n v="3E+20"/>
  </r>
  <r>
    <x v="0"/>
    <s v="2025-12-26 20:24:34"/>
    <n v="1"/>
    <x v="15"/>
    <x v="2"/>
    <x v="0"/>
    <n v="2"/>
    <n v="2E+20"/>
    <n v="2"/>
    <n v="2"/>
    <n v="2"/>
    <n v="0"/>
    <s v="Unnamed ProjectKanban L2S4Number ScheduledResource"/>
    <n v="1"/>
    <n v="2"/>
    <n v="0"/>
    <n v="0.95"/>
    <n v="4E+20"/>
    <n v="2"/>
    <n v="2"/>
    <n v="2E+20"/>
  </r>
  <r>
    <x v="0"/>
    <s v="2025-12-26 20:24:34"/>
    <n v="1"/>
    <x v="16"/>
    <x v="0"/>
    <x v="0"/>
    <n v="0.923864885868944"/>
    <n v="2E+20"/>
    <n v="0"/>
    <n v="1"/>
    <n v="1"/>
    <n v="0"/>
    <s v="Unnamed ProjectKanban L3S1Instantaneous UtilizationResource"/>
    <n v="1"/>
    <n v="0.923864885868944"/>
    <n v="0"/>
    <n v="0.95"/>
    <n v="4E+20"/>
    <n v="0.923864885868944"/>
    <n v="0.923864885868944"/>
    <n v="2E+20"/>
  </r>
  <r>
    <x v="0"/>
    <s v="2025-12-26 20:24:34"/>
    <n v="1"/>
    <x v="16"/>
    <x v="1"/>
    <x v="0"/>
    <n v="4.6193244293447098"/>
    <n v="2E+20"/>
    <n v="0"/>
    <n v="5"/>
    <n v="5"/>
    <n v="0"/>
    <s v="Unnamed ProjectKanban L3S1Number BusyResource"/>
    <n v="1"/>
    <n v="4.6193244293447098"/>
    <n v="0"/>
    <n v="0.95"/>
    <n v="4E+20"/>
    <n v="4.6193244293447098"/>
    <n v="4.6193244293447098"/>
    <n v="2E+20"/>
  </r>
  <r>
    <x v="0"/>
    <s v="2025-12-26 20:24:34"/>
    <n v="1"/>
    <x v="16"/>
    <x v="2"/>
    <x v="0"/>
    <n v="5"/>
    <n v="2E+20"/>
    <n v="5"/>
    <n v="5"/>
    <n v="5"/>
    <n v="0"/>
    <s v="Unnamed ProjectKanban L3S1Number ScheduledResource"/>
    <n v="1"/>
    <n v="5"/>
    <n v="0"/>
    <n v="0.95"/>
    <n v="4E+20"/>
    <n v="5"/>
    <n v="5"/>
    <n v="2E+20"/>
  </r>
  <r>
    <x v="0"/>
    <s v="2025-12-26 20:24:34"/>
    <n v="1"/>
    <x v="17"/>
    <x v="0"/>
    <x v="0"/>
    <n v="0.66362836165822303"/>
    <n v="3E+20"/>
    <n v="0"/>
    <n v="1"/>
    <n v="1"/>
    <n v="0"/>
    <s v="Unnamed ProjectKanban L3S2Instantaneous UtilizationResource"/>
    <n v="1"/>
    <n v="0.66362836165822303"/>
    <n v="0"/>
    <n v="0.95"/>
    <n v="4E+20"/>
    <n v="0.66362836165822303"/>
    <n v="0.66362836165822303"/>
    <n v="3E+20"/>
  </r>
  <r>
    <x v="0"/>
    <s v="2025-12-26 20:24:34"/>
    <n v="1"/>
    <x v="17"/>
    <x v="1"/>
    <x v="0"/>
    <n v="1.99088508497468"/>
    <n v="3E+20"/>
    <n v="0"/>
    <n v="3"/>
    <n v="3"/>
    <n v="0"/>
    <s v="Unnamed ProjectKanban L3S2Number BusyResource"/>
    <n v="1"/>
    <n v="1.99088508497468"/>
    <n v="0"/>
    <n v="0.95"/>
    <n v="4E+20"/>
    <n v="1.99088508497468"/>
    <n v="1.99088508497468"/>
    <n v="3E+20"/>
  </r>
  <r>
    <x v="0"/>
    <s v="2025-12-26 20:24:34"/>
    <n v="1"/>
    <x v="17"/>
    <x v="2"/>
    <x v="0"/>
    <n v="3"/>
    <n v="2E+20"/>
    <n v="3"/>
    <n v="3"/>
    <n v="3"/>
    <n v="0"/>
    <s v="Unnamed ProjectKanban L3S2Number ScheduledResource"/>
    <n v="1"/>
    <n v="3"/>
    <n v="0"/>
    <n v="0.95"/>
    <n v="4E+20"/>
    <n v="3"/>
    <n v="3"/>
    <n v="2E+20"/>
  </r>
  <r>
    <x v="0"/>
    <s v="2025-12-26 20:24:34"/>
    <n v="1"/>
    <x v="18"/>
    <x v="0"/>
    <x v="0"/>
    <n v="0.58333333333333404"/>
    <n v="2E+20"/>
    <n v="0"/>
    <n v="1"/>
    <n v="1"/>
    <n v="0"/>
    <s v="Unnamed ProjectL1 Station1Instantaneous UtilizationResource"/>
    <n v="1"/>
    <n v="0.58333333333333404"/>
    <n v="0"/>
    <n v="0.95"/>
    <n v="4E+20"/>
    <n v="0.58333333333333404"/>
    <n v="0.58333333333333404"/>
    <n v="2E+20"/>
  </r>
  <r>
    <x v="0"/>
    <s v="2025-12-26 20:24:34"/>
    <n v="1"/>
    <x v="18"/>
    <x v="1"/>
    <x v="0"/>
    <n v="0.58333333333333404"/>
    <n v="2E+20"/>
    <n v="0"/>
    <n v="1"/>
    <n v="1"/>
    <n v="0"/>
    <s v="Unnamed ProjectL1 Station1Number BusyResource"/>
    <n v="1"/>
    <n v="0.58333333333333404"/>
    <n v="0"/>
    <n v="0.95"/>
    <n v="4E+20"/>
    <n v="0.58333333333333404"/>
    <n v="0.58333333333333404"/>
    <n v="2E+20"/>
  </r>
  <r>
    <x v="0"/>
    <s v="2025-12-26 20:24:34"/>
    <n v="1"/>
    <x v="18"/>
    <x v="2"/>
    <x v="0"/>
    <n v="0.58307071045105496"/>
    <n v="2E+20"/>
    <n v="0"/>
    <n v="1"/>
    <n v="1"/>
    <n v="0"/>
    <s v="Unnamed ProjectL1 Station1Number ScheduledResource"/>
    <n v="1"/>
    <n v="0.58307071045105496"/>
    <n v="0"/>
    <n v="0.95"/>
    <n v="4E+20"/>
    <n v="0.58307071045105496"/>
    <n v="0.58307071045105496"/>
    <n v="2E+20"/>
  </r>
  <r>
    <x v="0"/>
    <s v="2025-12-26 20:24:34"/>
    <n v="1"/>
    <x v="19"/>
    <x v="0"/>
    <x v="0"/>
    <n v="0.290722496779179"/>
    <n v="3E+20"/>
    <n v="0"/>
    <n v="1"/>
    <n v="1"/>
    <n v="0"/>
    <s v="Unnamed ProjectL1 Station2Instantaneous UtilizationResource"/>
    <n v="1"/>
    <n v="0.290722496779179"/>
    <n v="0"/>
    <n v="0.95"/>
    <n v="4E+20"/>
    <n v="0.290722496779179"/>
    <n v="0.290722496779179"/>
    <n v="3E+20"/>
  </r>
  <r>
    <x v="0"/>
    <s v="2025-12-26 20:24:34"/>
    <n v="1"/>
    <x v="19"/>
    <x v="1"/>
    <x v="0"/>
    <n v="0.290722496779178"/>
    <n v="3E+20"/>
    <n v="0"/>
    <n v="1"/>
    <n v="1"/>
    <n v="0"/>
    <s v="Unnamed ProjectL1 Station2Number BusyResource"/>
    <n v="1"/>
    <n v="0.290722496779178"/>
    <n v="0"/>
    <n v="0.95"/>
    <n v="4E+20"/>
    <n v="0.290722496779178"/>
    <n v="0.290722496779178"/>
    <n v="3E+20"/>
  </r>
  <r>
    <x v="0"/>
    <s v="2025-12-26 20:24:34"/>
    <n v="1"/>
    <x v="19"/>
    <x v="2"/>
    <x v="0"/>
    <n v="0.58330350064770997"/>
    <n v="2E+20"/>
    <n v="0"/>
    <n v="1"/>
    <n v="1"/>
    <n v="0"/>
    <s v="Unnamed ProjectL1 Station2Number ScheduledResource"/>
    <n v="1"/>
    <n v="0.58330350064770997"/>
    <n v="0"/>
    <n v="0.95"/>
    <n v="4E+20"/>
    <n v="0.58330350064770997"/>
    <n v="0.58330350064770997"/>
    <n v="2E+20"/>
  </r>
  <r>
    <x v="0"/>
    <s v="2025-12-26 20:24:34"/>
    <n v="1"/>
    <x v="20"/>
    <x v="0"/>
    <x v="0"/>
    <n v="0.53422000680166104"/>
    <n v="3E+20"/>
    <n v="0"/>
    <n v="1"/>
    <n v="1"/>
    <n v="0"/>
    <s v="Unnamed ProjectL1 Station3Instantaneous UtilizationResource"/>
    <n v="1"/>
    <n v="0.53422000680166104"/>
    <n v="0"/>
    <n v="0.95"/>
    <n v="4E+20"/>
    <n v="0.53422000680166104"/>
    <n v="0.53422000680166104"/>
    <n v="3E+20"/>
  </r>
  <r>
    <x v="0"/>
    <s v="2025-12-26 20:24:34"/>
    <n v="1"/>
    <x v="20"/>
    <x v="1"/>
    <x v="0"/>
    <n v="0.53422000680166104"/>
    <n v="3E+20"/>
    <n v="0"/>
    <n v="1"/>
    <n v="1"/>
    <n v="0"/>
    <s v="Unnamed ProjectL1 Station3Number BusyResource"/>
    <n v="1"/>
    <n v="0.53422000680166104"/>
    <n v="0"/>
    <n v="0.95"/>
    <n v="4E+20"/>
    <n v="0.53422000680166104"/>
    <n v="0.53422000680166104"/>
    <n v="3E+20"/>
  </r>
  <r>
    <x v="0"/>
    <s v="2025-12-26 20:24:34"/>
    <n v="1"/>
    <x v="20"/>
    <x v="2"/>
    <x v="0"/>
    <n v="0.58322693471450404"/>
    <n v="2E+20"/>
    <n v="0"/>
    <n v="1"/>
    <n v="1"/>
    <n v="0"/>
    <s v="Unnamed ProjectL1 Station3Number ScheduledResource"/>
    <n v="1"/>
    <n v="0.58322693471450404"/>
    <n v="0"/>
    <n v="0.95"/>
    <n v="4E+20"/>
    <n v="0.58322693471450404"/>
    <n v="0.58322693471450404"/>
    <n v="2E+20"/>
  </r>
  <r>
    <x v="0"/>
    <s v="2025-12-26 20:24:34"/>
    <n v="1"/>
    <x v="21"/>
    <x v="0"/>
    <x v="0"/>
    <n v="0.16465284070702901"/>
    <n v="3E+20"/>
    <n v="0"/>
    <n v="1"/>
    <n v="0"/>
    <n v="0"/>
    <s v="Unnamed ProjectL2 Station1Instantaneous UtilizationResource"/>
    <n v="1"/>
    <n v="0.16465284070702901"/>
    <n v="0"/>
    <n v="0.95"/>
    <n v="4E+20"/>
    <n v="0.16465284070702901"/>
    <n v="0.16465284070702901"/>
    <n v="3E+20"/>
  </r>
  <r>
    <x v="0"/>
    <s v="2025-12-26 20:24:34"/>
    <n v="1"/>
    <x v="21"/>
    <x v="1"/>
    <x v="0"/>
    <n v="0.16465284070702901"/>
    <n v="3E+20"/>
    <n v="0"/>
    <n v="1"/>
    <n v="0"/>
    <n v="0"/>
    <s v="Unnamed ProjectL2 Station1Number BusyResource"/>
    <n v="1"/>
    <n v="0.16465284070702901"/>
    <n v="0"/>
    <n v="0.95"/>
    <n v="4E+20"/>
    <n v="0.16465284070702901"/>
    <n v="0.16465284070702901"/>
    <n v="3E+20"/>
  </r>
  <r>
    <x v="0"/>
    <s v="2025-12-26 20:24:34"/>
    <n v="1"/>
    <x v="21"/>
    <x v="2"/>
    <x v="0"/>
    <n v="0.58333333333333304"/>
    <n v="2E+20"/>
    <n v="0"/>
    <n v="1"/>
    <n v="1"/>
    <n v="0"/>
    <s v="Unnamed ProjectL2 Station1Number ScheduledResource"/>
    <n v="1"/>
    <n v="0.58333333333333304"/>
    <n v="0"/>
    <n v="0.95"/>
    <n v="4E+20"/>
    <n v="0.58333333333333304"/>
    <n v="0.58333333333333304"/>
    <n v="2E+20"/>
  </r>
  <r>
    <x v="0"/>
    <s v="2025-12-26 20:24:34"/>
    <n v="1"/>
    <x v="22"/>
    <x v="0"/>
    <x v="0"/>
    <n v="0.23342144219817601"/>
    <n v="3E+20"/>
    <n v="0"/>
    <n v="1"/>
    <n v="1"/>
    <n v="0"/>
    <s v="Unnamed ProjectL2 Station2Instantaneous UtilizationResource"/>
    <n v="1"/>
    <n v="0.23342144219817601"/>
    <n v="0"/>
    <n v="0.95"/>
    <n v="4E+20"/>
    <n v="0.23342144219817601"/>
    <n v="0.23342144219817601"/>
    <n v="3E+20"/>
  </r>
  <r>
    <x v="0"/>
    <s v="2025-12-26 20:24:34"/>
    <n v="1"/>
    <x v="22"/>
    <x v="1"/>
    <x v="0"/>
    <n v="0.23342144219817601"/>
    <n v="3E+20"/>
    <n v="0"/>
    <n v="1"/>
    <n v="1"/>
    <n v="0"/>
    <s v="Unnamed ProjectL2 Station2Number BusyResource"/>
    <n v="1"/>
    <n v="0.23342144219817601"/>
    <n v="0"/>
    <n v="0.95"/>
    <n v="4E+20"/>
    <n v="0.23342144219817601"/>
    <n v="0.23342144219817601"/>
    <n v="3E+20"/>
  </r>
  <r>
    <x v="0"/>
    <s v="2025-12-26 20:24:34"/>
    <n v="1"/>
    <x v="22"/>
    <x v="2"/>
    <x v="0"/>
    <n v="0.58319102547363599"/>
    <n v="2E+20"/>
    <n v="0"/>
    <n v="1"/>
    <n v="1"/>
    <n v="0"/>
    <s v="Unnamed ProjectL2 Station2Number ScheduledResource"/>
    <n v="1"/>
    <n v="0.58319102547363599"/>
    <n v="0"/>
    <n v="0.95"/>
    <n v="4E+20"/>
    <n v="0.58319102547363599"/>
    <n v="0.58319102547363599"/>
    <n v="2E+20"/>
  </r>
  <r>
    <x v="0"/>
    <s v="2025-12-26 20:24:34"/>
    <n v="1"/>
    <x v="23"/>
    <x v="0"/>
    <x v="0"/>
    <n v="0.58288108436970398"/>
    <n v="2E+20"/>
    <n v="0"/>
    <n v="1"/>
    <n v="1"/>
    <n v="0"/>
    <s v="Unnamed ProjectL2 Station3Instantaneous UtilizationResource"/>
    <n v="1"/>
    <n v="0.58288108436970398"/>
    <n v="0"/>
    <n v="0.95"/>
    <n v="4E+20"/>
    <n v="0.58288108436970398"/>
    <n v="0.58288108436970398"/>
    <n v="2E+20"/>
  </r>
  <r>
    <x v="0"/>
    <s v="2025-12-26 20:24:34"/>
    <n v="1"/>
    <x v="23"/>
    <x v="1"/>
    <x v="0"/>
    <n v="0.58288108436970498"/>
    <n v="2E+20"/>
    <n v="0"/>
    <n v="1"/>
    <n v="1"/>
    <n v="0"/>
    <s v="Unnamed ProjectL2 Station3Number BusyResource"/>
    <n v="1"/>
    <n v="0.58288108436970498"/>
    <n v="0"/>
    <n v="0.95"/>
    <n v="4E+20"/>
    <n v="0.58288108436970498"/>
    <n v="0.58288108436970498"/>
    <n v="2E+20"/>
  </r>
  <r>
    <x v="0"/>
    <s v="2025-12-26 20:24:34"/>
    <n v="1"/>
    <x v="23"/>
    <x v="2"/>
    <x v="0"/>
    <n v="0.58304971987462295"/>
    <n v="2E+20"/>
    <n v="0"/>
    <n v="1"/>
    <n v="1"/>
    <n v="0"/>
    <s v="Unnamed ProjectL2 Station3Number ScheduledResource"/>
    <n v="1"/>
    <n v="0.58304971987462295"/>
    <n v="0"/>
    <n v="0.95"/>
    <n v="4E+20"/>
    <n v="0.58304971987462295"/>
    <n v="0.58304971987462295"/>
    <n v="2E+20"/>
  </r>
  <r>
    <x v="0"/>
    <s v="2025-12-26 20:24:34"/>
    <n v="1"/>
    <x v="24"/>
    <x v="0"/>
    <x v="0"/>
    <n v="0.27934889487924502"/>
    <n v="3E+20"/>
    <n v="0"/>
    <n v="1"/>
    <n v="1"/>
    <n v="0"/>
    <s v="Unnamed ProjectL2 Station4Instantaneous UtilizationResource"/>
    <n v="1"/>
    <n v="0.27934889487924502"/>
    <n v="0"/>
    <n v="0.95"/>
    <n v="4E+20"/>
    <n v="0.27934889487924502"/>
    <n v="0.27934889487924502"/>
    <n v="3E+20"/>
  </r>
  <r>
    <x v="0"/>
    <s v="2025-12-26 20:24:34"/>
    <n v="1"/>
    <x v="24"/>
    <x v="1"/>
    <x v="0"/>
    <n v="0.27934889487924502"/>
    <n v="3E+20"/>
    <n v="0"/>
    <n v="1"/>
    <n v="1"/>
    <n v="0"/>
    <s v="Unnamed ProjectL2 Station4Number BusyResource"/>
    <n v="1"/>
    <n v="0.27934889487924502"/>
    <n v="0"/>
    <n v="0.95"/>
    <n v="4E+20"/>
    <n v="0.27934889487924502"/>
    <n v="0.27934889487924502"/>
    <n v="3E+20"/>
  </r>
  <r>
    <x v="0"/>
    <s v="2025-12-26 20:24:34"/>
    <n v="1"/>
    <x v="24"/>
    <x v="2"/>
    <x v="0"/>
    <n v="0.58333333333333304"/>
    <n v="2E+20"/>
    <n v="0"/>
    <n v="1"/>
    <n v="1"/>
    <n v="0"/>
    <s v="Unnamed ProjectL2 Station4Number ScheduledResource"/>
    <n v="1"/>
    <n v="0.58333333333333304"/>
    <n v="0"/>
    <n v="0.95"/>
    <n v="4E+20"/>
    <n v="0.58333333333333304"/>
    <n v="0.58333333333333304"/>
    <n v="2E+20"/>
  </r>
  <r>
    <x v="0"/>
    <s v="2025-12-26 20:24:34"/>
    <n v="1"/>
    <x v="25"/>
    <x v="0"/>
    <x v="0"/>
    <n v="0.50466127451077203"/>
    <n v="3E+20"/>
    <n v="0"/>
    <n v="1"/>
    <n v="1"/>
    <n v="0"/>
    <s v="Unnamed ProjectL3 Station1Instantaneous UtilizationResource"/>
    <n v="1"/>
    <n v="0.50466127451077203"/>
    <n v="0"/>
    <n v="0.95"/>
    <n v="4E+20"/>
    <n v="0.50466127451077203"/>
    <n v="0.50466127451077203"/>
    <n v="3E+20"/>
  </r>
  <r>
    <x v="0"/>
    <s v="2025-12-26 20:24:34"/>
    <n v="1"/>
    <x v="25"/>
    <x v="1"/>
    <x v="0"/>
    <n v="0.50466127451077203"/>
    <n v="3E+20"/>
    <n v="0"/>
    <n v="1"/>
    <n v="1"/>
    <n v="0"/>
    <s v="Unnamed ProjectL3 Station1Number BusyResource"/>
    <n v="1"/>
    <n v="0.50466127451077203"/>
    <n v="0"/>
    <n v="0.95"/>
    <n v="4E+20"/>
    <n v="0.50466127451077203"/>
    <n v="0.50466127451077203"/>
    <n v="3E+20"/>
  </r>
  <r>
    <x v="0"/>
    <s v="2025-12-26 20:24:34"/>
    <n v="1"/>
    <x v="25"/>
    <x v="2"/>
    <x v="0"/>
    <n v="0.58331581855382397"/>
    <n v="2E+20"/>
    <n v="0"/>
    <n v="1"/>
    <n v="1"/>
    <n v="0"/>
    <s v="Unnamed ProjectL3 Station1Number ScheduledResource"/>
    <n v="1"/>
    <n v="0.58331581855382397"/>
    <n v="0"/>
    <n v="0.95"/>
    <n v="4E+20"/>
    <n v="0.58331581855382397"/>
    <n v="0.58331581855382397"/>
    <n v="2E+20"/>
  </r>
  <r>
    <x v="0"/>
    <s v="2025-12-26 20:24:34"/>
    <n v="1"/>
    <x v="26"/>
    <x v="0"/>
    <x v="0"/>
    <n v="0.57075379040249796"/>
    <n v="3E+20"/>
    <n v="0"/>
    <n v="1"/>
    <n v="1"/>
    <n v="0"/>
    <s v="Unnamed ProjectL3 Station2Instantaneous UtilizationResource"/>
    <n v="1"/>
    <n v="0.57075379040249796"/>
    <n v="0"/>
    <n v="0.95"/>
    <n v="4E+20"/>
    <n v="0.57075379040249796"/>
    <n v="0.57075379040249796"/>
    <n v="3E+20"/>
  </r>
  <r>
    <x v="0"/>
    <s v="2025-12-26 20:24:34"/>
    <n v="1"/>
    <x v="26"/>
    <x v="1"/>
    <x v="0"/>
    <n v="0.57075379040249796"/>
    <n v="3E+20"/>
    <n v="0"/>
    <n v="1"/>
    <n v="1"/>
    <n v="0"/>
    <s v="Unnamed ProjectL3 Station2Number BusyResource"/>
    <n v="1"/>
    <n v="0.57075379040249796"/>
    <n v="0"/>
    <n v="0.95"/>
    <n v="4E+20"/>
    <n v="0.57075379040249796"/>
    <n v="0.57075379040249796"/>
    <n v="3E+20"/>
  </r>
  <r>
    <x v="0"/>
    <s v="2025-12-26 20:24:34"/>
    <n v="1"/>
    <x v="26"/>
    <x v="2"/>
    <x v="0"/>
    <n v="0.58328559864928597"/>
    <n v="2E+20"/>
    <n v="0"/>
    <n v="1"/>
    <n v="1"/>
    <n v="0"/>
    <s v="Unnamed ProjectL3 Station2Number ScheduledResource"/>
    <n v="1"/>
    <n v="0.58328559864928597"/>
    <n v="0"/>
    <n v="0.95"/>
    <n v="4E+20"/>
    <n v="0.58328559864928597"/>
    <n v="0.58328559864928597"/>
    <n v="2E+20"/>
  </r>
  <r>
    <x v="0"/>
    <s v="2025-12-26 20:24:34"/>
    <n v="1"/>
    <x v="27"/>
    <x v="3"/>
    <x v="1"/>
    <n v="2.1272729033980098"/>
    <n v="0.50205983253000297"/>
    <n v="0"/>
    <n v="4"/>
    <n v="1"/>
    <n v="0"/>
    <s v="Unnamed ProjectProcess 1.QueueNumber WaitingQueue"/>
    <n v="1"/>
    <n v="2.1272729033980098"/>
    <n v="0"/>
    <n v="0.95"/>
    <n v="4E+20"/>
    <n v="2.1272729033980098"/>
    <n v="2.1272729033980098"/>
    <n v="0.50205983253000297"/>
  </r>
  <r>
    <x v="0"/>
    <s v="2025-12-26 20:24:34"/>
    <n v="1"/>
    <x v="28"/>
    <x v="3"/>
    <x v="1"/>
    <n v="0"/>
    <n v="2E+20"/>
    <n v="0"/>
    <n v="0"/>
    <n v="0"/>
    <n v="0"/>
    <s v="Unnamed ProjectProcess 14.QueueNumber WaitingQueue"/>
    <n v="1"/>
    <n v="0"/>
    <n v="0"/>
    <n v="0.95"/>
    <n v="4E+20"/>
    <n v="0"/>
    <n v="0"/>
    <n v="2E+20"/>
  </r>
  <r>
    <x v="0"/>
    <s v="2025-12-26 20:24:34"/>
    <n v="1"/>
    <x v="29"/>
    <x v="3"/>
    <x v="1"/>
    <n v="0.20808766936970499"/>
    <n v="2E+20"/>
    <n v="0"/>
    <n v="3"/>
    <n v="0"/>
    <n v="0"/>
    <s v="Unnamed ProjectProcess 2.QueueNumber WaitingQueue"/>
    <n v="1"/>
    <n v="0.20808766936970499"/>
    <n v="0"/>
    <n v="0.95"/>
    <n v="4E+20"/>
    <n v="0.20808766936970499"/>
    <n v="0.20808766936970499"/>
    <n v="2E+20"/>
  </r>
  <r>
    <x v="0"/>
    <s v="2025-12-26 20:24:34"/>
    <n v="1"/>
    <x v="30"/>
    <x v="3"/>
    <x v="1"/>
    <n v="0.210715539805922"/>
    <n v="0.18101961076145401"/>
    <n v="0"/>
    <n v="2"/>
    <n v="0"/>
    <n v="0"/>
    <s v="Unnamed ProjectProcess 3.QueueNumber WaitingQueue"/>
    <n v="1"/>
    <n v="0.210715539805922"/>
    <n v="0"/>
    <n v="0.95"/>
    <n v="4E+20"/>
    <n v="0.210715539805922"/>
    <n v="0.210715539805922"/>
    <n v="0.18101961076145401"/>
  </r>
  <r>
    <x v="0"/>
    <s v="2025-12-26 20:24:34"/>
    <n v="1"/>
    <x v="31"/>
    <x v="3"/>
    <x v="1"/>
    <n v="0.82097539294698496"/>
    <n v="2E+20"/>
    <n v="0"/>
    <n v="2"/>
    <n v="0"/>
    <n v="0"/>
    <s v="Unnamed ProjectProcess 4.QueueNumber WaitingQueue"/>
    <n v="1"/>
    <n v="0.82097539294698496"/>
    <n v="0"/>
    <n v="0.95"/>
    <n v="4E+20"/>
    <n v="0.82097539294698496"/>
    <n v="0.82097539294698496"/>
    <n v="2E+20"/>
  </r>
  <r>
    <x v="0"/>
    <s v="2025-12-26 20:24:34"/>
    <n v="1"/>
    <x v="32"/>
    <x v="3"/>
    <x v="1"/>
    <n v="8.3050467353312896E-2"/>
    <n v="2E+20"/>
    <n v="0"/>
    <n v="1"/>
    <n v="0"/>
    <n v="0"/>
    <s v="Unnamed ProjectProcess 5.QueueNumber WaitingQueue"/>
    <n v="1"/>
    <n v="8.3050467353312896E-2"/>
    <n v="0"/>
    <n v="0.95"/>
    <n v="4E+20"/>
    <n v="8.3050467353312896E-2"/>
    <n v="8.3050467353312896E-2"/>
    <n v="2E+20"/>
  </r>
  <r>
    <x v="0"/>
    <s v="2025-12-26 20:24:34"/>
    <n v="1"/>
    <x v="33"/>
    <x v="3"/>
    <x v="1"/>
    <n v="1.6138020589433899"/>
    <n v="3E+20"/>
    <n v="0"/>
    <n v="4"/>
    <n v="2"/>
    <n v="0"/>
    <s v="Unnamed ProjectProcess 6.QueueNumber WaitingQueue"/>
    <n v="1"/>
    <n v="1.6138020589433899"/>
    <n v="0"/>
    <n v="0.95"/>
    <n v="4E+20"/>
    <n v="1.6138020589433899"/>
    <n v="1.6138020589433899"/>
    <n v="3E+20"/>
  </r>
  <r>
    <x v="0"/>
    <s v="2025-12-26 20:24:34"/>
    <n v="1"/>
    <x v="34"/>
    <x v="3"/>
    <x v="1"/>
    <n v="0.165960753025232"/>
    <n v="2E+20"/>
    <n v="0"/>
    <n v="2"/>
    <n v="0"/>
    <n v="0"/>
    <s v="Unnamed ProjectProcess 7.QueueNumber WaitingQueue"/>
    <n v="1"/>
    <n v="0.165960753025232"/>
    <n v="0"/>
    <n v="0.95"/>
    <n v="4E+20"/>
    <n v="0.165960753025232"/>
    <n v="0.165960753025232"/>
    <n v="2E+20"/>
  </r>
  <r>
    <x v="0"/>
    <s v="2025-12-26 20:24:34"/>
    <n v="1"/>
    <x v="35"/>
    <x v="3"/>
    <x v="1"/>
    <n v="1.8235679663729301"/>
    <n v="3E+20"/>
    <n v="0"/>
    <n v="5"/>
    <n v="0"/>
    <n v="0"/>
    <s v="Unnamed ProjectProcess 8.QueueNumber WaitingQueue"/>
    <n v="1"/>
    <n v="1.8235679663729301"/>
    <n v="0"/>
    <n v="0.95"/>
    <n v="4E+20"/>
    <n v="1.8235679663729301"/>
    <n v="1.8235679663729301"/>
    <n v="3E+20"/>
  </r>
  <r>
    <x v="0"/>
    <s v="2025-12-26 20:24:34"/>
    <n v="1"/>
    <x v="36"/>
    <x v="3"/>
    <x v="1"/>
    <n v="0.41464253537161899"/>
    <n v="0.340148673081277"/>
    <n v="0"/>
    <n v="3"/>
    <n v="0"/>
    <n v="0"/>
    <s v="Unnamed ProjectProcess 9.QueueNumber WaitingQueue"/>
    <n v="1"/>
    <n v="0.41464253537161899"/>
    <n v="0"/>
    <n v="0.95"/>
    <n v="4E+20"/>
    <n v="0.41464253537161899"/>
    <n v="0.41464253537161899"/>
    <n v="0.340148673081277"/>
  </r>
  <r>
    <x v="0"/>
    <s v="2025-12-26 20:24:34"/>
    <n v="1"/>
    <x v="37"/>
    <x v="0"/>
    <x v="0"/>
    <n v="0"/>
    <n v="2E+20"/>
    <n v="0"/>
    <n v="0"/>
    <n v="0"/>
    <n v="0"/>
    <s v="Unnamed ProjectSales DepartmentInstantaneous UtilizationResource"/>
    <n v="1"/>
    <n v="0"/>
    <n v="0"/>
    <n v="0.95"/>
    <n v="4E+20"/>
    <n v="0"/>
    <n v="0"/>
    <n v="2E+20"/>
  </r>
  <r>
    <x v="0"/>
    <s v="2025-12-26 20:24:34"/>
    <n v="1"/>
    <x v="37"/>
    <x v="1"/>
    <x v="0"/>
    <n v="0"/>
    <n v="2E+20"/>
    <n v="0"/>
    <n v="0"/>
    <n v="0"/>
    <n v="0"/>
    <s v="Unnamed ProjectSales DepartmentNumber BusyResource"/>
    <n v="1"/>
    <n v="0"/>
    <n v="0"/>
    <n v="0.95"/>
    <n v="4E+20"/>
    <n v="0"/>
    <n v="0"/>
    <n v="2E+20"/>
  </r>
  <r>
    <x v="0"/>
    <s v="2025-12-26 20:24:34"/>
    <n v="1"/>
    <x v="37"/>
    <x v="2"/>
    <x v="0"/>
    <n v="0.375"/>
    <n v="2E+20"/>
    <n v="0"/>
    <n v="1"/>
    <n v="0"/>
    <n v="0"/>
    <s v="Unnamed ProjectSales DepartmentNumber ScheduledResource"/>
    <n v="1"/>
    <n v="0.375"/>
    <n v="0"/>
    <n v="0.95"/>
    <n v="4E+20"/>
    <n v="0.375"/>
    <n v="0.375"/>
    <n v="2E+20"/>
  </r>
  <r>
    <x v="0"/>
    <s v="2025-12-26 20:24:34"/>
    <n v="1"/>
    <x v="38"/>
    <x v="0"/>
    <x v="0"/>
    <n v="7.3988940102363898E-2"/>
    <n v="2E+20"/>
    <n v="0"/>
    <n v="1"/>
    <n v="0"/>
    <n v="0"/>
    <s v="Unnamed ProjectSales RepInstantaneous UtilizationResource"/>
    <n v="1"/>
    <n v="7.3988940102363898E-2"/>
    <n v="0"/>
    <n v="0.95"/>
    <n v="4E+20"/>
    <n v="7.3988940102363898E-2"/>
    <n v="7.3988940102363898E-2"/>
    <n v="2E+20"/>
  </r>
  <r>
    <x v="0"/>
    <s v="2025-12-26 20:24:34"/>
    <n v="1"/>
    <x v="38"/>
    <x v="1"/>
    <x v="0"/>
    <n v="7.3988940102363898E-2"/>
    <n v="2E+20"/>
    <n v="0"/>
    <n v="1"/>
    <n v="0"/>
    <n v="0"/>
    <s v="Unnamed ProjectSales RepNumber BusyResource"/>
    <n v="1"/>
    <n v="7.3988940102363898E-2"/>
    <n v="0"/>
    <n v="0.95"/>
    <n v="4E+20"/>
    <n v="7.3988940102363898E-2"/>
    <n v="7.3988940102363898E-2"/>
    <n v="2E+20"/>
  </r>
  <r>
    <x v="0"/>
    <s v="2025-12-26 20:24:34"/>
    <n v="1"/>
    <x v="38"/>
    <x v="2"/>
    <x v="0"/>
    <n v="1"/>
    <n v="2E+20"/>
    <n v="1"/>
    <n v="1"/>
    <n v="1"/>
    <n v="0"/>
    <s v="Unnamed ProjectSales RepNumber ScheduledResource"/>
    <n v="1"/>
    <n v="1"/>
    <n v="0"/>
    <n v="0.95"/>
    <n v="4E+20"/>
    <n v="1"/>
    <n v="1"/>
    <n v="2E+20"/>
  </r>
  <r>
    <x v="0"/>
    <s v="2025-12-26 20:24:34"/>
    <n v="1"/>
    <x v="39"/>
    <x v="3"/>
    <x v="1"/>
    <n v="6.9495758290525798"/>
    <n v="3E+20"/>
    <n v="0"/>
    <n v="19"/>
    <n v="18"/>
    <n v="0"/>
    <s v="Unnamed ProjectSeize 1.QueueNumber WaitingQueue"/>
    <n v="1"/>
    <n v="6.9495758290525798"/>
    <n v="0"/>
    <n v="0.95"/>
    <n v="4E+20"/>
    <n v="6.9495758290525798"/>
    <n v="6.9495758290525798"/>
    <n v="3E+20"/>
  </r>
  <r>
    <x v="0"/>
    <s v="2025-12-26 20:24:34"/>
    <n v="1"/>
    <x v="40"/>
    <x v="3"/>
    <x v="1"/>
    <n v="1.0500078548999099E-4"/>
    <n v="2E+20"/>
    <n v="0"/>
    <n v="1"/>
    <n v="0"/>
    <n v="0"/>
    <s v="Unnamed ProjectSeize 2.QueueNumber WaitingQueue"/>
    <n v="1"/>
    <n v="1.0500078548999099E-4"/>
    <n v="0"/>
    <n v="0.95"/>
    <n v="4E+20"/>
    <n v="1.0500078548999099E-4"/>
    <n v="1.0500078548999099E-4"/>
    <n v="2E+20"/>
  </r>
  <r>
    <x v="0"/>
    <s v="2025-12-26 20:24:34"/>
    <n v="1"/>
    <x v="41"/>
    <x v="3"/>
    <x v="1"/>
    <n v="4.5170241998645098E-5"/>
    <n v="2E+20"/>
    <n v="0"/>
    <n v="1"/>
    <n v="0"/>
    <n v="0"/>
    <s v="Unnamed ProjectSeize 3.QueueNumber WaitingQueue"/>
    <n v="1"/>
    <n v="4.5170241998645098E-5"/>
    <n v="0"/>
    <n v="0.95"/>
    <n v="4E+20"/>
    <n v="4.5170241998645098E-5"/>
    <n v="4.5170241998645098E-5"/>
    <n v="2E+20"/>
  </r>
  <r>
    <x v="0"/>
    <s v="2025-12-26 20:24:34"/>
    <n v="1"/>
    <x v="42"/>
    <x v="3"/>
    <x v="1"/>
    <n v="12.111355852878599"/>
    <n v="3E+20"/>
    <n v="0"/>
    <n v="26"/>
    <n v="25"/>
    <n v="0"/>
    <s v="Unnamed ProjectSeize 4.QueueNumber WaitingQueue"/>
    <n v="1"/>
    <n v="12.111355852878599"/>
    <n v="0"/>
    <n v="0.95"/>
    <n v="4E+20"/>
    <n v="12.111355852878599"/>
    <n v="12.111355852878599"/>
    <n v="3E+20"/>
  </r>
  <r>
    <x v="0"/>
    <s v="2025-12-26 20:24:34"/>
    <n v="1"/>
    <x v="43"/>
    <x v="3"/>
    <x v="1"/>
    <n v="0.53555515695183697"/>
    <n v="3E+20"/>
    <n v="0"/>
    <n v="2"/>
    <n v="1"/>
    <n v="0"/>
    <s v="Unnamed ProjectSeize 5.QueueNumber WaitingQueue"/>
    <n v="1"/>
    <n v="0.53555515695183697"/>
    <n v="0"/>
    <n v="0.95"/>
    <n v="4E+20"/>
    <n v="0.53555515695183697"/>
    <n v="0.53555515695183697"/>
    <n v="3E+20"/>
  </r>
  <r>
    <x v="0"/>
    <s v="2025-12-26 20:24:34"/>
    <n v="1"/>
    <x v="44"/>
    <x v="3"/>
    <x v="1"/>
    <n v="2.4616492003705401"/>
    <n v="3E+20"/>
    <n v="0"/>
    <n v="5"/>
    <n v="3"/>
    <n v="0"/>
    <s v="Unnamed ProjectSeize 6.QueueNumber WaitingQueue"/>
    <n v="1"/>
    <n v="2.4616492003705401"/>
    <n v="0"/>
    <n v="0.95"/>
    <n v="4E+20"/>
    <n v="2.4616492003705401"/>
    <n v="2.4616492003705401"/>
    <n v="3E+20"/>
  </r>
  <r>
    <x v="0"/>
    <s v="2025-12-26 20:24:34"/>
    <n v="1"/>
    <x v="45"/>
    <x v="3"/>
    <x v="1"/>
    <n v="0"/>
    <n v="2E+20"/>
    <n v="0"/>
    <n v="0"/>
    <n v="0"/>
    <n v="0"/>
    <s v="Unnamed ProjectSeize 7.QueueNumber WaitingQueue"/>
    <n v="1"/>
    <n v="0"/>
    <n v="0"/>
    <n v="0.95"/>
    <n v="4E+20"/>
    <n v="0"/>
    <n v="0"/>
    <n v="2E+20"/>
  </r>
  <r>
    <x v="0"/>
    <s v="2025-12-26 20:24:34"/>
    <n v="1"/>
    <x v="46"/>
    <x v="3"/>
    <x v="1"/>
    <n v="7.6675183339983599"/>
    <n v="3E+20"/>
    <n v="0"/>
    <n v="20"/>
    <n v="19"/>
    <n v="0"/>
    <s v="Unnamed ProjectSeize 8.QueueNumber WaitingQueue"/>
    <n v="1"/>
    <n v="7.6675183339983599"/>
    <n v="0"/>
    <n v="0.95"/>
    <n v="4E+20"/>
    <n v="7.6675183339983599"/>
    <n v="7.6675183339983599"/>
    <n v="3E+20"/>
  </r>
  <r>
    <x v="0"/>
    <s v="2025-12-26 20:24:34"/>
    <n v="1"/>
    <x v="47"/>
    <x v="3"/>
    <x v="1"/>
    <n v="0.27769964435629302"/>
    <n v="3E+20"/>
    <n v="0"/>
    <n v="2"/>
    <n v="1"/>
    <n v="0"/>
    <s v="Unnamed ProjectSeize 9.QueueNumber WaitingQueue"/>
    <n v="1"/>
    <n v="0.27769964435629302"/>
    <n v="0"/>
    <n v="0.95"/>
    <n v="4E+20"/>
    <n v="0.27769964435629302"/>
    <n v="0.27769964435629302"/>
    <n v="3E+20"/>
  </r>
  <r>
    <x v="0"/>
    <s v="2025-12-26 20:24:34"/>
    <n v="1"/>
    <x v="48"/>
    <x v="4"/>
    <x v="2"/>
    <n v="0"/>
    <n v="2E+20"/>
    <n v="0"/>
    <n v="1"/>
    <n v="0"/>
    <n v="0"/>
    <s v="Unnamed ProjectWire HarnessWIPEntity"/>
    <n v="1"/>
    <n v="0"/>
    <n v="0"/>
    <n v="0.95"/>
    <n v="4E+20"/>
    <n v="0"/>
    <n v="0"/>
    <n v="2E+20"/>
  </r>
  <r>
    <x v="0"/>
    <s v="2025-12-26 20:24:34"/>
    <n v="1"/>
    <x v="49"/>
    <x v="3"/>
    <x v="1"/>
    <n v="1.25544014678754E-2"/>
    <n v="2E+20"/>
    <n v="0"/>
    <n v="2"/>
    <n v="0"/>
    <n v="0"/>
    <s v="Unnamed Projectsales.QueueNumber WaitingQueue"/>
    <n v="1"/>
    <n v="1.25544014678754E-2"/>
    <n v="0"/>
    <n v="0.95"/>
    <n v="4E+20"/>
    <n v="1.25544014678754E-2"/>
    <n v="1.25544014678754E-2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9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7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8">
        <item m="1" x="50"/>
        <item m="1" x="73"/>
        <item m="1" x="45"/>
        <item m="1" x="125"/>
        <item m="1" x="108"/>
        <item m="1" x="78"/>
        <item m="1" x="134"/>
        <item m="1" x="66"/>
        <item m="1" x="70"/>
        <item x="5"/>
        <item m="1" x="103"/>
        <item m="1" x="115"/>
        <item m="1" x="120"/>
        <item m="1" x="44"/>
        <item m="1" x="72"/>
        <item m="1" x="62"/>
        <item m="1" x="137"/>
        <item m="1" x="132"/>
        <item m="1" x="60"/>
        <item m="1" x="54"/>
        <item m="1" x="126"/>
        <item m="1" x="46"/>
        <item m="1" x="79"/>
        <item m="1" x="65"/>
        <item m="1" x="90"/>
        <item m="1" x="117"/>
        <item m="1" x="81"/>
        <item m="1" x="51"/>
        <item m="1" x="75"/>
        <item m="1" x="104"/>
        <item m="1" x="94"/>
        <item m="1" x="52"/>
        <item m="1" x="111"/>
        <item m="1" x="43"/>
        <item m="1" x="131"/>
        <item m="1" x="99"/>
        <item m="1" x="119"/>
        <item m="1" x="74"/>
        <item m="1" x="133"/>
        <item m="1" x="102"/>
        <item m="1" x="56"/>
        <item m="1" x="93"/>
        <item m="1" x="107"/>
        <item m="1" x="118"/>
        <item m="1" x="124"/>
        <item m="1" x="42"/>
        <item m="1" x="55"/>
        <item m="1" x="64"/>
        <item m="1" x="57"/>
        <item m="1" x="41"/>
        <item m="1" x="116"/>
        <item m="1" x="128"/>
        <item m="1" x="68"/>
        <item m="1" x="98"/>
        <item m="1" x="59"/>
        <item m="1" x="76"/>
        <item m="1" x="63"/>
        <item m="1" x="84"/>
        <item m="1" x="71"/>
        <item m="1" x="91"/>
        <item m="1" x="77"/>
        <item m="1" x="100"/>
        <item m="1" x="85"/>
        <item m="1" x="105"/>
        <item m="1" x="92"/>
        <item m="1" x="113"/>
        <item m="1" x="106"/>
        <item m="1" x="121"/>
        <item m="1" x="129"/>
        <item m="1" x="109"/>
        <item m="1" x="88"/>
        <item m="1" x="69"/>
        <item m="1" x="82"/>
        <item m="1" x="53"/>
        <item m="1" x="58"/>
        <item m="1" x="67"/>
        <item m="1" x="95"/>
        <item m="1" x="130"/>
        <item m="1" x="123"/>
        <item m="1" x="110"/>
        <item m="1" x="83"/>
        <item m="1" x="96"/>
        <item m="1" x="87"/>
        <item m="1" x="112"/>
        <item m="1" x="97"/>
        <item m="1" x="80"/>
        <item m="1" x="86"/>
        <item m="1" x="49"/>
        <item m="1" x="89"/>
        <item m="1" x="101"/>
        <item m="1" x="114"/>
        <item m="1" x="122"/>
        <item m="1" x="127"/>
        <item m="1" x="136"/>
        <item m="1" x="47"/>
        <item m="1" x="61"/>
        <item m="1" x="135"/>
        <item m="1" x="48"/>
        <item m="1" x="40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axis="axisRow" compact="0" outline="0" showAll="0" defaultSubtotal="0">
      <items count="22">
        <item m="1" x="21"/>
        <item x="3"/>
        <item x="5"/>
        <item x="7"/>
        <item x="9"/>
        <item x="11"/>
        <item x="13"/>
        <item x="1"/>
        <item x="15"/>
        <item x="17"/>
        <item x="19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1"/>
        <item x="0"/>
        <item m="1" x="4"/>
        <item x="2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74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3"/>
      <x/>
    </i>
    <i r="2">
      <x v="14"/>
      <x/>
    </i>
    <i r="2">
      <x v="15"/>
      <x/>
    </i>
    <i r="2">
      <x v="16"/>
      <x/>
    </i>
    <i r="2">
      <x v="17"/>
      <x/>
    </i>
    <i r="2">
      <x v="18"/>
      <x/>
    </i>
    <i r="1">
      <x v="99"/>
      <x v="7"/>
      <x v="1"/>
    </i>
    <i r="2">
      <x v="12"/>
      <x v="1"/>
    </i>
    <i r="1">
      <x v="100"/>
      <x v="7"/>
      <x v="1"/>
    </i>
    <i r="2">
      <x v="12"/>
      <x v="1"/>
    </i>
    <i r="1">
      <x v="101"/>
      <x v="7"/>
      <x v="1"/>
    </i>
    <i r="2">
      <x v="12"/>
      <x v="1"/>
    </i>
    <i r="1">
      <x v="102"/>
      <x v="7"/>
      <x v="1"/>
    </i>
    <i r="2">
      <x v="12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3"/>
      <x/>
    </i>
    <i r="2">
      <x v="14"/>
      <x/>
    </i>
    <i r="2">
      <x v="15"/>
      <x/>
    </i>
    <i r="2">
      <x v="16"/>
      <x/>
    </i>
    <i r="2">
      <x v="17"/>
      <x/>
    </i>
    <i r="2">
      <x v="18"/>
      <x/>
    </i>
    <i r="1">
      <x v="104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3"/>
      <x/>
    </i>
    <i r="2">
      <x v="14"/>
      <x/>
    </i>
    <i r="2">
      <x v="15"/>
      <x/>
    </i>
    <i r="2">
      <x v="16"/>
      <x/>
    </i>
    <i r="2">
      <x v="17"/>
      <x/>
    </i>
    <i r="2">
      <x v="18"/>
      <x/>
    </i>
    <i r="1">
      <x v="105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3"/>
      <x/>
    </i>
    <i r="2">
      <x v="14"/>
      <x/>
    </i>
    <i r="2">
      <x v="15"/>
      <x/>
    </i>
    <i r="2">
      <x v="16"/>
      <x/>
    </i>
    <i r="2">
      <x v="17"/>
      <x/>
    </i>
    <i r="2">
      <x v="18"/>
      <x/>
    </i>
    <i r="1">
      <x v="106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07"/>
      <x v="7"/>
      <x v="1"/>
    </i>
    <i r="2">
      <x v="12"/>
      <x v="1"/>
    </i>
    <i r="1">
      <x v="108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09"/>
      <x v="7"/>
      <x v="1"/>
    </i>
    <i r="2">
      <x v="12"/>
      <x v="1"/>
    </i>
    <i r="1">
      <x v="110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11"/>
      <x v="7"/>
      <x v="1"/>
    </i>
    <i r="2">
      <x v="12"/>
      <x v="1"/>
    </i>
    <i r="1">
      <x v="112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13"/>
      <x v="7"/>
      <x v="1"/>
    </i>
    <i r="2">
      <x v="12"/>
      <x v="1"/>
    </i>
    <i r="1">
      <x v="114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15"/>
      <x v="7"/>
      <x v="1"/>
    </i>
    <i r="2">
      <x v="12"/>
      <x v="1"/>
    </i>
    <i r="1">
      <x v="116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17"/>
      <x v="7"/>
      <x v="1"/>
    </i>
    <i r="2">
      <x v="12"/>
      <x v="1"/>
    </i>
    <i r="1">
      <x v="118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19"/>
      <x v="7"/>
      <x v="1"/>
    </i>
    <i r="2">
      <x v="12"/>
      <x v="1"/>
    </i>
    <i r="1">
      <x v="120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21"/>
      <x v="7"/>
      <x v="1"/>
    </i>
    <i r="2">
      <x v="12"/>
      <x v="1"/>
    </i>
    <i r="1">
      <x v="122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23"/>
      <x v="7"/>
      <x v="1"/>
    </i>
    <i r="2">
      <x v="12"/>
      <x v="1"/>
    </i>
    <i r="1">
      <x v="124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25"/>
      <x v="7"/>
      <x v="1"/>
    </i>
    <i r="2">
      <x v="12"/>
      <x v="1"/>
    </i>
    <i r="1">
      <x v="126"/>
      <x v="8"/>
      <x v="3"/>
    </i>
    <i r="2">
      <x v="9"/>
      <x v="3"/>
    </i>
    <i r="2">
      <x v="10"/>
      <x v="3"/>
    </i>
    <i r="2">
      <x v="19"/>
      <x v="3"/>
    </i>
    <i r="2">
      <x v="20"/>
      <x v="3"/>
    </i>
    <i r="2">
      <x v="21"/>
      <x v="3"/>
    </i>
    <i r="1">
      <x v="127"/>
      <x v="7"/>
      <x v="1"/>
    </i>
    <i r="2">
      <x v="12"/>
      <x v="1"/>
    </i>
    <i r="1">
      <x v="128"/>
      <x v="7"/>
      <x v="1"/>
    </i>
    <i r="2">
      <x v="12"/>
      <x v="1"/>
    </i>
    <i r="1">
      <x v="129"/>
      <x v="7"/>
      <x v="1"/>
    </i>
    <i r="2">
      <x v="12"/>
      <x v="1"/>
    </i>
    <i r="1">
      <x v="130"/>
      <x v="7"/>
      <x v="1"/>
    </i>
    <i r="2">
      <x v="12"/>
      <x v="1"/>
    </i>
    <i r="1">
      <x v="131"/>
      <x v="7"/>
      <x v="1"/>
    </i>
    <i r="2">
      <x v="12"/>
      <x v="1"/>
    </i>
    <i r="1">
      <x v="132"/>
      <x v="7"/>
      <x v="1"/>
    </i>
    <i r="2">
      <x v="12"/>
      <x v="1"/>
    </i>
    <i r="1">
      <x v="133"/>
      <x v="7"/>
      <x v="1"/>
    </i>
    <i r="2">
      <x v="12"/>
      <x v="1"/>
    </i>
    <i r="1">
      <x v="134"/>
      <x v="7"/>
      <x v="1"/>
    </i>
    <i r="2">
      <x v="12"/>
      <x v="1"/>
    </i>
    <i r="1">
      <x v="135"/>
      <x v="7"/>
      <x v="1"/>
    </i>
    <i r="2">
      <x v="12"/>
      <x v="1"/>
    </i>
    <i r="1">
      <x v="136"/>
      <x v="7"/>
      <x v="1"/>
    </i>
    <i r="2">
      <x v="12"/>
      <x v="1"/>
    </i>
    <i r="1">
      <x v="13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3"/>
      <x/>
    </i>
    <i r="2">
      <x v="14"/>
      <x/>
    </i>
    <i r="2">
      <x v="15"/>
      <x/>
    </i>
    <i r="2">
      <x v="16"/>
      <x/>
    </i>
    <i r="2">
      <x v="17"/>
      <x/>
    </i>
    <i r="2">
      <x v="18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9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1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91">
        <item m="1" x="240"/>
        <item m="1" x="216"/>
        <item m="1" x="241"/>
        <item m="1" x="217"/>
        <item m="1" x="242"/>
        <item m="1" x="218"/>
        <item m="1" x="243"/>
        <item m="1" x="219"/>
        <item m="1" x="275"/>
        <item m="1" x="230"/>
        <item x="203"/>
        <item m="1" x="274"/>
        <item m="1" x="261"/>
        <item m="1" x="278"/>
        <item m="1" x="263"/>
        <item x="17"/>
        <item x="18"/>
        <item m="1" x="255"/>
        <item m="1" x="223"/>
        <item m="1" x="272"/>
        <item m="1" x="262"/>
        <item m="1" x="260"/>
        <item m="1" x="226"/>
        <item m="1" x="270"/>
        <item m="1" x="235"/>
        <item m="1" x="271"/>
        <item m="1" x="236"/>
        <item m="1" x="269"/>
        <item m="1" x="287"/>
        <item m="1" x="229"/>
        <item m="1" x="290"/>
        <item m="1" x="257"/>
        <item m="1" x="224"/>
        <item m="1" x="285"/>
        <item m="1" x="281"/>
        <item m="1" x="258"/>
        <item m="1" x="225"/>
        <item m="1" x="286"/>
        <item m="1" x="282"/>
        <item m="1" x="220"/>
        <item m="1" x="254"/>
        <item m="1" x="238"/>
        <item m="1" x="228"/>
        <item m="1" x="279"/>
        <item m="1" x="250"/>
        <item m="1" x="280"/>
        <item m="1" x="251"/>
        <item m="1" x="237"/>
        <item m="1" x="232"/>
        <item m="1" x="259"/>
        <item m="1" x="234"/>
        <item m="1" x="289"/>
        <item m="1" x="283"/>
        <item m="1" x="233"/>
        <item m="1" x="231"/>
        <item m="1" x="276"/>
        <item m="1" x="284"/>
        <item m="1" x="221"/>
        <item m="1" x="239"/>
        <item m="1" x="252"/>
        <item m="1" x="273"/>
        <item m="1" x="288"/>
        <item m="1" x="222"/>
        <item m="1" x="249"/>
        <item m="1" x="253"/>
        <item m="1" x="277"/>
        <item m="1" x="256"/>
        <item m="1" x="227"/>
        <item m="1" x="244"/>
        <item m="1" x="264"/>
        <item m="1" x="245"/>
        <item m="1" x="265"/>
        <item m="1" x="246"/>
        <item m="1" x="266"/>
        <item m="1" x="247"/>
        <item m="1" x="267"/>
        <item m="1" x="248"/>
        <item m="1" x="268"/>
        <item m="1" x="2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5"/>
        <item x="206"/>
        <item x="207"/>
        <item x="208"/>
        <item x="209"/>
        <item x="210"/>
        <item x="211"/>
        <item x="212"/>
        <item x="213"/>
        <item x="214"/>
      </items>
    </pivotField>
    <pivotField axis="axisRow" compact="0" outline="0" showAll="0" defaultSubtotal="0">
      <items count="20">
        <item x="11"/>
        <item x="12"/>
        <item x="10"/>
        <item x="9"/>
        <item x="14"/>
        <item x="16"/>
        <item m="1" x="19"/>
        <item x="0"/>
        <item x="1"/>
        <item x="2"/>
        <item x="3"/>
        <item x="4"/>
        <item x="5"/>
        <item x="6"/>
        <item x="7"/>
        <item x="8"/>
        <item x="13"/>
        <item x="15"/>
        <item x="17"/>
        <item x="18"/>
      </items>
    </pivotField>
    <pivotField axis="axisRow" compact="0" outline="0" showAll="0" defaultSubtotal="0">
      <items count="5">
        <item x="2"/>
        <item x="1"/>
        <item x="0"/>
        <item x="3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5">
    <i>
      <x v="3"/>
      <x v="10"/>
      <x v="1"/>
      <x v="2"/>
    </i>
    <i r="1">
      <x v="15"/>
      <x/>
      <x/>
    </i>
    <i r="1">
      <x v="16"/>
      <x v="1"/>
      <x/>
    </i>
    <i r="1">
      <x v="79"/>
      <x v="7"/>
      <x v="2"/>
    </i>
    <i r="1">
      <x v="80"/>
      <x v="8"/>
      <x v="2"/>
    </i>
    <i r="1">
      <x v="81"/>
      <x v="9"/>
      <x v="2"/>
    </i>
    <i r="1">
      <x v="82"/>
      <x v="10"/>
      <x v="2"/>
    </i>
    <i r="1">
      <x v="83"/>
      <x v="11"/>
      <x v="2"/>
    </i>
    <i r="1">
      <x v="84"/>
      <x v="12"/>
      <x v="2"/>
    </i>
    <i r="1">
      <x v="85"/>
      <x v="13"/>
      <x v="2"/>
    </i>
    <i r="1">
      <x v="86"/>
      <x v="14"/>
      <x v="2"/>
    </i>
    <i r="1">
      <x v="87"/>
      <x v="9"/>
      <x v="2"/>
    </i>
    <i r="1">
      <x v="88"/>
      <x v="15"/>
      <x v="2"/>
    </i>
    <i r="1">
      <x v="89"/>
      <x v="13"/>
      <x v="1"/>
    </i>
    <i r="1">
      <x v="90"/>
      <x v="14"/>
      <x v="1"/>
    </i>
    <i r="1">
      <x v="91"/>
      <x v="3"/>
      <x v="1"/>
    </i>
    <i r="1">
      <x v="92"/>
      <x v="2"/>
      <x v="1"/>
    </i>
    <i r="1">
      <x v="93"/>
      <x v="15"/>
      <x v="1"/>
    </i>
    <i r="1">
      <x v="94"/>
      <x/>
      <x/>
    </i>
    <i r="1">
      <x v="95"/>
      <x v="1"/>
      <x/>
    </i>
    <i r="1">
      <x v="96"/>
      <x/>
      <x/>
    </i>
    <i r="1">
      <x v="97"/>
      <x v="1"/>
      <x/>
    </i>
    <i r="1">
      <x v="98"/>
      <x/>
      <x/>
    </i>
    <i r="1">
      <x v="99"/>
      <x v="1"/>
      <x/>
    </i>
    <i r="1">
      <x v="100"/>
      <x v="13"/>
      <x v="1"/>
    </i>
    <i r="1">
      <x v="101"/>
      <x v="14"/>
      <x v="1"/>
    </i>
    <i r="1">
      <x v="102"/>
      <x v="3"/>
      <x v="1"/>
    </i>
    <i r="1">
      <x v="103"/>
      <x v="2"/>
      <x v="1"/>
    </i>
    <i r="1">
      <x v="104"/>
      <x v="15"/>
      <x v="1"/>
    </i>
    <i r="1">
      <x v="105"/>
      <x v="13"/>
      <x v="1"/>
    </i>
    <i r="1">
      <x v="106"/>
      <x v="14"/>
      <x v="1"/>
    </i>
    <i r="1">
      <x v="107"/>
      <x v="3"/>
      <x v="1"/>
    </i>
    <i r="1">
      <x v="108"/>
      <x v="2"/>
      <x v="1"/>
    </i>
    <i r="1">
      <x v="109"/>
      <x v="15"/>
      <x v="1"/>
    </i>
    <i r="1">
      <x v="110"/>
      <x v="13"/>
      <x v="1"/>
    </i>
    <i r="1">
      <x v="111"/>
      <x v="14"/>
      <x v="1"/>
    </i>
    <i r="1">
      <x v="112"/>
      <x v="3"/>
      <x v="1"/>
    </i>
    <i r="1">
      <x v="113"/>
      <x v="2"/>
      <x v="1"/>
    </i>
    <i r="1">
      <x v="114"/>
      <x v="15"/>
      <x v="1"/>
    </i>
    <i r="1">
      <x v="115"/>
      <x v="13"/>
      <x v="1"/>
    </i>
    <i r="1">
      <x v="116"/>
      <x v="14"/>
      <x v="1"/>
    </i>
    <i r="1">
      <x v="117"/>
      <x v="3"/>
      <x v="1"/>
    </i>
    <i r="1">
      <x v="118"/>
      <x v="2"/>
      <x v="1"/>
    </i>
    <i r="1">
      <x v="119"/>
      <x v="15"/>
      <x v="1"/>
    </i>
    <i r="1">
      <x v="120"/>
      <x v="13"/>
      <x v="1"/>
    </i>
    <i r="1">
      <x v="121"/>
      <x v="14"/>
      <x v="1"/>
    </i>
    <i r="1">
      <x v="122"/>
      <x v="3"/>
      <x v="1"/>
    </i>
    <i r="1">
      <x v="123"/>
      <x v="2"/>
      <x v="1"/>
    </i>
    <i r="1">
      <x v="124"/>
      <x v="15"/>
      <x v="1"/>
    </i>
    <i r="1">
      <x v="125"/>
      <x v="13"/>
      <x v="1"/>
    </i>
    <i r="1">
      <x v="126"/>
      <x v="14"/>
      <x v="1"/>
    </i>
    <i r="1">
      <x v="127"/>
      <x v="3"/>
      <x v="1"/>
    </i>
    <i r="1">
      <x v="128"/>
      <x v="2"/>
      <x v="1"/>
    </i>
    <i r="1">
      <x v="129"/>
      <x v="15"/>
      <x v="1"/>
    </i>
    <i r="1">
      <x v="130"/>
      <x v="13"/>
      <x v="1"/>
    </i>
    <i r="1">
      <x v="131"/>
      <x v="14"/>
      <x v="1"/>
    </i>
    <i r="1">
      <x v="132"/>
      <x v="3"/>
      <x v="1"/>
    </i>
    <i r="1">
      <x v="133"/>
      <x v="2"/>
      <x v="1"/>
    </i>
    <i r="1">
      <x v="134"/>
      <x v="15"/>
      <x v="1"/>
    </i>
    <i r="1">
      <x v="135"/>
      <x v="13"/>
      <x v="1"/>
    </i>
    <i r="1">
      <x v="136"/>
      <x v="14"/>
      <x v="1"/>
    </i>
    <i r="1">
      <x v="137"/>
      <x v="3"/>
      <x v="1"/>
    </i>
    <i r="1">
      <x v="138"/>
      <x v="2"/>
      <x v="1"/>
    </i>
    <i r="1">
      <x v="139"/>
      <x v="15"/>
      <x v="1"/>
    </i>
    <i r="1">
      <x v="140"/>
      <x v="13"/>
      <x v="1"/>
    </i>
    <i r="1">
      <x v="141"/>
      <x v="14"/>
      <x v="1"/>
    </i>
    <i r="1">
      <x v="142"/>
      <x v="3"/>
      <x v="1"/>
    </i>
    <i r="1">
      <x v="143"/>
      <x v="2"/>
      <x v="1"/>
    </i>
    <i r="1">
      <x v="144"/>
      <x v="15"/>
      <x v="1"/>
    </i>
    <i r="1">
      <x v="145"/>
      <x v="13"/>
      <x v="1"/>
    </i>
    <i r="1">
      <x v="146"/>
      <x v="14"/>
      <x v="1"/>
    </i>
    <i r="1">
      <x v="147"/>
      <x v="3"/>
      <x v="1"/>
    </i>
    <i r="1">
      <x v="148"/>
      <x v="2"/>
      <x v="1"/>
    </i>
    <i r="1">
      <x v="149"/>
      <x v="15"/>
      <x v="1"/>
    </i>
    <i r="1">
      <x v="150"/>
      <x v="13"/>
      <x v="1"/>
    </i>
    <i r="1">
      <x v="151"/>
      <x v="14"/>
      <x v="1"/>
    </i>
    <i r="1">
      <x v="152"/>
      <x v="3"/>
      <x v="1"/>
    </i>
    <i r="1">
      <x v="153"/>
      <x v="2"/>
      <x v="1"/>
    </i>
    <i r="1">
      <x v="154"/>
      <x v="15"/>
      <x v="1"/>
    </i>
    <i r="1">
      <x v="155"/>
      <x v="13"/>
      <x v="1"/>
    </i>
    <i r="1">
      <x v="156"/>
      <x v="14"/>
      <x v="1"/>
    </i>
    <i r="1">
      <x v="157"/>
      <x v="3"/>
      <x v="1"/>
    </i>
    <i r="1">
      <x v="158"/>
      <x v="2"/>
      <x v="1"/>
    </i>
    <i r="1">
      <x v="159"/>
      <x v="15"/>
      <x v="1"/>
    </i>
    <i r="1">
      <x v="160"/>
      <x v="13"/>
      <x v="1"/>
    </i>
    <i r="1">
      <x v="161"/>
      <x v="14"/>
      <x v="1"/>
    </i>
    <i r="1">
      <x v="162"/>
      <x v="3"/>
      <x v="1"/>
    </i>
    <i r="1">
      <x v="163"/>
      <x v="2"/>
      <x v="1"/>
    </i>
    <i r="1">
      <x v="164"/>
      <x v="15"/>
      <x v="1"/>
    </i>
    <i r="1">
      <x v="165"/>
      <x v="13"/>
      <x v="1"/>
    </i>
    <i r="1">
      <x v="166"/>
      <x v="14"/>
      <x v="1"/>
    </i>
    <i r="1">
      <x v="167"/>
      <x v="3"/>
      <x v="1"/>
    </i>
    <i r="1">
      <x v="168"/>
      <x v="2"/>
      <x v="1"/>
    </i>
    <i r="1">
      <x v="169"/>
      <x v="15"/>
      <x v="1"/>
    </i>
    <i r="1">
      <x v="170"/>
      <x v="13"/>
      <x v="1"/>
    </i>
    <i r="1">
      <x v="171"/>
      <x v="14"/>
      <x v="1"/>
    </i>
    <i r="1">
      <x v="172"/>
      <x v="3"/>
      <x v="1"/>
    </i>
    <i r="1">
      <x v="173"/>
      <x v="2"/>
      <x v="1"/>
    </i>
    <i r="1">
      <x v="174"/>
      <x v="15"/>
      <x v="1"/>
    </i>
    <i r="1">
      <x v="175"/>
      <x v="13"/>
      <x v="1"/>
    </i>
    <i r="1">
      <x v="176"/>
      <x v="14"/>
      <x v="1"/>
    </i>
    <i r="1">
      <x v="177"/>
      <x v="3"/>
      <x v="1"/>
    </i>
    <i r="1">
      <x v="178"/>
      <x v="2"/>
      <x v="1"/>
    </i>
    <i r="1">
      <x v="179"/>
      <x v="15"/>
      <x v="1"/>
    </i>
    <i r="1">
      <x v="180"/>
      <x v="13"/>
      <x v="1"/>
    </i>
    <i r="1">
      <x v="181"/>
      <x v="14"/>
      <x v="1"/>
    </i>
    <i r="1">
      <x v="182"/>
      <x v="3"/>
      <x v="1"/>
    </i>
    <i r="1">
      <x v="183"/>
      <x v="2"/>
      <x v="1"/>
    </i>
    <i r="1">
      <x v="184"/>
      <x v="15"/>
      <x v="1"/>
    </i>
    <i r="1">
      <x v="185"/>
      <x v="13"/>
      <x v="1"/>
    </i>
    <i r="1">
      <x v="186"/>
      <x v="14"/>
      <x v="1"/>
    </i>
    <i r="1">
      <x v="187"/>
      <x v="3"/>
      <x v="1"/>
    </i>
    <i r="1">
      <x v="188"/>
      <x v="2"/>
      <x v="1"/>
    </i>
    <i r="1">
      <x v="189"/>
      <x v="15"/>
      <x v="1"/>
    </i>
    <i r="1">
      <x v="190"/>
      <x v="16"/>
      <x v="3"/>
    </i>
    <i r="1">
      <x v="191"/>
      <x v="4"/>
      <x v="3"/>
    </i>
    <i r="1">
      <x v="192"/>
      <x v="17"/>
      <x v="3"/>
    </i>
    <i r="1">
      <x v="193"/>
      <x v="5"/>
      <x v="3"/>
    </i>
    <i r="1">
      <x v="194"/>
      <x/>
      <x v="3"/>
    </i>
    <i r="1">
      <x v="195"/>
      <x v="1"/>
      <x v="3"/>
    </i>
    <i r="1">
      <x v="196"/>
      <x v="18"/>
      <x v="3"/>
    </i>
    <i r="1">
      <x v="197"/>
      <x v="19"/>
      <x v="3"/>
    </i>
    <i r="1">
      <x v="198"/>
      <x v="16"/>
      <x v="3"/>
    </i>
    <i r="1">
      <x v="199"/>
      <x v="4"/>
      <x v="3"/>
    </i>
    <i r="1">
      <x v="200"/>
      <x v="17"/>
      <x v="3"/>
    </i>
    <i r="1">
      <x v="201"/>
      <x v="5"/>
      <x v="3"/>
    </i>
    <i r="1">
      <x v="202"/>
      <x/>
      <x v="3"/>
    </i>
    <i r="1">
      <x v="203"/>
      <x v="1"/>
      <x v="3"/>
    </i>
    <i r="1">
      <x v="204"/>
      <x v="18"/>
      <x v="3"/>
    </i>
    <i r="1">
      <x v="205"/>
      <x v="19"/>
      <x v="3"/>
    </i>
    <i r="1">
      <x v="206"/>
      <x v="16"/>
      <x v="3"/>
    </i>
    <i r="1">
      <x v="207"/>
      <x v="4"/>
      <x v="3"/>
    </i>
    <i r="1">
      <x v="208"/>
      <x v="17"/>
      <x v="3"/>
    </i>
    <i r="1">
      <x v="209"/>
      <x v="5"/>
      <x v="3"/>
    </i>
    <i r="1">
      <x v="210"/>
      <x/>
      <x v="3"/>
    </i>
    <i r="1">
      <x v="211"/>
      <x v="1"/>
      <x v="3"/>
    </i>
    <i r="1">
      <x v="212"/>
      <x v="18"/>
      <x v="3"/>
    </i>
    <i r="1">
      <x v="213"/>
      <x v="19"/>
      <x v="3"/>
    </i>
    <i r="1">
      <x v="214"/>
      <x v="16"/>
      <x v="3"/>
    </i>
    <i r="1">
      <x v="215"/>
      <x v="4"/>
      <x v="3"/>
    </i>
    <i r="1">
      <x v="216"/>
      <x v="17"/>
      <x v="3"/>
    </i>
    <i r="1">
      <x v="217"/>
      <x v="5"/>
      <x v="3"/>
    </i>
    <i r="1">
      <x v="218"/>
      <x/>
      <x v="3"/>
    </i>
    <i r="1">
      <x v="219"/>
      <x v="1"/>
      <x v="3"/>
    </i>
    <i r="1">
      <x v="220"/>
      <x v="18"/>
      <x v="3"/>
    </i>
    <i r="1">
      <x v="221"/>
      <x v="19"/>
      <x v="3"/>
    </i>
    <i r="1">
      <x v="222"/>
      <x v="16"/>
      <x v="3"/>
    </i>
    <i r="1">
      <x v="223"/>
      <x v="4"/>
      <x v="3"/>
    </i>
    <i r="1">
      <x v="224"/>
      <x v="17"/>
      <x v="3"/>
    </i>
    <i r="1">
      <x v="225"/>
      <x v="5"/>
      <x v="3"/>
    </i>
    <i r="1">
      <x v="226"/>
      <x/>
      <x v="3"/>
    </i>
    <i r="1">
      <x v="227"/>
      <x v="1"/>
      <x v="3"/>
    </i>
    <i r="1">
      <x v="228"/>
      <x v="18"/>
      <x v="3"/>
    </i>
    <i r="1">
      <x v="229"/>
      <x v="19"/>
      <x v="3"/>
    </i>
    <i r="1">
      <x v="230"/>
      <x v="16"/>
      <x v="3"/>
    </i>
    <i r="1">
      <x v="231"/>
      <x v="4"/>
      <x v="3"/>
    </i>
    <i r="1">
      <x v="232"/>
      <x v="17"/>
      <x v="3"/>
    </i>
    <i r="1">
      <x v="233"/>
      <x v="5"/>
      <x v="3"/>
    </i>
    <i r="1">
      <x v="234"/>
      <x/>
      <x v="3"/>
    </i>
    <i r="1">
      <x v="235"/>
      <x v="1"/>
      <x v="3"/>
    </i>
    <i r="1">
      <x v="236"/>
      <x v="18"/>
      <x v="3"/>
    </i>
    <i r="1">
      <x v="237"/>
      <x v="19"/>
      <x v="3"/>
    </i>
    <i r="1">
      <x v="238"/>
      <x v="16"/>
      <x v="3"/>
    </i>
    <i r="1">
      <x v="239"/>
      <x v="4"/>
      <x v="3"/>
    </i>
    <i r="1">
      <x v="240"/>
      <x v="17"/>
      <x v="3"/>
    </i>
    <i r="1">
      <x v="241"/>
      <x v="5"/>
      <x v="3"/>
    </i>
    <i r="1">
      <x v="242"/>
      <x/>
      <x v="3"/>
    </i>
    <i r="1">
      <x v="243"/>
      <x v="1"/>
      <x v="3"/>
    </i>
    <i r="1">
      <x v="244"/>
      <x v="18"/>
      <x v="3"/>
    </i>
    <i r="1">
      <x v="245"/>
      <x v="19"/>
      <x v="3"/>
    </i>
    <i r="1">
      <x v="246"/>
      <x v="16"/>
      <x v="3"/>
    </i>
    <i r="1">
      <x v="247"/>
      <x v="4"/>
      <x v="3"/>
    </i>
    <i r="1">
      <x v="248"/>
      <x v="17"/>
      <x v="3"/>
    </i>
    <i r="1">
      <x v="249"/>
      <x v="5"/>
      <x v="3"/>
    </i>
    <i r="1">
      <x v="250"/>
      <x/>
      <x v="3"/>
    </i>
    <i r="1">
      <x v="251"/>
      <x v="1"/>
      <x v="3"/>
    </i>
    <i r="1">
      <x v="252"/>
      <x v="18"/>
      <x v="3"/>
    </i>
    <i r="1">
      <x v="253"/>
      <x v="19"/>
      <x v="3"/>
    </i>
    <i r="1">
      <x v="254"/>
      <x v="16"/>
      <x v="3"/>
    </i>
    <i r="1">
      <x v="255"/>
      <x v="4"/>
      <x v="3"/>
    </i>
    <i r="1">
      <x v="256"/>
      <x v="17"/>
      <x v="3"/>
    </i>
    <i r="1">
      <x v="257"/>
      <x v="5"/>
      <x v="3"/>
    </i>
    <i r="1">
      <x v="258"/>
      <x/>
      <x v="3"/>
    </i>
    <i r="1">
      <x v="259"/>
      <x v="1"/>
      <x v="3"/>
    </i>
    <i r="1">
      <x v="260"/>
      <x v="18"/>
      <x v="3"/>
    </i>
    <i r="1">
      <x v="261"/>
      <x v="19"/>
      <x v="3"/>
    </i>
    <i r="1">
      <x v="262"/>
      <x v="16"/>
      <x v="3"/>
    </i>
    <i r="1">
      <x v="263"/>
      <x v="4"/>
      <x v="3"/>
    </i>
    <i r="1">
      <x v="264"/>
      <x v="17"/>
      <x v="3"/>
    </i>
    <i r="1">
      <x v="265"/>
      <x v="5"/>
      <x v="3"/>
    </i>
    <i r="1">
      <x v="266"/>
      <x/>
      <x v="3"/>
    </i>
    <i r="1">
      <x v="267"/>
      <x v="1"/>
      <x v="3"/>
    </i>
    <i r="1">
      <x v="268"/>
      <x v="18"/>
      <x v="3"/>
    </i>
    <i r="1">
      <x v="269"/>
      <x v="19"/>
      <x v="3"/>
    </i>
    <i r="1">
      <x v="270"/>
      <x v="13"/>
      <x v="1"/>
    </i>
    <i r="1">
      <x v="271"/>
      <x v="14"/>
      <x v="1"/>
    </i>
    <i r="1">
      <x v="272"/>
      <x v="3"/>
      <x v="1"/>
    </i>
    <i r="1">
      <x v="273"/>
      <x v="2"/>
      <x v="1"/>
    </i>
    <i r="1">
      <x v="274"/>
      <x v="15"/>
      <x v="1"/>
    </i>
    <i r="1">
      <x v="275"/>
      <x v="13"/>
      <x v="1"/>
    </i>
    <i r="1">
      <x v="276"/>
      <x v="14"/>
      <x v="1"/>
    </i>
    <i r="1">
      <x v="277"/>
      <x v="3"/>
      <x v="1"/>
    </i>
    <i r="1">
      <x v="278"/>
      <x v="2"/>
      <x v="1"/>
    </i>
    <i r="1">
      <x v="279"/>
      <x v="15"/>
      <x v="1"/>
    </i>
    <i r="1">
      <x v="280"/>
      <x v="9"/>
      <x v="2"/>
    </i>
    <i r="1">
      <x v="281"/>
      <x/>
      <x/>
    </i>
    <i r="1">
      <x v="282"/>
      <x v="1"/>
      <x/>
    </i>
    <i r="1">
      <x v="283"/>
      <x v="16"/>
      <x v="3"/>
    </i>
    <i r="1">
      <x v="284"/>
      <x v="4"/>
      <x v="3"/>
    </i>
    <i r="1">
      <x v="285"/>
      <x v="17"/>
      <x v="3"/>
    </i>
    <i r="1">
      <x v="286"/>
      <x v="5"/>
      <x v="3"/>
    </i>
    <i r="1">
      <x v="287"/>
      <x/>
      <x v="3"/>
    </i>
    <i r="1">
      <x v="288"/>
      <x v="1"/>
      <x v="3"/>
    </i>
    <i r="1">
      <x v="289"/>
      <x v="18"/>
      <x v="3"/>
    </i>
    <i r="1">
      <x v="290"/>
      <x v="19"/>
      <x v="3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20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">
        <item m="1" x="4"/>
        <item m="1" x="3"/>
        <item m="1" x="2"/>
        <item m="1" x="1"/>
        <item x="0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4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21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94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73">
        <item m="1" x="65"/>
        <item m="1" x="56"/>
        <item m="1" x="72"/>
        <item m="1" x="81"/>
        <item m="1" x="94"/>
        <item m="1" x="93"/>
        <item m="1" x="57"/>
        <item m="1" x="158"/>
        <item m="1" x="136"/>
        <item m="1" x="99"/>
        <item m="1" x="86"/>
        <item m="1" x="90"/>
        <item x="6"/>
        <item m="1" x="75"/>
        <item m="1" x="157"/>
        <item m="1" x="79"/>
        <item m="1" x="130"/>
        <item m="1" x="144"/>
        <item m="1" x="54"/>
        <item m="1" x="80"/>
        <item m="1" x="167"/>
        <item m="1" x="69"/>
        <item m="1" x="159"/>
        <item m="1" x="58"/>
        <item m="1" x="85"/>
        <item m="1" x="111"/>
        <item m="1" x="55"/>
        <item m="1" x="61"/>
        <item m="1" x="131"/>
        <item m="1" x="112"/>
        <item m="1" x="146"/>
        <item m="1" x="102"/>
        <item m="1" x="66"/>
        <item m="1" x="96"/>
        <item m="1" x="132"/>
        <item m="1" x="117"/>
        <item m="1" x="67"/>
        <item m="1" x="77"/>
        <item m="1" x="139"/>
        <item m="1" x="53"/>
        <item m="1" x="166"/>
        <item m="1" x="124"/>
        <item m="1" x="64"/>
        <item m="1" x="149"/>
        <item m="1" x="95"/>
        <item m="1" x="168"/>
        <item m="1" x="129"/>
        <item m="1" x="71"/>
        <item m="1" x="116"/>
        <item m="1" x="135"/>
        <item m="1" x="148"/>
        <item m="1" x="156"/>
        <item m="1" x="165"/>
        <item m="1" x="52"/>
        <item m="1" x="70"/>
        <item m="1" x="84"/>
        <item m="1" x="73"/>
        <item m="1" x="51"/>
        <item m="1" x="145"/>
        <item m="1" x="162"/>
        <item m="1" x="88"/>
        <item m="1" x="123"/>
        <item m="1" x="76"/>
        <item m="1" x="97"/>
        <item m="1" x="82"/>
        <item m="1" x="106"/>
        <item m="1" x="91"/>
        <item m="1" x="113"/>
        <item m="1" x="98"/>
        <item m="1" x="125"/>
        <item m="1" x="107"/>
        <item m="1" x="133"/>
        <item m="1" x="114"/>
        <item m="1" x="142"/>
        <item m="1" x="126"/>
        <item m="1" x="147"/>
        <item m="1" x="134"/>
        <item m="1" x="151"/>
        <item m="1" x="163"/>
        <item m="1" x="153"/>
        <item m="1" x="137"/>
        <item m="1" x="110"/>
        <item m="1" x="89"/>
        <item m="1" x="104"/>
        <item m="1" x="68"/>
        <item m="1" x="74"/>
        <item m="1" x="83"/>
        <item m="1" x="87"/>
        <item m="1" x="119"/>
        <item m="1" x="164"/>
        <item m="1" x="154"/>
        <item m="1" x="138"/>
        <item m="1" x="105"/>
        <item m="1" x="172"/>
        <item m="1" x="121"/>
        <item m="1" x="109"/>
        <item m="1" x="141"/>
        <item m="1" x="122"/>
        <item m="1" x="101"/>
        <item m="1" x="108"/>
        <item m="1" x="62"/>
        <item m="1" x="127"/>
        <item m="1" x="143"/>
        <item m="1" x="152"/>
        <item m="1" x="160"/>
        <item m="1" x="171"/>
        <item m="1" x="59"/>
        <item m="1" x="78"/>
        <item m="1" x="170"/>
        <item m="1" x="60"/>
        <item m="1" x="128"/>
        <item m="1" x="103"/>
        <item m="1" x="118"/>
        <item m="1" x="63"/>
        <item m="1" x="169"/>
        <item m="1" x="150"/>
        <item m="1" x="100"/>
        <item m="1" x="161"/>
        <item m="1" x="120"/>
        <item m="1" x="140"/>
        <item m="1" x="155"/>
        <item m="1" x="92"/>
        <item m="1" x="115"/>
        <item m="1" x="50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2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4"/>
      <x/>
    </i>
    <i r="1">
      <x v="130"/>
      <x v="4"/>
      <x/>
    </i>
    <i r="1">
      <x v="131"/>
      <x v="4"/>
      <x/>
    </i>
    <i r="1">
      <x v="132"/>
      <x/>
      <x v="2"/>
    </i>
    <i r="2">
      <x v="1"/>
      <x v="2"/>
    </i>
    <i r="2">
      <x v="2"/>
      <x v="2"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  <i r="1">
      <x v="137"/>
      <x/>
      <x v="2"/>
    </i>
    <i r="2">
      <x v="1"/>
      <x v="2"/>
    </i>
    <i r="2">
      <x v="2"/>
      <x v="2"/>
    </i>
    <i r="1">
      <x v="138"/>
      <x/>
      <x v="2"/>
    </i>
    <i r="2">
      <x v="1"/>
      <x v="2"/>
    </i>
    <i r="2">
      <x v="2"/>
      <x v="2"/>
    </i>
    <i r="1">
      <x v="139"/>
      <x/>
      <x v="2"/>
    </i>
    <i r="2">
      <x v="1"/>
      <x v="2"/>
    </i>
    <i r="2">
      <x v="2"/>
      <x v="2"/>
    </i>
    <i r="1">
      <x v="140"/>
      <x/>
      <x v="2"/>
    </i>
    <i r="2">
      <x v="1"/>
      <x v="2"/>
    </i>
    <i r="2">
      <x v="2"/>
      <x v="2"/>
    </i>
    <i r="1">
      <x v="141"/>
      <x/>
      <x v="2"/>
    </i>
    <i r="2">
      <x v="1"/>
      <x v="2"/>
    </i>
    <i r="2">
      <x v="2"/>
      <x v="2"/>
    </i>
    <i r="1">
      <x v="142"/>
      <x/>
      <x v="2"/>
    </i>
    <i r="2">
      <x v="1"/>
      <x v="2"/>
    </i>
    <i r="2">
      <x v="2"/>
      <x v="2"/>
    </i>
    <i r="1">
      <x v="143"/>
      <x/>
      <x v="2"/>
    </i>
    <i r="2">
      <x v="1"/>
      <x v="2"/>
    </i>
    <i r="2">
      <x v="2"/>
      <x v="2"/>
    </i>
    <i r="1">
      <x v="144"/>
      <x/>
      <x v="2"/>
    </i>
    <i r="2">
      <x v="1"/>
      <x v="2"/>
    </i>
    <i r="2">
      <x v="2"/>
      <x v="2"/>
    </i>
    <i r="1">
      <x v="145"/>
      <x/>
      <x v="2"/>
    </i>
    <i r="2">
      <x v="1"/>
      <x v="2"/>
    </i>
    <i r="2">
      <x v="2"/>
      <x v="2"/>
    </i>
    <i r="1">
      <x v="146"/>
      <x/>
      <x v="2"/>
    </i>
    <i r="2">
      <x v="1"/>
      <x v="2"/>
    </i>
    <i r="2">
      <x v="2"/>
      <x v="2"/>
    </i>
    <i r="1">
      <x v="147"/>
      <x/>
      <x v="2"/>
    </i>
    <i r="2">
      <x v="1"/>
      <x v="2"/>
    </i>
    <i r="2">
      <x v="2"/>
      <x v="2"/>
    </i>
    <i r="1">
      <x v="148"/>
      <x/>
      <x v="2"/>
    </i>
    <i r="2">
      <x v="1"/>
      <x v="2"/>
    </i>
    <i r="2">
      <x v="2"/>
      <x v="2"/>
    </i>
    <i r="1">
      <x v="149"/>
      <x/>
      <x v="2"/>
    </i>
    <i r="2">
      <x v="1"/>
      <x v="2"/>
    </i>
    <i r="2">
      <x v="2"/>
      <x v="2"/>
    </i>
    <i r="1">
      <x v="150"/>
      <x v="3"/>
      <x v="1"/>
    </i>
    <i r="1">
      <x v="151"/>
      <x v="3"/>
      <x v="1"/>
    </i>
    <i r="1">
      <x v="152"/>
      <x v="3"/>
      <x v="1"/>
    </i>
    <i r="1">
      <x v="153"/>
      <x v="3"/>
      <x v="1"/>
    </i>
    <i r="1">
      <x v="154"/>
      <x v="3"/>
      <x v="1"/>
    </i>
    <i r="1">
      <x v="155"/>
      <x v="3"/>
      <x v="1"/>
    </i>
    <i r="1">
      <x v="156"/>
      <x v="3"/>
      <x v="1"/>
    </i>
    <i r="1">
      <x v="157"/>
      <x v="3"/>
      <x v="1"/>
    </i>
    <i r="1">
      <x v="158"/>
      <x v="3"/>
      <x v="1"/>
    </i>
    <i r="1">
      <x v="159"/>
      <x v="3"/>
      <x v="1"/>
    </i>
    <i r="1">
      <x v="160"/>
      <x/>
      <x v="2"/>
    </i>
    <i r="2">
      <x v="1"/>
      <x v="2"/>
    </i>
    <i r="2">
      <x v="2"/>
      <x v="2"/>
    </i>
    <i r="1">
      <x v="161"/>
      <x/>
      <x v="2"/>
    </i>
    <i r="2">
      <x v="1"/>
      <x v="2"/>
    </i>
    <i r="2">
      <x v="2"/>
      <x v="2"/>
    </i>
    <i r="1">
      <x v="162"/>
      <x v="3"/>
      <x v="1"/>
    </i>
    <i r="1">
      <x v="163"/>
      <x v="3"/>
      <x v="1"/>
    </i>
    <i r="1">
      <x v="164"/>
      <x v="3"/>
      <x v="1"/>
    </i>
    <i r="1">
      <x v="165"/>
      <x v="3"/>
      <x v="1"/>
    </i>
    <i r="1">
      <x v="166"/>
      <x v="3"/>
      <x v="1"/>
    </i>
    <i r="1">
      <x v="167"/>
      <x v="3"/>
      <x v="1"/>
    </i>
    <i r="1">
      <x v="168"/>
      <x v="3"/>
      <x v="1"/>
    </i>
    <i r="1">
      <x v="169"/>
      <x v="3"/>
      <x v="1"/>
    </i>
    <i r="1">
      <x v="170"/>
      <x v="3"/>
      <x v="1"/>
    </i>
    <i r="1">
      <x v="171"/>
      <x v="4"/>
      <x/>
    </i>
    <i r="1">
      <x v="172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21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75" tableType="queryTable" totalsRowShown="0">
  <autoFilter ref="A1:Y175" xr:uid="{C3D003CA-1AFF-426C-A03D-D3AF5760DF1A}"/>
  <sortState xmlns:xlrd2="http://schemas.microsoft.com/office/spreadsheetml/2017/richdata2" ref="A2:Y175">
    <sortCondition ref="D1:D17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93" tableType="queryTable" totalsRowShown="0">
  <autoFilter ref="A1:U93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16" tableType="queryTable" totalsRowShown="0">
  <autoFilter ref="A1:P21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51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3</v>
      </c>
      <c r="E2">
        <v>1</v>
      </c>
      <c r="F2">
        <v>24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17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92</v>
      </c>
      <c r="C3" t="s">
        <v>81</v>
      </c>
      <c r="D3" t="s">
        <v>80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7</v>
      </c>
      <c r="O3" t="s">
        <v>67</v>
      </c>
      <c r="P3" t="s">
        <v>92</v>
      </c>
      <c r="Q3" t="s">
        <v>140</v>
      </c>
      <c r="R3" t="s">
        <v>80</v>
      </c>
      <c r="S3" s="5">
        <v>15.3190956470623</v>
      </c>
      <c r="T3" s="5">
        <v>3E+20</v>
      </c>
      <c r="U3" s="5">
        <v>0</v>
      </c>
      <c r="V3" s="5">
        <v>15.3190956470623</v>
      </c>
      <c r="W3" s="5">
        <v>15.3190956470623</v>
      </c>
      <c r="X3" s="5">
        <v>0</v>
      </c>
      <c r="Y3" s="5">
        <v>36</v>
      </c>
      <c r="AA3" t="s">
        <v>67</v>
      </c>
      <c r="AB3" t="s">
        <v>161</v>
      </c>
      <c r="AC3" t="s">
        <v>162</v>
      </c>
      <c r="AD3" t="s">
        <v>163</v>
      </c>
      <c r="AE3" s="5">
        <v>47</v>
      </c>
      <c r="AF3" s="5">
        <v>4E+20</v>
      </c>
      <c r="AG3" s="5">
        <v>0</v>
      </c>
      <c r="AH3" s="5">
        <v>47</v>
      </c>
      <c r="AI3" s="5">
        <v>47</v>
      </c>
      <c r="AK3" t="s">
        <v>67</v>
      </c>
      <c r="AL3" t="s">
        <v>382</v>
      </c>
      <c r="AM3" t="s">
        <v>189</v>
      </c>
      <c r="AN3" t="s">
        <v>165</v>
      </c>
      <c r="AO3" s="5">
        <v>1097</v>
      </c>
      <c r="AP3" s="5">
        <v>4E+20</v>
      </c>
      <c r="AQ3" s="5">
        <v>0</v>
      </c>
      <c r="AR3" s="5">
        <v>1097</v>
      </c>
      <c r="AS3" s="5">
        <v>1097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83</v>
      </c>
      <c r="D4" t="s">
        <v>80</v>
      </c>
      <c r="E4" s="5">
        <v>3.9169409945696503E-2</v>
      </c>
      <c r="F4" s="5">
        <v>1</v>
      </c>
      <c r="G4" s="5">
        <v>2E+20</v>
      </c>
      <c r="H4" s="5">
        <v>0</v>
      </c>
      <c r="I4" s="5">
        <v>3.9169409945696503E-2</v>
      </c>
      <c r="J4" s="5">
        <v>3.9169409945696503E-2</v>
      </c>
      <c r="K4" s="5">
        <v>3.8326397983983199E-2</v>
      </c>
      <c r="L4" s="5">
        <v>4.0021802683181597E-2</v>
      </c>
      <c r="M4" s="5">
        <v>7</v>
      </c>
      <c r="P4" t="s">
        <v>134</v>
      </c>
      <c r="Q4" t="s">
        <v>135</v>
      </c>
      <c r="R4" t="s">
        <v>136</v>
      </c>
      <c r="S4" s="5">
        <v>0.108433109514769</v>
      </c>
      <c r="T4" s="5">
        <v>3E+20</v>
      </c>
      <c r="U4" s="5">
        <v>0</v>
      </c>
      <c r="V4" s="5">
        <v>0.108433109514769</v>
      </c>
      <c r="W4" s="5">
        <v>0.108433109514769</v>
      </c>
      <c r="X4" s="5">
        <v>0</v>
      </c>
      <c r="Y4" s="5">
        <v>1</v>
      </c>
      <c r="AL4" t="s">
        <v>190</v>
      </c>
      <c r="AM4" t="s">
        <v>187</v>
      </c>
      <c r="AN4" t="s">
        <v>80</v>
      </c>
      <c r="AO4" s="5">
        <v>7235</v>
      </c>
      <c r="AP4" s="5">
        <v>4E+20</v>
      </c>
      <c r="AQ4" s="5">
        <v>0</v>
      </c>
      <c r="AR4" s="5">
        <v>7235</v>
      </c>
      <c r="AS4" s="5">
        <v>7235</v>
      </c>
    </row>
    <row r="5" spans="1:52" x14ac:dyDescent="0.25">
      <c r="C5" t="s">
        <v>85</v>
      </c>
      <c r="D5" t="s">
        <v>80</v>
      </c>
      <c r="E5" s="5">
        <v>0.16230064882199799</v>
      </c>
      <c r="F5" s="5">
        <v>1</v>
      </c>
      <c r="G5" s="5">
        <v>2E+20</v>
      </c>
      <c r="H5" s="5">
        <v>0</v>
      </c>
      <c r="I5" s="5">
        <v>0.16230064882199799</v>
      </c>
      <c r="J5" s="5">
        <v>0.16230064882199799</v>
      </c>
      <c r="K5" s="5">
        <v>5.5797619731336602E-2</v>
      </c>
      <c r="L5" s="5">
        <v>0.24978741802230101</v>
      </c>
      <c r="M5" s="5">
        <v>7</v>
      </c>
      <c r="Q5" t="s">
        <v>137</v>
      </c>
      <c r="R5" t="s">
        <v>136</v>
      </c>
      <c r="S5" s="5">
        <v>0.108433109514769</v>
      </c>
      <c r="T5" s="5">
        <v>3E+20</v>
      </c>
      <c r="U5" s="5">
        <v>0</v>
      </c>
      <c r="V5" s="5">
        <v>0.108433109514769</v>
      </c>
      <c r="W5" s="5">
        <v>0.108433109514769</v>
      </c>
      <c r="X5" s="5">
        <v>0</v>
      </c>
      <c r="Y5" s="5">
        <v>1</v>
      </c>
      <c r="AL5" t="s">
        <v>191</v>
      </c>
      <c r="AM5" t="s">
        <v>189</v>
      </c>
      <c r="AN5" t="s">
        <v>80</v>
      </c>
      <c r="AO5" s="5">
        <v>7204</v>
      </c>
      <c r="AP5" s="5">
        <v>4E+20</v>
      </c>
      <c r="AQ5" s="5">
        <v>0</v>
      </c>
      <c r="AR5" s="5">
        <v>7204</v>
      </c>
      <c r="AS5" s="5">
        <v>7204</v>
      </c>
    </row>
    <row r="6" spans="1:52" x14ac:dyDescent="0.25">
      <c r="C6" t="s">
        <v>87</v>
      </c>
      <c r="D6" t="s">
        <v>80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7</v>
      </c>
      <c r="Q6" t="s">
        <v>138</v>
      </c>
      <c r="R6" t="s">
        <v>136</v>
      </c>
      <c r="S6" s="5">
        <v>0.58331561043584501</v>
      </c>
      <c r="T6" s="5">
        <v>2E+20</v>
      </c>
      <c r="U6" s="5">
        <v>0</v>
      </c>
      <c r="V6" s="5">
        <v>0.58331561043584501</v>
      </c>
      <c r="W6" s="5">
        <v>0.58331561043584501</v>
      </c>
      <c r="X6" s="5">
        <v>0</v>
      </c>
      <c r="Y6" s="5">
        <v>1</v>
      </c>
      <c r="AL6" t="s">
        <v>164</v>
      </c>
      <c r="AM6" t="s">
        <v>79</v>
      </c>
      <c r="AN6" t="s">
        <v>165</v>
      </c>
      <c r="AO6" s="5">
        <v>0</v>
      </c>
      <c r="AP6" s="5">
        <v>4E+20</v>
      </c>
      <c r="AQ6" s="5">
        <v>0</v>
      </c>
      <c r="AR6" s="5">
        <v>0</v>
      </c>
      <c r="AS6" s="5">
        <v>0</v>
      </c>
    </row>
    <row r="7" spans="1:52" x14ac:dyDescent="0.25">
      <c r="C7" t="s">
        <v>89</v>
      </c>
      <c r="D7" t="s">
        <v>80</v>
      </c>
      <c r="E7" s="5">
        <v>3.42239003398443E-2</v>
      </c>
      <c r="F7" s="5">
        <v>1</v>
      </c>
      <c r="G7" s="5">
        <v>2E+20</v>
      </c>
      <c r="H7" s="5">
        <v>0</v>
      </c>
      <c r="I7" s="5">
        <v>3.42239003398443E-2</v>
      </c>
      <c r="J7" s="5">
        <v>3.42239003398443E-2</v>
      </c>
      <c r="K7" s="5">
        <v>2.9157961042942701E-2</v>
      </c>
      <c r="L7" s="5">
        <v>3.73674984491714E-2</v>
      </c>
      <c r="M7" s="5">
        <v>7</v>
      </c>
      <c r="P7" t="s">
        <v>71</v>
      </c>
      <c r="Q7" t="s">
        <v>139</v>
      </c>
      <c r="R7" t="s">
        <v>73</v>
      </c>
      <c r="S7" s="5">
        <v>0.70638818364012401</v>
      </c>
      <c r="T7" s="5">
        <v>3E+20</v>
      </c>
      <c r="U7" s="5">
        <v>0</v>
      </c>
      <c r="V7" s="5">
        <v>0.70638818364012401</v>
      </c>
      <c r="W7" s="5">
        <v>0.70638818364012401</v>
      </c>
      <c r="X7" s="5">
        <v>0</v>
      </c>
      <c r="Y7" s="5">
        <v>3</v>
      </c>
      <c r="AL7" t="s">
        <v>166</v>
      </c>
      <c r="AM7" t="s">
        <v>82</v>
      </c>
      <c r="AN7" t="s">
        <v>165</v>
      </c>
      <c r="AO7" s="5">
        <v>0</v>
      </c>
      <c r="AP7" s="5">
        <v>4E+20</v>
      </c>
      <c r="AQ7" s="5">
        <v>0</v>
      </c>
      <c r="AR7" s="5">
        <v>0</v>
      </c>
      <c r="AS7" s="5">
        <v>0</v>
      </c>
    </row>
    <row r="8" spans="1:52" x14ac:dyDescent="0.25">
      <c r="C8" t="s">
        <v>91</v>
      </c>
      <c r="D8" t="s">
        <v>80</v>
      </c>
      <c r="E8" s="5">
        <v>0.27311475470444802</v>
      </c>
      <c r="F8" s="5">
        <v>1</v>
      </c>
      <c r="G8" s="5">
        <v>2E+20</v>
      </c>
      <c r="H8" s="5">
        <v>0</v>
      </c>
      <c r="I8" s="5">
        <v>0.27311475470444802</v>
      </c>
      <c r="J8" s="5">
        <v>0.27311475470444802</v>
      </c>
      <c r="K8" s="5">
        <v>0.15412615213487699</v>
      </c>
      <c r="L8" s="5">
        <v>0.40833613998929502</v>
      </c>
      <c r="M8" s="5">
        <v>7</v>
      </c>
      <c r="P8" t="s">
        <v>75</v>
      </c>
      <c r="Q8" t="s">
        <v>139</v>
      </c>
      <c r="R8" t="s">
        <v>73</v>
      </c>
      <c r="S8" s="5">
        <v>0.33448787429177601</v>
      </c>
      <c r="T8" s="5">
        <v>3E+20</v>
      </c>
      <c r="U8" s="5">
        <v>0</v>
      </c>
      <c r="V8" s="5">
        <v>0.33448787429177601</v>
      </c>
      <c r="W8" s="5">
        <v>0.33448787429177601</v>
      </c>
      <c r="X8" s="5">
        <v>0</v>
      </c>
      <c r="Y8" s="5">
        <v>2</v>
      </c>
      <c r="AL8" t="s">
        <v>167</v>
      </c>
      <c r="AM8" t="s">
        <v>84</v>
      </c>
      <c r="AN8" t="s">
        <v>165</v>
      </c>
      <c r="AO8" s="5">
        <v>0</v>
      </c>
      <c r="AP8" s="5">
        <v>4E+20</v>
      </c>
      <c r="AQ8" s="5">
        <v>0</v>
      </c>
      <c r="AR8" s="5">
        <v>0</v>
      </c>
      <c r="AS8" s="5">
        <v>0</v>
      </c>
    </row>
    <row r="9" spans="1:52" x14ac:dyDescent="0.25">
      <c r="C9" t="s">
        <v>79</v>
      </c>
      <c r="D9" t="s">
        <v>80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7</v>
      </c>
      <c r="P9" t="s">
        <v>76</v>
      </c>
      <c r="Q9" t="s">
        <v>139</v>
      </c>
      <c r="R9" t="s">
        <v>73</v>
      </c>
      <c r="S9" s="5">
        <v>0.33363405923022299</v>
      </c>
      <c r="T9" s="5">
        <v>3E+20</v>
      </c>
      <c r="U9" s="5">
        <v>0</v>
      </c>
      <c r="V9" s="5">
        <v>0.33363405923022299</v>
      </c>
      <c r="W9" s="5">
        <v>0.33363405923022299</v>
      </c>
      <c r="X9" s="5">
        <v>0</v>
      </c>
      <c r="Y9" s="5">
        <v>2</v>
      </c>
      <c r="AL9" t="s">
        <v>168</v>
      </c>
      <c r="AM9" t="s">
        <v>169</v>
      </c>
      <c r="AN9" t="s">
        <v>165</v>
      </c>
      <c r="AO9" s="5">
        <v>0</v>
      </c>
      <c r="AP9" s="5">
        <v>4E+20</v>
      </c>
      <c r="AQ9" s="5">
        <v>0</v>
      </c>
      <c r="AR9" s="5">
        <v>0</v>
      </c>
      <c r="AS9" s="5">
        <v>0</v>
      </c>
    </row>
    <row r="10" spans="1:52" x14ac:dyDescent="0.25">
      <c r="C10" t="s">
        <v>82</v>
      </c>
      <c r="D10" t="s">
        <v>80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7</v>
      </c>
      <c r="P10" t="s">
        <v>77</v>
      </c>
      <c r="Q10" t="s">
        <v>139</v>
      </c>
      <c r="R10" t="s">
        <v>73</v>
      </c>
      <c r="S10" s="5">
        <v>0.66612663747794398</v>
      </c>
      <c r="T10" s="5">
        <v>3E+20</v>
      </c>
      <c r="U10" s="5">
        <v>0</v>
      </c>
      <c r="V10" s="5">
        <v>0.66612663747794398</v>
      </c>
      <c r="W10" s="5">
        <v>0.66612663747794398</v>
      </c>
      <c r="X10" s="5">
        <v>0</v>
      </c>
      <c r="Y10" s="5">
        <v>3</v>
      </c>
      <c r="AL10" t="s">
        <v>170</v>
      </c>
      <c r="AM10" t="s">
        <v>88</v>
      </c>
      <c r="AN10" t="s">
        <v>165</v>
      </c>
      <c r="AO10" s="5">
        <v>0</v>
      </c>
      <c r="AP10" s="5">
        <v>4E+20</v>
      </c>
      <c r="AQ10" s="5">
        <v>0</v>
      </c>
      <c r="AR10" s="5">
        <v>0</v>
      </c>
      <c r="AS10" s="5">
        <v>0</v>
      </c>
    </row>
    <row r="11" spans="1:52" x14ac:dyDescent="0.25">
      <c r="C11" t="s">
        <v>84</v>
      </c>
      <c r="D11" t="s">
        <v>80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7</v>
      </c>
      <c r="P11" t="s">
        <v>78</v>
      </c>
      <c r="Q11" t="s">
        <v>140</v>
      </c>
      <c r="R11" t="s">
        <v>80</v>
      </c>
      <c r="S11" s="5">
        <v>8.6543341570239296E-2</v>
      </c>
      <c r="T11" s="5">
        <v>2E+20</v>
      </c>
      <c r="U11" s="5">
        <v>0</v>
      </c>
      <c r="V11" s="5">
        <v>8.6543341570239296E-2</v>
      </c>
      <c r="W11" s="5">
        <v>8.6543341570239296E-2</v>
      </c>
      <c r="X11" s="5">
        <v>0</v>
      </c>
      <c r="Y11" s="5">
        <v>3</v>
      </c>
      <c r="AL11" t="s">
        <v>171</v>
      </c>
      <c r="AM11" t="s">
        <v>90</v>
      </c>
      <c r="AN11" t="s">
        <v>165</v>
      </c>
      <c r="AO11" s="5">
        <v>0</v>
      </c>
      <c r="AP11" s="5">
        <v>4E+20</v>
      </c>
      <c r="AQ11" s="5">
        <v>0</v>
      </c>
      <c r="AR11" s="5">
        <v>0</v>
      </c>
      <c r="AS11" s="5">
        <v>0</v>
      </c>
    </row>
    <row r="12" spans="1:52" x14ac:dyDescent="0.25">
      <c r="C12" t="s">
        <v>86</v>
      </c>
      <c r="D12" t="s">
        <v>80</v>
      </c>
      <c r="E12" s="5">
        <v>0</v>
      </c>
      <c r="F12" s="5">
        <v>1</v>
      </c>
      <c r="G12" s="5">
        <v>2E+20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7</v>
      </c>
      <c r="P12" t="s">
        <v>93</v>
      </c>
      <c r="Q12" t="s">
        <v>140</v>
      </c>
      <c r="R12" t="s">
        <v>80</v>
      </c>
      <c r="S12" s="5">
        <v>20.877832467085501</v>
      </c>
      <c r="T12" s="5">
        <v>3E+20</v>
      </c>
      <c r="U12" s="5">
        <v>0</v>
      </c>
      <c r="V12" s="5">
        <v>20.877832467085501</v>
      </c>
      <c r="W12" s="5">
        <v>20.877832467085501</v>
      </c>
      <c r="X12" s="5">
        <v>0</v>
      </c>
      <c r="Y12" s="5">
        <v>42</v>
      </c>
      <c r="AL12" t="s">
        <v>172</v>
      </c>
      <c r="AM12" t="s">
        <v>173</v>
      </c>
      <c r="AN12" t="s">
        <v>165</v>
      </c>
      <c r="AO12" s="5">
        <v>0</v>
      </c>
      <c r="AP12" s="5">
        <v>4E+20</v>
      </c>
      <c r="AQ12" s="5">
        <v>0</v>
      </c>
      <c r="AR12" s="5">
        <v>0</v>
      </c>
      <c r="AS12" s="5">
        <v>0</v>
      </c>
    </row>
    <row r="13" spans="1:52" x14ac:dyDescent="0.25">
      <c r="C13" t="s">
        <v>88</v>
      </c>
      <c r="D13" t="s">
        <v>80</v>
      </c>
      <c r="E13" s="5">
        <v>0</v>
      </c>
      <c r="F13" s="5">
        <v>1</v>
      </c>
      <c r="G13" s="5">
        <v>2E+20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7</v>
      </c>
      <c r="P13" t="s">
        <v>94</v>
      </c>
      <c r="Q13" t="s">
        <v>140</v>
      </c>
      <c r="R13" t="s">
        <v>80</v>
      </c>
      <c r="S13" s="5">
        <v>18.807822425644702</v>
      </c>
      <c r="T13" s="5">
        <v>3E+20</v>
      </c>
      <c r="U13" s="5">
        <v>0</v>
      </c>
      <c r="V13" s="5">
        <v>18.807822425644702</v>
      </c>
      <c r="W13" s="5">
        <v>18.807822425644702</v>
      </c>
      <c r="X13" s="5">
        <v>0</v>
      </c>
      <c r="Y13" s="5">
        <v>44</v>
      </c>
      <c r="AL13" t="s">
        <v>174</v>
      </c>
      <c r="AM13" t="s">
        <v>175</v>
      </c>
      <c r="AN13" t="s">
        <v>165</v>
      </c>
      <c r="AO13" s="5">
        <v>0</v>
      </c>
      <c r="AP13" s="5">
        <v>4E+20</v>
      </c>
      <c r="AQ13" s="5">
        <v>0</v>
      </c>
      <c r="AR13" s="5">
        <v>0</v>
      </c>
      <c r="AS13" s="5">
        <v>0</v>
      </c>
    </row>
    <row r="14" spans="1:52" x14ac:dyDescent="0.25">
      <c r="C14" t="s">
        <v>90</v>
      </c>
      <c r="D14" t="s">
        <v>80</v>
      </c>
      <c r="E14" s="5">
        <v>0</v>
      </c>
      <c r="F14" s="5">
        <v>1</v>
      </c>
      <c r="G14" s="5">
        <v>2E+20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7</v>
      </c>
      <c r="P14" t="s">
        <v>141</v>
      </c>
      <c r="Q14" t="s">
        <v>135</v>
      </c>
      <c r="R14" t="s">
        <v>136</v>
      </c>
      <c r="S14" s="5">
        <v>0.92075442211088998</v>
      </c>
      <c r="T14" s="5">
        <v>2E+20</v>
      </c>
      <c r="U14" s="5">
        <v>0</v>
      </c>
      <c r="V14" s="5">
        <v>0.92075442211088998</v>
      </c>
      <c r="W14" s="5">
        <v>0.92075442211088998</v>
      </c>
      <c r="X14" s="5">
        <v>0</v>
      </c>
      <c r="Y14" s="5">
        <v>1</v>
      </c>
      <c r="AL14" t="s">
        <v>176</v>
      </c>
      <c r="AM14" t="s">
        <v>84</v>
      </c>
      <c r="AN14" t="s">
        <v>165</v>
      </c>
      <c r="AO14" s="5">
        <v>0</v>
      </c>
      <c r="AP14" s="5">
        <v>4E+20</v>
      </c>
      <c r="AQ14" s="5">
        <v>0</v>
      </c>
      <c r="AR14" s="5">
        <v>0</v>
      </c>
      <c r="AS14" s="5">
        <v>0</v>
      </c>
    </row>
    <row r="15" spans="1:52" x14ac:dyDescent="0.25">
      <c r="B15" t="s">
        <v>71</v>
      </c>
      <c r="C15" t="s">
        <v>74</v>
      </c>
      <c r="D15" t="s">
        <v>73</v>
      </c>
      <c r="E15" s="5">
        <v>6.1187786182283601E-3</v>
      </c>
      <c r="F15" s="5">
        <v>1</v>
      </c>
      <c r="G15" s="5">
        <v>1.6989642477940299E-3</v>
      </c>
      <c r="H15" s="5">
        <v>0</v>
      </c>
      <c r="I15" s="5">
        <v>6.1187786182283601E-3</v>
      </c>
      <c r="J15" s="5">
        <v>6.1187786182283601E-3</v>
      </c>
      <c r="K15" s="5">
        <v>0</v>
      </c>
      <c r="L15" s="5">
        <v>1.00933579764523</v>
      </c>
      <c r="M15" s="5">
        <v>2769</v>
      </c>
      <c r="Q15" t="s">
        <v>137</v>
      </c>
      <c r="R15" t="s">
        <v>136</v>
      </c>
      <c r="S15" s="5">
        <v>3.6830176884435599</v>
      </c>
      <c r="T15" s="5">
        <v>2E+20</v>
      </c>
      <c r="U15" s="5">
        <v>0</v>
      </c>
      <c r="V15" s="5">
        <v>3.6830176884435599</v>
      </c>
      <c r="W15" s="5">
        <v>3.6830176884435599</v>
      </c>
      <c r="X15" s="5">
        <v>0</v>
      </c>
      <c r="Y15" s="5">
        <v>4</v>
      </c>
      <c r="AL15" t="s">
        <v>177</v>
      </c>
      <c r="AM15" t="s">
        <v>178</v>
      </c>
      <c r="AN15" t="s">
        <v>165</v>
      </c>
      <c r="AO15" s="5">
        <v>0</v>
      </c>
      <c r="AP15" s="5">
        <v>4E+20</v>
      </c>
      <c r="AQ15" s="5">
        <v>0</v>
      </c>
      <c r="AR15" s="5">
        <v>0</v>
      </c>
      <c r="AS15" s="5">
        <v>0</v>
      </c>
    </row>
    <row r="16" spans="1:52" x14ac:dyDescent="0.25">
      <c r="C16" t="s">
        <v>72</v>
      </c>
      <c r="D16" t="s">
        <v>73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2769</v>
      </c>
      <c r="Q16" t="s">
        <v>138</v>
      </c>
      <c r="R16" t="s">
        <v>136</v>
      </c>
      <c r="S16" s="5">
        <v>4</v>
      </c>
      <c r="T16" s="5">
        <v>2E+20</v>
      </c>
      <c r="U16" s="5">
        <v>0</v>
      </c>
      <c r="V16" s="5">
        <v>4</v>
      </c>
      <c r="W16" s="5">
        <v>4</v>
      </c>
      <c r="X16" s="5">
        <v>4</v>
      </c>
      <c r="Y16" s="5">
        <v>4</v>
      </c>
      <c r="AL16" t="s">
        <v>179</v>
      </c>
      <c r="AM16" t="s">
        <v>173</v>
      </c>
      <c r="AN16" t="s">
        <v>136</v>
      </c>
      <c r="AO16" s="5">
        <v>0</v>
      </c>
      <c r="AP16" s="5">
        <v>4E+20</v>
      </c>
      <c r="AQ16" s="5">
        <v>0</v>
      </c>
      <c r="AR16" s="5">
        <v>0</v>
      </c>
      <c r="AS16" s="5">
        <v>0</v>
      </c>
    </row>
    <row r="17" spans="2:45" x14ac:dyDescent="0.25">
      <c r="B17" t="s">
        <v>75</v>
      </c>
      <c r="C17" t="s">
        <v>74</v>
      </c>
      <c r="D17" t="s">
        <v>73</v>
      </c>
      <c r="E17" s="5">
        <v>1.9150069138842199E-3</v>
      </c>
      <c r="F17" s="5">
        <v>1</v>
      </c>
      <c r="G17" s="5">
        <v>4.9625924607949595E-4</v>
      </c>
      <c r="H17" s="5">
        <v>0</v>
      </c>
      <c r="I17" s="5">
        <v>1.9150069138842199E-3</v>
      </c>
      <c r="J17" s="5">
        <v>1.9150069138842199E-3</v>
      </c>
      <c r="K17" s="5">
        <v>0</v>
      </c>
      <c r="L17" s="5">
        <v>1.0030500517329699</v>
      </c>
      <c r="M17" s="5">
        <v>4192</v>
      </c>
      <c r="P17" t="s">
        <v>142</v>
      </c>
      <c r="Q17" t="s">
        <v>135</v>
      </c>
      <c r="R17" t="s">
        <v>136</v>
      </c>
      <c r="S17" s="5">
        <v>0.489709043616947</v>
      </c>
      <c r="T17" s="5">
        <v>3E+20</v>
      </c>
      <c r="U17" s="5">
        <v>0</v>
      </c>
      <c r="V17" s="5">
        <v>0.489709043616947</v>
      </c>
      <c r="W17" s="5">
        <v>0.489709043616947</v>
      </c>
      <c r="X17" s="5">
        <v>0</v>
      </c>
      <c r="Y17" s="5">
        <v>1</v>
      </c>
      <c r="AL17" t="s">
        <v>180</v>
      </c>
      <c r="AM17" t="s">
        <v>175</v>
      </c>
      <c r="AN17" t="s">
        <v>136</v>
      </c>
      <c r="AO17" s="5">
        <v>0</v>
      </c>
      <c r="AP17" s="5">
        <v>4E+20</v>
      </c>
      <c r="AQ17" s="5">
        <v>0</v>
      </c>
      <c r="AR17" s="5">
        <v>0</v>
      </c>
      <c r="AS17" s="5">
        <v>0</v>
      </c>
    </row>
    <row r="18" spans="2:45" x14ac:dyDescent="0.25">
      <c r="C18" t="s">
        <v>72</v>
      </c>
      <c r="D18" t="s">
        <v>73</v>
      </c>
      <c r="E18" s="5">
        <v>0</v>
      </c>
      <c r="F18" s="5">
        <v>1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4192</v>
      </c>
      <c r="Q18" t="s">
        <v>137</v>
      </c>
      <c r="R18" t="s">
        <v>136</v>
      </c>
      <c r="S18" s="5">
        <v>1.46912713085083</v>
      </c>
      <c r="T18" s="5">
        <v>3E+20</v>
      </c>
      <c r="U18" s="5">
        <v>0</v>
      </c>
      <c r="V18" s="5">
        <v>1.46912713085083</v>
      </c>
      <c r="W18" s="5">
        <v>1.46912713085083</v>
      </c>
      <c r="X18" s="5">
        <v>0</v>
      </c>
      <c r="Y18" s="5">
        <v>3</v>
      </c>
      <c r="AL18" t="s">
        <v>181</v>
      </c>
      <c r="AM18" t="s">
        <v>182</v>
      </c>
      <c r="AN18" t="s">
        <v>136</v>
      </c>
      <c r="AO18" s="5">
        <v>2818</v>
      </c>
      <c r="AP18" s="5">
        <v>4E+20</v>
      </c>
      <c r="AQ18" s="5">
        <v>0</v>
      </c>
      <c r="AR18" s="5">
        <v>2818</v>
      </c>
      <c r="AS18" s="5">
        <v>2818</v>
      </c>
    </row>
    <row r="19" spans="2:45" x14ac:dyDescent="0.25">
      <c r="B19" t="s">
        <v>76</v>
      </c>
      <c r="C19" t="s">
        <v>74</v>
      </c>
      <c r="D19" t="s">
        <v>73</v>
      </c>
      <c r="E19" s="5">
        <v>9.2100499442435298E-4</v>
      </c>
      <c r="F19" s="5">
        <v>1</v>
      </c>
      <c r="G19" s="5">
        <v>2.4130090306216401E-4</v>
      </c>
      <c r="H19" s="5">
        <v>0</v>
      </c>
      <c r="I19" s="5">
        <v>9.2100499442435298E-4</v>
      </c>
      <c r="J19" s="5">
        <v>9.2100499442435298E-4</v>
      </c>
      <c r="K19" s="5">
        <v>0</v>
      </c>
      <c r="L19" s="5">
        <v>1.00145322527628</v>
      </c>
      <c r="M19" s="5">
        <v>8694</v>
      </c>
      <c r="Q19" t="s">
        <v>138</v>
      </c>
      <c r="R19" t="s">
        <v>136</v>
      </c>
      <c r="S19" s="5">
        <v>3</v>
      </c>
      <c r="T19" s="5">
        <v>2E+20</v>
      </c>
      <c r="U19" s="5">
        <v>0</v>
      </c>
      <c r="V19" s="5">
        <v>3</v>
      </c>
      <c r="W19" s="5">
        <v>3</v>
      </c>
      <c r="X19" s="5">
        <v>3</v>
      </c>
      <c r="Y19" s="5">
        <v>3</v>
      </c>
      <c r="AL19" t="s">
        <v>183</v>
      </c>
      <c r="AM19" t="s">
        <v>184</v>
      </c>
      <c r="AN19" t="s">
        <v>136</v>
      </c>
      <c r="AO19" s="5">
        <v>0.185890978356896</v>
      </c>
      <c r="AP19" s="5">
        <v>4E+20</v>
      </c>
      <c r="AQ19" s="5">
        <v>0</v>
      </c>
      <c r="AR19" s="5">
        <v>0.185890978356896</v>
      </c>
      <c r="AS19" s="5">
        <v>0.185890978356896</v>
      </c>
    </row>
    <row r="20" spans="2:45" x14ac:dyDescent="0.25">
      <c r="C20" t="s">
        <v>72</v>
      </c>
      <c r="D20" t="s">
        <v>73</v>
      </c>
      <c r="E20" s="5">
        <v>0</v>
      </c>
      <c r="F20" s="5">
        <v>1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8694</v>
      </c>
      <c r="P20" t="s">
        <v>143</v>
      </c>
      <c r="Q20" t="s">
        <v>135</v>
      </c>
      <c r="R20" t="s">
        <v>136</v>
      </c>
      <c r="S20" s="5">
        <v>0.40981440879308101</v>
      </c>
      <c r="T20" s="5">
        <v>3E+20</v>
      </c>
      <c r="U20" s="5">
        <v>0</v>
      </c>
      <c r="V20" s="5">
        <v>0.40981440879308101</v>
      </c>
      <c r="W20" s="5">
        <v>0.40981440879308101</v>
      </c>
      <c r="X20" s="5">
        <v>0</v>
      </c>
      <c r="Y20" s="5">
        <v>1</v>
      </c>
      <c r="AL20" t="s">
        <v>185</v>
      </c>
      <c r="AM20" t="s">
        <v>178</v>
      </c>
      <c r="AN20" t="s">
        <v>136</v>
      </c>
      <c r="AO20" s="5">
        <v>0</v>
      </c>
      <c r="AP20" s="5">
        <v>4E+20</v>
      </c>
      <c r="AQ20" s="5">
        <v>0</v>
      </c>
      <c r="AR20" s="5">
        <v>0</v>
      </c>
      <c r="AS20" s="5">
        <v>0</v>
      </c>
    </row>
    <row r="21" spans="2:45" x14ac:dyDescent="0.25">
      <c r="B21" t="s">
        <v>77</v>
      </c>
      <c r="C21" t="s">
        <v>74</v>
      </c>
      <c r="D21" t="s">
        <v>73</v>
      </c>
      <c r="E21" s="5">
        <v>1.8908440734168299E-3</v>
      </c>
      <c r="F21" s="5">
        <v>1</v>
      </c>
      <c r="G21" s="5">
        <v>3.2950636737314202E-4</v>
      </c>
      <c r="H21" s="5">
        <v>0</v>
      </c>
      <c r="I21" s="5">
        <v>1.8908440734168299E-3</v>
      </c>
      <c r="J21" s="5">
        <v>1.8908440734168299E-3</v>
      </c>
      <c r="K21" s="5">
        <v>0</v>
      </c>
      <c r="L21" s="5">
        <v>1.00313773952281</v>
      </c>
      <c r="M21" s="5">
        <v>8454</v>
      </c>
      <c r="Q21" t="s">
        <v>137</v>
      </c>
      <c r="R21" t="s">
        <v>136</v>
      </c>
      <c r="S21" s="5">
        <v>1.2294432263792401</v>
      </c>
      <c r="T21" s="5">
        <v>3E+20</v>
      </c>
      <c r="U21" s="5">
        <v>0</v>
      </c>
      <c r="V21" s="5">
        <v>1.2294432263792401</v>
      </c>
      <c r="W21" s="5">
        <v>1.2294432263792401</v>
      </c>
      <c r="X21" s="5">
        <v>0</v>
      </c>
      <c r="Y21" s="5">
        <v>3</v>
      </c>
      <c r="AL21" t="s">
        <v>186</v>
      </c>
      <c r="AM21" t="s">
        <v>187</v>
      </c>
      <c r="AN21" t="s">
        <v>80</v>
      </c>
      <c r="AO21" s="5">
        <v>127</v>
      </c>
      <c r="AP21" s="5">
        <v>4E+20</v>
      </c>
      <c r="AQ21" s="5">
        <v>0</v>
      </c>
      <c r="AR21" s="5">
        <v>127</v>
      </c>
      <c r="AS21" s="5">
        <v>127</v>
      </c>
    </row>
    <row r="22" spans="2:45" x14ac:dyDescent="0.25">
      <c r="C22" t="s">
        <v>72</v>
      </c>
      <c r="D22" t="s">
        <v>73</v>
      </c>
      <c r="E22" s="5">
        <v>0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8454</v>
      </c>
      <c r="Q22" t="s">
        <v>138</v>
      </c>
      <c r="R22" t="s">
        <v>136</v>
      </c>
      <c r="S22" s="5">
        <v>3</v>
      </c>
      <c r="T22" s="5">
        <v>2E+20</v>
      </c>
      <c r="U22" s="5">
        <v>0</v>
      </c>
      <c r="V22" s="5">
        <v>3</v>
      </c>
      <c r="W22" s="5">
        <v>3</v>
      </c>
      <c r="X22" s="5">
        <v>3</v>
      </c>
      <c r="Y22" s="5">
        <v>3</v>
      </c>
      <c r="AL22" t="s">
        <v>188</v>
      </c>
      <c r="AM22" t="s">
        <v>189</v>
      </c>
      <c r="AN22" t="s">
        <v>80</v>
      </c>
      <c r="AO22" s="5">
        <v>127</v>
      </c>
      <c r="AP22" s="5">
        <v>4E+20</v>
      </c>
      <c r="AQ22" s="5">
        <v>0</v>
      </c>
      <c r="AR22" s="5">
        <v>127</v>
      </c>
      <c r="AS22" s="5">
        <v>127</v>
      </c>
    </row>
    <row r="23" spans="2:45" x14ac:dyDescent="0.25">
      <c r="B23" t="s">
        <v>78</v>
      </c>
      <c r="C23" t="s">
        <v>81</v>
      </c>
      <c r="D23" t="s">
        <v>80</v>
      </c>
      <c r="E23" s="5">
        <v>0</v>
      </c>
      <c r="F23" s="5">
        <v>1</v>
      </c>
      <c r="G23" s="5">
        <v>2E+20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127</v>
      </c>
      <c r="P23" t="s">
        <v>144</v>
      </c>
      <c r="Q23" t="s">
        <v>135</v>
      </c>
      <c r="R23" t="s">
        <v>136</v>
      </c>
      <c r="S23" s="5">
        <v>0.99437007322419102</v>
      </c>
      <c r="T23" s="5">
        <v>2E+20</v>
      </c>
      <c r="U23" s="5">
        <v>0</v>
      </c>
      <c r="V23" s="5">
        <v>0.99437007322419102</v>
      </c>
      <c r="W23" s="5">
        <v>0.99437007322419102</v>
      </c>
      <c r="X23" s="5">
        <v>0</v>
      </c>
      <c r="Y23" s="5">
        <v>1</v>
      </c>
      <c r="AL23" t="s">
        <v>192</v>
      </c>
      <c r="AM23" t="s">
        <v>187</v>
      </c>
      <c r="AN23" t="s">
        <v>80</v>
      </c>
      <c r="AO23" s="5">
        <v>2955</v>
      </c>
      <c r="AP23" s="5">
        <v>4E+20</v>
      </c>
      <c r="AQ23" s="5">
        <v>0</v>
      </c>
      <c r="AR23" s="5">
        <v>2955</v>
      </c>
      <c r="AS23" s="5">
        <v>2955</v>
      </c>
    </row>
    <row r="24" spans="2:45" x14ac:dyDescent="0.25">
      <c r="C24" t="s">
        <v>83</v>
      </c>
      <c r="D24" t="s">
        <v>80</v>
      </c>
      <c r="E24" s="5">
        <v>0</v>
      </c>
      <c r="F24" s="5">
        <v>1</v>
      </c>
      <c r="G24" s="5">
        <v>2E+20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127</v>
      </c>
      <c r="Q24" t="s">
        <v>137</v>
      </c>
      <c r="R24" t="s">
        <v>136</v>
      </c>
      <c r="S24" s="5">
        <v>1.98874014644838</v>
      </c>
      <c r="T24" s="5">
        <v>2E+20</v>
      </c>
      <c r="U24" s="5">
        <v>0</v>
      </c>
      <c r="V24" s="5">
        <v>1.98874014644838</v>
      </c>
      <c r="W24" s="5">
        <v>1.98874014644838</v>
      </c>
      <c r="X24" s="5">
        <v>0</v>
      </c>
      <c r="Y24" s="5">
        <v>2</v>
      </c>
      <c r="AL24" t="s">
        <v>193</v>
      </c>
      <c r="AM24" t="s">
        <v>189</v>
      </c>
      <c r="AN24" t="s">
        <v>80</v>
      </c>
      <c r="AO24" s="5">
        <v>2917</v>
      </c>
      <c r="AP24" s="5">
        <v>4E+20</v>
      </c>
      <c r="AQ24" s="5">
        <v>0</v>
      </c>
      <c r="AR24" s="5">
        <v>2917</v>
      </c>
      <c r="AS24" s="5">
        <v>2917</v>
      </c>
    </row>
    <row r="25" spans="2:45" x14ac:dyDescent="0.25">
      <c r="C25" t="s">
        <v>85</v>
      </c>
      <c r="D25" t="s">
        <v>80</v>
      </c>
      <c r="E25" s="5">
        <v>1.6354647225872002E-2</v>
      </c>
      <c r="F25" s="5">
        <v>1</v>
      </c>
      <c r="G25" s="5">
        <v>2E+20</v>
      </c>
      <c r="H25" s="5">
        <v>0</v>
      </c>
      <c r="I25" s="5">
        <v>1.6354647225872002E-2</v>
      </c>
      <c r="J25" s="5">
        <v>1.6354647225872002E-2</v>
      </c>
      <c r="K25" s="5">
        <v>0</v>
      </c>
      <c r="L25" s="5">
        <v>0.28466188240354401</v>
      </c>
      <c r="M25" s="5">
        <v>127</v>
      </c>
      <c r="Q25" t="s">
        <v>138</v>
      </c>
      <c r="R25" t="s">
        <v>136</v>
      </c>
      <c r="S25" s="5">
        <v>2</v>
      </c>
      <c r="T25" s="5">
        <v>2E+20</v>
      </c>
      <c r="U25" s="5">
        <v>0</v>
      </c>
      <c r="V25" s="5">
        <v>2</v>
      </c>
      <c r="W25" s="5">
        <v>2</v>
      </c>
      <c r="X25" s="5">
        <v>2</v>
      </c>
      <c r="Y25" s="5">
        <v>2</v>
      </c>
      <c r="AL25" t="s">
        <v>194</v>
      </c>
      <c r="AM25" t="s">
        <v>187</v>
      </c>
      <c r="AN25" t="s">
        <v>80</v>
      </c>
      <c r="AO25" s="5">
        <v>14978</v>
      </c>
      <c r="AP25" s="5">
        <v>4E+20</v>
      </c>
      <c r="AQ25" s="5">
        <v>0</v>
      </c>
      <c r="AR25" s="5">
        <v>14978</v>
      </c>
      <c r="AS25" s="5">
        <v>14978</v>
      </c>
    </row>
    <row r="26" spans="2:45" x14ac:dyDescent="0.25">
      <c r="C26" t="s">
        <v>87</v>
      </c>
      <c r="D26" t="s">
        <v>80</v>
      </c>
      <c r="E26" s="5">
        <v>0</v>
      </c>
      <c r="F26" s="5">
        <v>1</v>
      </c>
      <c r="G26" s="5">
        <v>2E+20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127</v>
      </c>
      <c r="P26" t="s">
        <v>145</v>
      </c>
      <c r="Q26" t="s">
        <v>135</v>
      </c>
      <c r="R26" t="s">
        <v>136</v>
      </c>
      <c r="S26" s="5">
        <v>0.64915601926033195</v>
      </c>
      <c r="T26" s="5">
        <v>2E+20</v>
      </c>
      <c r="U26" s="5">
        <v>0</v>
      </c>
      <c r="V26" s="5">
        <v>0.64915601926033195</v>
      </c>
      <c r="W26" s="5">
        <v>0.64915601926033195</v>
      </c>
      <c r="X26" s="5">
        <v>0</v>
      </c>
      <c r="Y26" s="5">
        <v>1</v>
      </c>
      <c r="AL26" t="s">
        <v>195</v>
      </c>
      <c r="AM26" t="s">
        <v>189</v>
      </c>
      <c r="AN26" t="s">
        <v>80</v>
      </c>
      <c r="AO26" s="5">
        <v>14940</v>
      </c>
      <c r="AP26" s="5">
        <v>4E+20</v>
      </c>
      <c r="AQ26" s="5">
        <v>0</v>
      </c>
      <c r="AR26" s="5">
        <v>14940</v>
      </c>
      <c r="AS26" s="5">
        <v>14940</v>
      </c>
    </row>
    <row r="27" spans="2:45" x14ac:dyDescent="0.25">
      <c r="C27" t="s">
        <v>89</v>
      </c>
      <c r="D27" t="s">
        <v>80</v>
      </c>
      <c r="E27" s="5">
        <v>1.3982161909108099E-2</v>
      </c>
      <c r="F27" s="5">
        <v>1</v>
      </c>
      <c r="G27" s="5">
        <v>2E+20</v>
      </c>
      <c r="H27" s="5">
        <v>0</v>
      </c>
      <c r="I27" s="5">
        <v>1.3982161909108099E-2</v>
      </c>
      <c r="J27" s="5">
        <v>1.3982161909108099E-2</v>
      </c>
      <c r="K27" s="5">
        <v>0</v>
      </c>
      <c r="L27" s="5">
        <v>0.16065896246063699</v>
      </c>
      <c r="M27" s="5">
        <v>127</v>
      </c>
      <c r="Q27" t="s">
        <v>137</v>
      </c>
      <c r="R27" t="s">
        <v>136</v>
      </c>
      <c r="S27" s="5">
        <v>3.2457800963016501</v>
      </c>
      <c r="T27" s="5">
        <v>2E+20</v>
      </c>
      <c r="U27" s="5">
        <v>0</v>
      </c>
      <c r="V27" s="5">
        <v>3.2457800963016501</v>
      </c>
      <c r="W27" s="5">
        <v>3.2457800963016501</v>
      </c>
      <c r="X27" s="5">
        <v>0</v>
      </c>
      <c r="Y27" s="5">
        <v>5</v>
      </c>
      <c r="AL27" t="s">
        <v>196</v>
      </c>
      <c r="AM27" t="s">
        <v>173</v>
      </c>
      <c r="AN27" t="s">
        <v>136</v>
      </c>
      <c r="AO27" s="5">
        <v>0</v>
      </c>
      <c r="AP27" s="5">
        <v>4E+20</v>
      </c>
      <c r="AQ27" s="5">
        <v>0</v>
      </c>
      <c r="AR27" s="5">
        <v>0</v>
      </c>
      <c r="AS27" s="5">
        <v>0</v>
      </c>
    </row>
    <row r="28" spans="2:45" x14ac:dyDescent="0.25">
      <c r="C28" t="s">
        <v>91</v>
      </c>
      <c r="D28" t="s">
        <v>80</v>
      </c>
      <c r="E28" s="5">
        <v>2.3724853167638601E-3</v>
      </c>
      <c r="F28" s="5">
        <v>1</v>
      </c>
      <c r="G28" s="5">
        <v>2E+20</v>
      </c>
      <c r="H28" s="5">
        <v>0</v>
      </c>
      <c r="I28" s="5">
        <v>2.3724853167638601E-3</v>
      </c>
      <c r="J28" s="5">
        <v>2.3724853167638601E-3</v>
      </c>
      <c r="K28" s="5">
        <v>0</v>
      </c>
      <c r="L28" s="5">
        <v>0.12400291994290701</v>
      </c>
      <c r="M28" s="5">
        <v>127</v>
      </c>
      <c r="Q28" t="s">
        <v>138</v>
      </c>
      <c r="R28" t="s">
        <v>136</v>
      </c>
      <c r="S28" s="5">
        <v>5</v>
      </c>
      <c r="T28" s="5">
        <v>2E+20</v>
      </c>
      <c r="U28" s="5">
        <v>0</v>
      </c>
      <c r="V28" s="5">
        <v>5</v>
      </c>
      <c r="W28" s="5">
        <v>5</v>
      </c>
      <c r="X28" s="5">
        <v>5</v>
      </c>
      <c r="Y28" s="5">
        <v>5</v>
      </c>
      <c r="AL28" t="s">
        <v>197</v>
      </c>
      <c r="AM28" t="s">
        <v>175</v>
      </c>
      <c r="AN28" t="s">
        <v>136</v>
      </c>
      <c r="AO28" s="5">
        <v>0</v>
      </c>
      <c r="AP28" s="5">
        <v>4E+20</v>
      </c>
      <c r="AQ28" s="5">
        <v>0</v>
      </c>
      <c r="AR28" s="5">
        <v>0</v>
      </c>
      <c r="AS28" s="5">
        <v>0</v>
      </c>
    </row>
    <row r="29" spans="2:45" x14ac:dyDescent="0.25">
      <c r="C29" t="s">
        <v>79</v>
      </c>
      <c r="D29" t="s">
        <v>80</v>
      </c>
      <c r="E29" s="5">
        <v>0</v>
      </c>
      <c r="F29" s="5">
        <v>1</v>
      </c>
      <c r="G29" s="5">
        <v>2E+20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127</v>
      </c>
      <c r="P29" t="s">
        <v>146</v>
      </c>
      <c r="Q29" t="s">
        <v>135</v>
      </c>
      <c r="R29" t="s">
        <v>136</v>
      </c>
      <c r="S29" s="5">
        <v>0.66607687117899494</v>
      </c>
      <c r="T29" s="5">
        <v>2E+20</v>
      </c>
      <c r="U29" s="5">
        <v>0</v>
      </c>
      <c r="V29" s="5">
        <v>0.66607687117899494</v>
      </c>
      <c r="W29" s="5">
        <v>0.66607687117899494</v>
      </c>
      <c r="X29" s="5">
        <v>0</v>
      </c>
      <c r="Y29" s="5">
        <v>1</v>
      </c>
      <c r="AL29" t="s">
        <v>198</v>
      </c>
      <c r="AM29" t="s">
        <v>182</v>
      </c>
      <c r="AN29" t="s">
        <v>136</v>
      </c>
      <c r="AO29" s="5">
        <v>4198</v>
      </c>
      <c r="AP29" s="5">
        <v>4E+20</v>
      </c>
      <c r="AQ29" s="5">
        <v>0</v>
      </c>
      <c r="AR29" s="5">
        <v>4198</v>
      </c>
      <c r="AS29" s="5">
        <v>4198</v>
      </c>
    </row>
    <row r="30" spans="2:45" x14ac:dyDescent="0.25">
      <c r="C30" t="s">
        <v>82</v>
      </c>
      <c r="D30" t="s">
        <v>80</v>
      </c>
      <c r="E30" s="5">
        <v>0</v>
      </c>
      <c r="F30" s="5">
        <v>1</v>
      </c>
      <c r="G30" s="5">
        <v>2E+20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127</v>
      </c>
      <c r="Q30" t="s">
        <v>137</v>
      </c>
      <c r="R30" t="s">
        <v>136</v>
      </c>
      <c r="S30" s="5">
        <v>2.6643074847159798</v>
      </c>
      <c r="T30" s="5">
        <v>2E+20</v>
      </c>
      <c r="U30" s="5">
        <v>0</v>
      </c>
      <c r="V30" s="5">
        <v>2.6643074847159798</v>
      </c>
      <c r="W30" s="5">
        <v>2.6643074847159798</v>
      </c>
      <c r="X30" s="5">
        <v>0</v>
      </c>
      <c r="Y30" s="5">
        <v>4</v>
      </c>
      <c r="AL30" t="s">
        <v>199</v>
      </c>
      <c r="AM30" t="s">
        <v>184</v>
      </c>
      <c r="AN30" t="s">
        <v>136</v>
      </c>
      <c r="AO30" s="5">
        <v>0.92075442211088998</v>
      </c>
      <c r="AP30" s="5">
        <v>4E+20</v>
      </c>
      <c r="AQ30" s="5">
        <v>0</v>
      </c>
      <c r="AR30" s="5">
        <v>0.92075442211088998</v>
      </c>
      <c r="AS30" s="5">
        <v>0.92075442211088998</v>
      </c>
    </row>
    <row r="31" spans="2:45" x14ac:dyDescent="0.25">
      <c r="C31" t="s">
        <v>84</v>
      </c>
      <c r="D31" t="s">
        <v>80</v>
      </c>
      <c r="E31" s="5">
        <v>0</v>
      </c>
      <c r="F31" s="5">
        <v>1</v>
      </c>
      <c r="G31" s="5">
        <v>2E+20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127</v>
      </c>
      <c r="Q31" t="s">
        <v>138</v>
      </c>
      <c r="R31" t="s">
        <v>136</v>
      </c>
      <c r="S31" s="5">
        <v>4</v>
      </c>
      <c r="T31" s="5">
        <v>2E+20</v>
      </c>
      <c r="U31" s="5">
        <v>0</v>
      </c>
      <c r="V31" s="5">
        <v>4</v>
      </c>
      <c r="W31" s="5">
        <v>4</v>
      </c>
      <c r="X31" s="5">
        <v>4</v>
      </c>
      <c r="Y31" s="5">
        <v>4</v>
      </c>
      <c r="AL31" t="s">
        <v>200</v>
      </c>
      <c r="AM31" t="s">
        <v>178</v>
      </c>
      <c r="AN31" t="s">
        <v>136</v>
      </c>
      <c r="AO31" s="5">
        <v>0</v>
      </c>
      <c r="AP31" s="5">
        <v>4E+20</v>
      </c>
      <c r="AQ31" s="5">
        <v>0</v>
      </c>
      <c r="AR31" s="5">
        <v>0</v>
      </c>
      <c r="AS31" s="5">
        <v>0</v>
      </c>
    </row>
    <row r="32" spans="2:45" x14ac:dyDescent="0.25">
      <c r="C32" t="s">
        <v>86</v>
      </c>
      <c r="D32" t="s">
        <v>80</v>
      </c>
      <c r="E32" s="5">
        <v>0</v>
      </c>
      <c r="F32" s="5">
        <v>1</v>
      </c>
      <c r="G32" s="5">
        <v>2E+20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127</v>
      </c>
      <c r="P32" t="s">
        <v>147</v>
      </c>
      <c r="Q32" t="s">
        <v>135</v>
      </c>
      <c r="R32" t="s">
        <v>136</v>
      </c>
      <c r="S32" s="5">
        <v>0.33931560369556002</v>
      </c>
      <c r="T32" s="5">
        <v>3E+20</v>
      </c>
      <c r="U32" s="5">
        <v>0</v>
      </c>
      <c r="V32" s="5">
        <v>0.33931560369556002</v>
      </c>
      <c r="W32" s="5">
        <v>0.33931560369556002</v>
      </c>
      <c r="X32" s="5">
        <v>0</v>
      </c>
      <c r="Y32" s="5">
        <v>1</v>
      </c>
      <c r="AL32" t="s">
        <v>201</v>
      </c>
      <c r="AM32" t="s">
        <v>173</v>
      </c>
      <c r="AN32" t="s">
        <v>136</v>
      </c>
      <c r="AO32" s="5">
        <v>0</v>
      </c>
      <c r="AP32" s="5">
        <v>4E+20</v>
      </c>
      <c r="AQ32" s="5">
        <v>0</v>
      </c>
      <c r="AR32" s="5">
        <v>0</v>
      </c>
      <c r="AS32" s="5">
        <v>0</v>
      </c>
    </row>
    <row r="33" spans="2:45" x14ac:dyDescent="0.25">
      <c r="C33" t="s">
        <v>88</v>
      </c>
      <c r="D33" t="s">
        <v>80</v>
      </c>
      <c r="E33" s="5">
        <v>0</v>
      </c>
      <c r="F33" s="5">
        <v>1</v>
      </c>
      <c r="G33" s="5">
        <v>2E+20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127</v>
      </c>
      <c r="Q33" t="s">
        <v>137</v>
      </c>
      <c r="R33" t="s">
        <v>136</v>
      </c>
      <c r="S33" s="5">
        <v>0.67863120739112104</v>
      </c>
      <c r="T33" s="5">
        <v>3E+20</v>
      </c>
      <c r="U33" s="5">
        <v>0</v>
      </c>
      <c r="V33" s="5">
        <v>0.67863120739112104</v>
      </c>
      <c r="W33" s="5">
        <v>0.67863120739112104</v>
      </c>
      <c r="X33" s="5">
        <v>0</v>
      </c>
      <c r="Y33" s="5">
        <v>2</v>
      </c>
      <c r="AL33" t="s">
        <v>202</v>
      </c>
      <c r="AM33" t="s">
        <v>175</v>
      </c>
      <c r="AN33" t="s">
        <v>136</v>
      </c>
      <c r="AO33" s="5">
        <v>0</v>
      </c>
      <c r="AP33" s="5">
        <v>4E+20</v>
      </c>
      <c r="AQ33" s="5">
        <v>0</v>
      </c>
      <c r="AR33" s="5">
        <v>0</v>
      </c>
      <c r="AS33" s="5">
        <v>0</v>
      </c>
    </row>
    <row r="34" spans="2:45" x14ac:dyDescent="0.25">
      <c r="C34" t="s">
        <v>90</v>
      </c>
      <c r="D34" t="s">
        <v>80</v>
      </c>
      <c r="E34" s="5">
        <v>0</v>
      </c>
      <c r="F34" s="5">
        <v>1</v>
      </c>
      <c r="G34" s="5">
        <v>2E+20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127</v>
      </c>
      <c r="Q34" t="s">
        <v>138</v>
      </c>
      <c r="R34" t="s">
        <v>136</v>
      </c>
      <c r="S34" s="5">
        <v>2</v>
      </c>
      <c r="T34" s="5">
        <v>2E+20</v>
      </c>
      <c r="U34" s="5">
        <v>0</v>
      </c>
      <c r="V34" s="5">
        <v>2</v>
      </c>
      <c r="W34" s="5">
        <v>2</v>
      </c>
      <c r="X34" s="5">
        <v>2</v>
      </c>
      <c r="Y34" s="5">
        <v>2</v>
      </c>
      <c r="AL34" t="s">
        <v>203</v>
      </c>
      <c r="AM34" t="s">
        <v>182</v>
      </c>
      <c r="AN34" t="s">
        <v>136</v>
      </c>
      <c r="AO34" s="5">
        <v>4195</v>
      </c>
      <c r="AP34" s="5">
        <v>4E+20</v>
      </c>
      <c r="AQ34" s="5">
        <v>0</v>
      </c>
      <c r="AR34" s="5">
        <v>4195</v>
      </c>
      <c r="AS34" s="5">
        <v>4195</v>
      </c>
    </row>
    <row r="35" spans="2:45" x14ac:dyDescent="0.25">
      <c r="B35" t="s">
        <v>93</v>
      </c>
      <c r="C35" t="s">
        <v>81</v>
      </c>
      <c r="D35" t="s">
        <v>80</v>
      </c>
      <c r="E35" s="5">
        <v>0</v>
      </c>
      <c r="F35" s="5">
        <v>1</v>
      </c>
      <c r="G35" s="5">
        <v>2E+20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8</v>
      </c>
      <c r="P35" t="s">
        <v>148</v>
      </c>
      <c r="Q35" t="s">
        <v>135</v>
      </c>
      <c r="R35" t="s">
        <v>136</v>
      </c>
      <c r="S35" s="5">
        <v>0.923864885868944</v>
      </c>
      <c r="T35" s="5">
        <v>2E+20</v>
      </c>
      <c r="U35" s="5">
        <v>0</v>
      </c>
      <c r="V35" s="5">
        <v>0.923864885868944</v>
      </c>
      <c r="W35" s="5">
        <v>0.923864885868944</v>
      </c>
      <c r="X35" s="5">
        <v>0</v>
      </c>
      <c r="Y35" s="5">
        <v>1</v>
      </c>
      <c r="AL35" t="s">
        <v>204</v>
      </c>
      <c r="AM35" t="s">
        <v>184</v>
      </c>
      <c r="AN35" t="s">
        <v>136</v>
      </c>
      <c r="AO35" s="5">
        <v>0.48970904361694501</v>
      </c>
      <c r="AP35" s="5">
        <v>4E+20</v>
      </c>
      <c r="AQ35" s="5">
        <v>0</v>
      </c>
      <c r="AR35" s="5">
        <v>0.48970904361694501</v>
      </c>
      <c r="AS35" s="5">
        <v>0.48970904361694501</v>
      </c>
    </row>
    <row r="36" spans="2:45" x14ac:dyDescent="0.25">
      <c r="C36" t="s">
        <v>83</v>
      </c>
      <c r="D36" t="s">
        <v>80</v>
      </c>
      <c r="E36" s="5">
        <v>3.9047821944086597E-2</v>
      </c>
      <c r="F36" s="5">
        <v>1</v>
      </c>
      <c r="G36" s="5">
        <v>2E+20</v>
      </c>
      <c r="H36" s="5">
        <v>0</v>
      </c>
      <c r="I36" s="5">
        <v>3.9047821944086597E-2</v>
      </c>
      <c r="J36" s="5">
        <v>3.9047821944086597E-2</v>
      </c>
      <c r="K36" s="5">
        <v>3.8276730405336003E-2</v>
      </c>
      <c r="L36" s="5">
        <v>4.0386145614100102E-2</v>
      </c>
      <c r="M36" s="5">
        <v>8</v>
      </c>
      <c r="Q36" t="s">
        <v>137</v>
      </c>
      <c r="R36" t="s">
        <v>136</v>
      </c>
      <c r="S36" s="5">
        <v>4.6193244293447098</v>
      </c>
      <c r="T36" s="5">
        <v>2E+20</v>
      </c>
      <c r="U36" s="5">
        <v>0</v>
      </c>
      <c r="V36" s="5">
        <v>4.6193244293447098</v>
      </c>
      <c r="W36" s="5">
        <v>4.6193244293447098</v>
      </c>
      <c r="X36" s="5">
        <v>0</v>
      </c>
      <c r="Y36" s="5">
        <v>5</v>
      </c>
      <c r="AL36" t="s">
        <v>205</v>
      </c>
      <c r="AM36" t="s">
        <v>178</v>
      </c>
      <c r="AN36" t="s">
        <v>136</v>
      </c>
      <c r="AO36" s="5">
        <v>0</v>
      </c>
      <c r="AP36" s="5">
        <v>4E+20</v>
      </c>
      <c r="AQ36" s="5">
        <v>0</v>
      </c>
      <c r="AR36" s="5">
        <v>0</v>
      </c>
      <c r="AS36" s="5">
        <v>0</v>
      </c>
    </row>
    <row r="37" spans="2:45" x14ac:dyDescent="0.25">
      <c r="C37" t="s">
        <v>85</v>
      </c>
      <c r="D37" t="s">
        <v>80</v>
      </c>
      <c r="E37" s="5">
        <v>0.19360249686598299</v>
      </c>
      <c r="F37" s="5">
        <v>1</v>
      </c>
      <c r="G37" s="5">
        <v>2E+20</v>
      </c>
      <c r="H37" s="5">
        <v>0</v>
      </c>
      <c r="I37" s="5">
        <v>0.19360249686598299</v>
      </c>
      <c r="J37" s="5">
        <v>0.19360249686598299</v>
      </c>
      <c r="K37" s="5">
        <v>0.141949877821162</v>
      </c>
      <c r="L37" s="5">
        <v>0.25350700089165601</v>
      </c>
      <c r="M37" s="5">
        <v>8</v>
      </c>
      <c r="Q37" t="s">
        <v>138</v>
      </c>
      <c r="R37" t="s">
        <v>136</v>
      </c>
      <c r="S37" s="5">
        <v>5</v>
      </c>
      <c r="T37" s="5">
        <v>2E+20</v>
      </c>
      <c r="U37" s="5">
        <v>0</v>
      </c>
      <c r="V37" s="5">
        <v>5</v>
      </c>
      <c r="W37" s="5">
        <v>5</v>
      </c>
      <c r="X37" s="5">
        <v>5</v>
      </c>
      <c r="Y37" s="5">
        <v>5</v>
      </c>
      <c r="AL37" t="s">
        <v>206</v>
      </c>
      <c r="AM37" t="s">
        <v>173</v>
      </c>
      <c r="AN37" t="s">
        <v>136</v>
      </c>
      <c r="AO37" s="5">
        <v>0</v>
      </c>
      <c r="AP37" s="5">
        <v>4E+20</v>
      </c>
      <c r="AQ37" s="5">
        <v>0</v>
      </c>
      <c r="AR37" s="5">
        <v>0</v>
      </c>
      <c r="AS37" s="5">
        <v>0</v>
      </c>
    </row>
    <row r="38" spans="2:45" x14ac:dyDescent="0.25">
      <c r="C38" t="s">
        <v>87</v>
      </c>
      <c r="D38" t="s">
        <v>80</v>
      </c>
      <c r="E38" s="5">
        <v>0</v>
      </c>
      <c r="F38" s="5">
        <v>1</v>
      </c>
      <c r="G38" s="5">
        <v>2E+20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8</v>
      </c>
      <c r="P38" t="s">
        <v>149</v>
      </c>
      <c r="Q38" t="s">
        <v>135</v>
      </c>
      <c r="R38" t="s">
        <v>136</v>
      </c>
      <c r="S38" s="5">
        <v>0.66362836165822303</v>
      </c>
      <c r="T38" s="5">
        <v>3E+20</v>
      </c>
      <c r="U38" s="5">
        <v>0</v>
      </c>
      <c r="V38" s="5">
        <v>0.66362836165822303</v>
      </c>
      <c r="W38" s="5">
        <v>0.66362836165822303</v>
      </c>
      <c r="X38" s="5">
        <v>0</v>
      </c>
      <c r="Y38" s="5">
        <v>1</v>
      </c>
      <c r="AL38" t="s">
        <v>207</v>
      </c>
      <c r="AM38" t="s">
        <v>175</v>
      </c>
      <c r="AN38" t="s">
        <v>136</v>
      </c>
      <c r="AO38" s="5">
        <v>0</v>
      </c>
      <c r="AP38" s="5">
        <v>4E+20</v>
      </c>
      <c r="AQ38" s="5">
        <v>0</v>
      </c>
      <c r="AR38" s="5">
        <v>0</v>
      </c>
      <c r="AS38" s="5">
        <v>0</v>
      </c>
    </row>
    <row r="39" spans="2:45" x14ac:dyDescent="0.25">
      <c r="C39" t="s">
        <v>89</v>
      </c>
      <c r="D39" t="s">
        <v>80</v>
      </c>
      <c r="E39" s="5">
        <v>3.7301066179888903E-2</v>
      </c>
      <c r="F39" s="5">
        <v>1</v>
      </c>
      <c r="G39" s="5">
        <v>2E+20</v>
      </c>
      <c r="H39" s="5">
        <v>0</v>
      </c>
      <c r="I39" s="5">
        <v>3.7301066179888903E-2</v>
      </c>
      <c r="J39" s="5">
        <v>3.7301066179888903E-2</v>
      </c>
      <c r="K39" s="5">
        <v>3.5530760019554498E-2</v>
      </c>
      <c r="L39" s="5">
        <v>3.9628853513811201E-2</v>
      </c>
      <c r="M39" s="5">
        <v>8</v>
      </c>
      <c r="Q39" t="s">
        <v>137</v>
      </c>
      <c r="R39" t="s">
        <v>136</v>
      </c>
      <c r="S39" s="5">
        <v>1.99088508497468</v>
      </c>
      <c r="T39" s="5">
        <v>3E+20</v>
      </c>
      <c r="U39" s="5">
        <v>0</v>
      </c>
      <c r="V39" s="5">
        <v>1.99088508497468</v>
      </c>
      <c r="W39" s="5">
        <v>1.99088508497468</v>
      </c>
      <c r="X39" s="5">
        <v>0</v>
      </c>
      <c r="Y39" s="5">
        <v>3</v>
      </c>
      <c r="AL39" t="s">
        <v>208</v>
      </c>
      <c r="AM39" t="s">
        <v>182</v>
      </c>
      <c r="AN39" t="s">
        <v>136</v>
      </c>
      <c r="AO39" s="5">
        <v>4193</v>
      </c>
      <c r="AP39" s="5">
        <v>4E+20</v>
      </c>
      <c r="AQ39" s="5">
        <v>0</v>
      </c>
      <c r="AR39" s="5">
        <v>4193</v>
      </c>
      <c r="AS39" s="5">
        <v>4193</v>
      </c>
    </row>
    <row r="40" spans="2:45" x14ac:dyDescent="0.25">
      <c r="C40" t="s">
        <v>91</v>
      </c>
      <c r="D40" t="s">
        <v>80</v>
      </c>
      <c r="E40" s="5">
        <v>0.30068165875506803</v>
      </c>
      <c r="F40" s="5">
        <v>1</v>
      </c>
      <c r="G40" s="5">
        <v>2E+20</v>
      </c>
      <c r="H40" s="5">
        <v>0</v>
      </c>
      <c r="I40" s="5">
        <v>0.30068165875506803</v>
      </c>
      <c r="J40" s="5">
        <v>0.30068165875506803</v>
      </c>
      <c r="K40" s="5">
        <v>0.19332324267151599</v>
      </c>
      <c r="L40" s="5">
        <v>0.42369664744215602</v>
      </c>
      <c r="M40" s="5">
        <v>8</v>
      </c>
      <c r="Q40" t="s">
        <v>138</v>
      </c>
      <c r="R40" t="s">
        <v>136</v>
      </c>
      <c r="S40" s="5">
        <v>3</v>
      </c>
      <c r="T40" s="5">
        <v>2E+20</v>
      </c>
      <c r="U40" s="5">
        <v>0</v>
      </c>
      <c r="V40" s="5">
        <v>3</v>
      </c>
      <c r="W40" s="5">
        <v>3</v>
      </c>
      <c r="X40" s="5">
        <v>3</v>
      </c>
      <c r="Y40" s="5">
        <v>3</v>
      </c>
      <c r="AL40" t="s">
        <v>209</v>
      </c>
      <c r="AM40" t="s">
        <v>184</v>
      </c>
      <c r="AN40" t="s">
        <v>136</v>
      </c>
      <c r="AO40" s="5">
        <v>0.40981440879307901</v>
      </c>
      <c r="AP40" s="5">
        <v>4E+20</v>
      </c>
      <c r="AQ40" s="5">
        <v>0</v>
      </c>
      <c r="AR40" s="5">
        <v>0.40981440879307901</v>
      </c>
      <c r="AS40" s="5">
        <v>0.40981440879307901</v>
      </c>
    </row>
    <row r="41" spans="2:45" x14ac:dyDescent="0.25">
      <c r="C41" t="s">
        <v>79</v>
      </c>
      <c r="D41" t="s">
        <v>80</v>
      </c>
      <c r="E41" s="5">
        <v>0</v>
      </c>
      <c r="F41" s="5">
        <v>1</v>
      </c>
      <c r="G41" s="5">
        <v>2E+20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8</v>
      </c>
      <c r="P41" t="s">
        <v>150</v>
      </c>
      <c r="Q41" t="s">
        <v>135</v>
      </c>
      <c r="R41" t="s">
        <v>136</v>
      </c>
      <c r="S41" s="5">
        <v>0.58333333333333404</v>
      </c>
      <c r="T41" s="5">
        <v>2E+20</v>
      </c>
      <c r="U41" s="5">
        <v>0</v>
      </c>
      <c r="V41" s="5">
        <v>0.58333333333333404</v>
      </c>
      <c r="W41" s="5">
        <v>0.58333333333333404</v>
      </c>
      <c r="X41" s="5">
        <v>0</v>
      </c>
      <c r="Y41" s="5">
        <v>1</v>
      </c>
      <c r="AL41" t="s">
        <v>210</v>
      </c>
      <c r="AM41" t="s">
        <v>178</v>
      </c>
      <c r="AN41" t="s">
        <v>136</v>
      </c>
      <c r="AO41" s="5">
        <v>0</v>
      </c>
      <c r="AP41" s="5">
        <v>4E+20</v>
      </c>
      <c r="AQ41" s="5">
        <v>0</v>
      </c>
      <c r="AR41" s="5">
        <v>0</v>
      </c>
      <c r="AS41" s="5">
        <v>0</v>
      </c>
    </row>
    <row r="42" spans="2:45" x14ac:dyDescent="0.25">
      <c r="C42" t="s">
        <v>82</v>
      </c>
      <c r="D42" t="s">
        <v>80</v>
      </c>
      <c r="E42" s="5">
        <v>0</v>
      </c>
      <c r="F42" s="5">
        <v>1</v>
      </c>
      <c r="G42" s="5">
        <v>2E+20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8</v>
      </c>
      <c r="Q42" t="s">
        <v>137</v>
      </c>
      <c r="R42" t="s">
        <v>136</v>
      </c>
      <c r="S42" s="5">
        <v>0.58333333333333404</v>
      </c>
      <c r="T42" s="5">
        <v>2E+20</v>
      </c>
      <c r="U42" s="5">
        <v>0</v>
      </c>
      <c r="V42" s="5">
        <v>0.58333333333333404</v>
      </c>
      <c r="W42" s="5">
        <v>0.58333333333333404</v>
      </c>
      <c r="X42" s="5">
        <v>0</v>
      </c>
      <c r="Y42" s="5">
        <v>1</v>
      </c>
      <c r="AL42" t="s">
        <v>211</v>
      </c>
      <c r="AM42" t="s">
        <v>173</v>
      </c>
      <c r="AN42" t="s">
        <v>136</v>
      </c>
      <c r="AO42" s="5">
        <v>0</v>
      </c>
      <c r="AP42" s="5">
        <v>4E+20</v>
      </c>
      <c r="AQ42" s="5">
        <v>0</v>
      </c>
      <c r="AR42" s="5">
        <v>0</v>
      </c>
      <c r="AS42" s="5">
        <v>0</v>
      </c>
    </row>
    <row r="43" spans="2:45" x14ac:dyDescent="0.25">
      <c r="C43" t="s">
        <v>84</v>
      </c>
      <c r="D43" t="s">
        <v>80</v>
      </c>
      <c r="E43" s="5">
        <v>0</v>
      </c>
      <c r="F43" s="5">
        <v>1</v>
      </c>
      <c r="G43" s="5">
        <v>2E+20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8</v>
      </c>
      <c r="Q43" t="s">
        <v>138</v>
      </c>
      <c r="R43" t="s">
        <v>136</v>
      </c>
      <c r="S43" s="5">
        <v>0.58307071045105496</v>
      </c>
      <c r="T43" s="5">
        <v>2E+20</v>
      </c>
      <c r="U43" s="5">
        <v>0</v>
      </c>
      <c r="V43" s="5">
        <v>0.58307071045105496</v>
      </c>
      <c r="W43" s="5">
        <v>0.58307071045105496</v>
      </c>
      <c r="X43" s="5">
        <v>0</v>
      </c>
      <c r="Y43" s="5">
        <v>1</v>
      </c>
      <c r="AL43" t="s">
        <v>212</v>
      </c>
      <c r="AM43" t="s">
        <v>175</v>
      </c>
      <c r="AN43" t="s">
        <v>136</v>
      </c>
      <c r="AO43" s="5">
        <v>0</v>
      </c>
      <c r="AP43" s="5">
        <v>4E+20</v>
      </c>
      <c r="AQ43" s="5">
        <v>0</v>
      </c>
      <c r="AR43" s="5">
        <v>0</v>
      </c>
      <c r="AS43" s="5">
        <v>0</v>
      </c>
    </row>
    <row r="44" spans="2:45" x14ac:dyDescent="0.25">
      <c r="C44" t="s">
        <v>86</v>
      </c>
      <c r="D44" t="s">
        <v>80</v>
      </c>
      <c r="E44" s="5">
        <v>0</v>
      </c>
      <c r="F44" s="5">
        <v>1</v>
      </c>
      <c r="G44" s="5">
        <v>2E+20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8</v>
      </c>
      <c r="P44" t="s">
        <v>151</v>
      </c>
      <c r="Q44" t="s">
        <v>135</v>
      </c>
      <c r="R44" t="s">
        <v>136</v>
      </c>
      <c r="S44" s="5">
        <v>0.290722496779179</v>
      </c>
      <c r="T44" s="5">
        <v>3E+20</v>
      </c>
      <c r="U44" s="5">
        <v>0</v>
      </c>
      <c r="V44" s="5">
        <v>0.290722496779179</v>
      </c>
      <c r="W44" s="5">
        <v>0.290722496779179</v>
      </c>
      <c r="X44" s="5">
        <v>0</v>
      </c>
      <c r="Y44" s="5">
        <v>1</v>
      </c>
      <c r="AL44" t="s">
        <v>213</v>
      </c>
      <c r="AM44" t="s">
        <v>182</v>
      </c>
      <c r="AN44" t="s">
        <v>136</v>
      </c>
      <c r="AO44" s="5">
        <v>2024</v>
      </c>
      <c r="AP44" s="5">
        <v>4E+20</v>
      </c>
      <c r="AQ44" s="5">
        <v>0</v>
      </c>
      <c r="AR44" s="5">
        <v>2024</v>
      </c>
      <c r="AS44" s="5">
        <v>2024</v>
      </c>
    </row>
    <row r="45" spans="2:45" x14ac:dyDescent="0.25">
      <c r="C45" t="s">
        <v>88</v>
      </c>
      <c r="D45" t="s">
        <v>80</v>
      </c>
      <c r="E45" s="5">
        <v>0</v>
      </c>
      <c r="F45" s="5">
        <v>1</v>
      </c>
      <c r="G45" s="5">
        <v>2E+20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8</v>
      </c>
      <c r="Q45" t="s">
        <v>137</v>
      </c>
      <c r="R45" t="s">
        <v>136</v>
      </c>
      <c r="S45" s="5">
        <v>0.290722496779178</v>
      </c>
      <c r="T45" s="5">
        <v>3E+20</v>
      </c>
      <c r="U45" s="5">
        <v>0</v>
      </c>
      <c r="V45" s="5">
        <v>0.290722496779178</v>
      </c>
      <c r="W45" s="5">
        <v>0.290722496779178</v>
      </c>
      <c r="X45" s="5">
        <v>0</v>
      </c>
      <c r="Y45" s="5">
        <v>1</v>
      </c>
      <c r="AL45" t="s">
        <v>214</v>
      </c>
      <c r="AM45" t="s">
        <v>184</v>
      </c>
      <c r="AN45" t="s">
        <v>136</v>
      </c>
      <c r="AO45" s="5">
        <v>0.99437007322419102</v>
      </c>
      <c r="AP45" s="5">
        <v>4E+20</v>
      </c>
      <c r="AQ45" s="5">
        <v>0</v>
      </c>
      <c r="AR45" s="5">
        <v>0.99437007322419102</v>
      </c>
      <c r="AS45" s="5">
        <v>0.99437007322419102</v>
      </c>
    </row>
    <row r="46" spans="2:45" x14ac:dyDescent="0.25">
      <c r="C46" t="s">
        <v>90</v>
      </c>
      <c r="D46" t="s">
        <v>80</v>
      </c>
      <c r="E46" s="5">
        <v>0</v>
      </c>
      <c r="F46" s="5">
        <v>1</v>
      </c>
      <c r="G46" s="5">
        <v>2E+20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8</v>
      </c>
      <c r="Q46" t="s">
        <v>138</v>
      </c>
      <c r="R46" t="s">
        <v>136</v>
      </c>
      <c r="S46" s="5">
        <v>0.58330350064770997</v>
      </c>
      <c r="T46" s="5">
        <v>2E+20</v>
      </c>
      <c r="U46" s="5">
        <v>0</v>
      </c>
      <c r="V46" s="5">
        <v>0.58330350064770997</v>
      </c>
      <c r="W46" s="5">
        <v>0.58330350064770997</v>
      </c>
      <c r="X46" s="5">
        <v>0</v>
      </c>
      <c r="Y46" s="5">
        <v>1</v>
      </c>
      <c r="AL46" t="s">
        <v>215</v>
      </c>
      <c r="AM46" t="s">
        <v>178</v>
      </c>
      <c r="AN46" t="s">
        <v>136</v>
      </c>
      <c r="AO46" s="5">
        <v>0</v>
      </c>
      <c r="AP46" s="5">
        <v>4E+20</v>
      </c>
      <c r="AQ46" s="5">
        <v>0</v>
      </c>
      <c r="AR46" s="5">
        <v>0</v>
      </c>
      <c r="AS46" s="5">
        <v>0</v>
      </c>
    </row>
    <row r="47" spans="2:45" x14ac:dyDescent="0.25">
      <c r="B47" t="s">
        <v>94</v>
      </c>
      <c r="C47" t="s">
        <v>81</v>
      </c>
      <c r="D47" t="s">
        <v>80</v>
      </c>
      <c r="E47" s="5">
        <v>0</v>
      </c>
      <c r="F47" s="5">
        <v>1</v>
      </c>
      <c r="G47" s="5">
        <v>2E+20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32</v>
      </c>
      <c r="P47" t="s">
        <v>152</v>
      </c>
      <c r="Q47" t="s">
        <v>135</v>
      </c>
      <c r="R47" t="s">
        <v>136</v>
      </c>
      <c r="S47" s="5">
        <v>0.53422000680166104</v>
      </c>
      <c r="T47" s="5">
        <v>3E+20</v>
      </c>
      <c r="U47" s="5">
        <v>0</v>
      </c>
      <c r="V47" s="5">
        <v>0.53422000680166104</v>
      </c>
      <c r="W47" s="5">
        <v>0.53422000680166104</v>
      </c>
      <c r="X47" s="5">
        <v>0</v>
      </c>
      <c r="Y47" s="5">
        <v>1</v>
      </c>
      <c r="AL47" t="s">
        <v>216</v>
      </c>
      <c r="AM47" t="s">
        <v>173</v>
      </c>
      <c r="AN47" t="s">
        <v>136</v>
      </c>
      <c r="AO47" s="5">
        <v>0</v>
      </c>
      <c r="AP47" s="5">
        <v>4E+20</v>
      </c>
      <c r="AQ47" s="5">
        <v>0</v>
      </c>
      <c r="AR47" s="5">
        <v>0</v>
      </c>
      <c r="AS47" s="5">
        <v>0</v>
      </c>
    </row>
    <row r="48" spans="2:45" x14ac:dyDescent="0.25">
      <c r="C48" t="s">
        <v>83</v>
      </c>
      <c r="D48" t="s">
        <v>80</v>
      </c>
      <c r="E48" s="5">
        <v>3.6466131701607597E-2</v>
      </c>
      <c r="F48" s="5">
        <v>1</v>
      </c>
      <c r="G48" s="5">
        <v>2E+20</v>
      </c>
      <c r="H48" s="5">
        <v>0</v>
      </c>
      <c r="I48" s="5">
        <v>3.6466131701607597E-2</v>
      </c>
      <c r="J48" s="5">
        <v>3.6466131701607597E-2</v>
      </c>
      <c r="K48" s="5">
        <v>3.2043638370984298E-2</v>
      </c>
      <c r="L48" s="5">
        <v>4.1199192016065901E-2</v>
      </c>
      <c r="M48" s="5">
        <v>32</v>
      </c>
      <c r="Q48" t="s">
        <v>137</v>
      </c>
      <c r="R48" t="s">
        <v>136</v>
      </c>
      <c r="S48" s="5">
        <v>0.53422000680166104</v>
      </c>
      <c r="T48" s="5">
        <v>3E+20</v>
      </c>
      <c r="U48" s="5">
        <v>0</v>
      </c>
      <c r="V48" s="5">
        <v>0.53422000680166104</v>
      </c>
      <c r="W48" s="5">
        <v>0.53422000680166104</v>
      </c>
      <c r="X48" s="5">
        <v>0</v>
      </c>
      <c r="Y48" s="5">
        <v>1</v>
      </c>
      <c r="AL48" t="s">
        <v>217</v>
      </c>
      <c r="AM48" t="s">
        <v>175</v>
      </c>
      <c r="AN48" t="s">
        <v>136</v>
      </c>
      <c r="AO48" s="5">
        <v>0</v>
      </c>
      <c r="AP48" s="5">
        <v>4E+20</v>
      </c>
      <c r="AQ48" s="5">
        <v>0</v>
      </c>
      <c r="AR48" s="5">
        <v>0</v>
      </c>
      <c r="AS48" s="5">
        <v>0</v>
      </c>
    </row>
    <row r="49" spans="2:45" x14ac:dyDescent="0.25">
      <c r="C49" t="s">
        <v>85</v>
      </c>
      <c r="D49" t="s">
        <v>80</v>
      </c>
      <c r="E49" s="5">
        <v>0.152188588540485</v>
      </c>
      <c r="F49" s="5">
        <v>1</v>
      </c>
      <c r="G49" s="5">
        <v>2E+20</v>
      </c>
      <c r="H49" s="5">
        <v>0</v>
      </c>
      <c r="I49" s="5">
        <v>0.152188588540485</v>
      </c>
      <c r="J49" s="5">
        <v>0.152188588540485</v>
      </c>
      <c r="K49" s="5">
        <v>4.2840486797594203E-2</v>
      </c>
      <c r="L49" s="5">
        <v>1.23223104723892</v>
      </c>
      <c r="M49" s="5">
        <v>32</v>
      </c>
      <c r="Q49" t="s">
        <v>138</v>
      </c>
      <c r="R49" t="s">
        <v>136</v>
      </c>
      <c r="S49" s="5">
        <v>0.58322693471450404</v>
      </c>
      <c r="T49" s="5">
        <v>2E+20</v>
      </c>
      <c r="U49" s="5">
        <v>0</v>
      </c>
      <c r="V49" s="5">
        <v>0.58322693471450404</v>
      </c>
      <c r="W49" s="5">
        <v>0.58322693471450404</v>
      </c>
      <c r="X49" s="5">
        <v>0</v>
      </c>
      <c r="Y49" s="5">
        <v>1</v>
      </c>
      <c r="AL49" t="s">
        <v>218</v>
      </c>
      <c r="AM49" t="s">
        <v>182</v>
      </c>
      <c r="AN49" t="s">
        <v>136</v>
      </c>
      <c r="AO49" s="5">
        <v>2022</v>
      </c>
      <c r="AP49" s="5">
        <v>4E+20</v>
      </c>
      <c r="AQ49" s="5">
        <v>0</v>
      </c>
      <c r="AR49" s="5">
        <v>2022</v>
      </c>
      <c r="AS49" s="5">
        <v>2022</v>
      </c>
    </row>
    <row r="50" spans="2:45" x14ac:dyDescent="0.25">
      <c r="C50" t="s">
        <v>87</v>
      </c>
      <c r="D50" t="s">
        <v>80</v>
      </c>
      <c r="E50" s="5">
        <v>0</v>
      </c>
      <c r="F50" s="5">
        <v>1</v>
      </c>
      <c r="G50" s="5">
        <v>2E+20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32</v>
      </c>
      <c r="P50" t="s">
        <v>153</v>
      </c>
      <c r="Q50" t="s">
        <v>135</v>
      </c>
      <c r="R50" t="s">
        <v>136</v>
      </c>
      <c r="S50" s="5">
        <v>0.16465284070702901</v>
      </c>
      <c r="T50" s="5">
        <v>3E+20</v>
      </c>
      <c r="U50" s="5">
        <v>0</v>
      </c>
      <c r="V50" s="5">
        <v>0.16465284070702901</v>
      </c>
      <c r="W50" s="5">
        <v>0.16465284070702901</v>
      </c>
      <c r="X50" s="5">
        <v>0</v>
      </c>
      <c r="Y50" s="5">
        <v>1</v>
      </c>
      <c r="AL50" t="s">
        <v>219</v>
      </c>
      <c r="AM50" t="s">
        <v>184</v>
      </c>
      <c r="AN50" t="s">
        <v>136</v>
      </c>
      <c r="AO50" s="5">
        <v>0.64915601926033095</v>
      </c>
      <c r="AP50" s="5">
        <v>4E+20</v>
      </c>
      <c r="AQ50" s="5">
        <v>0</v>
      </c>
      <c r="AR50" s="5">
        <v>0.64915601926033095</v>
      </c>
      <c r="AS50" s="5">
        <v>0.64915601926033095</v>
      </c>
    </row>
    <row r="51" spans="2:45" x14ac:dyDescent="0.25">
      <c r="C51" t="s">
        <v>89</v>
      </c>
      <c r="D51" t="s">
        <v>80</v>
      </c>
      <c r="E51" s="5">
        <v>2.8617905044617999E-2</v>
      </c>
      <c r="F51" s="5">
        <v>1</v>
      </c>
      <c r="G51" s="5">
        <v>2E+20</v>
      </c>
      <c r="H51" s="5">
        <v>0</v>
      </c>
      <c r="I51" s="5">
        <v>2.8617905044617999E-2</v>
      </c>
      <c r="J51" s="5">
        <v>2.8617905044617999E-2</v>
      </c>
      <c r="K51" s="5">
        <v>2.4693548711935499E-2</v>
      </c>
      <c r="L51" s="5">
        <v>4.0728529665004801E-2</v>
      </c>
      <c r="M51" s="5">
        <v>32</v>
      </c>
      <c r="Q51" t="s">
        <v>137</v>
      </c>
      <c r="R51" t="s">
        <v>136</v>
      </c>
      <c r="S51" s="5">
        <v>0.16465284070702901</v>
      </c>
      <c r="T51" s="5">
        <v>3E+20</v>
      </c>
      <c r="U51" s="5">
        <v>0</v>
      </c>
      <c r="V51" s="5">
        <v>0.16465284070702901</v>
      </c>
      <c r="W51" s="5">
        <v>0.16465284070702901</v>
      </c>
      <c r="X51" s="5">
        <v>0</v>
      </c>
      <c r="Y51" s="5">
        <v>1</v>
      </c>
      <c r="AL51" t="s">
        <v>220</v>
      </c>
      <c r="AM51" t="s">
        <v>178</v>
      </c>
      <c r="AN51" t="s">
        <v>136</v>
      </c>
      <c r="AO51" s="5">
        <v>0</v>
      </c>
      <c r="AP51" s="5">
        <v>4E+20</v>
      </c>
      <c r="AQ51" s="5">
        <v>0</v>
      </c>
      <c r="AR51" s="5">
        <v>0</v>
      </c>
      <c r="AS51" s="5">
        <v>0</v>
      </c>
    </row>
    <row r="52" spans="2:45" x14ac:dyDescent="0.25">
      <c r="C52" t="s">
        <v>91</v>
      </c>
      <c r="D52" t="s">
        <v>80</v>
      </c>
      <c r="E52" s="5">
        <v>0.28888366124387099</v>
      </c>
      <c r="F52" s="5">
        <v>1</v>
      </c>
      <c r="G52" s="5">
        <v>2E+20</v>
      </c>
      <c r="H52" s="5">
        <v>0</v>
      </c>
      <c r="I52" s="5">
        <v>0.28888366124387099</v>
      </c>
      <c r="J52" s="5">
        <v>0.28888366124387099</v>
      </c>
      <c r="K52" s="5">
        <v>0.105941444046145</v>
      </c>
      <c r="L52" s="5">
        <v>3.32162236638914</v>
      </c>
      <c r="M52" s="5">
        <v>32</v>
      </c>
      <c r="Q52" t="s">
        <v>138</v>
      </c>
      <c r="R52" t="s">
        <v>136</v>
      </c>
      <c r="S52" s="5">
        <v>0.58333333333333304</v>
      </c>
      <c r="T52" s="5">
        <v>2E+20</v>
      </c>
      <c r="U52" s="5">
        <v>0</v>
      </c>
      <c r="V52" s="5">
        <v>0.58333333333333304</v>
      </c>
      <c r="W52" s="5">
        <v>0.58333333333333304</v>
      </c>
      <c r="X52" s="5">
        <v>0</v>
      </c>
      <c r="Y52" s="5">
        <v>1</v>
      </c>
      <c r="AL52" t="s">
        <v>221</v>
      </c>
      <c r="AM52" t="s">
        <v>173</v>
      </c>
      <c r="AN52" t="s">
        <v>136</v>
      </c>
      <c r="AO52" s="5">
        <v>0</v>
      </c>
      <c r="AP52" s="5">
        <v>4E+20</v>
      </c>
      <c r="AQ52" s="5">
        <v>0</v>
      </c>
      <c r="AR52" s="5">
        <v>0</v>
      </c>
      <c r="AS52" s="5">
        <v>0</v>
      </c>
    </row>
    <row r="53" spans="2:45" x14ac:dyDescent="0.25">
      <c r="C53" t="s">
        <v>79</v>
      </c>
      <c r="D53" t="s">
        <v>80</v>
      </c>
      <c r="E53" s="5">
        <v>0</v>
      </c>
      <c r="F53" s="5">
        <v>1</v>
      </c>
      <c r="G53" s="5">
        <v>2E+20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32</v>
      </c>
      <c r="P53" t="s">
        <v>154</v>
      </c>
      <c r="Q53" t="s">
        <v>135</v>
      </c>
      <c r="R53" t="s">
        <v>136</v>
      </c>
      <c r="S53" s="5">
        <v>0.23342144219817601</v>
      </c>
      <c r="T53" s="5">
        <v>3E+20</v>
      </c>
      <c r="U53" s="5">
        <v>0</v>
      </c>
      <c r="V53" s="5">
        <v>0.23342144219817601</v>
      </c>
      <c r="W53" s="5">
        <v>0.23342144219817601</v>
      </c>
      <c r="X53" s="5">
        <v>0</v>
      </c>
      <c r="Y53" s="5">
        <v>1</v>
      </c>
      <c r="AL53" t="s">
        <v>222</v>
      </c>
      <c r="AM53" t="s">
        <v>175</v>
      </c>
      <c r="AN53" t="s">
        <v>136</v>
      </c>
      <c r="AO53" s="5">
        <v>0</v>
      </c>
      <c r="AP53" s="5">
        <v>4E+20</v>
      </c>
      <c r="AQ53" s="5">
        <v>0</v>
      </c>
      <c r="AR53" s="5">
        <v>0</v>
      </c>
      <c r="AS53" s="5">
        <v>0</v>
      </c>
    </row>
    <row r="54" spans="2:45" x14ac:dyDescent="0.25">
      <c r="C54" t="s">
        <v>82</v>
      </c>
      <c r="D54" t="s">
        <v>80</v>
      </c>
      <c r="E54" s="5">
        <v>0</v>
      </c>
      <c r="F54" s="5">
        <v>1</v>
      </c>
      <c r="G54" s="5">
        <v>2E+20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32</v>
      </c>
      <c r="Q54" t="s">
        <v>137</v>
      </c>
      <c r="R54" t="s">
        <v>136</v>
      </c>
      <c r="S54" s="5">
        <v>0.23342144219817601</v>
      </c>
      <c r="T54" s="5">
        <v>3E+20</v>
      </c>
      <c r="U54" s="5">
        <v>0</v>
      </c>
      <c r="V54" s="5">
        <v>0.23342144219817601</v>
      </c>
      <c r="W54" s="5">
        <v>0.23342144219817601</v>
      </c>
      <c r="X54" s="5">
        <v>0</v>
      </c>
      <c r="Y54" s="5">
        <v>1</v>
      </c>
      <c r="AL54" t="s">
        <v>223</v>
      </c>
      <c r="AM54" t="s">
        <v>182</v>
      </c>
      <c r="AN54" t="s">
        <v>136</v>
      </c>
      <c r="AO54" s="5">
        <v>2018</v>
      </c>
      <c r="AP54" s="5">
        <v>4E+20</v>
      </c>
      <c r="AQ54" s="5">
        <v>0</v>
      </c>
      <c r="AR54" s="5">
        <v>2018</v>
      </c>
      <c r="AS54" s="5">
        <v>2018</v>
      </c>
    </row>
    <row r="55" spans="2:45" x14ac:dyDescent="0.25">
      <c r="C55" t="s">
        <v>84</v>
      </c>
      <c r="D55" t="s">
        <v>80</v>
      </c>
      <c r="E55" s="5">
        <v>0</v>
      </c>
      <c r="F55" s="5">
        <v>1</v>
      </c>
      <c r="G55" s="5">
        <v>2E+20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32</v>
      </c>
      <c r="Q55" t="s">
        <v>138</v>
      </c>
      <c r="R55" t="s">
        <v>136</v>
      </c>
      <c r="S55" s="5">
        <v>0.58319102547363599</v>
      </c>
      <c r="T55" s="5">
        <v>2E+20</v>
      </c>
      <c r="U55" s="5">
        <v>0</v>
      </c>
      <c r="V55" s="5">
        <v>0.58319102547363599</v>
      </c>
      <c r="W55" s="5">
        <v>0.58319102547363599</v>
      </c>
      <c r="X55" s="5">
        <v>0</v>
      </c>
      <c r="Y55" s="5">
        <v>1</v>
      </c>
      <c r="AL55" t="s">
        <v>224</v>
      </c>
      <c r="AM55" t="s">
        <v>184</v>
      </c>
      <c r="AN55" t="s">
        <v>136</v>
      </c>
      <c r="AO55" s="5">
        <v>0.66607687117899494</v>
      </c>
      <c r="AP55" s="5">
        <v>4E+20</v>
      </c>
      <c r="AQ55" s="5">
        <v>0</v>
      </c>
      <c r="AR55" s="5">
        <v>0.66607687117899494</v>
      </c>
      <c r="AS55" s="5">
        <v>0.66607687117899494</v>
      </c>
    </row>
    <row r="56" spans="2:45" x14ac:dyDescent="0.25">
      <c r="C56" t="s">
        <v>86</v>
      </c>
      <c r="D56" t="s">
        <v>80</v>
      </c>
      <c r="E56" s="5">
        <v>0</v>
      </c>
      <c r="F56" s="5">
        <v>1</v>
      </c>
      <c r="G56" s="5">
        <v>2E+20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32</v>
      </c>
      <c r="P56" t="s">
        <v>155</v>
      </c>
      <c r="Q56" t="s">
        <v>135</v>
      </c>
      <c r="R56" t="s">
        <v>136</v>
      </c>
      <c r="S56" s="5">
        <v>0.58288108436970398</v>
      </c>
      <c r="T56" s="5">
        <v>2E+20</v>
      </c>
      <c r="U56" s="5">
        <v>0</v>
      </c>
      <c r="V56" s="5">
        <v>0.58288108436970398</v>
      </c>
      <c r="W56" s="5">
        <v>0.58288108436970398</v>
      </c>
      <c r="X56" s="5">
        <v>0</v>
      </c>
      <c r="Y56" s="5">
        <v>1</v>
      </c>
      <c r="AL56" t="s">
        <v>225</v>
      </c>
      <c r="AM56" t="s">
        <v>178</v>
      </c>
      <c r="AN56" t="s">
        <v>136</v>
      </c>
      <c r="AO56" s="5">
        <v>0</v>
      </c>
      <c r="AP56" s="5">
        <v>4E+20</v>
      </c>
      <c r="AQ56" s="5">
        <v>0</v>
      </c>
      <c r="AR56" s="5">
        <v>0</v>
      </c>
      <c r="AS56" s="5">
        <v>0</v>
      </c>
    </row>
    <row r="57" spans="2:45" x14ac:dyDescent="0.25">
      <c r="C57" t="s">
        <v>88</v>
      </c>
      <c r="D57" t="s">
        <v>80</v>
      </c>
      <c r="E57" s="5">
        <v>0</v>
      </c>
      <c r="F57" s="5">
        <v>1</v>
      </c>
      <c r="G57" s="5">
        <v>2E+20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32</v>
      </c>
      <c r="Q57" t="s">
        <v>137</v>
      </c>
      <c r="R57" t="s">
        <v>136</v>
      </c>
      <c r="S57" s="5">
        <v>0.58288108436970498</v>
      </c>
      <c r="T57" s="5">
        <v>2E+20</v>
      </c>
      <c r="U57" s="5">
        <v>0</v>
      </c>
      <c r="V57" s="5">
        <v>0.58288108436970498</v>
      </c>
      <c r="W57" s="5">
        <v>0.58288108436970498</v>
      </c>
      <c r="X57" s="5">
        <v>0</v>
      </c>
      <c r="Y57" s="5">
        <v>1</v>
      </c>
      <c r="AL57" t="s">
        <v>226</v>
      </c>
      <c r="AM57" t="s">
        <v>173</v>
      </c>
      <c r="AN57" t="s">
        <v>136</v>
      </c>
      <c r="AO57" s="5">
        <v>0</v>
      </c>
      <c r="AP57" s="5">
        <v>4E+20</v>
      </c>
      <c r="AQ57" s="5">
        <v>0</v>
      </c>
      <c r="AR57" s="5">
        <v>0</v>
      </c>
      <c r="AS57" s="5">
        <v>0</v>
      </c>
    </row>
    <row r="58" spans="2:45" x14ac:dyDescent="0.25">
      <c r="C58" t="s">
        <v>90</v>
      </c>
      <c r="D58" t="s">
        <v>80</v>
      </c>
      <c r="E58" s="5">
        <v>0</v>
      </c>
      <c r="F58" s="5">
        <v>1</v>
      </c>
      <c r="G58" s="5">
        <v>2E+20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32</v>
      </c>
      <c r="Q58" t="s">
        <v>138</v>
      </c>
      <c r="R58" t="s">
        <v>136</v>
      </c>
      <c r="S58" s="5">
        <v>0.58304971987462295</v>
      </c>
      <c r="T58" s="5">
        <v>2E+20</v>
      </c>
      <c r="U58" s="5">
        <v>0</v>
      </c>
      <c r="V58" s="5">
        <v>0.58304971987462295</v>
      </c>
      <c r="W58" s="5">
        <v>0.58304971987462295</v>
      </c>
      <c r="X58" s="5">
        <v>0</v>
      </c>
      <c r="Y58" s="5">
        <v>1</v>
      </c>
      <c r="AL58" t="s">
        <v>227</v>
      </c>
      <c r="AM58" t="s">
        <v>175</v>
      </c>
      <c r="AN58" t="s">
        <v>136</v>
      </c>
      <c r="AO58" s="5">
        <v>0</v>
      </c>
      <c r="AP58" s="5">
        <v>4E+20</v>
      </c>
      <c r="AQ58" s="5">
        <v>0</v>
      </c>
      <c r="AR58" s="5">
        <v>0</v>
      </c>
      <c r="AS58" s="5">
        <v>0</v>
      </c>
    </row>
    <row r="59" spans="2:45" x14ac:dyDescent="0.25">
      <c r="B59" t="s">
        <v>95</v>
      </c>
      <c r="C59" t="s">
        <v>98</v>
      </c>
      <c r="D59" t="s">
        <v>97</v>
      </c>
      <c r="E59" s="5">
        <v>1.5506124567044101E-2</v>
      </c>
      <c r="F59" s="5">
        <v>1</v>
      </c>
      <c r="G59" s="5">
        <v>3E+20</v>
      </c>
      <c r="H59" s="5">
        <v>0</v>
      </c>
      <c r="I59" s="5">
        <v>1.5506124567044101E-2</v>
      </c>
      <c r="J59" s="5">
        <v>1.5506124567044101E-2</v>
      </c>
      <c r="K59" s="5">
        <v>4.0517902306849204E-3</v>
      </c>
      <c r="L59" s="5">
        <v>8.0000758552306905</v>
      </c>
      <c r="M59" s="5">
        <v>4195</v>
      </c>
      <c r="P59" t="s">
        <v>156</v>
      </c>
      <c r="Q59" t="s">
        <v>135</v>
      </c>
      <c r="R59" t="s">
        <v>136</v>
      </c>
      <c r="S59" s="5">
        <v>0.27934889487924502</v>
      </c>
      <c r="T59" s="5">
        <v>3E+20</v>
      </c>
      <c r="U59" s="5">
        <v>0</v>
      </c>
      <c r="V59" s="5">
        <v>0.27934889487924502</v>
      </c>
      <c r="W59" s="5">
        <v>0.27934889487924502</v>
      </c>
      <c r="X59" s="5">
        <v>0</v>
      </c>
      <c r="Y59" s="5">
        <v>1</v>
      </c>
      <c r="AL59" t="s">
        <v>228</v>
      </c>
      <c r="AM59" t="s">
        <v>182</v>
      </c>
      <c r="AN59" t="s">
        <v>136</v>
      </c>
      <c r="AO59" s="5">
        <v>2014</v>
      </c>
      <c r="AP59" s="5">
        <v>4E+20</v>
      </c>
      <c r="AQ59" s="5">
        <v>0</v>
      </c>
      <c r="AR59" s="5">
        <v>2014</v>
      </c>
      <c r="AS59" s="5">
        <v>2014</v>
      </c>
    </row>
    <row r="60" spans="2:45" x14ac:dyDescent="0.25">
      <c r="C60" t="s">
        <v>100</v>
      </c>
      <c r="D60" t="s">
        <v>97</v>
      </c>
      <c r="E60" s="5">
        <v>3.3370755663654299E-3</v>
      </c>
      <c r="F60" s="5">
        <v>1</v>
      </c>
      <c r="G60" s="5">
        <v>1.31980711851678E-5</v>
      </c>
      <c r="H60" s="5">
        <v>0</v>
      </c>
      <c r="I60" s="5">
        <v>3.3370755663654299E-3</v>
      </c>
      <c r="J60" s="5">
        <v>3.3370755663654299E-3</v>
      </c>
      <c r="K60" s="5">
        <v>2.27974885024729E-3</v>
      </c>
      <c r="L60" s="5">
        <v>4.4319116929738599E-3</v>
      </c>
      <c r="M60" s="5">
        <v>4195</v>
      </c>
      <c r="Q60" t="s">
        <v>137</v>
      </c>
      <c r="R60" t="s">
        <v>136</v>
      </c>
      <c r="S60" s="5">
        <v>0.27934889487924502</v>
      </c>
      <c r="T60" s="5">
        <v>3E+20</v>
      </c>
      <c r="U60" s="5">
        <v>0</v>
      </c>
      <c r="V60" s="5">
        <v>0.27934889487924502</v>
      </c>
      <c r="W60" s="5">
        <v>0.27934889487924502</v>
      </c>
      <c r="X60" s="5">
        <v>0</v>
      </c>
      <c r="Y60" s="5">
        <v>1</v>
      </c>
      <c r="AL60" t="s">
        <v>229</v>
      </c>
      <c r="AM60" t="s">
        <v>184</v>
      </c>
      <c r="AN60" t="s">
        <v>136</v>
      </c>
      <c r="AO60" s="5">
        <v>0.33931560369556002</v>
      </c>
      <c r="AP60" s="5">
        <v>4E+20</v>
      </c>
      <c r="AQ60" s="5">
        <v>0</v>
      </c>
      <c r="AR60" s="5">
        <v>0.33931560369556002</v>
      </c>
      <c r="AS60" s="5">
        <v>0.33931560369556002</v>
      </c>
    </row>
    <row r="61" spans="2:45" x14ac:dyDescent="0.25">
      <c r="C61" t="s">
        <v>102</v>
      </c>
      <c r="D61" t="s">
        <v>97</v>
      </c>
      <c r="E61" s="5">
        <v>1.2169049000678601E-2</v>
      </c>
      <c r="F61" s="5">
        <v>1</v>
      </c>
      <c r="G61" s="5">
        <v>3E+20</v>
      </c>
      <c r="H61" s="5">
        <v>0</v>
      </c>
      <c r="I61" s="5">
        <v>1.2169049000678601E-2</v>
      </c>
      <c r="J61" s="5">
        <v>1.2169049000678601E-2</v>
      </c>
      <c r="K61" s="5">
        <v>1.5076431609468699E-3</v>
      </c>
      <c r="L61" s="5">
        <v>7.9973785362475196</v>
      </c>
      <c r="M61" s="5">
        <v>4195</v>
      </c>
      <c r="Q61" t="s">
        <v>138</v>
      </c>
      <c r="R61" t="s">
        <v>136</v>
      </c>
      <c r="S61" s="5">
        <v>0.58333333333333304</v>
      </c>
      <c r="T61" s="5">
        <v>2E+20</v>
      </c>
      <c r="U61" s="5">
        <v>0</v>
      </c>
      <c r="V61" s="5">
        <v>0.58333333333333304</v>
      </c>
      <c r="W61" s="5">
        <v>0.58333333333333304</v>
      </c>
      <c r="X61" s="5">
        <v>0</v>
      </c>
      <c r="Y61" s="5">
        <v>1</v>
      </c>
      <c r="AL61" t="s">
        <v>230</v>
      </c>
      <c r="AM61" t="s">
        <v>178</v>
      </c>
      <c r="AN61" t="s">
        <v>136</v>
      </c>
      <c r="AO61" s="5">
        <v>0</v>
      </c>
      <c r="AP61" s="5">
        <v>4E+20</v>
      </c>
      <c r="AQ61" s="5">
        <v>0</v>
      </c>
      <c r="AR61" s="5">
        <v>0</v>
      </c>
      <c r="AS61" s="5">
        <v>0</v>
      </c>
    </row>
    <row r="62" spans="2:45" x14ac:dyDescent="0.25">
      <c r="C62" t="s">
        <v>96</v>
      </c>
      <c r="D62" t="s">
        <v>97</v>
      </c>
      <c r="E62" s="5">
        <v>0</v>
      </c>
      <c r="F62" s="5">
        <v>1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4195</v>
      </c>
      <c r="P62" t="s">
        <v>157</v>
      </c>
      <c r="Q62" t="s">
        <v>135</v>
      </c>
      <c r="R62" t="s">
        <v>136</v>
      </c>
      <c r="S62" s="5">
        <v>0.50466127451077203</v>
      </c>
      <c r="T62" s="5">
        <v>3E+20</v>
      </c>
      <c r="U62" s="5">
        <v>0</v>
      </c>
      <c r="V62" s="5">
        <v>0.50466127451077203</v>
      </c>
      <c r="W62" s="5">
        <v>0.50466127451077203</v>
      </c>
      <c r="X62" s="5">
        <v>0</v>
      </c>
      <c r="Y62" s="5">
        <v>1</v>
      </c>
      <c r="AL62" t="s">
        <v>231</v>
      </c>
      <c r="AM62" t="s">
        <v>173</v>
      </c>
      <c r="AN62" t="s">
        <v>136</v>
      </c>
      <c r="AO62" s="5">
        <v>0</v>
      </c>
      <c r="AP62" s="5">
        <v>4E+20</v>
      </c>
      <c r="AQ62" s="5">
        <v>0</v>
      </c>
      <c r="AR62" s="5">
        <v>0</v>
      </c>
      <c r="AS62" s="5">
        <v>0</v>
      </c>
    </row>
    <row r="63" spans="2:45" x14ac:dyDescent="0.25">
      <c r="C63" t="s">
        <v>99</v>
      </c>
      <c r="D63" t="s">
        <v>97</v>
      </c>
      <c r="E63" s="5">
        <v>0</v>
      </c>
      <c r="F63" s="5">
        <v>1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4195</v>
      </c>
      <c r="Q63" t="s">
        <v>137</v>
      </c>
      <c r="R63" t="s">
        <v>136</v>
      </c>
      <c r="S63" s="5">
        <v>0.50466127451077203</v>
      </c>
      <c r="T63" s="5">
        <v>3E+20</v>
      </c>
      <c r="U63" s="5">
        <v>0</v>
      </c>
      <c r="V63" s="5">
        <v>0.50466127451077203</v>
      </c>
      <c r="W63" s="5">
        <v>0.50466127451077203</v>
      </c>
      <c r="X63" s="5">
        <v>0</v>
      </c>
      <c r="Y63" s="5">
        <v>1</v>
      </c>
      <c r="AL63" t="s">
        <v>232</v>
      </c>
      <c r="AM63" t="s">
        <v>175</v>
      </c>
      <c r="AN63" t="s">
        <v>136</v>
      </c>
      <c r="AO63" s="5">
        <v>0</v>
      </c>
      <c r="AP63" s="5">
        <v>4E+20</v>
      </c>
      <c r="AQ63" s="5">
        <v>0</v>
      </c>
      <c r="AR63" s="5">
        <v>0</v>
      </c>
      <c r="AS63" s="5">
        <v>0</v>
      </c>
    </row>
    <row r="64" spans="2:45" x14ac:dyDescent="0.25">
      <c r="C64" t="s">
        <v>101</v>
      </c>
      <c r="D64" t="s">
        <v>97</v>
      </c>
      <c r="E64" s="5">
        <v>0</v>
      </c>
      <c r="F64" s="5">
        <v>1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4195</v>
      </c>
      <c r="Q64" t="s">
        <v>138</v>
      </c>
      <c r="R64" t="s">
        <v>136</v>
      </c>
      <c r="S64" s="5">
        <v>0.58331581855382397</v>
      </c>
      <c r="T64" s="5">
        <v>2E+20</v>
      </c>
      <c r="U64" s="5">
        <v>0</v>
      </c>
      <c r="V64" s="5">
        <v>0.58331581855382397</v>
      </c>
      <c r="W64" s="5">
        <v>0.58331581855382397</v>
      </c>
      <c r="X64" s="5">
        <v>0</v>
      </c>
      <c r="Y64" s="5">
        <v>1</v>
      </c>
      <c r="AL64" t="s">
        <v>233</v>
      </c>
      <c r="AM64" t="s">
        <v>182</v>
      </c>
      <c r="AN64" t="s">
        <v>136</v>
      </c>
      <c r="AO64" s="5">
        <v>8700</v>
      </c>
      <c r="AP64" s="5">
        <v>4E+20</v>
      </c>
      <c r="AQ64" s="5">
        <v>0</v>
      </c>
      <c r="AR64" s="5">
        <v>8700</v>
      </c>
      <c r="AS64" s="5">
        <v>8700</v>
      </c>
    </row>
    <row r="65" spans="2:45" x14ac:dyDescent="0.25">
      <c r="B65" t="s">
        <v>103</v>
      </c>
      <c r="C65" t="s">
        <v>74</v>
      </c>
      <c r="D65" t="s">
        <v>73</v>
      </c>
      <c r="E65" s="5">
        <v>1.2167119887867599E-2</v>
      </c>
      <c r="F65" s="5">
        <v>1</v>
      </c>
      <c r="G65" s="5">
        <v>3E+20</v>
      </c>
      <c r="H65" s="5">
        <v>0</v>
      </c>
      <c r="I65" s="5">
        <v>1.2167119887867599E-2</v>
      </c>
      <c r="J65" s="5">
        <v>1.2167119887867599E-2</v>
      </c>
      <c r="K65" s="5">
        <v>1.5076431609468699E-3</v>
      </c>
      <c r="L65" s="5">
        <v>7.9973785362475196</v>
      </c>
      <c r="M65" s="5">
        <v>4196</v>
      </c>
      <c r="P65" t="s">
        <v>158</v>
      </c>
      <c r="Q65" t="s">
        <v>135</v>
      </c>
      <c r="R65" t="s">
        <v>136</v>
      </c>
      <c r="S65" s="5">
        <v>0.57075379040249796</v>
      </c>
      <c r="T65" s="5">
        <v>3E+20</v>
      </c>
      <c r="U65" s="5">
        <v>0</v>
      </c>
      <c r="V65" s="5">
        <v>0.57075379040249796</v>
      </c>
      <c r="W65" s="5">
        <v>0.57075379040249796</v>
      </c>
      <c r="X65" s="5">
        <v>0</v>
      </c>
      <c r="Y65" s="5">
        <v>1</v>
      </c>
      <c r="AL65" t="s">
        <v>234</v>
      </c>
      <c r="AM65" t="s">
        <v>184</v>
      </c>
      <c r="AN65" t="s">
        <v>136</v>
      </c>
      <c r="AO65" s="5">
        <v>0.923864885868942</v>
      </c>
      <c r="AP65" s="5">
        <v>4E+20</v>
      </c>
      <c r="AQ65" s="5">
        <v>0</v>
      </c>
      <c r="AR65" s="5">
        <v>0.923864885868942</v>
      </c>
      <c r="AS65" s="5">
        <v>0.923864885868942</v>
      </c>
    </row>
    <row r="66" spans="2:45" x14ac:dyDescent="0.25">
      <c r="C66" t="s">
        <v>72</v>
      </c>
      <c r="D66" t="s">
        <v>73</v>
      </c>
      <c r="E66" s="5">
        <v>0</v>
      </c>
      <c r="F66" s="5">
        <v>1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4196</v>
      </c>
      <c r="Q66" t="s">
        <v>137</v>
      </c>
      <c r="R66" t="s">
        <v>136</v>
      </c>
      <c r="S66" s="5">
        <v>0.57075379040249796</v>
      </c>
      <c r="T66" s="5">
        <v>3E+20</v>
      </c>
      <c r="U66" s="5">
        <v>0</v>
      </c>
      <c r="V66" s="5">
        <v>0.57075379040249796</v>
      </c>
      <c r="W66" s="5">
        <v>0.57075379040249796</v>
      </c>
      <c r="X66" s="5">
        <v>0</v>
      </c>
      <c r="Y66" s="5">
        <v>1</v>
      </c>
      <c r="AL66" t="s">
        <v>235</v>
      </c>
      <c r="AM66" t="s">
        <v>178</v>
      </c>
      <c r="AN66" t="s">
        <v>136</v>
      </c>
      <c r="AO66" s="5">
        <v>0</v>
      </c>
      <c r="AP66" s="5">
        <v>4E+20</v>
      </c>
      <c r="AQ66" s="5">
        <v>0</v>
      </c>
      <c r="AR66" s="5">
        <v>0</v>
      </c>
      <c r="AS66" s="5">
        <v>0</v>
      </c>
    </row>
    <row r="67" spans="2:45" x14ac:dyDescent="0.25">
      <c r="B67" t="s">
        <v>104</v>
      </c>
      <c r="C67" t="s">
        <v>98</v>
      </c>
      <c r="D67" t="s">
        <v>97</v>
      </c>
      <c r="E67" s="5">
        <v>9.2348993199235405E-4</v>
      </c>
      <c r="F67" s="5">
        <v>1</v>
      </c>
      <c r="G67" s="5">
        <v>5.9834399740404303E-6</v>
      </c>
      <c r="H67" s="5">
        <v>0</v>
      </c>
      <c r="I67" s="5">
        <v>9.2348993199235405E-4</v>
      </c>
      <c r="J67" s="5">
        <v>9.2348993199235405E-4</v>
      </c>
      <c r="K67" s="5">
        <v>5.7498046025195005E-4</v>
      </c>
      <c r="L67" s="5">
        <v>1.3762029483377299E-3</v>
      </c>
      <c r="M67" s="5">
        <v>2818</v>
      </c>
      <c r="Q67" t="s">
        <v>138</v>
      </c>
      <c r="R67" t="s">
        <v>136</v>
      </c>
      <c r="S67" s="5">
        <v>0.58328559864928597</v>
      </c>
      <c r="T67" s="5">
        <v>2E+20</v>
      </c>
      <c r="U67" s="5">
        <v>0</v>
      </c>
      <c r="V67" s="5">
        <v>0.58328559864928597</v>
      </c>
      <c r="W67" s="5">
        <v>0.58328559864928597</v>
      </c>
      <c r="X67" s="5">
        <v>0</v>
      </c>
      <c r="Y67" s="5">
        <v>1</v>
      </c>
      <c r="AL67" t="s">
        <v>236</v>
      </c>
      <c r="AM67" t="s">
        <v>173</v>
      </c>
      <c r="AN67" t="s">
        <v>136</v>
      </c>
      <c r="AO67" s="5">
        <v>0</v>
      </c>
      <c r="AP67" s="5">
        <v>4E+20</v>
      </c>
      <c r="AQ67" s="5">
        <v>0</v>
      </c>
      <c r="AR67" s="5">
        <v>0</v>
      </c>
      <c r="AS67" s="5">
        <v>0</v>
      </c>
    </row>
    <row r="68" spans="2:45" x14ac:dyDescent="0.25">
      <c r="C68" t="s">
        <v>100</v>
      </c>
      <c r="D68" t="s">
        <v>97</v>
      </c>
      <c r="E68" s="5">
        <v>9.2348993199235405E-4</v>
      </c>
      <c r="F68" s="5">
        <v>1</v>
      </c>
      <c r="G68" s="5">
        <v>5.9834399740404303E-6</v>
      </c>
      <c r="H68" s="5">
        <v>0</v>
      </c>
      <c r="I68" s="5">
        <v>9.2348993199235405E-4</v>
      </c>
      <c r="J68" s="5">
        <v>9.2348993199235405E-4</v>
      </c>
      <c r="K68" s="5">
        <v>5.7498046025195005E-4</v>
      </c>
      <c r="L68" s="5">
        <v>1.3762029483377299E-3</v>
      </c>
      <c r="M68" s="5">
        <v>2818</v>
      </c>
      <c r="P68" t="s">
        <v>103</v>
      </c>
      <c r="Q68" t="s">
        <v>139</v>
      </c>
      <c r="R68" t="s">
        <v>73</v>
      </c>
      <c r="S68" s="5">
        <v>2.1272729033980098</v>
      </c>
      <c r="T68" s="5">
        <v>0.50205983253000297</v>
      </c>
      <c r="U68" s="5">
        <v>0</v>
      </c>
      <c r="V68" s="5">
        <v>2.1272729033980098</v>
      </c>
      <c r="W68" s="5">
        <v>2.1272729033980098</v>
      </c>
      <c r="X68" s="5">
        <v>0</v>
      </c>
      <c r="Y68" s="5">
        <v>4</v>
      </c>
      <c r="AL68" t="s">
        <v>237</v>
      </c>
      <c r="AM68" t="s">
        <v>175</v>
      </c>
      <c r="AN68" t="s">
        <v>136</v>
      </c>
      <c r="AO68" s="5">
        <v>0</v>
      </c>
      <c r="AP68" s="5">
        <v>4E+20</v>
      </c>
      <c r="AQ68" s="5">
        <v>0</v>
      </c>
      <c r="AR68" s="5">
        <v>0</v>
      </c>
      <c r="AS68" s="5">
        <v>0</v>
      </c>
    </row>
    <row r="69" spans="2:45" x14ac:dyDescent="0.25">
      <c r="C69" t="s">
        <v>102</v>
      </c>
      <c r="D69" t="s">
        <v>97</v>
      </c>
      <c r="E69" s="5">
        <v>0</v>
      </c>
      <c r="F69" s="5">
        <v>1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2818</v>
      </c>
      <c r="P69" t="s">
        <v>105</v>
      </c>
      <c r="Q69" t="s">
        <v>139</v>
      </c>
      <c r="R69" t="s">
        <v>73</v>
      </c>
      <c r="S69" s="5">
        <v>0</v>
      </c>
      <c r="T69" s="5">
        <v>2E+20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L69" t="s">
        <v>238</v>
      </c>
      <c r="AM69" t="s">
        <v>182</v>
      </c>
      <c r="AN69" t="s">
        <v>136</v>
      </c>
      <c r="AO69" s="5">
        <v>8697</v>
      </c>
      <c r="AP69" s="5">
        <v>4E+20</v>
      </c>
      <c r="AQ69" s="5">
        <v>0</v>
      </c>
      <c r="AR69" s="5">
        <v>8697</v>
      </c>
      <c r="AS69" s="5">
        <v>8697</v>
      </c>
    </row>
    <row r="70" spans="2:45" x14ac:dyDescent="0.25">
      <c r="C70" t="s">
        <v>96</v>
      </c>
      <c r="D70" t="s">
        <v>97</v>
      </c>
      <c r="E70" s="5">
        <v>0</v>
      </c>
      <c r="F70" s="5">
        <v>1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2818</v>
      </c>
      <c r="P70" t="s">
        <v>107</v>
      </c>
      <c r="Q70" t="s">
        <v>139</v>
      </c>
      <c r="R70" t="s">
        <v>73</v>
      </c>
      <c r="S70" s="5">
        <v>0.20808766936970499</v>
      </c>
      <c r="T70" s="5">
        <v>2E+20</v>
      </c>
      <c r="U70" s="5">
        <v>0</v>
      </c>
      <c r="V70" s="5">
        <v>0.20808766936970499</v>
      </c>
      <c r="W70" s="5">
        <v>0.20808766936970499</v>
      </c>
      <c r="X70" s="5">
        <v>0</v>
      </c>
      <c r="Y70" s="5">
        <v>3</v>
      </c>
      <c r="AL70" t="s">
        <v>239</v>
      </c>
      <c r="AM70" t="s">
        <v>184</v>
      </c>
      <c r="AN70" t="s">
        <v>136</v>
      </c>
      <c r="AO70" s="5">
        <v>0.66362836165822503</v>
      </c>
      <c r="AP70" s="5">
        <v>4E+20</v>
      </c>
      <c r="AQ70" s="5">
        <v>0</v>
      </c>
      <c r="AR70" s="5">
        <v>0.66362836165822503</v>
      </c>
      <c r="AS70" s="5">
        <v>0.66362836165822503</v>
      </c>
    </row>
    <row r="71" spans="2:45" x14ac:dyDescent="0.25">
      <c r="C71" t="s">
        <v>99</v>
      </c>
      <c r="D71" t="s">
        <v>97</v>
      </c>
      <c r="E71" s="5">
        <v>0</v>
      </c>
      <c r="F71" s="5">
        <v>1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2818</v>
      </c>
      <c r="P71" t="s">
        <v>109</v>
      </c>
      <c r="Q71" t="s">
        <v>139</v>
      </c>
      <c r="R71" t="s">
        <v>73</v>
      </c>
      <c r="S71" s="5">
        <v>0.210715539805922</v>
      </c>
      <c r="T71" s="5">
        <v>0.18101961076145401</v>
      </c>
      <c r="U71" s="5">
        <v>0</v>
      </c>
      <c r="V71" s="5">
        <v>0.210715539805922</v>
      </c>
      <c r="W71" s="5">
        <v>0.210715539805922</v>
      </c>
      <c r="X71" s="5">
        <v>0</v>
      </c>
      <c r="Y71" s="5">
        <v>2</v>
      </c>
      <c r="AL71" t="s">
        <v>240</v>
      </c>
      <c r="AM71" t="s">
        <v>178</v>
      </c>
      <c r="AN71" t="s">
        <v>136</v>
      </c>
      <c r="AO71" s="5">
        <v>0</v>
      </c>
      <c r="AP71" s="5">
        <v>4E+20</v>
      </c>
      <c r="AQ71" s="5">
        <v>0</v>
      </c>
      <c r="AR71" s="5">
        <v>0</v>
      </c>
      <c r="AS71" s="5">
        <v>0</v>
      </c>
    </row>
    <row r="72" spans="2:45" x14ac:dyDescent="0.25">
      <c r="C72" t="s">
        <v>101</v>
      </c>
      <c r="D72" t="s">
        <v>97</v>
      </c>
      <c r="E72" s="5">
        <v>0</v>
      </c>
      <c r="F72" s="5">
        <v>1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2818</v>
      </c>
      <c r="P72" t="s">
        <v>111</v>
      </c>
      <c r="Q72" t="s">
        <v>139</v>
      </c>
      <c r="R72" t="s">
        <v>73</v>
      </c>
      <c r="S72" s="5">
        <v>0.82097539294698496</v>
      </c>
      <c r="T72" s="5">
        <v>2E+20</v>
      </c>
      <c r="U72" s="5">
        <v>0</v>
      </c>
      <c r="V72" s="5">
        <v>0.82097539294698496</v>
      </c>
      <c r="W72" s="5">
        <v>0.82097539294698496</v>
      </c>
      <c r="X72" s="5">
        <v>0</v>
      </c>
      <c r="Y72" s="5">
        <v>2</v>
      </c>
      <c r="AL72" t="s">
        <v>241</v>
      </c>
      <c r="AM72" t="s">
        <v>173</v>
      </c>
      <c r="AN72" t="s">
        <v>136</v>
      </c>
      <c r="AO72" s="5">
        <v>0</v>
      </c>
      <c r="AP72" s="5">
        <v>4E+20</v>
      </c>
      <c r="AQ72" s="5">
        <v>0</v>
      </c>
      <c r="AR72" s="5">
        <v>0</v>
      </c>
      <c r="AS72" s="5">
        <v>0</v>
      </c>
    </row>
    <row r="73" spans="2:45" x14ac:dyDescent="0.25">
      <c r="B73" t="s">
        <v>105</v>
      </c>
      <c r="C73" t="s">
        <v>74</v>
      </c>
      <c r="D73" t="s">
        <v>73</v>
      </c>
      <c r="E73" s="5">
        <v>0</v>
      </c>
      <c r="F73" s="5">
        <v>1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2818</v>
      </c>
      <c r="P73" t="s">
        <v>113</v>
      </c>
      <c r="Q73" t="s">
        <v>139</v>
      </c>
      <c r="R73" t="s">
        <v>73</v>
      </c>
      <c r="S73" s="5">
        <v>8.3050467353312896E-2</v>
      </c>
      <c r="T73" s="5">
        <v>2E+20</v>
      </c>
      <c r="U73" s="5">
        <v>0</v>
      </c>
      <c r="V73" s="5">
        <v>8.3050467353312896E-2</v>
      </c>
      <c r="W73" s="5">
        <v>8.3050467353312896E-2</v>
      </c>
      <c r="X73" s="5">
        <v>0</v>
      </c>
      <c r="Y73" s="5">
        <v>1</v>
      </c>
      <c r="AL73" t="s">
        <v>242</v>
      </c>
      <c r="AM73" t="s">
        <v>175</v>
      </c>
      <c r="AN73" t="s">
        <v>136</v>
      </c>
      <c r="AO73" s="5">
        <v>0</v>
      </c>
      <c r="AP73" s="5">
        <v>4E+20</v>
      </c>
      <c r="AQ73" s="5">
        <v>0</v>
      </c>
      <c r="AR73" s="5">
        <v>0</v>
      </c>
      <c r="AS73" s="5">
        <v>0</v>
      </c>
    </row>
    <row r="74" spans="2:45" x14ac:dyDescent="0.25">
      <c r="C74" t="s">
        <v>72</v>
      </c>
      <c r="D74" t="s">
        <v>73</v>
      </c>
      <c r="E74" s="5">
        <v>0</v>
      </c>
      <c r="F74" s="5">
        <v>1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2818</v>
      </c>
      <c r="P74" t="s">
        <v>115</v>
      </c>
      <c r="Q74" t="s">
        <v>139</v>
      </c>
      <c r="R74" t="s">
        <v>73</v>
      </c>
      <c r="S74" s="5">
        <v>1.6138020589433899</v>
      </c>
      <c r="T74" s="5">
        <v>3E+20</v>
      </c>
      <c r="U74" s="5">
        <v>0</v>
      </c>
      <c r="V74" s="5">
        <v>1.6138020589433899</v>
      </c>
      <c r="W74" s="5">
        <v>1.6138020589433899</v>
      </c>
      <c r="X74" s="5">
        <v>0</v>
      </c>
      <c r="Y74" s="5">
        <v>4</v>
      </c>
      <c r="AL74" t="s">
        <v>243</v>
      </c>
      <c r="AM74" t="s">
        <v>182</v>
      </c>
      <c r="AN74" t="s">
        <v>136</v>
      </c>
      <c r="AO74" s="5">
        <v>4196</v>
      </c>
      <c r="AP74" s="5">
        <v>4E+20</v>
      </c>
      <c r="AQ74" s="5">
        <v>0</v>
      </c>
      <c r="AR74" s="5">
        <v>4196</v>
      </c>
      <c r="AS74" s="5">
        <v>4196</v>
      </c>
    </row>
    <row r="75" spans="2:45" x14ac:dyDescent="0.25">
      <c r="B75" t="s">
        <v>106</v>
      </c>
      <c r="C75" t="s">
        <v>98</v>
      </c>
      <c r="D75" t="s">
        <v>97</v>
      </c>
      <c r="E75" s="5">
        <v>2.85473496429792E-3</v>
      </c>
      <c r="F75" s="5">
        <v>1</v>
      </c>
      <c r="G75" s="5">
        <v>1.76094461761863E-3</v>
      </c>
      <c r="H75" s="5">
        <v>0</v>
      </c>
      <c r="I75" s="5">
        <v>2.85473496429792E-3</v>
      </c>
      <c r="J75" s="5">
        <v>2.85473496429792E-3</v>
      </c>
      <c r="K75" s="5">
        <v>8.4975853797431E-4</v>
      </c>
      <c r="L75" s="5">
        <v>0.99996002445603005</v>
      </c>
      <c r="M75" s="5">
        <v>4193</v>
      </c>
      <c r="P75" t="s">
        <v>117</v>
      </c>
      <c r="Q75" t="s">
        <v>139</v>
      </c>
      <c r="R75" t="s">
        <v>73</v>
      </c>
      <c r="S75" s="5">
        <v>0.165960753025232</v>
      </c>
      <c r="T75" s="5">
        <v>2E+20</v>
      </c>
      <c r="U75" s="5">
        <v>0</v>
      </c>
      <c r="V75" s="5">
        <v>0.165960753025232</v>
      </c>
      <c r="W75" s="5">
        <v>0.165960753025232</v>
      </c>
      <c r="X75" s="5">
        <v>0</v>
      </c>
      <c r="Y75" s="5">
        <v>2</v>
      </c>
      <c r="AL75" t="s">
        <v>244</v>
      </c>
      <c r="AM75" t="s">
        <v>184</v>
      </c>
      <c r="AN75" t="s">
        <v>136</v>
      </c>
      <c r="AO75" s="5">
        <v>1.00045041343626</v>
      </c>
      <c r="AP75" s="5">
        <v>4E+20</v>
      </c>
      <c r="AQ75" s="5">
        <v>0</v>
      </c>
      <c r="AR75" s="5">
        <v>1.00045041343626</v>
      </c>
      <c r="AS75" s="5">
        <v>1.00045041343626</v>
      </c>
    </row>
    <row r="76" spans="2:45" x14ac:dyDescent="0.25">
      <c r="C76" t="s">
        <v>100</v>
      </c>
      <c r="D76" t="s">
        <v>97</v>
      </c>
      <c r="E76" s="5">
        <v>1.66367747207923E-3</v>
      </c>
      <c r="F76" s="5">
        <v>1</v>
      </c>
      <c r="G76" s="5">
        <v>9.0865320198744907E-6</v>
      </c>
      <c r="H76" s="5">
        <v>0</v>
      </c>
      <c r="I76" s="5">
        <v>1.66367747207923E-3</v>
      </c>
      <c r="J76" s="5">
        <v>1.66367747207923E-3</v>
      </c>
      <c r="K76" s="5">
        <v>8.4975853797431E-4</v>
      </c>
      <c r="L76" s="5">
        <v>2.4898955234622399E-3</v>
      </c>
      <c r="M76" s="5">
        <v>4193</v>
      </c>
      <c r="P76" t="s">
        <v>119</v>
      </c>
      <c r="Q76" t="s">
        <v>139</v>
      </c>
      <c r="R76" t="s">
        <v>73</v>
      </c>
      <c r="S76" s="5">
        <v>1.8235679663729301</v>
      </c>
      <c r="T76" s="5">
        <v>3E+20</v>
      </c>
      <c r="U76" s="5">
        <v>0</v>
      </c>
      <c r="V76" s="5">
        <v>1.8235679663729301</v>
      </c>
      <c r="W76" s="5">
        <v>1.8235679663729301</v>
      </c>
      <c r="X76" s="5">
        <v>0</v>
      </c>
      <c r="Y76" s="5">
        <v>5</v>
      </c>
      <c r="AL76" t="s">
        <v>245</v>
      </c>
      <c r="AM76" t="s">
        <v>178</v>
      </c>
      <c r="AN76" t="s">
        <v>136</v>
      </c>
      <c r="AO76" s="5">
        <v>0</v>
      </c>
      <c r="AP76" s="5">
        <v>4E+20</v>
      </c>
      <c r="AQ76" s="5">
        <v>0</v>
      </c>
      <c r="AR76" s="5">
        <v>0</v>
      </c>
      <c r="AS76" s="5">
        <v>0</v>
      </c>
    </row>
    <row r="77" spans="2:45" x14ac:dyDescent="0.25">
      <c r="C77" t="s">
        <v>102</v>
      </c>
      <c r="D77" t="s">
        <v>97</v>
      </c>
      <c r="E77" s="5">
        <v>1.19105749221868E-3</v>
      </c>
      <c r="F77" s="5">
        <v>1</v>
      </c>
      <c r="G77" s="5">
        <v>1.76307333267762E-3</v>
      </c>
      <c r="H77" s="5">
        <v>0</v>
      </c>
      <c r="I77" s="5">
        <v>1.19105749221868E-3</v>
      </c>
      <c r="J77" s="5">
        <v>1.19105749221868E-3</v>
      </c>
      <c r="K77" s="5">
        <v>0</v>
      </c>
      <c r="L77" s="5">
        <v>0.99887965490322395</v>
      </c>
      <c r="M77" s="5">
        <v>4193</v>
      </c>
      <c r="P77" t="s">
        <v>121</v>
      </c>
      <c r="Q77" t="s">
        <v>139</v>
      </c>
      <c r="R77" t="s">
        <v>73</v>
      </c>
      <c r="S77" s="5">
        <v>0.41464253537161899</v>
      </c>
      <c r="T77" s="5">
        <v>0.340148673081277</v>
      </c>
      <c r="U77" s="5">
        <v>0</v>
      </c>
      <c r="V77" s="5">
        <v>0.41464253537161899</v>
      </c>
      <c r="W77" s="5">
        <v>0.41464253537161899</v>
      </c>
      <c r="X77" s="5">
        <v>0</v>
      </c>
      <c r="Y77" s="5">
        <v>3</v>
      </c>
      <c r="AL77" t="s">
        <v>246</v>
      </c>
      <c r="AM77" t="s">
        <v>173</v>
      </c>
      <c r="AN77" t="s">
        <v>136</v>
      </c>
      <c r="AO77" s="5">
        <v>0</v>
      </c>
      <c r="AP77" s="5">
        <v>4E+20</v>
      </c>
      <c r="AQ77" s="5">
        <v>0</v>
      </c>
      <c r="AR77" s="5">
        <v>0</v>
      </c>
      <c r="AS77" s="5">
        <v>0</v>
      </c>
    </row>
    <row r="78" spans="2:45" x14ac:dyDescent="0.25">
      <c r="C78" t="s">
        <v>96</v>
      </c>
      <c r="D78" t="s">
        <v>97</v>
      </c>
      <c r="E78" s="5">
        <v>0</v>
      </c>
      <c r="F78" s="5">
        <v>1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4193</v>
      </c>
      <c r="P78" t="s">
        <v>159</v>
      </c>
      <c r="Q78" t="s">
        <v>135</v>
      </c>
      <c r="R78" t="s">
        <v>136</v>
      </c>
      <c r="S78" s="5">
        <v>0</v>
      </c>
      <c r="T78" s="5">
        <v>2E+20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AL78" t="s">
        <v>247</v>
      </c>
      <c r="AM78" t="s">
        <v>175</v>
      </c>
      <c r="AN78" t="s">
        <v>136</v>
      </c>
      <c r="AO78" s="5">
        <v>0</v>
      </c>
      <c r="AP78" s="5">
        <v>4E+20</v>
      </c>
      <c r="AQ78" s="5">
        <v>0</v>
      </c>
      <c r="AR78" s="5">
        <v>0</v>
      </c>
      <c r="AS78" s="5">
        <v>0</v>
      </c>
    </row>
    <row r="79" spans="2:45" x14ac:dyDescent="0.25">
      <c r="C79" t="s">
        <v>99</v>
      </c>
      <c r="D79" t="s">
        <v>97</v>
      </c>
      <c r="E79" s="5">
        <v>0</v>
      </c>
      <c r="F79" s="5">
        <v>1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4193</v>
      </c>
      <c r="Q79" t="s">
        <v>137</v>
      </c>
      <c r="R79" t="s">
        <v>136</v>
      </c>
      <c r="S79" s="5">
        <v>0</v>
      </c>
      <c r="T79" s="5">
        <v>2E+20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AL79" t="s">
        <v>248</v>
      </c>
      <c r="AM79" t="s">
        <v>182</v>
      </c>
      <c r="AN79" t="s">
        <v>136</v>
      </c>
      <c r="AO79" s="5">
        <v>4194</v>
      </c>
      <c r="AP79" s="5">
        <v>4E+20</v>
      </c>
      <c r="AQ79" s="5">
        <v>0</v>
      </c>
      <c r="AR79" s="5">
        <v>4194</v>
      </c>
      <c r="AS79" s="5">
        <v>4194</v>
      </c>
    </row>
    <row r="80" spans="2:45" x14ac:dyDescent="0.25">
      <c r="C80" t="s">
        <v>101</v>
      </c>
      <c r="D80" t="s">
        <v>97</v>
      </c>
      <c r="E80" s="5">
        <v>0</v>
      </c>
      <c r="F80" s="5">
        <v>1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4193</v>
      </c>
      <c r="Q80" t="s">
        <v>138</v>
      </c>
      <c r="R80" t="s">
        <v>136</v>
      </c>
      <c r="S80" s="5">
        <v>0.375</v>
      </c>
      <c r="T80" s="5">
        <v>2E+20</v>
      </c>
      <c r="U80" s="5">
        <v>0</v>
      </c>
      <c r="V80" s="5">
        <v>0.375</v>
      </c>
      <c r="W80" s="5">
        <v>0.375</v>
      </c>
      <c r="X80" s="5">
        <v>0</v>
      </c>
      <c r="Y80" s="5">
        <v>1</v>
      </c>
      <c r="AL80" t="s">
        <v>249</v>
      </c>
      <c r="AM80" t="s">
        <v>184</v>
      </c>
      <c r="AN80" t="s">
        <v>136</v>
      </c>
      <c r="AO80" s="5">
        <v>0.49840691245013202</v>
      </c>
      <c r="AP80" s="5">
        <v>4E+20</v>
      </c>
      <c r="AQ80" s="5">
        <v>0</v>
      </c>
      <c r="AR80" s="5">
        <v>0.49840691245013202</v>
      </c>
      <c r="AS80" s="5">
        <v>0.49840691245013202</v>
      </c>
    </row>
    <row r="81" spans="2:45" x14ac:dyDescent="0.25">
      <c r="B81" t="s">
        <v>107</v>
      </c>
      <c r="C81" t="s">
        <v>74</v>
      </c>
      <c r="D81" t="s">
        <v>73</v>
      </c>
      <c r="E81" s="5">
        <v>1.1907735014003099E-3</v>
      </c>
      <c r="F81" s="5">
        <v>1</v>
      </c>
      <c r="G81" s="5">
        <v>1.76307333267762E-3</v>
      </c>
      <c r="H81" s="5">
        <v>0</v>
      </c>
      <c r="I81" s="5">
        <v>1.1907735014003099E-3</v>
      </c>
      <c r="J81" s="5">
        <v>1.1907735014003099E-3</v>
      </c>
      <c r="K81" s="5">
        <v>0</v>
      </c>
      <c r="L81" s="5">
        <v>0.99887965490322395</v>
      </c>
      <c r="M81" s="5">
        <v>4194</v>
      </c>
      <c r="P81" t="s">
        <v>160</v>
      </c>
      <c r="Q81" t="s">
        <v>135</v>
      </c>
      <c r="R81" t="s">
        <v>136</v>
      </c>
      <c r="S81" s="5">
        <v>7.3988940102363898E-2</v>
      </c>
      <c r="T81" s="5">
        <v>2E+20</v>
      </c>
      <c r="U81" s="5">
        <v>0</v>
      </c>
      <c r="V81" s="5">
        <v>7.3988940102363898E-2</v>
      </c>
      <c r="W81" s="5">
        <v>7.3988940102363898E-2</v>
      </c>
      <c r="X81" s="5">
        <v>0</v>
      </c>
      <c r="Y81" s="5">
        <v>1</v>
      </c>
      <c r="AL81" t="s">
        <v>250</v>
      </c>
      <c r="AM81" t="s">
        <v>178</v>
      </c>
      <c r="AN81" t="s">
        <v>136</v>
      </c>
      <c r="AO81" s="5">
        <v>0</v>
      </c>
      <c r="AP81" s="5">
        <v>4E+20</v>
      </c>
      <c r="AQ81" s="5">
        <v>0</v>
      </c>
      <c r="AR81" s="5">
        <v>0</v>
      </c>
      <c r="AS81" s="5">
        <v>0</v>
      </c>
    </row>
    <row r="82" spans="2:45" x14ac:dyDescent="0.25">
      <c r="C82" t="s">
        <v>72</v>
      </c>
      <c r="D82" t="s">
        <v>73</v>
      </c>
      <c r="E82" s="5">
        <v>0</v>
      </c>
      <c r="F82" s="5">
        <v>1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4194</v>
      </c>
      <c r="Q82" t="s">
        <v>137</v>
      </c>
      <c r="R82" t="s">
        <v>136</v>
      </c>
      <c r="S82" s="5">
        <v>7.3988940102363898E-2</v>
      </c>
      <c r="T82" s="5">
        <v>2E+20</v>
      </c>
      <c r="U82" s="5">
        <v>0</v>
      </c>
      <c r="V82" s="5">
        <v>7.3988940102363898E-2</v>
      </c>
      <c r="W82" s="5">
        <v>7.3988940102363898E-2</v>
      </c>
      <c r="X82" s="5">
        <v>0</v>
      </c>
      <c r="Y82" s="5">
        <v>1</v>
      </c>
      <c r="AL82" t="s">
        <v>251</v>
      </c>
      <c r="AM82" t="s">
        <v>173</v>
      </c>
      <c r="AN82" t="s">
        <v>136</v>
      </c>
      <c r="AO82" s="5">
        <v>0</v>
      </c>
      <c r="AP82" s="5">
        <v>4E+20</v>
      </c>
      <c r="AQ82" s="5">
        <v>0</v>
      </c>
      <c r="AR82" s="5">
        <v>0</v>
      </c>
      <c r="AS82" s="5">
        <v>0</v>
      </c>
    </row>
    <row r="83" spans="2:45" x14ac:dyDescent="0.25">
      <c r="B83" t="s">
        <v>108</v>
      </c>
      <c r="C83" t="s">
        <v>98</v>
      </c>
      <c r="D83" t="s">
        <v>97</v>
      </c>
      <c r="E83" s="5">
        <v>4.2648943662273496E-3</v>
      </c>
      <c r="F83" s="5">
        <v>1</v>
      </c>
      <c r="G83" s="5">
        <v>1.1036037478179301E-3</v>
      </c>
      <c r="H83" s="5">
        <v>0</v>
      </c>
      <c r="I83" s="5">
        <v>4.2648943662273496E-3</v>
      </c>
      <c r="J83" s="5">
        <v>4.2648943662273496E-3</v>
      </c>
      <c r="K83" s="5">
        <v>2.7812016783812501E-3</v>
      </c>
      <c r="L83" s="5">
        <v>1.0047351753867799</v>
      </c>
      <c r="M83" s="5">
        <v>4192</v>
      </c>
      <c r="Q83" t="s">
        <v>138</v>
      </c>
      <c r="R83" t="s">
        <v>136</v>
      </c>
      <c r="S83" s="5">
        <v>1</v>
      </c>
      <c r="T83" s="5">
        <v>2E+20</v>
      </c>
      <c r="U83" s="5">
        <v>0</v>
      </c>
      <c r="V83" s="5">
        <v>1</v>
      </c>
      <c r="W83" s="5">
        <v>1</v>
      </c>
      <c r="X83" s="5">
        <v>1</v>
      </c>
      <c r="Y83" s="5">
        <v>1</v>
      </c>
      <c r="AL83" t="s">
        <v>252</v>
      </c>
      <c r="AM83" t="s">
        <v>175</v>
      </c>
      <c r="AN83" t="s">
        <v>136</v>
      </c>
      <c r="AO83" s="5">
        <v>0</v>
      </c>
      <c r="AP83" s="5">
        <v>4E+20</v>
      </c>
      <c r="AQ83" s="5">
        <v>0</v>
      </c>
      <c r="AR83" s="5">
        <v>0</v>
      </c>
      <c r="AS83" s="5">
        <v>0</v>
      </c>
    </row>
    <row r="84" spans="2:45" x14ac:dyDescent="0.25">
      <c r="C84" t="s">
        <v>100</v>
      </c>
      <c r="D84" t="s">
        <v>97</v>
      </c>
      <c r="E84" s="5">
        <v>3.05850768794919E-3</v>
      </c>
      <c r="F84" s="5">
        <v>1</v>
      </c>
      <c r="G84" s="5">
        <v>3.4802944743200201E-6</v>
      </c>
      <c r="H84" s="5">
        <v>0</v>
      </c>
      <c r="I84" s="5">
        <v>3.05850768794919E-3</v>
      </c>
      <c r="J84" s="5">
        <v>3.05850768794919E-3</v>
      </c>
      <c r="K84" s="5">
        <v>2.7812016783812501E-3</v>
      </c>
      <c r="L84" s="5">
        <v>3.3303157934412302E-3</v>
      </c>
      <c r="M84" s="5">
        <v>4192</v>
      </c>
      <c r="P84" t="s">
        <v>122</v>
      </c>
      <c r="Q84" t="s">
        <v>139</v>
      </c>
      <c r="R84" t="s">
        <v>73</v>
      </c>
      <c r="S84" s="5">
        <v>6.9495758290525798</v>
      </c>
      <c r="T84" s="5">
        <v>3E+20</v>
      </c>
      <c r="U84" s="5">
        <v>0</v>
      </c>
      <c r="V84" s="5">
        <v>6.9495758290525798</v>
      </c>
      <c r="W84" s="5">
        <v>6.9495758290525798</v>
      </c>
      <c r="X84" s="5">
        <v>0</v>
      </c>
      <c r="Y84" s="5">
        <v>19</v>
      </c>
      <c r="AL84" t="s">
        <v>253</v>
      </c>
      <c r="AM84" t="s">
        <v>182</v>
      </c>
      <c r="AN84" t="s">
        <v>136</v>
      </c>
      <c r="AO84" s="5">
        <v>4193</v>
      </c>
      <c r="AP84" s="5">
        <v>4E+20</v>
      </c>
      <c r="AQ84" s="5">
        <v>0</v>
      </c>
      <c r="AR84" s="5">
        <v>4193</v>
      </c>
      <c r="AS84" s="5">
        <v>4193</v>
      </c>
    </row>
    <row r="85" spans="2:45" x14ac:dyDescent="0.25">
      <c r="C85" t="s">
        <v>102</v>
      </c>
      <c r="D85" t="s">
        <v>97</v>
      </c>
      <c r="E85" s="5">
        <v>1.20638667827817E-3</v>
      </c>
      <c r="F85" s="5">
        <v>1</v>
      </c>
      <c r="G85" s="5">
        <v>1.1030906118940499E-3</v>
      </c>
      <c r="H85" s="5">
        <v>0</v>
      </c>
      <c r="I85" s="5">
        <v>1.20638667827817E-3</v>
      </c>
      <c r="J85" s="5">
        <v>1.20638667827817E-3</v>
      </c>
      <c r="K85" s="5">
        <v>0</v>
      </c>
      <c r="L85" s="5">
        <v>1.00157777489091</v>
      </c>
      <c r="M85" s="5">
        <v>4192</v>
      </c>
      <c r="P85" t="s">
        <v>123</v>
      </c>
      <c r="Q85" t="s">
        <v>139</v>
      </c>
      <c r="R85" t="s">
        <v>73</v>
      </c>
      <c r="S85" s="5">
        <v>1.0500078548999099E-4</v>
      </c>
      <c r="T85" s="5">
        <v>2E+20</v>
      </c>
      <c r="U85" s="5">
        <v>0</v>
      </c>
      <c r="V85" s="5">
        <v>1.0500078548999099E-4</v>
      </c>
      <c r="W85" s="5">
        <v>1.0500078548999099E-4</v>
      </c>
      <c r="X85" s="5">
        <v>0</v>
      </c>
      <c r="Y85" s="5">
        <v>1</v>
      </c>
      <c r="AL85" t="s">
        <v>254</v>
      </c>
      <c r="AM85" t="s">
        <v>184</v>
      </c>
      <c r="AN85" t="s">
        <v>136</v>
      </c>
      <c r="AO85" s="5">
        <v>0.91597279721514702</v>
      </c>
      <c r="AP85" s="5">
        <v>4E+20</v>
      </c>
      <c r="AQ85" s="5">
        <v>0</v>
      </c>
      <c r="AR85" s="5">
        <v>0.91597279721514702</v>
      </c>
      <c r="AS85" s="5">
        <v>0.91597279721514702</v>
      </c>
    </row>
    <row r="86" spans="2:45" x14ac:dyDescent="0.25">
      <c r="C86" t="s">
        <v>96</v>
      </c>
      <c r="D86" t="s">
        <v>97</v>
      </c>
      <c r="E86" s="5">
        <v>0</v>
      </c>
      <c r="F86" s="5">
        <v>1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4192</v>
      </c>
      <c r="P86" t="s">
        <v>124</v>
      </c>
      <c r="Q86" t="s">
        <v>139</v>
      </c>
      <c r="R86" t="s">
        <v>73</v>
      </c>
      <c r="S86" s="5">
        <v>4.5170241998645098E-5</v>
      </c>
      <c r="T86" s="5">
        <v>2E+20</v>
      </c>
      <c r="U86" s="5">
        <v>0</v>
      </c>
      <c r="V86" s="5">
        <v>4.5170241998645098E-5</v>
      </c>
      <c r="W86" s="5">
        <v>4.5170241998645098E-5</v>
      </c>
      <c r="X86" s="5">
        <v>0</v>
      </c>
      <c r="Y86" s="5">
        <v>1</v>
      </c>
      <c r="AL86" t="s">
        <v>255</v>
      </c>
      <c r="AM86" t="s">
        <v>178</v>
      </c>
      <c r="AN86" t="s">
        <v>136</v>
      </c>
      <c r="AO86" s="5">
        <v>0</v>
      </c>
      <c r="AP86" s="5">
        <v>4E+20</v>
      </c>
      <c r="AQ86" s="5">
        <v>0</v>
      </c>
      <c r="AR86" s="5">
        <v>0</v>
      </c>
      <c r="AS86" s="5">
        <v>0</v>
      </c>
    </row>
    <row r="87" spans="2:45" x14ac:dyDescent="0.25">
      <c r="C87" t="s">
        <v>99</v>
      </c>
      <c r="D87" t="s">
        <v>97</v>
      </c>
      <c r="E87" s="5">
        <v>0</v>
      </c>
      <c r="F87" s="5">
        <v>1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4192</v>
      </c>
      <c r="P87" t="s">
        <v>125</v>
      </c>
      <c r="Q87" t="s">
        <v>139</v>
      </c>
      <c r="R87" t="s">
        <v>73</v>
      </c>
      <c r="S87" s="5">
        <v>12.111355852878599</v>
      </c>
      <c r="T87" s="5">
        <v>3E+20</v>
      </c>
      <c r="U87" s="5">
        <v>0</v>
      </c>
      <c r="V87" s="5">
        <v>12.111355852878599</v>
      </c>
      <c r="W87" s="5">
        <v>12.111355852878599</v>
      </c>
      <c r="X87" s="5">
        <v>0</v>
      </c>
      <c r="Y87" s="5">
        <v>26</v>
      </c>
      <c r="AL87" t="s">
        <v>256</v>
      </c>
      <c r="AM87" t="s">
        <v>173</v>
      </c>
      <c r="AN87" t="s">
        <v>136</v>
      </c>
      <c r="AO87" s="5">
        <v>0</v>
      </c>
      <c r="AP87" s="5">
        <v>4E+20</v>
      </c>
      <c r="AQ87" s="5">
        <v>0</v>
      </c>
      <c r="AR87" s="5">
        <v>0</v>
      </c>
      <c r="AS87" s="5">
        <v>0</v>
      </c>
    </row>
    <row r="88" spans="2:45" x14ac:dyDescent="0.25">
      <c r="C88" t="s">
        <v>101</v>
      </c>
      <c r="D88" t="s">
        <v>97</v>
      </c>
      <c r="E88" s="5">
        <v>0</v>
      </c>
      <c r="F88" s="5">
        <v>1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4192</v>
      </c>
      <c r="P88" t="s">
        <v>126</v>
      </c>
      <c r="Q88" t="s">
        <v>139</v>
      </c>
      <c r="R88" t="s">
        <v>73</v>
      </c>
      <c r="S88" s="5">
        <v>0.53555515695183697</v>
      </c>
      <c r="T88" s="5">
        <v>3E+20</v>
      </c>
      <c r="U88" s="5">
        <v>0</v>
      </c>
      <c r="V88" s="5">
        <v>0.53555515695183697</v>
      </c>
      <c r="W88" s="5">
        <v>0.53555515695183697</v>
      </c>
      <c r="X88" s="5">
        <v>0</v>
      </c>
      <c r="Y88" s="5">
        <v>2</v>
      </c>
      <c r="AL88" t="s">
        <v>257</v>
      </c>
      <c r="AM88" t="s">
        <v>175</v>
      </c>
      <c r="AN88" t="s">
        <v>136</v>
      </c>
      <c r="AO88" s="5">
        <v>0</v>
      </c>
      <c r="AP88" s="5">
        <v>4E+20</v>
      </c>
      <c r="AQ88" s="5">
        <v>0</v>
      </c>
      <c r="AR88" s="5">
        <v>0</v>
      </c>
      <c r="AS88" s="5">
        <v>0</v>
      </c>
    </row>
    <row r="89" spans="2:45" x14ac:dyDescent="0.25">
      <c r="B89" t="s">
        <v>109</v>
      </c>
      <c r="C89" t="s">
        <v>74</v>
      </c>
      <c r="D89" t="s">
        <v>73</v>
      </c>
      <c r="E89" s="5">
        <v>1.2060989638307E-3</v>
      </c>
      <c r="F89" s="5">
        <v>1</v>
      </c>
      <c r="G89" s="5">
        <v>1.1030906118940499E-3</v>
      </c>
      <c r="H89" s="5">
        <v>0</v>
      </c>
      <c r="I89" s="5">
        <v>1.2060989638307E-3</v>
      </c>
      <c r="J89" s="5">
        <v>1.2060989638307E-3</v>
      </c>
      <c r="K89" s="5">
        <v>0</v>
      </c>
      <c r="L89" s="5">
        <v>1.00157777489091</v>
      </c>
      <c r="M89" s="5">
        <v>4193</v>
      </c>
      <c r="P89" t="s">
        <v>127</v>
      </c>
      <c r="Q89" t="s">
        <v>139</v>
      </c>
      <c r="R89" t="s">
        <v>73</v>
      </c>
      <c r="S89" s="5">
        <v>2.4616492003705401</v>
      </c>
      <c r="T89" s="5">
        <v>3E+20</v>
      </c>
      <c r="U89" s="5">
        <v>0</v>
      </c>
      <c r="V89" s="5">
        <v>2.4616492003705401</v>
      </c>
      <c r="W89" s="5">
        <v>2.4616492003705401</v>
      </c>
      <c r="X89" s="5">
        <v>0</v>
      </c>
      <c r="Y89" s="5">
        <v>5</v>
      </c>
      <c r="AL89" t="s">
        <v>258</v>
      </c>
      <c r="AM89" t="s">
        <v>182</v>
      </c>
      <c r="AN89" t="s">
        <v>136</v>
      </c>
      <c r="AO89" s="5">
        <v>2023</v>
      </c>
      <c r="AP89" s="5">
        <v>4E+20</v>
      </c>
      <c r="AQ89" s="5">
        <v>0</v>
      </c>
      <c r="AR89" s="5">
        <v>2023</v>
      </c>
      <c r="AS89" s="5">
        <v>2023</v>
      </c>
    </row>
    <row r="90" spans="2:45" x14ac:dyDescent="0.25">
      <c r="C90" t="s">
        <v>72</v>
      </c>
      <c r="D90" t="s">
        <v>73</v>
      </c>
      <c r="E90" s="5">
        <v>0</v>
      </c>
      <c r="F90" s="5">
        <v>1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4193</v>
      </c>
      <c r="P90" t="s">
        <v>128</v>
      </c>
      <c r="Q90" t="s">
        <v>139</v>
      </c>
      <c r="R90" t="s">
        <v>73</v>
      </c>
      <c r="S90" s="5">
        <v>0</v>
      </c>
      <c r="T90" s="5">
        <v>2E+20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AL90" t="s">
        <v>259</v>
      </c>
      <c r="AM90" t="s">
        <v>184</v>
      </c>
      <c r="AN90" t="s">
        <v>136</v>
      </c>
      <c r="AO90" s="5">
        <v>0.28226201264062101</v>
      </c>
      <c r="AP90" s="5">
        <v>4E+20</v>
      </c>
      <c r="AQ90" s="5">
        <v>0</v>
      </c>
      <c r="AR90" s="5">
        <v>0.28226201264062101</v>
      </c>
      <c r="AS90" s="5">
        <v>0.28226201264062101</v>
      </c>
    </row>
    <row r="91" spans="2:45" x14ac:dyDescent="0.25">
      <c r="B91" t="s">
        <v>110</v>
      </c>
      <c r="C91" t="s">
        <v>98</v>
      </c>
      <c r="D91" t="s">
        <v>97</v>
      </c>
      <c r="E91" s="5">
        <v>1.16930685159152E-2</v>
      </c>
      <c r="F91" s="5">
        <v>1</v>
      </c>
      <c r="G91" s="5">
        <v>3E+20</v>
      </c>
      <c r="H91" s="5">
        <v>0</v>
      </c>
      <c r="I91" s="5">
        <v>1.16930685159152E-2</v>
      </c>
      <c r="J91" s="5">
        <v>1.16930685159152E-2</v>
      </c>
      <c r="K91" s="5">
        <v>8.9713796901946796E-4</v>
      </c>
      <c r="L91" s="5">
        <v>8.0003582705983103</v>
      </c>
      <c r="M91" s="5">
        <v>2023</v>
      </c>
      <c r="P91" t="s">
        <v>129</v>
      </c>
      <c r="Q91" t="s">
        <v>139</v>
      </c>
      <c r="R91" t="s">
        <v>73</v>
      </c>
      <c r="S91" s="5">
        <v>7.6675183339983599</v>
      </c>
      <c r="T91" s="5">
        <v>3E+20</v>
      </c>
      <c r="U91" s="5">
        <v>0</v>
      </c>
      <c r="V91" s="5">
        <v>7.6675183339983599</v>
      </c>
      <c r="W91" s="5">
        <v>7.6675183339983599</v>
      </c>
      <c r="X91" s="5">
        <v>0</v>
      </c>
      <c r="Y91" s="5">
        <v>20</v>
      </c>
      <c r="AL91" t="s">
        <v>260</v>
      </c>
      <c r="AM91" t="s">
        <v>178</v>
      </c>
      <c r="AN91" t="s">
        <v>136</v>
      </c>
      <c r="AO91" s="5">
        <v>0</v>
      </c>
      <c r="AP91" s="5">
        <v>4E+20</v>
      </c>
      <c r="AQ91" s="5">
        <v>0</v>
      </c>
      <c r="AR91" s="5">
        <v>0</v>
      </c>
      <c r="AS91" s="5">
        <v>0</v>
      </c>
    </row>
    <row r="92" spans="2:45" x14ac:dyDescent="0.25">
      <c r="C92" t="s">
        <v>100</v>
      </c>
      <c r="D92" t="s">
        <v>97</v>
      </c>
      <c r="E92" s="5">
        <v>1.95337032969288E-3</v>
      </c>
      <c r="F92" s="5">
        <v>1</v>
      </c>
      <c r="G92" s="5">
        <v>1.41282150716664E-5</v>
      </c>
      <c r="H92" s="5">
        <v>0</v>
      </c>
      <c r="I92" s="5">
        <v>1.95337032969288E-3</v>
      </c>
      <c r="J92" s="5">
        <v>1.95337032969288E-3</v>
      </c>
      <c r="K92" s="5">
        <v>8.9713796901946796E-4</v>
      </c>
      <c r="L92" s="5">
        <v>2.7780930111536099E-3</v>
      </c>
      <c r="M92" s="5">
        <v>2023</v>
      </c>
      <c r="P92" t="s">
        <v>130</v>
      </c>
      <c r="Q92" t="s">
        <v>139</v>
      </c>
      <c r="R92" t="s">
        <v>73</v>
      </c>
      <c r="S92" s="5">
        <v>0.27769964435629302</v>
      </c>
      <c r="T92" s="5">
        <v>3E+20</v>
      </c>
      <c r="U92" s="5">
        <v>0</v>
      </c>
      <c r="V92" s="5">
        <v>0.27769964435629302</v>
      </c>
      <c r="W92" s="5">
        <v>0.27769964435629302</v>
      </c>
      <c r="X92" s="5">
        <v>0</v>
      </c>
      <c r="Y92" s="5">
        <v>2</v>
      </c>
      <c r="AL92" t="s">
        <v>261</v>
      </c>
      <c r="AM92" t="s">
        <v>173</v>
      </c>
      <c r="AN92" t="s">
        <v>136</v>
      </c>
      <c r="AO92" s="5">
        <v>0</v>
      </c>
      <c r="AP92" s="5">
        <v>4E+20</v>
      </c>
      <c r="AQ92" s="5">
        <v>0</v>
      </c>
      <c r="AR92" s="5">
        <v>0</v>
      </c>
      <c r="AS92" s="5">
        <v>0</v>
      </c>
    </row>
    <row r="93" spans="2:45" x14ac:dyDescent="0.25">
      <c r="C93" t="s">
        <v>102</v>
      </c>
      <c r="D93" t="s">
        <v>97</v>
      </c>
      <c r="E93" s="5">
        <v>9.7396981862222197E-3</v>
      </c>
      <c r="F93" s="5">
        <v>1</v>
      </c>
      <c r="G93" s="5">
        <v>3E+20</v>
      </c>
      <c r="H93" s="5">
        <v>0</v>
      </c>
      <c r="I93" s="5">
        <v>9.7396981862222197E-3</v>
      </c>
      <c r="J93" s="5">
        <v>9.7396981862222197E-3</v>
      </c>
      <c r="K93" s="5">
        <v>0</v>
      </c>
      <c r="L93" s="5">
        <v>7.9977128924139098</v>
      </c>
      <c r="M93" s="5">
        <v>2023</v>
      </c>
      <c r="P93" t="s">
        <v>131</v>
      </c>
      <c r="Q93" t="s">
        <v>140</v>
      </c>
      <c r="R93" t="s">
        <v>80</v>
      </c>
      <c r="S93" s="5">
        <v>0</v>
      </c>
      <c r="T93" s="5">
        <v>2E+20</v>
      </c>
      <c r="U93" s="5">
        <v>0</v>
      </c>
      <c r="V93" s="5">
        <v>0</v>
      </c>
      <c r="W93" s="5">
        <v>0</v>
      </c>
      <c r="X93" s="5">
        <v>0</v>
      </c>
      <c r="Y93" s="5">
        <v>1</v>
      </c>
      <c r="AL93" t="s">
        <v>262</v>
      </c>
      <c r="AM93" t="s">
        <v>175</v>
      </c>
      <c r="AN93" t="s">
        <v>136</v>
      </c>
      <c r="AO93" s="5">
        <v>0</v>
      </c>
      <c r="AP93" s="5">
        <v>4E+20</v>
      </c>
      <c r="AQ93" s="5">
        <v>0</v>
      </c>
      <c r="AR93" s="5">
        <v>0</v>
      </c>
      <c r="AS93" s="5">
        <v>0</v>
      </c>
    </row>
    <row r="94" spans="2:45" x14ac:dyDescent="0.25">
      <c r="C94" t="s">
        <v>96</v>
      </c>
      <c r="D94" t="s">
        <v>97</v>
      </c>
      <c r="E94" s="5">
        <v>0</v>
      </c>
      <c r="F94" s="5">
        <v>1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2023</v>
      </c>
      <c r="P94" t="s">
        <v>133</v>
      </c>
      <c r="Q94" t="s">
        <v>139</v>
      </c>
      <c r="R94" t="s">
        <v>73</v>
      </c>
      <c r="S94" s="5">
        <v>1.25544014678754E-2</v>
      </c>
      <c r="T94" s="5">
        <v>2E+20</v>
      </c>
      <c r="U94" s="5">
        <v>0</v>
      </c>
      <c r="V94" s="5">
        <v>1.25544014678754E-2</v>
      </c>
      <c r="W94" s="5">
        <v>1.25544014678754E-2</v>
      </c>
      <c r="X94" s="5">
        <v>0</v>
      </c>
      <c r="Y94" s="5">
        <v>2</v>
      </c>
      <c r="AL94" t="s">
        <v>263</v>
      </c>
      <c r="AM94" t="s">
        <v>182</v>
      </c>
      <c r="AN94" t="s">
        <v>136</v>
      </c>
      <c r="AO94" s="5">
        <v>2022</v>
      </c>
      <c r="AP94" s="5">
        <v>4E+20</v>
      </c>
      <c r="AQ94" s="5">
        <v>0</v>
      </c>
      <c r="AR94" s="5">
        <v>2022</v>
      </c>
      <c r="AS94" s="5">
        <v>2022</v>
      </c>
    </row>
    <row r="95" spans="2:45" x14ac:dyDescent="0.25">
      <c r="C95" t="s">
        <v>99</v>
      </c>
      <c r="D95" t="s">
        <v>97</v>
      </c>
      <c r="E95" s="5">
        <v>0</v>
      </c>
      <c r="F95" s="5">
        <v>1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2023</v>
      </c>
      <c r="AL95" t="s">
        <v>264</v>
      </c>
      <c r="AM95" t="s">
        <v>184</v>
      </c>
      <c r="AN95" t="s">
        <v>136</v>
      </c>
      <c r="AO95" s="5">
        <v>0.400248686969426</v>
      </c>
      <c r="AP95" s="5">
        <v>4E+20</v>
      </c>
      <c r="AQ95" s="5">
        <v>0</v>
      </c>
      <c r="AR95" s="5">
        <v>0.400248686969426</v>
      </c>
      <c r="AS95" s="5">
        <v>0.400248686969426</v>
      </c>
    </row>
    <row r="96" spans="2:45" x14ac:dyDescent="0.25">
      <c r="C96" t="s">
        <v>101</v>
      </c>
      <c r="D96" t="s">
        <v>97</v>
      </c>
      <c r="E96" s="5">
        <v>0</v>
      </c>
      <c r="F96" s="5">
        <v>1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2023</v>
      </c>
      <c r="AL96" t="s">
        <v>265</v>
      </c>
      <c r="AM96" t="s">
        <v>178</v>
      </c>
      <c r="AN96" t="s">
        <v>136</v>
      </c>
      <c r="AO96" s="5">
        <v>0</v>
      </c>
      <c r="AP96" s="5">
        <v>4E+20</v>
      </c>
      <c r="AQ96" s="5">
        <v>0</v>
      </c>
      <c r="AR96" s="5">
        <v>0</v>
      </c>
      <c r="AS96" s="5">
        <v>0</v>
      </c>
    </row>
    <row r="97" spans="2:45" x14ac:dyDescent="0.25">
      <c r="B97" t="s">
        <v>111</v>
      </c>
      <c r="C97" t="s">
        <v>74</v>
      </c>
      <c r="D97" t="s">
        <v>73</v>
      </c>
      <c r="E97" s="5">
        <v>9.7396981862222197E-3</v>
      </c>
      <c r="F97" s="5">
        <v>1</v>
      </c>
      <c r="G97" s="5">
        <v>3E+20</v>
      </c>
      <c r="H97" s="5">
        <v>0</v>
      </c>
      <c r="I97" s="5">
        <v>9.7396981862222197E-3</v>
      </c>
      <c r="J97" s="5">
        <v>9.7396981862222197E-3</v>
      </c>
      <c r="K97" s="5">
        <v>0</v>
      </c>
      <c r="L97" s="5">
        <v>7.9977128924139098</v>
      </c>
      <c r="M97" s="5">
        <v>2023</v>
      </c>
      <c r="AL97" t="s">
        <v>266</v>
      </c>
      <c r="AM97" t="s">
        <v>173</v>
      </c>
      <c r="AN97" t="s">
        <v>136</v>
      </c>
      <c r="AO97" s="5">
        <v>0</v>
      </c>
      <c r="AP97" s="5">
        <v>4E+20</v>
      </c>
      <c r="AQ97" s="5">
        <v>0</v>
      </c>
      <c r="AR97" s="5">
        <v>0</v>
      </c>
      <c r="AS97" s="5">
        <v>0</v>
      </c>
    </row>
    <row r="98" spans="2:45" x14ac:dyDescent="0.25">
      <c r="C98" t="s">
        <v>72</v>
      </c>
      <c r="D98" t="s">
        <v>73</v>
      </c>
      <c r="E98" s="5">
        <v>0</v>
      </c>
      <c r="F98" s="5">
        <v>1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2023</v>
      </c>
      <c r="AL98" t="s">
        <v>267</v>
      </c>
      <c r="AM98" t="s">
        <v>175</v>
      </c>
      <c r="AN98" t="s">
        <v>136</v>
      </c>
      <c r="AO98" s="5">
        <v>0</v>
      </c>
      <c r="AP98" s="5">
        <v>4E+20</v>
      </c>
      <c r="AQ98" s="5">
        <v>0</v>
      </c>
      <c r="AR98" s="5">
        <v>0</v>
      </c>
      <c r="AS98" s="5">
        <v>0</v>
      </c>
    </row>
    <row r="99" spans="2:45" x14ac:dyDescent="0.25">
      <c r="B99" t="s">
        <v>112</v>
      </c>
      <c r="C99" t="s">
        <v>98</v>
      </c>
      <c r="D99" t="s">
        <v>97</v>
      </c>
      <c r="E99" s="5">
        <v>3.7572714915572901E-3</v>
      </c>
      <c r="F99" s="5">
        <v>1</v>
      </c>
      <c r="G99" s="5">
        <v>1.4224738009402599E-3</v>
      </c>
      <c r="H99" s="5">
        <v>0</v>
      </c>
      <c r="I99" s="5">
        <v>3.7572714915572901E-3</v>
      </c>
      <c r="J99" s="5">
        <v>3.7572714915572901E-3</v>
      </c>
      <c r="K99" s="5">
        <v>2.2479024509252099E-3</v>
      </c>
      <c r="L99" s="5">
        <v>0.99796594047532705</v>
      </c>
      <c r="M99" s="5">
        <v>2021</v>
      </c>
      <c r="AL99" t="s">
        <v>268</v>
      </c>
      <c r="AM99" t="s">
        <v>182</v>
      </c>
      <c r="AN99" t="s">
        <v>136</v>
      </c>
      <c r="AO99" s="5">
        <v>2015</v>
      </c>
      <c r="AP99" s="5">
        <v>4E+20</v>
      </c>
      <c r="AQ99" s="5">
        <v>0</v>
      </c>
      <c r="AR99" s="5">
        <v>2015</v>
      </c>
      <c r="AS99" s="5">
        <v>2015</v>
      </c>
    </row>
    <row r="100" spans="2:45" x14ac:dyDescent="0.25">
      <c r="C100" t="s">
        <v>100</v>
      </c>
      <c r="D100" t="s">
        <v>97</v>
      </c>
      <c r="E100" s="5">
        <v>2.7710215081433801E-3</v>
      </c>
      <c r="F100" s="5">
        <v>1</v>
      </c>
      <c r="G100" s="5">
        <v>1.1391854670328199E-5</v>
      </c>
      <c r="H100" s="5">
        <v>0</v>
      </c>
      <c r="I100" s="5">
        <v>2.7710215081433801E-3</v>
      </c>
      <c r="J100" s="5">
        <v>2.7710215081433801E-3</v>
      </c>
      <c r="K100" s="5">
        <v>2.2479024509252099E-3</v>
      </c>
      <c r="L100" s="5">
        <v>3.32494864058219E-3</v>
      </c>
      <c r="M100" s="5">
        <v>2021</v>
      </c>
      <c r="AL100" t="s">
        <v>269</v>
      </c>
      <c r="AM100" t="s">
        <v>184</v>
      </c>
      <c r="AN100" t="s">
        <v>136</v>
      </c>
      <c r="AO100" s="5">
        <v>0.999710769940933</v>
      </c>
      <c r="AP100" s="5">
        <v>4E+20</v>
      </c>
      <c r="AQ100" s="5">
        <v>0</v>
      </c>
      <c r="AR100" s="5">
        <v>0.999710769940933</v>
      </c>
      <c r="AS100" s="5">
        <v>0.999710769940933</v>
      </c>
    </row>
    <row r="101" spans="2:45" x14ac:dyDescent="0.25">
      <c r="C101" t="s">
        <v>102</v>
      </c>
      <c r="D101" t="s">
        <v>97</v>
      </c>
      <c r="E101" s="5">
        <v>9.8624998341391001E-4</v>
      </c>
      <c r="F101" s="5">
        <v>1</v>
      </c>
      <c r="G101" s="5">
        <v>1.4230314710354599E-3</v>
      </c>
      <c r="H101" s="5">
        <v>0</v>
      </c>
      <c r="I101" s="5">
        <v>9.8624998341391001E-4</v>
      </c>
      <c r="J101" s="5">
        <v>9.8624998341391001E-4</v>
      </c>
      <c r="K101" s="5">
        <v>0</v>
      </c>
      <c r="L101" s="5">
        <v>0.99523521451780494</v>
      </c>
      <c r="M101" s="5">
        <v>2021</v>
      </c>
      <c r="AL101" t="s">
        <v>270</v>
      </c>
      <c r="AM101" t="s">
        <v>178</v>
      </c>
      <c r="AN101" t="s">
        <v>136</v>
      </c>
      <c r="AO101" s="5">
        <v>0</v>
      </c>
      <c r="AP101" s="5">
        <v>4E+20</v>
      </c>
      <c r="AQ101" s="5">
        <v>0</v>
      </c>
      <c r="AR101" s="5">
        <v>0</v>
      </c>
      <c r="AS101" s="5">
        <v>0</v>
      </c>
    </row>
    <row r="102" spans="2:45" x14ac:dyDescent="0.25">
      <c r="C102" t="s">
        <v>96</v>
      </c>
      <c r="D102" t="s">
        <v>97</v>
      </c>
      <c r="E102" s="5">
        <v>0</v>
      </c>
      <c r="F102" s="5">
        <v>1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2021</v>
      </c>
      <c r="AL102" t="s">
        <v>271</v>
      </c>
      <c r="AM102" t="s">
        <v>173</v>
      </c>
      <c r="AN102" t="s">
        <v>136</v>
      </c>
      <c r="AO102" s="5">
        <v>0</v>
      </c>
      <c r="AP102" s="5">
        <v>4E+20</v>
      </c>
      <c r="AQ102" s="5">
        <v>0</v>
      </c>
      <c r="AR102" s="5">
        <v>0</v>
      </c>
      <c r="AS102" s="5">
        <v>0</v>
      </c>
    </row>
    <row r="103" spans="2:45" x14ac:dyDescent="0.25">
      <c r="C103" t="s">
        <v>99</v>
      </c>
      <c r="D103" t="s">
        <v>97</v>
      </c>
      <c r="E103" s="5">
        <v>0</v>
      </c>
      <c r="F103" s="5">
        <v>1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2021</v>
      </c>
      <c r="AL103" t="s">
        <v>272</v>
      </c>
      <c r="AM103" t="s">
        <v>175</v>
      </c>
      <c r="AN103" t="s">
        <v>136</v>
      </c>
      <c r="AO103" s="5">
        <v>0</v>
      </c>
      <c r="AP103" s="5">
        <v>4E+20</v>
      </c>
      <c r="AQ103" s="5">
        <v>0</v>
      </c>
      <c r="AR103" s="5">
        <v>0</v>
      </c>
      <c r="AS103" s="5">
        <v>0</v>
      </c>
    </row>
    <row r="104" spans="2:45" x14ac:dyDescent="0.25">
      <c r="C104" t="s">
        <v>101</v>
      </c>
      <c r="D104" t="s">
        <v>97</v>
      </c>
      <c r="E104" s="5">
        <v>0</v>
      </c>
      <c r="F104" s="5">
        <v>1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2021</v>
      </c>
      <c r="AL104" t="s">
        <v>273</v>
      </c>
      <c r="AM104" t="s">
        <v>182</v>
      </c>
      <c r="AN104" t="s">
        <v>136</v>
      </c>
      <c r="AO104" s="5">
        <v>2014</v>
      </c>
      <c r="AP104" s="5">
        <v>4E+20</v>
      </c>
      <c r="AQ104" s="5">
        <v>0</v>
      </c>
      <c r="AR104" s="5">
        <v>2014</v>
      </c>
      <c r="AS104" s="5">
        <v>2014</v>
      </c>
    </row>
    <row r="105" spans="2:45" x14ac:dyDescent="0.25">
      <c r="B105" t="s">
        <v>113</v>
      </c>
      <c r="C105" t="s">
        <v>74</v>
      </c>
      <c r="D105" t="s">
        <v>73</v>
      </c>
      <c r="E105" s="5">
        <v>9.857622237781959E-4</v>
      </c>
      <c r="F105" s="5">
        <v>1</v>
      </c>
      <c r="G105" s="5">
        <v>1.4230314710354599E-3</v>
      </c>
      <c r="H105" s="5">
        <v>0</v>
      </c>
      <c r="I105" s="5">
        <v>9.857622237781959E-4</v>
      </c>
      <c r="J105" s="5">
        <v>9.857622237781959E-4</v>
      </c>
      <c r="K105" s="5">
        <v>0</v>
      </c>
      <c r="L105" s="5">
        <v>0.99523521451780494</v>
      </c>
      <c r="M105" s="5">
        <v>2022</v>
      </c>
      <c r="AL105" t="s">
        <v>274</v>
      </c>
      <c r="AM105" t="s">
        <v>184</v>
      </c>
      <c r="AN105" t="s">
        <v>136</v>
      </c>
      <c r="AO105" s="5">
        <v>0.47888381979299199</v>
      </c>
      <c r="AP105" s="5">
        <v>4E+20</v>
      </c>
      <c r="AQ105" s="5">
        <v>0</v>
      </c>
      <c r="AR105" s="5">
        <v>0.47888381979299199</v>
      </c>
      <c r="AS105" s="5">
        <v>0.47888381979299199</v>
      </c>
    </row>
    <row r="106" spans="2:45" x14ac:dyDescent="0.25">
      <c r="C106" t="s">
        <v>72</v>
      </c>
      <c r="D106" t="s">
        <v>73</v>
      </c>
      <c r="E106" s="5">
        <v>0</v>
      </c>
      <c r="F106" s="5">
        <v>1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2022</v>
      </c>
      <c r="AL106" t="s">
        <v>275</v>
      </c>
      <c r="AM106" t="s">
        <v>178</v>
      </c>
      <c r="AN106" t="s">
        <v>136</v>
      </c>
      <c r="AO106" s="5">
        <v>0</v>
      </c>
      <c r="AP106" s="5">
        <v>4E+20</v>
      </c>
      <c r="AQ106" s="5">
        <v>0</v>
      </c>
      <c r="AR106" s="5">
        <v>0</v>
      </c>
      <c r="AS106" s="5">
        <v>0</v>
      </c>
    </row>
    <row r="107" spans="2:45" x14ac:dyDescent="0.25">
      <c r="B107" t="s">
        <v>114</v>
      </c>
      <c r="C107" t="s">
        <v>98</v>
      </c>
      <c r="D107" t="s">
        <v>97</v>
      </c>
      <c r="E107" s="5">
        <v>2.6160429464394501E-2</v>
      </c>
      <c r="F107" s="5">
        <v>1</v>
      </c>
      <c r="G107" s="5">
        <v>5.7510289079358099E-3</v>
      </c>
      <c r="H107" s="5">
        <v>0</v>
      </c>
      <c r="I107" s="5">
        <v>2.6160429464394501E-2</v>
      </c>
      <c r="J107" s="5">
        <v>2.6160429464394501E-2</v>
      </c>
      <c r="K107" s="5">
        <v>6.1961403559003302E-3</v>
      </c>
      <c r="L107" s="5">
        <v>1.0247721151365801</v>
      </c>
      <c r="M107" s="5">
        <v>2014</v>
      </c>
      <c r="AL107" t="s">
        <v>276</v>
      </c>
      <c r="AM107" t="s">
        <v>173</v>
      </c>
      <c r="AN107" t="s">
        <v>136</v>
      </c>
      <c r="AO107" s="5">
        <v>0</v>
      </c>
      <c r="AP107" s="5">
        <v>4E+20</v>
      </c>
      <c r="AQ107" s="5">
        <v>0</v>
      </c>
      <c r="AR107" s="5">
        <v>0</v>
      </c>
      <c r="AS107" s="5">
        <v>0</v>
      </c>
    </row>
    <row r="108" spans="2:45" x14ac:dyDescent="0.25">
      <c r="C108" t="s">
        <v>100</v>
      </c>
      <c r="D108" t="s">
        <v>97</v>
      </c>
      <c r="E108" s="5">
        <v>6.94443146012252E-3</v>
      </c>
      <c r="F108" s="5">
        <v>1</v>
      </c>
      <c r="G108" s="5">
        <v>2.7110166223064701E-5</v>
      </c>
      <c r="H108" s="5">
        <v>0</v>
      </c>
      <c r="I108" s="5">
        <v>6.94443146012252E-3</v>
      </c>
      <c r="J108" s="5">
        <v>6.94443146012252E-3</v>
      </c>
      <c r="K108" s="5">
        <v>5.5969585350936803E-3</v>
      </c>
      <c r="L108" s="5">
        <v>8.3111748020794404E-3</v>
      </c>
      <c r="M108" s="5">
        <v>2014</v>
      </c>
      <c r="AL108" t="s">
        <v>277</v>
      </c>
      <c r="AM108" t="s">
        <v>175</v>
      </c>
      <c r="AN108" t="s">
        <v>136</v>
      </c>
      <c r="AO108" s="5">
        <v>0</v>
      </c>
      <c r="AP108" s="5">
        <v>4E+20</v>
      </c>
      <c r="AQ108" s="5">
        <v>0</v>
      </c>
      <c r="AR108" s="5">
        <v>0</v>
      </c>
      <c r="AS108" s="5">
        <v>0</v>
      </c>
    </row>
    <row r="109" spans="2:45" x14ac:dyDescent="0.25">
      <c r="C109" t="s">
        <v>102</v>
      </c>
      <c r="D109" t="s">
        <v>97</v>
      </c>
      <c r="E109" s="5">
        <v>1.9215998004272001E-2</v>
      </c>
      <c r="F109" s="5">
        <v>1</v>
      </c>
      <c r="G109" s="5">
        <v>5.7453255304478696E-3</v>
      </c>
      <c r="H109" s="5">
        <v>0</v>
      </c>
      <c r="I109" s="5">
        <v>1.9215998004272001E-2</v>
      </c>
      <c r="J109" s="5">
        <v>1.9215998004272001E-2</v>
      </c>
      <c r="K109" s="5">
        <v>0</v>
      </c>
      <c r="L109" s="5">
        <v>1.01815548013261</v>
      </c>
      <c r="M109" s="5">
        <v>2014</v>
      </c>
      <c r="AL109" t="s">
        <v>278</v>
      </c>
      <c r="AM109" t="s">
        <v>182</v>
      </c>
      <c r="AN109" t="s">
        <v>136</v>
      </c>
      <c r="AO109" s="5">
        <v>8699</v>
      </c>
      <c r="AP109" s="5">
        <v>4E+20</v>
      </c>
      <c r="AQ109" s="5">
        <v>0</v>
      </c>
      <c r="AR109" s="5">
        <v>8699</v>
      </c>
      <c r="AS109" s="5">
        <v>8699</v>
      </c>
    </row>
    <row r="110" spans="2:45" x14ac:dyDescent="0.25">
      <c r="C110" t="s">
        <v>96</v>
      </c>
      <c r="D110" t="s">
        <v>97</v>
      </c>
      <c r="E110" s="5">
        <v>0</v>
      </c>
      <c r="F110" s="5">
        <v>1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2014</v>
      </c>
      <c r="AL110" t="s">
        <v>279</v>
      </c>
      <c r="AM110" t="s">
        <v>184</v>
      </c>
      <c r="AN110" t="s">
        <v>136</v>
      </c>
      <c r="AO110" s="5">
        <v>0.86515959015468702</v>
      </c>
      <c r="AP110" s="5">
        <v>4E+20</v>
      </c>
      <c r="AQ110" s="5">
        <v>0</v>
      </c>
      <c r="AR110" s="5">
        <v>0.86515959015468702</v>
      </c>
      <c r="AS110" s="5">
        <v>0.86515959015468702</v>
      </c>
    </row>
    <row r="111" spans="2:45" x14ac:dyDescent="0.25">
      <c r="C111" t="s">
        <v>99</v>
      </c>
      <c r="D111" t="s">
        <v>97</v>
      </c>
      <c r="E111" s="5">
        <v>0</v>
      </c>
      <c r="F111" s="5">
        <v>1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2014</v>
      </c>
      <c r="AL111" t="s">
        <v>280</v>
      </c>
      <c r="AM111" t="s">
        <v>178</v>
      </c>
      <c r="AN111" t="s">
        <v>136</v>
      </c>
      <c r="AO111" s="5">
        <v>0</v>
      </c>
      <c r="AP111" s="5">
        <v>4E+20</v>
      </c>
      <c r="AQ111" s="5">
        <v>0</v>
      </c>
      <c r="AR111" s="5">
        <v>0</v>
      </c>
      <c r="AS111" s="5">
        <v>0</v>
      </c>
    </row>
    <row r="112" spans="2:45" x14ac:dyDescent="0.25">
      <c r="C112" t="s">
        <v>101</v>
      </c>
      <c r="D112" t="s">
        <v>97</v>
      </c>
      <c r="E112" s="5">
        <v>0</v>
      </c>
      <c r="F112" s="5">
        <v>1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2014</v>
      </c>
      <c r="AL112" t="s">
        <v>281</v>
      </c>
      <c r="AM112" t="s">
        <v>173</v>
      </c>
      <c r="AN112" t="s">
        <v>136</v>
      </c>
      <c r="AO112" s="5">
        <v>0</v>
      </c>
      <c r="AP112" s="5">
        <v>4E+20</v>
      </c>
      <c r="AQ112" s="5">
        <v>0</v>
      </c>
      <c r="AR112" s="5">
        <v>0</v>
      </c>
      <c r="AS112" s="5">
        <v>0</v>
      </c>
    </row>
    <row r="113" spans="2:45" x14ac:dyDescent="0.25">
      <c r="B113" t="s">
        <v>115</v>
      </c>
      <c r="C113" t="s">
        <v>74</v>
      </c>
      <c r="D113" t="s">
        <v>73</v>
      </c>
      <c r="E113" s="5">
        <v>1.92134499818277E-2</v>
      </c>
      <c r="F113" s="5">
        <v>1</v>
      </c>
      <c r="G113" s="5">
        <v>5.7453255304478696E-3</v>
      </c>
      <c r="H113" s="5">
        <v>0</v>
      </c>
      <c r="I113" s="5">
        <v>1.92134499818277E-2</v>
      </c>
      <c r="J113" s="5">
        <v>1.92134499818277E-2</v>
      </c>
      <c r="K113" s="5">
        <v>0</v>
      </c>
      <c r="L113" s="5">
        <v>1.01815548013261</v>
      </c>
      <c r="M113" s="5">
        <v>2015</v>
      </c>
      <c r="AL113" t="s">
        <v>282</v>
      </c>
      <c r="AM113" t="s">
        <v>175</v>
      </c>
      <c r="AN113" t="s">
        <v>136</v>
      </c>
      <c r="AO113" s="5">
        <v>0</v>
      </c>
      <c r="AP113" s="5">
        <v>4E+20</v>
      </c>
      <c r="AQ113" s="5">
        <v>0</v>
      </c>
      <c r="AR113" s="5">
        <v>0</v>
      </c>
      <c r="AS113" s="5">
        <v>0</v>
      </c>
    </row>
    <row r="114" spans="2:45" x14ac:dyDescent="0.25">
      <c r="C114" t="s">
        <v>72</v>
      </c>
      <c r="D114" t="s">
        <v>73</v>
      </c>
      <c r="E114" s="5">
        <v>0</v>
      </c>
      <c r="F114" s="5">
        <v>1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2015</v>
      </c>
      <c r="AL114" t="s">
        <v>283</v>
      </c>
      <c r="AM114" t="s">
        <v>182</v>
      </c>
      <c r="AN114" t="s">
        <v>136</v>
      </c>
      <c r="AO114" s="5">
        <v>8695</v>
      </c>
      <c r="AP114" s="5">
        <v>4E+20</v>
      </c>
      <c r="AQ114" s="5">
        <v>0</v>
      </c>
      <c r="AR114" s="5">
        <v>8695</v>
      </c>
      <c r="AS114" s="5">
        <v>8695</v>
      </c>
    </row>
    <row r="115" spans="2:45" x14ac:dyDescent="0.25">
      <c r="B115" t="s">
        <v>116</v>
      </c>
      <c r="C115" t="s">
        <v>98</v>
      </c>
      <c r="D115" t="s">
        <v>97</v>
      </c>
      <c r="E115" s="5">
        <v>5.3091193776964004E-3</v>
      </c>
      <c r="F115" s="5">
        <v>1</v>
      </c>
      <c r="G115" s="5">
        <v>2.8516069544035202E-3</v>
      </c>
      <c r="H115" s="5">
        <v>0</v>
      </c>
      <c r="I115" s="5">
        <v>5.3091193776964004E-3</v>
      </c>
      <c r="J115" s="5">
        <v>5.3091193776964004E-3</v>
      </c>
      <c r="K115" s="5">
        <v>1.0187343846546099E-3</v>
      </c>
      <c r="L115" s="5">
        <v>1.0023769568424801</v>
      </c>
      <c r="M115" s="5">
        <v>2013</v>
      </c>
      <c r="AL115" t="s">
        <v>284</v>
      </c>
      <c r="AM115" t="s">
        <v>184</v>
      </c>
      <c r="AN115" t="s">
        <v>136</v>
      </c>
      <c r="AO115" s="5">
        <v>0.97851514202337897</v>
      </c>
      <c r="AP115" s="5">
        <v>4E+20</v>
      </c>
      <c r="AQ115" s="5">
        <v>0</v>
      </c>
      <c r="AR115" s="5">
        <v>0.97851514202337897</v>
      </c>
      <c r="AS115" s="5">
        <v>0.97851514202337897</v>
      </c>
    </row>
    <row r="116" spans="2:45" x14ac:dyDescent="0.25">
      <c r="C116" t="s">
        <v>100</v>
      </c>
      <c r="D116" t="s">
        <v>97</v>
      </c>
      <c r="E116" s="5">
        <v>3.3304516814194099E-3</v>
      </c>
      <c r="F116" s="5">
        <v>1</v>
      </c>
      <c r="G116" s="5">
        <v>2.6014975276011499E-5</v>
      </c>
      <c r="H116" s="5">
        <v>0</v>
      </c>
      <c r="I116" s="5">
        <v>3.3304516814194099E-3</v>
      </c>
      <c r="J116" s="5">
        <v>3.3304516814194099E-3</v>
      </c>
      <c r="K116" s="5">
        <v>1.0187343846546099E-3</v>
      </c>
      <c r="L116" s="5">
        <v>5.1138704822903903E-3</v>
      </c>
      <c r="M116" s="5">
        <v>2013</v>
      </c>
      <c r="AL116" t="s">
        <v>285</v>
      </c>
      <c r="AM116" t="s">
        <v>178</v>
      </c>
      <c r="AN116" t="s">
        <v>136</v>
      </c>
      <c r="AO116" s="5">
        <v>0</v>
      </c>
      <c r="AP116" s="5">
        <v>4E+20</v>
      </c>
      <c r="AQ116" s="5">
        <v>0</v>
      </c>
      <c r="AR116" s="5">
        <v>0</v>
      </c>
      <c r="AS116" s="5">
        <v>0</v>
      </c>
    </row>
    <row r="117" spans="2:45" x14ac:dyDescent="0.25">
      <c r="C117" t="s">
        <v>102</v>
      </c>
      <c r="D117" t="s">
        <v>97</v>
      </c>
      <c r="E117" s="5">
        <v>1.97866769627699E-3</v>
      </c>
      <c r="F117" s="5">
        <v>1</v>
      </c>
      <c r="G117" s="5">
        <v>2.8472704709670998E-3</v>
      </c>
      <c r="H117" s="5">
        <v>0</v>
      </c>
      <c r="I117" s="5">
        <v>1.97866769627699E-3</v>
      </c>
      <c r="J117" s="5">
        <v>1.97866769627699E-3</v>
      </c>
      <c r="K117" s="5">
        <v>0</v>
      </c>
      <c r="L117" s="5">
        <v>0.99918646846566395</v>
      </c>
      <c r="M117" s="5">
        <v>2013</v>
      </c>
      <c r="AL117" t="s">
        <v>286</v>
      </c>
      <c r="AM117" t="s">
        <v>287</v>
      </c>
      <c r="AN117" t="s">
        <v>97</v>
      </c>
      <c r="AO117" s="5">
        <v>0</v>
      </c>
      <c r="AP117" s="5">
        <v>4E+20</v>
      </c>
      <c r="AQ117" s="5">
        <v>0</v>
      </c>
      <c r="AR117" s="5">
        <v>0</v>
      </c>
      <c r="AS117" s="5">
        <v>0</v>
      </c>
    </row>
    <row r="118" spans="2:45" x14ac:dyDescent="0.25">
      <c r="C118" t="s">
        <v>96</v>
      </c>
      <c r="D118" t="s">
        <v>97</v>
      </c>
      <c r="E118" s="5">
        <v>0</v>
      </c>
      <c r="F118" s="5">
        <v>1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2013</v>
      </c>
      <c r="AL118" t="s">
        <v>288</v>
      </c>
      <c r="AM118" t="s">
        <v>289</v>
      </c>
      <c r="AN118" t="s">
        <v>97</v>
      </c>
      <c r="AO118" s="5">
        <v>13.999032000903</v>
      </c>
      <c r="AP118" s="5">
        <v>4E+20</v>
      </c>
      <c r="AQ118" s="5">
        <v>0</v>
      </c>
      <c r="AR118" s="5">
        <v>13.999032000903</v>
      </c>
      <c r="AS118" s="5">
        <v>13.999032000903</v>
      </c>
    </row>
    <row r="119" spans="2:45" x14ac:dyDescent="0.25">
      <c r="C119" t="s">
        <v>99</v>
      </c>
      <c r="D119" t="s">
        <v>97</v>
      </c>
      <c r="E119" s="5">
        <v>0</v>
      </c>
      <c r="F119" s="5">
        <v>1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2013</v>
      </c>
      <c r="AL119" t="s">
        <v>290</v>
      </c>
      <c r="AM119" t="s">
        <v>291</v>
      </c>
      <c r="AN119" t="s">
        <v>97</v>
      </c>
      <c r="AO119" s="5">
        <v>0</v>
      </c>
      <c r="AP119" s="5">
        <v>4E+20</v>
      </c>
      <c r="AQ119" s="5">
        <v>0</v>
      </c>
      <c r="AR119" s="5">
        <v>0</v>
      </c>
      <c r="AS119" s="5">
        <v>0</v>
      </c>
    </row>
    <row r="120" spans="2:45" x14ac:dyDescent="0.25">
      <c r="C120" t="s">
        <v>101</v>
      </c>
      <c r="D120" t="s">
        <v>97</v>
      </c>
      <c r="E120" s="5">
        <v>0</v>
      </c>
      <c r="F120" s="5">
        <v>1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2013</v>
      </c>
      <c r="AL120" t="s">
        <v>292</v>
      </c>
      <c r="AM120" t="s">
        <v>293</v>
      </c>
      <c r="AN120" t="s">
        <v>97</v>
      </c>
      <c r="AO120" s="5">
        <v>51.049160557846903</v>
      </c>
      <c r="AP120" s="5">
        <v>4E+20</v>
      </c>
      <c r="AQ120" s="5">
        <v>0</v>
      </c>
      <c r="AR120" s="5">
        <v>51.049160557846903</v>
      </c>
      <c r="AS120" s="5">
        <v>51.049160557846903</v>
      </c>
    </row>
    <row r="121" spans="2:45" x14ac:dyDescent="0.25">
      <c r="B121" t="s">
        <v>117</v>
      </c>
      <c r="C121" t="s">
        <v>74</v>
      </c>
      <c r="D121" t="s">
        <v>73</v>
      </c>
      <c r="E121" s="5">
        <v>1.9776852396254101E-3</v>
      </c>
      <c r="F121" s="5">
        <v>1</v>
      </c>
      <c r="G121" s="5">
        <v>2.8472704709670998E-3</v>
      </c>
      <c r="H121" s="5">
        <v>0</v>
      </c>
      <c r="I121" s="5">
        <v>1.9776852396254101E-3</v>
      </c>
      <c r="J121" s="5">
        <v>1.9776852396254101E-3</v>
      </c>
      <c r="K121" s="5">
        <v>0</v>
      </c>
      <c r="L121" s="5">
        <v>0.99918646846566395</v>
      </c>
      <c r="M121" s="5">
        <v>2014</v>
      </c>
      <c r="AL121" t="s">
        <v>294</v>
      </c>
      <c r="AM121" t="s">
        <v>187</v>
      </c>
      <c r="AN121" t="s">
        <v>97</v>
      </c>
      <c r="AO121" s="5">
        <v>4197</v>
      </c>
      <c r="AP121" s="5">
        <v>4E+20</v>
      </c>
      <c r="AQ121" s="5">
        <v>0</v>
      </c>
      <c r="AR121" s="5">
        <v>4197</v>
      </c>
      <c r="AS121" s="5">
        <v>4197</v>
      </c>
    </row>
    <row r="122" spans="2:45" x14ac:dyDescent="0.25">
      <c r="C122" t="s">
        <v>72</v>
      </c>
      <c r="D122" t="s">
        <v>73</v>
      </c>
      <c r="E122" s="5">
        <v>0</v>
      </c>
      <c r="F122" s="5">
        <v>1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2014</v>
      </c>
      <c r="AL122" t="s">
        <v>295</v>
      </c>
      <c r="AM122" t="s">
        <v>189</v>
      </c>
      <c r="AN122" t="s">
        <v>97</v>
      </c>
      <c r="AO122" s="5">
        <v>4195</v>
      </c>
      <c r="AP122" s="5">
        <v>4E+20</v>
      </c>
      <c r="AQ122" s="5">
        <v>0</v>
      </c>
      <c r="AR122" s="5">
        <v>4195</v>
      </c>
      <c r="AS122" s="5">
        <v>4195</v>
      </c>
    </row>
    <row r="123" spans="2:45" x14ac:dyDescent="0.25">
      <c r="B123" t="s">
        <v>118</v>
      </c>
      <c r="C123" t="s">
        <v>98</v>
      </c>
      <c r="D123" t="s">
        <v>97</v>
      </c>
      <c r="E123" s="5">
        <v>6.4240582788332203E-3</v>
      </c>
      <c r="F123" s="5">
        <v>1</v>
      </c>
      <c r="G123" s="5">
        <v>3E+20</v>
      </c>
      <c r="H123" s="5">
        <v>0</v>
      </c>
      <c r="I123" s="5">
        <v>6.4240582788332203E-3</v>
      </c>
      <c r="J123" s="5">
        <v>6.4240582788332203E-3</v>
      </c>
      <c r="K123" s="5">
        <v>3.7720932485640901E-4</v>
      </c>
      <c r="L123" s="5">
        <v>7.9983909706167502</v>
      </c>
      <c r="M123" s="5">
        <v>8698</v>
      </c>
      <c r="AL123" t="s">
        <v>296</v>
      </c>
      <c r="AM123" t="s">
        <v>297</v>
      </c>
      <c r="AN123" t="s">
        <v>97</v>
      </c>
      <c r="AO123" s="5">
        <v>0</v>
      </c>
      <c r="AP123" s="5">
        <v>4E+20</v>
      </c>
      <c r="AQ123" s="5">
        <v>0</v>
      </c>
      <c r="AR123" s="5">
        <v>0</v>
      </c>
      <c r="AS123" s="5">
        <v>0</v>
      </c>
    </row>
    <row r="124" spans="2:45" x14ac:dyDescent="0.25">
      <c r="C124" t="s">
        <v>100</v>
      </c>
      <c r="D124" t="s">
        <v>97</v>
      </c>
      <c r="E124" s="5">
        <v>1.39248126237719E-3</v>
      </c>
      <c r="F124" s="5">
        <v>1</v>
      </c>
      <c r="G124" s="5">
        <v>4.8241127351894697E-6</v>
      </c>
      <c r="H124" s="5">
        <v>0</v>
      </c>
      <c r="I124" s="5">
        <v>1.39248126237719E-3</v>
      </c>
      <c r="J124" s="5">
        <v>1.39248126237719E-3</v>
      </c>
      <c r="K124" s="5">
        <v>3.7720932485640901E-4</v>
      </c>
      <c r="L124" s="5">
        <v>2.38218035337212E-3</v>
      </c>
      <c r="M124" s="5">
        <v>8698</v>
      </c>
      <c r="AL124" t="s">
        <v>298</v>
      </c>
      <c r="AM124" t="s">
        <v>299</v>
      </c>
      <c r="AN124" t="s">
        <v>97</v>
      </c>
      <c r="AO124" s="5">
        <v>65.048192558749903</v>
      </c>
      <c r="AP124" s="5">
        <v>4E+20</v>
      </c>
      <c r="AQ124" s="5">
        <v>0</v>
      </c>
      <c r="AR124" s="5">
        <v>65.048192558749903</v>
      </c>
      <c r="AS124" s="5">
        <v>65.048192558749903</v>
      </c>
    </row>
    <row r="125" spans="2:45" x14ac:dyDescent="0.25">
      <c r="C125" t="s">
        <v>102</v>
      </c>
      <c r="D125" t="s">
        <v>97</v>
      </c>
      <c r="E125" s="5">
        <v>5.0315770164560004E-3</v>
      </c>
      <c r="F125" s="5">
        <v>1</v>
      </c>
      <c r="G125" s="5">
        <v>3E+20</v>
      </c>
      <c r="H125" s="5">
        <v>0</v>
      </c>
      <c r="I125" s="5">
        <v>5.0315770164560004E-3</v>
      </c>
      <c r="J125" s="5">
        <v>5.0315770164560004E-3</v>
      </c>
      <c r="K125" s="5">
        <v>0</v>
      </c>
      <c r="L125" s="5">
        <v>7.9976473242317301</v>
      </c>
      <c r="M125" s="5">
        <v>8698</v>
      </c>
      <c r="AL125" t="s">
        <v>300</v>
      </c>
      <c r="AM125" t="s">
        <v>287</v>
      </c>
      <c r="AN125" t="s">
        <v>97</v>
      </c>
      <c r="AO125" s="5">
        <v>0</v>
      </c>
      <c r="AP125" s="5">
        <v>4E+20</v>
      </c>
      <c r="AQ125" s="5">
        <v>0</v>
      </c>
      <c r="AR125" s="5">
        <v>0</v>
      </c>
      <c r="AS125" s="5">
        <v>0</v>
      </c>
    </row>
    <row r="126" spans="2:45" x14ac:dyDescent="0.25">
      <c r="C126" t="s">
        <v>96</v>
      </c>
      <c r="D126" t="s">
        <v>97</v>
      </c>
      <c r="E126" s="5">
        <v>0</v>
      </c>
      <c r="F126" s="5">
        <v>1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8698</v>
      </c>
      <c r="AL126" t="s">
        <v>301</v>
      </c>
      <c r="AM126" t="s">
        <v>289</v>
      </c>
      <c r="AN126" t="s">
        <v>97</v>
      </c>
      <c r="AO126" s="5">
        <v>2.6023946283544599</v>
      </c>
      <c r="AP126" s="5">
        <v>4E+20</v>
      </c>
      <c r="AQ126" s="5">
        <v>0</v>
      </c>
      <c r="AR126" s="5">
        <v>2.6023946283544599</v>
      </c>
      <c r="AS126" s="5">
        <v>2.6023946283544599</v>
      </c>
    </row>
    <row r="127" spans="2:45" x14ac:dyDescent="0.25">
      <c r="C127" t="s">
        <v>99</v>
      </c>
      <c r="D127" t="s">
        <v>97</v>
      </c>
      <c r="E127" s="5">
        <v>0</v>
      </c>
      <c r="F127" s="5">
        <v>1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8698</v>
      </c>
      <c r="AL127" t="s">
        <v>302</v>
      </c>
      <c r="AM127" t="s">
        <v>291</v>
      </c>
      <c r="AN127" t="s">
        <v>97</v>
      </c>
      <c r="AO127" s="5">
        <v>0</v>
      </c>
      <c r="AP127" s="5">
        <v>4E+20</v>
      </c>
      <c r="AQ127" s="5">
        <v>0</v>
      </c>
      <c r="AR127" s="5">
        <v>0</v>
      </c>
      <c r="AS127" s="5">
        <v>0</v>
      </c>
    </row>
    <row r="128" spans="2:45" x14ac:dyDescent="0.25">
      <c r="C128" t="s">
        <v>101</v>
      </c>
      <c r="D128" t="s">
        <v>97</v>
      </c>
      <c r="E128" s="5">
        <v>0</v>
      </c>
      <c r="F128" s="5">
        <v>1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8698</v>
      </c>
      <c r="AL128" t="s">
        <v>303</v>
      </c>
      <c r="AM128" t="s">
        <v>293</v>
      </c>
      <c r="AN128" t="s">
        <v>97</v>
      </c>
      <c r="AO128" s="5">
        <v>0</v>
      </c>
      <c r="AP128" s="5">
        <v>4E+20</v>
      </c>
      <c r="AQ128" s="5">
        <v>0</v>
      </c>
      <c r="AR128" s="5">
        <v>0</v>
      </c>
      <c r="AS128" s="5">
        <v>0</v>
      </c>
    </row>
    <row r="129" spans="2:45" x14ac:dyDescent="0.25">
      <c r="B129" t="s">
        <v>119</v>
      </c>
      <c r="C129" t="s">
        <v>74</v>
      </c>
      <c r="D129" t="s">
        <v>73</v>
      </c>
      <c r="E129" s="5">
        <v>5.0311106096046004E-3</v>
      </c>
      <c r="F129" s="5">
        <v>1</v>
      </c>
      <c r="G129" s="5">
        <v>3E+20</v>
      </c>
      <c r="H129" s="5">
        <v>0</v>
      </c>
      <c r="I129" s="5">
        <v>5.0311106096046004E-3</v>
      </c>
      <c r="J129" s="5">
        <v>5.0311106096046004E-3</v>
      </c>
      <c r="K129" s="5">
        <v>0</v>
      </c>
      <c r="L129" s="5">
        <v>7.9976473242317301</v>
      </c>
      <c r="M129" s="5">
        <v>8699</v>
      </c>
      <c r="AL129" t="s">
        <v>304</v>
      </c>
      <c r="AM129" t="s">
        <v>187</v>
      </c>
      <c r="AN129" t="s">
        <v>97</v>
      </c>
      <c r="AO129" s="5">
        <v>2818</v>
      </c>
      <c r="AP129" s="5">
        <v>4E+20</v>
      </c>
      <c r="AQ129" s="5">
        <v>0</v>
      </c>
      <c r="AR129" s="5">
        <v>2818</v>
      </c>
      <c r="AS129" s="5">
        <v>2818</v>
      </c>
    </row>
    <row r="130" spans="2:45" x14ac:dyDescent="0.25">
      <c r="C130" t="s">
        <v>72</v>
      </c>
      <c r="D130" t="s">
        <v>73</v>
      </c>
      <c r="E130" s="5">
        <v>0</v>
      </c>
      <c r="F130" s="5">
        <v>1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8699</v>
      </c>
      <c r="AL130" t="s">
        <v>305</v>
      </c>
      <c r="AM130" t="s">
        <v>189</v>
      </c>
      <c r="AN130" t="s">
        <v>97</v>
      </c>
      <c r="AO130" s="5">
        <v>2818</v>
      </c>
      <c r="AP130" s="5">
        <v>4E+20</v>
      </c>
      <c r="AQ130" s="5">
        <v>0</v>
      </c>
      <c r="AR130" s="5">
        <v>2818</v>
      </c>
      <c r="AS130" s="5">
        <v>2818</v>
      </c>
    </row>
    <row r="131" spans="2:45" x14ac:dyDescent="0.25">
      <c r="B131" t="s">
        <v>120</v>
      </c>
      <c r="C131" t="s">
        <v>98</v>
      </c>
      <c r="D131" t="s">
        <v>97</v>
      </c>
      <c r="E131" s="5">
        <v>2.7200901641872702E-3</v>
      </c>
      <c r="F131" s="5">
        <v>1</v>
      </c>
      <c r="G131" s="5">
        <v>1.0044193843753099E-3</v>
      </c>
      <c r="H131" s="5">
        <v>0</v>
      </c>
      <c r="I131" s="5">
        <v>2.7200901641872702E-3</v>
      </c>
      <c r="J131" s="5">
        <v>2.7200901641872702E-3</v>
      </c>
      <c r="K131" s="5">
        <v>1.1178344763784799E-3</v>
      </c>
      <c r="L131" s="5">
        <v>1.0023758661664599</v>
      </c>
      <c r="M131" s="5">
        <v>8694</v>
      </c>
      <c r="AL131" t="s">
        <v>306</v>
      </c>
      <c r="AM131" t="s">
        <v>297</v>
      </c>
      <c r="AN131" t="s">
        <v>97</v>
      </c>
      <c r="AO131" s="5">
        <v>0</v>
      </c>
      <c r="AP131" s="5">
        <v>4E+20</v>
      </c>
      <c r="AQ131" s="5">
        <v>0</v>
      </c>
      <c r="AR131" s="5">
        <v>0</v>
      </c>
      <c r="AS131" s="5">
        <v>0</v>
      </c>
    </row>
    <row r="132" spans="2:45" x14ac:dyDescent="0.25">
      <c r="C132" t="s">
        <v>100</v>
      </c>
      <c r="D132" t="s">
        <v>97</v>
      </c>
      <c r="E132" s="5">
        <v>1.5754592866948601E-3</v>
      </c>
      <c r="F132" s="5">
        <v>1</v>
      </c>
      <c r="G132" s="5">
        <v>3.73279723252574E-6</v>
      </c>
      <c r="H132" s="5">
        <v>0</v>
      </c>
      <c r="I132" s="5">
        <v>1.5754592866948601E-3</v>
      </c>
      <c r="J132" s="5">
        <v>1.5754592866948601E-3</v>
      </c>
      <c r="K132" s="5">
        <v>1.1128741452122201E-3</v>
      </c>
      <c r="L132" s="5">
        <v>1.93799393688465E-3</v>
      </c>
      <c r="M132" s="5">
        <v>8694</v>
      </c>
      <c r="AL132" t="s">
        <v>307</v>
      </c>
      <c r="AM132" t="s">
        <v>299</v>
      </c>
      <c r="AN132" t="s">
        <v>97</v>
      </c>
      <c r="AO132" s="5">
        <v>2.6023946283544599</v>
      </c>
      <c r="AP132" s="5">
        <v>4E+20</v>
      </c>
      <c r="AQ132" s="5">
        <v>0</v>
      </c>
      <c r="AR132" s="5">
        <v>2.6023946283544599</v>
      </c>
      <c r="AS132" s="5">
        <v>2.6023946283544599</v>
      </c>
    </row>
    <row r="133" spans="2:45" x14ac:dyDescent="0.25">
      <c r="C133" t="s">
        <v>102</v>
      </c>
      <c r="D133" t="s">
        <v>97</v>
      </c>
      <c r="E133" s="5">
        <v>1.1446308774923899E-3</v>
      </c>
      <c r="F133" s="5">
        <v>1</v>
      </c>
      <c r="G133" s="5">
        <v>1.00572291615402E-3</v>
      </c>
      <c r="H133" s="5">
        <v>0</v>
      </c>
      <c r="I133" s="5">
        <v>1.1446308774923899E-3</v>
      </c>
      <c r="J133" s="5">
        <v>1.1446308774923899E-3</v>
      </c>
      <c r="K133" s="5">
        <v>0</v>
      </c>
      <c r="L133" s="5">
        <v>1.0008952813548599</v>
      </c>
      <c r="M133" s="5">
        <v>8694</v>
      </c>
      <c r="AL133" t="s">
        <v>308</v>
      </c>
      <c r="AM133" t="s">
        <v>287</v>
      </c>
      <c r="AN133" t="s">
        <v>97</v>
      </c>
      <c r="AO133" s="5">
        <v>0</v>
      </c>
      <c r="AP133" s="5">
        <v>4E+20</v>
      </c>
      <c r="AQ133" s="5">
        <v>0</v>
      </c>
      <c r="AR133" s="5">
        <v>0</v>
      </c>
      <c r="AS133" s="5">
        <v>0</v>
      </c>
    </row>
    <row r="134" spans="2:45" x14ac:dyDescent="0.25">
      <c r="C134" t="s">
        <v>96</v>
      </c>
      <c r="D134" t="s">
        <v>97</v>
      </c>
      <c r="E134" s="5">
        <v>0</v>
      </c>
      <c r="F134" s="5">
        <v>1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8694</v>
      </c>
      <c r="AL134" t="s">
        <v>309</v>
      </c>
      <c r="AM134" t="s">
        <v>289</v>
      </c>
      <c r="AN134" t="s">
        <v>97</v>
      </c>
      <c r="AO134" s="5">
        <v>6.9757996404281997</v>
      </c>
      <c r="AP134" s="5">
        <v>4E+20</v>
      </c>
      <c r="AQ134" s="5">
        <v>0</v>
      </c>
      <c r="AR134" s="5">
        <v>6.9757996404281997</v>
      </c>
      <c r="AS134" s="5">
        <v>6.9757996404281997</v>
      </c>
    </row>
    <row r="135" spans="2:45" x14ac:dyDescent="0.25">
      <c r="C135" t="s">
        <v>99</v>
      </c>
      <c r="D135" t="s">
        <v>97</v>
      </c>
      <c r="E135" s="5">
        <v>0</v>
      </c>
      <c r="F135" s="5">
        <v>1</v>
      </c>
      <c r="G135" s="5">
        <v>0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8694</v>
      </c>
      <c r="AL135" t="s">
        <v>310</v>
      </c>
      <c r="AM135" t="s">
        <v>291</v>
      </c>
      <c r="AN135" t="s">
        <v>97</v>
      </c>
      <c r="AO135" s="5">
        <v>0</v>
      </c>
      <c r="AP135" s="5">
        <v>4E+20</v>
      </c>
      <c r="AQ135" s="5">
        <v>0</v>
      </c>
      <c r="AR135" s="5">
        <v>0</v>
      </c>
      <c r="AS135" s="5">
        <v>0</v>
      </c>
    </row>
    <row r="136" spans="2:45" x14ac:dyDescent="0.25">
      <c r="C136" t="s">
        <v>101</v>
      </c>
      <c r="D136" t="s">
        <v>97</v>
      </c>
      <c r="E136" s="5">
        <v>0</v>
      </c>
      <c r="F136" s="5">
        <v>1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8694</v>
      </c>
      <c r="AL136" t="s">
        <v>311</v>
      </c>
      <c r="AM136" t="s">
        <v>293</v>
      </c>
      <c r="AN136" t="s">
        <v>97</v>
      </c>
      <c r="AO136" s="5">
        <v>4.9941040648729098</v>
      </c>
      <c r="AP136" s="5">
        <v>4E+20</v>
      </c>
      <c r="AQ136" s="5">
        <v>0</v>
      </c>
      <c r="AR136" s="5">
        <v>4.9941040648729098</v>
      </c>
      <c r="AS136" s="5">
        <v>4.9941040648729098</v>
      </c>
    </row>
    <row r="137" spans="2:45" x14ac:dyDescent="0.25">
      <c r="B137" t="s">
        <v>121</v>
      </c>
      <c r="C137" t="s">
        <v>74</v>
      </c>
      <c r="D137" t="s">
        <v>73</v>
      </c>
      <c r="E137" s="5">
        <v>1.1444992350683001E-3</v>
      </c>
      <c r="F137" s="5">
        <v>1</v>
      </c>
      <c r="G137" s="5">
        <v>1.00572291615402E-3</v>
      </c>
      <c r="H137" s="5">
        <v>0</v>
      </c>
      <c r="I137" s="5">
        <v>1.1444992350683001E-3</v>
      </c>
      <c r="J137" s="5">
        <v>1.1444992350683001E-3</v>
      </c>
      <c r="K137" s="5">
        <v>0</v>
      </c>
      <c r="L137" s="5">
        <v>1.0008952813548599</v>
      </c>
      <c r="M137" s="5">
        <v>8695</v>
      </c>
      <c r="AL137" t="s">
        <v>312</v>
      </c>
      <c r="AM137" t="s">
        <v>187</v>
      </c>
      <c r="AN137" t="s">
        <v>97</v>
      </c>
      <c r="AO137" s="5">
        <v>4194</v>
      </c>
      <c r="AP137" s="5">
        <v>4E+20</v>
      </c>
      <c r="AQ137" s="5">
        <v>0</v>
      </c>
      <c r="AR137" s="5">
        <v>4194</v>
      </c>
      <c r="AS137" s="5">
        <v>4194</v>
      </c>
    </row>
    <row r="138" spans="2:45" x14ac:dyDescent="0.25">
      <c r="C138" t="s">
        <v>72</v>
      </c>
      <c r="D138" t="s">
        <v>73</v>
      </c>
      <c r="E138" s="5">
        <v>0</v>
      </c>
      <c r="F138" s="5">
        <v>1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8695</v>
      </c>
      <c r="AL138" t="s">
        <v>313</v>
      </c>
      <c r="AM138" t="s">
        <v>189</v>
      </c>
      <c r="AN138" t="s">
        <v>97</v>
      </c>
      <c r="AO138" s="5">
        <v>4193</v>
      </c>
      <c r="AP138" s="5">
        <v>4E+20</v>
      </c>
      <c r="AQ138" s="5">
        <v>0</v>
      </c>
      <c r="AR138" s="5">
        <v>4193</v>
      </c>
      <c r="AS138" s="5">
        <v>4193</v>
      </c>
    </row>
    <row r="139" spans="2:45" x14ac:dyDescent="0.25">
      <c r="B139" t="s">
        <v>132</v>
      </c>
      <c r="C139" t="s">
        <v>98</v>
      </c>
      <c r="D139" t="s">
        <v>97</v>
      </c>
      <c r="E139" s="5">
        <v>0.14836001412041</v>
      </c>
      <c r="F139" s="5">
        <v>1</v>
      </c>
      <c r="G139" s="5">
        <v>2E+20</v>
      </c>
      <c r="H139" s="5">
        <v>0</v>
      </c>
      <c r="I139" s="5">
        <v>0.14836001412041</v>
      </c>
      <c r="J139" s="5">
        <v>0.14836001412041</v>
      </c>
      <c r="K139" s="5">
        <v>9.4198948242915803E-2</v>
      </c>
      <c r="L139" s="5">
        <v>0.28466188240354401</v>
      </c>
      <c r="M139" s="5">
        <v>14</v>
      </c>
      <c r="AL139" t="s">
        <v>314</v>
      </c>
      <c r="AM139" t="s">
        <v>297</v>
      </c>
      <c r="AN139" t="s">
        <v>97</v>
      </c>
      <c r="AO139" s="5">
        <v>0</v>
      </c>
      <c r="AP139" s="5">
        <v>4E+20</v>
      </c>
      <c r="AQ139" s="5">
        <v>0</v>
      </c>
      <c r="AR139" s="5">
        <v>0</v>
      </c>
      <c r="AS139" s="5">
        <v>0</v>
      </c>
    </row>
    <row r="140" spans="2:45" x14ac:dyDescent="0.25">
      <c r="C140" t="s">
        <v>100</v>
      </c>
      <c r="D140" t="s">
        <v>97</v>
      </c>
      <c r="E140" s="5">
        <v>0.12683818303262401</v>
      </c>
      <c r="F140" s="5">
        <v>1</v>
      </c>
      <c r="G140" s="5">
        <v>2E+20</v>
      </c>
      <c r="H140" s="5">
        <v>0</v>
      </c>
      <c r="I140" s="5">
        <v>0.12683818303262401</v>
      </c>
      <c r="J140" s="5">
        <v>0.12683818303262401</v>
      </c>
      <c r="K140" s="5">
        <v>9.4198948242915803E-2</v>
      </c>
      <c r="L140" s="5">
        <v>0.16065896246063699</v>
      </c>
      <c r="M140" s="5">
        <v>14</v>
      </c>
      <c r="AL140" t="s">
        <v>315</v>
      </c>
      <c r="AM140" t="s">
        <v>299</v>
      </c>
      <c r="AN140" t="s">
        <v>97</v>
      </c>
      <c r="AO140" s="5">
        <v>11.9699037053011</v>
      </c>
      <c r="AP140" s="5">
        <v>4E+20</v>
      </c>
      <c r="AQ140" s="5">
        <v>0</v>
      </c>
      <c r="AR140" s="5">
        <v>11.9699037053011</v>
      </c>
      <c r="AS140" s="5">
        <v>11.9699037053011</v>
      </c>
    </row>
    <row r="141" spans="2:45" x14ac:dyDescent="0.25">
      <c r="C141" t="s">
        <v>102</v>
      </c>
      <c r="D141" t="s">
        <v>97</v>
      </c>
      <c r="E141" s="5">
        <v>2.1521831087786401E-2</v>
      </c>
      <c r="F141" s="5">
        <v>1</v>
      </c>
      <c r="G141" s="5">
        <v>2E+20</v>
      </c>
      <c r="H141" s="5">
        <v>0</v>
      </c>
      <c r="I141" s="5">
        <v>2.1521831087786401E-2</v>
      </c>
      <c r="J141" s="5">
        <v>2.1521831087786401E-2</v>
      </c>
      <c r="K141" s="5">
        <v>0</v>
      </c>
      <c r="L141" s="5">
        <v>0.12400291994290701</v>
      </c>
      <c r="M141" s="5">
        <v>14</v>
      </c>
      <c r="AL141" t="s">
        <v>316</v>
      </c>
      <c r="AM141" t="s">
        <v>287</v>
      </c>
      <c r="AN141" t="s">
        <v>97</v>
      </c>
      <c r="AO141" s="5">
        <v>0</v>
      </c>
      <c r="AP141" s="5">
        <v>4E+20</v>
      </c>
      <c r="AQ141" s="5">
        <v>0</v>
      </c>
      <c r="AR141" s="5">
        <v>0</v>
      </c>
      <c r="AS141" s="5">
        <v>0</v>
      </c>
    </row>
    <row r="142" spans="2:45" x14ac:dyDescent="0.25">
      <c r="C142" t="s">
        <v>96</v>
      </c>
      <c r="D142" t="s">
        <v>97</v>
      </c>
      <c r="E142" s="5">
        <v>0</v>
      </c>
      <c r="F142" s="5">
        <v>1</v>
      </c>
      <c r="G142" s="5">
        <v>2E+20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14</v>
      </c>
      <c r="AL142" t="s">
        <v>317</v>
      </c>
      <c r="AM142" t="s">
        <v>289</v>
      </c>
      <c r="AN142" t="s">
        <v>97</v>
      </c>
      <c r="AO142" s="5">
        <v>12.821264227883001</v>
      </c>
      <c r="AP142" s="5">
        <v>4E+20</v>
      </c>
      <c r="AQ142" s="5">
        <v>0</v>
      </c>
      <c r="AR142" s="5">
        <v>12.821264227883001</v>
      </c>
      <c r="AS142" s="5">
        <v>12.821264227883001</v>
      </c>
    </row>
    <row r="143" spans="2:45" x14ac:dyDescent="0.25">
      <c r="C143" t="s">
        <v>99</v>
      </c>
      <c r="D143" t="s">
        <v>97</v>
      </c>
      <c r="E143" s="5">
        <v>0</v>
      </c>
      <c r="F143" s="5">
        <v>1</v>
      </c>
      <c r="G143" s="5">
        <v>2E+20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14</v>
      </c>
      <c r="AL143" t="s">
        <v>318</v>
      </c>
      <c r="AM143" t="s">
        <v>291</v>
      </c>
      <c r="AN143" t="s">
        <v>97</v>
      </c>
      <c r="AO143" s="5">
        <v>0</v>
      </c>
      <c r="AP143" s="5">
        <v>4E+20</v>
      </c>
      <c r="AQ143" s="5">
        <v>0</v>
      </c>
      <c r="AR143" s="5">
        <v>0</v>
      </c>
      <c r="AS143" s="5">
        <v>0</v>
      </c>
    </row>
    <row r="144" spans="2:45" x14ac:dyDescent="0.25">
      <c r="C144" t="s">
        <v>101</v>
      </c>
      <c r="D144" t="s">
        <v>97</v>
      </c>
      <c r="E144" s="5">
        <v>0</v>
      </c>
      <c r="F144" s="5">
        <v>1</v>
      </c>
      <c r="G144" s="5">
        <v>2E+20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14</v>
      </c>
      <c r="AL144" t="s">
        <v>319</v>
      </c>
      <c r="AM144" t="s">
        <v>293</v>
      </c>
      <c r="AN144" t="s">
        <v>97</v>
      </c>
      <c r="AO144" s="5">
        <v>5.0571729553421099</v>
      </c>
      <c r="AP144" s="5">
        <v>4E+20</v>
      </c>
      <c r="AQ144" s="5">
        <v>0</v>
      </c>
      <c r="AR144" s="5">
        <v>5.0571729553421099</v>
      </c>
      <c r="AS144" s="5">
        <v>5.0571729553421099</v>
      </c>
    </row>
    <row r="145" spans="2:45" x14ac:dyDescent="0.25">
      <c r="B145" t="s">
        <v>133</v>
      </c>
      <c r="C145" t="s">
        <v>74</v>
      </c>
      <c r="D145" t="s">
        <v>73</v>
      </c>
      <c r="E145" s="5">
        <v>2.1521831087786401E-2</v>
      </c>
      <c r="F145" s="5">
        <v>1</v>
      </c>
      <c r="G145" s="5">
        <v>2E+20</v>
      </c>
      <c r="H145" s="5">
        <v>0</v>
      </c>
      <c r="I145" s="5">
        <v>2.1521831087786401E-2</v>
      </c>
      <c r="J145" s="5">
        <v>2.1521831087786401E-2</v>
      </c>
      <c r="K145" s="5">
        <v>0</v>
      </c>
      <c r="L145" s="5">
        <v>0.12400291994290701</v>
      </c>
      <c r="M145" s="5">
        <v>14</v>
      </c>
      <c r="AL145" t="s">
        <v>320</v>
      </c>
      <c r="AM145" t="s">
        <v>187</v>
      </c>
      <c r="AN145" t="s">
        <v>97</v>
      </c>
      <c r="AO145" s="5">
        <v>4193</v>
      </c>
      <c r="AP145" s="5">
        <v>4E+20</v>
      </c>
      <c r="AQ145" s="5">
        <v>0</v>
      </c>
      <c r="AR145" s="5">
        <v>4193</v>
      </c>
      <c r="AS145" s="5">
        <v>4193</v>
      </c>
    </row>
    <row r="146" spans="2:45" x14ac:dyDescent="0.25">
      <c r="C146" t="s">
        <v>72</v>
      </c>
      <c r="D146" t="s">
        <v>73</v>
      </c>
      <c r="E146" s="5">
        <v>0</v>
      </c>
      <c r="F146" s="5">
        <v>1</v>
      </c>
      <c r="G146" s="5">
        <v>2E+20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14</v>
      </c>
      <c r="AL146" t="s">
        <v>321</v>
      </c>
      <c r="AM146" t="s">
        <v>189</v>
      </c>
      <c r="AN146" t="s">
        <v>97</v>
      </c>
      <c r="AO146" s="5">
        <v>4192</v>
      </c>
      <c r="AP146" s="5">
        <v>4E+20</v>
      </c>
      <c r="AQ146" s="5">
        <v>0</v>
      </c>
      <c r="AR146" s="5">
        <v>4192</v>
      </c>
      <c r="AS146" s="5">
        <v>4192</v>
      </c>
    </row>
    <row r="147" spans="2:45" x14ac:dyDescent="0.25">
      <c r="B147" t="s">
        <v>122</v>
      </c>
      <c r="C147" t="s">
        <v>74</v>
      </c>
      <c r="D147" t="s">
        <v>73</v>
      </c>
      <c r="E147" s="5">
        <v>3.96007192766345E-2</v>
      </c>
      <c r="F147" s="5">
        <v>1</v>
      </c>
      <c r="G147" s="5">
        <v>3E+20</v>
      </c>
      <c r="H147" s="5">
        <v>0</v>
      </c>
      <c r="I147" s="5">
        <v>3.96007192766345E-2</v>
      </c>
      <c r="J147" s="5">
        <v>3.96007192766345E-2</v>
      </c>
      <c r="K147" s="5">
        <v>0</v>
      </c>
      <c r="L147" s="5">
        <v>3.8638815435139402</v>
      </c>
      <c r="M147" s="5">
        <v>4198</v>
      </c>
      <c r="AL147" t="s">
        <v>322</v>
      </c>
      <c r="AM147" t="s">
        <v>297</v>
      </c>
      <c r="AN147" t="s">
        <v>97</v>
      </c>
      <c r="AO147" s="5">
        <v>0</v>
      </c>
      <c r="AP147" s="5">
        <v>4E+20</v>
      </c>
      <c r="AQ147" s="5">
        <v>0</v>
      </c>
      <c r="AR147" s="5">
        <v>0</v>
      </c>
      <c r="AS147" s="5">
        <v>0</v>
      </c>
    </row>
    <row r="148" spans="2:45" x14ac:dyDescent="0.25">
      <c r="C148" t="s">
        <v>72</v>
      </c>
      <c r="D148" t="s">
        <v>73</v>
      </c>
      <c r="E148" s="5">
        <v>0</v>
      </c>
      <c r="F148" s="5">
        <v>1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4198</v>
      </c>
      <c r="AL148" t="s">
        <v>323</v>
      </c>
      <c r="AM148" t="s">
        <v>299</v>
      </c>
      <c r="AN148" t="s">
        <v>97</v>
      </c>
      <c r="AO148" s="5">
        <v>17.878437183225099</v>
      </c>
      <c r="AP148" s="5">
        <v>4E+20</v>
      </c>
      <c r="AQ148" s="5">
        <v>0</v>
      </c>
      <c r="AR148" s="5">
        <v>17.878437183225099</v>
      </c>
      <c r="AS148" s="5">
        <v>17.878437183225099</v>
      </c>
    </row>
    <row r="149" spans="2:45" x14ac:dyDescent="0.25">
      <c r="B149" t="s">
        <v>123</v>
      </c>
      <c r="C149" t="s">
        <v>74</v>
      </c>
      <c r="D149" t="s">
        <v>73</v>
      </c>
      <c r="E149" s="5">
        <v>6.0071963093201097E-7</v>
      </c>
      <c r="F149" s="5">
        <v>1</v>
      </c>
      <c r="G149" s="5">
        <v>4.1205394076126201E-7</v>
      </c>
      <c r="H149" s="5">
        <v>0</v>
      </c>
      <c r="I149" s="5">
        <v>6.0071963093201097E-7</v>
      </c>
      <c r="J149" s="5">
        <v>6.0071963093201097E-7</v>
      </c>
      <c r="K149" s="5">
        <v>0</v>
      </c>
      <c r="L149" s="5">
        <v>4.6678403817068702E-4</v>
      </c>
      <c r="M149" s="5">
        <v>4195</v>
      </c>
      <c r="AL149" t="s">
        <v>324</v>
      </c>
      <c r="AM149" t="s">
        <v>287</v>
      </c>
      <c r="AN149" t="s">
        <v>97</v>
      </c>
      <c r="AO149" s="5">
        <v>0</v>
      </c>
      <c r="AP149" s="5">
        <v>4E+20</v>
      </c>
      <c r="AQ149" s="5">
        <v>0</v>
      </c>
      <c r="AR149" s="5">
        <v>0</v>
      </c>
      <c r="AS149" s="5">
        <v>0</v>
      </c>
    </row>
    <row r="150" spans="2:45" x14ac:dyDescent="0.25">
      <c r="C150" t="s">
        <v>72</v>
      </c>
      <c r="D150" t="s">
        <v>73</v>
      </c>
      <c r="E150" s="5">
        <v>0</v>
      </c>
      <c r="F150" s="5">
        <v>1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4195</v>
      </c>
      <c r="AL150" t="s">
        <v>325</v>
      </c>
      <c r="AM150" t="s">
        <v>289</v>
      </c>
      <c r="AN150" t="s">
        <v>97</v>
      </c>
      <c r="AO150" s="5">
        <v>3.9516681769686901</v>
      </c>
      <c r="AP150" s="5">
        <v>4E+20</v>
      </c>
      <c r="AQ150" s="5">
        <v>0</v>
      </c>
      <c r="AR150" s="5">
        <v>3.9516681769686901</v>
      </c>
      <c r="AS150" s="5">
        <v>3.9516681769686901</v>
      </c>
    </row>
    <row r="151" spans="2:45" x14ac:dyDescent="0.25">
      <c r="B151" t="s">
        <v>124</v>
      </c>
      <c r="C151" t="s">
        <v>74</v>
      </c>
      <c r="D151" t="s">
        <v>73</v>
      </c>
      <c r="E151" s="5">
        <v>2.58546579529569E-7</v>
      </c>
      <c r="F151" s="5">
        <v>1</v>
      </c>
      <c r="G151" s="5">
        <v>5.3992554889005496E-7</v>
      </c>
      <c r="H151" s="5">
        <v>0</v>
      </c>
      <c r="I151" s="5">
        <v>2.58546579529569E-7</v>
      </c>
      <c r="J151" s="5">
        <v>2.58546579529569E-7</v>
      </c>
      <c r="K151" s="5">
        <v>0</v>
      </c>
      <c r="L151" s="5">
        <v>1.0840858079674801E-3</v>
      </c>
      <c r="M151" s="5">
        <v>4193</v>
      </c>
      <c r="AL151" t="s">
        <v>326</v>
      </c>
      <c r="AM151" t="s">
        <v>291</v>
      </c>
      <c r="AN151" t="s">
        <v>97</v>
      </c>
      <c r="AO151" s="5">
        <v>0</v>
      </c>
      <c r="AP151" s="5">
        <v>4E+20</v>
      </c>
      <c r="AQ151" s="5">
        <v>0</v>
      </c>
      <c r="AR151" s="5">
        <v>0</v>
      </c>
      <c r="AS151" s="5">
        <v>0</v>
      </c>
    </row>
    <row r="152" spans="2:45" x14ac:dyDescent="0.25">
      <c r="C152" t="s">
        <v>72</v>
      </c>
      <c r="D152" t="s">
        <v>73</v>
      </c>
      <c r="E152" s="5">
        <v>0</v>
      </c>
      <c r="F152" s="5">
        <v>1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4193</v>
      </c>
      <c r="AL152" t="s">
        <v>327</v>
      </c>
      <c r="AM152" t="s">
        <v>293</v>
      </c>
      <c r="AN152" t="s">
        <v>97</v>
      </c>
      <c r="AO152" s="5">
        <v>19.7034094307276</v>
      </c>
      <c r="AP152" s="5">
        <v>4E+20</v>
      </c>
      <c r="AQ152" s="5">
        <v>0</v>
      </c>
      <c r="AR152" s="5">
        <v>19.7034094307276</v>
      </c>
      <c r="AS152" s="5">
        <v>19.7034094307276</v>
      </c>
    </row>
    <row r="153" spans="2:45" x14ac:dyDescent="0.25">
      <c r="B153" t="s">
        <v>125</v>
      </c>
      <c r="C153" t="s">
        <v>74</v>
      </c>
      <c r="D153" t="s">
        <v>73</v>
      </c>
      <c r="E153" s="5">
        <v>0.142537166503032</v>
      </c>
      <c r="F153" s="5">
        <v>1</v>
      </c>
      <c r="G153" s="5">
        <v>3.9643868999529597E-2</v>
      </c>
      <c r="H153" s="5">
        <v>0</v>
      </c>
      <c r="I153" s="5">
        <v>0.142537166503032</v>
      </c>
      <c r="J153" s="5">
        <v>0.142537166503032</v>
      </c>
      <c r="K153" s="5">
        <v>0</v>
      </c>
      <c r="L153" s="5">
        <v>7.5940290580715901</v>
      </c>
      <c r="M153" s="5">
        <v>2024</v>
      </c>
      <c r="AL153" t="s">
        <v>328</v>
      </c>
      <c r="AM153" t="s">
        <v>187</v>
      </c>
      <c r="AN153" t="s">
        <v>97</v>
      </c>
      <c r="AO153" s="5">
        <v>2023</v>
      </c>
      <c r="AP153" s="5">
        <v>4E+20</v>
      </c>
      <c r="AQ153" s="5">
        <v>0</v>
      </c>
      <c r="AR153" s="5">
        <v>2023</v>
      </c>
      <c r="AS153" s="5">
        <v>2023</v>
      </c>
    </row>
    <row r="154" spans="2:45" x14ac:dyDescent="0.25">
      <c r="C154" t="s">
        <v>72</v>
      </c>
      <c r="D154" t="s">
        <v>73</v>
      </c>
      <c r="E154" s="5">
        <v>0</v>
      </c>
      <c r="F154" s="5">
        <v>1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2024</v>
      </c>
      <c r="AL154" t="s">
        <v>329</v>
      </c>
      <c r="AM154" t="s">
        <v>189</v>
      </c>
      <c r="AN154" t="s">
        <v>97</v>
      </c>
      <c r="AO154" s="5">
        <v>2023</v>
      </c>
      <c r="AP154" s="5">
        <v>4E+20</v>
      </c>
      <c r="AQ154" s="5">
        <v>0</v>
      </c>
      <c r="AR154" s="5">
        <v>2023</v>
      </c>
      <c r="AS154" s="5">
        <v>2023</v>
      </c>
    </row>
    <row r="155" spans="2:45" x14ac:dyDescent="0.25">
      <c r="B155" t="s">
        <v>126</v>
      </c>
      <c r="C155" t="s">
        <v>74</v>
      </c>
      <c r="D155" t="s">
        <v>73</v>
      </c>
      <c r="E155" s="5">
        <v>6.3555062944367297E-3</v>
      </c>
      <c r="F155" s="5">
        <v>1</v>
      </c>
      <c r="G155" s="5">
        <v>3E+20</v>
      </c>
      <c r="H155" s="5">
        <v>0</v>
      </c>
      <c r="I155" s="5">
        <v>6.3555062944367297E-3</v>
      </c>
      <c r="J155" s="5">
        <v>6.3555062944367297E-3</v>
      </c>
      <c r="K155" s="5">
        <v>0</v>
      </c>
      <c r="L155" s="5">
        <v>1.71941097332073E-2</v>
      </c>
      <c r="M155" s="5">
        <v>2022</v>
      </c>
      <c r="AL155" t="s">
        <v>330</v>
      </c>
      <c r="AM155" t="s">
        <v>297</v>
      </c>
      <c r="AN155" t="s">
        <v>97</v>
      </c>
      <c r="AO155" s="5">
        <v>0</v>
      </c>
      <c r="AP155" s="5">
        <v>4E+20</v>
      </c>
      <c r="AQ155" s="5">
        <v>0</v>
      </c>
      <c r="AR155" s="5">
        <v>0</v>
      </c>
      <c r="AS155" s="5">
        <v>0</v>
      </c>
    </row>
    <row r="156" spans="2:45" x14ac:dyDescent="0.25">
      <c r="C156" t="s">
        <v>72</v>
      </c>
      <c r="D156" t="s">
        <v>73</v>
      </c>
      <c r="E156" s="5">
        <v>0</v>
      </c>
      <c r="F156" s="5">
        <v>1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2022</v>
      </c>
      <c r="AL156" t="s">
        <v>331</v>
      </c>
      <c r="AM156" t="s">
        <v>299</v>
      </c>
      <c r="AN156" t="s">
        <v>97</v>
      </c>
      <c r="AO156" s="5">
        <v>23.655077607696299</v>
      </c>
      <c r="AP156" s="5">
        <v>4E+20</v>
      </c>
      <c r="AQ156" s="5">
        <v>0</v>
      </c>
      <c r="AR156" s="5">
        <v>23.655077607696299</v>
      </c>
      <c r="AS156" s="5">
        <v>23.655077607696299</v>
      </c>
    </row>
    <row r="157" spans="2:45" x14ac:dyDescent="0.25">
      <c r="B157" t="s">
        <v>127</v>
      </c>
      <c r="C157" t="s">
        <v>74</v>
      </c>
      <c r="D157" t="s">
        <v>73</v>
      </c>
      <c r="E157" s="5">
        <v>2.9258281897080001E-2</v>
      </c>
      <c r="F157" s="5">
        <v>1</v>
      </c>
      <c r="G157" s="5">
        <v>4.3664549235224396E-3</v>
      </c>
      <c r="H157" s="5">
        <v>0</v>
      </c>
      <c r="I157" s="5">
        <v>2.9258281897080001E-2</v>
      </c>
      <c r="J157" s="5">
        <v>2.9258281897080001E-2</v>
      </c>
      <c r="K157" s="5">
        <v>0</v>
      </c>
      <c r="L157" s="5">
        <v>1.0299602080235499</v>
      </c>
      <c r="M157" s="5">
        <v>2018</v>
      </c>
      <c r="AL157" t="s">
        <v>332</v>
      </c>
      <c r="AM157" t="s">
        <v>287</v>
      </c>
      <c r="AN157" t="s">
        <v>97</v>
      </c>
      <c r="AO157" s="5">
        <v>0</v>
      </c>
      <c r="AP157" s="5">
        <v>4E+20</v>
      </c>
      <c r="AQ157" s="5">
        <v>0</v>
      </c>
      <c r="AR157" s="5">
        <v>0</v>
      </c>
      <c r="AS157" s="5">
        <v>0</v>
      </c>
    </row>
    <row r="158" spans="2:45" x14ac:dyDescent="0.25">
      <c r="C158" t="s">
        <v>72</v>
      </c>
      <c r="D158" t="s">
        <v>73</v>
      </c>
      <c r="E158" s="5">
        <v>0</v>
      </c>
      <c r="F158" s="5">
        <v>1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2018</v>
      </c>
      <c r="AL158" t="s">
        <v>333</v>
      </c>
      <c r="AM158" t="s">
        <v>289</v>
      </c>
      <c r="AN158" t="s">
        <v>97</v>
      </c>
      <c r="AO158" s="5">
        <v>5.60023446795776</v>
      </c>
      <c r="AP158" s="5">
        <v>4E+20</v>
      </c>
      <c r="AQ158" s="5">
        <v>0</v>
      </c>
      <c r="AR158" s="5">
        <v>5.60023446795776</v>
      </c>
      <c r="AS158" s="5">
        <v>5.60023446795776</v>
      </c>
    </row>
    <row r="159" spans="2:45" x14ac:dyDescent="0.25">
      <c r="B159" t="s">
        <v>128</v>
      </c>
      <c r="C159" t="s">
        <v>74</v>
      </c>
      <c r="D159" t="s">
        <v>73</v>
      </c>
      <c r="E159" s="5">
        <v>0</v>
      </c>
      <c r="F159" s="5">
        <v>1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2014</v>
      </c>
      <c r="AL159" t="s">
        <v>334</v>
      </c>
      <c r="AM159" t="s">
        <v>291</v>
      </c>
      <c r="AN159" t="s">
        <v>97</v>
      </c>
      <c r="AO159" s="5">
        <v>0</v>
      </c>
      <c r="AP159" s="5">
        <v>4E+20</v>
      </c>
      <c r="AQ159" s="5">
        <v>0</v>
      </c>
      <c r="AR159" s="5">
        <v>0</v>
      </c>
      <c r="AS159" s="5">
        <v>0</v>
      </c>
    </row>
    <row r="160" spans="2:45" x14ac:dyDescent="0.25">
      <c r="C160" t="s">
        <v>72</v>
      </c>
      <c r="D160" t="s">
        <v>73</v>
      </c>
      <c r="E160" s="5">
        <v>0</v>
      </c>
      <c r="F160" s="5">
        <v>1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2014</v>
      </c>
      <c r="AL160" t="s">
        <v>335</v>
      </c>
      <c r="AM160" t="s">
        <v>293</v>
      </c>
      <c r="AN160" t="s">
        <v>97</v>
      </c>
      <c r="AO160" s="5">
        <v>1.9932112164795099</v>
      </c>
      <c r="AP160" s="5">
        <v>4E+20</v>
      </c>
      <c r="AQ160" s="5">
        <v>0</v>
      </c>
      <c r="AR160" s="5">
        <v>1.9932112164795099</v>
      </c>
      <c r="AS160" s="5">
        <v>1.9932112164795099</v>
      </c>
    </row>
    <row r="161" spans="2:45" x14ac:dyDescent="0.25">
      <c r="B161" t="s">
        <v>129</v>
      </c>
      <c r="C161" t="s">
        <v>74</v>
      </c>
      <c r="D161" t="s">
        <v>73</v>
      </c>
      <c r="E161" s="5">
        <v>2.11189867886965E-2</v>
      </c>
      <c r="F161" s="5">
        <v>1</v>
      </c>
      <c r="G161" s="5">
        <v>4.5407033740051403E-3</v>
      </c>
      <c r="H161" s="5">
        <v>0</v>
      </c>
      <c r="I161" s="5">
        <v>2.11189867886965E-2</v>
      </c>
      <c r="J161" s="5">
        <v>2.11189867886965E-2</v>
      </c>
      <c r="K161" s="5">
        <v>0</v>
      </c>
      <c r="L161" s="5">
        <v>2.17874660095067</v>
      </c>
      <c r="M161" s="5">
        <v>8700</v>
      </c>
      <c r="AL161" t="s">
        <v>336</v>
      </c>
      <c r="AM161" t="s">
        <v>187</v>
      </c>
      <c r="AN161" t="s">
        <v>97</v>
      </c>
      <c r="AO161" s="5">
        <v>2022</v>
      </c>
      <c r="AP161" s="5">
        <v>4E+20</v>
      </c>
      <c r="AQ161" s="5">
        <v>0</v>
      </c>
      <c r="AR161" s="5">
        <v>2022</v>
      </c>
      <c r="AS161" s="5">
        <v>2022</v>
      </c>
    </row>
    <row r="162" spans="2:45" x14ac:dyDescent="0.25">
      <c r="C162" t="s">
        <v>72</v>
      </c>
      <c r="D162" t="s">
        <v>73</v>
      </c>
      <c r="E162" s="5">
        <v>0</v>
      </c>
      <c r="F162" s="5">
        <v>1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8700</v>
      </c>
      <c r="AL162" t="s">
        <v>337</v>
      </c>
      <c r="AM162" t="s">
        <v>189</v>
      </c>
      <c r="AN162" t="s">
        <v>97</v>
      </c>
      <c r="AO162" s="5">
        <v>2021</v>
      </c>
      <c r="AP162" s="5">
        <v>4E+20</v>
      </c>
      <c r="AQ162" s="5">
        <v>0</v>
      </c>
      <c r="AR162" s="5">
        <v>2021</v>
      </c>
      <c r="AS162" s="5">
        <v>2021</v>
      </c>
    </row>
    <row r="163" spans="2:45" x14ac:dyDescent="0.25">
      <c r="B163" t="s">
        <v>130</v>
      </c>
      <c r="C163" t="s">
        <v>74</v>
      </c>
      <c r="D163" t="s">
        <v>73</v>
      </c>
      <c r="E163" s="5">
        <v>7.6632435281698004E-4</v>
      </c>
      <c r="F163" s="5">
        <v>1</v>
      </c>
      <c r="G163" s="5">
        <v>1.64930815910628E-5</v>
      </c>
      <c r="H163" s="5">
        <v>0</v>
      </c>
      <c r="I163" s="5">
        <v>7.6632435281698004E-4</v>
      </c>
      <c r="J163" s="5">
        <v>7.6632435281698004E-4</v>
      </c>
      <c r="K163" s="5">
        <v>0</v>
      </c>
      <c r="L163" s="5">
        <v>3.15283974695646E-3</v>
      </c>
      <c r="M163" s="5">
        <v>8697</v>
      </c>
      <c r="AL163" t="s">
        <v>338</v>
      </c>
      <c r="AM163" t="s">
        <v>297</v>
      </c>
      <c r="AN163" t="s">
        <v>97</v>
      </c>
      <c r="AO163" s="5">
        <v>0</v>
      </c>
      <c r="AP163" s="5">
        <v>4E+20</v>
      </c>
      <c r="AQ163" s="5">
        <v>0</v>
      </c>
      <c r="AR163" s="5">
        <v>0</v>
      </c>
      <c r="AS163" s="5">
        <v>0</v>
      </c>
    </row>
    <row r="164" spans="2:45" x14ac:dyDescent="0.25">
      <c r="C164" t="s">
        <v>72</v>
      </c>
      <c r="D164" t="s">
        <v>73</v>
      </c>
      <c r="E164" s="5">
        <v>0</v>
      </c>
      <c r="F164" s="5">
        <v>1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8697</v>
      </c>
      <c r="AL164" t="s">
        <v>339</v>
      </c>
      <c r="AM164" t="s">
        <v>299</v>
      </c>
      <c r="AN164" t="s">
        <v>97</v>
      </c>
      <c r="AO164" s="5">
        <v>7.5934456844372704</v>
      </c>
      <c r="AP164" s="5">
        <v>4E+20</v>
      </c>
      <c r="AQ164" s="5">
        <v>0</v>
      </c>
      <c r="AR164" s="5">
        <v>7.5934456844372704</v>
      </c>
      <c r="AS164" s="5">
        <v>7.5934456844372704</v>
      </c>
    </row>
    <row r="165" spans="2:45" x14ac:dyDescent="0.25">
      <c r="B165" t="s">
        <v>131</v>
      </c>
      <c r="C165" t="s">
        <v>81</v>
      </c>
      <c r="D165" t="s">
        <v>80</v>
      </c>
      <c r="E165" s="5">
        <v>0</v>
      </c>
      <c r="F165" s="5">
        <v>1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923</v>
      </c>
      <c r="AL165" t="s">
        <v>340</v>
      </c>
      <c r="AM165" t="s">
        <v>287</v>
      </c>
      <c r="AN165" t="s">
        <v>97</v>
      </c>
      <c r="AO165" s="5">
        <v>0</v>
      </c>
      <c r="AP165" s="5">
        <v>4E+20</v>
      </c>
      <c r="AQ165" s="5">
        <v>0</v>
      </c>
      <c r="AR165" s="5">
        <v>0</v>
      </c>
      <c r="AS165" s="5">
        <v>0</v>
      </c>
    </row>
    <row r="166" spans="2:45" x14ac:dyDescent="0.25">
      <c r="C166" t="s">
        <v>83</v>
      </c>
      <c r="D166" t="s">
        <v>80</v>
      </c>
      <c r="E166" s="5">
        <v>0.11241301980896801</v>
      </c>
      <c r="F166" s="5">
        <v>1</v>
      </c>
      <c r="G166" s="5">
        <v>1.86369892602537E-4</v>
      </c>
      <c r="H166" s="5">
        <v>0</v>
      </c>
      <c r="I166" s="5">
        <v>0.11241301980896801</v>
      </c>
      <c r="J166" s="5">
        <v>0.11241301980896801</v>
      </c>
      <c r="K166" s="5">
        <v>0.102114763280785</v>
      </c>
      <c r="L166" s="5">
        <v>0.12231217423969599</v>
      </c>
      <c r="M166" s="5">
        <v>923</v>
      </c>
      <c r="AL166" t="s">
        <v>341</v>
      </c>
      <c r="AM166" t="s">
        <v>289</v>
      </c>
      <c r="AN166" t="s">
        <v>97</v>
      </c>
      <c r="AO166" s="5">
        <v>13.986084960686799</v>
      </c>
      <c r="AP166" s="5">
        <v>4E+20</v>
      </c>
      <c r="AQ166" s="5">
        <v>0</v>
      </c>
      <c r="AR166" s="5">
        <v>13.986084960686799</v>
      </c>
      <c r="AS166" s="5">
        <v>13.986084960686799</v>
      </c>
    </row>
    <row r="167" spans="2:45" x14ac:dyDescent="0.25">
      <c r="C167" t="s">
        <v>85</v>
      </c>
      <c r="D167" t="s">
        <v>80</v>
      </c>
      <c r="E167" s="5">
        <v>0.25842576848467802</v>
      </c>
      <c r="F167" s="5">
        <v>1</v>
      </c>
      <c r="G167" s="5">
        <v>3E+20</v>
      </c>
      <c r="H167" s="5">
        <v>0</v>
      </c>
      <c r="I167" s="5">
        <v>0.25842576848467802</v>
      </c>
      <c r="J167" s="5">
        <v>0.25842576848467802</v>
      </c>
      <c r="K167" s="5">
        <v>9.6878254544718004E-2</v>
      </c>
      <c r="L167" s="5">
        <v>8.0255973808015106</v>
      </c>
      <c r="M167" s="5">
        <v>923</v>
      </c>
      <c r="AL167" t="s">
        <v>342</v>
      </c>
      <c r="AM167" t="s">
        <v>291</v>
      </c>
      <c r="AN167" t="s">
        <v>97</v>
      </c>
      <c r="AO167" s="5">
        <v>0</v>
      </c>
      <c r="AP167" s="5">
        <v>4E+20</v>
      </c>
      <c r="AQ167" s="5">
        <v>0</v>
      </c>
      <c r="AR167" s="5">
        <v>0</v>
      </c>
      <c r="AS167" s="5">
        <v>0</v>
      </c>
    </row>
    <row r="168" spans="2:45" x14ac:dyDescent="0.25">
      <c r="C168" t="s">
        <v>87</v>
      </c>
      <c r="D168" t="s">
        <v>80</v>
      </c>
      <c r="E168" s="5">
        <v>0</v>
      </c>
      <c r="F168" s="5">
        <v>1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923</v>
      </c>
      <c r="AL168" t="s">
        <v>343</v>
      </c>
      <c r="AM168" t="s">
        <v>293</v>
      </c>
      <c r="AN168" t="s">
        <v>97</v>
      </c>
      <c r="AO168" s="5">
        <v>38.701019980603697</v>
      </c>
      <c r="AP168" s="5">
        <v>4E+20</v>
      </c>
      <c r="AQ168" s="5">
        <v>0</v>
      </c>
      <c r="AR168" s="5">
        <v>38.701019980603697</v>
      </c>
      <c r="AS168" s="5">
        <v>38.701019980603697</v>
      </c>
    </row>
    <row r="169" spans="2:45" x14ac:dyDescent="0.25">
      <c r="C169" t="s">
        <v>89</v>
      </c>
      <c r="D169" t="s">
        <v>80</v>
      </c>
      <c r="E169" s="5">
        <v>9.8421031535727302E-2</v>
      </c>
      <c r="F169" s="5">
        <v>1</v>
      </c>
      <c r="G169" s="5">
        <v>2.1326318539663901E-4</v>
      </c>
      <c r="H169" s="5">
        <v>0</v>
      </c>
      <c r="I169" s="5">
        <v>9.8421031535727302E-2</v>
      </c>
      <c r="J169" s="5">
        <v>9.8421031535727302E-2</v>
      </c>
      <c r="K169" s="5">
        <v>8.3289302622970907E-2</v>
      </c>
      <c r="L169" s="5">
        <v>0.11001656922439899</v>
      </c>
      <c r="M169" s="5">
        <v>923</v>
      </c>
      <c r="AL169" t="s">
        <v>344</v>
      </c>
      <c r="AM169" t="s">
        <v>187</v>
      </c>
      <c r="AN169" t="s">
        <v>97</v>
      </c>
      <c r="AO169" s="5">
        <v>2017</v>
      </c>
      <c r="AP169" s="5">
        <v>4E+20</v>
      </c>
      <c r="AQ169" s="5">
        <v>0</v>
      </c>
      <c r="AR169" s="5">
        <v>2017</v>
      </c>
      <c r="AS169" s="5">
        <v>2017</v>
      </c>
    </row>
    <row r="170" spans="2:45" x14ac:dyDescent="0.25">
      <c r="C170" t="s">
        <v>91</v>
      </c>
      <c r="D170" t="s">
        <v>80</v>
      </c>
      <c r="E170" s="5">
        <v>1.00540515636633</v>
      </c>
      <c r="F170" s="5">
        <v>1</v>
      </c>
      <c r="G170" s="5">
        <v>0.30882506923152098</v>
      </c>
      <c r="H170" s="5">
        <v>0</v>
      </c>
      <c r="I170" s="5">
        <v>1.00540515636633</v>
      </c>
      <c r="J170" s="5">
        <v>1.00540515636633</v>
      </c>
      <c r="K170" s="5">
        <v>0.36596685738812701</v>
      </c>
      <c r="L170" s="5">
        <v>69.446922899356693</v>
      </c>
      <c r="M170" s="5">
        <v>923</v>
      </c>
      <c r="AL170" t="s">
        <v>345</v>
      </c>
      <c r="AM170" t="s">
        <v>189</v>
      </c>
      <c r="AN170" t="s">
        <v>97</v>
      </c>
      <c r="AO170" s="5">
        <v>2014</v>
      </c>
      <c r="AP170" s="5">
        <v>4E+20</v>
      </c>
      <c r="AQ170" s="5">
        <v>0</v>
      </c>
      <c r="AR170" s="5">
        <v>2014</v>
      </c>
      <c r="AS170" s="5">
        <v>2014</v>
      </c>
    </row>
    <row r="171" spans="2:45" x14ac:dyDescent="0.25">
      <c r="C171" t="s">
        <v>79</v>
      </c>
      <c r="D171" t="s">
        <v>80</v>
      </c>
      <c r="E171" s="5">
        <v>0</v>
      </c>
      <c r="F171" s="5">
        <v>1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923</v>
      </c>
      <c r="AL171" t="s">
        <v>346</v>
      </c>
      <c r="AM171" t="s">
        <v>297</v>
      </c>
      <c r="AN171" t="s">
        <v>97</v>
      </c>
      <c r="AO171" s="5">
        <v>0</v>
      </c>
      <c r="AP171" s="5">
        <v>4E+20</v>
      </c>
      <c r="AQ171" s="5">
        <v>0</v>
      </c>
      <c r="AR171" s="5">
        <v>0</v>
      </c>
      <c r="AS171" s="5">
        <v>0</v>
      </c>
    </row>
    <row r="172" spans="2:45" x14ac:dyDescent="0.25">
      <c r="C172" t="s">
        <v>82</v>
      </c>
      <c r="D172" t="s">
        <v>80</v>
      </c>
      <c r="E172" s="5">
        <v>0</v>
      </c>
      <c r="F172" s="5">
        <v>1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923</v>
      </c>
      <c r="AL172" t="s">
        <v>347</v>
      </c>
      <c r="AM172" t="s">
        <v>299</v>
      </c>
      <c r="AN172" t="s">
        <v>97</v>
      </c>
      <c r="AO172" s="5">
        <v>52.6871049412904</v>
      </c>
      <c r="AP172" s="5">
        <v>4E+20</v>
      </c>
      <c r="AQ172" s="5">
        <v>0</v>
      </c>
      <c r="AR172" s="5">
        <v>52.6871049412904</v>
      </c>
      <c r="AS172" s="5">
        <v>52.6871049412904</v>
      </c>
    </row>
    <row r="173" spans="2:45" x14ac:dyDescent="0.25">
      <c r="C173" t="s">
        <v>84</v>
      </c>
      <c r="D173" t="s">
        <v>80</v>
      </c>
      <c r="E173" s="5">
        <v>0</v>
      </c>
      <c r="F173" s="5">
        <v>1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923</v>
      </c>
      <c r="AL173" t="s">
        <v>348</v>
      </c>
      <c r="AM173" t="s">
        <v>287</v>
      </c>
      <c r="AN173" t="s">
        <v>97</v>
      </c>
      <c r="AO173" s="5">
        <v>0</v>
      </c>
      <c r="AP173" s="5">
        <v>4E+20</v>
      </c>
      <c r="AQ173" s="5">
        <v>0</v>
      </c>
      <c r="AR173" s="5">
        <v>0</v>
      </c>
      <c r="AS173" s="5">
        <v>0</v>
      </c>
    </row>
    <row r="174" spans="2:45" x14ac:dyDescent="0.25">
      <c r="C174" t="s">
        <v>86</v>
      </c>
      <c r="D174" t="s">
        <v>80</v>
      </c>
      <c r="E174" s="5">
        <v>0</v>
      </c>
      <c r="F174" s="5">
        <v>1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923</v>
      </c>
      <c r="AL174" t="s">
        <v>349</v>
      </c>
      <c r="AM174" t="s">
        <v>289</v>
      </c>
      <c r="AN174" t="s">
        <v>97</v>
      </c>
      <c r="AO174" s="5">
        <v>6.7041992346972803</v>
      </c>
      <c r="AP174" s="5">
        <v>4E+20</v>
      </c>
      <c r="AQ174" s="5">
        <v>0</v>
      </c>
      <c r="AR174" s="5">
        <v>6.7041992346972803</v>
      </c>
      <c r="AS174" s="5">
        <v>6.7041992346972803</v>
      </c>
    </row>
    <row r="175" spans="2:45" x14ac:dyDescent="0.25">
      <c r="C175" t="s">
        <v>88</v>
      </c>
      <c r="D175" t="s">
        <v>80</v>
      </c>
      <c r="E175" s="5">
        <v>0</v>
      </c>
      <c r="F175" s="5">
        <v>1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923</v>
      </c>
      <c r="AL175" t="s">
        <v>350</v>
      </c>
      <c r="AM175" t="s">
        <v>291</v>
      </c>
      <c r="AN175" t="s">
        <v>97</v>
      </c>
      <c r="AO175" s="5">
        <v>0</v>
      </c>
      <c r="AP175" s="5">
        <v>4E+20</v>
      </c>
      <c r="AQ175" s="5">
        <v>0</v>
      </c>
      <c r="AR175" s="5">
        <v>0</v>
      </c>
      <c r="AS175" s="5">
        <v>0</v>
      </c>
    </row>
    <row r="176" spans="2:45" x14ac:dyDescent="0.25">
      <c r="C176" t="s">
        <v>90</v>
      </c>
      <c r="D176" t="s">
        <v>80</v>
      </c>
      <c r="E176" s="5">
        <v>0</v>
      </c>
      <c r="F176" s="5">
        <v>1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923</v>
      </c>
      <c r="AL176" t="s">
        <v>351</v>
      </c>
      <c r="AM176" t="s">
        <v>293</v>
      </c>
      <c r="AN176" t="s">
        <v>97</v>
      </c>
      <c r="AO176" s="5">
        <v>3.98305807260558</v>
      </c>
      <c r="AP176" s="5">
        <v>4E+20</v>
      </c>
      <c r="AQ176" s="5">
        <v>0</v>
      </c>
      <c r="AR176" s="5">
        <v>3.98305807260558</v>
      </c>
      <c r="AS176" s="5">
        <v>3.98305807260558</v>
      </c>
    </row>
    <row r="177" spans="38:45" x14ac:dyDescent="0.25">
      <c r="AL177" t="s">
        <v>352</v>
      </c>
      <c r="AM177" t="s">
        <v>187</v>
      </c>
      <c r="AN177" t="s">
        <v>97</v>
      </c>
      <c r="AO177" s="5">
        <v>2014</v>
      </c>
      <c r="AP177" s="5">
        <v>4E+20</v>
      </c>
      <c r="AQ177" s="5">
        <v>0</v>
      </c>
      <c r="AR177" s="5">
        <v>2014</v>
      </c>
      <c r="AS177" s="5">
        <v>2014</v>
      </c>
    </row>
    <row r="178" spans="38:45" x14ac:dyDescent="0.25">
      <c r="AL178" t="s">
        <v>353</v>
      </c>
      <c r="AM178" t="s">
        <v>189</v>
      </c>
      <c r="AN178" t="s">
        <v>97</v>
      </c>
      <c r="AO178" s="5">
        <v>2013</v>
      </c>
      <c r="AP178" s="5">
        <v>4E+20</v>
      </c>
      <c r="AQ178" s="5">
        <v>0</v>
      </c>
      <c r="AR178" s="5">
        <v>2013</v>
      </c>
      <c r="AS178" s="5">
        <v>2013</v>
      </c>
    </row>
    <row r="179" spans="38:45" x14ac:dyDescent="0.25">
      <c r="AL179" t="s">
        <v>354</v>
      </c>
      <c r="AM179" t="s">
        <v>297</v>
      </c>
      <c r="AN179" t="s">
        <v>97</v>
      </c>
      <c r="AO179" s="5">
        <v>0</v>
      </c>
      <c r="AP179" s="5">
        <v>4E+20</v>
      </c>
      <c r="AQ179" s="5">
        <v>0</v>
      </c>
      <c r="AR179" s="5">
        <v>0</v>
      </c>
      <c r="AS179" s="5">
        <v>0</v>
      </c>
    </row>
    <row r="180" spans="38:45" x14ac:dyDescent="0.25">
      <c r="AL180" t="s">
        <v>355</v>
      </c>
      <c r="AM180" t="s">
        <v>299</v>
      </c>
      <c r="AN180" t="s">
        <v>97</v>
      </c>
      <c r="AO180" s="5">
        <v>10.6872573073029</v>
      </c>
      <c r="AP180" s="5">
        <v>4E+20</v>
      </c>
      <c r="AQ180" s="5">
        <v>0</v>
      </c>
      <c r="AR180" s="5">
        <v>10.6872573073029</v>
      </c>
      <c r="AS180" s="5">
        <v>10.6872573073029</v>
      </c>
    </row>
    <row r="181" spans="38:45" x14ac:dyDescent="0.25">
      <c r="AL181" t="s">
        <v>356</v>
      </c>
      <c r="AM181" t="s">
        <v>287</v>
      </c>
      <c r="AN181" t="s">
        <v>97</v>
      </c>
      <c r="AO181" s="5">
        <v>0</v>
      </c>
      <c r="AP181" s="5">
        <v>4E+20</v>
      </c>
      <c r="AQ181" s="5">
        <v>0</v>
      </c>
      <c r="AR181" s="5">
        <v>0</v>
      </c>
      <c r="AS181" s="5">
        <v>0</v>
      </c>
    </row>
    <row r="182" spans="38:45" x14ac:dyDescent="0.25">
      <c r="AL182" t="s">
        <v>357</v>
      </c>
      <c r="AM182" t="s">
        <v>289</v>
      </c>
      <c r="AN182" t="s">
        <v>97</v>
      </c>
      <c r="AO182" s="5">
        <v>12.1118020201568</v>
      </c>
      <c r="AP182" s="5">
        <v>4E+20</v>
      </c>
      <c r="AQ182" s="5">
        <v>0</v>
      </c>
      <c r="AR182" s="5">
        <v>12.1118020201568</v>
      </c>
      <c r="AS182" s="5">
        <v>12.1118020201568</v>
      </c>
    </row>
    <row r="183" spans="38:45" x14ac:dyDescent="0.25">
      <c r="AL183" t="s">
        <v>358</v>
      </c>
      <c r="AM183" t="s">
        <v>291</v>
      </c>
      <c r="AN183" t="s">
        <v>97</v>
      </c>
      <c r="AO183" s="5">
        <v>0</v>
      </c>
      <c r="AP183" s="5">
        <v>4E+20</v>
      </c>
      <c r="AQ183" s="5">
        <v>0</v>
      </c>
      <c r="AR183" s="5">
        <v>0</v>
      </c>
      <c r="AS183" s="5">
        <v>0</v>
      </c>
    </row>
    <row r="184" spans="38:45" x14ac:dyDescent="0.25">
      <c r="AL184" t="s">
        <v>359</v>
      </c>
      <c r="AM184" t="s">
        <v>293</v>
      </c>
      <c r="AN184" t="s">
        <v>97</v>
      </c>
      <c r="AO184" s="5">
        <v>43.764656889134301</v>
      </c>
      <c r="AP184" s="5">
        <v>4E+20</v>
      </c>
      <c r="AQ184" s="5">
        <v>0</v>
      </c>
      <c r="AR184" s="5">
        <v>43.764656889134301</v>
      </c>
      <c r="AS184" s="5">
        <v>43.764656889134301</v>
      </c>
    </row>
    <row r="185" spans="38:45" x14ac:dyDescent="0.25">
      <c r="AL185" t="s">
        <v>360</v>
      </c>
      <c r="AM185" t="s">
        <v>187</v>
      </c>
      <c r="AN185" t="s">
        <v>97</v>
      </c>
      <c r="AO185" s="5">
        <v>8699</v>
      </c>
      <c r="AP185" s="5">
        <v>4E+20</v>
      </c>
      <c r="AQ185" s="5">
        <v>0</v>
      </c>
      <c r="AR185" s="5">
        <v>8699</v>
      </c>
      <c r="AS185" s="5">
        <v>8699</v>
      </c>
    </row>
    <row r="186" spans="38:45" x14ac:dyDescent="0.25">
      <c r="AL186" t="s">
        <v>361</v>
      </c>
      <c r="AM186" t="s">
        <v>189</v>
      </c>
      <c r="AN186" t="s">
        <v>97</v>
      </c>
      <c r="AO186" s="5">
        <v>8698</v>
      </c>
      <c r="AP186" s="5">
        <v>4E+20</v>
      </c>
      <c r="AQ186" s="5">
        <v>0</v>
      </c>
      <c r="AR186" s="5">
        <v>8698</v>
      </c>
      <c r="AS186" s="5">
        <v>8698</v>
      </c>
    </row>
    <row r="187" spans="38:45" x14ac:dyDescent="0.25">
      <c r="AL187" t="s">
        <v>362</v>
      </c>
      <c r="AM187" t="s">
        <v>297</v>
      </c>
      <c r="AN187" t="s">
        <v>97</v>
      </c>
      <c r="AO187" s="5">
        <v>0</v>
      </c>
      <c r="AP187" s="5">
        <v>4E+20</v>
      </c>
      <c r="AQ187" s="5">
        <v>0</v>
      </c>
      <c r="AR187" s="5">
        <v>0</v>
      </c>
      <c r="AS187" s="5">
        <v>0</v>
      </c>
    </row>
    <row r="188" spans="38:45" x14ac:dyDescent="0.25">
      <c r="AL188" t="s">
        <v>363</v>
      </c>
      <c r="AM188" t="s">
        <v>299</v>
      </c>
      <c r="AN188" t="s">
        <v>97</v>
      </c>
      <c r="AO188" s="5">
        <v>55.876458909291102</v>
      </c>
      <c r="AP188" s="5">
        <v>4E+20</v>
      </c>
      <c r="AQ188" s="5">
        <v>0</v>
      </c>
      <c r="AR188" s="5">
        <v>55.876458909291102</v>
      </c>
      <c r="AS188" s="5">
        <v>55.876458909291102</v>
      </c>
    </row>
    <row r="189" spans="38:45" x14ac:dyDescent="0.25">
      <c r="AL189" t="s">
        <v>364</v>
      </c>
      <c r="AM189" t="s">
        <v>287</v>
      </c>
      <c r="AN189" t="s">
        <v>97</v>
      </c>
      <c r="AO189" s="5">
        <v>0</v>
      </c>
      <c r="AP189" s="5">
        <v>4E+20</v>
      </c>
      <c r="AQ189" s="5">
        <v>0</v>
      </c>
      <c r="AR189" s="5">
        <v>0</v>
      </c>
      <c r="AS189" s="5">
        <v>0</v>
      </c>
    </row>
    <row r="190" spans="38:45" x14ac:dyDescent="0.25">
      <c r="AL190" t="s">
        <v>365</v>
      </c>
      <c r="AM190" t="s">
        <v>289</v>
      </c>
      <c r="AN190" t="s">
        <v>97</v>
      </c>
      <c r="AO190" s="5">
        <v>13.6970430385252</v>
      </c>
      <c r="AP190" s="5">
        <v>4E+20</v>
      </c>
      <c r="AQ190" s="5">
        <v>0</v>
      </c>
      <c r="AR190" s="5">
        <v>13.6970430385252</v>
      </c>
      <c r="AS190" s="5">
        <v>13.6970430385252</v>
      </c>
    </row>
    <row r="191" spans="38:45" x14ac:dyDescent="0.25">
      <c r="AL191" t="s">
        <v>366</v>
      </c>
      <c r="AM191" t="s">
        <v>291</v>
      </c>
      <c r="AN191" t="s">
        <v>97</v>
      </c>
      <c r="AO191" s="5">
        <v>0</v>
      </c>
      <c r="AP191" s="5">
        <v>4E+20</v>
      </c>
      <c r="AQ191" s="5">
        <v>0</v>
      </c>
      <c r="AR191" s="5">
        <v>0</v>
      </c>
      <c r="AS191" s="5">
        <v>0</v>
      </c>
    </row>
    <row r="192" spans="38:45" x14ac:dyDescent="0.25">
      <c r="AL192" t="s">
        <v>367</v>
      </c>
      <c r="AM192" t="s">
        <v>293</v>
      </c>
      <c r="AN192" t="s">
        <v>97</v>
      </c>
      <c r="AO192" s="5">
        <v>9.9514208489188292</v>
      </c>
      <c r="AP192" s="5">
        <v>4E+20</v>
      </c>
      <c r="AQ192" s="5">
        <v>0</v>
      </c>
      <c r="AR192" s="5">
        <v>9.9514208489188292</v>
      </c>
      <c r="AS192" s="5">
        <v>9.9514208489188292</v>
      </c>
    </row>
    <row r="193" spans="38:45" x14ac:dyDescent="0.25">
      <c r="AL193" t="s">
        <v>368</v>
      </c>
      <c r="AM193" t="s">
        <v>187</v>
      </c>
      <c r="AN193" t="s">
        <v>97</v>
      </c>
      <c r="AO193" s="5">
        <v>8695</v>
      </c>
      <c r="AP193" s="5">
        <v>4E+20</v>
      </c>
      <c r="AQ193" s="5">
        <v>0</v>
      </c>
      <c r="AR193" s="5">
        <v>8695</v>
      </c>
      <c r="AS193" s="5">
        <v>8695</v>
      </c>
    </row>
    <row r="194" spans="38:45" x14ac:dyDescent="0.25">
      <c r="AL194" t="s">
        <v>369</v>
      </c>
      <c r="AM194" t="s">
        <v>189</v>
      </c>
      <c r="AN194" t="s">
        <v>97</v>
      </c>
      <c r="AO194" s="5">
        <v>8694</v>
      </c>
      <c r="AP194" s="5">
        <v>4E+20</v>
      </c>
      <c r="AQ194" s="5">
        <v>0</v>
      </c>
      <c r="AR194" s="5">
        <v>8694</v>
      </c>
      <c r="AS194" s="5">
        <v>8694</v>
      </c>
    </row>
    <row r="195" spans="38:45" x14ac:dyDescent="0.25">
      <c r="AL195" t="s">
        <v>370</v>
      </c>
      <c r="AM195" t="s">
        <v>297</v>
      </c>
      <c r="AN195" t="s">
        <v>97</v>
      </c>
      <c r="AO195" s="5">
        <v>0</v>
      </c>
      <c r="AP195" s="5">
        <v>4E+20</v>
      </c>
      <c r="AQ195" s="5">
        <v>0</v>
      </c>
      <c r="AR195" s="5">
        <v>0</v>
      </c>
      <c r="AS195" s="5">
        <v>0</v>
      </c>
    </row>
    <row r="196" spans="38:45" x14ac:dyDescent="0.25">
      <c r="AL196" t="s">
        <v>371</v>
      </c>
      <c r="AM196" t="s">
        <v>299</v>
      </c>
      <c r="AN196" t="s">
        <v>97</v>
      </c>
      <c r="AO196" s="5">
        <v>23.648463887443999</v>
      </c>
      <c r="AP196" s="5">
        <v>4E+20</v>
      </c>
      <c r="AQ196" s="5">
        <v>0</v>
      </c>
      <c r="AR196" s="5">
        <v>23.648463887443999</v>
      </c>
      <c r="AS196" s="5">
        <v>23.648463887443999</v>
      </c>
    </row>
    <row r="197" spans="38:45" x14ac:dyDescent="0.25">
      <c r="AL197" t="s">
        <v>372</v>
      </c>
      <c r="AM197" t="s">
        <v>173</v>
      </c>
      <c r="AN197" t="s">
        <v>136</v>
      </c>
      <c r="AO197" s="5">
        <v>0</v>
      </c>
      <c r="AP197" s="5">
        <v>4E+20</v>
      </c>
      <c r="AQ197" s="5">
        <v>0</v>
      </c>
      <c r="AR197" s="5">
        <v>0</v>
      </c>
      <c r="AS197" s="5">
        <v>0</v>
      </c>
    </row>
    <row r="198" spans="38:45" x14ac:dyDescent="0.25">
      <c r="AL198" t="s">
        <v>373</v>
      </c>
      <c r="AM198" t="s">
        <v>175</v>
      </c>
      <c r="AN198" t="s">
        <v>136</v>
      </c>
      <c r="AO198" s="5">
        <v>0</v>
      </c>
      <c r="AP198" s="5">
        <v>4E+20</v>
      </c>
      <c r="AQ198" s="5">
        <v>0</v>
      </c>
      <c r="AR198" s="5">
        <v>0</v>
      </c>
      <c r="AS198" s="5">
        <v>0</v>
      </c>
    </row>
    <row r="199" spans="38:45" x14ac:dyDescent="0.25">
      <c r="AL199" t="s">
        <v>374</v>
      </c>
      <c r="AM199" t="s">
        <v>182</v>
      </c>
      <c r="AN199" t="s">
        <v>136</v>
      </c>
      <c r="AO199" s="5">
        <v>0</v>
      </c>
      <c r="AP199" s="5">
        <v>4E+20</v>
      </c>
      <c r="AQ199" s="5">
        <v>0</v>
      </c>
      <c r="AR199" s="5">
        <v>0</v>
      </c>
      <c r="AS199" s="5">
        <v>0</v>
      </c>
    </row>
    <row r="200" spans="38:45" x14ac:dyDescent="0.25">
      <c r="AL200" t="s">
        <v>375</v>
      </c>
      <c r="AM200" t="s">
        <v>184</v>
      </c>
      <c r="AN200" t="s">
        <v>136</v>
      </c>
      <c r="AO200" s="5">
        <v>0</v>
      </c>
      <c r="AP200" s="5">
        <v>4E+20</v>
      </c>
      <c r="AQ200" s="5">
        <v>0</v>
      </c>
      <c r="AR200" s="5">
        <v>0</v>
      </c>
      <c r="AS200" s="5">
        <v>0</v>
      </c>
    </row>
    <row r="201" spans="38:45" x14ac:dyDescent="0.25">
      <c r="AL201" t="s">
        <v>376</v>
      </c>
      <c r="AM201" t="s">
        <v>178</v>
      </c>
      <c r="AN201" t="s">
        <v>136</v>
      </c>
      <c r="AO201" s="5">
        <v>0</v>
      </c>
      <c r="AP201" s="5">
        <v>4E+20</v>
      </c>
      <c r="AQ201" s="5">
        <v>0</v>
      </c>
      <c r="AR201" s="5">
        <v>0</v>
      </c>
      <c r="AS201" s="5">
        <v>0</v>
      </c>
    </row>
    <row r="202" spans="38:45" x14ac:dyDescent="0.25">
      <c r="AL202" t="s">
        <v>377</v>
      </c>
      <c r="AM202" t="s">
        <v>173</v>
      </c>
      <c r="AN202" t="s">
        <v>136</v>
      </c>
      <c r="AO202" s="5">
        <v>0</v>
      </c>
      <c r="AP202" s="5">
        <v>4E+20</v>
      </c>
      <c r="AQ202" s="5">
        <v>0</v>
      </c>
      <c r="AR202" s="5">
        <v>0</v>
      </c>
      <c r="AS202" s="5">
        <v>0</v>
      </c>
    </row>
    <row r="203" spans="38:45" x14ac:dyDescent="0.25">
      <c r="AL203" t="s">
        <v>378</v>
      </c>
      <c r="AM203" t="s">
        <v>175</v>
      </c>
      <c r="AN203" t="s">
        <v>136</v>
      </c>
      <c r="AO203" s="5">
        <v>0</v>
      </c>
      <c r="AP203" s="5">
        <v>4E+20</v>
      </c>
      <c r="AQ203" s="5">
        <v>0</v>
      </c>
      <c r="AR203" s="5">
        <v>0</v>
      </c>
      <c r="AS203" s="5">
        <v>0</v>
      </c>
    </row>
    <row r="204" spans="38:45" x14ac:dyDescent="0.25">
      <c r="AL204" t="s">
        <v>379</v>
      </c>
      <c r="AM204" t="s">
        <v>182</v>
      </c>
      <c r="AN204" t="s">
        <v>136</v>
      </c>
      <c r="AO204" s="5">
        <v>14</v>
      </c>
      <c r="AP204" s="5">
        <v>4E+20</v>
      </c>
      <c r="AQ204" s="5">
        <v>0</v>
      </c>
      <c r="AR204" s="5">
        <v>14</v>
      </c>
      <c r="AS204" s="5">
        <v>14</v>
      </c>
    </row>
    <row r="205" spans="38:45" x14ac:dyDescent="0.25">
      <c r="AL205" t="s">
        <v>380</v>
      </c>
      <c r="AM205" t="s">
        <v>184</v>
      </c>
      <c r="AN205" t="s">
        <v>136</v>
      </c>
      <c r="AO205" s="5">
        <v>7.3988940102363898E-2</v>
      </c>
      <c r="AP205" s="5">
        <v>4E+20</v>
      </c>
      <c r="AQ205" s="5">
        <v>0</v>
      </c>
      <c r="AR205" s="5">
        <v>7.3988940102363898E-2</v>
      </c>
      <c r="AS205" s="5">
        <v>7.3988940102363898E-2</v>
      </c>
    </row>
    <row r="206" spans="38:45" x14ac:dyDescent="0.25">
      <c r="AL206" t="s">
        <v>381</v>
      </c>
      <c r="AM206" t="s">
        <v>178</v>
      </c>
      <c r="AN206" t="s">
        <v>136</v>
      </c>
      <c r="AO206" s="5">
        <v>0</v>
      </c>
      <c r="AP206" s="5">
        <v>4E+20</v>
      </c>
      <c r="AQ206" s="5">
        <v>0</v>
      </c>
      <c r="AR206" s="5">
        <v>0</v>
      </c>
      <c r="AS206" s="5">
        <v>0</v>
      </c>
    </row>
    <row r="207" spans="38:45" x14ac:dyDescent="0.25">
      <c r="AL207" t="s">
        <v>383</v>
      </c>
      <c r="AM207" t="s">
        <v>84</v>
      </c>
      <c r="AN207" t="s">
        <v>165</v>
      </c>
      <c r="AO207" s="5">
        <v>0</v>
      </c>
      <c r="AP207" s="5">
        <v>4E+20</v>
      </c>
      <c r="AQ207" s="5">
        <v>0</v>
      </c>
      <c r="AR207" s="5">
        <v>0</v>
      </c>
      <c r="AS207" s="5">
        <v>0</v>
      </c>
    </row>
    <row r="208" spans="38:45" x14ac:dyDescent="0.25">
      <c r="AL208" t="s">
        <v>384</v>
      </c>
      <c r="AM208" t="s">
        <v>187</v>
      </c>
      <c r="AN208" t="s">
        <v>80</v>
      </c>
      <c r="AO208" s="5">
        <v>923</v>
      </c>
      <c r="AP208" s="5">
        <v>4E+20</v>
      </c>
      <c r="AQ208" s="5">
        <v>0</v>
      </c>
      <c r="AR208" s="5">
        <v>923</v>
      </c>
      <c r="AS208" s="5">
        <v>923</v>
      </c>
    </row>
    <row r="209" spans="38:45" x14ac:dyDescent="0.25">
      <c r="AL209" t="s">
        <v>385</v>
      </c>
      <c r="AM209" t="s">
        <v>189</v>
      </c>
      <c r="AN209" t="s">
        <v>80</v>
      </c>
      <c r="AO209" s="5">
        <v>923</v>
      </c>
      <c r="AP209" s="5">
        <v>4E+20</v>
      </c>
      <c r="AQ209" s="5">
        <v>0</v>
      </c>
      <c r="AR209" s="5">
        <v>923</v>
      </c>
      <c r="AS209" s="5">
        <v>923</v>
      </c>
    </row>
    <row r="210" spans="38:45" x14ac:dyDescent="0.25">
      <c r="AL210" t="s">
        <v>386</v>
      </c>
      <c r="AM210" t="s">
        <v>287</v>
      </c>
      <c r="AN210" t="s">
        <v>97</v>
      </c>
      <c r="AO210" s="5">
        <v>0</v>
      </c>
      <c r="AP210" s="5">
        <v>4E+20</v>
      </c>
      <c r="AQ210" s="5">
        <v>0</v>
      </c>
      <c r="AR210" s="5">
        <v>0</v>
      </c>
      <c r="AS210" s="5">
        <v>0</v>
      </c>
    </row>
    <row r="211" spans="38:45" x14ac:dyDescent="0.25">
      <c r="AL211" t="s">
        <v>387</v>
      </c>
      <c r="AM211" t="s">
        <v>289</v>
      </c>
      <c r="AN211" t="s">
        <v>97</v>
      </c>
      <c r="AO211" s="5">
        <v>1.77573456245673</v>
      </c>
      <c r="AP211" s="5">
        <v>4E+20</v>
      </c>
      <c r="AQ211" s="5">
        <v>0</v>
      </c>
      <c r="AR211" s="5">
        <v>1.77573456245673</v>
      </c>
      <c r="AS211" s="5">
        <v>1.77573456245673</v>
      </c>
    </row>
    <row r="212" spans="38:45" x14ac:dyDescent="0.25">
      <c r="AL212" t="s">
        <v>388</v>
      </c>
      <c r="AM212" t="s">
        <v>291</v>
      </c>
      <c r="AN212" t="s">
        <v>97</v>
      </c>
      <c r="AO212" s="5">
        <v>0</v>
      </c>
      <c r="AP212" s="5">
        <v>4E+20</v>
      </c>
      <c r="AQ212" s="5">
        <v>0</v>
      </c>
      <c r="AR212" s="5">
        <v>0</v>
      </c>
      <c r="AS212" s="5">
        <v>0</v>
      </c>
    </row>
    <row r="213" spans="38:45" x14ac:dyDescent="0.25">
      <c r="AL213" t="s">
        <v>389</v>
      </c>
      <c r="AM213" t="s">
        <v>293</v>
      </c>
      <c r="AN213" t="s">
        <v>97</v>
      </c>
      <c r="AO213" s="5">
        <v>0.30130563522900999</v>
      </c>
      <c r="AP213" s="5">
        <v>4E+20</v>
      </c>
      <c r="AQ213" s="5">
        <v>0</v>
      </c>
      <c r="AR213" s="5">
        <v>0.30130563522900999</v>
      </c>
      <c r="AS213" s="5">
        <v>0.30130563522900999</v>
      </c>
    </row>
    <row r="214" spans="38:45" x14ac:dyDescent="0.25">
      <c r="AL214" t="s">
        <v>390</v>
      </c>
      <c r="AM214" t="s">
        <v>187</v>
      </c>
      <c r="AN214" t="s">
        <v>97</v>
      </c>
      <c r="AO214" s="5">
        <v>14</v>
      </c>
      <c r="AP214" s="5">
        <v>4E+20</v>
      </c>
      <c r="AQ214" s="5">
        <v>0</v>
      </c>
      <c r="AR214" s="5">
        <v>14</v>
      </c>
      <c r="AS214" s="5">
        <v>14</v>
      </c>
    </row>
    <row r="215" spans="38:45" x14ac:dyDescent="0.25">
      <c r="AL215" t="s">
        <v>391</v>
      </c>
      <c r="AM215" t="s">
        <v>189</v>
      </c>
      <c r="AN215" t="s">
        <v>97</v>
      </c>
      <c r="AO215" s="5">
        <v>14</v>
      </c>
      <c r="AP215" s="5">
        <v>4E+20</v>
      </c>
      <c r="AQ215" s="5">
        <v>0</v>
      </c>
      <c r="AR215" s="5">
        <v>14</v>
      </c>
      <c r="AS215" s="5">
        <v>14</v>
      </c>
    </row>
    <row r="216" spans="38:45" x14ac:dyDescent="0.25">
      <c r="AL216" t="s">
        <v>392</v>
      </c>
      <c r="AM216" t="s">
        <v>297</v>
      </c>
      <c r="AN216" t="s">
        <v>97</v>
      </c>
      <c r="AO216" s="5">
        <v>0</v>
      </c>
      <c r="AP216" s="5">
        <v>4E+20</v>
      </c>
      <c r="AQ216" s="5">
        <v>0</v>
      </c>
      <c r="AR216" s="5">
        <v>0</v>
      </c>
      <c r="AS216" s="5">
        <v>0</v>
      </c>
    </row>
    <row r="217" spans="38:45" x14ac:dyDescent="0.25">
      <c r="AL217" t="s">
        <v>393</v>
      </c>
      <c r="AM217" t="s">
        <v>299</v>
      </c>
      <c r="AN217" t="s">
        <v>97</v>
      </c>
      <c r="AO217" s="5">
        <v>2.07704019768574</v>
      </c>
      <c r="AP217" s="5">
        <v>4E+20</v>
      </c>
      <c r="AQ217" s="5">
        <v>0</v>
      </c>
      <c r="AR217" s="5">
        <v>2.07704019768574</v>
      </c>
      <c r="AS217" s="5">
        <v>2.07704019768574</v>
      </c>
    </row>
  </sheetData>
  <dataConsolidate/>
  <conditionalFormatting pivot="1" sqref="G3:G176">
    <cfRule type="expression" dxfId="31" priority="14">
      <formula>G3=200000000000000000000</formula>
    </cfRule>
  </conditionalFormatting>
  <conditionalFormatting pivot="1" sqref="T3:T94">
    <cfRule type="expression" dxfId="30" priority="13">
      <formula>T3=200000000000000000000</formula>
    </cfRule>
  </conditionalFormatting>
  <conditionalFormatting pivot="1" sqref="T3:T94">
    <cfRule type="expression" dxfId="29" priority="12">
      <formula>T3=300000000000000000000</formula>
    </cfRule>
  </conditionalFormatting>
  <conditionalFormatting pivot="1" sqref="G3:G176">
    <cfRule type="expression" dxfId="28" priority="11">
      <formula>G3=300000000000000000000</formula>
    </cfRule>
  </conditionalFormatting>
  <conditionalFormatting pivot="1" sqref="F3:F176">
    <cfRule type="expression" dxfId="27" priority="10">
      <formula>F3=0</formula>
    </cfRule>
  </conditionalFormatting>
  <conditionalFormatting pivot="1" sqref="F3:F176">
    <cfRule type="expression" dxfId="26" priority="9">
      <formula>F3=1</formula>
    </cfRule>
  </conditionalFormatting>
  <conditionalFormatting pivot="1" sqref="T3:T94">
    <cfRule type="expression" dxfId="25" priority="8">
      <formula>T3=400000000000000000000</formula>
    </cfRule>
  </conditionalFormatting>
  <conditionalFormatting pivot="1" sqref="AP3:AP21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7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75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1.8554687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6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0</v>
      </c>
      <c r="I2">
        <v>0</v>
      </c>
      <c r="J2">
        <v>0</v>
      </c>
      <c r="K2">
        <v>2769</v>
      </c>
      <c r="L2" t="str">
        <f>DiscreteStatsTable[[#This Row],[ProjectName]]&amp;DiscreteStatsTable[[#This Row],[Name]]&amp;DiscreteStatsTable[[#This Row],[Type]]&amp;DiscreteStatsTable[[#This Row],[Source]]</f>
        <v>Unnamed ProjectAssembly Batch.QueueWaiting CostQueue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2769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6.1187786182283601E-3</v>
      </c>
      <c r="H3">
        <v>1.6989642477940299E-3</v>
      </c>
      <c r="I3">
        <v>0</v>
      </c>
      <c r="J3">
        <v>1.00933579764523</v>
      </c>
      <c r="K3">
        <v>2769</v>
      </c>
      <c r="L3" t="str">
        <f>DiscreteStatsTable[[#This Row],[ProjectName]]&amp;DiscreteStatsTable[[#This Row],[Name]]&amp;DiscreteStatsTable[[#This Row],[Type]]&amp;DiscreteStatsTable[[#This Row],[Source]]</f>
        <v>Unnamed ProjectAssembly Batch.QueueWaiting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6.1187786182283601E-3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6.1187786182283601E-3</v>
      </c>
      <c r="S3" cm="1">
        <f t="array" ref="S3">MAX(IF((DiscreteStatsTable[GroupByKey]=DiscreteStatsTable[[#This Row],[GroupByKey]]),(DiscreteStatsTable[GroupByKey]=DiscreteStatsTable[[#This Row],[GroupByKey]])*DiscreteStatsTable[Average]))</f>
        <v>6.1187786182283601E-3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1.00933579764523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2769</v>
      </c>
      <c r="W3">
        <f>IF((DiscreteStatsTable[[#This Row],[RepsRequested]]&gt;1),DiscreteStatsTable[[#This Row],[HalfWidth]],DiscreteStatsTable[[#This Row],[BatchMeansHalfWidth]])</f>
        <v>1.6989642477940299E-3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75</v>
      </c>
      <c r="E4" t="s">
        <v>72</v>
      </c>
      <c r="F4" t="s">
        <v>73</v>
      </c>
      <c r="G4">
        <v>0</v>
      </c>
      <c r="H4">
        <v>0</v>
      </c>
      <c r="I4">
        <v>0</v>
      </c>
      <c r="J4">
        <v>0</v>
      </c>
      <c r="K4">
        <v>4192</v>
      </c>
      <c r="L4" t="str">
        <f>DiscreteStatsTable[[#This Row],[ProjectName]]&amp;DiscreteStatsTable[[#This Row],[Name]]&amp;DiscreteStatsTable[[#This Row],[Type]]&amp;DiscreteStatsTable[[#This Row],[Source]]</f>
        <v>Unnamed ProjectBatch 2.QueueWaiting CostQueue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4192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75</v>
      </c>
      <c r="E5" t="s">
        <v>74</v>
      </c>
      <c r="F5" t="s">
        <v>73</v>
      </c>
      <c r="G5">
        <v>1.9150069138842199E-3</v>
      </c>
      <c r="H5">
        <v>4.9625924607949595E-4</v>
      </c>
      <c r="I5">
        <v>0</v>
      </c>
      <c r="J5">
        <v>1.0030500517329699</v>
      </c>
      <c r="K5">
        <v>4192</v>
      </c>
      <c r="L5" t="str">
        <f>DiscreteStatsTable[[#This Row],[ProjectName]]&amp;DiscreteStatsTable[[#This Row],[Name]]&amp;DiscreteStatsTable[[#This Row],[Type]]&amp;DiscreteStatsTable[[#This Row],[Source]]</f>
        <v>Unnamed ProjectBatch 2.QueueWaiting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1.9150069138842199E-3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1.9150069138842199E-3</v>
      </c>
      <c r="S5" cm="1">
        <f t="array" ref="S5">MAX(IF((DiscreteStatsTable[GroupByKey]=DiscreteStatsTable[[#This Row],[GroupByKey]]),(DiscreteStatsTable[GroupByKey]=DiscreteStatsTable[[#This Row],[GroupByKey]])*DiscreteStatsTable[Average]))</f>
        <v>1.9150069138842199E-3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1.0030500517329699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4192</v>
      </c>
      <c r="W5">
        <f>IF((DiscreteStatsTable[[#This Row],[RepsRequested]]&gt;1),DiscreteStatsTable[[#This Row],[HalfWidth]],DiscreteStatsTable[[#This Row],[BatchMeansHalfWidth]])</f>
        <v>4.9625924607949595E-4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76</v>
      </c>
      <c r="E6" t="s">
        <v>72</v>
      </c>
      <c r="F6" t="s">
        <v>73</v>
      </c>
      <c r="G6">
        <v>0</v>
      </c>
      <c r="H6">
        <v>0</v>
      </c>
      <c r="I6">
        <v>0</v>
      </c>
      <c r="J6">
        <v>0</v>
      </c>
      <c r="K6">
        <v>8694</v>
      </c>
      <c r="L6" t="str">
        <f>DiscreteStatsTable[[#This Row],[ProjectName]]&amp;DiscreteStatsTable[[#This Row],[Name]]&amp;DiscreteStatsTable[[#This Row],[Type]]&amp;DiscreteStatsTable[[#This Row],[Source]]</f>
        <v>Unnamed ProjectBatch 3.QueueWaiting CostQueue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8694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76</v>
      </c>
      <c r="E7" t="s">
        <v>74</v>
      </c>
      <c r="F7" t="s">
        <v>73</v>
      </c>
      <c r="G7">
        <v>9.2100499442435298E-4</v>
      </c>
      <c r="H7">
        <v>2.4130090306216401E-4</v>
      </c>
      <c r="I7">
        <v>0</v>
      </c>
      <c r="J7">
        <v>1.00145322527628</v>
      </c>
      <c r="K7">
        <v>8694</v>
      </c>
      <c r="L7" t="str">
        <f>DiscreteStatsTable[[#This Row],[ProjectName]]&amp;DiscreteStatsTable[[#This Row],[Name]]&amp;DiscreteStatsTable[[#This Row],[Type]]&amp;DiscreteStatsTable[[#This Row],[Source]]</f>
        <v>Unnamed ProjectBatch 3.QueueWaiting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9.2100499442435298E-4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9.2100499442435298E-4</v>
      </c>
      <c r="S7" cm="1">
        <f t="array" ref="S7">MAX(IF((DiscreteStatsTable[GroupByKey]=DiscreteStatsTable[[#This Row],[GroupByKey]]),(DiscreteStatsTable[GroupByKey]=DiscreteStatsTable[[#This Row],[GroupByKey]])*DiscreteStatsTable[Average]))</f>
        <v>9.2100499442435298E-4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1.00145322527628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8694</v>
      </c>
      <c r="W7">
        <f>IF((DiscreteStatsTable[[#This Row],[RepsRequested]]&gt;1),DiscreteStatsTable[[#This Row],[HalfWidth]],DiscreteStatsTable[[#This Row],[BatchMeansHalfWidth]])</f>
        <v>2.4130090306216401E-4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77</v>
      </c>
      <c r="E8" t="s">
        <v>72</v>
      </c>
      <c r="F8" t="s">
        <v>73</v>
      </c>
      <c r="G8">
        <v>0</v>
      </c>
      <c r="H8">
        <v>0</v>
      </c>
      <c r="I8">
        <v>0</v>
      </c>
      <c r="J8">
        <v>0</v>
      </c>
      <c r="K8">
        <v>8454</v>
      </c>
      <c r="L8" t="str">
        <f>DiscreteStatsTable[[#This Row],[ProjectName]]&amp;DiscreteStatsTable[[#This Row],[Name]]&amp;DiscreteStatsTable[[#This Row],[Type]]&amp;DiscreteStatsTable[[#This Row],[Source]]</f>
        <v>Unnamed ProjectBatch 5.QueueWaiting CostQueue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8454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77</v>
      </c>
      <c r="E9" t="s">
        <v>74</v>
      </c>
      <c r="F9" t="s">
        <v>73</v>
      </c>
      <c r="G9">
        <v>1.8908440734168299E-3</v>
      </c>
      <c r="H9">
        <v>3.2950636737314202E-4</v>
      </c>
      <c r="I9">
        <v>0</v>
      </c>
      <c r="J9">
        <v>1.00313773952281</v>
      </c>
      <c r="K9">
        <v>8454</v>
      </c>
      <c r="L9" t="str">
        <f>DiscreteStatsTable[[#This Row],[ProjectName]]&amp;DiscreteStatsTable[[#This Row],[Name]]&amp;DiscreteStatsTable[[#This Row],[Type]]&amp;DiscreteStatsTable[[#This Row],[Source]]</f>
        <v>Unnamed ProjectBatch 5.QueueWaiting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1.8908440734168299E-3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1.8908440734168299E-3</v>
      </c>
      <c r="S9" cm="1">
        <f t="array" ref="S9">MAX(IF((DiscreteStatsTable[GroupByKey]=DiscreteStatsTable[[#This Row],[GroupByKey]]),(DiscreteStatsTable[GroupByKey]=DiscreteStatsTable[[#This Row],[GroupByKey]])*DiscreteStatsTable[Average]))</f>
        <v>1.8908440734168299E-3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1.00313773952281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8454</v>
      </c>
      <c r="W9">
        <f>IF((DiscreteStatsTable[[#This Row],[RepsRequested]]&gt;1),DiscreteStatsTable[[#This Row],[HalfWidth]],DiscreteStatsTable[[#This Row],[BatchMeansHalfWidth]])</f>
        <v>3.2950636737314202E-4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78</v>
      </c>
      <c r="E10" t="s">
        <v>79</v>
      </c>
      <c r="F10" t="s">
        <v>80</v>
      </c>
      <c r="G10">
        <v>0</v>
      </c>
      <c r="H10">
        <v>2E+20</v>
      </c>
      <c r="I10">
        <v>0</v>
      </c>
      <c r="J10">
        <v>0</v>
      </c>
      <c r="K10">
        <v>127</v>
      </c>
      <c r="L10" t="str">
        <f>DiscreteStatsTable[[#This Row],[ProjectName]]&amp;DiscreteStatsTable[[#This Row],[Name]]&amp;DiscreteStatsTable[[#This Row],[Type]]&amp;DiscreteStatsTable[[#This Row],[Source]]</f>
        <v>Unnamed ProjectCustomerNVA CostEntity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127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78</v>
      </c>
      <c r="E11" t="s">
        <v>81</v>
      </c>
      <c r="F11" t="s">
        <v>80</v>
      </c>
      <c r="G11">
        <v>0</v>
      </c>
      <c r="H11">
        <v>2E+20</v>
      </c>
      <c r="I11">
        <v>0</v>
      </c>
      <c r="J11">
        <v>0</v>
      </c>
      <c r="K11">
        <v>127</v>
      </c>
      <c r="L11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127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78</v>
      </c>
      <c r="E12" t="s">
        <v>82</v>
      </c>
      <c r="F12" t="s">
        <v>80</v>
      </c>
      <c r="G12">
        <v>0</v>
      </c>
      <c r="H12">
        <v>2E+20</v>
      </c>
      <c r="I12">
        <v>0</v>
      </c>
      <c r="J12">
        <v>0</v>
      </c>
      <c r="K12">
        <v>127</v>
      </c>
      <c r="L12" t="str">
        <f>DiscreteStatsTable[[#This Row],[ProjectName]]&amp;DiscreteStatsTable[[#This Row],[Name]]&amp;DiscreteStatsTable[[#This Row],[Type]]&amp;DiscreteStatsTable[[#This Row],[Source]]</f>
        <v>Unnamed ProjectCustomerOther CostEntity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127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1</v>
      </c>
      <c r="D13" t="s">
        <v>78</v>
      </c>
      <c r="E13" t="s">
        <v>83</v>
      </c>
      <c r="F13" t="s">
        <v>80</v>
      </c>
      <c r="G13">
        <v>0</v>
      </c>
      <c r="H13">
        <v>2E+20</v>
      </c>
      <c r="I13">
        <v>0</v>
      </c>
      <c r="J13">
        <v>0</v>
      </c>
      <c r="K13">
        <v>127</v>
      </c>
      <c r="L1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127</v>
      </c>
      <c r="W13">
        <f>IF((DiscreteStatsTable[[#This Row],[RepsRequested]]&gt;1),DiscreteStatsTable[[#This Row],[HalfWidth]],DiscreteStatsTable[[#This Row],[BatchMeansHalfWidth]])</f>
        <v>2E+20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1</v>
      </c>
      <c r="D14" t="s">
        <v>78</v>
      </c>
      <c r="E14" t="s">
        <v>84</v>
      </c>
      <c r="F14" t="s">
        <v>80</v>
      </c>
      <c r="G14">
        <v>0</v>
      </c>
      <c r="H14">
        <v>2E+20</v>
      </c>
      <c r="I14">
        <v>0</v>
      </c>
      <c r="J14">
        <v>0</v>
      </c>
      <c r="K14">
        <v>127</v>
      </c>
      <c r="L14" t="str">
        <f>DiscreteStatsTable[[#This Row],[ProjectName]]&amp;DiscreteStatsTable[[#This Row],[Name]]&amp;DiscreteStatsTable[[#This Row],[Type]]&amp;DiscreteStatsTable[[#This Row],[Source]]</f>
        <v>Unnamed ProjectCustomerTotal CostEntity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127</v>
      </c>
      <c r="W14">
        <f>IF((DiscreteStatsTable[[#This Row],[RepsRequested]]&gt;1),DiscreteStatsTable[[#This Row],[HalfWidth]],DiscreteStatsTable[[#This Row],[BatchMeansHalfWidth]])</f>
        <v>2E+20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70</v>
      </c>
      <c r="C15">
        <v>1</v>
      </c>
      <c r="D15" t="s">
        <v>78</v>
      </c>
      <c r="E15" t="s">
        <v>85</v>
      </c>
      <c r="F15" t="s">
        <v>80</v>
      </c>
      <c r="G15">
        <v>1.6354647225872002E-2</v>
      </c>
      <c r="H15">
        <v>2E+20</v>
      </c>
      <c r="I15">
        <v>0</v>
      </c>
      <c r="J15">
        <v>0.28466188240354401</v>
      </c>
      <c r="K15">
        <v>127</v>
      </c>
      <c r="L1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1.6354647225872002E-2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1.6354647225872002E-2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1.6354647225872002E-2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0.28466188240354401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127</v>
      </c>
      <c r="W15">
        <f>IF((DiscreteStatsTable[[#This Row],[RepsRequested]]&gt;1),DiscreteStatsTable[[#This Row],[HalfWidth]],DiscreteStatsTable[[#This Row],[BatchMeansHalfWidth]])</f>
        <v>2E+20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70</v>
      </c>
      <c r="C16">
        <v>1</v>
      </c>
      <c r="D16" t="s">
        <v>78</v>
      </c>
      <c r="E16" t="s">
        <v>86</v>
      </c>
      <c r="F16" t="s">
        <v>80</v>
      </c>
      <c r="G16">
        <v>0</v>
      </c>
      <c r="H16">
        <v>2E+20</v>
      </c>
      <c r="I16">
        <v>0</v>
      </c>
      <c r="J16">
        <v>0</v>
      </c>
      <c r="K16">
        <v>127</v>
      </c>
      <c r="L16" t="str">
        <f>DiscreteStatsTable[[#This Row],[ProjectName]]&amp;DiscreteStatsTable[[#This Row],[Name]]&amp;DiscreteStatsTable[[#This Row],[Type]]&amp;DiscreteStatsTable[[#This Row],[Source]]</f>
        <v>Unnamed ProjectCustomerTransfer CostEntity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127</v>
      </c>
      <c r="W16">
        <f>IF((DiscreteStatsTable[[#This Row],[RepsRequested]]&gt;1),DiscreteStatsTable[[#This Row],[HalfWidth]],DiscreteStatsTable[[#This Row],[BatchMeansHalfWidth]])</f>
        <v>2E+20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70</v>
      </c>
      <c r="C17">
        <v>1</v>
      </c>
      <c r="D17" t="s">
        <v>78</v>
      </c>
      <c r="E17" t="s">
        <v>87</v>
      </c>
      <c r="F17" t="s">
        <v>80</v>
      </c>
      <c r="G17">
        <v>0</v>
      </c>
      <c r="H17">
        <v>2E+20</v>
      </c>
      <c r="I17">
        <v>0</v>
      </c>
      <c r="J17">
        <v>0</v>
      </c>
      <c r="K17">
        <v>127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127</v>
      </c>
      <c r="W17">
        <f>IF((DiscreteStatsTable[[#This Row],[RepsRequested]]&gt;1),DiscreteStatsTable[[#This Row],[HalfWidth]],DiscreteStatsTable[[#This Row],[BatchMeansHalfWidth]])</f>
        <v>2E+20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70</v>
      </c>
      <c r="C18">
        <v>1</v>
      </c>
      <c r="D18" t="s">
        <v>78</v>
      </c>
      <c r="E18" t="s">
        <v>88</v>
      </c>
      <c r="F18" t="s">
        <v>80</v>
      </c>
      <c r="G18">
        <v>0</v>
      </c>
      <c r="H18">
        <v>2E+20</v>
      </c>
      <c r="I18">
        <v>0</v>
      </c>
      <c r="J18">
        <v>0</v>
      </c>
      <c r="K18">
        <v>127</v>
      </c>
      <c r="L18" t="str">
        <f>DiscreteStatsTable[[#This Row],[ProjectName]]&amp;DiscreteStatsTable[[#This Row],[Name]]&amp;DiscreteStatsTable[[#This Row],[Type]]&amp;DiscreteStatsTable[[#This Row],[Source]]</f>
        <v>Unnamed ProjectCustomerVA CostEntity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127</v>
      </c>
      <c r="W18">
        <f>IF((DiscreteStatsTable[[#This Row],[RepsRequested]]&gt;1),DiscreteStatsTable[[#This Row],[HalfWidth]],DiscreteStatsTable[[#This Row],[BatchMeansHalfWidth]])</f>
        <v>2E+20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70</v>
      </c>
      <c r="C19">
        <v>1</v>
      </c>
      <c r="D19" t="s">
        <v>78</v>
      </c>
      <c r="E19" t="s">
        <v>89</v>
      </c>
      <c r="F19" t="s">
        <v>80</v>
      </c>
      <c r="G19">
        <v>1.3982161909108099E-2</v>
      </c>
      <c r="H19">
        <v>2E+20</v>
      </c>
      <c r="I19">
        <v>0</v>
      </c>
      <c r="J19">
        <v>0.16065896246063699</v>
      </c>
      <c r="K19">
        <v>127</v>
      </c>
      <c r="L19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1.3982161909108099E-2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1.3982161909108099E-2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1.3982161909108099E-2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0.16065896246063699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127</v>
      </c>
      <c r="W19">
        <f>IF((DiscreteStatsTable[[#This Row],[RepsRequested]]&gt;1),DiscreteStatsTable[[#This Row],[HalfWidth]],DiscreteStatsTable[[#This Row],[BatchMeansHalfWidth]])</f>
        <v>2E+20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70</v>
      </c>
      <c r="C20">
        <v>1</v>
      </c>
      <c r="D20" t="s">
        <v>78</v>
      </c>
      <c r="E20" t="s">
        <v>90</v>
      </c>
      <c r="F20" t="s">
        <v>80</v>
      </c>
      <c r="G20">
        <v>0</v>
      </c>
      <c r="H20">
        <v>2E+20</v>
      </c>
      <c r="I20">
        <v>0</v>
      </c>
      <c r="J20">
        <v>0</v>
      </c>
      <c r="K20">
        <v>127</v>
      </c>
      <c r="L20" t="str">
        <f>DiscreteStatsTable[[#This Row],[ProjectName]]&amp;DiscreteStatsTable[[#This Row],[Name]]&amp;DiscreteStatsTable[[#This Row],[Type]]&amp;DiscreteStatsTable[[#This Row],[Source]]</f>
        <v>Unnamed ProjectCustomerWait CostEntity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127</v>
      </c>
      <c r="W20">
        <f>IF((DiscreteStatsTable[[#This Row],[RepsRequested]]&gt;1),DiscreteStatsTable[[#This Row],[HalfWidth]],DiscreteStatsTable[[#This Row],[BatchMeansHalfWidth]])</f>
        <v>2E+20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70</v>
      </c>
      <c r="C21">
        <v>1</v>
      </c>
      <c r="D21" t="s">
        <v>78</v>
      </c>
      <c r="E21" t="s">
        <v>91</v>
      </c>
      <c r="F21" t="s">
        <v>80</v>
      </c>
      <c r="G21">
        <v>2.3724853167638601E-3</v>
      </c>
      <c r="H21">
        <v>2E+20</v>
      </c>
      <c r="I21">
        <v>0</v>
      </c>
      <c r="J21">
        <v>0.12400291994290701</v>
      </c>
      <c r="K21">
        <v>127</v>
      </c>
      <c r="L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2.3724853167638601E-3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2.3724853167638601E-3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2.3724853167638601E-3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0.12400291994290701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127</v>
      </c>
      <c r="W21">
        <f>IF((DiscreteStatsTable[[#This Row],[RepsRequested]]&gt;1),DiscreteStatsTable[[#This Row],[HalfWidth]],DiscreteStatsTable[[#This Row],[BatchMeansHalfWidth]])</f>
        <v>2E+20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70</v>
      </c>
      <c r="C22">
        <v>1</v>
      </c>
      <c r="D22" t="s">
        <v>92</v>
      </c>
      <c r="E22" t="s">
        <v>79</v>
      </c>
      <c r="F22" t="s">
        <v>80</v>
      </c>
      <c r="G22">
        <v>0</v>
      </c>
      <c r="H22">
        <v>2E+20</v>
      </c>
      <c r="I22">
        <v>0</v>
      </c>
      <c r="J22">
        <v>0</v>
      </c>
      <c r="K22">
        <v>7</v>
      </c>
      <c r="L22" t="str">
        <f>DiscreteStatsTable[[#This Row],[ProjectName]]&amp;DiscreteStatsTable[[#This Row],[Name]]&amp;DiscreteStatsTable[[#This Row],[Type]]&amp;DiscreteStatsTable[[#This Row],[Source]]</f>
        <v>Unnamed ProjectEntity 1NVA CostEntity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7</v>
      </c>
      <c r="W22">
        <f>IF((DiscreteStatsTable[[#This Row],[RepsRequested]]&gt;1),DiscreteStatsTable[[#This Row],[HalfWidth]],DiscreteStatsTable[[#This Row],[BatchMeansHalfWidth]])</f>
        <v>2E+20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70</v>
      </c>
      <c r="C23">
        <v>1</v>
      </c>
      <c r="D23" t="s">
        <v>92</v>
      </c>
      <c r="E23" t="s">
        <v>81</v>
      </c>
      <c r="F23" t="s">
        <v>80</v>
      </c>
      <c r="G23">
        <v>0</v>
      </c>
      <c r="H23">
        <v>2E+20</v>
      </c>
      <c r="I23">
        <v>0</v>
      </c>
      <c r="J23">
        <v>0</v>
      </c>
      <c r="K23">
        <v>7</v>
      </c>
      <c r="L23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7</v>
      </c>
      <c r="W23">
        <f>IF((DiscreteStatsTable[[#This Row],[RepsRequested]]&gt;1),DiscreteStatsTable[[#This Row],[HalfWidth]],DiscreteStatsTable[[#This Row],[BatchMeansHalfWidth]])</f>
        <v>2E+20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70</v>
      </c>
      <c r="C24">
        <v>1</v>
      </c>
      <c r="D24" t="s">
        <v>92</v>
      </c>
      <c r="E24" t="s">
        <v>82</v>
      </c>
      <c r="F24" t="s">
        <v>80</v>
      </c>
      <c r="G24">
        <v>0</v>
      </c>
      <c r="H24">
        <v>2E+20</v>
      </c>
      <c r="I24">
        <v>0</v>
      </c>
      <c r="J24">
        <v>0</v>
      </c>
      <c r="K24">
        <v>7</v>
      </c>
      <c r="L24" t="str">
        <f>DiscreteStatsTable[[#This Row],[ProjectName]]&amp;DiscreteStatsTable[[#This Row],[Name]]&amp;DiscreteStatsTable[[#This Row],[Type]]&amp;DiscreteStatsTable[[#This Row],[Source]]</f>
        <v>Unnamed ProjectEntity 1Other CostEntity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7</v>
      </c>
      <c r="W24">
        <f>IF((DiscreteStatsTable[[#This Row],[RepsRequested]]&gt;1),DiscreteStatsTable[[#This Row],[HalfWidth]],DiscreteStatsTable[[#This Row],[BatchMeansHalfWidth]])</f>
        <v>2E+20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70</v>
      </c>
      <c r="C25">
        <v>1</v>
      </c>
      <c r="D25" t="s">
        <v>92</v>
      </c>
      <c r="E25" t="s">
        <v>83</v>
      </c>
      <c r="F25" t="s">
        <v>80</v>
      </c>
      <c r="G25">
        <v>3.9169409945696503E-2</v>
      </c>
      <c r="H25">
        <v>2E+20</v>
      </c>
      <c r="I25">
        <v>3.8326397983983199E-2</v>
      </c>
      <c r="J25">
        <v>4.0021802683181597E-2</v>
      </c>
      <c r="K25">
        <v>7</v>
      </c>
      <c r="L2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3.9169409945696503E-2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3.9169409945696503E-2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3.9169409945696503E-2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3.8326397983983199E-2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4.0021802683181597E-2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7</v>
      </c>
      <c r="W25">
        <f>IF((DiscreteStatsTable[[#This Row],[RepsRequested]]&gt;1),DiscreteStatsTable[[#This Row],[HalfWidth]],DiscreteStatsTable[[#This Row],[BatchMeansHalfWidth]])</f>
        <v>2E+20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70</v>
      </c>
      <c r="C26">
        <v>1</v>
      </c>
      <c r="D26" t="s">
        <v>92</v>
      </c>
      <c r="E26" t="s">
        <v>84</v>
      </c>
      <c r="F26" t="s">
        <v>80</v>
      </c>
      <c r="G26">
        <v>0</v>
      </c>
      <c r="H26">
        <v>2E+20</v>
      </c>
      <c r="I26">
        <v>0</v>
      </c>
      <c r="J26">
        <v>0</v>
      </c>
      <c r="K26">
        <v>7</v>
      </c>
      <c r="L26" t="str">
        <f>DiscreteStatsTable[[#This Row],[ProjectName]]&amp;DiscreteStatsTable[[#This Row],[Name]]&amp;DiscreteStatsTable[[#This Row],[Type]]&amp;DiscreteStatsTable[[#This Row],[Source]]</f>
        <v>Unnamed ProjectEntity 1Total CostEntity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7</v>
      </c>
      <c r="W26">
        <f>IF((DiscreteStatsTable[[#This Row],[RepsRequested]]&gt;1),DiscreteStatsTable[[#This Row],[HalfWidth]],DiscreteStatsTable[[#This Row],[BatchMeansHalfWidth]])</f>
        <v>2E+20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70</v>
      </c>
      <c r="C27">
        <v>1</v>
      </c>
      <c r="D27" t="s">
        <v>92</v>
      </c>
      <c r="E27" t="s">
        <v>85</v>
      </c>
      <c r="F27" t="s">
        <v>80</v>
      </c>
      <c r="G27">
        <v>0.16230064882199799</v>
      </c>
      <c r="H27">
        <v>2E+20</v>
      </c>
      <c r="I27">
        <v>5.5797619731336602E-2</v>
      </c>
      <c r="J27">
        <v>0.24978741802230101</v>
      </c>
      <c r="K27">
        <v>7</v>
      </c>
      <c r="L27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0.16230064882199799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0.16230064882199799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0.16230064882199799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5.5797619731336602E-2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0.24978741802230101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7</v>
      </c>
      <c r="W27">
        <f>IF((DiscreteStatsTable[[#This Row],[RepsRequested]]&gt;1),DiscreteStatsTable[[#This Row],[HalfWidth]],DiscreteStatsTable[[#This Row],[BatchMeansHalfWidth]])</f>
        <v>2E+20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70</v>
      </c>
      <c r="C28">
        <v>1</v>
      </c>
      <c r="D28" t="s">
        <v>92</v>
      </c>
      <c r="E28" t="s">
        <v>86</v>
      </c>
      <c r="F28" t="s">
        <v>80</v>
      </c>
      <c r="G28">
        <v>0</v>
      </c>
      <c r="H28">
        <v>2E+20</v>
      </c>
      <c r="I28">
        <v>0</v>
      </c>
      <c r="J28">
        <v>0</v>
      </c>
      <c r="K28">
        <v>7</v>
      </c>
      <c r="L28" t="str">
        <f>DiscreteStatsTable[[#This Row],[ProjectName]]&amp;DiscreteStatsTable[[#This Row],[Name]]&amp;DiscreteStatsTable[[#This Row],[Type]]&amp;DiscreteStatsTable[[#This Row],[Source]]</f>
        <v>Unnamed ProjectEntity 1Transfer CostEntity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7</v>
      </c>
      <c r="W28">
        <f>IF((DiscreteStatsTable[[#This Row],[RepsRequested]]&gt;1),DiscreteStatsTable[[#This Row],[HalfWidth]],DiscreteStatsTable[[#This Row],[BatchMeansHalfWidth]])</f>
        <v>2E+20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70</v>
      </c>
      <c r="C29">
        <v>1</v>
      </c>
      <c r="D29" t="s">
        <v>92</v>
      </c>
      <c r="E29" t="s">
        <v>87</v>
      </c>
      <c r="F29" t="s">
        <v>80</v>
      </c>
      <c r="G29">
        <v>0</v>
      </c>
      <c r="H29">
        <v>2E+20</v>
      </c>
      <c r="I29">
        <v>0</v>
      </c>
      <c r="J29">
        <v>0</v>
      </c>
      <c r="K29">
        <v>7</v>
      </c>
      <c r="L2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7</v>
      </c>
      <c r="W29">
        <f>IF((DiscreteStatsTable[[#This Row],[RepsRequested]]&gt;1),DiscreteStatsTable[[#This Row],[HalfWidth]],DiscreteStatsTable[[#This Row],[BatchMeansHalfWidth]])</f>
        <v>2E+20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70</v>
      </c>
      <c r="C30">
        <v>1</v>
      </c>
      <c r="D30" t="s">
        <v>92</v>
      </c>
      <c r="E30" t="s">
        <v>88</v>
      </c>
      <c r="F30" t="s">
        <v>80</v>
      </c>
      <c r="G30">
        <v>0</v>
      </c>
      <c r="H30">
        <v>2E+20</v>
      </c>
      <c r="I30">
        <v>0</v>
      </c>
      <c r="J30">
        <v>0</v>
      </c>
      <c r="K30">
        <v>7</v>
      </c>
      <c r="L30" t="str">
        <f>DiscreteStatsTable[[#This Row],[ProjectName]]&amp;DiscreteStatsTable[[#This Row],[Name]]&amp;DiscreteStatsTable[[#This Row],[Type]]&amp;DiscreteStatsTable[[#This Row],[Source]]</f>
        <v>Unnamed ProjectEntity 1VA CostEntity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7</v>
      </c>
      <c r="W30">
        <f>IF((DiscreteStatsTable[[#This Row],[RepsRequested]]&gt;1),DiscreteStatsTable[[#This Row],[HalfWidth]],DiscreteStatsTable[[#This Row],[BatchMeansHalfWidth]])</f>
        <v>2E+20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70</v>
      </c>
      <c r="C31">
        <v>1</v>
      </c>
      <c r="D31" t="s">
        <v>92</v>
      </c>
      <c r="E31" t="s">
        <v>89</v>
      </c>
      <c r="F31" t="s">
        <v>80</v>
      </c>
      <c r="G31">
        <v>3.42239003398443E-2</v>
      </c>
      <c r="H31">
        <v>2E+20</v>
      </c>
      <c r="I31">
        <v>2.9157961042942701E-2</v>
      </c>
      <c r="J31">
        <v>3.73674984491714E-2</v>
      </c>
      <c r="K31">
        <v>7</v>
      </c>
      <c r="L31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3.42239003398443E-2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3.42239003398443E-2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3.42239003398443E-2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2.9157961042942701E-2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3.73674984491714E-2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7</v>
      </c>
      <c r="W31">
        <f>IF((DiscreteStatsTable[[#This Row],[RepsRequested]]&gt;1),DiscreteStatsTable[[#This Row],[HalfWidth]],DiscreteStatsTable[[#This Row],[BatchMeansHalfWidth]])</f>
        <v>2E+20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70</v>
      </c>
      <c r="C32">
        <v>1</v>
      </c>
      <c r="D32" t="s">
        <v>92</v>
      </c>
      <c r="E32" t="s">
        <v>90</v>
      </c>
      <c r="F32" t="s">
        <v>80</v>
      </c>
      <c r="G32">
        <v>0</v>
      </c>
      <c r="H32">
        <v>2E+20</v>
      </c>
      <c r="I32">
        <v>0</v>
      </c>
      <c r="J32">
        <v>0</v>
      </c>
      <c r="K32">
        <v>7</v>
      </c>
      <c r="L32" t="str">
        <f>DiscreteStatsTable[[#This Row],[ProjectName]]&amp;DiscreteStatsTable[[#This Row],[Name]]&amp;DiscreteStatsTable[[#This Row],[Type]]&amp;DiscreteStatsTable[[#This Row],[Source]]</f>
        <v>Unnamed ProjectEntity 1Wait CostEntity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7</v>
      </c>
      <c r="W32">
        <f>IF((DiscreteStatsTable[[#This Row],[RepsRequested]]&gt;1),DiscreteStatsTable[[#This Row],[HalfWidth]],DiscreteStatsTable[[#This Row],[BatchMeansHalfWidth]])</f>
        <v>2E+20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70</v>
      </c>
      <c r="C33">
        <v>1</v>
      </c>
      <c r="D33" t="s">
        <v>92</v>
      </c>
      <c r="E33" t="s">
        <v>91</v>
      </c>
      <c r="F33" t="s">
        <v>80</v>
      </c>
      <c r="G33">
        <v>0.27311475470444802</v>
      </c>
      <c r="H33">
        <v>2E+20</v>
      </c>
      <c r="I33">
        <v>0.15412615213487699</v>
      </c>
      <c r="J33">
        <v>0.40833613998929502</v>
      </c>
      <c r="K33">
        <v>7</v>
      </c>
      <c r="L3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0.27311475470444802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0.27311475470444802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0.27311475470444802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0.15412615213487699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0.40833613998929502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7</v>
      </c>
      <c r="W33">
        <f>IF((DiscreteStatsTable[[#This Row],[RepsRequested]]&gt;1),DiscreteStatsTable[[#This Row],[HalfWidth]],DiscreteStatsTable[[#This Row],[BatchMeansHalfWidth]])</f>
        <v>2E+20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70</v>
      </c>
      <c r="C34">
        <v>1</v>
      </c>
      <c r="D34" t="s">
        <v>93</v>
      </c>
      <c r="E34" t="s">
        <v>79</v>
      </c>
      <c r="F34" t="s">
        <v>80</v>
      </c>
      <c r="G34">
        <v>0</v>
      </c>
      <c r="H34">
        <v>2E+20</v>
      </c>
      <c r="I34">
        <v>0</v>
      </c>
      <c r="J34">
        <v>0</v>
      </c>
      <c r="K34">
        <v>8</v>
      </c>
      <c r="L34" t="str">
        <f>DiscreteStatsTable[[#This Row],[ProjectName]]&amp;DiscreteStatsTable[[#This Row],[Name]]&amp;DiscreteStatsTable[[#This Row],[Type]]&amp;DiscreteStatsTable[[#This Row],[Source]]</f>
        <v>Unnamed ProjectEntity 2NVA CostEntity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</v>
      </c>
      <c r="W34">
        <f>IF((DiscreteStatsTable[[#This Row],[RepsRequested]]&gt;1),DiscreteStatsTable[[#This Row],[HalfWidth]],DiscreteStatsTable[[#This Row],[BatchMeansHalfWidth]])</f>
        <v>2E+20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70</v>
      </c>
      <c r="C35">
        <v>1</v>
      </c>
      <c r="D35" t="s">
        <v>93</v>
      </c>
      <c r="E35" t="s">
        <v>81</v>
      </c>
      <c r="F35" t="s">
        <v>80</v>
      </c>
      <c r="G35">
        <v>0</v>
      </c>
      <c r="H35">
        <v>2E+20</v>
      </c>
      <c r="I35">
        <v>0</v>
      </c>
      <c r="J35">
        <v>0</v>
      </c>
      <c r="K35">
        <v>8</v>
      </c>
      <c r="L35" t="str">
        <f>DiscreteStatsTable[[#This Row],[ProjectName]]&amp;DiscreteStatsTable[[#This Row],[Name]]&amp;DiscreteStatsTable[[#This Row],[Type]]&amp;DiscreteStatsTable[[#This Row],[Source]]</f>
        <v>Unnamed ProjectEntity 2NVA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</v>
      </c>
      <c r="W35">
        <f>IF((DiscreteStatsTable[[#This Row],[RepsRequested]]&gt;1),DiscreteStatsTable[[#This Row],[HalfWidth]],DiscreteStatsTable[[#This Row],[BatchMeansHalfWidth]])</f>
        <v>2E+20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70</v>
      </c>
      <c r="C36">
        <v>1</v>
      </c>
      <c r="D36" t="s">
        <v>93</v>
      </c>
      <c r="E36" t="s">
        <v>82</v>
      </c>
      <c r="F36" t="s">
        <v>80</v>
      </c>
      <c r="G36">
        <v>0</v>
      </c>
      <c r="H36">
        <v>2E+20</v>
      </c>
      <c r="I36">
        <v>0</v>
      </c>
      <c r="J36">
        <v>0</v>
      </c>
      <c r="K36">
        <v>8</v>
      </c>
      <c r="L36" t="str">
        <f>DiscreteStatsTable[[#This Row],[ProjectName]]&amp;DiscreteStatsTable[[#This Row],[Name]]&amp;DiscreteStatsTable[[#This Row],[Type]]&amp;DiscreteStatsTable[[#This Row],[Source]]</f>
        <v>Unnamed ProjectEntity 2Other CostEntity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</v>
      </c>
      <c r="W36">
        <f>IF((DiscreteStatsTable[[#This Row],[RepsRequested]]&gt;1),DiscreteStatsTable[[#This Row],[HalfWidth]],DiscreteStatsTable[[#This Row],[BatchMeansHalfWidth]])</f>
        <v>2E+20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70</v>
      </c>
      <c r="C37">
        <v>1</v>
      </c>
      <c r="D37" t="s">
        <v>93</v>
      </c>
      <c r="E37" t="s">
        <v>83</v>
      </c>
      <c r="F37" t="s">
        <v>80</v>
      </c>
      <c r="G37">
        <v>3.9047821944086597E-2</v>
      </c>
      <c r="H37">
        <v>2E+20</v>
      </c>
      <c r="I37">
        <v>3.8276730405336003E-2</v>
      </c>
      <c r="J37">
        <v>4.0386145614100102E-2</v>
      </c>
      <c r="K37">
        <v>8</v>
      </c>
      <c r="L37" t="str">
        <f>DiscreteStatsTable[[#This Row],[ProjectName]]&amp;DiscreteStatsTable[[#This Row],[Name]]&amp;DiscreteStatsTable[[#This Row],[Type]]&amp;DiscreteStatsTable[[#This Row],[Source]]</f>
        <v>Unnamed ProjectEntity 2Other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3.9047821944086597E-2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3.9047821944086597E-2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3.9047821944086597E-2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3.8276730405336003E-2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4.0386145614100102E-2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</v>
      </c>
      <c r="W37">
        <f>IF((DiscreteStatsTable[[#This Row],[RepsRequested]]&gt;1),DiscreteStatsTable[[#This Row],[HalfWidth]],DiscreteStatsTable[[#This Row],[BatchMeansHalfWidth]])</f>
        <v>2E+20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70</v>
      </c>
      <c r="C38">
        <v>1</v>
      </c>
      <c r="D38" t="s">
        <v>93</v>
      </c>
      <c r="E38" t="s">
        <v>84</v>
      </c>
      <c r="F38" t="s">
        <v>80</v>
      </c>
      <c r="G38">
        <v>0</v>
      </c>
      <c r="H38">
        <v>2E+20</v>
      </c>
      <c r="I38">
        <v>0</v>
      </c>
      <c r="J38">
        <v>0</v>
      </c>
      <c r="K38">
        <v>8</v>
      </c>
      <c r="L38" t="str">
        <f>DiscreteStatsTable[[#This Row],[ProjectName]]&amp;DiscreteStatsTable[[#This Row],[Name]]&amp;DiscreteStatsTable[[#This Row],[Type]]&amp;DiscreteStatsTable[[#This Row],[Source]]</f>
        <v>Unnamed ProjectEntity 2Total CostEntity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</v>
      </c>
      <c r="W38">
        <f>IF((DiscreteStatsTable[[#This Row],[RepsRequested]]&gt;1),DiscreteStatsTable[[#This Row],[HalfWidth]],DiscreteStatsTable[[#This Row],[BatchMeansHalfWidth]])</f>
        <v>2E+20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70</v>
      </c>
      <c r="C39">
        <v>1</v>
      </c>
      <c r="D39" t="s">
        <v>93</v>
      </c>
      <c r="E39" t="s">
        <v>85</v>
      </c>
      <c r="F39" t="s">
        <v>80</v>
      </c>
      <c r="G39">
        <v>0.19360249686598299</v>
      </c>
      <c r="H39">
        <v>2E+20</v>
      </c>
      <c r="I39">
        <v>0.141949877821162</v>
      </c>
      <c r="J39">
        <v>0.25350700089165601</v>
      </c>
      <c r="K39">
        <v>8</v>
      </c>
      <c r="L39" t="str">
        <f>DiscreteStatsTable[[#This Row],[ProjectName]]&amp;DiscreteStatsTable[[#This Row],[Name]]&amp;DiscreteStatsTable[[#This Row],[Type]]&amp;DiscreteStatsTable[[#This Row],[Source]]</f>
        <v>Unnamed ProjectEntity 2Total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0.19360249686598299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0.19360249686598299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0.19360249686598299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0.141949877821162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0.25350700089165601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</v>
      </c>
      <c r="W39">
        <f>IF((DiscreteStatsTable[[#This Row],[RepsRequested]]&gt;1),DiscreteStatsTable[[#This Row],[HalfWidth]],DiscreteStatsTable[[#This Row],[BatchMeansHalfWidth]])</f>
        <v>2E+20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70</v>
      </c>
      <c r="C40">
        <v>1</v>
      </c>
      <c r="D40" t="s">
        <v>93</v>
      </c>
      <c r="E40" t="s">
        <v>86</v>
      </c>
      <c r="F40" t="s">
        <v>80</v>
      </c>
      <c r="G40">
        <v>0</v>
      </c>
      <c r="H40">
        <v>2E+20</v>
      </c>
      <c r="I40">
        <v>0</v>
      </c>
      <c r="J40">
        <v>0</v>
      </c>
      <c r="K40">
        <v>8</v>
      </c>
      <c r="L40" t="str">
        <f>DiscreteStatsTable[[#This Row],[ProjectName]]&amp;DiscreteStatsTable[[#This Row],[Name]]&amp;DiscreteStatsTable[[#This Row],[Type]]&amp;DiscreteStatsTable[[#This Row],[Source]]</f>
        <v>Unnamed ProjectEntity 2Transfer CostEntity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</v>
      </c>
      <c r="W40">
        <f>IF((DiscreteStatsTable[[#This Row],[RepsRequested]]&gt;1),DiscreteStatsTable[[#This Row],[HalfWidth]],DiscreteStatsTable[[#This Row],[BatchMeansHalfWidth]])</f>
        <v>2E+20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70</v>
      </c>
      <c r="C41">
        <v>1</v>
      </c>
      <c r="D41" t="s">
        <v>93</v>
      </c>
      <c r="E41" t="s">
        <v>87</v>
      </c>
      <c r="F41" t="s">
        <v>80</v>
      </c>
      <c r="G41">
        <v>0</v>
      </c>
      <c r="H41">
        <v>2E+20</v>
      </c>
      <c r="I41">
        <v>0</v>
      </c>
      <c r="J41">
        <v>0</v>
      </c>
      <c r="K41">
        <v>8</v>
      </c>
      <c r="L41" t="str">
        <f>DiscreteStatsTable[[#This Row],[ProjectName]]&amp;DiscreteStatsTable[[#This Row],[Name]]&amp;DiscreteStatsTable[[#This Row],[Type]]&amp;DiscreteStatsTable[[#This Row],[Source]]</f>
        <v>Unnamed ProjectEntity 2Transfer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</v>
      </c>
      <c r="W41">
        <f>IF((DiscreteStatsTable[[#This Row],[RepsRequested]]&gt;1),DiscreteStatsTable[[#This Row],[HalfWidth]],DiscreteStatsTable[[#This Row],[BatchMeansHalfWidth]])</f>
        <v>2E+20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70</v>
      </c>
      <c r="C42">
        <v>1</v>
      </c>
      <c r="D42" t="s">
        <v>93</v>
      </c>
      <c r="E42" t="s">
        <v>88</v>
      </c>
      <c r="F42" t="s">
        <v>80</v>
      </c>
      <c r="G42">
        <v>0</v>
      </c>
      <c r="H42">
        <v>2E+20</v>
      </c>
      <c r="I42">
        <v>0</v>
      </c>
      <c r="J42">
        <v>0</v>
      </c>
      <c r="K42">
        <v>8</v>
      </c>
      <c r="L42" t="str">
        <f>DiscreteStatsTable[[#This Row],[ProjectName]]&amp;DiscreteStatsTable[[#This Row],[Name]]&amp;DiscreteStatsTable[[#This Row],[Type]]&amp;DiscreteStatsTable[[#This Row],[Source]]</f>
        <v>Unnamed ProjectEntity 2VA CostEntity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</v>
      </c>
      <c r="W42">
        <f>IF((DiscreteStatsTable[[#This Row],[RepsRequested]]&gt;1),DiscreteStatsTable[[#This Row],[HalfWidth]],DiscreteStatsTable[[#This Row],[BatchMeansHalfWidth]])</f>
        <v>2E+20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67</v>
      </c>
      <c r="B43" t="s">
        <v>70</v>
      </c>
      <c r="C43">
        <v>1</v>
      </c>
      <c r="D43" t="s">
        <v>93</v>
      </c>
      <c r="E43" t="s">
        <v>89</v>
      </c>
      <c r="F43" t="s">
        <v>80</v>
      </c>
      <c r="G43">
        <v>3.7301066179888903E-2</v>
      </c>
      <c r="H43">
        <v>2E+20</v>
      </c>
      <c r="I43">
        <v>3.5530760019554498E-2</v>
      </c>
      <c r="J43">
        <v>3.9628853513811201E-2</v>
      </c>
      <c r="K43">
        <v>8</v>
      </c>
      <c r="L43" t="str">
        <f>DiscreteStatsTable[[#This Row],[ProjectName]]&amp;DiscreteStatsTable[[#This Row],[Name]]&amp;DiscreteStatsTable[[#This Row],[Type]]&amp;DiscreteStatsTable[[#This Row],[Source]]</f>
        <v>Unnamed ProjectEntity 2VA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3.7301066179888903E-2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3.7301066179888903E-2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3.7301066179888903E-2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3.5530760019554498E-2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3.9628853513811201E-2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</v>
      </c>
      <c r="W43">
        <f>IF((DiscreteStatsTable[[#This Row],[RepsRequested]]&gt;1),DiscreteStatsTable[[#This Row],[HalfWidth]],DiscreteStatsTable[[#This Row],[BatchMeansHalfWidth]])</f>
        <v>2E+20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67</v>
      </c>
      <c r="B44" t="s">
        <v>70</v>
      </c>
      <c r="C44">
        <v>1</v>
      </c>
      <c r="D44" t="s">
        <v>93</v>
      </c>
      <c r="E44" t="s">
        <v>90</v>
      </c>
      <c r="F44" t="s">
        <v>80</v>
      </c>
      <c r="G44">
        <v>0</v>
      </c>
      <c r="H44">
        <v>2E+20</v>
      </c>
      <c r="I44">
        <v>0</v>
      </c>
      <c r="J44">
        <v>0</v>
      </c>
      <c r="K44">
        <v>8</v>
      </c>
      <c r="L44" t="str">
        <f>DiscreteStatsTable[[#This Row],[ProjectName]]&amp;DiscreteStatsTable[[#This Row],[Name]]&amp;DiscreteStatsTable[[#This Row],[Type]]&amp;DiscreteStatsTable[[#This Row],[Source]]</f>
        <v>Unnamed ProjectEntity 2Wait CostEntity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</v>
      </c>
      <c r="W44">
        <f>IF((DiscreteStatsTable[[#This Row],[RepsRequested]]&gt;1),DiscreteStatsTable[[#This Row],[HalfWidth]],DiscreteStatsTable[[#This Row],[BatchMeansHalfWidth]])</f>
        <v>2E+20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67</v>
      </c>
      <c r="B45" t="s">
        <v>70</v>
      </c>
      <c r="C45">
        <v>1</v>
      </c>
      <c r="D45" t="s">
        <v>93</v>
      </c>
      <c r="E45" t="s">
        <v>91</v>
      </c>
      <c r="F45" t="s">
        <v>80</v>
      </c>
      <c r="G45">
        <v>0.30068165875506803</v>
      </c>
      <c r="H45">
        <v>2E+20</v>
      </c>
      <c r="I45">
        <v>0.19332324267151599</v>
      </c>
      <c r="J45">
        <v>0.42369664744215602</v>
      </c>
      <c r="K45">
        <v>8</v>
      </c>
      <c r="L45" t="str">
        <f>DiscreteStatsTable[[#This Row],[ProjectName]]&amp;DiscreteStatsTable[[#This Row],[Name]]&amp;DiscreteStatsTable[[#This Row],[Type]]&amp;DiscreteStatsTable[[#This Row],[Source]]</f>
        <v>Unnamed ProjectEntity 2Wait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0.30068165875506803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0.30068165875506803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0.30068165875506803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0.19332324267151599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0.42369664744215602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</v>
      </c>
      <c r="W45">
        <f>IF((DiscreteStatsTable[[#This Row],[RepsRequested]]&gt;1),DiscreteStatsTable[[#This Row],[HalfWidth]],DiscreteStatsTable[[#This Row],[BatchMeansHalfWidth]])</f>
        <v>2E+20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67</v>
      </c>
      <c r="B46" t="s">
        <v>70</v>
      </c>
      <c r="C46">
        <v>1</v>
      </c>
      <c r="D46" t="s">
        <v>94</v>
      </c>
      <c r="E46" t="s">
        <v>79</v>
      </c>
      <c r="F46" t="s">
        <v>80</v>
      </c>
      <c r="G46">
        <v>0</v>
      </c>
      <c r="H46">
        <v>2E+20</v>
      </c>
      <c r="I46">
        <v>0</v>
      </c>
      <c r="J46">
        <v>0</v>
      </c>
      <c r="K46">
        <v>32</v>
      </c>
      <c r="L46" t="str">
        <f>DiscreteStatsTable[[#This Row],[ProjectName]]&amp;DiscreteStatsTable[[#This Row],[Name]]&amp;DiscreteStatsTable[[#This Row],[Type]]&amp;DiscreteStatsTable[[#This Row],[Source]]</f>
        <v>Unnamed ProjectEntity 3NVA CostEntity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32</v>
      </c>
      <c r="W46">
        <f>IF((DiscreteStatsTable[[#This Row],[RepsRequested]]&gt;1),DiscreteStatsTable[[#This Row],[HalfWidth]],DiscreteStatsTable[[#This Row],[BatchMeansHalfWidth]])</f>
        <v>2E+20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67</v>
      </c>
      <c r="B47" t="s">
        <v>70</v>
      </c>
      <c r="C47">
        <v>1</v>
      </c>
      <c r="D47" t="s">
        <v>94</v>
      </c>
      <c r="E47" t="s">
        <v>81</v>
      </c>
      <c r="F47" t="s">
        <v>80</v>
      </c>
      <c r="G47">
        <v>0</v>
      </c>
      <c r="H47">
        <v>2E+20</v>
      </c>
      <c r="I47">
        <v>0</v>
      </c>
      <c r="J47">
        <v>0</v>
      </c>
      <c r="K47">
        <v>32</v>
      </c>
      <c r="L47" t="str">
        <f>DiscreteStatsTable[[#This Row],[ProjectName]]&amp;DiscreteStatsTable[[#This Row],[Name]]&amp;DiscreteStatsTable[[#This Row],[Type]]&amp;DiscreteStatsTable[[#This Row],[Source]]</f>
        <v>Unnamed ProjectEntity 3NVA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32</v>
      </c>
      <c r="W47">
        <f>IF((DiscreteStatsTable[[#This Row],[RepsRequested]]&gt;1),DiscreteStatsTable[[#This Row],[HalfWidth]],DiscreteStatsTable[[#This Row],[BatchMeansHalfWidth]])</f>
        <v>2E+20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67</v>
      </c>
      <c r="B48" t="s">
        <v>70</v>
      </c>
      <c r="C48">
        <v>1</v>
      </c>
      <c r="D48" t="s">
        <v>94</v>
      </c>
      <c r="E48" t="s">
        <v>82</v>
      </c>
      <c r="F48" t="s">
        <v>80</v>
      </c>
      <c r="G48">
        <v>0</v>
      </c>
      <c r="H48">
        <v>2E+20</v>
      </c>
      <c r="I48">
        <v>0</v>
      </c>
      <c r="J48">
        <v>0</v>
      </c>
      <c r="K48">
        <v>32</v>
      </c>
      <c r="L48" t="str">
        <f>DiscreteStatsTable[[#This Row],[ProjectName]]&amp;DiscreteStatsTable[[#This Row],[Name]]&amp;DiscreteStatsTable[[#This Row],[Type]]&amp;DiscreteStatsTable[[#This Row],[Source]]</f>
        <v>Unnamed ProjectEntity 3Other CostEntity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32</v>
      </c>
      <c r="W48">
        <f>IF((DiscreteStatsTable[[#This Row],[RepsRequested]]&gt;1),DiscreteStatsTable[[#This Row],[HalfWidth]],DiscreteStatsTable[[#This Row],[BatchMeansHalfWidth]])</f>
        <v>2E+20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67</v>
      </c>
      <c r="B49" t="s">
        <v>70</v>
      </c>
      <c r="C49">
        <v>1</v>
      </c>
      <c r="D49" t="s">
        <v>94</v>
      </c>
      <c r="E49" t="s">
        <v>83</v>
      </c>
      <c r="F49" t="s">
        <v>80</v>
      </c>
      <c r="G49">
        <v>3.6466131701607597E-2</v>
      </c>
      <c r="H49">
        <v>2E+20</v>
      </c>
      <c r="I49">
        <v>3.2043638370984298E-2</v>
      </c>
      <c r="J49">
        <v>4.1199192016065901E-2</v>
      </c>
      <c r="K49">
        <v>32</v>
      </c>
      <c r="L49" t="str">
        <f>DiscreteStatsTable[[#This Row],[ProjectName]]&amp;DiscreteStatsTable[[#This Row],[Name]]&amp;DiscreteStatsTable[[#This Row],[Type]]&amp;DiscreteStatsTable[[#This Row],[Source]]</f>
        <v>Unnamed ProjectEntity 3Other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3.6466131701607597E-2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3.6466131701607597E-2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3.6466131701607597E-2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3.2043638370984298E-2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4.1199192016065901E-2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32</v>
      </c>
      <c r="W49">
        <f>IF((DiscreteStatsTable[[#This Row],[RepsRequested]]&gt;1),DiscreteStatsTable[[#This Row],[HalfWidth]],DiscreteStatsTable[[#This Row],[BatchMeansHalfWidth]])</f>
        <v>2E+20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67</v>
      </c>
      <c r="B50" t="s">
        <v>70</v>
      </c>
      <c r="C50">
        <v>1</v>
      </c>
      <c r="D50" t="s">
        <v>94</v>
      </c>
      <c r="E50" t="s">
        <v>84</v>
      </c>
      <c r="F50" t="s">
        <v>80</v>
      </c>
      <c r="G50">
        <v>0</v>
      </c>
      <c r="H50">
        <v>2E+20</v>
      </c>
      <c r="I50">
        <v>0</v>
      </c>
      <c r="J50">
        <v>0</v>
      </c>
      <c r="K50">
        <v>32</v>
      </c>
      <c r="L50" t="str">
        <f>DiscreteStatsTable[[#This Row],[ProjectName]]&amp;DiscreteStatsTable[[#This Row],[Name]]&amp;DiscreteStatsTable[[#This Row],[Type]]&amp;DiscreteStatsTable[[#This Row],[Source]]</f>
        <v>Unnamed ProjectEntity 3Total CostEntity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32</v>
      </c>
      <c r="W50">
        <f>IF((DiscreteStatsTable[[#This Row],[RepsRequested]]&gt;1),DiscreteStatsTable[[#This Row],[HalfWidth]],DiscreteStatsTable[[#This Row],[BatchMeansHalfWidth]])</f>
        <v>2E+20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67</v>
      </c>
      <c r="B51" t="s">
        <v>70</v>
      </c>
      <c r="C51">
        <v>1</v>
      </c>
      <c r="D51" t="s">
        <v>94</v>
      </c>
      <c r="E51" t="s">
        <v>85</v>
      </c>
      <c r="F51" t="s">
        <v>80</v>
      </c>
      <c r="G51">
        <v>0.152188588540485</v>
      </c>
      <c r="H51">
        <v>2E+20</v>
      </c>
      <c r="I51">
        <v>4.2840486797594203E-2</v>
      </c>
      <c r="J51">
        <v>1.23223104723892</v>
      </c>
      <c r="K51">
        <v>32</v>
      </c>
      <c r="L51" t="str">
        <f>DiscreteStatsTable[[#This Row],[ProjectName]]&amp;DiscreteStatsTable[[#This Row],[Name]]&amp;DiscreteStatsTable[[#This Row],[Type]]&amp;DiscreteStatsTable[[#This Row],[Source]]</f>
        <v>Unnamed ProjectEntity 3Total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0.152188588540485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0.152188588540485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0.152188588540485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4.2840486797594203E-2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1.23223104723892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32</v>
      </c>
      <c r="W51">
        <f>IF((DiscreteStatsTable[[#This Row],[RepsRequested]]&gt;1),DiscreteStatsTable[[#This Row],[HalfWidth]],DiscreteStatsTable[[#This Row],[BatchMeansHalfWidth]])</f>
        <v>2E+20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67</v>
      </c>
      <c r="B52" t="s">
        <v>70</v>
      </c>
      <c r="C52">
        <v>1</v>
      </c>
      <c r="D52" t="s">
        <v>94</v>
      </c>
      <c r="E52" t="s">
        <v>86</v>
      </c>
      <c r="F52" t="s">
        <v>80</v>
      </c>
      <c r="G52">
        <v>0</v>
      </c>
      <c r="H52">
        <v>2E+20</v>
      </c>
      <c r="I52">
        <v>0</v>
      </c>
      <c r="J52">
        <v>0</v>
      </c>
      <c r="K52">
        <v>32</v>
      </c>
      <c r="L52" t="str">
        <f>DiscreteStatsTable[[#This Row],[ProjectName]]&amp;DiscreteStatsTable[[#This Row],[Name]]&amp;DiscreteStatsTable[[#This Row],[Type]]&amp;DiscreteStatsTable[[#This Row],[Source]]</f>
        <v>Unnamed ProjectEntity 3Transfer CostEntity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0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32</v>
      </c>
      <c r="W52">
        <f>IF((DiscreteStatsTable[[#This Row],[RepsRequested]]&gt;1),DiscreteStatsTable[[#This Row],[HalfWidth]],DiscreteStatsTable[[#This Row],[BatchMeansHalfWidth]])</f>
        <v>2E+20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67</v>
      </c>
      <c r="B53" t="s">
        <v>70</v>
      </c>
      <c r="C53">
        <v>1</v>
      </c>
      <c r="D53" t="s">
        <v>94</v>
      </c>
      <c r="E53" t="s">
        <v>87</v>
      </c>
      <c r="F53" t="s">
        <v>80</v>
      </c>
      <c r="G53">
        <v>0</v>
      </c>
      <c r="H53">
        <v>2E+20</v>
      </c>
      <c r="I53">
        <v>0</v>
      </c>
      <c r="J53">
        <v>0</v>
      </c>
      <c r="K53">
        <v>32</v>
      </c>
      <c r="L53" t="str">
        <f>DiscreteStatsTable[[#This Row],[ProjectName]]&amp;DiscreteStatsTable[[#This Row],[Name]]&amp;DiscreteStatsTable[[#This Row],[Type]]&amp;DiscreteStatsTable[[#This Row],[Source]]</f>
        <v>Unnamed ProjectEntity 3Transfer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32</v>
      </c>
      <c r="W53">
        <f>IF((DiscreteStatsTable[[#This Row],[RepsRequested]]&gt;1),DiscreteStatsTable[[#This Row],[HalfWidth]],DiscreteStatsTable[[#This Row],[BatchMeansHalfWidth]])</f>
        <v>2E+20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67</v>
      </c>
      <c r="B54" t="s">
        <v>70</v>
      </c>
      <c r="C54">
        <v>1</v>
      </c>
      <c r="D54" t="s">
        <v>94</v>
      </c>
      <c r="E54" t="s">
        <v>88</v>
      </c>
      <c r="F54" t="s">
        <v>80</v>
      </c>
      <c r="G54">
        <v>0</v>
      </c>
      <c r="H54">
        <v>2E+20</v>
      </c>
      <c r="I54">
        <v>0</v>
      </c>
      <c r="J54">
        <v>0</v>
      </c>
      <c r="K54">
        <v>32</v>
      </c>
      <c r="L54" t="str">
        <f>DiscreteStatsTable[[#This Row],[ProjectName]]&amp;DiscreteStatsTable[[#This Row],[Name]]&amp;DiscreteStatsTable[[#This Row],[Type]]&amp;DiscreteStatsTable[[#This Row],[Source]]</f>
        <v>Unnamed ProjectEntity 3VA CostEntity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32</v>
      </c>
      <c r="W54">
        <f>IF((DiscreteStatsTable[[#This Row],[RepsRequested]]&gt;1),DiscreteStatsTable[[#This Row],[HalfWidth]],DiscreteStatsTable[[#This Row],[BatchMeansHalfWidth]])</f>
        <v>2E+20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67</v>
      </c>
      <c r="B55" t="s">
        <v>70</v>
      </c>
      <c r="C55">
        <v>1</v>
      </c>
      <c r="D55" t="s">
        <v>94</v>
      </c>
      <c r="E55" t="s">
        <v>89</v>
      </c>
      <c r="F55" t="s">
        <v>80</v>
      </c>
      <c r="G55">
        <v>2.8617905044617999E-2</v>
      </c>
      <c r="H55">
        <v>2E+20</v>
      </c>
      <c r="I55">
        <v>2.4693548711935499E-2</v>
      </c>
      <c r="J55">
        <v>4.0728529665004801E-2</v>
      </c>
      <c r="K55">
        <v>32</v>
      </c>
      <c r="L55" t="str">
        <f>DiscreteStatsTable[[#This Row],[ProjectName]]&amp;DiscreteStatsTable[[#This Row],[Name]]&amp;DiscreteStatsTable[[#This Row],[Type]]&amp;DiscreteStatsTable[[#This Row],[Source]]</f>
        <v>Unnamed ProjectEntity 3VA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2.8617905044617999E-2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2.8617905044617999E-2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2.8617905044617999E-2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2.4693548711935499E-2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4.0728529665004801E-2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32</v>
      </c>
      <c r="W55">
        <f>IF((DiscreteStatsTable[[#This Row],[RepsRequested]]&gt;1),DiscreteStatsTable[[#This Row],[HalfWidth]],DiscreteStatsTable[[#This Row],[BatchMeansHalfWidth]])</f>
        <v>2E+20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67</v>
      </c>
      <c r="B56" t="s">
        <v>70</v>
      </c>
      <c r="C56">
        <v>1</v>
      </c>
      <c r="D56" t="s">
        <v>94</v>
      </c>
      <c r="E56" t="s">
        <v>90</v>
      </c>
      <c r="F56" t="s">
        <v>80</v>
      </c>
      <c r="G56">
        <v>0</v>
      </c>
      <c r="H56">
        <v>2E+20</v>
      </c>
      <c r="I56">
        <v>0</v>
      </c>
      <c r="J56">
        <v>0</v>
      </c>
      <c r="K56">
        <v>32</v>
      </c>
      <c r="L56" t="str">
        <f>DiscreteStatsTable[[#This Row],[ProjectName]]&amp;DiscreteStatsTable[[#This Row],[Name]]&amp;DiscreteStatsTable[[#This Row],[Type]]&amp;DiscreteStatsTable[[#This Row],[Source]]</f>
        <v>Unnamed ProjectEntity 3Wait CostEntity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32</v>
      </c>
      <c r="W56">
        <f>IF((DiscreteStatsTable[[#This Row],[RepsRequested]]&gt;1),DiscreteStatsTable[[#This Row],[HalfWidth]],DiscreteStatsTable[[#This Row],[BatchMeansHalfWidth]])</f>
        <v>2E+20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67</v>
      </c>
      <c r="B57" t="s">
        <v>70</v>
      </c>
      <c r="C57">
        <v>1</v>
      </c>
      <c r="D57" t="s">
        <v>94</v>
      </c>
      <c r="E57" t="s">
        <v>91</v>
      </c>
      <c r="F57" t="s">
        <v>80</v>
      </c>
      <c r="G57">
        <v>0.28888366124387099</v>
      </c>
      <c r="H57">
        <v>2E+20</v>
      </c>
      <c r="I57">
        <v>0.105941444046145</v>
      </c>
      <c r="J57">
        <v>3.32162236638914</v>
      </c>
      <c r="K57">
        <v>32</v>
      </c>
      <c r="L57" t="str">
        <f>DiscreteStatsTable[[#This Row],[ProjectName]]&amp;DiscreteStatsTable[[#This Row],[Name]]&amp;DiscreteStatsTable[[#This Row],[Type]]&amp;DiscreteStatsTable[[#This Row],[Source]]</f>
        <v>Unnamed ProjectEntity 3Wait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0.28888366124387099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0.28888366124387099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0.28888366124387099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0.105941444046145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3.32162236638914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32</v>
      </c>
      <c r="W57">
        <f>IF((DiscreteStatsTable[[#This Row],[RepsRequested]]&gt;1),DiscreteStatsTable[[#This Row],[HalfWidth]],DiscreteStatsTable[[#This Row],[BatchMeansHalfWidth]])</f>
        <v>2E+20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67</v>
      </c>
      <c r="B58" t="s">
        <v>70</v>
      </c>
      <c r="C58">
        <v>1</v>
      </c>
      <c r="D58" t="s">
        <v>95</v>
      </c>
      <c r="E58" t="s">
        <v>96</v>
      </c>
      <c r="F58" t="s">
        <v>97</v>
      </c>
      <c r="G58">
        <v>0</v>
      </c>
      <c r="H58">
        <v>0</v>
      </c>
      <c r="I58">
        <v>0</v>
      </c>
      <c r="J58">
        <v>0</v>
      </c>
      <c r="K58">
        <v>4195</v>
      </c>
      <c r="L58" t="str">
        <f>DiscreteStatsTable[[#This Row],[ProjectName]]&amp;DiscreteStatsTable[[#This Row],[Name]]&amp;DiscreteStatsTable[[#This Row],[Type]]&amp;DiscreteStatsTable[[#This Row],[Source]]</f>
        <v>Unnamed ProjectProcess 1Total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0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4195</v>
      </c>
      <c r="W58">
        <f>IF((DiscreteStatsTable[[#This Row],[RepsRequested]]&gt;1),DiscreteStatsTable[[#This Row],[HalfWidth]],DiscreteStatsTable[[#This Row],[BatchMeansHalfWidth]])</f>
        <v>0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67</v>
      </c>
      <c r="B59" t="s">
        <v>70</v>
      </c>
      <c r="C59">
        <v>1</v>
      </c>
      <c r="D59" t="s">
        <v>95</v>
      </c>
      <c r="E59" t="s">
        <v>98</v>
      </c>
      <c r="F59" t="s">
        <v>97</v>
      </c>
      <c r="G59">
        <v>1.5506124567044101E-2</v>
      </c>
      <c r="H59">
        <v>3E+20</v>
      </c>
      <c r="I59">
        <v>4.0517902306849204E-3</v>
      </c>
      <c r="J59">
        <v>8.0000758552306905</v>
      </c>
      <c r="K59">
        <v>4195</v>
      </c>
      <c r="L59" t="str">
        <f>DiscreteStatsTable[[#This Row],[ProjectName]]&amp;DiscreteStatsTable[[#This Row],[Name]]&amp;DiscreteStatsTable[[#This Row],[Type]]&amp;DiscreteStatsTable[[#This Row],[Source]]</f>
        <v>Unnamed ProjectProcess 1Total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1.5506124567044101E-2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1.5506124567044101E-2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1.5506124567044101E-2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4.0517902306849204E-3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8.0000758552306905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4195</v>
      </c>
      <c r="W59">
        <f>IF((DiscreteStatsTable[[#This Row],[RepsRequested]]&gt;1),DiscreteStatsTable[[#This Row],[HalfWidth]],DiscreteStatsTable[[#This Row],[BatchMeansHalfWidth]])</f>
        <v>3E+20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67</v>
      </c>
      <c r="B60" t="s">
        <v>70</v>
      </c>
      <c r="C60">
        <v>1</v>
      </c>
      <c r="D60" t="s">
        <v>95</v>
      </c>
      <c r="E60" t="s">
        <v>99</v>
      </c>
      <c r="F60" t="s">
        <v>97</v>
      </c>
      <c r="G60">
        <v>0</v>
      </c>
      <c r="H60">
        <v>0</v>
      </c>
      <c r="I60">
        <v>0</v>
      </c>
      <c r="J60">
        <v>0</v>
      </c>
      <c r="K60">
        <v>4195</v>
      </c>
      <c r="L60" t="str">
        <f>DiscreteStatsTable[[#This Row],[ProjectName]]&amp;DiscreteStatsTable[[#This Row],[Name]]&amp;DiscreteStatsTable[[#This Row],[Type]]&amp;DiscreteStatsTable[[#This Row],[Source]]</f>
        <v>Unnamed ProjectProcess 1VA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4195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67</v>
      </c>
      <c r="B61" t="s">
        <v>70</v>
      </c>
      <c r="C61">
        <v>1</v>
      </c>
      <c r="D61" t="s">
        <v>95</v>
      </c>
      <c r="E61" t="s">
        <v>100</v>
      </c>
      <c r="F61" t="s">
        <v>97</v>
      </c>
      <c r="G61">
        <v>3.3370755663654299E-3</v>
      </c>
      <c r="H61">
        <v>1.31980711851678E-5</v>
      </c>
      <c r="I61">
        <v>2.27974885024729E-3</v>
      </c>
      <c r="J61">
        <v>4.4319116929738599E-3</v>
      </c>
      <c r="K61">
        <v>4195</v>
      </c>
      <c r="L61" t="str">
        <f>DiscreteStatsTable[[#This Row],[ProjectName]]&amp;DiscreteStatsTable[[#This Row],[Name]]&amp;DiscreteStatsTable[[#This Row],[Type]]&amp;DiscreteStatsTable[[#This Row],[Source]]</f>
        <v>Unnamed ProjectProcess 1VA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3.3370755663654299E-3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3.3370755663654299E-3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3.3370755663654299E-3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2.27974885024729E-3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4.4319116929738599E-3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4195</v>
      </c>
      <c r="W61">
        <f>IF((DiscreteStatsTable[[#This Row],[RepsRequested]]&gt;1),DiscreteStatsTable[[#This Row],[HalfWidth]],DiscreteStatsTable[[#This Row],[BatchMeansHalfWidth]])</f>
        <v>1.31980711851678E-5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67</v>
      </c>
      <c r="B62" t="s">
        <v>70</v>
      </c>
      <c r="C62">
        <v>1</v>
      </c>
      <c r="D62" t="s">
        <v>95</v>
      </c>
      <c r="E62" t="s">
        <v>101</v>
      </c>
      <c r="F62" t="s">
        <v>97</v>
      </c>
      <c r="G62">
        <v>0</v>
      </c>
      <c r="H62">
        <v>0</v>
      </c>
      <c r="I62">
        <v>0</v>
      </c>
      <c r="J62">
        <v>0</v>
      </c>
      <c r="K62">
        <v>4195</v>
      </c>
      <c r="L62" s="5" t="str">
        <f>DiscreteStatsTable[[#This Row],[ProjectName]]&amp;DiscreteStatsTable[[#This Row],[Name]]&amp;DiscreteStatsTable[[#This Row],[Type]]&amp;DiscreteStatsTable[[#This Row],[Source]]</f>
        <v>Unnamed ProjectProcess 1Wait Cost Per EntityProcess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4195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67</v>
      </c>
      <c r="B63" t="s">
        <v>70</v>
      </c>
      <c r="C63">
        <v>1</v>
      </c>
      <c r="D63" t="s">
        <v>95</v>
      </c>
      <c r="E63" t="s">
        <v>102</v>
      </c>
      <c r="F63" t="s">
        <v>97</v>
      </c>
      <c r="G63">
        <v>1.2169049000678601E-2</v>
      </c>
      <c r="H63">
        <v>3E+20</v>
      </c>
      <c r="I63">
        <v>1.5076431609468699E-3</v>
      </c>
      <c r="J63">
        <v>7.9973785362475196</v>
      </c>
      <c r="K63">
        <v>4195</v>
      </c>
      <c r="L63" s="5" t="str">
        <f>DiscreteStatsTable[[#This Row],[ProjectName]]&amp;DiscreteStatsTable[[#This Row],[Name]]&amp;DiscreteStatsTable[[#This Row],[Type]]&amp;DiscreteStatsTable[[#This Row],[Source]]</f>
        <v>Unnamed ProjectProcess 1Wait Time Per EntityProcess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1.2169049000678601E-2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1.2169049000678601E-2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1.2169049000678601E-2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1.5076431609468699E-3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7.9973785362475196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4195</v>
      </c>
      <c r="W63" s="5">
        <f>IF((DiscreteStatsTable[[#This Row],[RepsRequested]]&gt;1),DiscreteStatsTable[[#This Row],[HalfWidth]],DiscreteStatsTable[[#This Row],[BatchMeansHalfWidth]])</f>
        <v>3E+20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67</v>
      </c>
      <c r="B64" t="s">
        <v>70</v>
      </c>
      <c r="C64">
        <v>1</v>
      </c>
      <c r="D64" t="s">
        <v>103</v>
      </c>
      <c r="E64" t="s">
        <v>72</v>
      </c>
      <c r="F64" t="s">
        <v>73</v>
      </c>
      <c r="G64">
        <v>0</v>
      </c>
      <c r="H64">
        <v>0</v>
      </c>
      <c r="I64">
        <v>0</v>
      </c>
      <c r="J64">
        <v>0</v>
      </c>
      <c r="K64">
        <v>4196</v>
      </c>
      <c r="L64" s="5" t="str">
        <f>DiscreteStatsTable[[#This Row],[ProjectName]]&amp;DiscreteStatsTable[[#This Row],[Name]]&amp;DiscreteStatsTable[[#This Row],[Type]]&amp;DiscreteStatsTable[[#This Row],[Source]]</f>
        <v>Unnamed ProjectProcess 1.QueueWaiting CostQueue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0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0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4196</v>
      </c>
      <c r="W64" s="5">
        <f>IF((DiscreteStatsTable[[#This Row],[RepsRequested]]&gt;1),DiscreteStatsTable[[#This Row],[HalfWidth]],DiscreteStatsTable[[#This Row],[BatchMeansHalfWidth]])</f>
        <v>0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67</v>
      </c>
      <c r="B65" t="s">
        <v>70</v>
      </c>
      <c r="C65">
        <v>1</v>
      </c>
      <c r="D65" t="s">
        <v>103</v>
      </c>
      <c r="E65" t="s">
        <v>74</v>
      </c>
      <c r="F65" t="s">
        <v>73</v>
      </c>
      <c r="G65">
        <v>1.2167119887867599E-2</v>
      </c>
      <c r="H65">
        <v>3E+20</v>
      </c>
      <c r="I65">
        <v>1.5076431609468699E-3</v>
      </c>
      <c r="J65">
        <v>7.9973785362475196</v>
      </c>
      <c r="K65">
        <v>4196</v>
      </c>
      <c r="L65" s="5" t="str">
        <f>DiscreteStatsTable[[#This Row],[ProjectName]]&amp;DiscreteStatsTable[[#This Row],[Name]]&amp;DiscreteStatsTable[[#This Row],[Type]]&amp;DiscreteStatsTable[[#This Row],[Source]]</f>
        <v>Unnamed ProjectProcess 1.QueueWaiting TimeQueue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1.2167119887867599E-2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1.2167119887867599E-2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1.2167119887867599E-2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1.5076431609468699E-3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7.9973785362475196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4196</v>
      </c>
      <c r="W65" s="5">
        <f>IF((DiscreteStatsTable[[#This Row],[RepsRequested]]&gt;1),DiscreteStatsTable[[#This Row],[HalfWidth]],DiscreteStatsTable[[#This Row],[BatchMeansHalfWidth]])</f>
        <v>3E+20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67</v>
      </c>
      <c r="B66" t="s">
        <v>70</v>
      </c>
      <c r="C66">
        <v>1</v>
      </c>
      <c r="D66" t="s">
        <v>104</v>
      </c>
      <c r="E66" t="s">
        <v>96</v>
      </c>
      <c r="F66" t="s">
        <v>97</v>
      </c>
      <c r="G66">
        <v>0</v>
      </c>
      <c r="H66">
        <v>0</v>
      </c>
      <c r="I66">
        <v>0</v>
      </c>
      <c r="J66">
        <v>0</v>
      </c>
      <c r="K66">
        <v>2818</v>
      </c>
      <c r="L66" s="5" t="str">
        <f>DiscreteStatsTable[[#This Row],[ProjectName]]&amp;DiscreteStatsTable[[#This Row],[Name]]&amp;DiscreteStatsTable[[#This Row],[Type]]&amp;DiscreteStatsTable[[#This Row],[Source]]</f>
        <v>Unnamed ProjectProcess 14Total Cost Per EntityProcess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2818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67</v>
      </c>
      <c r="B67" t="s">
        <v>70</v>
      </c>
      <c r="C67">
        <v>1</v>
      </c>
      <c r="D67" t="s">
        <v>104</v>
      </c>
      <c r="E67" t="s">
        <v>98</v>
      </c>
      <c r="F67" t="s">
        <v>97</v>
      </c>
      <c r="G67">
        <v>9.2348993199235405E-4</v>
      </c>
      <c r="H67">
        <v>5.9834399740404303E-6</v>
      </c>
      <c r="I67">
        <v>5.7498046025195005E-4</v>
      </c>
      <c r="J67">
        <v>1.3762029483377299E-3</v>
      </c>
      <c r="K67">
        <v>2818</v>
      </c>
      <c r="L67" s="5" t="str">
        <f>DiscreteStatsTable[[#This Row],[ProjectName]]&amp;DiscreteStatsTable[[#This Row],[Name]]&amp;DiscreteStatsTable[[#This Row],[Type]]&amp;DiscreteStatsTable[[#This Row],[Source]]</f>
        <v>Unnamed ProjectProcess 14Total Time Per EntityProcess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9.2348993199235405E-4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9.2348993199235405E-4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9.2348993199235405E-4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5.7498046025195005E-4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1.3762029483377299E-3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2818</v>
      </c>
      <c r="W67" s="5">
        <f>IF((DiscreteStatsTable[[#This Row],[RepsRequested]]&gt;1),DiscreteStatsTable[[#This Row],[HalfWidth]],DiscreteStatsTable[[#This Row],[BatchMeansHalfWidth]])</f>
        <v>5.9834399740404303E-6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67</v>
      </c>
      <c r="B68" t="s">
        <v>70</v>
      </c>
      <c r="C68">
        <v>1</v>
      </c>
      <c r="D68" t="s">
        <v>104</v>
      </c>
      <c r="E68" t="s">
        <v>99</v>
      </c>
      <c r="F68" t="s">
        <v>97</v>
      </c>
      <c r="G68">
        <v>0</v>
      </c>
      <c r="H68">
        <v>0</v>
      </c>
      <c r="I68">
        <v>0</v>
      </c>
      <c r="J68">
        <v>0</v>
      </c>
      <c r="K68">
        <v>2818</v>
      </c>
      <c r="L68" s="5" t="str">
        <f>DiscreteStatsTable[[#This Row],[ProjectName]]&amp;DiscreteStatsTable[[#This Row],[Name]]&amp;DiscreteStatsTable[[#This Row],[Type]]&amp;DiscreteStatsTable[[#This Row],[Source]]</f>
        <v>Unnamed ProjectProcess 14VA Cost Per EntityProcess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2818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67</v>
      </c>
      <c r="B69" t="s">
        <v>70</v>
      </c>
      <c r="C69">
        <v>1</v>
      </c>
      <c r="D69" t="s">
        <v>104</v>
      </c>
      <c r="E69" t="s">
        <v>100</v>
      </c>
      <c r="F69" t="s">
        <v>97</v>
      </c>
      <c r="G69">
        <v>9.2348993199235405E-4</v>
      </c>
      <c r="H69">
        <v>5.9834399740404303E-6</v>
      </c>
      <c r="I69">
        <v>5.7498046025195005E-4</v>
      </c>
      <c r="J69">
        <v>1.3762029483377299E-3</v>
      </c>
      <c r="K69">
        <v>2818</v>
      </c>
      <c r="L69" s="5" t="str">
        <f>DiscreteStatsTable[[#This Row],[ProjectName]]&amp;DiscreteStatsTable[[#This Row],[Name]]&amp;DiscreteStatsTable[[#This Row],[Type]]&amp;DiscreteStatsTable[[#This Row],[Source]]</f>
        <v>Unnamed ProjectProcess 14VA Time Per EntityProcess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9.2348993199235405E-4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9.2348993199235405E-4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9.2348993199235405E-4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5.7498046025195005E-4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1.3762029483377299E-3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2818</v>
      </c>
      <c r="W69" s="5">
        <f>IF((DiscreteStatsTable[[#This Row],[RepsRequested]]&gt;1),DiscreteStatsTable[[#This Row],[HalfWidth]],DiscreteStatsTable[[#This Row],[BatchMeansHalfWidth]])</f>
        <v>5.9834399740404303E-6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67</v>
      </c>
      <c r="B70" t="s">
        <v>70</v>
      </c>
      <c r="C70">
        <v>1</v>
      </c>
      <c r="D70" t="s">
        <v>104</v>
      </c>
      <c r="E70" t="s">
        <v>101</v>
      </c>
      <c r="F70" t="s">
        <v>97</v>
      </c>
      <c r="G70">
        <v>0</v>
      </c>
      <c r="H70">
        <v>0</v>
      </c>
      <c r="I70">
        <v>0</v>
      </c>
      <c r="J70">
        <v>0</v>
      </c>
      <c r="K70">
        <v>2818</v>
      </c>
      <c r="L70" s="5" t="str">
        <f>DiscreteStatsTable[[#This Row],[ProjectName]]&amp;DiscreteStatsTable[[#This Row],[Name]]&amp;DiscreteStatsTable[[#This Row],[Type]]&amp;DiscreteStatsTable[[#This Row],[Source]]</f>
        <v>Unnamed ProjectProcess 14Wait Cost Per EntityProcess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0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0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0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2818</v>
      </c>
      <c r="W70" s="5">
        <f>IF((DiscreteStatsTable[[#This Row],[RepsRequested]]&gt;1),DiscreteStatsTable[[#This Row],[HalfWidth]],DiscreteStatsTable[[#This Row],[BatchMeansHalfWidth]])</f>
        <v>0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67</v>
      </c>
      <c r="B71" t="s">
        <v>70</v>
      </c>
      <c r="C71">
        <v>1</v>
      </c>
      <c r="D71" t="s">
        <v>104</v>
      </c>
      <c r="E71" t="s">
        <v>102</v>
      </c>
      <c r="F71" t="s">
        <v>97</v>
      </c>
      <c r="G71">
        <v>0</v>
      </c>
      <c r="H71">
        <v>0</v>
      </c>
      <c r="I71">
        <v>0</v>
      </c>
      <c r="J71">
        <v>0</v>
      </c>
      <c r="K71">
        <v>2818</v>
      </c>
      <c r="L71" s="5" t="str">
        <f>DiscreteStatsTable[[#This Row],[ProjectName]]&amp;DiscreteStatsTable[[#This Row],[Name]]&amp;DiscreteStatsTable[[#This Row],[Type]]&amp;DiscreteStatsTable[[#This Row],[Source]]</f>
        <v>Unnamed ProjectProcess 14Wait Time Per EntityProcess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2818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67</v>
      </c>
      <c r="B72" t="s">
        <v>70</v>
      </c>
      <c r="C72">
        <v>1</v>
      </c>
      <c r="D72" t="s">
        <v>105</v>
      </c>
      <c r="E72" t="s">
        <v>72</v>
      </c>
      <c r="F72" t="s">
        <v>73</v>
      </c>
      <c r="G72">
        <v>0</v>
      </c>
      <c r="H72">
        <v>0</v>
      </c>
      <c r="I72">
        <v>0</v>
      </c>
      <c r="J72">
        <v>0</v>
      </c>
      <c r="K72">
        <v>2818</v>
      </c>
      <c r="L72" s="5" t="str">
        <f>DiscreteStatsTable[[#This Row],[ProjectName]]&amp;DiscreteStatsTable[[#This Row],[Name]]&amp;DiscreteStatsTable[[#This Row],[Type]]&amp;DiscreteStatsTable[[#This Row],[Source]]</f>
        <v>Unnamed ProjectProcess 14.QueueWaiting CostQueue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2818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67</v>
      </c>
      <c r="B73" t="s">
        <v>70</v>
      </c>
      <c r="C73">
        <v>1</v>
      </c>
      <c r="D73" t="s">
        <v>105</v>
      </c>
      <c r="E73" t="s">
        <v>74</v>
      </c>
      <c r="F73" t="s">
        <v>73</v>
      </c>
      <c r="G73">
        <v>0</v>
      </c>
      <c r="H73">
        <v>0</v>
      </c>
      <c r="I73">
        <v>0</v>
      </c>
      <c r="J73">
        <v>0</v>
      </c>
      <c r="K73">
        <v>2818</v>
      </c>
      <c r="L73" s="5" t="str">
        <f>DiscreteStatsTable[[#This Row],[ProjectName]]&amp;DiscreteStatsTable[[#This Row],[Name]]&amp;DiscreteStatsTable[[#This Row],[Type]]&amp;DiscreteStatsTable[[#This Row],[Source]]</f>
        <v>Unnamed ProjectProcess 14.QueueWaiting TimeQueue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0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0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2818</v>
      </c>
      <c r="W73" s="5">
        <f>IF((DiscreteStatsTable[[#This Row],[RepsRequested]]&gt;1),DiscreteStatsTable[[#This Row],[HalfWidth]],DiscreteStatsTable[[#This Row],[BatchMeansHalfWidth]])</f>
        <v>0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67</v>
      </c>
      <c r="B74" t="s">
        <v>70</v>
      </c>
      <c r="C74">
        <v>1</v>
      </c>
      <c r="D74" t="s">
        <v>106</v>
      </c>
      <c r="E74" t="s">
        <v>96</v>
      </c>
      <c r="F74" t="s">
        <v>97</v>
      </c>
      <c r="G74">
        <v>0</v>
      </c>
      <c r="H74">
        <v>0</v>
      </c>
      <c r="I74">
        <v>0</v>
      </c>
      <c r="J74">
        <v>0</v>
      </c>
      <c r="K74">
        <v>4193</v>
      </c>
      <c r="L74" s="5" t="str">
        <f>DiscreteStatsTable[[#This Row],[ProjectName]]&amp;DiscreteStatsTable[[#This Row],[Name]]&amp;DiscreteStatsTable[[#This Row],[Type]]&amp;DiscreteStatsTable[[#This Row],[Source]]</f>
        <v>Unnamed ProjectProcess 2Total Cost Per EntityProcess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4193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67</v>
      </c>
      <c r="B75" t="s">
        <v>70</v>
      </c>
      <c r="C75">
        <v>1</v>
      </c>
      <c r="D75" t="s">
        <v>106</v>
      </c>
      <c r="E75" t="s">
        <v>98</v>
      </c>
      <c r="F75" t="s">
        <v>97</v>
      </c>
      <c r="G75">
        <v>2.85473496429792E-3</v>
      </c>
      <c r="H75">
        <v>1.76094461761863E-3</v>
      </c>
      <c r="I75">
        <v>8.4975853797431E-4</v>
      </c>
      <c r="J75">
        <v>0.99996002445603005</v>
      </c>
      <c r="K75">
        <v>4193</v>
      </c>
      <c r="L75" s="5" t="str">
        <f>DiscreteStatsTable[[#This Row],[ProjectName]]&amp;DiscreteStatsTable[[#This Row],[Name]]&amp;DiscreteStatsTable[[#This Row],[Type]]&amp;DiscreteStatsTable[[#This Row],[Source]]</f>
        <v>Unnamed ProjectProcess 2Total Time Per EntityProcess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2.85473496429792E-3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2.85473496429792E-3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2.85473496429792E-3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8.4975853797431E-4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0.99996002445603005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4193</v>
      </c>
      <c r="W75" s="5">
        <f>IF((DiscreteStatsTable[[#This Row],[RepsRequested]]&gt;1),DiscreteStatsTable[[#This Row],[HalfWidth]],DiscreteStatsTable[[#This Row],[BatchMeansHalfWidth]])</f>
        <v>1.76094461761863E-3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67</v>
      </c>
      <c r="B76" t="s">
        <v>70</v>
      </c>
      <c r="C76">
        <v>1</v>
      </c>
      <c r="D76" t="s">
        <v>106</v>
      </c>
      <c r="E76" t="s">
        <v>99</v>
      </c>
      <c r="F76" t="s">
        <v>97</v>
      </c>
      <c r="G76">
        <v>0</v>
      </c>
      <c r="H76">
        <v>0</v>
      </c>
      <c r="I76">
        <v>0</v>
      </c>
      <c r="J76">
        <v>0</v>
      </c>
      <c r="K76">
        <v>4193</v>
      </c>
      <c r="L76" s="5" t="str">
        <f>DiscreteStatsTable[[#This Row],[ProjectName]]&amp;DiscreteStatsTable[[#This Row],[Name]]&amp;DiscreteStatsTable[[#This Row],[Type]]&amp;DiscreteStatsTable[[#This Row],[Source]]</f>
        <v>Unnamed ProjectProcess 2VA Cost Per EntityProcess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0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0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0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4193</v>
      </c>
      <c r="W76" s="5">
        <f>IF((DiscreteStatsTable[[#This Row],[RepsRequested]]&gt;1),DiscreteStatsTable[[#This Row],[HalfWidth]],DiscreteStatsTable[[#This Row],[BatchMeansHalfWidth]])</f>
        <v>0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67</v>
      </c>
      <c r="B77" t="s">
        <v>70</v>
      </c>
      <c r="C77">
        <v>1</v>
      </c>
      <c r="D77" t="s">
        <v>106</v>
      </c>
      <c r="E77" t="s">
        <v>100</v>
      </c>
      <c r="F77" t="s">
        <v>97</v>
      </c>
      <c r="G77">
        <v>1.66367747207923E-3</v>
      </c>
      <c r="H77">
        <v>9.0865320198744907E-6</v>
      </c>
      <c r="I77">
        <v>8.4975853797431E-4</v>
      </c>
      <c r="J77">
        <v>2.4898955234622399E-3</v>
      </c>
      <c r="K77">
        <v>4193</v>
      </c>
      <c r="L77" s="5" t="str">
        <f>DiscreteStatsTable[[#This Row],[ProjectName]]&amp;DiscreteStatsTable[[#This Row],[Name]]&amp;DiscreteStatsTable[[#This Row],[Type]]&amp;DiscreteStatsTable[[#This Row],[Source]]</f>
        <v>Unnamed ProjectProcess 2VA Time Per EntityProcess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1.66367747207923E-3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1.66367747207923E-3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1.66367747207923E-3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8.4975853797431E-4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2.4898955234622399E-3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4193</v>
      </c>
      <c r="W77" s="5">
        <f>IF((DiscreteStatsTable[[#This Row],[RepsRequested]]&gt;1),DiscreteStatsTable[[#This Row],[HalfWidth]],DiscreteStatsTable[[#This Row],[BatchMeansHalfWidth]])</f>
        <v>9.0865320198744907E-6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67</v>
      </c>
      <c r="B78" t="s">
        <v>70</v>
      </c>
      <c r="C78">
        <v>1</v>
      </c>
      <c r="D78" t="s">
        <v>106</v>
      </c>
      <c r="E78" t="s">
        <v>101</v>
      </c>
      <c r="F78" t="s">
        <v>97</v>
      </c>
      <c r="G78">
        <v>0</v>
      </c>
      <c r="H78">
        <v>0</v>
      </c>
      <c r="I78">
        <v>0</v>
      </c>
      <c r="J78">
        <v>0</v>
      </c>
      <c r="K78">
        <v>4193</v>
      </c>
      <c r="L78" s="5" t="str">
        <f>DiscreteStatsTable[[#This Row],[ProjectName]]&amp;DiscreteStatsTable[[#This Row],[Name]]&amp;DiscreteStatsTable[[#This Row],[Type]]&amp;DiscreteStatsTable[[#This Row],[Source]]</f>
        <v>Unnamed ProjectProcess 2Wait Cost Per EntityProcess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4193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67</v>
      </c>
      <c r="B79" t="s">
        <v>70</v>
      </c>
      <c r="C79">
        <v>1</v>
      </c>
      <c r="D79" t="s">
        <v>106</v>
      </c>
      <c r="E79" t="s">
        <v>102</v>
      </c>
      <c r="F79" t="s">
        <v>97</v>
      </c>
      <c r="G79">
        <v>1.19105749221868E-3</v>
      </c>
      <c r="H79">
        <v>1.76307333267762E-3</v>
      </c>
      <c r="I79">
        <v>0</v>
      </c>
      <c r="J79">
        <v>0.99887965490322395</v>
      </c>
      <c r="K79">
        <v>4193</v>
      </c>
      <c r="L79" s="5" t="str">
        <f>DiscreteStatsTable[[#This Row],[ProjectName]]&amp;DiscreteStatsTable[[#This Row],[Name]]&amp;DiscreteStatsTable[[#This Row],[Type]]&amp;DiscreteStatsTable[[#This Row],[Source]]</f>
        <v>Unnamed ProjectProcess 2Wait Time Per EntityProcess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1.19105749221868E-3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1.19105749221868E-3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1.19105749221868E-3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0.99887965490322395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4193</v>
      </c>
      <c r="W79" s="5">
        <f>IF((DiscreteStatsTable[[#This Row],[RepsRequested]]&gt;1),DiscreteStatsTable[[#This Row],[HalfWidth]],DiscreteStatsTable[[#This Row],[BatchMeansHalfWidth]])</f>
        <v>1.76307333267762E-3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67</v>
      </c>
      <c r="B80" t="s">
        <v>70</v>
      </c>
      <c r="C80">
        <v>1</v>
      </c>
      <c r="D80" t="s">
        <v>107</v>
      </c>
      <c r="E80" t="s">
        <v>72</v>
      </c>
      <c r="F80" t="s">
        <v>73</v>
      </c>
      <c r="G80">
        <v>0</v>
      </c>
      <c r="H80">
        <v>0</v>
      </c>
      <c r="I80">
        <v>0</v>
      </c>
      <c r="J80">
        <v>0</v>
      </c>
      <c r="K80">
        <v>4194</v>
      </c>
      <c r="L80" s="5" t="str">
        <f>DiscreteStatsTable[[#This Row],[ProjectName]]&amp;DiscreteStatsTable[[#This Row],[Name]]&amp;DiscreteStatsTable[[#This Row],[Type]]&amp;DiscreteStatsTable[[#This Row],[Source]]</f>
        <v>Unnamed ProjectProcess 2.QueueWaiting CostQueue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4194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67</v>
      </c>
      <c r="B81" t="s">
        <v>70</v>
      </c>
      <c r="C81">
        <v>1</v>
      </c>
      <c r="D81" t="s">
        <v>107</v>
      </c>
      <c r="E81" t="s">
        <v>74</v>
      </c>
      <c r="F81" t="s">
        <v>73</v>
      </c>
      <c r="G81">
        <v>1.1907735014003099E-3</v>
      </c>
      <c r="H81">
        <v>1.76307333267762E-3</v>
      </c>
      <c r="I81">
        <v>0</v>
      </c>
      <c r="J81">
        <v>0.99887965490322395</v>
      </c>
      <c r="K81">
        <v>4194</v>
      </c>
      <c r="L81" s="5" t="str">
        <f>DiscreteStatsTable[[#This Row],[ProjectName]]&amp;DiscreteStatsTable[[#This Row],[Name]]&amp;DiscreteStatsTable[[#This Row],[Type]]&amp;DiscreteStatsTable[[#This Row],[Source]]</f>
        <v>Unnamed ProjectProcess 2.QueueWaiting TimeQueue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1.1907735014003099E-3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1.1907735014003099E-3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1.1907735014003099E-3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0.99887965490322395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4194</v>
      </c>
      <c r="W81" s="5">
        <f>IF((DiscreteStatsTable[[#This Row],[RepsRequested]]&gt;1),DiscreteStatsTable[[#This Row],[HalfWidth]],DiscreteStatsTable[[#This Row],[BatchMeansHalfWidth]])</f>
        <v>1.76307333267762E-3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67</v>
      </c>
      <c r="B82" t="s">
        <v>70</v>
      </c>
      <c r="C82">
        <v>1</v>
      </c>
      <c r="D82" t="s">
        <v>108</v>
      </c>
      <c r="E82" t="s">
        <v>96</v>
      </c>
      <c r="F82" t="s">
        <v>97</v>
      </c>
      <c r="G82">
        <v>0</v>
      </c>
      <c r="H82">
        <v>0</v>
      </c>
      <c r="I82">
        <v>0</v>
      </c>
      <c r="J82">
        <v>0</v>
      </c>
      <c r="K82">
        <v>4192</v>
      </c>
      <c r="L82" s="5" t="str">
        <f>DiscreteStatsTable[[#This Row],[ProjectName]]&amp;DiscreteStatsTable[[#This Row],[Name]]&amp;DiscreteStatsTable[[#This Row],[Type]]&amp;DiscreteStatsTable[[#This Row],[Source]]</f>
        <v>Unnamed ProjectProcess 3Total Cost Per EntityProcess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1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4192</v>
      </c>
      <c r="W82" s="5">
        <f>IF((DiscreteStatsTable[[#This Row],[RepsRequested]]&gt;1),DiscreteStatsTable[[#This Row],[HalfWidth]],DiscreteStatsTable[[#This Row],[BatchMeansHalfWidth]])</f>
        <v>0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1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67</v>
      </c>
      <c r="B83" t="s">
        <v>70</v>
      </c>
      <c r="C83">
        <v>1</v>
      </c>
      <c r="D83" t="s">
        <v>108</v>
      </c>
      <c r="E83" t="s">
        <v>98</v>
      </c>
      <c r="F83" t="s">
        <v>97</v>
      </c>
      <c r="G83">
        <v>4.2648943662273496E-3</v>
      </c>
      <c r="H83">
        <v>1.1036037478179301E-3</v>
      </c>
      <c r="I83">
        <v>2.7812016783812501E-3</v>
      </c>
      <c r="J83">
        <v>1.0047351753867799</v>
      </c>
      <c r="K83">
        <v>4192</v>
      </c>
      <c r="L83" s="5" t="str">
        <f>DiscreteStatsTable[[#This Row],[ProjectName]]&amp;DiscreteStatsTable[[#This Row],[Name]]&amp;DiscreteStatsTable[[#This Row],[Type]]&amp;DiscreteStatsTable[[#This Row],[Source]]</f>
        <v>Unnamed ProjectProcess 3Total Time Per EntityProcess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1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4.2648943662273496E-3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4.2648943662273496E-3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4.2648943662273496E-3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2.7812016783812501E-3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1.0047351753867799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4192</v>
      </c>
      <c r="W83" s="5">
        <f>IF((DiscreteStatsTable[[#This Row],[RepsRequested]]&gt;1),DiscreteStatsTable[[#This Row],[HalfWidth]],DiscreteStatsTable[[#This Row],[BatchMeansHalfWidth]])</f>
        <v>1.1036037478179301E-3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1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67</v>
      </c>
      <c r="B84" t="s">
        <v>70</v>
      </c>
      <c r="C84">
        <v>1</v>
      </c>
      <c r="D84" t="s">
        <v>108</v>
      </c>
      <c r="E84" t="s">
        <v>99</v>
      </c>
      <c r="F84" t="s">
        <v>97</v>
      </c>
      <c r="G84">
        <v>0</v>
      </c>
      <c r="H84">
        <v>0</v>
      </c>
      <c r="I84">
        <v>0</v>
      </c>
      <c r="J84">
        <v>0</v>
      </c>
      <c r="K84">
        <v>4192</v>
      </c>
      <c r="L84" s="5" t="str">
        <f>DiscreteStatsTable[[#This Row],[ProjectName]]&amp;DiscreteStatsTable[[#This Row],[Name]]&amp;DiscreteStatsTable[[#This Row],[Type]]&amp;DiscreteStatsTable[[#This Row],[Source]]</f>
        <v>Unnamed ProjectProcess 3VA Cost Per EntityProcess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1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4192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1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67</v>
      </c>
      <c r="B85" t="s">
        <v>70</v>
      </c>
      <c r="C85">
        <v>1</v>
      </c>
      <c r="D85" t="s">
        <v>108</v>
      </c>
      <c r="E85" t="s">
        <v>100</v>
      </c>
      <c r="F85" t="s">
        <v>97</v>
      </c>
      <c r="G85">
        <v>3.05850768794919E-3</v>
      </c>
      <c r="H85">
        <v>3.4802944743200201E-6</v>
      </c>
      <c r="I85">
        <v>2.7812016783812501E-3</v>
      </c>
      <c r="J85">
        <v>3.3303157934412302E-3</v>
      </c>
      <c r="K85">
        <v>4192</v>
      </c>
      <c r="L85" s="5" t="str">
        <f>DiscreteStatsTable[[#This Row],[ProjectName]]&amp;DiscreteStatsTable[[#This Row],[Name]]&amp;DiscreteStatsTable[[#This Row],[Type]]&amp;DiscreteStatsTable[[#This Row],[Source]]</f>
        <v>Unnamed ProjectProcess 3VA Time Per EntityProcess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1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3.05850768794919E-3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3.05850768794919E-3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3.05850768794919E-3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2.7812016783812501E-3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3.3303157934412302E-3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4192</v>
      </c>
      <c r="W85" s="5">
        <f>IF((DiscreteStatsTable[[#This Row],[RepsRequested]]&gt;1),DiscreteStatsTable[[#This Row],[HalfWidth]],DiscreteStatsTable[[#This Row],[BatchMeansHalfWidth]])</f>
        <v>3.4802944743200201E-6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1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67</v>
      </c>
      <c r="B86" t="s">
        <v>70</v>
      </c>
      <c r="C86">
        <v>1</v>
      </c>
      <c r="D86" t="s">
        <v>108</v>
      </c>
      <c r="E86" t="s">
        <v>101</v>
      </c>
      <c r="F86" t="s">
        <v>97</v>
      </c>
      <c r="G86">
        <v>0</v>
      </c>
      <c r="H86">
        <v>0</v>
      </c>
      <c r="I86">
        <v>0</v>
      </c>
      <c r="J86">
        <v>0</v>
      </c>
      <c r="K86">
        <v>4192</v>
      </c>
      <c r="L86" s="5" t="str">
        <f>DiscreteStatsTable[[#This Row],[ProjectName]]&amp;DiscreteStatsTable[[#This Row],[Name]]&amp;DiscreteStatsTable[[#This Row],[Type]]&amp;DiscreteStatsTable[[#This Row],[Source]]</f>
        <v>Unnamed ProjectProcess 3Wait Cost Per EntityProcess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1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4192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1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67</v>
      </c>
      <c r="B87" t="s">
        <v>70</v>
      </c>
      <c r="C87">
        <v>1</v>
      </c>
      <c r="D87" t="s">
        <v>108</v>
      </c>
      <c r="E87" t="s">
        <v>102</v>
      </c>
      <c r="F87" t="s">
        <v>97</v>
      </c>
      <c r="G87">
        <v>1.20638667827817E-3</v>
      </c>
      <c r="H87">
        <v>1.1030906118940499E-3</v>
      </c>
      <c r="I87">
        <v>0</v>
      </c>
      <c r="J87">
        <v>1.00157777489091</v>
      </c>
      <c r="K87">
        <v>4192</v>
      </c>
      <c r="L87" s="5" t="str">
        <f>DiscreteStatsTable[[#This Row],[ProjectName]]&amp;DiscreteStatsTable[[#This Row],[Name]]&amp;DiscreteStatsTable[[#This Row],[Type]]&amp;DiscreteStatsTable[[#This Row],[Source]]</f>
        <v>Unnamed ProjectProcess 3Wait Time Per EntityProcess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1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1.20638667827817E-3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1.20638667827817E-3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1.20638667827817E-3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1.00157777489091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4192</v>
      </c>
      <c r="W87" s="5">
        <f>IF((DiscreteStatsTable[[#This Row],[RepsRequested]]&gt;1),DiscreteStatsTable[[#This Row],[HalfWidth]],DiscreteStatsTable[[#This Row],[BatchMeansHalfWidth]])</f>
        <v>1.1030906118940499E-3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1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67</v>
      </c>
      <c r="B88" t="s">
        <v>70</v>
      </c>
      <c r="C88">
        <v>1</v>
      </c>
      <c r="D88" t="s">
        <v>109</v>
      </c>
      <c r="E88" t="s">
        <v>72</v>
      </c>
      <c r="F88" t="s">
        <v>73</v>
      </c>
      <c r="G88">
        <v>0</v>
      </c>
      <c r="H88">
        <v>0</v>
      </c>
      <c r="I88">
        <v>0</v>
      </c>
      <c r="J88">
        <v>0</v>
      </c>
      <c r="K88">
        <v>4193</v>
      </c>
      <c r="L88" s="5" t="str">
        <f>DiscreteStatsTable[[#This Row],[ProjectName]]&amp;DiscreteStatsTable[[#This Row],[Name]]&amp;DiscreteStatsTable[[#This Row],[Type]]&amp;DiscreteStatsTable[[#This Row],[Source]]</f>
        <v>Unnamed ProjectProcess 3.QueueWaiting CostQueue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1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4193</v>
      </c>
      <c r="W88" s="5">
        <f>IF((DiscreteStatsTable[[#This Row],[RepsRequested]]&gt;1),DiscreteStatsTable[[#This Row],[HalfWidth]],DiscreteStatsTable[[#This Row],[BatchMeansHalfWidth]])</f>
        <v>0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1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67</v>
      </c>
      <c r="B89" t="s">
        <v>70</v>
      </c>
      <c r="C89">
        <v>1</v>
      </c>
      <c r="D89" t="s">
        <v>109</v>
      </c>
      <c r="E89" t="s">
        <v>74</v>
      </c>
      <c r="F89" t="s">
        <v>73</v>
      </c>
      <c r="G89">
        <v>1.2060989638307E-3</v>
      </c>
      <c r="H89">
        <v>1.1030906118940499E-3</v>
      </c>
      <c r="I89">
        <v>0</v>
      </c>
      <c r="J89">
        <v>1.00157777489091</v>
      </c>
      <c r="K89">
        <v>4193</v>
      </c>
      <c r="L89" s="5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1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1.2060989638307E-3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1.2060989638307E-3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1.2060989638307E-3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1.00157777489091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4193</v>
      </c>
      <c r="W89" s="5">
        <f>IF((DiscreteStatsTable[[#This Row],[RepsRequested]]&gt;1),DiscreteStatsTable[[#This Row],[HalfWidth]],DiscreteStatsTable[[#This Row],[BatchMeansHalfWidth]])</f>
        <v>1.1030906118940499E-3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1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67</v>
      </c>
      <c r="B90" t="s">
        <v>70</v>
      </c>
      <c r="C90">
        <v>1</v>
      </c>
      <c r="D90" t="s">
        <v>110</v>
      </c>
      <c r="E90" t="s">
        <v>96</v>
      </c>
      <c r="F90" t="s">
        <v>97</v>
      </c>
      <c r="G90">
        <v>0</v>
      </c>
      <c r="H90">
        <v>0</v>
      </c>
      <c r="I90">
        <v>0</v>
      </c>
      <c r="J90">
        <v>0</v>
      </c>
      <c r="K90">
        <v>2023</v>
      </c>
      <c r="L90" s="5" t="str">
        <f>DiscreteStatsTable[[#This Row],[ProjectName]]&amp;DiscreteStatsTable[[#This Row],[Name]]&amp;DiscreteStatsTable[[#This Row],[Type]]&amp;DiscreteStatsTable[[#This Row],[Source]]</f>
        <v>Unnamed ProjectProcess 4Total Cost Per EntityProcess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1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2023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1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67</v>
      </c>
      <c r="B91" t="s">
        <v>70</v>
      </c>
      <c r="C91">
        <v>1</v>
      </c>
      <c r="D91" t="s">
        <v>110</v>
      </c>
      <c r="E91" t="s">
        <v>98</v>
      </c>
      <c r="F91" t="s">
        <v>97</v>
      </c>
      <c r="G91">
        <v>1.16930685159152E-2</v>
      </c>
      <c r="H91">
        <v>3E+20</v>
      </c>
      <c r="I91">
        <v>8.9713796901946796E-4</v>
      </c>
      <c r="J91">
        <v>8.0003582705983103</v>
      </c>
      <c r="K91">
        <v>2023</v>
      </c>
      <c r="L91" s="5" t="str">
        <f>DiscreteStatsTable[[#This Row],[ProjectName]]&amp;DiscreteStatsTable[[#This Row],[Name]]&amp;DiscreteStatsTable[[#This Row],[Type]]&amp;DiscreteStatsTable[[#This Row],[Source]]</f>
        <v>Unnamed ProjectProcess 4Total Time Per EntityProcess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1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1.16930685159152E-2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1.16930685159152E-2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1.16930685159152E-2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8.9713796901946796E-4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8.0003582705983103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2023</v>
      </c>
      <c r="W91" s="5">
        <f>IF((DiscreteStatsTable[[#This Row],[RepsRequested]]&gt;1),DiscreteStatsTable[[#This Row],[HalfWidth]],DiscreteStatsTable[[#This Row],[BatchMeansHalfWidth]])</f>
        <v>3E+20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1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67</v>
      </c>
      <c r="B92" t="s">
        <v>70</v>
      </c>
      <c r="C92">
        <v>1</v>
      </c>
      <c r="D92" t="s">
        <v>110</v>
      </c>
      <c r="E92" t="s">
        <v>99</v>
      </c>
      <c r="F92" t="s">
        <v>97</v>
      </c>
      <c r="G92">
        <v>0</v>
      </c>
      <c r="H92">
        <v>0</v>
      </c>
      <c r="I92">
        <v>0</v>
      </c>
      <c r="J92">
        <v>0</v>
      </c>
      <c r="K92">
        <v>2023</v>
      </c>
      <c r="L92" s="5" t="str">
        <f>DiscreteStatsTable[[#This Row],[ProjectName]]&amp;DiscreteStatsTable[[#This Row],[Name]]&amp;DiscreteStatsTable[[#This Row],[Type]]&amp;DiscreteStatsTable[[#This Row],[Source]]</f>
        <v>Unnamed ProjectProcess 4VA Cost Per EntityProcess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1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2023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1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67</v>
      </c>
      <c r="B93" t="s">
        <v>70</v>
      </c>
      <c r="C93">
        <v>1</v>
      </c>
      <c r="D93" t="s">
        <v>110</v>
      </c>
      <c r="E93" t="s">
        <v>100</v>
      </c>
      <c r="F93" t="s">
        <v>97</v>
      </c>
      <c r="G93">
        <v>1.95337032969288E-3</v>
      </c>
      <c r="H93">
        <v>1.41282150716664E-5</v>
      </c>
      <c r="I93">
        <v>8.9713796901946796E-4</v>
      </c>
      <c r="J93">
        <v>2.7780930111536099E-3</v>
      </c>
      <c r="K93">
        <v>2023</v>
      </c>
      <c r="L93" s="5" t="str">
        <f>DiscreteStatsTable[[#This Row],[ProjectName]]&amp;DiscreteStatsTable[[#This Row],[Name]]&amp;DiscreteStatsTable[[#This Row],[Type]]&amp;DiscreteStatsTable[[#This Row],[Source]]</f>
        <v>Unnamed ProjectProcess 4VA Time Per EntityProcess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1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1.95337032969288E-3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1.95337032969288E-3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1.95337032969288E-3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8.9713796901946796E-4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2.7780930111536099E-3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2023</v>
      </c>
      <c r="W93" s="5">
        <f>IF((DiscreteStatsTable[[#This Row],[RepsRequested]]&gt;1),DiscreteStatsTable[[#This Row],[HalfWidth]],DiscreteStatsTable[[#This Row],[BatchMeansHalfWidth]])</f>
        <v>1.41282150716664E-5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1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67</v>
      </c>
      <c r="B94" t="s">
        <v>70</v>
      </c>
      <c r="C94">
        <v>1</v>
      </c>
      <c r="D94" t="s">
        <v>110</v>
      </c>
      <c r="E94" t="s">
        <v>101</v>
      </c>
      <c r="F94" t="s">
        <v>97</v>
      </c>
      <c r="G94">
        <v>0</v>
      </c>
      <c r="H94">
        <v>0</v>
      </c>
      <c r="I94">
        <v>0</v>
      </c>
      <c r="J94">
        <v>0</v>
      </c>
      <c r="K94">
        <v>2023</v>
      </c>
      <c r="L94" s="5" t="str">
        <f>DiscreteStatsTable[[#This Row],[ProjectName]]&amp;DiscreteStatsTable[[#This Row],[Name]]&amp;DiscreteStatsTable[[#This Row],[Type]]&amp;DiscreteStatsTable[[#This Row],[Source]]</f>
        <v>Unnamed ProjectProcess 4Wait Cost Per EntityProcess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1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2023</v>
      </c>
      <c r="W94" s="5">
        <f>IF((DiscreteStatsTable[[#This Row],[RepsRequested]]&gt;1),DiscreteStatsTable[[#This Row],[HalfWidth]],DiscreteStatsTable[[#This Row],[BatchMeansHalfWidth]])</f>
        <v>0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1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67</v>
      </c>
      <c r="B95" t="s">
        <v>70</v>
      </c>
      <c r="C95">
        <v>1</v>
      </c>
      <c r="D95" t="s">
        <v>110</v>
      </c>
      <c r="E95" t="s">
        <v>102</v>
      </c>
      <c r="F95" t="s">
        <v>97</v>
      </c>
      <c r="G95">
        <v>9.7396981862222197E-3</v>
      </c>
      <c r="H95">
        <v>3E+20</v>
      </c>
      <c r="I95">
        <v>0</v>
      </c>
      <c r="J95">
        <v>7.9977128924139098</v>
      </c>
      <c r="K95">
        <v>2023</v>
      </c>
      <c r="L95" s="5" t="str">
        <f>DiscreteStatsTable[[#This Row],[ProjectName]]&amp;DiscreteStatsTable[[#This Row],[Name]]&amp;DiscreteStatsTable[[#This Row],[Type]]&amp;DiscreteStatsTable[[#This Row],[Source]]</f>
        <v>Unnamed ProjectProcess 4Wait Time Per EntityProcess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1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9.7396981862222197E-3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9.7396981862222197E-3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9.7396981862222197E-3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7.9977128924139098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2023</v>
      </c>
      <c r="W95" s="5">
        <f>IF((DiscreteStatsTable[[#This Row],[RepsRequested]]&gt;1),DiscreteStatsTable[[#This Row],[HalfWidth]],DiscreteStatsTable[[#This Row],[BatchMeansHalfWidth]])</f>
        <v>3E+20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1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67</v>
      </c>
      <c r="B96" t="s">
        <v>70</v>
      </c>
      <c r="C96">
        <v>1</v>
      </c>
      <c r="D96" t="s">
        <v>111</v>
      </c>
      <c r="E96" t="s">
        <v>72</v>
      </c>
      <c r="F96" t="s">
        <v>73</v>
      </c>
      <c r="G96">
        <v>0</v>
      </c>
      <c r="H96">
        <v>0</v>
      </c>
      <c r="I96">
        <v>0</v>
      </c>
      <c r="J96">
        <v>0</v>
      </c>
      <c r="K96">
        <v>2023</v>
      </c>
      <c r="L96" s="5" t="str">
        <f>DiscreteStatsTable[[#This Row],[ProjectName]]&amp;DiscreteStatsTable[[#This Row],[Name]]&amp;DiscreteStatsTable[[#This Row],[Type]]&amp;DiscreteStatsTable[[#This Row],[Source]]</f>
        <v>Unnamed ProjectProcess 4.QueueWaiting CostQueue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1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2023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1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67</v>
      </c>
      <c r="B97" t="s">
        <v>70</v>
      </c>
      <c r="C97">
        <v>1</v>
      </c>
      <c r="D97" t="s">
        <v>111</v>
      </c>
      <c r="E97" t="s">
        <v>74</v>
      </c>
      <c r="F97" t="s">
        <v>73</v>
      </c>
      <c r="G97">
        <v>9.7396981862222197E-3</v>
      </c>
      <c r="H97">
        <v>3E+20</v>
      </c>
      <c r="I97">
        <v>0</v>
      </c>
      <c r="J97">
        <v>7.9977128924139098</v>
      </c>
      <c r="K97">
        <v>2023</v>
      </c>
      <c r="L97" s="5" t="str">
        <f>DiscreteStatsTable[[#This Row],[ProjectName]]&amp;DiscreteStatsTable[[#This Row],[Name]]&amp;DiscreteStatsTable[[#This Row],[Type]]&amp;DiscreteStatsTable[[#This Row],[Source]]</f>
        <v>Unnamed ProjectProcess 4.QueueWaiting TimeQueue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1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9.7396981862222197E-3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9.7396981862222197E-3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9.7396981862222197E-3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7.9977128924139098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2023</v>
      </c>
      <c r="W97" s="5">
        <f>IF((DiscreteStatsTable[[#This Row],[RepsRequested]]&gt;1),DiscreteStatsTable[[#This Row],[HalfWidth]],DiscreteStatsTable[[#This Row],[BatchMeansHalfWidth]])</f>
        <v>3E+20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1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67</v>
      </c>
      <c r="B98" t="s">
        <v>70</v>
      </c>
      <c r="C98">
        <v>1</v>
      </c>
      <c r="D98" t="s">
        <v>112</v>
      </c>
      <c r="E98" t="s">
        <v>96</v>
      </c>
      <c r="F98" t="s">
        <v>97</v>
      </c>
      <c r="G98">
        <v>0</v>
      </c>
      <c r="H98">
        <v>0</v>
      </c>
      <c r="I98">
        <v>0</v>
      </c>
      <c r="J98">
        <v>0</v>
      </c>
      <c r="K98">
        <v>2021</v>
      </c>
      <c r="L98" s="5" t="str">
        <f>DiscreteStatsTable[[#This Row],[ProjectName]]&amp;DiscreteStatsTable[[#This Row],[Name]]&amp;DiscreteStatsTable[[#This Row],[Type]]&amp;DiscreteStatsTable[[#This Row],[Source]]</f>
        <v>Unnamed ProjectProcess 5Total Cost Per EntityProcess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1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2021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1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67</v>
      </c>
      <c r="B99" t="s">
        <v>70</v>
      </c>
      <c r="C99">
        <v>1</v>
      </c>
      <c r="D99" t="s">
        <v>112</v>
      </c>
      <c r="E99" t="s">
        <v>98</v>
      </c>
      <c r="F99" t="s">
        <v>97</v>
      </c>
      <c r="G99">
        <v>3.7572714915572901E-3</v>
      </c>
      <c r="H99">
        <v>1.4224738009402599E-3</v>
      </c>
      <c r="I99">
        <v>2.2479024509252099E-3</v>
      </c>
      <c r="J99">
        <v>0.99796594047532705</v>
      </c>
      <c r="K99">
        <v>2021</v>
      </c>
      <c r="L99" s="5" t="str">
        <f>DiscreteStatsTable[[#This Row],[ProjectName]]&amp;DiscreteStatsTable[[#This Row],[Name]]&amp;DiscreteStatsTable[[#This Row],[Type]]&amp;DiscreteStatsTable[[#This Row],[Source]]</f>
        <v>Unnamed ProjectProcess 5Total Time Per EntityProcess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1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3.7572714915572901E-3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3.7572714915572901E-3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3.7572714915572901E-3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2.2479024509252099E-3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0.99796594047532705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2021</v>
      </c>
      <c r="W99" s="5">
        <f>IF((DiscreteStatsTable[[#This Row],[RepsRequested]]&gt;1),DiscreteStatsTable[[#This Row],[HalfWidth]],DiscreteStatsTable[[#This Row],[BatchMeansHalfWidth]])</f>
        <v>1.4224738009402599E-3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1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67</v>
      </c>
      <c r="B100" t="s">
        <v>70</v>
      </c>
      <c r="C100">
        <v>1</v>
      </c>
      <c r="D100" t="s">
        <v>112</v>
      </c>
      <c r="E100" t="s">
        <v>99</v>
      </c>
      <c r="F100" t="s">
        <v>97</v>
      </c>
      <c r="G100">
        <v>0</v>
      </c>
      <c r="H100">
        <v>0</v>
      </c>
      <c r="I100">
        <v>0</v>
      </c>
      <c r="J100">
        <v>0</v>
      </c>
      <c r="K100">
        <v>2021</v>
      </c>
      <c r="L100" s="5" t="str">
        <f>DiscreteStatsTable[[#This Row],[ProjectName]]&amp;DiscreteStatsTable[[#This Row],[Name]]&amp;DiscreteStatsTable[[#This Row],[Type]]&amp;DiscreteStatsTable[[#This Row],[Source]]</f>
        <v>Unnamed ProjectProcess 5VA Cost Per EntityProcess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1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2021</v>
      </c>
      <c r="W100" s="5">
        <f>IF((DiscreteStatsTable[[#This Row],[RepsRequested]]&gt;1),DiscreteStatsTable[[#This Row],[HalfWidth]],DiscreteStatsTable[[#This Row],[BatchMeansHalfWidth]])</f>
        <v>0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1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67</v>
      </c>
      <c r="B101" t="s">
        <v>70</v>
      </c>
      <c r="C101">
        <v>1</v>
      </c>
      <c r="D101" t="s">
        <v>112</v>
      </c>
      <c r="E101" t="s">
        <v>100</v>
      </c>
      <c r="F101" t="s">
        <v>97</v>
      </c>
      <c r="G101">
        <v>2.7710215081433801E-3</v>
      </c>
      <c r="H101">
        <v>1.1391854670328199E-5</v>
      </c>
      <c r="I101">
        <v>2.2479024509252099E-3</v>
      </c>
      <c r="J101">
        <v>3.32494864058219E-3</v>
      </c>
      <c r="K101">
        <v>2021</v>
      </c>
      <c r="L101" s="5" t="str">
        <f>DiscreteStatsTable[[#This Row],[ProjectName]]&amp;DiscreteStatsTable[[#This Row],[Name]]&amp;DiscreteStatsTable[[#This Row],[Type]]&amp;DiscreteStatsTable[[#This Row],[Source]]</f>
        <v>Unnamed ProjectProcess 5VA Time Per EntityProcess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1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2.7710215081433801E-3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2.7710215081433801E-3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2.7710215081433801E-3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2.2479024509252099E-3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3.32494864058219E-3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2021</v>
      </c>
      <c r="W101" s="5">
        <f>IF((DiscreteStatsTable[[#This Row],[RepsRequested]]&gt;1),DiscreteStatsTable[[#This Row],[HalfWidth]],DiscreteStatsTable[[#This Row],[BatchMeansHalfWidth]])</f>
        <v>1.1391854670328199E-5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1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67</v>
      </c>
      <c r="B102" t="s">
        <v>70</v>
      </c>
      <c r="C102">
        <v>1</v>
      </c>
      <c r="D102" t="s">
        <v>112</v>
      </c>
      <c r="E102" t="s">
        <v>101</v>
      </c>
      <c r="F102" t="s">
        <v>97</v>
      </c>
      <c r="G102">
        <v>0</v>
      </c>
      <c r="H102">
        <v>0</v>
      </c>
      <c r="I102">
        <v>0</v>
      </c>
      <c r="J102">
        <v>0</v>
      </c>
      <c r="K102">
        <v>2021</v>
      </c>
      <c r="L102" s="5" t="str">
        <f>DiscreteStatsTable[[#This Row],[ProjectName]]&amp;DiscreteStatsTable[[#This Row],[Name]]&amp;DiscreteStatsTable[[#This Row],[Type]]&amp;DiscreteStatsTable[[#This Row],[Source]]</f>
        <v>Unnamed ProjectProcess 5Wait Cost Per EntityProcess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1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2021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1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67</v>
      </c>
      <c r="B103" t="s">
        <v>70</v>
      </c>
      <c r="C103">
        <v>1</v>
      </c>
      <c r="D103" t="s">
        <v>112</v>
      </c>
      <c r="E103" t="s">
        <v>102</v>
      </c>
      <c r="F103" t="s">
        <v>97</v>
      </c>
      <c r="G103">
        <v>9.8624998341391001E-4</v>
      </c>
      <c r="H103">
        <v>1.4230314710354599E-3</v>
      </c>
      <c r="I103">
        <v>0</v>
      </c>
      <c r="J103">
        <v>0.99523521451780494</v>
      </c>
      <c r="K103">
        <v>2021</v>
      </c>
      <c r="L103" s="5" t="str">
        <f>DiscreteStatsTable[[#This Row],[ProjectName]]&amp;DiscreteStatsTable[[#This Row],[Name]]&amp;DiscreteStatsTable[[#This Row],[Type]]&amp;DiscreteStatsTable[[#This Row],[Source]]</f>
        <v>Unnamed ProjectProcess 5Wait Time Per EntityProcess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1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9.8624998341391001E-4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9.8624998341391001E-4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9.8624998341391001E-4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0.99523521451780494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2021</v>
      </c>
      <c r="W103" s="5">
        <f>IF((DiscreteStatsTable[[#This Row],[RepsRequested]]&gt;1),DiscreteStatsTable[[#This Row],[HalfWidth]],DiscreteStatsTable[[#This Row],[BatchMeansHalfWidth]])</f>
        <v>1.4230314710354599E-3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1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67</v>
      </c>
      <c r="B104" t="s">
        <v>70</v>
      </c>
      <c r="C104">
        <v>1</v>
      </c>
      <c r="D104" t="s">
        <v>113</v>
      </c>
      <c r="E104" t="s">
        <v>72</v>
      </c>
      <c r="F104" t="s">
        <v>73</v>
      </c>
      <c r="G104">
        <v>0</v>
      </c>
      <c r="H104">
        <v>0</v>
      </c>
      <c r="I104">
        <v>0</v>
      </c>
      <c r="J104">
        <v>0</v>
      </c>
      <c r="K104">
        <v>2022</v>
      </c>
      <c r="L104" s="5" t="str">
        <f>DiscreteStatsTable[[#This Row],[ProjectName]]&amp;DiscreteStatsTable[[#This Row],[Name]]&amp;DiscreteStatsTable[[#This Row],[Type]]&amp;DiscreteStatsTable[[#This Row],[Source]]</f>
        <v>Unnamed ProjectProcess 5.QueueWaiting CostQueue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1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2022</v>
      </c>
      <c r="W104" s="5">
        <f>IF((DiscreteStatsTable[[#This Row],[RepsRequested]]&gt;1),DiscreteStatsTable[[#This Row],[HalfWidth]],DiscreteStatsTable[[#This Row],[BatchMeansHalfWidth]])</f>
        <v>0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1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67</v>
      </c>
      <c r="B105" t="s">
        <v>70</v>
      </c>
      <c r="C105">
        <v>1</v>
      </c>
      <c r="D105" t="s">
        <v>113</v>
      </c>
      <c r="E105" t="s">
        <v>74</v>
      </c>
      <c r="F105" t="s">
        <v>73</v>
      </c>
      <c r="G105">
        <v>9.857622237781959E-4</v>
      </c>
      <c r="H105">
        <v>1.4230314710354599E-3</v>
      </c>
      <c r="I105">
        <v>0</v>
      </c>
      <c r="J105">
        <v>0.99523521451780494</v>
      </c>
      <c r="K105">
        <v>2022</v>
      </c>
      <c r="L105" s="5" t="str">
        <f>DiscreteStatsTable[[#This Row],[ProjectName]]&amp;DiscreteStatsTable[[#This Row],[Name]]&amp;DiscreteStatsTable[[#This Row],[Type]]&amp;DiscreteStatsTable[[#This Row],[Source]]</f>
        <v>Unnamed ProjectProcess 5.QueueWaiting TimeQueue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1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9.857622237781959E-4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9.857622237781959E-4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9.857622237781959E-4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0.99523521451780494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2022</v>
      </c>
      <c r="W105" s="5">
        <f>IF((DiscreteStatsTable[[#This Row],[RepsRequested]]&gt;1),DiscreteStatsTable[[#This Row],[HalfWidth]],DiscreteStatsTable[[#This Row],[BatchMeansHalfWidth]])</f>
        <v>1.4230314710354599E-3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1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67</v>
      </c>
      <c r="B106" t="s">
        <v>70</v>
      </c>
      <c r="C106">
        <v>1</v>
      </c>
      <c r="D106" t="s">
        <v>114</v>
      </c>
      <c r="E106" t="s">
        <v>96</v>
      </c>
      <c r="F106" t="s">
        <v>97</v>
      </c>
      <c r="G106">
        <v>0</v>
      </c>
      <c r="H106">
        <v>0</v>
      </c>
      <c r="I106">
        <v>0</v>
      </c>
      <c r="J106">
        <v>0</v>
      </c>
      <c r="K106">
        <v>2014</v>
      </c>
      <c r="L106" s="5" t="str">
        <f>DiscreteStatsTable[[#This Row],[ProjectName]]&amp;DiscreteStatsTable[[#This Row],[Name]]&amp;DiscreteStatsTable[[#This Row],[Type]]&amp;DiscreteStatsTable[[#This Row],[Source]]</f>
        <v>Unnamed ProjectProcess 6Total Cost Per EntityProcess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1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2014</v>
      </c>
      <c r="W106" s="5">
        <f>IF((DiscreteStatsTable[[#This Row],[RepsRequested]]&gt;1),DiscreteStatsTable[[#This Row],[HalfWidth]],DiscreteStatsTable[[#This Row],[BatchMeansHalfWidth]])</f>
        <v>0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1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67</v>
      </c>
      <c r="B107" t="s">
        <v>70</v>
      </c>
      <c r="C107">
        <v>1</v>
      </c>
      <c r="D107" t="s">
        <v>114</v>
      </c>
      <c r="E107" t="s">
        <v>98</v>
      </c>
      <c r="F107" t="s">
        <v>97</v>
      </c>
      <c r="G107">
        <v>2.6160429464394501E-2</v>
      </c>
      <c r="H107">
        <v>5.7510289079358099E-3</v>
      </c>
      <c r="I107">
        <v>6.1961403559003302E-3</v>
      </c>
      <c r="J107">
        <v>1.0247721151365801</v>
      </c>
      <c r="K107">
        <v>2014</v>
      </c>
      <c r="L107" s="5" t="str">
        <f>DiscreteStatsTable[[#This Row],[ProjectName]]&amp;DiscreteStatsTable[[#This Row],[Name]]&amp;DiscreteStatsTable[[#This Row],[Type]]&amp;DiscreteStatsTable[[#This Row],[Source]]</f>
        <v>Unnamed ProjectProcess 6Total Time Per EntityProcess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1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2.6160429464394501E-2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2.6160429464394501E-2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2.6160429464394501E-2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6.1961403559003302E-3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1.0247721151365801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2014</v>
      </c>
      <c r="W107" s="5">
        <f>IF((DiscreteStatsTable[[#This Row],[RepsRequested]]&gt;1),DiscreteStatsTable[[#This Row],[HalfWidth]],DiscreteStatsTable[[#This Row],[BatchMeansHalfWidth]])</f>
        <v>5.7510289079358099E-3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1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67</v>
      </c>
      <c r="B108" t="s">
        <v>70</v>
      </c>
      <c r="C108">
        <v>1</v>
      </c>
      <c r="D108" t="s">
        <v>114</v>
      </c>
      <c r="E108" t="s">
        <v>99</v>
      </c>
      <c r="F108" t="s">
        <v>97</v>
      </c>
      <c r="G108">
        <v>0</v>
      </c>
      <c r="H108">
        <v>0</v>
      </c>
      <c r="I108">
        <v>0</v>
      </c>
      <c r="J108">
        <v>0</v>
      </c>
      <c r="K108">
        <v>2014</v>
      </c>
      <c r="L108" s="5" t="str">
        <f>DiscreteStatsTable[[#This Row],[ProjectName]]&amp;DiscreteStatsTable[[#This Row],[Name]]&amp;DiscreteStatsTable[[#This Row],[Type]]&amp;DiscreteStatsTable[[#This Row],[Source]]</f>
        <v>Unnamed ProjectProcess 6VA Cost Per EntityProcess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1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2014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1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67</v>
      </c>
      <c r="B109" t="s">
        <v>70</v>
      </c>
      <c r="C109">
        <v>1</v>
      </c>
      <c r="D109" t="s">
        <v>114</v>
      </c>
      <c r="E109" t="s">
        <v>100</v>
      </c>
      <c r="F109" t="s">
        <v>97</v>
      </c>
      <c r="G109">
        <v>6.94443146012252E-3</v>
      </c>
      <c r="H109">
        <v>2.7110166223064701E-5</v>
      </c>
      <c r="I109">
        <v>5.5969585350936803E-3</v>
      </c>
      <c r="J109">
        <v>8.3111748020794404E-3</v>
      </c>
      <c r="K109">
        <v>2014</v>
      </c>
      <c r="L109" s="5" t="str">
        <f>DiscreteStatsTable[[#This Row],[ProjectName]]&amp;DiscreteStatsTable[[#This Row],[Name]]&amp;DiscreteStatsTable[[#This Row],[Type]]&amp;DiscreteStatsTable[[#This Row],[Source]]</f>
        <v>Unnamed ProjectProcess 6VA Time Per EntityProcess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1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6.94443146012252E-3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6.94443146012252E-3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6.94443146012252E-3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5.5969585350936803E-3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8.3111748020794404E-3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2014</v>
      </c>
      <c r="W109" s="5">
        <f>IF((DiscreteStatsTable[[#This Row],[RepsRequested]]&gt;1),DiscreteStatsTable[[#This Row],[HalfWidth]],DiscreteStatsTable[[#This Row],[BatchMeansHalfWidth]])</f>
        <v>2.7110166223064701E-5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1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67</v>
      </c>
      <c r="B110" t="s">
        <v>70</v>
      </c>
      <c r="C110">
        <v>1</v>
      </c>
      <c r="D110" t="s">
        <v>114</v>
      </c>
      <c r="E110" t="s">
        <v>101</v>
      </c>
      <c r="F110" t="s">
        <v>97</v>
      </c>
      <c r="G110">
        <v>0</v>
      </c>
      <c r="H110">
        <v>0</v>
      </c>
      <c r="I110">
        <v>0</v>
      </c>
      <c r="J110">
        <v>0</v>
      </c>
      <c r="K110">
        <v>2014</v>
      </c>
      <c r="L110" s="5" t="str">
        <f>DiscreteStatsTable[[#This Row],[ProjectName]]&amp;DiscreteStatsTable[[#This Row],[Name]]&amp;DiscreteStatsTable[[#This Row],[Type]]&amp;DiscreteStatsTable[[#This Row],[Source]]</f>
        <v>Unnamed ProjectProcess 6Wait Cost Per EntityProcess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1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2014</v>
      </c>
      <c r="W110" s="5">
        <f>IF((DiscreteStatsTable[[#This Row],[RepsRequested]]&gt;1),DiscreteStatsTable[[#This Row],[HalfWidth]],DiscreteStatsTable[[#This Row],[BatchMeansHalfWidth]])</f>
        <v>0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1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67</v>
      </c>
      <c r="B111" t="s">
        <v>70</v>
      </c>
      <c r="C111">
        <v>1</v>
      </c>
      <c r="D111" t="s">
        <v>114</v>
      </c>
      <c r="E111" t="s">
        <v>102</v>
      </c>
      <c r="F111" t="s">
        <v>97</v>
      </c>
      <c r="G111">
        <v>1.9215998004272001E-2</v>
      </c>
      <c r="H111">
        <v>5.7453255304478696E-3</v>
      </c>
      <c r="I111">
        <v>0</v>
      </c>
      <c r="J111">
        <v>1.01815548013261</v>
      </c>
      <c r="K111">
        <v>2014</v>
      </c>
      <c r="L111" s="5" t="str">
        <f>DiscreteStatsTable[[#This Row],[ProjectName]]&amp;DiscreteStatsTable[[#This Row],[Name]]&amp;DiscreteStatsTable[[#This Row],[Type]]&amp;DiscreteStatsTable[[#This Row],[Source]]</f>
        <v>Unnamed ProjectProcess 6Wait Time Per EntityProcess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1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1.9215998004272001E-2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1.9215998004272001E-2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1.9215998004272001E-2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1.01815548013261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2014</v>
      </c>
      <c r="W111" s="5">
        <f>IF((DiscreteStatsTable[[#This Row],[RepsRequested]]&gt;1),DiscreteStatsTable[[#This Row],[HalfWidth]],DiscreteStatsTable[[#This Row],[BatchMeansHalfWidth]])</f>
        <v>5.7453255304478696E-3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1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67</v>
      </c>
      <c r="B112" t="s">
        <v>70</v>
      </c>
      <c r="C112">
        <v>1</v>
      </c>
      <c r="D112" t="s">
        <v>115</v>
      </c>
      <c r="E112" t="s">
        <v>72</v>
      </c>
      <c r="F112" t="s">
        <v>73</v>
      </c>
      <c r="G112">
        <v>0</v>
      </c>
      <c r="H112">
        <v>0</v>
      </c>
      <c r="I112">
        <v>0</v>
      </c>
      <c r="J112">
        <v>0</v>
      </c>
      <c r="K112">
        <v>2015</v>
      </c>
      <c r="L112" s="5" t="str">
        <f>DiscreteStatsTable[[#This Row],[ProjectName]]&amp;DiscreteStatsTable[[#This Row],[Name]]&amp;DiscreteStatsTable[[#This Row],[Type]]&amp;DiscreteStatsTable[[#This Row],[Source]]</f>
        <v>Unnamed ProjectProcess 6.QueueWaiting CostQueue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1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2015</v>
      </c>
      <c r="W112" s="5">
        <f>IF((DiscreteStatsTable[[#This Row],[RepsRequested]]&gt;1),DiscreteStatsTable[[#This Row],[HalfWidth]],DiscreteStatsTable[[#This Row],[BatchMeansHalfWidth]])</f>
        <v>0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1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67</v>
      </c>
      <c r="B113" t="s">
        <v>70</v>
      </c>
      <c r="C113">
        <v>1</v>
      </c>
      <c r="D113" t="s">
        <v>115</v>
      </c>
      <c r="E113" t="s">
        <v>74</v>
      </c>
      <c r="F113" t="s">
        <v>73</v>
      </c>
      <c r="G113">
        <v>1.92134499818277E-2</v>
      </c>
      <c r="H113">
        <v>5.7453255304478696E-3</v>
      </c>
      <c r="I113">
        <v>0</v>
      </c>
      <c r="J113">
        <v>1.01815548013261</v>
      </c>
      <c r="K113">
        <v>2015</v>
      </c>
      <c r="L113" s="5" t="str">
        <f>DiscreteStatsTable[[#This Row],[ProjectName]]&amp;DiscreteStatsTable[[#This Row],[Name]]&amp;DiscreteStatsTable[[#This Row],[Type]]&amp;DiscreteStatsTable[[#This Row],[Source]]</f>
        <v>Unnamed ProjectProcess 6.QueueWaiting TimeQueue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1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1.92134499818277E-2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1.92134499818277E-2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1.92134499818277E-2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1.01815548013261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2015</v>
      </c>
      <c r="W113" s="5">
        <f>IF((DiscreteStatsTable[[#This Row],[RepsRequested]]&gt;1),DiscreteStatsTable[[#This Row],[HalfWidth]],DiscreteStatsTable[[#This Row],[BatchMeansHalfWidth]])</f>
        <v>5.7453255304478696E-3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1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67</v>
      </c>
      <c r="B114" t="s">
        <v>70</v>
      </c>
      <c r="C114">
        <v>1</v>
      </c>
      <c r="D114" t="s">
        <v>116</v>
      </c>
      <c r="E114" t="s">
        <v>96</v>
      </c>
      <c r="F114" t="s">
        <v>97</v>
      </c>
      <c r="G114">
        <v>0</v>
      </c>
      <c r="H114">
        <v>0</v>
      </c>
      <c r="I114">
        <v>0</v>
      </c>
      <c r="J114">
        <v>0</v>
      </c>
      <c r="K114">
        <v>2013</v>
      </c>
      <c r="L114" s="5" t="str">
        <f>DiscreteStatsTable[[#This Row],[ProjectName]]&amp;DiscreteStatsTable[[#This Row],[Name]]&amp;DiscreteStatsTable[[#This Row],[Type]]&amp;DiscreteStatsTable[[#This Row],[Source]]</f>
        <v>Unnamed ProjectProcess 7Total Cost Per EntityProcess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1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2013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1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67</v>
      </c>
      <c r="B115" t="s">
        <v>70</v>
      </c>
      <c r="C115">
        <v>1</v>
      </c>
      <c r="D115" t="s">
        <v>116</v>
      </c>
      <c r="E115" t="s">
        <v>98</v>
      </c>
      <c r="F115" t="s">
        <v>97</v>
      </c>
      <c r="G115">
        <v>5.3091193776964004E-3</v>
      </c>
      <c r="H115">
        <v>2.8516069544035202E-3</v>
      </c>
      <c r="I115">
        <v>1.0187343846546099E-3</v>
      </c>
      <c r="J115">
        <v>1.0023769568424801</v>
      </c>
      <c r="K115">
        <v>2013</v>
      </c>
      <c r="L115" s="5" t="str">
        <f>DiscreteStatsTable[[#This Row],[ProjectName]]&amp;DiscreteStatsTable[[#This Row],[Name]]&amp;DiscreteStatsTable[[#This Row],[Type]]&amp;DiscreteStatsTable[[#This Row],[Source]]</f>
        <v>Unnamed ProjectProcess 7Total Time Per EntityProcess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1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5.3091193776964004E-3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5.3091193776964004E-3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5.3091193776964004E-3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1.0187343846546099E-3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1.0023769568424801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2013</v>
      </c>
      <c r="W115" s="5">
        <f>IF((DiscreteStatsTable[[#This Row],[RepsRequested]]&gt;1),DiscreteStatsTable[[#This Row],[HalfWidth]],DiscreteStatsTable[[#This Row],[BatchMeansHalfWidth]])</f>
        <v>2.8516069544035202E-3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1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67</v>
      </c>
      <c r="B116" t="s">
        <v>70</v>
      </c>
      <c r="C116">
        <v>1</v>
      </c>
      <c r="D116" t="s">
        <v>116</v>
      </c>
      <c r="E116" t="s">
        <v>99</v>
      </c>
      <c r="F116" t="s">
        <v>97</v>
      </c>
      <c r="G116">
        <v>0</v>
      </c>
      <c r="H116">
        <v>0</v>
      </c>
      <c r="I116">
        <v>0</v>
      </c>
      <c r="J116">
        <v>0</v>
      </c>
      <c r="K116">
        <v>2013</v>
      </c>
      <c r="L116" s="5" t="str">
        <f>DiscreteStatsTable[[#This Row],[ProjectName]]&amp;DiscreteStatsTable[[#This Row],[Name]]&amp;DiscreteStatsTable[[#This Row],[Type]]&amp;DiscreteStatsTable[[#This Row],[Source]]</f>
        <v>Unnamed ProjectProcess 7VA Cost Per EntityProcess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1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2013</v>
      </c>
      <c r="W116" s="5">
        <f>IF((DiscreteStatsTable[[#This Row],[RepsRequested]]&gt;1),DiscreteStatsTable[[#This Row],[HalfWidth]],DiscreteStatsTable[[#This Row],[BatchMeansHalfWidth]])</f>
        <v>0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1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67</v>
      </c>
      <c r="B117" t="s">
        <v>70</v>
      </c>
      <c r="C117">
        <v>1</v>
      </c>
      <c r="D117" t="s">
        <v>116</v>
      </c>
      <c r="E117" t="s">
        <v>100</v>
      </c>
      <c r="F117" t="s">
        <v>97</v>
      </c>
      <c r="G117">
        <v>3.3304516814194099E-3</v>
      </c>
      <c r="H117">
        <v>2.6014975276011499E-5</v>
      </c>
      <c r="I117">
        <v>1.0187343846546099E-3</v>
      </c>
      <c r="J117">
        <v>5.1138704822903903E-3</v>
      </c>
      <c r="K117">
        <v>2013</v>
      </c>
      <c r="L117" s="5" t="str">
        <f>DiscreteStatsTable[[#This Row],[ProjectName]]&amp;DiscreteStatsTable[[#This Row],[Name]]&amp;DiscreteStatsTable[[#This Row],[Type]]&amp;DiscreteStatsTable[[#This Row],[Source]]</f>
        <v>Unnamed ProjectProcess 7VA Time Per EntityProcess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1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3.3304516814194099E-3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3.3304516814194099E-3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3.3304516814194099E-3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1.0187343846546099E-3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5.1138704822903903E-3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2013</v>
      </c>
      <c r="W117" s="5">
        <f>IF((DiscreteStatsTable[[#This Row],[RepsRequested]]&gt;1),DiscreteStatsTable[[#This Row],[HalfWidth]],DiscreteStatsTable[[#This Row],[BatchMeansHalfWidth]])</f>
        <v>2.6014975276011499E-5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1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67</v>
      </c>
      <c r="B118" t="s">
        <v>70</v>
      </c>
      <c r="C118">
        <v>1</v>
      </c>
      <c r="D118" t="s">
        <v>116</v>
      </c>
      <c r="E118" t="s">
        <v>101</v>
      </c>
      <c r="F118" t="s">
        <v>97</v>
      </c>
      <c r="G118">
        <v>0</v>
      </c>
      <c r="H118">
        <v>0</v>
      </c>
      <c r="I118">
        <v>0</v>
      </c>
      <c r="J118">
        <v>0</v>
      </c>
      <c r="K118">
        <v>2013</v>
      </c>
      <c r="L118" s="5" t="str">
        <f>DiscreteStatsTable[[#This Row],[ProjectName]]&amp;DiscreteStatsTable[[#This Row],[Name]]&amp;DiscreteStatsTable[[#This Row],[Type]]&amp;DiscreteStatsTable[[#This Row],[Source]]</f>
        <v>Unnamed ProjectProcess 7Wait Cost Per EntityProcess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1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2013</v>
      </c>
      <c r="W118" s="5">
        <f>IF((DiscreteStatsTable[[#This Row],[RepsRequested]]&gt;1),DiscreteStatsTable[[#This Row],[HalfWidth]],DiscreteStatsTable[[#This Row],[BatchMeansHalfWidth]])</f>
        <v>0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1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67</v>
      </c>
      <c r="B119" t="s">
        <v>70</v>
      </c>
      <c r="C119">
        <v>1</v>
      </c>
      <c r="D119" t="s">
        <v>116</v>
      </c>
      <c r="E119" t="s">
        <v>102</v>
      </c>
      <c r="F119" t="s">
        <v>97</v>
      </c>
      <c r="G119">
        <v>1.97866769627699E-3</v>
      </c>
      <c r="H119">
        <v>2.8472704709670998E-3</v>
      </c>
      <c r="I119">
        <v>0</v>
      </c>
      <c r="J119">
        <v>0.99918646846566395</v>
      </c>
      <c r="K119">
        <v>2013</v>
      </c>
      <c r="L119" s="5" t="str">
        <f>DiscreteStatsTable[[#This Row],[ProjectName]]&amp;DiscreteStatsTable[[#This Row],[Name]]&amp;DiscreteStatsTable[[#This Row],[Type]]&amp;DiscreteStatsTable[[#This Row],[Source]]</f>
        <v>Unnamed ProjectProcess 7Wait Time Per EntityProcess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1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1.97866769627699E-3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1.97866769627699E-3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1.97866769627699E-3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0.99918646846566395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2013</v>
      </c>
      <c r="W119" s="5">
        <f>IF((DiscreteStatsTable[[#This Row],[RepsRequested]]&gt;1),DiscreteStatsTable[[#This Row],[HalfWidth]],DiscreteStatsTable[[#This Row],[BatchMeansHalfWidth]])</f>
        <v>2.8472704709670998E-3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1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67</v>
      </c>
      <c r="B120" t="s">
        <v>70</v>
      </c>
      <c r="C120">
        <v>1</v>
      </c>
      <c r="D120" t="s">
        <v>117</v>
      </c>
      <c r="E120" t="s">
        <v>72</v>
      </c>
      <c r="F120" t="s">
        <v>73</v>
      </c>
      <c r="G120">
        <v>0</v>
      </c>
      <c r="H120">
        <v>0</v>
      </c>
      <c r="I120">
        <v>0</v>
      </c>
      <c r="J120">
        <v>0</v>
      </c>
      <c r="K120">
        <v>2014</v>
      </c>
      <c r="L120" s="5" t="str">
        <f>DiscreteStatsTable[[#This Row],[ProjectName]]&amp;DiscreteStatsTable[[#This Row],[Name]]&amp;DiscreteStatsTable[[#This Row],[Type]]&amp;DiscreteStatsTable[[#This Row],[Source]]</f>
        <v>Unnamed ProjectProcess 7.QueueWaiting CostQueue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1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2014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1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67</v>
      </c>
      <c r="B121" t="s">
        <v>70</v>
      </c>
      <c r="C121">
        <v>1</v>
      </c>
      <c r="D121" t="s">
        <v>117</v>
      </c>
      <c r="E121" t="s">
        <v>74</v>
      </c>
      <c r="F121" t="s">
        <v>73</v>
      </c>
      <c r="G121">
        <v>1.9776852396254101E-3</v>
      </c>
      <c r="H121">
        <v>2.8472704709670998E-3</v>
      </c>
      <c r="I121">
        <v>0</v>
      </c>
      <c r="J121">
        <v>0.99918646846566395</v>
      </c>
      <c r="K121">
        <v>2014</v>
      </c>
      <c r="L121" s="5" t="str">
        <f>DiscreteStatsTable[[#This Row],[ProjectName]]&amp;DiscreteStatsTable[[#This Row],[Name]]&amp;DiscreteStatsTable[[#This Row],[Type]]&amp;DiscreteStatsTable[[#This Row],[Source]]</f>
        <v>Unnamed ProjectProcess 7.QueueWaiting TimeQueue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1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1.9776852396254101E-3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1.9776852396254101E-3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1.9776852396254101E-3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0.99918646846566395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2014</v>
      </c>
      <c r="W121" s="5">
        <f>IF((DiscreteStatsTable[[#This Row],[RepsRequested]]&gt;1),DiscreteStatsTable[[#This Row],[HalfWidth]],DiscreteStatsTable[[#This Row],[BatchMeansHalfWidth]])</f>
        <v>2.8472704709670998E-3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1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67</v>
      </c>
      <c r="B122" t="s">
        <v>70</v>
      </c>
      <c r="C122">
        <v>1</v>
      </c>
      <c r="D122" t="s">
        <v>118</v>
      </c>
      <c r="E122" t="s">
        <v>96</v>
      </c>
      <c r="F122" t="s">
        <v>97</v>
      </c>
      <c r="G122">
        <v>0</v>
      </c>
      <c r="H122">
        <v>0</v>
      </c>
      <c r="I122">
        <v>0</v>
      </c>
      <c r="J122">
        <v>0</v>
      </c>
      <c r="K122">
        <v>8698</v>
      </c>
      <c r="L122" s="5" t="str">
        <f>DiscreteStatsTable[[#This Row],[ProjectName]]&amp;DiscreteStatsTable[[#This Row],[Name]]&amp;DiscreteStatsTable[[#This Row],[Type]]&amp;DiscreteStatsTable[[#This Row],[Source]]</f>
        <v>Unnamed ProjectProcess 8Total Cost Per EntityProcess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8698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67</v>
      </c>
      <c r="B123" t="s">
        <v>70</v>
      </c>
      <c r="C123">
        <v>1</v>
      </c>
      <c r="D123" t="s">
        <v>118</v>
      </c>
      <c r="E123" t="s">
        <v>98</v>
      </c>
      <c r="F123" t="s">
        <v>97</v>
      </c>
      <c r="G123">
        <v>6.4240582788332203E-3</v>
      </c>
      <c r="H123">
        <v>3E+20</v>
      </c>
      <c r="I123">
        <v>3.7720932485640901E-4</v>
      </c>
      <c r="J123">
        <v>7.9983909706167502</v>
      </c>
      <c r="K123">
        <v>8698</v>
      </c>
      <c r="L123" s="5" t="str">
        <f>DiscreteStatsTable[[#This Row],[ProjectName]]&amp;DiscreteStatsTable[[#This Row],[Name]]&amp;DiscreteStatsTable[[#This Row],[Type]]&amp;DiscreteStatsTable[[#This Row],[Source]]</f>
        <v>Unnamed ProjectProcess 8Total Time Per EntityProcess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6.4240582788332203E-3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6.4240582788332203E-3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6.4240582788332203E-3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3.7720932485640901E-4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7.9983909706167502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8698</v>
      </c>
      <c r="W123" s="5">
        <f>IF((DiscreteStatsTable[[#This Row],[RepsRequested]]&gt;1),DiscreteStatsTable[[#This Row],[HalfWidth]],DiscreteStatsTable[[#This Row],[BatchMeansHalfWidth]])</f>
        <v>3E+20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67</v>
      </c>
      <c r="B124" t="s">
        <v>70</v>
      </c>
      <c r="C124">
        <v>1</v>
      </c>
      <c r="D124" t="s">
        <v>118</v>
      </c>
      <c r="E124" t="s">
        <v>99</v>
      </c>
      <c r="F124" t="s">
        <v>97</v>
      </c>
      <c r="G124">
        <v>0</v>
      </c>
      <c r="H124">
        <v>0</v>
      </c>
      <c r="I124">
        <v>0</v>
      </c>
      <c r="J124">
        <v>0</v>
      </c>
      <c r="K124">
        <v>8698</v>
      </c>
      <c r="L124" s="5" t="str">
        <f>DiscreteStatsTable[[#This Row],[ProjectName]]&amp;DiscreteStatsTable[[#This Row],[Name]]&amp;DiscreteStatsTable[[#This Row],[Type]]&amp;DiscreteStatsTable[[#This Row],[Source]]</f>
        <v>Unnamed ProjectProcess 8VA Cost Per EntityProcess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8698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67</v>
      </c>
      <c r="B125" t="s">
        <v>70</v>
      </c>
      <c r="C125">
        <v>1</v>
      </c>
      <c r="D125" t="s">
        <v>118</v>
      </c>
      <c r="E125" t="s">
        <v>100</v>
      </c>
      <c r="F125" t="s">
        <v>97</v>
      </c>
      <c r="G125">
        <v>1.39248126237719E-3</v>
      </c>
      <c r="H125">
        <v>4.8241127351894697E-6</v>
      </c>
      <c r="I125">
        <v>3.7720932485640901E-4</v>
      </c>
      <c r="J125">
        <v>2.38218035337212E-3</v>
      </c>
      <c r="K125">
        <v>8698</v>
      </c>
      <c r="L125" s="5" t="str">
        <f>DiscreteStatsTable[[#This Row],[ProjectName]]&amp;DiscreteStatsTable[[#This Row],[Name]]&amp;DiscreteStatsTable[[#This Row],[Type]]&amp;DiscreteStatsTable[[#This Row],[Source]]</f>
        <v>Unnamed ProjectProcess 8VA Time Per EntityProcess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1.39248126237719E-3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1.39248126237719E-3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1.39248126237719E-3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3.7720932485640901E-4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2.38218035337212E-3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8698</v>
      </c>
      <c r="W125" s="5">
        <f>IF((DiscreteStatsTable[[#This Row],[RepsRequested]]&gt;1),DiscreteStatsTable[[#This Row],[HalfWidth]],DiscreteStatsTable[[#This Row],[BatchMeansHalfWidth]])</f>
        <v>4.8241127351894697E-6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67</v>
      </c>
      <c r="B126" t="s">
        <v>70</v>
      </c>
      <c r="C126">
        <v>1</v>
      </c>
      <c r="D126" t="s">
        <v>118</v>
      </c>
      <c r="E126" t="s">
        <v>101</v>
      </c>
      <c r="F126" t="s">
        <v>97</v>
      </c>
      <c r="G126">
        <v>0</v>
      </c>
      <c r="H126">
        <v>0</v>
      </c>
      <c r="I126">
        <v>0</v>
      </c>
      <c r="J126">
        <v>0</v>
      </c>
      <c r="K126">
        <v>8698</v>
      </c>
      <c r="L126" s="5" t="str">
        <f>DiscreteStatsTable[[#This Row],[ProjectName]]&amp;DiscreteStatsTable[[#This Row],[Name]]&amp;DiscreteStatsTable[[#This Row],[Type]]&amp;DiscreteStatsTable[[#This Row],[Source]]</f>
        <v>Unnamed ProjectProcess 8Wait Cost Per EntityProcess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8698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67</v>
      </c>
      <c r="B127" t="s">
        <v>70</v>
      </c>
      <c r="C127">
        <v>1</v>
      </c>
      <c r="D127" t="s">
        <v>118</v>
      </c>
      <c r="E127" t="s">
        <v>102</v>
      </c>
      <c r="F127" t="s">
        <v>97</v>
      </c>
      <c r="G127">
        <v>5.0315770164560004E-3</v>
      </c>
      <c r="H127">
        <v>3E+20</v>
      </c>
      <c r="I127">
        <v>0</v>
      </c>
      <c r="J127">
        <v>7.9976473242317301</v>
      </c>
      <c r="K127">
        <v>8698</v>
      </c>
      <c r="L127" s="5" t="str">
        <f>DiscreteStatsTable[[#This Row],[ProjectName]]&amp;DiscreteStatsTable[[#This Row],[Name]]&amp;DiscreteStatsTable[[#This Row],[Type]]&amp;DiscreteStatsTable[[#This Row],[Source]]</f>
        <v>Unnamed ProjectProcess 8Wait Time Per EntityProcess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5.0315770164560004E-3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5.0315770164560004E-3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5.0315770164560004E-3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7.9976473242317301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8698</v>
      </c>
      <c r="W127" s="5">
        <f>IF((DiscreteStatsTable[[#This Row],[RepsRequested]]&gt;1),DiscreteStatsTable[[#This Row],[HalfWidth]],DiscreteStatsTable[[#This Row],[BatchMeansHalfWidth]])</f>
        <v>3E+20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67</v>
      </c>
      <c r="B128" t="s">
        <v>70</v>
      </c>
      <c r="C128">
        <v>1</v>
      </c>
      <c r="D128" t="s">
        <v>119</v>
      </c>
      <c r="E128" t="s">
        <v>72</v>
      </c>
      <c r="F128" t="s">
        <v>73</v>
      </c>
      <c r="G128">
        <v>0</v>
      </c>
      <c r="H128">
        <v>0</v>
      </c>
      <c r="I128">
        <v>0</v>
      </c>
      <c r="J128">
        <v>0</v>
      </c>
      <c r="K128">
        <v>8699</v>
      </c>
      <c r="L128" s="5" t="str">
        <f>DiscreteStatsTable[[#This Row],[ProjectName]]&amp;DiscreteStatsTable[[#This Row],[Name]]&amp;DiscreteStatsTable[[#This Row],[Type]]&amp;DiscreteStatsTable[[#This Row],[Source]]</f>
        <v>Unnamed ProjectProcess 8.QueueWaiting CostQueue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8699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67</v>
      </c>
      <c r="B129" t="s">
        <v>70</v>
      </c>
      <c r="C129">
        <v>1</v>
      </c>
      <c r="D129" t="s">
        <v>119</v>
      </c>
      <c r="E129" t="s">
        <v>74</v>
      </c>
      <c r="F129" t="s">
        <v>73</v>
      </c>
      <c r="G129">
        <v>5.0311106096046004E-3</v>
      </c>
      <c r="H129">
        <v>3E+20</v>
      </c>
      <c r="I129">
        <v>0</v>
      </c>
      <c r="J129">
        <v>7.9976473242317301</v>
      </c>
      <c r="K129">
        <v>8699</v>
      </c>
      <c r="L129" s="5" t="str">
        <f>DiscreteStatsTable[[#This Row],[ProjectName]]&amp;DiscreteStatsTable[[#This Row],[Name]]&amp;DiscreteStatsTable[[#This Row],[Type]]&amp;DiscreteStatsTable[[#This Row],[Source]]</f>
        <v>Unnamed ProjectProcess 8.QueueWaiting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5.0311106096046004E-3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5.0311106096046004E-3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5.0311106096046004E-3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7.9976473242317301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8699</v>
      </c>
      <c r="W129" s="5">
        <f>IF((DiscreteStatsTable[[#This Row],[RepsRequested]]&gt;1),DiscreteStatsTable[[#This Row],[HalfWidth]],DiscreteStatsTable[[#This Row],[BatchMeansHalfWidth]])</f>
        <v>3E+20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67</v>
      </c>
      <c r="B130" t="s">
        <v>70</v>
      </c>
      <c r="C130">
        <v>1</v>
      </c>
      <c r="D130" t="s">
        <v>120</v>
      </c>
      <c r="E130" t="s">
        <v>96</v>
      </c>
      <c r="F130" t="s">
        <v>97</v>
      </c>
      <c r="G130">
        <v>0</v>
      </c>
      <c r="H130">
        <v>0</v>
      </c>
      <c r="I130">
        <v>0</v>
      </c>
      <c r="J130">
        <v>0</v>
      </c>
      <c r="K130">
        <v>8694</v>
      </c>
      <c r="L130" s="5" t="str">
        <f>DiscreteStatsTable[[#This Row],[ProjectName]]&amp;DiscreteStatsTable[[#This Row],[Name]]&amp;DiscreteStatsTable[[#This Row],[Type]]&amp;DiscreteStatsTable[[#This Row],[Source]]</f>
        <v>Unnamed ProjectProcess 9Total Cost Per EntityProcess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8694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67</v>
      </c>
      <c r="B131" t="s">
        <v>70</v>
      </c>
      <c r="C131">
        <v>1</v>
      </c>
      <c r="D131" t="s">
        <v>120</v>
      </c>
      <c r="E131" t="s">
        <v>98</v>
      </c>
      <c r="F131" t="s">
        <v>97</v>
      </c>
      <c r="G131">
        <v>2.7200901641872702E-3</v>
      </c>
      <c r="H131">
        <v>1.0044193843753099E-3</v>
      </c>
      <c r="I131">
        <v>1.1178344763784799E-3</v>
      </c>
      <c r="J131">
        <v>1.0023758661664599</v>
      </c>
      <c r="K131">
        <v>8694</v>
      </c>
      <c r="L131" s="5" t="str">
        <f>DiscreteStatsTable[[#This Row],[ProjectName]]&amp;DiscreteStatsTable[[#This Row],[Name]]&amp;DiscreteStatsTable[[#This Row],[Type]]&amp;DiscreteStatsTable[[#This Row],[Source]]</f>
        <v>Unnamed ProjectProcess 9Total Time Per EntityProcess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2.7200901641872702E-3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2.7200901641872702E-3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2.7200901641872702E-3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1.1178344763784799E-3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1.0023758661664599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8694</v>
      </c>
      <c r="W131" s="5">
        <f>IF((DiscreteStatsTable[[#This Row],[RepsRequested]]&gt;1),DiscreteStatsTable[[#This Row],[HalfWidth]],DiscreteStatsTable[[#This Row],[BatchMeansHalfWidth]])</f>
        <v>1.0044193843753099E-3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67</v>
      </c>
      <c r="B132" t="s">
        <v>70</v>
      </c>
      <c r="C132">
        <v>1</v>
      </c>
      <c r="D132" t="s">
        <v>120</v>
      </c>
      <c r="E132" t="s">
        <v>99</v>
      </c>
      <c r="F132" t="s">
        <v>97</v>
      </c>
      <c r="G132">
        <v>0</v>
      </c>
      <c r="H132">
        <v>0</v>
      </c>
      <c r="I132">
        <v>0</v>
      </c>
      <c r="J132">
        <v>0</v>
      </c>
      <c r="K132">
        <v>8694</v>
      </c>
      <c r="L132" s="5" t="str">
        <f>DiscreteStatsTable[[#This Row],[ProjectName]]&amp;DiscreteStatsTable[[#This Row],[Name]]&amp;DiscreteStatsTable[[#This Row],[Type]]&amp;DiscreteStatsTable[[#This Row],[Source]]</f>
        <v>Unnamed ProjectProcess 9VA Cost Per EntityProcess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8694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67</v>
      </c>
      <c r="B133" t="s">
        <v>70</v>
      </c>
      <c r="C133">
        <v>1</v>
      </c>
      <c r="D133" t="s">
        <v>120</v>
      </c>
      <c r="E133" t="s">
        <v>100</v>
      </c>
      <c r="F133" t="s">
        <v>97</v>
      </c>
      <c r="G133">
        <v>1.5754592866948601E-3</v>
      </c>
      <c r="H133">
        <v>3.73279723252574E-6</v>
      </c>
      <c r="I133">
        <v>1.1128741452122201E-3</v>
      </c>
      <c r="J133">
        <v>1.93799393688465E-3</v>
      </c>
      <c r="K133">
        <v>8694</v>
      </c>
      <c r="L133" s="5" t="str">
        <f>DiscreteStatsTable[[#This Row],[ProjectName]]&amp;DiscreteStatsTable[[#This Row],[Name]]&amp;DiscreteStatsTable[[#This Row],[Type]]&amp;DiscreteStatsTable[[#This Row],[Source]]</f>
        <v>Unnamed ProjectProcess 9VA Time Per EntityProcess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1.5754592866948601E-3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1.5754592866948601E-3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1.5754592866948601E-3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1.1128741452122201E-3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1.93799393688465E-3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8694</v>
      </c>
      <c r="W133" s="5">
        <f>IF((DiscreteStatsTable[[#This Row],[RepsRequested]]&gt;1),DiscreteStatsTable[[#This Row],[HalfWidth]],DiscreteStatsTable[[#This Row],[BatchMeansHalfWidth]])</f>
        <v>3.73279723252574E-6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67</v>
      </c>
      <c r="B134" t="s">
        <v>70</v>
      </c>
      <c r="C134">
        <v>1</v>
      </c>
      <c r="D134" t="s">
        <v>120</v>
      </c>
      <c r="E134" t="s">
        <v>101</v>
      </c>
      <c r="F134" t="s">
        <v>97</v>
      </c>
      <c r="G134">
        <v>0</v>
      </c>
      <c r="H134">
        <v>0</v>
      </c>
      <c r="I134">
        <v>0</v>
      </c>
      <c r="J134">
        <v>0</v>
      </c>
      <c r="K134">
        <v>8694</v>
      </c>
      <c r="L134" s="5" t="str">
        <f>DiscreteStatsTable[[#This Row],[ProjectName]]&amp;DiscreteStatsTable[[#This Row],[Name]]&amp;DiscreteStatsTable[[#This Row],[Type]]&amp;DiscreteStatsTable[[#This Row],[Source]]</f>
        <v>Unnamed ProjectProcess 9Wait Cost Per EntityProcess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8694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67</v>
      </c>
      <c r="B135" t="s">
        <v>70</v>
      </c>
      <c r="C135">
        <v>1</v>
      </c>
      <c r="D135" t="s">
        <v>120</v>
      </c>
      <c r="E135" t="s">
        <v>102</v>
      </c>
      <c r="F135" t="s">
        <v>97</v>
      </c>
      <c r="G135">
        <v>1.1446308774923899E-3</v>
      </c>
      <c r="H135">
        <v>1.00572291615402E-3</v>
      </c>
      <c r="I135">
        <v>0</v>
      </c>
      <c r="J135">
        <v>1.0008952813548599</v>
      </c>
      <c r="K135">
        <v>8694</v>
      </c>
      <c r="L135" s="5" t="str">
        <f>DiscreteStatsTable[[#This Row],[ProjectName]]&amp;DiscreteStatsTable[[#This Row],[Name]]&amp;DiscreteStatsTable[[#This Row],[Type]]&amp;DiscreteStatsTable[[#This Row],[Source]]</f>
        <v>Unnamed ProjectProcess 9Wait Time Per EntityProcess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1.1446308774923899E-3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1.1446308774923899E-3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1.1446308774923899E-3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1.0008952813548599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8694</v>
      </c>
      <c r="W135" s="5">
        <f>IF((DiscreteStatsTable[[#This Row],[RepsRequested]]&gt;1),DiscreteStatsTable[[#This Row],[HalfWidth]],DiscreteStatsTable[[#This Row],[BatchMeansHalfWidth]])</f>
        <v>1.00572291615402E-3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67</v>
      </c>
      <c r="B136" t="s">
        <v>70</v>
      </c>
      <c r="C136">
        <v>1</v>
      </c>
      <c r="D136" t="s">
        <v>121</v>
      </c>
      <c r="E136" t="s">
        <v>72</v>
      </c>
      <c r="F136" t="s">
        <v>73</v>
      </c>
      <c r="G136">
        <v>0</v>
      </c>
      <c r="H136">
        <v>0</v>
      </c>
      <c r="I136">
        <v>0</v>
      </c>
      <c r="J136">
        <v>0</v>
      </c>
      <c r="K136">
        <v>8695</v>
      </c>
      <c r="L136" s="5" t="str">
        <f>DiscreteStatsTable[[#This Row],[ProjectName]]&amp;DiscreteStatsTable[[#This Row],[Name]]&amp;DiscreteStatsTable[[#This Row],[Type]]&amp;DiscreteStatsTable[[#This Row],[Source]]</f>
        <v>Unnamed ProjectProcess 9.QueueWaiting CostQueue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8695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67</v>
      </c>
      <c r="B137" t="s">
        <v>70</v>
      </c>
      <c r="C137">
        <v>1</v>
      </c>
      <c r="D137" t="s">
        <v>121</v>
      </c>
      <c r="E137" t="s">
        <v>74</v>
      </c>
      <c r="F137" t="s">
        <v>73</v>
      </c>
      <c r="G137">
        <v>1.1444992350683001E-3</v>
      </c>
      <c r="H137">
        <v>1.00572291615402E-3</v>
      </c>
      <c r="I137">
        <v>0</v>
      </c>
      <c r="J137">
        <v>1.0008952813548599</v>
      </c>
      <c r="K137">
        <v>8695</v>
      </c>
      <c r="L137" s="5" t="str">
        <f>DiscreteStatsTable[[#This Row],[ProjectName]]&amp;DiscreteStatsTable[[#This Row],[Name]]&amp;DiscreteStatsTable[[#This Row],[Type]]&amp;DiscreteStatsTable[[#This Row],[Source]]</f>
        <v>Unnamed ProjectProcess 9.QueueWaiting TimeQueue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1.1444992350683001E-3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1.1444992350683001E-3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1.1444992350683001E-3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1.0008952813548599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8695</v>
      </c>
      <c r="W137" s="5">
        <f>IF((DiscreteStatsTable[[#This Row],[RepsRequested]]&gt;1),DiscreteStatsTable[[#This Row],[HalfWidth]],DiscreteStatsTable[[#This Row],[BatchMeansHalfWidth]])</f>
        <v>1.00572291615402E-3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67</v>
      </c>
      <c r="B138" t="s">
        <v>70</v>
      </c>
      <c r="C138">
        <v>1</v>
      </c>
      <c r="D138" t="s">
        <v>132</v>
      </c>
      <c r="E138" t="s">
        <v>96</v>
      </c>
      <c r="F138" t="s">
        <v>97</v>
      </c>
      <c r="G138">
        <v>0</v>
      </c>
      <c r="H138">
        <v>2E+20</v>
      </c>
      <c r="I138">
        <v>0</v>
      </c>
      <c r="J138">
        <v>0</v>
      </c>
      <c r="K138">
        <v>14</v>
      </c>
      <c r="L138" s="5" t="str">
        <f>DiscreteStatsTable[[#This Row],[ProjectName]]&amp;DiscreteStatsTable[[#This Row],[Name]]&amp;DiscreteStatsTable[[#This Row],[Type]]&amp;DiscreteStatsTable[[#This Row],[Source]]</f>
        <v>Unnamed ProjectsalesTotal Cost Per EntityProcess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14</v>
      </c>
      <c r="W138" s="5">
        <f>IF((DiscreteStatsTable[[#This Row],[RepsRequested]]&gt;1),DiscreteStatsTable[[#This Row],[HalfWidth]],DiscreteStatsTable[[#This Row],[BatchMeansHalfWidth]])</f>
        <v>2E+20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67</v>
      </c>
      <c r="B139" t="s">
        <v>70</v>
      </c>
      <c r="C139">
        <v>1</v>
      </c>
      <c r="D139" t="s">
        <v>132</v>
      </c>
      <c r="E139" t="s">
        <v>98</v>
      </c>
      <c r="F139" t="s">
        <v>97</v>
      </c>
      <c r="G139">
        <v>0.14836001412041</v>
      </c>
      <c r="H139">
        <v>2E+20</v>
      </c>
      <c r="I139">
        <v>9.4198948242915803E-2</v>
      </c>
      <c r="J139">
        <v>0.28466188240354401</v>
      </c>
      <c r="K139">
        <v>14</v>
      </c>
      <c r="L139" s="5" t="str">
        <f>DiscreteStatsTable[[#This Row],[ProjectName]]&amp;DiscreteStatsTable[[#This Row],[Name]]&amp;DiscreteStatsTable[[#This Row],[Type]]&amp;DiscreteStatsTable[[#This Row],[Source]]</f>
        <v>Unnamed ProjectsalesTotal Time Per EntityProcess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0.14836001412041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0.14836001412041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0.14836001412041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9.4198948242915803E-2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0.28466188240354401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14</v>
      </c>
      <c r="W139" s="5">
        <f>IF((DiscreteStatsTable[[#This Row],[RepsRequested]]&gt;1),DiscreteStatsTable[[#This Row],[HalfWidth]],DiscreteStatsTable[[#This Row],[BatchMeansHalfWidth]])</f>
        <v>2E+20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67</v>
      </c>
      <c r="B140" t="s">
        <v>70</v>
      </c>
      <c r="C140">
        <v>1</v>
      </c>
      <c r="D140" t="s">
        <v>132</v>
      </c>
      <c r="E140" t="s">
        <v>99</v>
      </c>
      <c r="F140" t="s">
        <v>97</v>
      </c>
      <c r="G140">
        <v>0</v>
      </c>
      <c r="H140">
        <v>2E+20</v>
      </c>
      <c r="I140">
        <v>0</v>
      </c>
      <c r="J140">
        <v>0</v>
      </c>
      <c r="K140">
        <v>14</v>
      </c>
      <c r="L140" s="5" t="str">
        <f>DiscreteStatsTable[[#This Row],[ProjectName]]&amp;DiscreteStatsTable[[#This Row],[Name]]&amp;DiscreteStatsTable[[#This Row],[Type]]&amp;DiscreteStatsTable[[#This Row],[Source]]</f>
        <v>Unnamed ProjectsalesVA Cost Per EntityProcess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14</v>
      </c>
      <c r="W140" s="5">
        <f>IF((DiscreteStatsTable[[#This Row],[RepsRequested]]&gt;1),DiscreteStatsTable[[#This Row],[HalfWidth]],DiscreteStatsTable[[#This Row],[BatchMeansHalfWidth]])</f>
        <v>2E+20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67</v>
      </c>
      <c r="B141" t="s">
        <v>70</v>
      </c>
      <c r="C141">
        <v>1</v>
      </c>
      <c r="D141" t="s">
        <v>132</v>
      </c>
      <c r="E141" t="s">
        <v>100</v>
      </c>
      <c r="F141" t="s">
        <v>97</v>
      </c>
      <c r="G141">
        <v>0.12683818303262401</v>
      </c>
      <c r="H141">
        <v>2E+20</v>
      </c>
      <c r="I141">
        <v>9.4198948242915803E-2</v>
      </c>
      <c r="J141">
        <v>0.16065896246063699</v>
      </c>
      <c r="K141">
        <v>14</v>
      </c>
      <c r="L141" s="5" t="str">
        <f>DiscreteStatsTable[[#This Row],[ProjectName]]&amp;DiscreteStatsTable[[#This Row],[Name]]&amp;DiscreteStatsTable[[#This Row],[Type]]&amp;DiscreteStatsTable[[#This Row],[Source]]</f>
        <v>Unnamed ProjectsalesVA Time Per EntityProcess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0.12683818303262401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0.12683818303262401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0.12683818303262401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9.4198948242915803E-2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0.16065896246063699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14</v>
      </c>
      <c r="W141" s="5">
        <f>IF((DiscreteStatsTable[[#This Row],[RepsRequested]]&gt;1),DiscreteStatsTable[[#This Row],[HalfWidth]],DiscreteStatsTable[[#This Row],[BatchMeansHalfWidth]])</f>
        <v>2E+20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67</v>
      </c>
      <c r="B142" t="s">
        <v>70</v>
      </c>
      <c r="C142">
        <v>1</v>
      </c>
      <c r="D142" t="s">
        <v>132</v>
      </c>
      <c r="E142" t="s">
        <v>101</v>
      </c>
      <c r="F142" t="s">
        <v>97</v>
      </c>
      <c r="G142">
        <v>0</v>
      </c>
      <c r="H142">
        <v>2E+20</v>
      </c>
      <c r="I142">
        <v>0</v>
      </c>
      <c r="J142">
        <v>0</v>
      </c>
      <c r="K142">
        <v>14</v>
      </c>
      <c r="L142" s="5" t="str">
        <f>DiscreteStatsTable[[#This Row],[ProjectName]]&amp;DiscreteStatsTable[[#This Row],[Name]]&amp;DiscreteStatsTable[[#This Row],[Type]]&amp;DiscreteStatsTable[[#This Row],[Source]]</f>
        <v>Unnamed ProjectsalesWait Cost Per EntityProcess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14</v>
      </c>
      <c r="W142" s="5">
        <f>IF((DiscreteStatsTable[[#This Row],[RepsRequested]]&gt;1),DiscreteStatsTable[[#This Row],[HalfWidth]],DiscreteStatsTable[[#This Row],[BatchMeansHalfWidth]])</f>
        <v>2E+20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67</v>
      </c>
      <c r="B143" t="s">
        <v>70</v>
      </c>
      <c r="C143">
        <v>1</v>
      </c>
      <c r="D143" t="s">
        <v>132</v>
      </c>
      <c r="E143" t="s">
        <v>102</v>
      </c>
      <c r="F143" t="s">
        <v>97</v>
      </c>
      <c r="G143">
        <v>2.1521831087786401E-2</v>
      </c>
      <c r="H143">
        <v>2E+20</v>
      </c>
      <c r="I143">
        <v>0</v>
      </c>
      <c r="J143">
        <v>0.12400291994290701</v>
      </c>
      <c r="K143">
        <v>14</v>
      </c>
      <c r="L143" s="5" t="str">
        <f>DiscreteStatsTable[[#This Row],[ProjectName]]&amp;DiscreteStatsTable[[#This Row],[Name]]&amp;DiscreteStatsTable[[#This Row],[Type]]&amp;DiscreteStatsTable[[#This Row],[Source]]</f>
        <v>Unnamed ProjectsalesWait Time Per EntityProcess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2.1521831087786401E-2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2.1521831087786401E-2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2.1521831087786401E-2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0.12400291994290701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14</v>
      </c>
      <c r="W143" s="5">
        <f>IF((DiscreteStatsTable[[#This Row],[RepsRequested]]&gt;1),DiscreteStatsTable[[#This Row],[HalfWidth]],DiscreteStatsTable[[#This Row],[BatchMeansHalfWidth]])</f>
        <v>2E+20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67</v>
      </c>
      <c r="B144" t="s">
        <v>70</v>
      </c>
      <c r="C144">
        <v>1</v>
      </c>
      <c r="D144" t="s">
        <v>133</v>
      </c>
      <c r="E144" t="s">
        <v>72</v>
      </c>
      <c r="F144" t="s">
        <v>73</v>
      </c>
      <c r="G144">
        <v>0</v>
      </c>
      <c r="H144">
        <v>2E+20</v>
      </c>
      <c r="I144">
        <v>0</v>
      </c>
      <c r="J144">
        <v>0</v>
      </c>
      <c r="K144">
        <v>14</v>
      </c>
      <c r="L144" s="5" t="str">
        <f>DiscreteStatsTable[[#This Row],[ProjectName]]&amp;DiscreteStatsTable[[#This Row],[Name]]&amp;DiscreteStatsTable[[#This Row],[Type]]&amp;DiscreteStatsTable[[#This Row],[Source]]</f>
        <v>Unnamed Projectsales.QueueWaiting CostQueue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14</v>
      </c>
      <c r="W144" s="5">
        <f>IF((DiscreteStatsTable[[#This Row],[RepsRequested]]&gt;1),DiscreteStatsTable[[#This Row],[HalfWidth]],DiscreteStatsTable[[#This Row],[BatchMeansHalfWidth]])</f>
        <v>2E+20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67</v>
      </c>
      <c r="B145" t="s">
        <v>70</v>
      </c>
      <c r="C145">
        <v>1</v>
      </c>
      <c r="D145" t="s">
        <v>133</v>
      </c>
      <c r="E145" t="s">
        <v>74</v>
      </c>
      <c r="F145" t="s">
        <v>73</v>
      </c>
      <c r="G145">
        <v>2.1521831087786401E-2</v>
      </c>
      <c r="H145">
        <v>2E+20</v>
      </c>
      <c r="I145">
        <v>0</v>
      </c>
      <c r="J145">
        <v>0.12400291994290701</v>
      </c>
      <c r="K145">
        <v>14</v>
      </c>
      <c r="L145" s="5" t="str">
        <f>DiscreteStatsTable[[#This Row],[ProjectName]]&amp;DiscreteStatsTable[[#This Row],[Name]]&amp;DiscreteStatsTable[[#This Row],[Type]]&amp;DiscreteStatsTable[[#This Row],[Source]]</f>
        <v>Unnamed Projectsales.QueueWaiting TimeQueue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2.1521831087786401E-2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2.1521831087786401E-2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2.1521831087786401E-2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0.12400291994290701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14</v>
      </c>
      <c r="W145" s="5">
        <f>IF((DiscreteStatsTable[[#This Row],[RepsRequested]]&gt;1),DiscreteStatsTable[[#This Row],[HalfWidth]],DiscreteStatsTable[[#This Row],[BatchMeansHalfWidth]])</f>
        <v>2E+20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67</v>
      </c>
      <c r="B146" t="s">
        <v>70</v>
      </c>
      <c r="C146">
        <v>1</v>
      </c>
      <c r="D146" t="s">
        <v>122</v>
      </c>
      <c r="E146" t="s">
        <v>72</v>
      </c>
      <c r="F146" t="s">
        <v>73</v>
      </c>
      <c r="G146">
        <v>0</v>
      </c>
      <c r="H146">
        <v>0</v>
      </c>
      <c r="I146">
        <v>0</v>
      </c>
      <c r="J146">
        <v>0</v>
      </c>
      <c r="K146">
        <v>4198</v>
      </c>
      <c r="L146" s="5" t="str">
        <f>DiscreteStatsTable[[#This Row],[ProjectName]]&amp;DiscreteStatsTable[[#This Row],[Name]]&amp;DiscreteStatsTable[[#This Row],[Type]]&amp;DiscreteStatsTable[[#This Row],[Source]]</f>
        <v>Unnamed ProjectSeize 1.QueueWaiting CostQueue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4198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67</v>
      </c>
      <c r="B147" t="s">
        <v>70</v>
      </c>
      <c r="C147">
        <v>1</v>
      </c>
      <c r="D147" t="s">
        <v>122</v>
      </c>
      <c r="E147" t="s">
        <v>74</v>
      </c>
      <c r="F147" t="s">
        <v>73</v>
      </c>
      <c r="G147">
        <v>3.96007192766345E-2</v>
      </c>
      <c r="H147">
        <v>3E+20</v>
      </c>
      <c r="I147">
        <v>0</v>
      </c>
      <c r="J147">
        <v>3.8638815435139402</v>
      </c>
      <c r="K147">
        <v>4198</v>
      </c>
      <c r="L147" s="5" t="str">
        <f>DiscreteStatsTable[[#This Row],[ProjectName]]&amp;DiscreteStatsTable[[#This Row],[Name]]&amp;DiscreteStatsTable[[#This Row],[Type]]&amp;DiscreteStatsTable[[#This Row],[Source]]</f>
        <v>Unnamed ProjectSeize 1.QueueWaiting TimeQueue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3.96007192766345E-2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3.96007192766345E-2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3.96007192766345E-2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3.8638815435139402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4198</v>
      </c>
      <c r="W147" s="5">
        <f>IF((DiscreteStatsTable[[#This Row],[RepsRequested]]&gt;1),DiscreteStatsTable[[#This Row],[HalfWidth]],DiscreteStatsTable[[#This Row],[BatchMeansHalfWidth]])</f>
        <v>3E+20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67</v>
      </c>
      <c r="B148" t="s">
        <v>70</v>
      </c>
      <c r="C148">
        <v>1</v>
      </c>
      <c r="D148" t="s">
        <v>123</v>
      </c>
      <c r="E148" t="s">
        <v>72</v>
      </c>
      <c r="F148" t="s">
        <v>73</v>
      </c>
      <c r="G148">
        <v>0</v>
      </c>
      <c r="H148">
        <v>0</v>
      </c>
      <c r="I148">
        <v>0</v>
      </c>
      <c r="J148">
        <v>0</v>
      </c>
      <c r="K148">
        <v>4195</v>
      </c>
      <c r="L148" s="5" t="str">
        <f>DiscreteStatsTable[[#This Row],[ProjectName]]&amp;DiscreteStatsTable[[#This Row],[Name]]&amp;DiscreteStatsTable[[#This Row],[Type]]&amp;DiscreteStatsTable[[#This Row],[Source]]</f>
        <v>Unnamed ProjectSeize 2.QueueWaiting CostQueue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4195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67</v>
      </c>
      <c r="B149" t="s">
        <v>70</v>
      </c>
      <c r="C149">
        <v>1</v>
      </c>
      <c r="D149" t="s">
        <v>123</v>
      </c>
      <c r="E149" t="s">
        <v>74</v>
      </c>
      <c r="F149" t="s">
        <v>73</v>
      </c>
      <c r="G149">
        <v>6.0071963093201097E-7</v>
      </c>
      <c r="H149">
        <v>4.1205394076126201E-7</v>
      </c>
      <c r="I149">
        <v>0</v>
      </c>
      <c r="J149">
        <v>4.6678403817068702E-4</v>
      </c>
      <c r="K149">
        <v>4195</v>
      </c>
      <c r="L149" s="5" t="str">
        <f>DiscreteStatsTable[[#This Row],[ProjectName]]&amp;DiscreteStatsTable[[#This Row],[Name]]&amp;DiscreteStatsTable[[#This Row],[Type]]&amp;DiscreteStatsTable[[#This Row],[Source]]</f>
        <v>Unnamed ProjectSeize 2.QueueWaiting TimeQueue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6.0071963093201097E-7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6.0071963093201097E-7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6.0071963093201097E-7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4.6678403817068702E-4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4195</v>
      </c>
      <c r="W149" s="5">
        <f>IF((DiscreteStatsTable[[#This Row],[RepsRequested]]&gt;1),DiscreteStatsTable[[#This Row],[HalfWidth]],DiscreteStatsTable[[#This Row],[BatchMeansHalfWidth]])</f>
        <v>4.1205394076126201E-7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67</v>
      </c>
      <c r="B150" t="s">
        <v>70</v>
      </c>
      <c r="C150">
        <v>1</v>
      </c>
      <c r="D150" t="s">
        <v>124</v>
      </c>
      <c r="E150" t="s">
        <v>72</v>
      </c>
      <c r="F150" t="s">
        <v>73</v>
      </c>
      <c r="G150">
        <v>0</v>
      </c>
      <c r="H150">
        <v>0</v>
      </c>
      <c r="I150">
        <v>0</v>
      </c>
      <c r="J150">
        <v>0</v>
      </c>
      <c r="K150">
        <v>4193</v>
      </c>
      <c r="L150" s="5" t="str">
        <f>DiscreteStatsTable[[#This Row],[ProjectName]]&amp;DiscreteStatsTable[[#This Row],[Name]]&amp;DiscreteStatsTable[[#This Row],[Type]]&amp;DiscreteStatsTable[[#This Row],[Source]]</f>
        <v>Unnamed ProjectSeize 3.QueueWaiting CostQueue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4193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67</v>
      </c>
      <c r="B151" t="s">
        <v>70</v>
      </c>
      <c r="C151">
        <v>1</v>
      </c>
      <c r="D151" t="s">
        <v>124</v>
      </c>
      <c r="E151" t="s">
        <v>74</v>
      </c>
      <c r="F151" t="s">
        <v>73</v>
      </c>
      <c r="G151">
        <v>2.58546579529569E-7</v>
      </c>
      <c r="H151">
        <v>5.3992554889005496E-7</v>
      </c>
      <c r="I151">
        <v>0</v>
      </c>
      <c r="J151">
        <v>1.0840858079674801E-3</v>
      </c>
      <c r="K151">
        <v>4193</v>
      </c>
      <c r="L151" s="5" t="str">
        <f>DiscreteStatsTable[[#This Row],[ProjectName]]&amp;DiscreteStatsTable[[#This Row],[Name]]&amp;DiscreteStatsTable[[#This Row],[Type]]&amp;DiscreteStatsTable[[#This Row],[Source]]</f>
        <v>Unnamed ProjectSeize 3.QueueWaiting TimeQueue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2.58546579529569E-7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2.58546579529569E-7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2.58546579529569E-7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1.0840858079674801E-3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4193</v>
      </c>
      <c r="W151" s="5">
        <f>IF((DiscreteStatsTable[[#This Row],[RepsRequested]]&gt;1),DiscreteStatsTable[[#This Row],[HalfWidth]],DiscreteStatsTable[[#This Row],[BatchMeansHalfWidth]])</f>
        <v>5.3992554889005496E-7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67</v>
      </c>
      <c r="B152" t="s">
        <v>70</v>
      </c>
      <c r="C152">
        <v>1</v>
      </c>
      <c r="D152" t="s">
        <v>125</v>
      </c>
      <c r="E152" t="s">
        <v>72</v>
      </c>
      <c r="F152" t="s">
        <v>73</v>
      </c>
      <c r="G152">
        <v>0</v>
      </c>
      <c r="H152">
        <v>0</v>
      </c>
      <c r="I152">
        <v>0</v>
      </c>
      <c r="J152">
        <v>0</v>
      </c>
      <c r="K152">
        <v>2024</v>
      </c>
      <c r="L152" s="5" t="str">
        <f>DiscreteStatsTable[[#This Row],[ProjectName]]&amp;DiscreteStatsTable[[#This Row],[Name]]&amp;DiscreteStatsTable[[#This Row],[Type]]&amp;DiscreteStatsTable[[#This Row],[Source]]</f>
        <v>Unnamed ProjectSeize 4.QueueWaiting CostQueue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2024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67</v>
      </c>
      <c r="B153" t="s">
        <v>70</v>
      </c>
      <c r="C153">
        <v>1</v>
      </c>
      <c r="D153" t="s">
        <v>125</v>
      </c>
      <c r="E153" t="s">
        <v>74</v>
      </c>
      <c r="F153" t="s">
        <v>73</v>
      </c>
      <c r="G153">
        <v>0.142537166503032</v>
      </c>
      <c r="H153">
        <v>3.9643868999529597E-2</v>
      </c>
      <c r="I153">
        <v>0</v>
      </c>
      <c r="J153">
        <v>7.5940290580715901</v>
      </c>
      <c r="K153">
        <v>2024</v>
      </c>
      <c r="L153" s="5" t="str">
        <f>DiscreteStatsTable[[#This Row],[ProjectName]]&amp;DiscreteStatsTable[[#This Row],[Name]]&amp;DiscreteStatsTable[[#This Row],[Type]]&amp;DiscreteStatsTable[[#This Row],[Source]]</f>
        <v>Unnamed ProjectSeize 4.QueueWaiting TimeQueue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0.142537166503032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0.142537166503032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0.142537166503032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7.5940290580715901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2024</v>
      </c>
      <c r="W153" s="5">
        <f>IF((DiscreteStatsTable[[#This Row],[RepsRequested]]&gt;1),DiscreteStatsTable[[#This Row],[HalfWidth]],DiscreteStatsTable[[#This Row],[BatchMeansHalfWidth]])</f>
        <v>3.9643868999529597E-2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67</v>
      </c>
      <c r="B154" t="s">
        <v>70</v>
      </c>
      <c r="C154">
        <v>1</v>
      </c>
      <c r="D154" t="s">
        <v>126</v>
      </c>
      <c r="E154" t="s">
        <v>72</v>
      </c>
      <c r="F154" t="s">
        <v>73</v>
      </c>
      <c r="G154">
        <v>0</v>
      </c>
      <c r="H154">
        <v>0</v>
      </c>
      <c r="I154">
        <v>0</v>
      </c>
      <c r="J154">
        <v>0</v>
      </c>
      <c r="K154">
        <v>2022</v>
      </c>
      <c r="L154" s="5" t="str">
        <f>DiscreteStatsTable[[#This Row],[ProjectName]]&amp;DiscreteStatsTable[[#This Row],[Name]]&amp;DiscreteStatsTable[[#This Row],[Type]]&amp;DiscreteStatsTable[[#This Row],[Source]]</f>
        <v>Unnamed ProjectSeize 5.QueueWaiting CostQueue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2022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67</v>
      </c>
      <c r="B155" t="s">
        <v>70</v>
      </c>
      <c r="C155">
        <v>1</v>
      </c>
      <c r="D155" t="s">
        <v>126</v>
      </c>
      <c r="E155" t="s">
        <v>74</v>
      </c>
      <c r="F155" t="s">
        <v>73</v>
      </c>
      <c r="G155">
        <v>6.3555062944367297E-3</v>
      </c>
      <c r="H155">
        <v>3E+20</v>
      </c>
      <c r="I155">
        <v>0</v>
      </c>
      <c r="J155">
        <v>1.71941097332073E-2</v>
      </c>
      <c r="K155">
        <v>2022</v>
      </c>
      <c r="L155" s="5" t="str">
        <f>DiscreteStatsTable[[#This Row],[ProjectName]]&amp;DiscreteStatsTable[[#This Row],[Name]]&amp;DiscreteStatsTable[[#This Row],[Type]]&amp;DiscreteStatsTable[[#This Row],[Source]]</f>
        <v>Unnamed ProjectSeize 5.QueueWaiting TimeQueue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6.3555062944367297E-3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6.3555062944367297E-3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6.3555062944367297E-3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1.71941097332073E-2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2022</v>
      </c>
      <c r="W155" s="5">
        <f>IF((DiscreteStatsTable[[#This Row],[RepsRequested]]&gt;1),DiscreteStatsTable[[#This Row],[HalfWidth]],DiscreteStatsTable[[#This Row],[BatchMeansHalfWidth]])</f>
        <v>3E+20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67</v>
      </c>
      <c r="B156" t="s">
        <v>70</v>
      </c>
      <c r="C156">
        <v>1</v>
      </c>
      <c r="D156" t="s">
        <v>127</v>
      </c>
      <c r="E156" t="s">
        <v>72</v>
      </c>
      <c r="F156" t="s">
        <v>73</v>
      </c>
      <c r="G156">
        <v>0</v>
      </c>
      <c r="H156">
        <v>0</v>
      </c>
      <c r="I156">
        <v>0</v>
      </c>
      <c r="J156">
        <v>0</v>
      </c>
      <c r="K156">
        <v>2018</v>
      </c>
      <c r="L156" s="5" t="str">
        <f>DiscreteStatsTable[[#This Row],[ProjectName]]&amp;DiscreteStatsTable[[#This Row],[Name]]&amp;DiscreteStatsTable[[#This Row],[Type]]&amp;DiscreteStatsTable[[#This Row],[Source]]</f>
        <v>Unnamed ProjectSeize 6.QueueWaiting CostQueue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2018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67</v>
      </c>
      <c r="B157" t="s">
        <v>70</v>
      </c>
      <c r="C157">
        <v>1</v>
      </c>
      <c r="D157" t="s">
        <v>127</v>
      </c>
      <c r="E157" t="s">
        <v>74</v>
      </c>
      <c r="F157" t="s">
        <v>73</v>
      </c>
      <c r="G157">
        <v>2.9258281897080001E-2</v>
      </c>
      <c r="H157">
        <v>4.3664549235224396E-3</v>
      </c>
      <c r="I157">
        <v>0</v>
      </c>
      <c r="J157">
        <v>1.0299602080235499</v>
      </c>
      <c r="K157">
        <v>2018</v>
      </c>
      <c r="L157" s="5" t="str">
        <f>DiscreteStatsTable[[#This Row],[ProjectName]]&amp;DiscreteStatsTable[[#This Row],[Name]]&amp;DiscreteStatsTable[[#This Row],[Type]]&amp;DiscreteStatsTable[[#This Row],[Source]]</f>
        <v>Unnamed ProjectSeize 6.QueueWaiting TimeQueue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2.9258281897080001E-2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2.9258281897080001E-2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2.9258281897080001E-2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1.0299602080235499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2018</v>
      </c>
      <c r="W157" s="5">
        <f>IF((DiscreteStatsTable[[#This Row],[RepsRequested]]&gt;1),DiscreteStatsTable[[#This Row],[HalfWidth]],DiscreteStatsTable[[#This Row],[BatchMeansHalfWidth]])</f>
        <v>4.3664549235224396E-3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67</v>
      </c>
      <c r="B158" t="s">
        <v>70</v>
      </c>
      <c r="C158">
        <v>1</v>
      </c>
      <c r="D158" t="s">
        <v>128</v>
      </c>
      <c r="E158" t="s">
        <v>72</v>
      </c>
      <c r="F158" t="s">
        <v>73</v>
      </c>
      <c r="G158">
        <v>0</v>
      </c>
      <c r="H158">
        <v>0</v>
      </c>
      <c r="I158">
        <v>0</v>
      </c>
      <c r="J158">
        <v>0</v>
      </c>
      <c r="K158">
        <v>2014</v>
      </c>
      <c r="L158" s="5" t="str">
        <f>DiscreteStatsTable[[#This Row],[ProjectName]]&amp;DiscreteStatsTable[[#This Row],[Name]]&amp;DiscreteStatsTable[[#This Row],[Type]]&amp;DiscreteStatsTable[[#This Row],[Source]]</f>
        <v>Unnamed ProjectSeize 7.QueueWaiting CostQueue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2014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67</v>
      </c>
      <c r="B159" t="s">
        <v>70</v>
      </c>
      <c r="C159">
        <v>1</v>
      </c>
      <c r="D159" t="s">
        <v>128</v>
      </c>
      <c r="E159" t="s">
        <v>74</v>
      </c>
      <c r="F159" t="s">
        <v>73</v>
      </c>
      <c r="G159">
        <v>0</v>
      </c>
      <c r="H159">
        <v>0</v>
      </c>
      <c r="I159">
        <v>0</v>
      </c>
      <c r="J159">
        <v>0</v>
      </c>
      <c r="K159">
        <v>2014</v>
      </c>
      <c r="L159" s="5" t="str">
        <f>DiscreteStatsTable[[#This Row],[ProjectName]]&amp;DiscreteStatsTable[[#This Row],[Name]]&amp;DiscreteStatsTable[[#This Row],[Type]]&amp;DiscreteStatsTable[[#This Row],[Source]]</f>
        <v>Unnamed ProjectSeize 7.QueueWaiting TimeQueue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2014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67</v>
      </c>
      <c r="B160" t="s">
        <v>70</v>
      </c>
      <c r="C160">
        <v>1</v>
      </c>
      <c r="D160" t="s">
        <v>129</v>
      </c>
      <c r="E160" t="s">
        <v>72</v>
      </c>
      <c r="F160" t="s">
        <v>73</v>
      </c>
      <c r="G160">
        <v>0</v>
      </c>
      <c r="H160">
        <v>0</v>
      </c>
      <c r="I160">
        <v>0</v>
      </c>
      <c r="J160">
        <v>0</v>
      </c>
      <c r="K160">
        <v>8700</v>
      </c>
      <c r="L160" s="5" t="str">
        <f>DiscreteStatsTable[[#This Row],[ProjectName]]&amp;DiscreteStatsTable[[#This Row],[Name]]&amp;DiscreteStatsTable[[#This Row],[Type]]&amp;DiscreteStatsTable[[#This Row],[Source]]</f>
        <v>Unnamed ProjectSeize 8.QueueWaiting CostQueue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8700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67</v>
      </c>
      <c r="B161" t="s">
        <v>70</v>
      </c>
      <c r="C161">
        <v>1</v>
      </c>
      <c r="D161" t="s">
        <v>129</v>
      </c>
      <c r="E161" t="s">
        <v>74</v>
      </c>
      <c r="F161" t="s">
        <v>73</v>
      </c>
      <c r="G161">
        <v>2.11189867886965E-2</v>
      </c>
      <c r="H161">
        <v>4.5407033740051403E-3</v>
      </c>
      <c r="I161">
        <v>0</v>
      </c>
      <c r="J161">
        <v>2.17874660095067</v>
      </c>
      <c r="K161">
        <v>8700</v>
      </c>
      <c r="L161" s="5" t="str">
        <f>DiscreteStatsTable[[#This Row],[ProjectName]]&amp;DiscreteStatsTable[[#This Row],[Name]]&amp;DiscreteStatsTable[[#This Row],[Type]]&amp;DiscreteStatsTable[[#This Row],[Source]]</f>
        <v>Unnamed ProjectSeize 8.QueueWaiting TimeQueue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2.11189867886965E-2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2.11189867886965E-2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2.11189867886965E-2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2.17874660095067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8700</v>
      </c>
      <c r="W161" s="5">
        <f>IF((DiscreteStatsTable[[#This Row],[RepsRequested]]&gt;1),DiscreteStatsTable[[#This Row],[HalfWidth]],DiscreteStatsTable[[#This Row],[BatchMeansHalfWidth]])</f>
        <v>4.5407033740051403E-3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67</v>
      </c>
      <c r="B162" t="s">
        <v>70</v>
      </c>
      <c r="C162">
        <v>1</v>
      </c>
      <c r="D162" t="s">
        <v>130</v>
      </c>
      <c r="E162" t="s">
        <v>72</v>
      </c>
      <c r="F162" t="s">
        <v>73</v>
      </c>
      <c r="G162">
        <v>0</v>
      </c>
      <c r="H162">
        <v>0</v>
      </c>
      <c r="I162">
        <v>0</v>
      </c>
      <c r="J162">
        <v>0</v>
      </c>
      <c r="K162">
        <v>8697</v>
      </c>
      <c r="L162" s="5" t="str">
        <f>DiscreteStatsTable[[#This Row],[ProjectName]]&amp;DiscreteStatsTable[[#This Row],[Name]]&amp;DiscreteStatsTable[[#This Row],[Type]]&amp;DiscreteStatsTable[[#This Row],[Source]]</f>
        <v>Unnamed ProjectSeize 9.QueueWaiting CostQueue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8697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67</v>
      </c>
      <c r="B163" t="s">
        <v>70</v>
      </c>
      <c r="C163">
        <v>1</v>
      </c>
      <c r="D163" t="s">
        <v>130</v>
      </c>
      <c r="E163" t="s">
        <v>74</v>
      </c>
      <c r="F163" t="s">
        <v>73</v>
      </c>
      <c r="G163">
        <v>7.6632435281698004E-4</v>
      </c>
      <c r="H163">
        <v>1.64930815910628E-5</v>
      </c>
      <c r="I163">
        <v>0</v>
      </c>
      <c r="J163">
        <v>3.15283974695646E-3</v>
      </c>
      <c r="K163">
        <v>8697</v>
      </c>
      <c r="L163" s="5" t="str">
        <f>DiscreteStatsTable[[#This Row],[ProjectName]]&amp;DiscreteStatsTable[[#This Row],[Name]]&amp;DiscreteStatsTable[[#This Row],[Type]]&amp;DiscreteStatsTable[[#This Row],[Source]]</f>
        <v>Unnamed ProjectSeize 9.QueueWaiting TimeQueue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7.6632435281698004E-4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7.6632435281698004E-4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7.6632435281698004E-4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3.15283974695646E-3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8697</v>
      </c>
      <c r="W163" s="5">
        <f>IF((DiscreteStatsTable[[#This Row],[RepsRequested]]&gt;1),DiscreteStatsTable[[#This Row],[HalfWidth]],DiscreteStatsTable[[#This Row],[BatchMeansHalfWidth]])</f>
        <v>1.64930815910628E-5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67</v>
      </c>
      <c r="B164" t="s">
        <v>70</v>
      </c>
      <c r="C164">
        <v>1</v>
      </c>
      <c r="D164" t="s">
        <v>131</v>
      </c>
      <c r="E164" t="s">
        <v>79</v>
      </c>
      <c r="F164" t="s">
        <v>80</v>
      </c>
      <c r="G164">
        <v>0</v>
      </c>
      <c r="H164">
        <v>0</v>
      </c>
      <c r="I164">
        <v>0</v>
      </c>
      <c r="J164">
        <v>0</v>
      </c>
      <c r="K164">
        <v>923</v>
      </c>
      <c r="L164" s="5" t="str">
        <f>DiscreteStatsTable[[#This Row],[ProjectName]]&amp;DiscreteStatsTable[[#This Row],[Name]]&amp;DiscreteStatsTable[[#This Row],[Type]]&amp;DiscreteStatsTable[[#This Row],[Source]]</f>
        <v>Unnamed ProjectWire HarnessNVA CostEntity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923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67</v>
      </c>
      <c r="B165" t="s">
        <v>70</v>
      </c>
      <c r="C165">
        <v>1</v>
      </c>
      <c r="D165" t="s">
        <v>131</v>
      </c>
      <c r="E165" t="s">
        <v>81</v>
      </c>
      <c r="F165" t="s">
        <v>80</v>
      </c>
      <c r="G165">
        <v>0</v>
      </c>
      <c r="H165">
        <v>0</v>
      </c>
      <c r="I165">
        <v>0</v>
      </c>
      <c r="J165">
        <v>0</v>
      </c>
      <c r="K165">
        <v>923</v>
      </c>
      <c r="L165" s="5" t="str">
        <f>DiscreteStatsTable[[#This Row],[ProjectName]]&amp;DiscreteStatsTable[[#This Row],[Name]]&amp;DiscreteStatsTable[[#This Row],[Type]]&amp;DiscreteStatsTable[[#This Row],[Source]]</f>
        <v>Unnamed ProjectWire HarnessNVA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923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67</v>
      </c>
      <c r="B166" t="s">
        <v>70</v>
      </c>
      <c r="C166">
        <v>1</v>
      </c>
      <c r="D166" t="s">
        <v>131</v>
      </c>
      <c r="E166" t="s">
        <v>82</v>
      </c>
      <c r="F166" t="s">
        <v>80</v>
      </c>
      <c r="G166">
        <v>0</v>
      </c>
      <c r="H166">
        <v>0</v>
      </c>
      <c r="I166">
        <v>0</v>
      </c>
      <c r="J166">
        <v>0</v>
      </c>
      <c r="K166">
        <v>923</v>
      </c>
      <c r="L166" s="5" t="str">
        <f>DiscreteStatsTable[[#This Row],[ProjectName]]&amp;DiscreteStatsTable[[#This Row],[Name]]&amp;DiscreteStatsTable[[#This Row],[Type]]&amp;DiscreteStatsTable[[#This Row],[Source]]</f>
        <v>Unnamed ProjectWire HarnessOther CostEntity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923</v>
      </c>
      <c r="W166" s="5">
        <f>IF((DiscreteStatsTable[[#This Row],[RepsRequested]]&gt;1),DiscreteStatsTable[[#This Row],[HalfWidth]],DiscreteStatsTable[[#This Row],[BatchMeansHalfWidth]])</f>
        <v>0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67</v>
      </c>
      <c r="B167" t="s">
        <v>70</v>
      </c>
      <c r="C167">
        <v>1</v>
      </c>
      <c r="D167" t="s">
        <v>131</v>
      </c>
      <c r="E167" t="s">
        <v>83</v>
      </c>
      <c r="F167" t="s">
        <v>80</v>
      </c>
      <c r="G167">
        <v>0.11241301980896801</v>
      </c>
      <c r="H167">
        <v>1.86369892602537E-4</v>
      </c>
      <c r="I167">
        <v>0.102114763280785</v>
      </c>
      <c r="J167">
        <v>0.12231217423969599</v>
      </c>
      <c r="K167">
        <v>923</v>
      </c>
      <c r="L167" s="5" t="str">
        <f>DiscreteStatsTable[[#This Row],[ProjectName]]&amp;DiscreteStatsTable[[#This Row],[Name]]&amp;DiscreteStatsTable[[#This Row],[Type]]&amp;DiscreteStatsTable[[#This Row],[Source]]</f>
        <v>Unnamed ProjectWire HarnessOther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0.11241301980896801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0.11241301980896801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0.11241301980896801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0.102114763280785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0.12231217423969599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923</v>
      </c>
      <c r="W167" s="5">
        <f>IF((DiscreteStatsTable[[#This Row],[RepsRequested]]&gt;1),DiscreteStatsTable[[#This Row],[HalfWidth]],DiscreteStatsTable[[#This Row],[BatchMeansHalfWidth]])</f>
        <v>1.86369892602537E-4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67</v>
      </c>
      <c r="B168" t="s">
        <v>70</v>
      </c>
      <c r="C168">
        <v>1</v>
      </c>
      <c r="D168" t="s">
        <v>131</v>
      </c>
      <c r="E168" t="s">
        <v>84</v>
      </c>
      <c r="F168" t="s">
        <v>80</v>
      </c>
      <c r="G168">
        <v>0</v>
      </c>
      <c r="H168">
        <v>0</v>
      </c>
      <c r="I168">
        <v>0</v>
      </c>
      <c r="J168">
        <v>0</v>
      </c>
      <c r="K168">
        <v>923</v>
      </c>
      <c r="L168" s="5" t="str">
        <f>DiscreteStatsTable[[#This Row],[ProjectName]]&amp;DiscreteStatsTable[[#This Row],[Name]]&amp;DiscreteStatsTable[[#This Row],[Type]]&amp;DiscreteStatsTable[[#This Row],[Source]]</f>
        <v>Unnamed ProjectWire HarnessTotal CostEntity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923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67</v>
      </c>
      <c r="B169" t="s">
        <v>70</v>
      </c>
      <c r="C169">
        <v>1</v>
      </c>
      <c r="D169" t="s">
        <v>131</v>
      </c>
      <c r="E169" t="s">
        <v>85</v>
      </c>
      <c r="F169" t="s">
        <v>80</v>
      </c>
      <c r="G169">
        <v>0.25842576848467802</v>
      </c>
      <c r="H169">
        <v>3E+20</v>
      </c>
      <c r="I169">
        <v>9.6878254544718004E-2</v>
      </c>
      <c r="J169">
        <v>8.0255973808015106</v>
      </c>
      <c r="K169">
        <v>923</v>
      </c>
      <c r="L169" s="5" t="str">
        <f>DiscreteStatsTable[[#This Row],[ProjectName]]&amp;DiscreteStatsTable[[#This Row],[Name]]&amp;DiscreteStatsTable[[#This Row],[Type]]&amp;DiscreteStatsTable[[#This Row],[Source]]</f>
        <v>Unnamed ProjectWire HarnessTotal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0.25842576848467802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0.25842576848467802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0.25842576848467802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9.6878254544718004E-2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8.0255973808015106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923</v>
      </c>
      <c r="W169" s="5">
        <f>IF((DiscreteStatsTable[[#This Row],[RepsRequested]]&gt;1),DiscreteStatsTable[[#This Row],[HalfWidth]],DiscreteStatsTable[[#This Row],[BatchMeansHalfWidth]])</f>
        <v>3E+20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67</v>
      </c>
      <c r="B170" t="s">
        <v>70</v>
      </c>
      <c r="C170">
        <v>1</v>
      </c>
      <c r="D170" t="s">
        <v>131</v>
      </c>
      <c r="E170" t="s">
        <v>86</v>
      </c>
      <c r="F170" t="s">
        <v>80</v>
      </c>
      <c r="G170">
        <v>0</v>
      </c>
      <c r="H170">
        <v>0</v>
      </c>
      <c r="I170">
        <v>0</v>
      </c>
      <c r="J170">
        <v>0</v>
      </c>
      <c r="K170">
        <v>923</v>
      </c>
      <c r="L170" s="5" t="str">
        <f>DiscreteStatsTable[[#This Row],[ProjectName]]&amp;DiscreteStatsTable[[#This Row],[Name]]&amp;DiscreteStatsTable[[#This Row],[Type]]&amp;DiscreteStatsTable[[#This Row],[Source]]</f>
        <v>Unnamed ProjectWire HarnessTransfer CostEntity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923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67</v>
      </c>
      <c r="B171" t="s">
        <v>70</v>
      </c>
      <c r="C171">
        <v>1</v>
      </c>
      <c r="D171" t="s">
        <v>131</v>
      </c>
      <c r="E171" t="s">
        <v>87</v>
      </c>
      <c r="F171" t="s">
        <v>80</v>
      </c>
      <c r="G171">
        <v>0</v>
      </c>
      <c r="H171">
        <v>0</v>
      </c>
      <c r="I171">
        <v>0</v>
      </c>
      <c r="J171">
        <v>0</v>
      </c>
      <c r="K171">
        <v>923</v>
      </c>
      <c r="L171" s="5" t="str">
        <f>DiscreteStatsTable[[#This Row],[ProjectName]]&amp;DiscreteStatsTable[[#This Row],[Name]]&amp;DiscreteStatsTable[[#This Row],[Type]]&amp;DiscreteStatsTable[[#This Row],[Source]]</f>
        <v>Unnamed ProjectWire HarnessTransfer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923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67</v>
      </c>
      <c r="B172" t="s">
        <v>70</v>
      </c>
      <c r="C172">
        <v>1</v>
      </c>
      <c r="D172" t="s">
        <v>131</v>
      </c>
      <c r="E172" t="s">
        <v>88</v>
      </c>
      <c r="F172" t="s">
        <v>80</v>
      </c>
      <c r="G172">
        <v>0</v>
      </c>
      <c r="H172">
        <v>0</v>
      </c>
      <c r="I172">
        <v>0</v>
      </c>
      <c r="J172">
        <v>0</v>
      </c>
      <c r="K172">
        <v>923</v>
      </c>
      <c r="L172" s="5" t="str">
        <f>DiscreteStatsTable[[#This Row],[ProjectName]]&amp;DiscreteStatsTable[[#This Row],[Name]]&amp;DiscreteStatsTable[[#This Row],[Type]]&amp;DiscreteStatsTable[[#This Row],[Source]]</f>
        <v>Unnamed ProjectWire HarnessVA CostEntity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1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923</v>
      </c>
      <c r="W172" s="5">
        <f>IF((DiscreteStatsTable[[#This Row],[RepsRequested]]&gt;1),DiscreteStatsTable[[#This Row],[HalfWidth]],DiscreteStatsTable[[#This Row],[BatchMeansHalfWidth]])</f>
        <v>0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1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67</v>
      </c>
      <c r="B173" t="s">
        <v>70</v>
      </c>
      <c r="C173">
        <v>1</v>
      </c>
      <c r="D173" t="s">
        <v>131</v>
      </c>
      <c r="E173" t="s">
        <v>89</v>
      </c>
      <c r="F173" t="s">
        <v>80</v>
      </c>
      <c r="G173">
        <v>9.8421031535727302E-2</v>
      </c>
      <c r="H173">
        <v>2.1326318539663901E-4</v>
      </c>
      <c r="I173">
        <v>8.3289302622970907E-2</v>
      </c>
      <c r="J173">
        <v>0.11001656922439899</v>
      </c>
      <c r="K173">
        <v>923</v>
      </c>
      <c r="L173" s="5" t="str">
        <f>DiscreteStatsTable[[#This Row],[ProjectName]]&amp;DiscreteStatsTable[[#This Row],[Name]]&amp;DiscreteStatsTable[[#This Row],[Type]]&amp;DiscreteStatsTable[[#This Row],[Source]]</f>
        <v>Unnamed ProjectWire HarnessVA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1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9.8421031535727302E-2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9.8421031535727302E-2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9.8421031535727302E-2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8.3289302622970907E-2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0.11001656922439899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923</v>
      </c>
      <c r="W173" s="5">
        <f>IF((DiscreteStatsTable[[#This Row],[RepsRequested]]&gt;1),DiscreteStatsTable[[#This Row],[HalfWidth]],DiscreteStatsTable[[#This Row],[BatchMeansHalfWidth]])</f>
        <v>2.1326318539663901E-4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1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67</v>
      </c>
      <c r="B174" t="s">
        <v>70</v>
      </c>
      <c r="C174">
        <v>1</v>
      </c>
      <c r="D174" t="s">
        <v>131</v>
      </c>
      <c r="E174" t="s">
        <v>90</v>
      </c>
      <c r="F174" t="s">
        <v>80</v>
      </c>
      <c r="G174">
        <v>0</v>
      </c>
      <c r="H174">
        <v>0</v>
      </c>
      <c r="I174">
        <v>0</v>
      </c>
      <c r="J174">
        <v>0</v>
      </c>
      <c r="K174">
        <v>923</v>
      </c>
      <c r="L174" s="5" t="str">
        <f>DiscreteStatsTable[[#This Row],[ProjectName]]&amp;DiscreteStatsTable[[#This Row],[Name]]&amp;DiscreteStatsTable[[#This Row],[Type]]&amp;DiscreteStatsTable[[#This Row],[Source]]</f>
        <v>Unnamed ProjectWire HarnessWait CostEntity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1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923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1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67</v>
      </c>
      <c r="B175" t="s">
        <v>70</v>
      </c>
      <c r="C175">
        <v>1</v>
      </c>
      <c r="D175" t="s">
        <v>131</v>
      </c>
      <c r="E175" t="s">
        <v>91</v>
      </c>
      <c r="F175" t="s">
        <v>80</v>
      </c>
      <c r="G175">
        <v>1.00540515636633</v>
      </c>
      <c r="H175">
        <v>0.30882506923152098</v>
      </c>
      <c r="I175">
        <v>0.36596685738812701</v>
      </c>
      <c r="J175">
        <v>69.446922899356693</v>
      </c>
      <c r="K175">
        <v>923</v>
      </c>
      <c r="L175" s="5" t="str">
        <f>DiscreteStatsTable[[#This Row],[ProjectName]]&amp;DiscreteStatsTable[[#This Row],[Name]]&amp;DiscreteStatsTable[[#This Row],[Type]]&amp;DiscreteStatsTable[[#This Row],[Source]]</f>
        <v>Unnamed ProjectWire HarnessWait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1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1.00540515636633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1.00540515636633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1.00540515636633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0.36596685738812701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69.446922899356693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923</v>
      </c>
      <c r="W175" s="5">
        <f>IF((DiscreteStatsTable[[#This Row],[RepsRequested]]&gt;1),DiscreteStatsTable[[#This Row],[HalfWidth]],DiscreteStatsTable[[#This Row],[BatchMeansHalfWidth]])</f>
        <v>0.30882506923152098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1</v>
      </c>
      <c r="Y175" s="5">
        <f>IF(DiscreteStatsTable[[#This Row],[RepsRequested]]=DiscreteStatsTable[[#This Row],[RepsWithStatObserved]],1,0)</f>
        <v>1</v>
      </c>
    </row>
  </sheetData>
  <phoneticPr fontId="2" type="noConversion"/>
  <conditionalFormatting sqref="H2:H175 Q2:Q175">
    <cfRule type="expression" dxfId="20" priority="23">
      <formula>H2=200000000000000000000</formula>
    </cfRule>
  </conditionalFormatting>
  <conditionalFormatting sqref="H2:H175">
    <cfRule type="expression" dxfId="19" priority="21">
      <formula>H2=300000000000000000000</formula>
    </cfRule>
  </conditionalFormatting>
  <conditionalFormatting sqref="L2:Y175">
    <cfRule type="expression" dxfId="18" priority="19">
      <formula>MOD(ROW(),2)=0</formula>
    </cfRule>
  </conditionalFormatting>
  <conditionalFormatting sqref="Y2:Y175">
    <cfRule type="expression" dxfId="17" priority="14">
      <formula>Y2=0</formula>
    </cfRule>
    <cfRule type="expression" dxfId="16" priority="16">
      <formula>Y2=1</formula>
    </cfRule>
  </conditionalFormatting>
  <conditionalFormatting sqref="Y3:Y175">
    <cfRule type="expression" dxfId="15" priority="15">
      <formula>Y3=1</formula>
    </cfRule>
  </conditionalFormatting>
  <conditionalFormatting sqref="W2:W17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75 W2:W17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93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1.8554687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4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134</v>
      </c>
      <c r="E2" t="s">
        <v>135</v>
      </c>
      <c r="F2" t="s">
        <v>136</v>
      </c>
      <c r="G2">
        <v>0.108433109514769</v>
      </c>
      <c r="H2">
        <v>3E+20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0.108433109514769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0.108433109514769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0.108433109514769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25">
      <c r="A3" t="s">
        <v>67</v>
      </c>
      <c r="B3" t="s">
        <v>70</v>
      </c>
      <c r="C3">
        <v>1</v>
      </c>
      <c r="D3" t="s">
        <v>134</v>
      </c>
      <c r="E3" t="s">
        <v>137</v>
      </c>
      <c r="F3" t="s">
        <v>136</v>
      </c>
      <c r="G3">
        <v>0.108433109514769</v>
      </c>
      <c r="H3">
        <v>3E+20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0.108433109514769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0.108433109514769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0.108433109514769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25">
      <c r="A4" t="s">
        <v>67</v>
      </c>
      <c r="B4" t="s">
        <v>70</v>
      </c>
      <c r="C4">
        <v>1</v>
      </c>
      <c r="D4" t="s">
        <v>134</v>
      </c>
      <c r="E4" t="s">
        <v>138</v>
      </c>
      <c r="F4" t="s">
        <v>136</v>
      </c>
      <c r="G4">
        <v>0.58331561043584501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0.58331561043584501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0.58331561043584501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0.58331561043584501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139</v>
      </c>
      <c r="F5" t="s">
        <v>73</v>
      </c>
      <c r="G5">
        <v>0.70638818364012401</v>
      </c>
      <c r="H5">
        <v>3E+20</v>
      </c>
      <c r="I5">
        <v>0</v>
      </c>
      <c r="J5">
        <v>3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ProjectAssembly Batch.QueueNumber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0.70638818364012401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0.70638818364012401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0.70638818364012401</v>
      </c>
      <c r="U5">
        <f>IF((ContinuousStatsTable[[#This Row],[RepsRequested]]&gt;1),ContinuousStatsTable[[#This Row],[HalfWidth]],ContinuousStatsTable[[#This Row],[BatchMeansHalfWidth]])</f>
        <v>3E+20</v>
      </c>
    </row>
    <row r="6" spans="1:21" x14ac:dyDescent="0.25">
      <c r="A6" t="s">
        <v>67</v>
      </c>
      <c r="B6" t="s">
        <v>70</v>
      </c>
      <c r="C6">
        <v>1</v>
      </c>
      <c r="D6" t="s">
        <v>75</v>
      </c>
      <c r="E6" t="s">
        <v>139</v>
      </c>
      <c r="F6" t="s">
        <v>73</v>
      </c>
      <c r="G6">
        <v>0.33448787429177601</v>
      </c>
      <c r="H6">
        <v>3E+20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ProjectBatch 2.QueueNumber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0.33448787429177601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0.33448787429177601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0.33448787429177601</v>
      </c>
      <c r="U6">
        <f>IF((ContinuousStatsTable[[#This Row],[RepsRequested]]&gt;1),ContinuousStatsTable[[#This Row],[HalfWidth]],ContinuousStatsTable[[#This Row],[BatchMeansHalfWidth]])</f>
        <v>3E+20</v>
      </c>
    </row>
    <row r="7" spans="1:21" x14ac:dyDescent="0.25">
      <c r="A7" t="s">
        <v>67</v>
      </c>
      <c r="B7" t="s">
        <v>70</v>
      </c>
      <c r="C7">
        <v>1</v>
      </c>
      <c r="D7" t="s">
        <v>76</v>
      </c>
      <c r="E7" t="s">
        <v>139</v>
      </c>
      <c r="F7" t="s">
        <v>73</v>
      </c>
      <c r="G7">
        <v>0.33363405923022299</v>
      </c>
      <c r="H7">
        <v>3E+20</v>
      </c>
      <c r="I7">
        <v>0</v>
      </c>
      <c r="J7">
        <v>2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ProjectBatch 3.QueueNumber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0.33363405923022299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0.33363405923022299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0.33363405923022299</v>
      </c>
      <c r="U7">
        <f>IF((ContinuousStatsTable[[#This Row],[RepsRequested]]&gt;1),ContinuousStatsTable[[#This Row],[HalfWidth]],ContinuousStatsTable[[#This Row],[BatchMeansHalfWidth]])</f>
        <v>3E+20</v>
      </c>
    </row>
    <row r="8" spans="1:21" x14ac:dyDescent="0.25">
      <c r="A8" t="s">
        <v>67</v>
      </c>
      <c r="B8" t="s">
        <v>70</v>
      </c>
      <c r="C8">
        <v>1</v>
      </c>
      <c r="D8" t="s">
        <v>77</v>
      </c>
      <c r="E8" t="s">
        <v>139</v>
      </c>
      <c r="F8" t="s">
        <v>73</v>
      </c>
      <c r="G8">
        <v>0.66612663747794398</v>
      </c>
      <c r="H8">
        <v>3E+20</v>
      </c>
      <c r="I8">
        <v>0</v>
      </c>
      <c r="J8">
        <v>3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ProjectBatch 5.QueueNumber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0.66612663747794398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0.66612663747794398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0.66612663747794398</v>
      </c>
      <c r="U8">
        <f>IF((ContinuousStatsTable[[#This Row],[RepsRequested]]&gt;1),ContinuousStatsTable[[#This Row],[HalfWidth]],ContinuousStatsTable[[#This Row],[BatchMeansHalfWidth]])</f>
        <v>3E+20</v>
      </c>
    </row>
    <row r="9" spans="1:21" x14ac:dyDescent="0.25">
      <c r="A9" t="s">
        <v>67</v>
      </c>
      <c r="B9" t="s">
        <v>70</v>
      </c>
      <c r="C9">
        <v>1</v>
      </c>
      <c r="D9" t="s">
        <v>78</v>
      </c>
      <c r="E9" t="s">
        <v>140</v>
      </c>
      <c r="F9" t="s">
        <v>80</v>
      </c>
      <c r="G9">
        <v>8.6543341570239296E-2</v>
      </c>
      <c r="H9">
        <v>2E+20</v>
      </c>
      <c r="I9">
        <v>0</v>
      </c>
      <c r="J9">
        <v>3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8.6543341570239296E-2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8.6543341570239296E-2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8.6543341570239296E-2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25">
      <c r="A10" t="s">
        <v>67</v>
      </c>
      <c r="B10" t="s">
        <v>70</v>
      </c>
      <c r="C10">
        <v>1</v>
      </c>
      <c r="D10" t="s">
        <v>92</v>
      </c>
      <c r="E10" t="s">
        <v>140</v>
      </c>
      <c r="F10" t="s">
        <v>80</v>
      </c>
      <c r="G10">
        <v>15.3190956470623</v>
      </c>
      <c r="H10">
        <v>3E+20</v>
      </c>
      <c r="I10">
        <v>0</v>
      </c>
      <c r="J10">
        <v>36</v>
      </c>
      <c r="K10">
        <v>31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15.3190956470623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15.3190956470623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15.3190956470623</v>
      </c>
      <c r="U10">
        <f>IF((ContinuousStatsTable[[#This Row],[RepsRequested]]&gt;1),ContinuousStatsTable[[#This Row],[HalfWidth]],ContinuousStatsTable[[#This Row],[BatchMeansHalfWidth]])</f>
        <v>3E+20</v>
      </c>
    </row>
    <row r="11" spans="1:21" x14ac:dyDescent="0.25">
      <c r="A11" t="s">
        <v>67</v>
      </c>
      <c r="B11" t="s">
        <v>70</v>
      </c>
      <c r="C11">
        <v>1</v>
      </c>
      <c r="D11" t="s">
        <v>93</v>
      </c>
      <c r="E11" t="s">
        <v>140</v>
      </c>
      <c r="F11" t="s">
        <v>80</v>
      </c>
      <c r="G11">
        <v>20.877832467085501</v>
      </c>
      <c r="H11">
        <v>3E+20</v>
      </c>
      <c r="I11">
        <v>0</v>
      </c>
      <c r="J11">
        <v>42</v>
      </c>
      <c r="K11">
        <v>38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ProjectEntity 2WIPEntity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20.877832467085501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20.877832467085501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20.877832467085501</v>
      </c>
      <c r="U11">
        <f>IF((ContinuousStatsTable[[#This Row],[RepsRequested]]&gt;1),ContinuousStatsTable[[#This Row],[HalfWidth]],ContinuousStatsTable[[#This Row],[BatchMeansHalfWidth]])</f>
        <v>3E+20</v>
      </c>
    </row>
    <row r="12" spans="1:21" x14ac:dyDescent="0.25">
      <c r="A12" t="s">
        <v>67</v>
      </c>
      <c r="B12" t="s">
        <v>70</v>
      </c>
      <c r="C12">
        <v>1</v>
      </c>
      <c r="D12" t="s">
        <v>94</v>
      </c>
      <c r="E12" t="s">
        <v>140</v>
      </c>
      <c r="F12" t="s">
        <v>80</v>
      </c>
      <c r="G12">
        <v>18.807822425644702</v>
      </c>
      <c r="H12">
        <v>3E+20</v>
      </c>
      <c r="I12">
        <v>0</v>
      </c>
      <c r="J12">
        <v>44</v>
      </c>
      <c r="K12">
        <v>38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18.807822425644702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18.807822425644702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18.807822425644702</v>
      </c>
      <c r="U12" s="5">
        <f>IF((ContinuousStatsTable[[#This Row],[RepsRequested]]&gt;1),ContinuousStatsTable[[#This Row],[HalfWidth]],ContinuousStatsTable[[#This Row],[BatchMeansHalfWidth]])</f>
        <v>3E+20</v>
      </c>
    </row>
    <row r="13" spans="1:21" x14ac:dyDescent="0.25">
      <c r="A13" t="s">
        <v>67</v>
      </c>
      <c r="B13" t="s">
        <v>70</v>
      </c>
      <c r="C13">
        <v>1</v>
      </c>
      <c r="D13" t="s">
        <v>141</v>
      </c>
      <c r="E13" t="s">
        <v>135</v>
      </c>
      <c r="F13" t="s">
        <v>136</v>
      </c>
      <c r="G13">
        <v>0.92075442211088998</v>
      </c>
      <c r="H13">
        <v>2E+20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ProjectKanban L1S1Instantaneous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0.92075442211088998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0.92075442211088998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0.92075442211088998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25">
      <c r="A14" t="s">
        <v>67</v>
      </c>
      <c r="B14" t="s">
        <v>70</v>
      </c>
      <c r="C14">
        <v>1</v>
      </c>
      <c r="D14" t="s">
        <v>141</v>
      </c>
      <c r="E14" t="s">
        <v>137</v>
      </c>
      <c r="F14" t="s">
        <v>136</v>
      </c>
      <c r="G14">
        <v>3.6830176884435599</v>
      </c>
      <c r="H14">
        <v>2E+20</v>
      </c>
      <c r="I14">
        <v>0</v>
      </c>
      <c r="J14">
        <v>4</v>
      </c>
      <c r="K14">
        <v>4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ProjectKanban L1S1Number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3.6830176884435599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3.6830176884435599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3.6830176884435599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25">
      <c r="A15" t="s">
        <v>67</v>
      </c>
      <c r="B15" t="s">
        <v>70</v>
      </c>
      <c r="C15">
        <v>1</v>
      </c>
      <c r="D15" t="s">
        <v>141</v>
      </c>
      <c r="E15" t="s">
        <v>138</v>
      </c>
      <c r="F15" t="s">
        <v>136</v>
      </c>
      <c r="G15">
        <v>4</v>
      </c>
      <c r="H15">
        <v>2E+20</v>
      </c>
      <c r="I15">
        <v>4</v>
      </c>
      <c r="J15">
        <v>4</v>
      </c>
      <c r="K15">
        <v>4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ProjectKanban L1S1Number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4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4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25">
      <c r="A16" t="s">
        <v>67</v>
      </c>
      <c r="B16" t="s">
        <v>70</v>
      </c>
      <c r="C16">
        <v>1</v>
      </c>
      <c r="D16" t="s">
        <v>142</v>
      </c>
      <c r="E16" t="s">
        <v>135</v>
      </c>
      <c r="F16" t="s">
        <v>136</v>
      </c>
      <c r="G16">
        <v>0.489709043616947</v>
      </c>
      <c r="H16">
        <v>3E+20</v>
      </c>
      <c r="I16">
        <v>0</v>
      </c>
      <c r="J16">
        <v>1</v>
      </c>
      <c r="K16">
        <v>0.66666666666666696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ProjectKanban L1S2Instantaneous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0.489709043616947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0.489709043616947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0.489709043616947</v>
      </c>
      <c r="U16" s="5">
        <f>IF((ContinuousStatsTable[[#This Row],[RepsRequested]]&gt;1),ContinuousStatsTable[[#This Row],[HalfWidth]],ContinuousStatsTable[[#This Row],[BatchMeansHalfWidth]])</f>
        <v>3E+20</v>
      </c>
    </row>
    <row r="17" spans="1:21" x14ac:dyDescent="0.25">
      <c r="A17" t="s">
        <v>67</v>
      </c>
      <c r="B17" t="s">
        <v>70</v>
      </c>
      <c r="C17">
        <v>1</v>
      </c>
      <c r="D17" t="s">
        <v>142</v>
      </c>
      <c r="E17" t="s">
        <v>137</v>
      </c>
      <c r="F17" t="s">
        <v>136</v>
      </c>
      <c r="G17">
        <v>1.46912713085083</v>
      </c>
      <c r="H17">
        <v>3E+20</v>
      </c>
      <c r="I17">
        <v>0</v>
      </c>
      <c r="J17">
        <v>3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ProjectKanban L1S2Number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1.46912713085083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1.46912713085083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1.46912713085083</v>
      </c>
      <c r="U17" s="5">
        <f>IF((ContinuousStatsTable[[#This Row],[RepsRequested]]&gt;1),ContinuousStatsTable[[#This Row],[HalfWidth]],ContinuousStatsTable[[#This Row],[BatchMeansHalfWidth]])</f>
        <v>3E+20</v>
      </c>
    </row>
    <row r="18" spans="1:21" x14ac:dyDescent="0.25">
      <c r="A18" t="s">
        <v>67</v>
      </c>
      <c r="B18" t="s">
        <v>70</v>
      </c>
      <c r="C18">
        <v>1</v>
      </c>
      <c r="D18" t="s">
        <v>142</v>
      </c>
      <c r="E18" t="s">
        <v>138</v>
      </c>
      <c r="F18" t="s">
        <v>136</v>
      </c>
      <c r="G18">
        <v>3</v>
      </c>
      <c r="H18">
        <v>2E+20</v>
      </c>
      <c r="I18">
        <v>3</v>
      </c>
      <c r="J18">
        <v>3</v>
      </c>
      <c r="K18">
        <v>3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ProjectKanban L1S2Number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3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3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3</v>
      </c>
      <c r="U18" s="5">
        <f>IF((ContinuousStatsTable[[#This Row],[RepsRequested]]&gt;1),ContinuousStatsTable[[#This Row],[HalfWidth]],ContinuousStatsTable[[#This Row],[BatchMeansHalfWidth]])</f>
        <v>2E+20</v>
      </c>
    </row>
    <row r="19" spans="1:21" x14ac:dyDescent="0.25">
      <c r="A19" t="s">
        <v>67</v>
      </c>
      <c r="B19" t="s">
        <v>70</v>
      </c>
      <c r="C19">
        <v>1</v>
      </c>
      <c r="D19" t="s">
        <v>143</v>
      </c>
      <c r="E19" t="s">
        <v>135</v>
      </c>
      <c r="F19" t="s">
        <v>136</v>
      </c>
      <c r="G19">
        <v>0.40981440879308101</v>
      </c>
      <c r="H19">
        <v>3E+20</v>
      </c>
      <c r="I19">
        <v>0</v>
      </c>
      <c r="J19">
        <v>1</v>
      </c>
      <c r="K19">
        <v>0.33333333333333298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ProjectKanban L1S3Instantaneous UtilizationResource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0.40981440879308101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0.40981440879308101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0.40981440879308101</v>
      </c>
      <c r="U19" s="5">
        <f>IF((ContinuousStatsTable[[#This Row],[RepsRequested]]&gt;1),ContinuousStatsTable[[#This Row],[HalfWidth]],ContinuousStatsTable[[#This Row],[BatchMeansHalfWidth]])</f>
        <v>3E+20</v>
      </c>
    </row>
    <row r="20" spans="1:21" x14ac:dyDescent="0.25">
      <c r="A20" t="s">
        <v>67</v>
      </c>
      <c r="B20" t="s">
        <v>70</v>
      </c>
      <c r="C20">
        <v>1</v>
      </c>
      <c r="D20" t="s">
        <v>143</v>
      </c>
      <c r="E20" t="s">
        <v>137</v>
      </c>
      <c r="F20" t="s">
        <v>136</v>
      </c>
      <c r="G20">
        <v>1.2294432263792401</v>
      </c>
      <c r="H20">
        <v>3E+20</v>
      </c>
      <c r="I20">
        <v>0</v>
      </c>
      <c r="J20">
        <v>3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ProjectKanban L1S3Number BusyResource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1.2294432263792401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1.2294432263792401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1.2294432263792401</v>
      </c>
      <c r="U20" s="5">
        <f>IF((ContinuousStatsTable[[#This Row],[RepsRequested]]&gt;1),ContinuousStatsTable[[#This Row],[HalfWidth]],ContinuousStatsTable[[#This Row],[BatchMeansHalfWidth]])</f>
        <v>3E+20</v>
      </c>
    </row>
    <row r="21" spans="1:21" x14ac:dyDescent="0.25">
      <c r="A21" t="s">
        <v>67</v>
      </c>
      <c r="B21" t="s">
        <v>70</v>
      </c>
      <c r="C21">
        <v>1</v>
      </c>
      <c r="D21" t="s">
        <v>143</v>
      </c>
      <c r="E21" t="s">
        <v>138</v>
      </c>
      <c r="F21" t="s">
        <v>136</v>
      </c>
      <c r="G21">
        <v>3</v>
      </c>
      <c r="H21">
        <v>2E+20</v>
      </c>
      <c r="I21">
        <v>3</v>
      </c>
      <c r="J21">
        <v>3</v>
      </c>
      <c r="K21">
        <v>3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ProjectKanban L1S3Number ScheduledResource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3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3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3</v>
      </c>
      <c r="U21" s="5">
        <f>IF((ContinuousStatsTable[[#This Row],[RepsRequested]]&gt;1),ContinuousStatsTable[[#This Row],[HalfWidth]],ContinuousStatsTable[[#This Row],[BatchMeansHalfWidth]])</f>
        <v>2E+20</v>
      </c>
    </row>
    <row r="22" spans="1:21" x14ac:dyDescent="0.25">
      <c r="A22" t="s">
        <v>67</v>
      </c>
      <c r="B22" t="s">
        <v>70</v>
      </c>
      <c r="C22">
        <v>1</v>
      </c>
      <c r="D22" t="s">
        <v>144</v>
      </c>
      <c r="E22" t="s">
        <v>135</v>
      </c>
      <c r="F22" t="s">
        <v>136</v>
      </c>
      <c r="G22">
        <v>0.99437007322419102</v>
      </c>
      <c r="H22">
        <v>2E+20</v>
      </c>
      <c r="I22">
        <v>0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ProjectKanban L2S1Instantaneous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0.99437007322419102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0.99437007322419102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0.99437007322419102</v>
      </c>
      <c r="U22" s="5">
        <f>IF((ContinuousStatsTable[[#This Row],[RepsRequested]]&gt;1),ContinuousStatsTable[[#This Row],[HalfWidth]],ContinuousStatsTable[[#This Row],[BatchMeansHalfWidth]])</f>
        <v>2E+20</v>
      </c>
    </row>
    <row r="23" spans="1:21" x14ac:dyDescent="0.25">
      <c r="A23" t="s">
        <v>67</v>
      </c>
      <c r="B23" t="s">
        <v>70</v>
      </c>
      <c r="C23">
        <v>1</v>
      </c>
      <c r="D23" t="s">
        <v>144</v>
      </c>
      <c r="E23" t="s">
        <v>137</v>
      </c>
      <c r="F23" t="s">
        <v>136</v>
      </c>
      <c r="G23">
        <v>1.98874014644838</v>
      </c>
      <c r="H23">
        <v>2E+20</v>
      </c>
      <c r="I23">
        <v>0</v>
      </c>
      <c r="J23">
        <v>2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ProjectKanban L2S1Number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1.98874014644838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1.98874014644838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1.98874014644838</v>
      </c>
      <c r="U23" s="5">
        <f>IF((ContinuousStatsTable[[#This Row],[RepsRequested]]&gt;1),ContinuousStatsTable[[#This Row],[HalfWidth]],ContinuousStatsTable[[#This Row],[BatchMeansHalfWidth]])</f>
        <v>2E+20</v>
      </c>
    </row>
    <row r="24" spans="1:21" x14ac:dyDescent="0.25">
      <c r="A24" t="s">
        <v>67</v>
      </c>
      <c r="B24" t="s">
        <v>70</v>
      </c>
      <c r="C24">
        <v>1</v>
      </c>
      <c r="D24" t="s">
        <v>144</v>
      </c>
      <c r="E24" t="s">
        <v>138</v>
      </c>
      <c r="F24" t="s">
        <v>136</v>
      </c>
      <c r="G24">
        <v>2</v>
      </c>
      <c r="H24">
        <v>2E+20</v>
      </c>
      <c r="I24">
        <v>2</v>
      </c>
      <c r="J24">
        <v>2</v>
      </c>
      <c r="K24">
        <v>2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ProjectKanban L2S1Number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2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2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2</v>
      </c>
      <c r="U24" s="5">
        <f>IF((ContinuousStatsTable[[#This Row],[RepsRequested]]&gt;1),ContinuousStatsTable[[#This Row],[HalfWidth]],ContinuousStatsTable[[#This Row],[BatchMeansHalfWidth]])</f>
        <v>2E+20</v>
      </c>
    </row>
    <row r="25" spans="1:21" x14ac:dyDescent="0.25">
      <c r="A25" t="s">
        <v>67</v>
      </c>
      <c r="B25" t="s">
        <v>70</v>
      </c>
      <c r="C25">
        <v>1</v>
      </c>
      <c r="D25" t="s">
        <v>145</v>
      </c>
      <c r="E25" t="s">
        <v>135</v>
      </c>
      <c r="F25" t="s">
        <v>136</v>
      </c>
      <c r="G25">
        <v>0.64915601926033195</v>
      </c>
      <c r="H25">
        <v>2E+20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ProjectKanban L2S2Instantaneous UtilizationResource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0.64915601926033195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0.64915601926033195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0.64915601926033195</v>
      </c>
      <c r="U25" s="5">
        <f>IF((ContinuousStatsTable[[#This Row],[RepsRequested]]&gt;1),ContinuousStatsTable[[#This Row],[HalfWidth]],ContinuousStatsTable[[#This Row],[BatchMeansHalfWidth]])</f>
        <v>2E+20</v>
      </c>
    </row>
    <row r="26" spans="1:21" x14ac:dyDescent="0.25">
      <c r="A26" t="s">
        <v>67</v>
      </c>
      <c r="B26" t="s">
        <v>70</v>
      </c>
      <c r="C26">
        <v>1</v>
      </c>
      <c r="D26" t="s">
        <v>145</v>
      </c>
      <c r="E26" t="s">
        <v>137</v>
      </c>
      <c r="F26" t="s">
        <v>136</v>
      </c>
      <c r="G26">
        <v>3.2457800963016501</v>
      </c>
      <c r="H26">
        <v>2E+20</v>
      </c>
      <c r="I26">
        <v>0</v>
      </c>
      <c r="J26">
        <v>5</v>
      </c>
      <c r="K26">
        <v>5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ProjectKanban L2S2Number BusyResource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3.2457800963016501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3.2457800963016501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3.2457800963016501</v>
      </c>
      <c r="U26" s="5">
        <f>IF((ContinuousStatsTable[[#This Row],[RepsRequested]]&gt;1),ContinuousStatsTable[[#This Row],[HalfWidth]],ContinuousStatsTable[[#This Row],[BatchMeansHalfWidth]])</f>
        <v>2E+20</v>
      </c>
    </row>
    <row r="27" spans="1:21" x14ac:dyDescent="0.25">
      <c r="A27" t="s">
        <v>67</v>
      </c>
      <c r="B27" t="s">
        <v>70</v>
      </c>
      <c r="C27">
        <v>1</v>
      </c>
      <c r="D27" t="s">
        <v>145</v>
      </c>
      <c r="E27" t="s">
        <v>138</v>
      </c>
      <c r="F27" t="s">
        <v>136</v>
      </c>
      <c r="G27">
        <v>5</v>
      </c>
      <c r="H27">
        <v>2E+20</v>
      </c>
      <c r="I27">
        <v>5</v>
      </c>
      <c r="J27">
        <v>5</v>
      </c>
      <c r="K27">
        <v>5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ProjectKanban L2S2Number ScheduledResource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5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5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5</v>
      </c>
      <c r="U27" s="5">
        <f>IF((ContinuousStatsTable[[#This Row],[RepsRequested]]&gt;1),ContinuousStatsTable[[#This Row],[HalfWidth]],ContinuousStatsTable[[#This Row],[BatchMeansHalfWidth]])</f>
        <v>2E+20</v>
      </c>
    </row>
    <row r="28" spans="1:21" x14ac:dyDescent="0.25">
      <c r="A28" t="s">
        <v>67</v>
      </c>
      <c r="B28" t="s">
        <v>70</v>
      </c>
      <c r="C28">
        <v>1</v>
      </c>
      <c r="D28" t="s">
        <v>146</v>
      </c>
      <c r="E28" t="s">
        <v>135</v>
      </c>
      <c r="F28" t="s">
        <v>136</v>
      </c>
      <c r="G28">
        <v>0.66607687117899494</v>
      </c>
      <c r="H28">
        <v>2E+20</v>
      </c>
      <c r="I28">
        <v>0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ProjectKanban L2S3Instantaneous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0.66607687117899494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0.66607687117899494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0.66607687117899494</v>
      </c>
      <c r="U28" s="5">
        <f>IF((ContinuousStatsTable[[#This Row],[RepsRequested]]&gt;1),ContinuousStatsTable[[#This Row],[HalfWidth]],ContinuousStatsTable[[#This Row],[BatchMeansHalfWidth]])</f>
        <v>2E+20</v>
      </c>
    </row>
    <row r="29" spans="1:21" x14ac:dyDescent="0.25">
      <c r="A29" t="s">
        <v>67</v>
      </c>
      <c r="B29" t="s">
        <v>70</v>
      </c>
      <c r="C29">
        <v>1</v>
      </c>
      <c r="D29" t="s">
        <v>146</v>
      </c>
      <c r="E29" t="s">
        <v>137</v>
      </c>
      <c r="F29" t="s">
        <v>136</v>
      </c>
      <c r="G29">
        <v>2.6643074847159798</v>
      </c>
      <c r="H29">
        <v>2E+20</v>
      </c>
      <c r="I29">
        <v>0</v>
      </c>
      <c r="J29">
        <v>4</v>
      </c>
      <c r="K29">
        <v>4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ProjectKanban L2S3Number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2.6643074847159798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2.6643074847159798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2.6643074847159798</v>
      </c>
      <c r="U29" s="5">
        <f>IF((ContinuousStatsTable[[#This Row],[RepsRequested]]&gt;1),ContinuousStatsTable[[#This Row],[HalfWidth]],ContinuousStatsTable[[#This Row],[BatchMeansHalfWidth]])</f>
        <v>2E+20</v>
      </c>
    </row>
    <row r="30" spans="1:21" x14ac:dyDescent="0.25">
      <c r="A30" t="s">
        <v>67</v>
      </c>
      <c r="B30" t="s">
        <v>70</v>
      </c>
      <c r="C30">
        <v>1</v>
      </c>
      <c r="D30" t="s">
        <v>146</v>
      </c>
      <c r="E30" t="s">
        <v>138</v>
      </c>
      <c r="F30" t="s">
        <v>136</v>
      </c>
      <c r="G30">
        <v>4</v>
      </c>
      <c r="H30">
        <v>2E+20</v>
      </c>
      <c r="I30">
        <v>4</v>
      </c>
      <c r="J30">
        <v>4</v>
      </c>
      <c r="K30">
        <v>4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ProjectKanban L2S3Number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4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4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4</v>
      </c>
      <c r="U30" s="5">
        <f>IF((ContinuousStatsTable[[#This Row],[RepsRequested]]&gt;1),ContinuousStatsTable[[#This Row],[HalfWidth]],ContinuousStatsTable[[#This Row],[BatchMeansHalfWidth]])</f>
        <v>2E+20</v>
      </c>
    </row>
    <row r="31" spans="1:21" x14ac:dyDescent="0.25">
      <c r="A31" t="s">
        <v>67</v>
      </c>
      <c r="B31" t="s">
        <v>70</v>
      </c>
      <c r="C31">
        <v>1</v>
      </c>
      <c r="D31" t="s">
        <v>147</v>
      </c>
      <c r="E31" t="s">
        <v>135</v>
      </c>
      <c r="F31" t="s">
        <v>136</v>
      </c>
      <c r="G31">
        <v>0.33931560369556002</v>
      </c>
      <c r="H31">
        <v>3E+20</v>
      </c>
      <c r="I31">
        <v>0</v>
      </c>
      <c r="J31">
        <v>1</v>
      </c>
      <c r="K31">
        <v>0.5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ProjectKanban L2S4Instantaneous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0.33931560369556002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0.33931560369556002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0.33931560369556002</v>
      </c>
      <c r="U31" s="5">
        <f>IF((ContinuousStatsTable[[#This Row],[RepsRequested]]&gt;1),ContinuousStatsTable[[#This Row],[HalfWidth]],ContinuousStatsTable[[#This Row],[BatchMeansHalfWidth]])</f>
        <v>3E+20</v>
      </c>
    </row>
    <row r="32" spans="1:21" x14ac:dyDescent="0.25">
      <c r="A32" t="s">
        <v>67</v>
      </c>
      <c r="B32" t="s">
        <v>70</v>
      </c>
      <c r="C32">
        <v>1</v>
      </c>
      <c r="D32" t="s">
        <v>147</v>
      </c>
      <c r="E32" t="s">
        <v>137</v>
      </c>
      <c r="F32" t="s">
        <v>136</v>
      </c>
      <c r="G32">
        <v>0.67863120739112104</v>
      </c>
      <c r="H32">
        <v>3E+20</v>
      </c>
      <c r="I32">
        <v>0</v>
      </c>
      <c r="J32">
        <v>2</v>
      </c>
      <c r="K32">
        <v>1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ProjectKanban L2S4Number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0.67863120739112104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0.67863120739112104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0.67863120739112104</v>
      </c>
      <c r="U32" s="5">
        <f>IF((ContinuousStatsTable[[#This Row],[RepsRequested]]&gt;1),ContinuousStatsTable[[#This Row],[HalfWidth]],ContinuousStatsTable[[#This Row],[BatchMeansHalfWidth]])</f>
        <v>3E+20</v>
      </c>
    </row>
    <row r="33" spans="1:21" x14ac:dyDescent="0.25">
      <c r="A33" t="s">
        <v>67</v>
      </c>
      <c r="B33" t="s">
        <v>70</v>
      </c>
      <c r="C33">
        <v>1</v>
      </c>
      <c r="D33" t="s">
        <v>147</v>
      </c>
      <c r="E33" t="s">
        <v>138</v>
      </c>
      <c r="F33" t="s">
        <v>136</v>
      </c>
      <c r="G33">
        <v>2</v>
      </c>
      <c r="H33">
        <v>2E+20</v>
      </c>
      <c r="I33">
        <v>2</v>
      </c>
      <c r="J33">
        <v>2</v>
      </c>
      <c r="K33">
        <v>2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ProjectKanban L2S4Number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2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2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2</v>
      </c>
      <c r="U33" s="5">
        <f>IF((ContinuousStatsTable[[#This Row],[RepsRequested]]&gt;1),ContinuousStatsTable[[#This Row],[HalfWidth]],ContinuousStatsTable[[#This Row],[BatchMeansHalfWidth]])</f>
        <v>2E+20</v>
      </c>
    </row>
    <row r="34" spans="1:21" x14ac:dyDescent="0.25">
      <c r="A34" t="s">
        <v>67</v>
      </c>
      <c r="B34" t="s">
        <v>70</v>
      </c>
      <c r="C34">
        <v>1</v>
      </c>
      <c r="D34" t="s">
        <v>148</v>
      </c>
      <c r="E34" t="s">
        <v>135</v>
      </c>
      <c r="F34" t="s">
        <v>136</v>
      </c>
      <c r="G34">
        <v>0.923864885868944</v>
      </c>
      <c r="H34">
        <v>2E+20</v>
      </c>
      <c r="I34">
        <v>0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ProjectKanban L3S1Instantaneous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0.923864885868944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0.923864885868944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0.923864885868944</v>
      </c>
      <c r="U34" s="5">
        <f>IF((ContinuousStatsTable[[#This Row],[RepsRequested]]&gt;1),ContinuousStatsTable[[#This Row],[HalfWidth]],ContinuousStatsTable[[#This Row],[BatchMeansHalfWidth]])</f>
        <v>2E+20</v>
      </c>
    </row>
    <row r="35" spans="1:21" x14ac:dyDescent="0.25">
      <c r="A35" t="s">
        <v>67</v>
      </c>
      <c r="B35" t="s">
        <v>70</v>
      </c>
      <c r="C35">
        <v>1</v>
      </c>
      <c r="D35" t="s">
        <v>148</v>
      </c>
      <c r="E35" t="s">
        <v>137</v>
      </c>
      <c r="F35" t="s">
        <v>136</v>
      </c>
      <c r="G35">
        <v>4.6193244293447098</v>
      </c>
      <c r="H35">
        <v>2E+20</v>
      </c>
      <c r="I35">
        <v>0</v>
      </c>
      <c r="J35">
        <v>5</v>
      </c>
      <c r="K35">
        <v>5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ProjectKanban L3S1Number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4.6193244293447098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4.6193244293447098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4.6193244293447098</v>
      </c>
      <c r="U35" s="5">
        <f>IF((ContinuousStatsTable[[#This Row],[RepsRequested]]&gt;1),ContinuousStatsTable[[#This Row],[HalfWidth]],ContinuousStatsTable[[#This Row],[BatchMeansHalfWidth]])</f>
        <v>2E+20</v>
      </c>
    </row>
    <row r="36" spans="1:21" x14ac:dyDescent="0.25">
      <c r="A36" t="s">
        <v>67</v>
      </c>
      <c r="B36" t="s">
        <v>70</v>
      </c>
      <c r="C36">
        <v>1</v>
      </c>
      <c r="D36" t="s">
        <v>148</v>
      </c>
      <c r="E36" t="s">
        <v>138</v>
      </c>
      <c r="F36" t="s">
        <v>136</v>
      </c>
      <c r="G36">
        <v>5</v>
      </c>
      <c r="H36">
        <v>2E+20</v>
      </c>
      <c r="I36">
        <v>5</v>
      </c>
      <c r="J36">
        <v>5</v>
      </c>
      <c r="K36">
        <v>5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ProjectKanban L3S1Number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5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5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5</v>
      </c>
      <c r="U36" s="5">
        <f>IF((ContinuousStatsTable[[#This Row],[RepsRequested]]&gt;1),ContinuousStatsTable[[#This Row],[HalfWidth]],ContinuousStatsTable[[#This Row],[BatchMeansHalfWidth]])</f>
        <v>2E+20</v>
      </c>
    </row>
    <row r="37" spans="1:21" x14ac:dyDescent="0.25">
      <c r="A37" t="s">
        <v>67</v>
      </c>
      <c r="B37" t="s">
        <v>70</v>
      </c>
      <c r="C37">
        <v>1</v>
      </c>
      <c r="D37" t="s">
        <v>149</v>
      </c>
      <c r="E37" t="s">
        <v>135</v>
      </c>
      <c r="F37" t="s">
        <v>136</v>
      </c>
      <c r="G37">
        <v>0.66362836165822303</v>
      </c>
      <c r="H37">
        <v>3E+20</v>
      </c>
      <c r="I37">
        <v>0</v>
      </c>
      <c r="J37">
        <v>1</v>
      </c>
      <c r="K37">
        <v>1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ProjectKanban L3S2Instantaneous UtilizationResource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0.66362836165822303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0.66362836165822303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0.66362836165822303</v>
      </c>
      <c r="U37" s="5">
        <f>IF((ContinuousStatsTable[[#This Row],[RepsRequested]]&gt;1),ContinuousStatsTable[[#This Row],[HalfWidth]],ContinuousStatsTable[[#This Row],[BatchMeansHalfWidth]])</f>
        <v>3E+20</v>
      </c>
    </row>
    <row r="38" spans="1:21" x14ac:dyDescent="0.25">
      <c r="A38" t="s">
        <v>67</v>
      </c>
      <c r="B38" t="s">
        <v>70</v>
      </c>
      <c r="C38">
        <v>1</v>
      </c>
      <c r="D38" t="s">
        <v>149</v>
      </c>
      <c r="E38" t="s">
        <v>137</v>
      </c>
      <c r="F38" t="s">
        <v>136</v>
      </c>
      <c r="G38">
        <v>1.99088508497468</v>
      </c>
      <c r="H38">
        <v>3E+20</v>
      </c>
      <c r="I38">
        <v>0</v>
      </c>
      <c r="J38">
        <v>3</v>
      </c>
      <c r="K38">
        <v>3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ProjectKanban L3S2Number BusyResource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1.99088508497468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1.99088508497468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1.99088508497468</v>
      </c>
      <c r="U38" s="5">
        <f>IF((ContinuousStatsTable[[#This Row],[RepsRequested]]&gt;1),ContinuousStatsTable[[#This Row],[HalfWidth]],ContinuousStatsTable[[#This Row],[BatchMeansHalfWidth]])</f>
        <v>3E+20</v>
      </c>
    </row>
    <row r="39" spans="1:21" x14ac:dyDescent="0.25">
      <c r="A39" t="s">
        <v>67</v>
      </c>
      <c r="B39" t="s">
        <v>70</v>
      </c>
      <c r="C39">
        <v>1</v>
      </c>
      <c r="D39" t="s">
        <v>149</v>
      </c>
      <c r="E39" t="s">
        <v>138</v>
      </c>
      <c r="F39" t="s">
        <v>136</v>
      </c>
      <c r="G39">
        <v>3</v>
      </c>
      <c r="H39">
        <v>2E+20</v>
      </c>
      <c r="I39">
        <v>3</v>
      </c>
      <c r="J39">
        <v>3</v>
      </c>
      <c r="K39">
        <v>3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ProjectKanban L3S2Number ScheduledResource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3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3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3</v>
      </c>
      <c r="U39" s="5">
        <f>IF((ContinuousStatsTable[[#This Row],[RepsRequested]]&gt;1),ContinuousStatsTable[[#This Row],[HalfWidth]],ContinuousStatsTable[[#This Row],[BatchMeansHalfWidth]])</f>
        <v>2E+20</v>
      </c>
    </row>
    <row r="40" spans="1:21" x14ac:dyDescent="0.25">
      <c r="A40" t="s">
        <v>67</v>
      </c>
      <c r="B40" t="s">
        <v>70</v>
      </c>
      <c r="C40">
        <v>1</v>
      </c>
      <c r="D40" t="s">
        <v>150</v>
      </c>
      <c r="E40" t="s">
        <v>135</v>
      </c>
      <c r="F40" t="s">
        <v>136</v>
      </c>
      <c r="G40">
        <v>0.58333333333333404</v>
      </c>
      <c r="H40">
        <v>2E+20</v>
      </c>
      <c r="I40">
        <v>0</v>
      </c>
      <c r="J40">
        <v>1</v>
      </c>
      <c r="K40">
        <v>1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ProjectL1 Station1Instantaneous UtilizationResource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0.58333333333333404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0.58333333333333404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0.58333333333333404</v>
      </c>
      <c r="U40" s="5">
        <f>IF((ContinuousStatsTable[[#This Row],[RepsRequested]]&gt;1),ContinuousStatsTable[[#This Row],[HalfWidth]],ContinuousStatsTable[[#This Row],[BatchMeansHalfWidth]])</f>
        <v>2E+20</v>
      </c>
    </row>
    <row r="41" spans="1:21" x14ac:dyDescent="0.25">
      <c r="A41" t="s">
        <v>67</v>
      </c>
      <c r="B41" t="s">
        <v>70</v>
      </c>
      <c r="C41">
        <v>1</v>
      </c>
      <c r="D41" t="s">
        <v>150</v>
      </c>
      <c r="E41" t="s">
        <v>137</v>
      </c>
      <c r="F41" t="s">
        <v>136</v>
      </c>
      <c r="G41">
        <v>0.58333333333333404</v>
      </c>
      <c r="H41">
        <v>2E+20</v>
      </c>
      <c r="I41">
        <v>0</v>
      </c>
      <c r="J41">
        <v>1</v>
      </c>
      <c r="K41">
        <v>1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ProjectL1 Station1Number BusyResource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0.58333333333333404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0.58333333333333404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0.58333333333333404</v>
      </c>
      <c r="U41" s="5">
        <f>IF((ContinuousStatsTable[[#This Row],[RepsRequested]]&gt;1),ContinuousStatsTable[[#This Row],[HalfWidth]],ContinuousStatsTable[[#This Row],[BatchMeansHalfWidth]])</f>
        <v>2E+20</v>
      </c>
    </row>
    <row r="42" spans="1:21" x14ac:dyDescent="0.25">
      <c r="A42" t="s">
        <v>67</v>
      </c>
      <c r="B42" t="s">
        <v>70</v>
      </c>
      <c r="C42">
        <v>1</v>
      </c>
      <c r="D42" t="s">
        <v>150</v>
      </c>
      <c r="E42" t="s">
        <v>138</v>
      </c>
      <c r="F42" t="s">
        <v>136</v>
      </c>
      <c r="G42">
        <v>0.58307071045105496</v>
      </c>
      <c r="H42">
        <v>2E+20</v>
      </c>
      <c r="I42">
        <v>0</v>
      </c>
      <c r="J42">
        <v>1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ProjectL1 Station1Number ScheduledResource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0.58307071045105496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0.58307071045105496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0.58307071045105496</v>
      </c>
      <c r="U42" s="5">
        <f>IF((ContinuousStatsTable[[#This Row],[RepsRequested]]&gt;1),ContinuousStatsTable[[#This Row],[HalfWidth]],ContinuousStatsTable[[#This Row],[BatchMeansHalfWidth]])</f>
        <v>2E+20</v>
      </c>
    </row>
    <row r="43" spans="1:21" x14ac:dyDescent="0.25">
      <c r="A43" t="s">
        <v>67</v>
      </c>
      <c r="B43" t="s">
        <v>70</v>
      </c>
      <c r="C43">
        <v>1</v>
      </c>
      <c r="D43" t="s">
        <v>151</v>
      </c>
      <c r="E43" t="s">
        <v>135</v>
      </c>
      <c r="F43" t="s">
        <v>136</v>
      </c>
      <c r="G43">
        <v>0.290722496779179</v>
      </c>
      <c r="H43">
        <v>3E+20</v>
      </c>
      <c r="I43">
        <v>0</v>
      </c>
      <c r="J43">
        <v>1</v>
      </c>
      <c r="K43">
        <v>1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ProjectL1 Station2Instantaneous UtilizationResource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0.290722496779179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0.290722496779179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0.290722496779179</v>
      </c>
      <c r="U43" s="5">
        <f>IF((ContinuousStatsTable[[#This Row],[RepsRequested]]&gt;1),ContinuousStatsTable[[#This Row],[HalfWidth]],ContinuousStatsTable[[#This Row],[BatchMeansHalfWidth]])</f>
        <v>3E+20</v>
      </c>
    </row>
    <row r="44" spans="1:21" x14ac:dyDescent="0.25">
      <c r="A44" t="s">
        <v>67</v>
      </c>
      <c r="B44" t="s">
        <v>70</v>
      </c>
      <c r="C44">
        <v>1</v>
      </c>
      <c r="D44" t="s">
        <v>151</v>
      </c>
      <c r="E44" t="s">
        <v>137</v>
      </c>
      <c r="F44" t="s">
        <v>136</v>
      </c>
      <c r="G44">
        <v>0.290722496779178</v>
      </c>
      <c r="H44">
        <v>3E+20</v>
      </c>
      <c r="I44">
        <v>0</v>
      </c>
      <c r="J44">
        <v>1</v>
      </c>
      <c r="K44">
        <v>1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ProjectL1 Station2Number BusyResource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0.290722496779178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0.290722496779178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0.290722496779178</v>
      </c>
      <c r="U44" s="5">
        <f>IF((ContinuousStatsTable[[#This Row],[RepsRequested]]&gt;1),ContinuousStatsTable[[#This Row],[HalfWidth]],ContinuousStatsTable[[#This Row],[BatchMeansHalfWidth]])</f>
        <v>3E+20</v>
      </c>
    </row>
    <row r="45" spans="1:21" x14ac:dyDescent="0.25">
      <c r="A45" t="s">
        <v>67</v>
      </c>
      <c r="B45" t="s">
        <v>70</v>
      </c>
      <c r="C45">
        <v>1</v>
      </c>
      <c r="D45" t="s">
        <v>151</v>
      </c>
      <c r="E45" t="s">
        <v>138</v>
      </c>
      <c r="F45" t="s">
        <v>136</v>
      </c>
      <c r="G45">
        <v>0.58330350064770997</v>
      </c>
      <c r="H45">
        <v>2E+20</v>
      </c>
      <c r="I45">
        <v>0</v>
      </c>
      <c r="J45">
        <v>1</v>
      </c>
      <c r="K45">
        <v>1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ProjectL1 Station2Number ScheduledResource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0.58330350064770997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0.58330350064770997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0.58330350064770997</v>
      </c>
      <c r="U45" s="5">
        <f>IF((ContinuousStatsTable[[#This Row],[RepsRequested]]&gt;1),ContinuousStatsTable[[#This Row],[HalfWidth]],ContinuousStatsTable[[#This Row],[BatchMeansHalfWidth]])</f>
        <v>2E+20</v>
      </c>
    </row>
    <row r="46" spans="1:21" x14ac:dyDescent="0.25">
      <c r="A46" t="s">
        <v>67</v>
      </c>
      <c r="B46" t="s">
        <v>70</v>
      </c>
      <c r="C46">
        <v>1</v>
      </c>
      <c r="D46" t="s">
        <v>152</v>
      </c>
      <c r="E46" t="s">
        <v>135</v>
      </c>
      <c r="F46" t="s">
        <v>136</v>
      </c>
      <c r="G46">
        <v>0.53422000680166104</v>
      </c>
      <c r="H46">
        <v>3E+20</v>
      </c>
      <c r="I46">
        <v>0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ProjectL1 Station3Instantaneous UtilizationResource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0.53422000680166104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0.53422000680166104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0.53422000680166104</v>
      </c>
      <c r="U46" s="5">
        <f>IF((ContinuousStatsTable[[#This Row],[RepsRequested]]&gt;1),ContinuousStatsTable[[#This Row],[HalfWidth]],ContinuousStatsTable[[#This Row],[BatchMeansHalfWidth]])</f>
        <v>3E+20</v>
      </c>
    </row>
    <row r="47" spans="1:21" x14ac:dyDescent="0.25">
      <c r="A47" t="s">
        <v>67</v>
      </c>
      <c r="B47" t="s">
        <v>70</v>
      </c>
      <c r="C47">
        <v>1</v>
      </c>
      <c r="D47" t="s">
        <v>152</v>
      </c>
      <c r="E47" t="s">
        <v>137</v>
      </c>
      <c r="F47" t="s">
        <v>136</v>
      </c>
      <c r="G47">
        <v>0.53422000680166104</v>
      </c>
      <c r="H47">
        <v>3E+20</v>
      </c>
      <c r="I47">
        <v>0</v>
      </c>
      <c r="J47">
        <v>1</v>
      </c>
      <c r="K47">
        <v>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ProjectL1 Station3Number BusyResource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0.53422000680166104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0.53422000680166104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0.53422000680166104</v>
      </c>
      <c r="U47" s="5">
        <f>IF((ContinuousStatsTable[[#This Row],[RepsRequested]]&gt;1),ContinuousStatsTable[[#This Row],[HalfWidth]],ContinuousStatsTable[[#This Row],[BatchMeansHalfWidth]])</f>
        <v>3E+20</v>
      </c>
    </row>
    <row r="48" spans="1:21" x14ac:dyDescent="0.25">
      <c r="A48" t="s">
        <v>67</v>
      </c>
      <c r="B48" t="s">
        <v>70</v>
      </c>
      <c r="C48">
        <v>1</v>
      </c>
      <c r="D48" t="s">
        <v>152</v>
      </c>
      <c r="E48" t="s">
        <v>138</v>
      </c>
      <c r="F48" t="s">
        <v>136</v>
      </c>
      <c r="G48">
        <v>0.58322693471450404</v>
      </c>
      <c r="H48">
        <v>2E+20</v>
      </c>
      <c r="I48">
        <v>0</v>
      </c>
      <c r="J48">
        <v>1</v>
      </c>
      <c r="K48">
        <v>1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ProjectL1 Station3Number ScheduledResource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0.58322693471450404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0.58322693471450404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0.58322693471450404</v>
      </c>
      <c r="U48" s="5">
        <f>IF((ContinuousStatsTable[[#This Row],[RepsRequested]]&gt;1),ContinuousStatsTable[[#This Row],[HalfWidth]],ContinuousStatsTable[[#This Row],[BatchMeansHalfWidth]])</f>
        <v>2E+20</v>
      </c>
    </row>
    <row r="49" spans="1:21" x14ac:dyDescent="0.25">
      <c r="A49" t="s">
        <v>67</v>
      </c>
      <c r="B49" t="s">
        <v>70</v>
      </c>
      <c r="C49">
        <v>1</v>
      </c>
      <c r="D49" t="s">
        <v>153</v>
      </c>
      <c r="E49" t="s">
        <v>135</v>
      </c>
      <c r="F49" t="s">
        <v>136</v>
      </c>
      <c r="G49">
        <v>0.16465284070702901</v>
      </c>
      <c r="H49">
        <v>3E+20</v>
      </c>
      <c r="I49">
        <v>0</v>
      </c>
      <c r="J49">
        <v>1</v>
      </c>
      <c r="K49">
        <v>0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ProjectL2 Station1Instantaneous UtilizationResource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0.16465284070702901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0.16465284070702901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0.16465284070702901</v>
      </c>
      <c r="U49" s="5">
        <f>IF((ContinuousStatsTable[[#This Row],[RepsRequested]]&gt;1),ContinuousStatsTable[[#This Row],[HalfWidth]],ContinuousStatsTable[[#This Row],[BatchMeansHalfWidth]])</f>
        <v>3E+20</v>
      </c>
    </row>
    <row r="50" spans="1:21" x14ac:dyDescent="0.25">
      <c r="A50" t="s">
        <v>67</v>
      </c>
      <c r="B50" t="s">
        <v>70</v>
      </c>
      <c r="C50">
        <v>1</v>
      </c>
      <c r="D50" t="s">
        <v>153</v>
      </c>
      <c r="E50" t="s">
        <v>137</v>
      </c>
      <c r="F50" t="s">
        <v>136</v>
      </c>
      <c r="G50">
        <v>0.16465284070702901</v>
      </c>
      <c r="H50">
        <v>3E+20</v>
      </c>
      <c r="I50">
        <v>0</v>
      </c>
      <c r="J50">
        <v>1</v>
      </c>
      <c r="K50">
        <v>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ProjectL2 Station1Number BusyResource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0.16465284070702901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0.16465284070702901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0.16465284070702901</v>
      </c>
      <c r="U50" s="5">
        <f>IF((ContinuousStatsTable[[#This Row],[RepsRequested]]&gt;1),ContinuousStatsTable[[#This Row],[HalfWidth]],ContinuousStatsTable[[#This Row],[BatchMeansHalfWidth]])</f>
        <v>3E+20</v>
      </c>
    </row>
    <row r="51" spans="1:21" x14ac:dyDescent="0.25">
      <c r="A51" t="s">
        <v>67</v>
      </c>
      <c r="B51" t="s">
        <v>70</v>
      </c>
      <c r="C51">
        <v>1</v>
      </c>
      <c r="D51" t="s">
        <v>153</v>
      </c>
      <c r="E51" t="s">
        <v>138</v>
      </c>
      <c r="F51" t="s">
        <v>136</v>
      </c>
      <c r="G51">
        <v>0.58333333333333304</v>
      </c>
      <c r="H51">
        <v>2E+20</v>
      </c>
      <c r="I51">
        <v>0</v>
      </c>
      <c r="J51">
        <v>1</v>
      </c>
      <c r="K51">
        <v>1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ProjectL2 Station1Number ScheduledResource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0.58333333333333304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0.58333333333333304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0.58333333333333304</v>
      </c>
      <c r="U51" s="5">
        <f>IF((ContinuousStatsTable[[#This Row],[RepsRequested]]&gt;1),ContinuousStatsTable[[#This Row],[HalfWidth]],ContinuousStatsTable[[#This Row],[BatchMeansHalfWidth]])</f>
        <v>2E+20</v>
      </c>
    </row>
    <row r="52" spans="1:21" x14ac:dyDescent="0.25">
      <c r="A52" t="s">
        <v>67</v>
      </c>
      <c r="B52" t="s">
        <v>70</v>
      </c>
      <c r="C52">
        <v>1</v>
      </c>
      <c r="D52" t="s">
        <v>154</v>
      </c>
      <c r="E52" t="s">
        <v>135</v>
      </c>
      <c r="F52" t="s">
        <v>136</v>
      </c>
      <c r="G52">
        <v>0.23342144219817601</v>
      </c>
      <c r="H52">
        <v>3E+20</v>
      </c>
      <c r="I52">
        <v>0</v>
      </c>
      <c r="J52">
        <v>1</v>
      </c>
      <c r="K52">
        <v>1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ProjectL2 Station2Instantaneous UtilizationResource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0.23342144219817601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0.23342144219817601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0.23342144219817601</v>
      </c>
      <c r="U52" s="5">
        <f>IF((ContinuousStatsTable[[#This Row],[RepsRequested]]&gt;1),ContinuousStatsTable[[#This Row],[HalfWidth]],ContinuousStatsTable[[#This Row],[BatchMeansHalfWidth]])</f>
        <v>3E+20</v>
      </c>
    </row>
    <row r="53" spans="1:21" x14ac:dyDescent="0.25">
      <c r="A53" t="s">
        <v>67</v>
      </c>
      <c r="B53" t="s">
        <v>70</v>
      </c>
      <c r="C53">
        <v>1</v>
      </c>
      <c r="D53" t="s">
        <v>154</v>
      </c>
      <c r="E53" t="s">
        <v>137</v>
      </c>
      <c r="F53" t="s">
        <v>136</v>
      </c>
      <c r="G53">
        <v>0.23342144219817601</v>
      </c>
      <c r="H53">
        <v>3E+20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ProjectL2 Station2Number BusyResource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0.23342144219817601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0.23342144219817601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0.23342144219817601</v>
      </c>
      <c r="U53" s="5">
        <f>IF((ContinuousStatsTable[[#This Row],[RepsRequested]]&gt;1),ContinuousStatsTable[[#This Row],[HalfWidth]],ContinuousStatsTable[[#This Row],[BatchMeansHalfWidth]])</f>
        <v>3E+20</v>
      </c>
    </row>
    <row r="54" spans="1:21" x14ac:dyDescent="0.25">
      <c r="A54" t="s">
        <v>67</v>
      </c>
      <c r="B54" t="s">
        <v>70</v>
      </c>
      <c r="C54">
        <v>1</v>
      </c>
      <c r="D54" t="s">
        <v>154</v>
      </c>
      <c r="E54" t="s">
        <v>138</v>
      </c>
      <c r="F54" t="s">
        <v>136</v>
      </c>
      <c r="G54">
        <v>0.58319102547363599</v>
      </c>
      <c r="H54">
        <v>2E+20</v>
      </c>
      <c r="I54">
        <v>0</v>
      </c>
      <c r="J54">
        <v>1</v>
      </c>
      <c r="K54">
        <v>1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ProjectL2 Station2Number ScheduledResource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0.58319102547363599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0.58319102547363599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0.58319102547363599</v>
      </c>
      <c r="U54" s="5">
        <f>IF((ContinuousStatsTable[[#This Row],[RepsRequested]]&gt;1),ContinuousStatsTable[[#This Row],[HalfWidth]],ContinuousStatsTable[[#This Row],[BatchMeansHalfWidth]])</f>
        <v>2E+20</v>
      </c>
    </row>
    <row r="55" spans="1:21" x14ac:dyDescent="0.25">
      <c r="A55" t="s">
        <v>67</v>
      </c>
      <c r="B55" t="s">
        <v>70</v>
      </c>
      <c r="C55">
        <v>1</v>
      </c>
      <c r="D55" t="s">
        <v>155</v>
      </c>
      <c r="E55" t="s">
        <v>135</v>
      </c>
      <c r="F55" t="s">
        <v>136</v>
      </c>
      <c r="G55">
        <v>0.58288108436970398</v>
      </c>
      <c r="H55">
        <v>2E+20</v>
      </c>
      <c r="I55">
        <v>0</v>
      </c>
      <c r="J55">
        <v>1</v>
      </c>
      <c r="K55">
        <v>1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ProjectL2 Station3Instantaneous UtilizationResource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0.58288108436970398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0.58288108436970398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0.58288108436970398</v>
      </c>
      <c r="U55" s="5">
        <f>IF((ContinuousStatsTable[[#This Row],[RepsRequested]]&gt;1),ContinuousStatsTable[[#This Row],[HalfWidth]],ContinuousStatsTable[[#This Row],[BatchMeansHalfWidth]])</f>
        <v>2E+20</v>
      </c>
    </row>
    <row r="56" spans="1:21" x14ac:dyDescent="0.25">
      <c r="A56" t="s">
        <v>67</v>
      </c>
      <c r="B56" t="s">
        <v>70</v>
      </c>
      <c r="C56">
        <v>1</v>
      </c>
      <c r="D56" t="s">
        <v>155</v>
      </c>
      <c r="E56" t="s">
        <v>137</v>
      </c>
      <c r="F56" t="s">
        <v>136</v>
      </c>
      <c r="G56">
        <v>0.58288108436970498</v>
      </c>
      <c r="H56">
        <v>2E+20</v>
      </c>
      <c r="I56">
        <v>0</v>
      </c>
      <c r="J56">
        <v>1</v>
      </c>
      <c r="K56">
        <v>1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ProjectL2 Station3Number BusyResource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0.58288108436970498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0.58288108436970498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0.58288108436970498</v>
      </c>
      <c r="U56" s="5">
        <f>IF((ContinuousStatsTable[[#This Row],[RepsRequested]]&gt;1),ContinuousStatsTable[[#This Row],[HalfWidth]],ContinuousStatsTable[[#This Row],[BatchMeansHalfWidth]])</f>
        <v>2E+20</v>
      </c>
    </row>
    <row r="57" spans="1:21" x14ac:dyDescent="0.25">
      <c r="A57" t="s">
        <v>67</v>
      </c>
      <c r="B57" t="s">
        <v>70</v>
      </c>
      <c r="C57">
        <v>1</v>
      </c>
      <c r="D57" t="s">
        <v>155</v>
      </c>
      <c r="E57" t="s">
        <v>138</v>
      </c>
      <c r="F57" t="s">
        <v>136</v>
      </c>
      <c r="G57">
        <v>0.58304971987462295</v>
      </c>
      <c r="H57">
        <v>2E+20</v>
      </c>
      <c r="I57">
        <v>0</v>
      </c>
      <c r="J57">
        <v>1</v>
      </c>
      <c r="K57">
        <v>1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ProjectL2 Station3Number ScheduledResource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0.58304971987462295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0.58304971987462295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0.58304971987462295</v>
      </c>
      <c r="U57" s="5">
        <f>IF((ContinuousStatsTable[[#This Row],[RepsRequested]]&gt;1),ContinuousStatsTable[[#This Row],[HalfWidth]],ContinuousStatsTable[[#This Row],[BatchMeansHalfWidth]])</f>
        <v>2E+20</v>
      </c>
    </row>
    <row r="58" spans="1:21" x14ac:dyDescent="0.25">
      <c r="A58" t="s">
        <v>67</v>
      </c>
      <c r="B58" t="s">
        <v>70</v>
      </c>
      <c r="C58">
        <v>1</v>
      </c>
      <c r="D58" t="s">
        <v>156</v>
      </c>
      <c r="E58" t="s">
        <v>135</v>
      </c>
      <c r="F58" t="s">
        <v>136</v>
      </c>
      <c r="G58">
        <v>0.27934889487924502</v>
      </c>
      <c r="H58">
        <v>3E+20</v>
      </c>
      <c r="I58">
        <v>0</v>
      </c>
      <c r="J58">
        <v>1</v>
      </c>
      <c r="K58">
        <v>1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ProjectL2 Station4Instantaneous UtilizationResource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0.27934889487924502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0.27934889487924502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0.27934889487924502</v>
      </c>
      <c r="U58" s="5">
        <f>IF((ContinuousStatsTable[[#This Row],[RepsRequested]]&gt;1),ContinuousStatsTable[[#This Row],[HalfWidth]],ContinuousStatsTable[[#This Row],[BatchMeansHalfWidth]])</f>
        <v>3E+20</v>
      </c>
    </row>
    <row r="59" spans="1:21" x14ac:dyDescent="0.25">
      <c r="A59" t="s">
        <v>67</v>
      </c>
      <c r="B59" t="s">
        <v>70</v>
      </c>
      <c r="C59">
        <v>1</v>
      </c>
      <c r="D59" t="s">
        <v>156</v>
      </c>
      <c r="E59" t="s">
        <v>137</v>
      </c>
      <c r="F59" t="s">
        <v>136</v>
      </c>
      <c r="G59">
        <v>0.27934889487924502</v>
      </c>
      <c r="H59">
        <v>3E+20</v>
      </c>
      <c r="I59">
        <v>0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ProjectL2 Station4Number BusyResource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0.27934889487924502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0.27934889487924502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0.27934889487924502</v>
      </c>
      <c r="U59" s="5">
        <f>IF((ContinuousStatsTable[[#This Row],[RepsRequested]]&gt;1),ContinuousStatsTable[[#This Row],[HalfWidth]],ContinuousStatsTable[[#This Row],[BatchMeansHalfWidth]])</f>
        <v>3E+20</v>
      </c>
    </row>
    <row r="60" spans="1:21" x14ac:dyDescent="0.25">
      <c r="A60" t="s">
        <v>67</v>
      </c>
      <c r="B60" t="s">
        <v>70</v>
      </c>
      <c r="C60">
        <v>1</v>
      </c>
      <c r="D60" t="s">
        <v>156</v>
      </c>
      <c r="E60" t="s">
        <v>138</v>
      </c>
      <c r="F60" t="s">
        <v>136</v>
      </c>
      <c r="G60">
        <v>0.58333333333333304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ProjectL2 Station4Number ScheduledResource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0.58333333333333304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0.58333333333333304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0.58333333333333304</v>
      </c>
      <c r="U60" s="5">
        <f>IF((ContinuousStatsTable[[#This Row],[RepsRequested]]&gt;1),ContinuousStatsTable[[#This Row],[HalfWidth]],ContinuousStatsTable[[#This Row],[BatchMeansHalfWidth]])</f>
        <v>2E+20</v>
      </c>
    </row>
    <row r="61" spans="1:21" x14ac:dyDescent="0.25">
      <c r="A61" t="s">
        <v>67</v>
      </c>
      <c r="B61" t="s">
        <v>70</v>
      </c>
      <c r="C61">
        <v>1</v>
      </c>
      <c r="D61" t="s">
        <v>157</v>
      </c>
      <c r="E61" t="s">
        <v>135</v>
      </c>
      <c r="F61" t="s">
        <v>136</v>
      </c>
      <c r="G61">
        <v>0.50466127451077203</v>
      </c>
      <c r="H61">
        <v>3E+20</v>
      </c>
      <c r="I61">
        <v>0</v>
      </c>
      <c r="J61">
        <v>1</v>
      </c>
      <c r="K61">
        <v>1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ProjectL3 Station1Instantaneous UtilizationResource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0.50466127451077203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0.50466127451077203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0.50466127451077203</v>
      </c>
      <c r="U61" s="5">
        <f>IF((ContinuousStatsTable[[#This Row],[RepsRequested]]&gt;1),ContinuousStatsTable[[#This Row],[HalfWidth]],ContinuousStatsTable[[#This Row],[BatchMeansHalfWidth]])</f>
        <v>3E+20</v>
      </c>
    </row>
    <row r="62" spans="1:21" x14ac:dyDescent="0.25">
      <c r="A62" t="s">
        <v>67</v>
      </c>
      <c r="B62" t="s">
        <v>70</v>
      </c>
      <c r="C62">
        <v>1</v>
      </c>
      <c r="D62" t="s">
        <v>157</v>
      </c>
      <c r="E62" t="s">
        <v>137</v>
      </c>
      <c r="F62" t="s">
        <v>136</v>
      </c>
      <c r="G62">
        <v>0.50466127451077203</v>
      </c>
      <c r="H62">
        <v>3E+20</v>
      </c>
      <c r="I62">
        <v>0</v>
      </c>
      <c r="J62">
        <v>1</v>
      </c>
      <c r="K62">
        <v>1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ProjectL3 Station1Number BusyResource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0.50466127451077203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0.50466127451077203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0.50466127451077203</v>
      </c>
      <c r="U62" s="5">
        <f>IF((ContinuousStatsTable[[#This Row],[RepsRequested]]&gt;1),ContinuousStatsTable[[#This Row],[HalfWidth]],ContinuousStatsTable[[#This Row],[BatchMeansHalfWidth]])</f>
        <v>3E+20</v>
      </c>
    </row>
    <row r="63" spans="1:21" x14ac:dyDescent="0.25">
      <c r="A63" t="s">
        <v>67</v>
      </c>
      <c r="B63" t="s">
        <v>70</v>
      </c>
      <c r="C63">
        <v>1</v>
      </c>
      <c r="D63" t="s">
        <v>157</v>
      </c>
      <c r="E63" t="s">
        <v>138</v>
      </c>
      <c r="F63" t="s">
        <v>136</v>
      </c>
      <c r="G63">
        <v>0.58331581855382397</v>
      </c>
      <c r="H63">
        <v>2E+20</v>
      </c>
      <c r="I63">
        <v>0</v>
      </c>
      <c r="J63">
        <v>1</v>
      </c>
      <c r="K63">
        <v>1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ProjectL3 Station1Number ScheduledResource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0.58331581855382397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0.58331581855382397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0.58331581855382397</v>
      </c>
      <c r="U63" s="5">
        <f>IF((ContinuousStatsTable[[#This Row],[RepsRequested]]&gt;1),ContinuousStatsTable[[#This Row],[HalfWidth]],ContinuousStatsTable[[#This Row],[BatchMeansHalfWidth]])</f>
        <v>2E+20</v>
      </c>
    </row>
    <row r="64" spans="1:21" x14ac:dyDescent="0.25">
      <c r="A64" t="s">
        <v>67</v>
      </c>
      <c r="B64" t="s">
        <v>70</v>
      </c>
      <c r="C64">
        <v>1</v>
      </c>
      <c r="D64" t="s">
        <v>158</v>
      </c>
      <c r="E64" t="s">
        <v>135</v>
      </c>
      <c r="F64" t="s">
        <v>136</v>
      </c>
      <c r="G64">
        <v>0.57075379040249796</v>
      </c>
      <c r="H64">
        <v>3E+20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ProjectL3 Station2Instantaneous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0.57075379040249796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0.57075379040249796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0.57075379040249796</v>
      </c>
      <c r="U64" s="5">
        <f>IF((ContinuousStatsTable[[#This Row],[RepsRequested]]&gt;1),ContinuousStatsTable[[#This Row],[HalfWidth]],ContinuousStatsTable[[#This Row],[BatchMeansHalfWidth]])</f>
        <v>3E+20</v>
      </c>
    </row>
    <row r="65" spans="1:21" x14ac:dyDescent="0.25">
      <c r="A65" t="s">
        <v>67</v>
      </c>
      <c r="B65" t="s">
        <v>70</v>
      </c>
      <c r="C65">
        <v>1</v>
      </c>
      <c r="D65" t="s">
        <v>158</v>
      </c>
      <c r="E65" t="s">
        <v>137</v>
      </c>
      <c r="F65" t="s">
        <v>136</v>
      </c>
      <c r="G65">
        <v>0.57075379040249796</v>
      </c>
      <c r="H65">
        <v>3E+20</v>
      </c>
      <c r="I65">
        <v>0</v>
      </c>
      <c r="J65">
        <v>1</v>
      </c>
      <c r="K65">
        <v>1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ProjectL3 Station2Number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0.57075379040249796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0.57075379040249796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0.57075379040249796</v>
      </c>
      <c r="U65" s="5">
        <f>IF((ContinuousStatsTable[[#This Row],[RepsRequested]]&gt;1),ContinuousStatsTable[[#This Row],[HalfWidth]],ContinuousStatsTable[[#This Row],[BatchMeansHalfWidth]])</f>
        <v>3E+20</v>
      </c>
    </row>
    <row r="66" spans="1:21" x14ac:dyDescent="0.25">
      <c r="A66" t="s">
        <v>67</v>
      </c>
      <c r="B66" t="s">
        <v>70</v>
      </c>
      <c r="C66">
        <v>1</v>
      </c>
      <c r="D66" t="s">
        <v>158</v>
      </c>
      <c r="E66" t="s">
        <v>138</v>
      </c>
      <c r="F66" t="s">
        <v>136</v>
      </c>
      <c r="G66">
        <v>0.58328559864928597</v>
      </c>
      <c r="H66">
        <v>2E+20</v>
      </c>
      <c r="I66">
        <v>0</v>
      </c>
      <c r="J66">
        <v>1</v>
      </c>
      <c r="K66">
        <v>1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ProjectL3 Station2Number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0.58328559864928597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0.58328559864928597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0.58328559864928597</v>
      </c>
      <c r="U66" s="5">
        <f>IF((ContinuousStatsTable[[#This Row],[RepsRequested]]&gt;1),ContinuousStatsTable[[#This Row],[HalfWidth]],ContinuousStatsTable[[#This Row],[BatchMeansHalfWidth]])</f>
        <v>2E+20</v>
      </c>
    </row>
    <row r="67" spans="1:21" x14ac:dyDescent="0.25">
      <c r="A67" t="s">
        <v>67</v>
      </c>
      <c r="B67" t="s">
        <v>70</v>
      </c>
      <c r="C67">
        <v>1</v>
      </c>
      <c r="D67" t="s">
        <v>103</v>
      </c>
      <c r="E67" t="s">
        <v>139</v>
      </c>
      <c r="F67" t="s">
        <v>73</v>
      </c>
      <c r="G67">
        <v>2.1272729033980098</v>
      </c>
      <c r="H67">
        <v>0.50205983253000297</v>
      </c>
      <c r="I67">
        <v>0</v>
      </c>
      <c r="J67">
        <v>4</v>
      </c>
      <c r="K67">
        <v>1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ProjectProcess 1.QueueNumber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2.1272729033980098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2.1272729033980098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2.1272729033980098</v>
      </c>
      <c r="U67" s="5">
        <f>IF((ContinuousStatsTable[[#This Row],[RepsRequested]]&gt;1),ContinuousStatsTable[[#This Row],[HalfWidth]],ContinuousStatsTable[[#This Row],[BatchMeansHalfWidth]])</f>
        <v>0.50205983253000297</v>
      </c>
    </row>
    <row r="68" spans="1:21" x14ac:dyDescent="0.25">
      <c r="A68" t="s">
        <v>67</v>
      </c>
      <c r="B68" t="s">
        <v>70</v>
      </c>
      <c r="C68">
        <v>1</v>
      </c>
      <c r="D68" t="s">
        <v>105</v>
      </c>
      <c r="E68" t="s">
        <v>139</v>
      </c>
      <c r="F68" t="s">
        <v>73</v>
      </c>
      <c r="G68">
        <v>0</v>
      </c>
      <c r="H68">
        <v>2E+20</v>
      </c>
      <c r="I68">
        <v>0</v>
      </c>
      <c r="J68">
        <v>0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ProjectProcess 14.QueueNumber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 s="5">
        <f>IF((ContinuousStatsTable[[#This Row],[RepsRequested]]&gt;1),ContinuousStatsTable[[#This Row],[HalfWidth]],ContinuousStatsTable[[#This Row],[BatchMeansHalfWidth]])</f>
        <v>2E+20</v>
      </c>
    </row>
    <row r="69" spans="1:21" x14ac:dyDescent="0.25">
      <c r="A69" t="s">
        <v>67</v>
      </c>
      <c r="B69" t="s">
        <v>70</v>
      </c>
      <c r="C69">
        <v>1</v>
      </c>
      <c r="D69" t="s">
        <v>107</v>
      </c>
      <c r="E69" t="s">
        <v>139</v>
      </c>
      <c r="F69" t="s">
        <v>73</v>
      </c>
      <c r="G69">
        <v>0.20808766936970499</v>
      </c>
      <c r="H69">
        <v>2E+20</v>
      </c>
      <c r="I69">
        <v>0</v>
      </c>
      <c r="J69">
        <v>3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ProjectProcess 2.QueueNumber WaitingQueue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0.20808766936970499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0.20808766936970499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0.20808766936970499</v>
      </c>
      <c r="U69" s="5">
        <f>IF((ContinuousStatsTable[[#This Row],[RepsRequested]]&gt;1),ContinuousStatsTable[[#This Row],[HalfWidth]],ContinuousStatsTable[[#This Row],[BatchMeansHalfWidth]])</f>
        <v>2E+20</v>
      </c>
    </row>
    <row r="70" spans="1:21" x14ac:dyDescent="0.25">
      <c r="A70" t="s">
        <v>67</v>
      </c>
      <c r="B70" t="s">
        <v>70</v>
      </c>
      <c r="C70">
        <v>1</v>
      </c>
      <c r="D70" t="s">
        <v>109</v>
      </c>
      <c r="E70" t="s">
        <v>139</v>
      </c>
      <c r="F70" t="s">
        <v>73</v>
      </c>
      <c r="G70">
        <v>0.210715539805922</v>
      </c>
      <c r="H70">
        <v>0.18101961076145401</v>
      </c>
      <c r="I70">
        <v>0</v>
      </c>
      <c r="J70">
        <v>2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0.210715539805922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0.210715539805922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0.210715539805922</v>
      </c>
      <c r="U70" s="5">
        <f>IF((ContinuousStatsTable[[#This Row],[RepsRequested]]&gt;1),ContinuousStatsTable[[#This Row],[HalfWidth]],ContinuousStatsTable[[#This Row],[BatchMeansHalfWidth]])</f>
        <v>0.18101961076145401</v>
      </c>
    </row>
    <row r="71" spans="1:21" x14ac:dyDescent="0.25">
      <c r="A71" t="s">
        <v>67</v>
      </c>
      <c r="B71" t="s">
        <v>70</v>
      </c>
      <c r="C71">
        <v>1</v>
      </c>
      <c r="D71" t="s">
        <v>111</v>
      </c>
      <c r="E71" t="s">
        <v>139</v>
      </c>
      <c r="F71" t="s">
        <v>73</v>
      </c>
      <c r="G71">
        <v>0.82097539294698496</v>
      </c>
      <c r="H71">
        <v>2E+20</v>
      </c>
      <c r="I71">
        <v>0</v>
      </c>
      <c r="J71">
        <v>2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ProjectProcess 4.QueueNumber WaitingQueue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0.82097539294698496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0.82097539294698496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0.82097539294698496</v>
      </c>
      <c r="U71" s="5">
        <f>IF((ContinuousStatsTable[[#This Row],[RepsRequested]]&gt;1),ContinuousStatsTable[[#This Row],[HalfWidth]],ContinuousStatsTable[[#This Row],[BatchMeansHalfWidth]])</f>
        <v>2E+20</v>
      </c>
    </row>
    <row r="72" spans="1:21" x14ac:dyDescent="0.25">
      <c r="A72" t="s">
        <v>67</v>
      </c>
      <c r="B72" t="s">
        <v>70</v>
      </c>
      <c r="C72">
        <v>1</v>
      </c>
      <c r="D72" t="s">
        <v>113</v>
      </c>
      <c r="E72" t="s">
        <v>139</v>
      </c>
      <c r="F72" t="s">
        <v>73</v>
      </c>
      <c r="G72">
        <v>8.3050467353312896E-2</v>
      </c>
      <c r="H72">
        <v>2E+20</v>
      </c>
      <c r="I72">
        <v>0</v>
      </c>
      <c r="J72">
        <v>1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ProjectProcess 5.QueueNumber WaitingQueue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8.3050467353312896E-2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8.3050467353312896E-2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8.3050467353312896E-2</v>
      </c>
      <c r="U72" s="5">
        <f>IF((ContinuousStatsTable[[#This Row],[RepsRequested]]&gt;1),ContinuousStatsTable[[#This Row],[HalfWidth]],ContinuousStatsTable[[#This Row],[BatchMeansHalfWidth]])</f>
        <v>2E+20</v>
      </c>
    </row>
    <row r="73" spans="1:21" x14ac:dyDescent="0.25">
      <c r="A73" t="s">
        <v>67</v>
      </c>
      <c r="B73" t="s">
        <v>70</v>
      </c>
      <c r="C73">
        <v>1</v>
      </c>
      <c r="D73" t="s">
        <v>115</v>
      </c>
      <c r="E73" t="s">
        <v>139</v>
      </c>
      <c r="F73" t="s">
        <v>73</v>
      </c>
      <c r="G73">
        <v>1.6138020589433899</v>
      </c>
      <c r="H73">
        <v>3E+20</v>
      </c>
      <c r="I73">
        <v>0</v>
      </c>
      <c r="J73">
        <v>4</v>
      </c>
      <c r="K73">
        <v>2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ProjectProcess 6.QueueNumber WaitingQueue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1.6138020589433899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1.6138020589433899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1.6138020589433899</v>
      </c>
      <c r="U73" s="5">
        <f>IF((ContinuousStatsTable[[#This Row],[RepsRequested]]&gt;1),ContinuousStatsTable[[#This Row],[HalfWidth]],ContinuousStatsTable[[#This Row],[BatchMeansHalfWidth]])</f>
        <v>3E+20</v>
      </c>
    </row>
    <row r="74" spans="1:21" x14ac:dyDescent="0.25">
      <c r="A74" t="s">
        <v>67</v>
      </c>
      <c r="B74" t="s">
        <v>70</v>
      </c>
      <c r="C74">
        <v>1</v>
      </c>
      <c r="D74" t="s">
        <v>117</v>
      </c>
      <c r="E74" t="s">
        <v>139</v>
      </c>
      <c r="F74" t="s">
        <v>73</v>
      </c>
      <c r="G74">
        <v>0.165960753025232</v>
      </c>
      <c r="H74">
        <v>2E+20</v>
      </c>
      <c r="I74">
        <v>0</v>
      </c>
      <c r="J74">
        <v>2</v>
      </c>
      <c r="K74">
        <v>0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ProjectProcess 7.QueueNumber WaitingQueue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0.165960753025232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0.165960753025232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0.165960753025232</v>
      </c>
      <c r="U74" s="5">
        <f>IF((ContinuousStatsTable[[#This Row],[RepsRequested]]&gt;1),ContinuousStatsTable[[#This Row],[HalfWidth]],ContinuousStatsTable[[#This Row],[BatchMeansHalfWidth]])</f>
        <v>2E+20</v>
      </c>
    </row>
    <row r="75" spans="1:21" x14ac:dyDescent="0.25">
      <c r="A75" t="s">
        <v>67</v>
      </c>
      <c r="B75" t="s">
        <v>70</v>
      </c>
      <c r="C75">
        <v>1</v>
      </c>
      <c r="D75" t="s">
        <v>119</v>
      </c>
      <c r="E75" t="s">
        <v>139</v>
      </c>
      <c r="F75" t="s">
        <v>73</v>
      </c>
      <c r="G75">
        <v>1.8235679663729301</v>
      </c>
      <c r="H75">
        <v>3E+20</v>
      </c>
      <c r="I75">
        <v>0</v>
      </c>
      <c r="J75">
        <v>5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ProjectProcess 8.QueueNumber WaitingQueue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1.8235679663729301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1.8235679663729301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1.8235679663729301</v>
      </c>
      <c r="U75" s="5">
        <f>IF((ContinuousStatsTable[[#This Row],[RepsRequested]]&gt;1),ContinuousStatsTable[[#This Row],[HalfWidth]],ContinuousStatsTable[[#This Row],[BatchMeansHalfWidth]])</f>
        <v>3E+20</v>
      </c>
    </row>
    <row r="76" spans="1:21" x14ac:dyDescent="0.25">
      <c r="A76" t="s">
        <v>67</v>
      </c>
      <c r="B76" t="s">
        <v>70</v>
      </c>
      <c r="C76">
        <v>1</v>
      </c>
      <c r="D76" t="s">
        <v>121</v>
      </c>
      <c r="E76" t="s">
        <v>139</v>
      </c>
      <c r="F76" t="s">
        <v>73</v>
      </c>
      <c r="G76">
        <v>0.41464253537161899</v>
      </c>
      <c r="H76">
        <v>0.340148673081277</v>
      </c>
      <c r="I76">
        <v>0</v>
      </c>
      <c r="J76">
        <v>3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ProjectProcess 9.QueueNumber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0.41464253537161899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0.41464253537161899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0.41464253537161899</v>
      </c>
      <c r="U76" s="5">
        <f>IF((ContinuousStatsTable[[#This Row],[RepsRequested]]&gt;1),ContinuousStatsTable[[#This Row],[HalfWidth]],ContinuousStatsTable[[#This Row],[BatchMeansHalfWidth]])</f>
        <v>0.340148673081277</v>
      </c>
    </row>
    <row r="77" spans="1:21" x14ac:dyDescent="0.25">
      <c r="A77" t="s">
        <v>67</v>
      </c>
      <c r="B77" t="s">
        <v>70</v>
      </c>
      <c r="C77">
        <v>1</v>
      </c>
      <c r="D77" t="s">
        <v>159</v>
      </c>
      <c r="E77" t="s">
        <v>135</v>
      </c>
      <c r="F77" t="s">
        <v>136</v>
      </c>
      <c r="G77">
        <v>0</v>
      </c>
      <c r="H77">
        <v>2E+20</v>
      </c>
      <c r="I77">
        <v>0</v>
      </c>
      <c r="J77">
        <v>0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ProjectSales DepartmentInstantaneous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1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</v>
      </c>
      <c r="U77" s="5">
        <f>IF((ContinuousStatsTable[[#This Row],[RepsRequested]]&gt;1),ContinuousStatsTable[[#This Row],[HalfWidth]],ContinuousStatsTable[[#This Row],[BatchMeansHalfWidth]])</f>
        <v>2E+20</v>
      </c>
    </row>
    <row r="78" spans="1:21" x14ac:dyDescent="0.25">
      <c r="A78" t="s">
        <v>67</v>
      </c>
      <c r="B78" t="s">
        <v>70</v>
      </c>
      <c r="C78">
        <v>1</v>
      </c>
      <c r="D78" t="s">
        <v>159</v>
      </c>
      <c r="E78" t="s">
        <v>137</v>
      </c>
      <c r="F78" t="s">
        <v>136</v>
      </c>
      <c r="G78">
        <v>0</v>
      </c>
      <c r="H78">
        <v>2E+20</v>
      </c>
      <c r="I78">
        <v>0</v>
      </c>
      <c r="J78">
        <v>0</v>
      </c>
      <c r="K78">
        <v>0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ProjectSales DepartmentNumber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1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0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0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0</v>
      </c>
      <c r="U78" s="5">
        <f>IF((ContinuousStatsTable[[#This Row],[RepsRequested]]&gt;1),ContinuousStatsTable[[#This Row],[HalfWidth]],ContinuousStatsTable[[#This Row],[BatchMeansHalfWidth]])</f>
        <v>2E+20</v>
      </c>
    </row>
    <row r="79" spans="1:21" x14ac:dyDescent="0.25">
      <c r="A79" t="s">
        <v>67</v>
      </c>
      <c r="B79" t="s">
        <v>70</v>
      </c>
      <c r="C79">
        <v>1</v>
      </c>
      <c r="D79" t="s">
        <v>159</v>
      </c>
      <c r="E79" t="s">
        <v>138</v>
      </c>
      <c r="F79" t="s">
        <v>136</v>
      </c>
      <c r="G79">
        <v>0.375</v>
      </c>
      <c r="H79">
        <v>2E+20</v>
      </c>
      <c r="I79">
        <v>0</v>
      </c>
      <c r="J79">
        <v>1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ProjectSales DepartmentNumber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1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0.375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0.375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0.375</v>
      </c>
      <c r="U79" s="5">
        <f>IF((ContinuousStatsTable[[#This Row],[RepsRequested]]&gt;1),ContinuousStatsTable[[#This Row],[HalfWidth]],ContinuousStatsTable[[#This Row],[BatchMeansHalfWidth]])</f>
        <v>2E+20</v>
      </c>
    </row>
    <row r="80" spans="1:21" x14ac:dyDescent="0.25">
      <c r="A80" t="s">
        <v>67</v>
      </c>
      <c r="B80" t="s">
        <v>70</v>
      </c>
      <c r="C80">
        <v>1</v>
      </c>
      <c r="D80" t="s">
        <v>160</v>
      </c>
      <c r="E80" t="s">
        <v>135</v>
      </c>
      <c r="F80" t="s">
        <v>136</v>
      </c>
      <c r="G80">
        <v>7.3988940102363898E-2</v>
      </c>
      <c r="H80">
        <v>2E+20</v>
      </c>
      <c r="I80">
        <v>0</v>
      </c>
      <c r="J80">
        <v>1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ProjectSales RepInstantaneous UtilizationResource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1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7.3988940102363898E-2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7.3988940102363898E-2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7.3988940102363898E-2</v>
      </c>
      <c r="U80" s="5">
        <f>IF((ContinuousStatsTable[[#This Row],[RepsRequested]]&gt;1),ContinuousStatsTable[[#This Row],[HalfWidth]],ContinuousStatsTable[[#This Row],[BatchMeansHalfWidth]])</f>
        <v>2E+20</v>
      </c>
    </row>
    <row r="81" spans="1:21" x14ac:dyDescent="0.25">
      <c r="A81" t="s">
        <v>67</v>
      </c>
      <c r="B81" t="s">
        <v>70</v>
      </c>
      <c r="C81">
        <v>1</v>
      </c>
      <c r="D81" t="s">
        <v>160</v>
      </c>
      <c r="E81" t="s">
        <v>137</v>
      </c>
      <c r="F81" t="s">
        <v>136</v>
      </c>
      <c r="G81">
        <v>7.3988940102363898E-2</v>
      </c>
      <c r="H81">
        <v>2E+20</v>
      </c>
      <c r="I81">
        <v>0</v>
      </c>
      <c r="J81">
        <v>1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ProjectSales RepNumber BusyResource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1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7.3988940102363898E-2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7.3988940102363898E-2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7.3988940102363898E-2</v>
      </c>
      <c r="U81" s="5">
        <f>IF((ContinuousStatsTable[[#This Row],[RepsRequested]]&gt;1),ContinuousStatsTable[[#This Row],[HalfWidth]],ContinuousStatsTable[[#This Row],[BatchMeansHalfWidth]])</f>
        <v>2E+20</v>
      </c>
    </row>
    <row r="82" spans="1:21" x14ac:dyDescent="0.25">
      <c r="A82" t="s">
        <v>67</v>
      </c>
      <c r="B82" t="s">
        <v>70</v>
      </c>
      <c r="C82">
        <v>1</v>
      </c>
      <c r="D82" t="s">
        <v>160</v>
      </c>
      <c r="E82" t="s">
        <v>138</v>
      </c>
      <c r="F82" t="s">
        <v>136</v>
      </c>
      <c r="G82">
        <v>1</v>
      </c>
      <c r="H82">
        <v>2E+20</v>
      </c>
      <c r="I82">
        <v>1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ProjectSales RepNumber ScheduledResource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1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1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1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1</v>
      </c>
      <c r="U82" s="5">
        <f>IF((ContinuousStatsTable[[#This Row],[RepsRequested]]&gt;1),ContinuousStatsTable[[#This Row],[HalfWidth]],ContinuousStatsTable[[#This Row],[BatchMeansHalfWidth]])</f>
        <v>2E+20</v>
      </c>
    </row>
    <row r="83" spans="1:21" x14ac:dyDescent="0.25">
      <c r="A83" t="s">
        <v>67</v>
      </c>
      <c r="B83" t="s">
        <v>70</v>
      </c>
      <c r="C83">
        <v>1</v>
      </c>
      <c r="D83" t="s">
        <v>122</v>
      </c>
      <c r="E83" t="s">
        <v>139</v>
      </c>
      <c r="F83" t="s">
        <v>73</v>
      </c>
      <c r="G83">
        <v>6.9495758290525798</v>
      </c>
      <c r="H83">
        <v>3E+20</v>
      </c>
      <c r="I83">
        <v>0</v>
      </c>
      <c r="J83">
        <v>19</v>
      </c>
      <c r="K83">
        <v>18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ProjectSeize 1.QueueNumber WaitingQueue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1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6.9495758290525798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6.9495758290525798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6.9495758290525798</v>
      </c>
      <c r="U83" s="5">
        <f>IF((ContinuousStatsTable[[#This Row],[RepsRequested]]&gt;1),ContinuousStatsTable[[#This Row],[HalfWidth]],ContinuousStatsTable[[#This Row],[BatchMeansHalfWidth]])</f>
        <v>3E+20</v>
      </c>
    </row>
    <row r="84" spans="1:21" x14ac:dyDescent="0.25">
      <c r="A84" t="s">
        <v>67</v>
      </c>
      <c r="B84" t="s">
        <v>70</v>
      </c>
      <c r="C84">
        <v>1</v>
      </c>
      <c r="D84" t="s">
        <v>123</v>
      </c>
      <c r="E84" t="s">
        <v>139</v>
      </c>
      <c r="F84" t="s">
        <v>73</v>
      </c>
      <c r="G84">
        <v>1.0500078548999099E-4</v>
      </c>
      <c r="H84">
        <v>2E+20</v>
      </c>
      <c r="I84">
        <v>0</v>
      </c>
      <c r="J84">
        <v>1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ProjectSeize 2.QueueNumber WaitingQueue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1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1.0500078548999099E-4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1.0500078548999099E-4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1.0500078548999099E-4</v>
      </c>
      <c r="U84" s="5">
        <f>IF((ContinuousStatsTable[[#This Row],[RepsRequested]]&gt;1),ContinuousStatsTable[[#This Row],[HalfWidth]],ContinuousStatsTable[[#This Row],[BatchMeansHalfWidth]])</f>
        <v>2E+20</v>
      </c>
    </row>
    <row r="85" spans="1:21" x14ac:dyDescent="0.25">
      <c r="A85" t="s">
        <v>67</v>
      </c>
      <c r="B85" t="s">
        <v>70</v>
      </c>
      <c r="C85">
        <v>1</v>
      </c>
      <c r="D85" t="s">
        <v>124</v>
      </c>
      <c r="E85" t="s">
        <v>139</v>
      </c>
      <c r="F85" t="s">
        <v>73</v>
      </c>
      <c r="G85">
        <v>4.5170241998645098E-5</v>
      </c>
      <c r="H85">
        <v>2E+20</v>
      </c>
      <c r="I85">
        <v>0</v>
      </c>
      <c r="J85">
        <v>1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ProjectSeize 3.QueueNumber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1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4.5170241998645098E-5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4.5170241998645098E-5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4.5170241998645098E-5</v>
      </c>
      <c r="U85" s="5">
        <f>IF((ContinuousStatsTable[[#This Row],[RepsRequested]]&gt;1),ContinuousStatsTable[[#This Row],[HalfWidth]],ContinuousStatsTable[[#This Row],[BatchMeansHalfWidth]])</f>
        <v>2E+20</v>
      </c>
    </row>
    <row r="86" spans="1:21" x14ac:dyDescent="0.25">
      <c r="A86" t="s">
        <v>67</v>
      </c>
      <c r="B86" t="s">
        <v>70</v>
      </c>
      <c r="C86">
        <v>1</v>
      </c>
      <c r="D86" t="s">
        <v>125</v>
      </c>
      <c r="E86" t="s">
        <v>139</v>
      </c>
      <c r="F86" t="s">
        <v>73</v>
      </c>
      <c r="G86">
        <v>12.111355852878599</v>
      </c>
      <c r="H86">
        <v>3E+20</v>
      </c>
      <c r="I86">
        <v>0</v>
      </c>
      <c r="J86">
        <v>26</v>
      </c>
      <c r="K86">
        <v>25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ProjectSeize 4.QueueNumber WaitingQueue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1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12.111355852878599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12.111355852878599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12.111355852878599</v>
      </c>
      <c r="U86" s="5">
        <f>IF((ContinuousStatsTable[[#This Row],[RepsRequested]]&gt;1),ContinuousStatsTable[[#This Row],[HalfWidth]],ContinuousStatsTable[[#This Row],[BatchMeansHalfWidth]])</f>
        <v>3E+20</v>
      </c>
    </row>
    <row r="87" spans="1:21" x14ac:dyDescent="0.25">
      <c r="A87" t="s">
        <v>67</v>
      </c>
      <c r="B87" t="s">
        <v>70</v>
      </c>
      <c r="C87">
        <v>1</v>
      </c>
      <c r="D87" t="s">
        <v>126</v>
      </c>
      <c r="E87" t="s">
        <v>139</v>
      </c>
      <c r="F87" t="s">
        <v>73</v>
      </c>
      <c r="G87">
        <v>0.53555515695183697</v>
      </c>
      <c r="H87">
        <v>3E+20</v>
      </c>
      <c r="I87">
        <v>0</v>
      </c>
      <c r="J87">
        <v>2</v>
      </c>
      <c r="K87">
        <v>1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ProjectSeize 5.QueueNumber WaitingQueue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1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0.53555515695183697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0.53555515695183697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0.53555515695183697</v>
      </c>
      <c r="U87" s="5">
        <f>IF((ContinuousStatsTable[[#This Row],[RepsRequested]]&gt;1),ContinuousStatsTable[[#This Row],[HalfWidth]],ContinuousStatsTable[[#This Row],[BatchMeansHalfWidth]])</f>
        <v>3E+20</v>
      </c>
    </row>
    <row r="88" spans="1:21" x14ac:dyDescent="0.25">
      <c r="A88" t="s">
        <v>67</v>
      </c>
      <c r="B88" t="s">
        <v>70</v>
      </c>
      <c r="C88">
        <v>1</v>
      </c>
      <c r="D88" t="s">
        <v>127</v>
      </c>
      <c r="E88" t="s">
        <v>139</v>
      </c>
      <c r="F88" t="s">
        <v>73</v>
      </c>
      <c r="G88">
        <v>2.4616492003705401</v>
      </c>
      <c r="H88">
        <v>3E+20</v>
      </c>
      <c r="I88">
        <v>0</v>
      </c>
      <c r="J88">
        <v>5</v>
      </c>
      <c r="K88">
        <v>3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ProjectSeize 6.QueueNumber WaitingQueue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1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2.4616492003705401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2.4616492003705401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2.4616492003705401</v>
      </c>
      <c r="U88" s="5">
        <f>IF((ContinuousStatsTable[[#This Row],[RepsRequested]]&gt;1),ContinuousStatsTable[[#This Row],[HalfWidth]],ContinuousStatsTable[[#This Row],[BatchMeansHalfWidth]])</f>
        <v>3E+20</v>
      </c>
    </row>
    <row r="89" spans="1:21" x14ac:dyDescent="0.25">
      <c r="A89" t="s">
        <v>67</v>
      </c>
      <c r="B89" t="s">
        <v>70</v>
      </c>
      <c r="C89">
        <v>1</v>
      </c>
      <c r="D89" t="s">
        <v>128</v>
      </c>
      <c r="E89" t="s">
        <v>139</v>
      </c>
      <c r="F89" t="s">
        <v>73</v>
      </c>
      <c r="G89">
        <v>0</v>
      </c>
      <c r="H89">
        <v>2E+20</v>
      </c>
      <c r="I89">
        <v>0</v>
      </c>
      <c r="J89">
        <v>0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ProjectSeize 7.QueueNumber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1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</v>
      </c>
      <c r="U89" s="5">
        <f>IF((ContinuousStatsTable[[#This Row],[RepsRequested]]&gt;1),ContinuousStatsTable[[#This Row],[HalfWidth]],ContinuousStatsTable[[#This Row],[BatchMeansHalfWidth]])</f>
        <v>2E+20</v>
      </c>
    </row>
    <row r="90" spans="1:21" x14ac:dyDescent="0.25">
      <c r="A90" t="s">
        <v>67</v>
      </c>
      <c r="B90" t="s">
        <v>70</v>
      </c>
      <c r="C90">
        <v>1</v>
      </c>
      <c r="D90" t="s">
        <v>129</v>
      </c>
      <c r="E90" t="s">
        <v>139</v>
      </c>
      <c r="F90" t="s">
        <v>73</v>
      </c>
      <c r="G90">
        <v>7.6675183339983599</v>
      </c>
      <c r="H90">
        <v>3E+20</v>
      </c>
      <c r="I90">
        <v>0</v>
      </c>
      <c r="J90">
        <v>20</v>
      </c>
      <c r="K90">
        <v>19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ProjectSeize 8.QueueNumber WaitingQueue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1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7.6675183339983599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7.6675183339983599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7.6675183339983599</v>
      </c>
      <c r="U90" s="5">
        <f>IF((ContinuousStatsTable[[#This Row],[RepsRequested]]&gt;1),ContinuousStatsTable[[#This Row],[HalfWidth]],ContinuousStatsTable[[#This Row],[BatchMeansHalfWidth]])</f>
        <v>3E+20</v>
      </c>
    </row>
    <row r="91" spans="1:21" x14ac:dyDescent="0.25">
      <c r="A91" t="s">
        <v>67</v>
      </c>
      <c r="B91" t="s">
        <v>70</v>
      </c>
      <c r="C91">
        <v>1</v>
      </c>
      <c r="D91" t="s">
        <v>130</v>
      </c>
      <c r="E91" t="s">
        <v>139</v>
      </c>
      <c r="F91" t="s">
        <v>73</v>
      </c>
      <c r="G91">
        <v>0.27769964435629302</v>
      </c>
      <c r="H91">
        <v>3E+20</v>
      </c>
      <c r="I91">
        <v>0</v>
      </c>
      <c r="J91">
        <v>2</v>
      </c>
      <c r="K91">
        <v>1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ProjectSeize 9.QueueNumber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1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0.27769964435629302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0.27769964435629302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0.27769964435629302</v>
      </c>
      <c r="U91" s="5">
        <f>IF((ContinuousStatsTable[[#This Row],[RepsRequested]]&gt;1),ContinuousStatsTable[[#This Row],[HalfWidth]],ContinuousStatsTable[[#This Row],[BatchMeansHalfWidth]])</f>
        <v>3E+20</v>
      </c>
    </row>
    <row r="92" spans="1:21" x14ac:dyDescent="0.25">
      <c r="A92" t="s">
        <v>67</v>
      </c>
      <c r="B92" t="s">
        <v>70</v>
      </c>
      <c r="C92">
        <v>1</v>
      </c>
      <c r="D92" t="s">
        <v>131</v>
      </c>
      <c r="E92" t="s">
        <v>140</v>
      </c>
      <c r="F92" t="s">
        <v>80</v>
      </c>
      <c r="G92">
        <v>0</v>
      </c>
      <c r="H92">
        <v>2E+20</v>
      </c>
      <c r="I92">
        <v>0</v>
      </c>
      <c r="J92">
        <v>1</v>
      </c>
      <c r="K92">
        <v>0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ProjectWire HarnessWIPEntity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1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0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0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0</v>
      </c>
      <c r="U92" s="5">
        <f>IF((ContinuousStatsTable[[#This Row],[RepsRequested]]&gt;1),ContinuousStatsTable[[#This Row],[HalfWidth]],ContinuousStatsTable[[#This Row],[BatchMeansHalfWidth]])</f>
        <v>2E+20</v>
      </c>
    </row>
    <row r="93" spans="1:21" x14ac:dyDescent="0.25">
      <c r="A93" t="s">
        <v>67</v>
      </c>
      <c r="B93" t="s">
        <v>70</v>
      </c>
      <c r="C93">
        <v>1</v>
      </c>
      <c r="D93" t="s">
        <v>133</v>
      </c>
      <c r="E93" t="s">
        <v>139</v>
      </c>
      <c r="F93" t="s">
        <v>73</v>
      </c>
      <c r="G93">
        <v>1.25544014678754E-2</v>
      </c>
      <c r="H93">
        <v>2E+20</v>
      </c>
      <c r="I93">
        <v>0</v>
      </c>
      <c r="J93">
        <v>2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Projectsales.QueueNumber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1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1.25544014678754E-2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1.25544014678754E-2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1.25544014678754E-2</v>
      </c>
      <c r="U93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93">
    <cfRule type="expression" dxfId="11" priority="9">
      <formula>H2=200000000000000000000</formula>
    </cfRule>
  </conditionalFormatting>
  <conditionalFormatting sqref="H2:H93">
    <cfRule type="expression" dxfId="10" priority="7">
      <formula>H2=300000000000000000000</formula>
    </cfRule>
  </conditionalFormatting>
  <conditionalFormatting sqref="M2:U93">
    <cfRule type="expression" dxfId="9" priority="5">
      <formula>MOD(ROW(),2)=0</formula>
    </cfRule>
  </conditionalFormatting>
  <conditionalFormatting sqref="U2:U93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93 U2:U93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13.85546875" bestFit="1" customWidth="1"/>
    <col min="7" max="7" width="17" bestFit="1" customWidth="1"/>
    <col min="8" max="8" width="40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70</v>
      </c>
      <c r="C2">
        <v>1</v>
      </c>
      <c r="D2" t="s">
        <v>161</v>
      </c>
      <c r="E2" t="s">
        <v>162</v>
      </c>
      <c r="F2" t="s">
        <v>163</v>
      </c>
      <c r="G2">
        <v>47</v>
      </c>
      <c r="H2" t="str">
        <f>CountersTable[[#This Row],[ProjectName]]&amp;CountersTable[[#This Row],[Name]]&amp;CountersTable[[#This Row],[Type]]&amp;CountersTable[[#This Row],[Source]]</f>
        <v>Unnamed ProjectScrapCountUser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47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47</v>
      </c>
      <c r="O2" cm="1">
        <f t="array" ref="O2">MAX(IF((CountersTable[GroupByKey]=CountersTable[[#This Row],[GroupByKey]]),(CountersTable[GroupByKey]=CountersTable[[#This Row],[GroupByKey]])*CountersTable[RecordedValue]))</f>
        <v>47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16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6.5703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0.425781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164</v>
      </c>
      <c r="E2" t="s">
        <v>79</v>
      </c>
      <c r="F2" t="s">
        <v>165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Unnamed ProjectAll Entities.NVACostNVA CostSystem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A3" t="s">
        <v>67</v>
      </c>
      <c r="B3" t="s">
        <v>70</v>
      </c>
      <c r="C3">
        <v>1</v>
      </c>
      <c r="D3" t="s">
        <v>166</v>
      </c>
      <c r="E3" t="s">
        <v>82</v>
      </c>
      <c r="F3" t="s">
        <v>165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Unnamed ProjectAll Entities.OtherCostOther CostSystem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</v>
      </c>
      <c r="P3" cm="1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25">
      <c r="A4" t="s">
        <v>67</v>
      </c>
      <c r="B4" t="s">
        <v>70</v>
      </c>
      <c r="C4">
        <v>1</v>
      </c>
      <c r="D4" t="s">
        <v>167</v>
      </c>
      <c r="E4" t="s">
        <v>84</v>
      </c>
      <c r="F4" t="s">
        <v>165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ProjectAll Entities.TotalCostTotal CostSystem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67</v>
      </c>
      <c r="B5" t="s">
        <v>70</v>
      </c>
      <c r="C5">
        <v>1</v>
      </c>
      <c r="D5" t="s">
        <v>168</v>
      </c>
      <c r="E5" t="s">
        <v>169</v>
      </c>
      <c r="F5" t="s">
        <v>165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ProjectAll Entities.TranCostTran CostSystem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70</v>
      </c>
      <c r="C6">
        <v>1</v>
      </c>
      <c r="D6" t="s">
        <v>170</v>
      </c>
      <c r="E6" t="s">
        <v>88</v>
      </c>
      <c r="F6" t="s">
        <v>165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Unnamed ProjectAll Entities.VACostVA CostSystem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25">
      <c r="A7" t="s">
        <v>67</v>
      </c>
      <c r="B7" t="s">
        <v>70</v>
      </c>
      <c r="C7">
        <v>1</v>
      </c>
      <c r="D7" t="s">
        <v>171</v>
      </c>
      <c r="E7" t="s">
        <v>90</v>
      </c>
      <c r="F7" t="s">
        <v>165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Unnamed ProjectAll Entities.WaitCostWait CostSystem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</v>
      </c>
      <c r="P7" cm="1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25">
      <c r="A8" t="s">
        <v>67</v>
      </c>
      <c r="B8" t="s">
        <v>70</v>
      </c>
      <c r="C8">
        <v>1</v>
      </c>
      <c r="D8" t="s">
        <v>172</v>
      </c>
      <c r="E8" t="s">
        <v>173</v>
      </c>
      <c r="F8" t="s">
        <v>165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Unnamed ProjectAll Resources.BusyCostBusy CostSystem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25">
      <c r="A9" t="s">
        <v>67</v>
      </c>
      <c r="B9" t="s">
        <v>70</v>
      </c>
      <c r="C9">
        <v>1</v>
      </c>
      <c r="D9" t="s">
        <v>174</v>
      </c>
      <c r="E9" t="s">
        <v>175</v>
      </c>
      <c r="F9" t="s">
        <v>165</v>
      </c>
      <c r="G9">
        <v>0</v>
      </c>
      <c r="H9">
        <v>0</v>
      </c>
      <c r="I9" t="str">
        <f>OutputTable[[#This Row],[ProjectName]]&amp;OutputTable[[#This Row],[Name]]&amp;OutputTable[[#This Row],[Type]]&amp;OutputTable[[#This Row],[Source]]</f>
        <v>Unnamed ProjectAll Resources.IdleCostIdle CostSystem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0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</v>
      </c>
      <c r="P9" cm="1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25">
      <c r="A10" t="s">
        <v>67</v>
      </c>
      <c r="B10" t="s">
        <v>70</v>
      </c>
      <c r="C10">
        <v>1</v>
      </c>
      <c r="D10" t="s">
        <v>176</v>
      </c>
      <c r="E10" t="s">
        <v>84</v>
      </c>
      <c r="F10" t="s">
        <v>165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Unnamed ProjectAll Resources.TotalCostTotal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67</v>
      </c>
      <c r="B11" t="s">
        <v>70</v>
      </c>
      <c r="C11">
        <v>1</v>
      </c>
      <c r="D11" t="s">
        <v>177</v>
      </c>
      <c r="E11" t="s">
        <v>178</v>
      </c>
      <c r="F11" t="s">
        <v>165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Unnamed ProjectAll Resources.UsageCostUsage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67</v>
      </c>
      <c r="B12" t="s">
        <v>70</v>
      </c>
      <c r="C12">
        <v>1</v>
      </c>
      <c r="D12" t="s">
        <v>179</v>
      </c>
      <c r="E12" t="s">
        <v>173</v>
      </c>
      <c r="F12" t="s">
        <v>136</v>
      </c>
      <c r="G12">
        <v>0</v>
      </c>
      <c r="H12">
        <v>0</v>
      </c>
      <c r="I12" t="str">
        <f>OutputTable[[#This Row],[ProjectName]]&amp;OutputTable[[#This Row],[Name]]&amp;OutputTable[[#This Row],[Type]]&amp;OutputTable[[#This Row],[Source]]</f>
        <v>Unnamed ProjectAssembler.BusyCostBusy CostResource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</v>
      </c>
      <c r="P12" cm="1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25">
      <c r="A13" t="s">
        <v>67</v>
      </c>
      <c r="B13" t="s">
        <v>70</v>
      </c>
      <c r="C13">
        <v>1</v>
      </c>
      <c r="D13" t="s">
        <v>180</v>
      </c>
      <c r="E13" t="s">
        <v>175</v>
      </c>
      <c r="F13" t="s">
        <v>136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Unnamed ProjectAssembler.IdleCostIdle CostResource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67</v>
      </c>
      <c r="B14" t="s">
        <v>70</v>
      </c>
      <c r="C14">
        <v>1</v>
      </c>
      <c r="D14" t="s">
        <v>181</v>
      </c>
      <c r="E14" t="s">
        <v>182</v>
      </c>
      <c r="F14" t="s">
        <v>136</v>
      </c>
      <c r="G14">
        <v>2818</v>
      </c>
      <c r="H14">
        <v>0</v>
      </c>
      <c r="I14" t="str">
        <f>OutputTable[[#This Row],[ProjectName]]&amp;OutputTable[[#This Row],[Name]]&amp;OutputTable[[#This Row],[Type]]&amp;OutputTable[[#This Row],[Source]]</f>
        <v>Unnamed ProjectAssembler.NumberSeizedTotal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2818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2818</v>
      </c>
      <c r="P14" cm="1">
        <f t="array" ref="P14">MAX(IF((OutputTable[GroupByKey]=OutputTable[[#This Row],[GroupByKey]]),(OutputTable[GroupByKey]=OutputTable[[#This Row],[GroupByKey]])*OutputTable[RecordedValue]))</f>
        <v>2818</v>
      </c>
    </row>
    <row r="15" spans="1:16" x14ac:dyDescent="0.25">
      <c r="A15" t="s">
        <v>67</v>
      </c>
      <c r="B15" t="s">
        <v>70</v>
      </c>
      <c r="C15">
        <v>1</v>
      </c>
      <c r="D15" t="s">
        <v>183</v>
      </c>
      <c r="E15" t="s">
        <v>184</v>
      </c>
      <c r="F15" t="s">
        <v>136</v>
      </c>
      <c r="G15">
        <v>0.185890978356896</v>
      </c>
      <c r="H15">
        <v>0</v>
      </c>
      <c r="I1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</v>
      </c>
      <c r="K15" cm="1">
        <f t="array" ref="K15">IFERROR(AVERAGE(IF((OutputTable[GroupByKey]=OutputTable[[#This Row],[GroupByKey]]),(OutputTable[GroupByKey]=OutputTable[[#This Row],[GroupByKey]])*OutputTable[RecordedValue])),0)</f>
        <v>0.185890978356896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cm="1">
        <f t="array" ref="O15">MIN(IF((OutputTable[GroupByKey]=OutputTable[[#This Row],[GroupByKey]]),(OutputTable[GroupByKey]=OutputTable[[#This Row],[GroupByKey]])*OutputTable[RecordedValue]))</f>
        <v>0.185890978356896</v>
      </c>
      <c r="P15" cm="1">
        <f t="array" ref="P15">MAX(IF((OutputTable[GroupByKey]=OutputTable[[#This Row],[GroupByKey]]),(OutputTable[GroupByKey]=OutputTable[[#This Row],[GroupByKey]])*OutputTable[RecordedValue]))</f>
        <v>0.185890978356896</v>
      </c>
    </row>
    <row r="16" spans="1:16" x14ac:dyDescent="0.25">
      <c r="A16" t="s">
        <v>67</v>
      </c>
      <c r="B16" t="s">
        <v>70</v>
      </c>
      <c r="C16">
        <v>1</v>
      </c>
      <c r="D16" t="s">
        <v>185</v>
      </c>
      <c r="E16" t="s">
        <v>178</v>
      </c>
      <c r="F16" t="s">
        <v>136</v>
      </c>
      <c r="G16">
        <v>0</v>
      </c>
      <c r="H16">
        <v>0</v>
      </c>
      <c r="I16" t="str">
        <f>OutputTable[[#This Row],[ProjectName]]&amp;OutputTable[[#This Row],[Name]]&amp;OutputTable[[#This Row],[Type]]&amp;OutputTable[[#This Row],[Source]]</f>
        <v>Unnamed ProjectAssembler.UsageCostUsage CostResource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1</v>
      </c>
      <c r="K16" cm="1">
        <f t="array" ref="K16">IFERROR(AVERAGE(IF((OutputTable[GroupByKey]=OutputTable[[#This Row],[GroupByKey]]),(OutputTable[GroupByKey]=OutputTable[[#This Row],[GroupByKey]])*OutputTable[RecordedValue])),0)</f>
        <v>0</v>
      </c>
      <c r="L16" cm="1">
        <f t="array" ref="L16">IFERROR(_xlfn.STDEV.S(IF((OutputTable[GroupByKey]=OutputTable[[#This Row],[GroupByKey]]),(OutputTable[GroupByKey]=OutputTable[[#This Row],[GroupByKey]])*OutputTable[RecordedValue])),0)</f>
        <v>0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cm="1">
        <f t="array" ref="O16">MIN(IF((OutputTable[GroupByKey]=OutputTable[[#This Row],[GroupByKey]]),(OutputTable[GroupByKey]=OutputTable[[#This Row],[GroupByKey]])*OutputTable[RecordedValue]))</f>
        <v>0</v>
      </c>
      <c r="P16" cm="1">
        <f t="array" ref="P16">MAX(IF((OutputTable[GroupByKey]=OutputTable[[#This Row],[GroupByKey]]),(OutputTable[GroupByKey]=OutputTable[[#This Row],[GroupByKey]])*OutputTable[RecordedValue]))</f>
        <v>0</v>
      </c>
    </row>
    <row r="17" spans="1:16" x14ac:dyDescent="0.25">
      <c r="A17" t="s">
        <v>67</v>
      </c>
      <c r="B17" t="s">
        <v>70</v>
      </c>
      <c r="C17">
        <v>1</v>
      </c>
      <c r="D17" t="s">
        <v>186</v>
      </c>
      <c r="E17" t="s">
        <v>187</v>
      </c>
      <c r="F17" t="s">
        <v>80</v>
      </c>
      <c r="G17">
        <v>127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</v>
      </c>
      <c r="K17" cm="1">
        <f t="array" ref="K17">IFERROR(AVERAGE(IF((OutputTable[GroupByKey]=OutputTable[[#This Row],[GroupByKey]]),(OutputTable[GroupByKey]=OutputTable[[#This Row],[GroupByKey]])*OutputTable[RecordedValue])),0)</f>
        <v>127</v>
      </c>
      <c r="L17" cm="1">
        <f t="array" ref="L17">IFERROR(_xlfn.STDEV.S(IF((OutputTable[GroupByKey]=OutputTable[[#This Row],[GroupByKey]]),(OutputTable[GroupByKey]=OutputTable[[#This Row],[GroupByKey]])*OutputTable[RecordedValue])),0)</f>
        <v>0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cm="1">
        <f t="array" ref="O17">MIN(IF((OutputTable[GroupByKey]=OutputTable[[#This Row],[GroupByKey]]),(OutputTable[GroupByKey]=OutputTable[[#This Row],[GroupByKey]])*OutputTable[RecordedValue]))</f>
        <v>127</v>
      </c>
      <c r="P17" cm="1">
        <f t="array" ref="P17">MAX(IF((OutputTable[GroupByKey]=OutputTable[[#This Row],[GroupByKey]]),(OutputTable[GroupByKey]=OutputTable[[#This Row],[GroupByKey]])*OutputTable[RecordedValue]))</f>
        <v>127</v>
      </c>
    </row>
    <row r="18" spans="1:16" x14ac:dyDescent="0.25">
      <c r="A18" t="s">
        <v>67</v>
      </c>
      <c r="B18" t="s">
        <v>70</v>
      </c>
      <c r="C18">
        <v>1</v>
      </c>
      <c r="D18" t="s">
        <v>188</v>
      </c>
      <c r="E18" t="s">
        <v>189</v>
      </c>
      <c r="F18" t="s">
        <v>80</v>
      </c>
      <c r="G18">
        <v>127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1</v>
      </c>
      <c r="K18" cm="1">
        <f t="array" ref="K18">IFERROR(AVERAGE(IF((OutputTable[GroupByKey]=OutputTable[[#This Row],[GroupByKey]]),(OutputTable[GroupByKey]=OutputTable[[#This Row],[GroupByKey]])*OutputTable[RecordedValue])),0)</f>
        <v>127</v>
      </c>
      <c r="L18" cm="1">
        <f t="array" ref="L18">IFERROR(_xlfn.STDEV.S(IF((OutputTable[GroupByKey]=OutputTable[[#This Row],[GroupByKey]]),(OutputTable[GroupByKey]=OutputTable[[#This Row],[GroupByKey]])*OutputTable[RecordedValue])),0)</f>
        <v>0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 cm="1">
        <f t="array" ref="O18">MIN(IF((OutputTable[GroupByKey]=OutputTable[[#This Row],[GroupByKey]]),(OutputTable[GroupByKey]=OutputTable[[#This Row],[GroupByKey]])*OutputTable[RecordedValue]))</f>
        <v>127</v>
      </c>
      <c r="P18" cm="1">
        <f t="array" ref="P18">MAX(IF((OutputTable[GroupByKey]=OutputTable[[#This Row],[GroupByKey]]),(OutputTable[GroupByKey]=OutputTable[[#This Row],[GroupByKey]])*OutputTable[RecordedValue]))</f>
        <v>127</v>
      </c>
    </row>
    <row r="19" spans="1:16" x14ac:dyDescent="0.25">
      <c r="A19" t="s">
        <v>67</v>
      </c>
      <c r="B19" t="s">
        <v>70</v>
      </c>
      <c r="C19">
        <v>1</v>
      </c>
      <c r="D19" t="s">
        <v>190</v>
      </c>
      <c r="E19" t="s">
        <v>187</v>
      </c>
      <c r="F19" t="s">
        <v>80</v>
      </c>
      <c r="G19">
        <v>7235</v>
      </c>
      <c r="H19">
        <v>0</v>
      </c>
      <c r="I19" t="str">
        <f>OutputTable[[#This Row],[ProjectName]]&amp;OutputTable[[#This Row],[Name]]&amp;OutputTable[[#This Row],[Type]]&amp;OutputTable[[#This Row],[Source]]</f>
        <v>Unnamed ProjectEntity 1.NumberInNumber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1</v>
      </c>
      <c r="K19" cm="1">
        <f t="array" ref="K19">IFERROR(AVERAGE(IF((OutputTable[GroupByKey]=OutputTable[[#This Row],[GroupByKey]]),(OutputTable[GroupByKey]=OutputTable[[#This Row],[GroupByKey]])*OutputTable[RecordedValue])),0)</f>
        <v>7235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 cm="1">
        <f t="array" ref="O19">MIN(IF((OutputTable[GroupByKey]=OutputTable[[#This Row],[GroupByKey]]),(OutputTable[GroupByKey]=OutputTable[[#This Row],[GroupByKey]])*OutputTable[RecordedValue]))</f>
        <v>7235</v>
      </c>
      <c r="P19" cm="1">
        <f t="array" ref="P19">MAX(IF((OutputTable[GroupByKey]=OutputTable[[#This Row],[GroupByKey]]),(OutputTable[GroupByKey]=OutputTable[[#This Row],[GroupByKey]])*OutputTable[RecordedValue]))</f>
        <v>7235</v>
      </c>
    </row>
    <row r="20" spans="1:16" x14ac:dyDescent="0.25">
      <c r="A20" t="s">
        <v>67</v>
      </c>
      <c r="B20" t="s">
        <v>70</v>
      </c>
      <c r="C20">
        <v>1</v>
      </c>
      <c r="D20" t="s">
        <v>191</v>
      </c>
      <c r="E20" t="s">
        <v>189</v>
      </c>
      <c r="F20" t="s">
        <v>80</v>
      </c>
      <c r="G20">
        <v>7204</v>
      </c>
      <c r="H20">
        <v>0</v>
      </c>
      <c r="I20" t="str">
        <f>OutputTable[[#This Row],[ProjectName]]&amp;OutputTable[[#This Row],[Name]]&amp;OutputTable[[#This Row],[Type]]&amp;OutputTable[[#This Row],[Source]]</f>
        <v>Unnamed ProjectEntity 1.NumberOutNumber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1</v>
      </c>
      <c r="K20" cm="1">
        <f t="array" ref="K20">IFERROR(AVERAGE(IF((OutputTable[GroupByKey]=OutputTable[[#This Row],[GroupByKey]]),(OutputTable[GroupByKey]=OutputTable[[#This Row],[GroupByKey]])*OutputTable[RecordedValue])),0)</f>
        <v>7204</v>
      </c>
      <c r="L20" cm="1">
        <f t="array" ref="L20">IFERROR(_xlfn.STDEV.S(IF((OutputTable[GroupByKey]=OutputTable[[#This Row],[GroupByKey]]),(OutputTable[GroupByKey]=OutputTable[[#This Row],[GroupByKey]])*OutputTable[RecordedValue])),0)</f>
        <v>0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 cm="1">
        <f t="array" ref="O20">MIN(IF((OutputTable[GroupByKey]=OutputTable[[#This Row],[GroupByKey]]),(OutputTable[GroupByKey]=OutputTable[[#This Row],[GroupByKey]])*OutputTable[RecordedValue]))</f>
        <v>7204</v>
      </c>
      <c r="P20" cm="1">
        <f t="array" ref="P20">MAX(IF((OutputTable[GroupByKey]=OutputTable[[#This Row],[GroupByKey]]),(OutputTable[GroupByKey]=OutputTable[[#This Row],[GroupByKey]])*OutputTable[RecordedValue]))</f>
        <v>7204</v>
      </c>
    </row>
    <row r="21" spans="1:16" x14ac:dyDescent="0.25">
      <c r="A21" t="s">
        <v>67</v>
      </c>
      <c r="B21" t="s">
        <v>70</v>
      </c>
      <c r="C21">
        <v>1</v>
      </c>
      <c r="D21" t="s">
        <v>192</v>
      </c>
      <c r="E21" t="s">
        <v>187</v>
      </c>
      <c r="F21" t="s">
        <v>80</v>
      </c>
      <c r="G21">
        <v>2955</v>
      </c>
      <c r="H21">
        <v>0</v>
      </c>
      <c r="I21" t="str">
        <f>OutputTable[[#This Row],[ProjectName]]&amp;OutputTable[[#This Row],[Name]]&amp;OutputTable[[#This Row],[Type]]&amp;OutputTable[[#This Row],[Source]]</f>
        <v>Unnamed ProjectEntity 2.NumberInNumber InEntity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1</v>
      </c>
      <c r="K21" cm="1">
        <f t="array" ref="K21">IFERROR(AVERAGE(IF((OutputTable[GroupByKey]=OutputTable[[#This Row],[GroupByKey]]),(OutputTable[GroupByKey]=OutputTable[[#This Row],[GroupByKey]])*OutputTable[RecordedValue])),0)</f>
        <v>2955</v>
      </c>
      <c r="L21" cm="1">
        <f t="array" ref="L21">IFERROR(_xlfn.STDEV.S(IF((OutputTable[GroupByKey]=OutputTable[[#This Row],[GroupByKey]]),(OutputTable[GroupByKey]=OutputTable[[#This Row],[GroupByKey]])*OutputTable[RecordedValue])),0)</f>
        <v>0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" cm="1">
        <f t="array" ref="O21">MIN(IF((OutputTable[GroupByKey]=OutputTable[[#This Row],[GroupByKey]]),(OutputTable[GroupByKey]=OutputTable[[#This Row],[GroupByKey]])*OutputTable[RecordedValue]))</f>
        <v>2955</v>
      </c>
      <c r="P21" cm="1">
        <f t="array" ref="P21">MAX(IF((OutputTable[GroupByKey]=OutputTable[[#This Row],[GroupByKey]]),(OutputTable[GroupByKey]=OutputTable[[#This Row],[GroupByKey]])*OutputTable[RecordedValue]))</f>
        <v>2955</v>
      </c>
    </row>
    <row r="22" spans="1:16" x14ac:dyDescent="0.25">
      <c r="A22" t="s">
        <v>67</v>
      </c>
      <c r="B22" t="s">
        <v>70</v>
      </c>
      <c r="C22">
        <v>1</v>
      </c>
      <c r="D22" t="s">
        <v>193</v>
      </c>
      <c r="E22" t="s">
        <v>189</v>
      </c>
      <c r="F22" t="s">
        <v>80</v>
      </c>
      <c r="G22">
        <v>2917</v>
      </c>
      <c r="H22">
        <v>0</v>
      </c>
      <c r="I22" t="str">
        <f>OutputTable[[#This Row],[ProjectName]]&amp;OutputTable[[#This Row],[Name]]&amp;OutputTable[[#This Row],[Type]]&amp;OutputTable[[#This Row],[Source]]</f>
        <v>Unnamed ProjectEntity 2.NumberOutNumber OutEntity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1</v>
      </c>
      <c r="K22" cm="1">
        <f t="array" ref="K22">IFERROR(AVERAGE(IF((OutputTable[GroupByKey]=OutputTable[[#This Row],[GroupByKey]]),(OutputTable[GroupByKey]=OutputTable[[#This Row],[GroupByKey]])*OutputTable[RecordedValue])),0)</f>
        <v>2917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2" cm="1">
        <f t="array" ref="O22">MIN(IF((OutputTable[GroupByKey]=OutputTable[[#This Row],[GroupByKey]]),(OutputTable[GroupByKey]=OutputTable[[#This Row],[GroupByKey]])*OutputTable[RecordedValue]))</f>
        <v>2917</v>
      </c>
      <c r="P22" cm="1">
        <f t="array" ref="P22">MAX(IF((OutputTable[GroupByKey]=OutputTable[[#This Row],[GroupByKey]]),(OutputTable[GroupByKey]=OutputTable[[#This Row],[GroupByKey]])*OutputTable[RecordedValue]))</f>
        <v>2917</v>
      </c>
    </row>
    <row r="23" spans="1:16" x14ac:dyDescent="0.25">
      <c r="A23" t="s">
        <v>67</v>
      </c>
      <c r="B23" t="s">
        <v>70</v>
      </c>
      <c r="C23">
        <v>1</v>
      </c>
      <c r="D23" t="s">
        <v>194</v>
      </c>
      <c r="E23" t="s">
        <v>187</v>
      </c>
      <c r="F23" t="s">
        <v>80</v>
      </c>
      <c r="G23">
        <v>14978</v>
      </c>
      <c r="H23">
        <v>0</v>
      </c>
      <c r="I23" t="str">
        <f>OutputTable[[#This Row],[ProjectName]]&amp;OutputTable[[#This Row],[Name]]&amp;OutputTable[[#This Row],[Type]]&amp;OutputTable[[#This Row],[Source]]</f>
        <v>Unnamed ProjectEntity 3.NumberInNumber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</v>
      </c>
      <c r="K23" cm="1">
        <f t="array" ref="K23">IFERROR(AVERAGE(IF((OutputTable[GroupByKey]=OutputTable[[#This Row],[GroupByKey]]),(OutputTable[GroupByKey]=OutputTable[[#This Row],[GroupByKey]])*OutputTable[RecordedValue])),0)</f>
        <v>14978</v>
      </c>
      <c r="L23" cm="1">
        <f t="array" ref="L23">IFERROR(_xlfn.STDEV.S(IF((OutputTable[GroupByKey]=OutputTable[[#This Row],[GroupByKey]]),(OutputTable[GroupByKey]=OutputTable[[#This Row],[GroupByKey]])*OutputTable[RecordedValue])),0)</f>
        <v>0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3" cm="1">
        <f t="array" ref="O23">MIN(IF((OutputTable[GroupByKey]=OutputTable[[#This Row],[GroupByKey]]),(OutputTable[GroupByKey]=OutputTable[[#This Row],[GroupByKey]])*OutputTable[RecordedValue]))</f>
        <v>14978</v>
      </c>
      <c r="P23" cm="1">
        <f t="array" ref="P23">MAX(IF((OutputTable[GroupByKey]=OutputTable[[#This Row],[GroupByKey]]),(OutputTable[GroupByKey]=OutputTable[[#This Row],[GroupByKey]])*OutputTable[RecordedValue]))</f>
        <v>14978</v>
      </c>
    </row>
    <row r="24" spans="1:16" x14ac:dyDescent="0.25">
      <c r="A24" t="s">
        <v>67</v>
      </c>
      <c r="B24" t="s">
        <v>70</v>
      </c>
      <c r="C24">
        <v>1</v>
      </c>
      <c r="D24" t="s">
        <v>195</v>
      </c>
      <c r="E24" t="s">
        <v>189</v>
      </c>
      <c r="F24" t="s">
        <v>80</v>
      </c>
      <c r="G24">
        <v>14940</v>
      </c>
      <c r="H24">
        <v>0</v>
      </c>
      <c r="I24" t="str">
        <f>OutputTable[[#This Row],[ProjectName]]&amp;OutputTable[[#This Row],[Name]]&amp;OutputTable[[#This Row],[Type]]&amp;OutputTable[[#This Row],[Source]]</f>
        <v>Unnamed ProjectEntity 3.NumberOutNumber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1</v>
      </c>
      <c r="K24" cm="1">
        <f t="array" ref="K24">IFERROR(AVERAGE(IF((OutputTable[GroupByKey]=OutputTable[[#This Row],[GroupByKey]]),(OutputTable[GroupByKey]=OutputTable[[#This Row],[GroupByKey]])*OutputTable[RecordedValue])),0)</f>
        <v>14940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4" cm="1">
        <f t="array" ref="O24">MIN(IF((OutputTable[GroupByKey]=OutputTable[[#This Row],[GroupByKey]]),(OutputTable[GroupByKey]=OutputTable[[#This Row],[GroupByKey]])*OutputTable[RecordedValue]))</f>
        <v>14940</v>
      </c>
      <c r="P24" cm="1">
        <f t="array" ref="P24">MAX(IF((OutputTable[GroupByKey]=OutputTable[[#This Row],[GroupByKey]]),(OutputTable[GroupByKey]=OutputTable[[#This Row],[GroupByKey]])*OutputTable[RecordedValue]))</f>
        <v>14940</v>
      </c>
    </row>
    <row r="25" spans="1:16" x14ac:dyDescent="0.25">
      <c r="A25" t="s">
        <v>67</v>
      </c>
      <c r="B25" t="s">
        <v>70</v>
      </c>
      <c r="C25">
        <v>1</v>
      </c>
      <c r="D25" t="s">
        <v>196</v>
      </c>
      <c r="E25" t="s">
        <v>173</v>
      </c>
      <c r="F25" t="s">
        <v>136</v>
      </c>
      <c r="G25">
        <v>0</v>
      </c>
      <c r="H25">
        <v>0</v>
      </c>
      <c r="I25" t="str">
        <f>OutputTable[[#This Row],[ProjectName]]&amp;OutputTable[[#This Row],[Name]]&amp;OutputTable[[#This Row],[Type]]&amp;OutputTable[[#This Row],[Source]]</f>
        <v>Unnamed ProjectKanban L1S1.BusyCostBusy CostResource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</v>
      </c>
      <c r="K25" cm="1">
        <f t="array" ref="K25">IFERROR(AVERAGE(IF((OutputTable[GroupByKey]=OutputTable[[#This Row],[GroupByKey]]),(OutputTable[GroupByKey]=OutputTable[[#This Row],[GroupByKey]])*OutputTable[RecordedValue])),0)</f>
        <v>0</v>
      </c>
      <c r="L25" cm="1">
        <f t="array" ref="L25">IFERROR(_xlfn.STDEV.S(IF((OutputTable[GroupByKey]=OutputTable[[#This Row],[GroupByKey]]),(OutputTable[GroupByKey]=OutputTable[[#This Row],[GroupByKey]])*OutputTable[RecordedValue])),0)</f>
        <v>0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5" cm="1">
        <f t="array" ref="O25">MIN(IF((OutputTable[GroupByKey]=OutputTable[[#This Row],[GroupByKey]]),(OutputTable[GroupByKey]=OutputTable[[#This Row],[GroupByKey]])*OutputTable[RecordedValue]))</f>
        <v>0</v>
      </c>
      <c r="P25" cm="1">
        <f t="array" ref="P25">MAX(IF((OutputTable[GroupByKey]=OutputTable[[#This Row],[GroupByKey]]),(OutputTable[GroupByKey]=OutputTable[[#This Row],[GroupByKey]])*OutputTable[RecordedValue]))</f>
        <v>0</v>
      </c>
    </row>
    <row r="26" spans="1:16" x14ac:dyDescent="0.25">
      <c r="A26" t="s">
        <v>67</v>
      </c>
      <c r="B26" t="s">
        <v>70</v>
      </c>
      <c r="C26">
        <v>1</v>
      </c>
      <c r="D26" t="s">
        <v>197</v>
      </c>
      <c r="E26" t="s">
        <v>175</v>
      </c>
      <c r="F26" t="s">
        <v>136</v>
      </c>
      <c r="G26">
        <v>0</v>
      </c>
      <c r="H26">
        <v>0</v>
      </c>
      <c r="I26" t="str">
        <f>OutputTable[[#This Row],[ProjectName]]&amp;OutputTable[[#This Row],[Name]]&amp;OutputTable[[#This Row],[Type]]&amp;OutputTable[[#This Row],[Source]]</f>
        <v>Unnamed ProjectKanban L1S1.IdleCostIdle CostResource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</v>
      </c>
      <c r="K26" cm="1">
        <f t="array" ref="K26">IFERROR(AVERAGE(IF((OutputTable[GroupByKey]=OutputTable[[#This Row],[GroupByKey]]),(OutputTable[GroupByKey]=OutputTable[[#This Row],[GroupByKey]])*OutputTable[RecordedValue])),0)</f>
        <v>0</v>
      </c>
      <c r="L26" cm="1">
        <f t="array" ref="L26">IFERROR(_xlfn.STDEV.S(IF((OutputTable[GroupByKey]=OutputTable[[#This Row],[GroupByKey]]),(OutputTable[GroupByKey]=OutputTable[[#This Row],[GroupByKey]])*OutputTable[RecordedValue])),0)</f>
        <v>0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6" cm="1">
        <f t="array" ref="O26">MIN(IF((OutputTable[GroupByKey]=OutputTable[[#This Row],[GroupByKey]]),(OutputTable[GroupByKey]=OutputTable[[#This Row],[GroupByKey]])*OutputTable[RecordedValue]))</f>
        <v>0</v>
      </c>
      <c r="P26" cm="1">
        <f t="array" ref="P26">MAX(IF((OutputTable[GroupByKey]=OutputTable[[#This Row],[GroupByKey]]),(OutputTable[GroupByKey]=OutputTable[[#This Row],[GroupByKey]])*OutputTable[RecordedValue]))</f>
        <v>0</v>
      </c>
    </row>
    <row r="27" spans="1:16" x14ac:dyDescent="0.25">
      <c r="A27" t="s">
        <v>67</v>
      </c>
      <c r="B27" t="s">
        <v>70</v>
      </c>
      <c r="C27">
        <v>1</v>
      </c>
      <c r="D27" t="s">
        <v>198</v>
      </c>
      <c r="E27" t="s">
        <v>182</v>
      </c>
      <c r="F27" t="s">
        <v>136</v>
      </c>
      <c r="G27">
        <v>4198</v>
      </c>
      <c r="H27">
        <v>0</v>
      </c>
      <c r="I27" t="str">
        <f>OutputTable[[#This Row],[ProjectName]]&amp;OutputTable[[#This Row],[Name]]&amp;OutputTable[[#This Row],[Type]]&amp;OutputTable[[#This Row],[Source]]</f>
        <v>Unnamed ProjectKanban L1S1.NumberSeizedTotal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</v>
      </c>
      <c r="K27" cm="1">
        <f t="array" ref="K27">IFERROR(AVERAGE(IF((OutputTable[GroupByKey]=OutputTable[[#This Row],[GroupByKey]]),(OutputTable[GroupByKey]=OutputTable[[#This Row],[GroupByKey]])*OutputTable[RecordedValue])),0)</f>
        <v>4198</v>
      </c>
      <c r="L27" cm="1">
        <f t="array" ref="L27">IFERROR(_xlfn.STDEV.S(IF((OutputTable[GroupByKey]=OutputTable[[#This Row],[GroupByKey]]),(OutputTable[GroupByKey]=OutputTable[[#This Row],[GroupByKey]])*OutputTable[RecordedValue])),0)</f>
        <v>0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7" cm="1">
        <f t="array" ref="O27">MIN(IF((OutputTable[GroupByKey]=OutputTable[[#This Row],[GroupByKey]]),(OutputTable[GroupByKey]=OutputTable[[#This Row],[GroupByKey]])*OutputTable[RecordedValue]))</f>
        <v>4198</v>
      </c>
      <c r="P27" cm="1">
        <f t="array" ref="P27">MAX(IF((OutputTable[GroupByKey]=OutputTable[[#This Row],[GroupByKey]]),(OutputTable[GroupByKey]=OutputTable[[#This Row],[GroupByKey]])*OutputTable[RecordedValue]))</f>
        <v>4198</v>
      </c>
    </row>
    <row r="28" spans="1:16" x14ac:dyDescent="0.25">
      <c r="A28" t="s">
        <v>67</v>
      </c>
      <c r="B28" t="s">
        <v>70</v>
      </c>
      <c r="C28">
        <v>1</v>
      </c>
      <c r="D28" t="s">
        <v>199</v>
      </c>
      <c r="E28" t="s">
        <v>184</v>
      </c>
      <c r="F28" t="s">
        <v>136</v>
      </c>
      <c r="G28">
        <v>0.92075442211088998</v>
      </c>
      <c r="H28">
        <v>0</v>
      </c>
      <c r="I28" t="str">
        <f>OutputTable[[#This Row],[ProjectName]]&amp;OutputTable[[#This Row],[Name]]&amp;OutputTable[[#This Row],[Type]]&amp;OutputTable[[#This Row],[Source]]</f>
        <v>Unnamed ProjectKanban L1S1.ScheduledUtilizationScheduled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</v>
      </c>
      <c r="K28" cm="1">
        <f t="array" ref="K28">IFERROR(AVERAGE(IF((OutputTable[GroupByKey]=OutputTable[[#This Row],[GroupByKey]]),(OutputTable[GroupByKey]=OutputTable[[#This Row],[GroupByKey]])*OutputTable[RecordedValue])),0)</f>
        <v>0.92075442211088998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8" cm="1">
        <f t="array" ref="O28">MIN(IF((OutputTable[GroupByKey]=OutputTable[[#This Row],[GroupByKey]]),(OutputTable[GroupByKey]=OutputTable[[#This Row],[GroupByKey]])*OutputTable[RecordedValue]))</f>
        <v>0.92075442211088998</v>
      </c>
      <c r="P28" cm="1">
        <f t="array" ref="P28">MAX(IF((OutputTable[GroupByKey]=OutputTable[[#This Row],[GroupByKey]]),(OutputTable[GroupByKey]=OutputTable[[#This Row],[GroupByKey]])*OutputTable[RecordedValue]))</f>
        <v>0.92075442211088998</v>
      </c>
    </row>
    <row r="29" spans="1:16" x14ac:dyDescent="0.25">
      <c r="A29" t="s">
        <v>67</v>
      </c>
      <c r="B29" t="s">
        <v>70</v>
      </c>
      <c r="C29">
        <v>1</v>
      </c>
      <c r="D29" t="s">
        <v>200</v>
      </c>
      <c r="E29" t="s">
        <v>178</v>
      </c>
      <c r="F29" t="s">
        <v>136</v>
      </c>
      <c r="G29">
        <v>0</v>
      </c>
      <c r="H29">
        <v>0</v>
      </c>
      <c r="I29" t="str">
        <f>OutputTable[[#This Row],[ProjectName]]&amp;OutputTable[[#This Row],[Name]]&amp;OutputTable[[#This Row],[Type]]&amp;OutputTable[[#This Row],[Source]]</f>
        <v>Unnamed ProjectKanban L1S1.UsageCostUsage CostResource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</v>
      </c>
      <c r="K29" cm="1">
        <f t="array" ref="K29">IFERROR(AVERAGE(IF((OutputTable[GroupByKey]=OutputTable[[#This Row],[GroupByKey]]),(OutputTable[GroupByKey]=OutputTable[[#This Row],[GroupByKey]])*OutputTable[RecordedValue])),0)</f>
        <v>0</v>
      </c>
      <c r="L29" cm="1">
        <f t="array" ref="L29">IFERROR(_xlfn.STDEV.S(IF((OutputTable[GroupByKey]=OutputTable[[#This Row],[GroupByKey]]),(OutputTable[GroupByKey]=OutputTable[[#This Row],[GroupByKey]])*OutputTable[RecordedValue])),0)</f>
        <v>0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9" cm="1">
        <f t="array" ref="O29">MIN(IF((OutputTable[GroupByKey]=OutputTable[[#This Row],[GroupByKey]]),(OutputTable[GroupByKey]=OutputTable[[#This Row],[GroupByKey]])*OutputTable[RecordedValue]))</f>
        <v>0</v>
      </c>
      <c r="P29" cm="1">
        <f t="array" ref="P29">MAX(IF((OutputTable[GroupByKey]=OutputTable[[#This Row],[GroupByKey]]),(OutputTable[GroupByKey]=OutputTable[[#This Row],[GroupByKey]])*OutputTable[RecordedValue]))</f>
        <v>0</v>
      </c>
    </row>
    <row r="30" spans="1:16" x14ac:dyDescent="0.25">
      <c r="A30" t="s">
        <v>67</v>
      </c>
      <c r="B30" t="s">
        <v>70</v>
      </c>
      <c r="C30">
        <v>1</v>
      </c>
      <c r="D30" t="s">
        <v>201</v>
      </c>
      <c r="E30" t="s">
        <v>173</v>
      </c>
      <c r="F30" t="s">
        <v>136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Unnamed ProjectKanban L1S2.BusyCostBusy CostResource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67</v>
      </c>
      <c r="B31" t="s">
        <v>70</v>
      </c>
      <c r="C31">
        <v>1</v>
      </c>
      <c r="D31" t="s">
        <v>202</v>
      </c>
      <c r="E31" t="s">
        <v>175</v>
      </c>
      <c r="F31" t="s">
        <v>136</v>
      </c>
      <c r="G31">
        <v>0</v>
      </c>
      <c r="H31">
        <v>0</v>
      </c>
      <c r="I31" t="str">
        <f>OutputTable[[#This Row],[ProjectName]]&amp;OutputTable[[#This Row],[Name]]&amp;OutputTable[[#This Row],[Type]]&amp;OutputTable[[#This Row],[Source]]</f>
        <v>Unnamed ProjectKanban L1S2.IdleCostIdle CostResource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1</v>
      </c>
      <c r="K31" cm="1">
        <f t="array" ref="K31">IFERROR(AVERAGE(IF((OutputTable[GroupByKey]=OutputTable[[#This Row],[GroupByKey]]),(OutputTable[GroupByKey]=OutputTable[[#This Row],[GroupByKey]])*OutputTable[RecordedValue])),0)</f>
        <v>0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1" cm="1">
        <f t="array" ref="O31">MIN(IF((OutputTable[GroupByKey]=OutputTable[[#This Row],[GroupByKey]]),(OutputTable[GroupByKey]=OutputTable[[#This Row],[GroupByKey]])*OutputTable[RecordedValue]))</f>
        <v>0</v>
      </c>
      <c r="P31" cm="1">
        <f t="array" ref="P31">MAX(IF((OutputTable[GroupByKey]=OutputTable[[#This Row],[GroupByKey]]),(OutputTable[GroupByKey]=OutputTable[[#This Row],[GroupByKey]])*OutputTable[RecordedValue]))</f>
        <v>0</v>
      </c>
    </row>
    <row r="32" spans="1:16" x14ac:dyDescent="0.25">
      <c r="A32" t="s">
        <v>67</v>
      </c>
      <c r="B32" t="s">
        <v>70</v>
      </c>
      <c r="C32">
        <v>1</v>
      </c>
      <c r="D32" t="s">
        <v>203</v>
      </c>
      <c r="E32" t="s">
        <v>182</v>
      </c>
      <c r="F32" t="s">
        <v>136</v>
      </c>
      <c r="G32">
        <v>4195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ProjectKanban L1S2.NumberSeizedTotal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</v>
      </c>
      <c r="K32" s="5" cm="1">
        <f t="array" ref="K32">IFERROR(AVERAGE(IF((OutputTable[GroupByKey]=OutputTable[[#This Row],[GroupByKey]]),(OutputTable[GroupByKey]=OutputTable[[#This Row],[GroupByKey]])*OutputTable[RecordedValue])),0)</f>
        <v>4195</v>
      </c>
      <c r="L32" s="5" cm="1">
        <f t="array" ref="L32">IFERROR(_xlfn.STDEV.S(IF((OutputTable[GroupByKey]=OutputTable[[#This Row],[GroupByKey]]),(OutputTable[GroupByKey]=OutputTable[[#This Row],[GroupByKey]])*OutputTable[RecordedValue])),0)</f>
        <v>0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2" s="5" cm="1">
        <f t="array" ref="O32">MIN(IF((OutputTable[GroupByKey]=OutputTable[[#This Row],[GroupByKey]]),(OutputTable[GroupByKey]=OutputTable[[#This Row],[GroupByKey]])*OutputTable[RecordedValue]))</f>
        <v>4195</v>
      </c>
      <c r="P32" s="5" cm="1">
        <f t="array" ref="P32">MAX(IF((OutputTable[GroupByKey]=OutputTable[[#This Row],[GroupByKey]]),(OutputTable[GroupByKey]=OutputTable[[#This Row],[GroupByKey]])*OutputTable[RecordedValue]))</f>
        <v>4195</v>
      </c>
    </row>
    <row r="33" spans="1:16" x14ac:dyDescent="0.25">
      <c r="A33" t="s">
        <v>67</v>
      </c>
      <c r="B33" t="s">
        <v>70</v>
      </c>
      <c r="C33">
        <v>1</v>
      </c>
      <c r="D33" t="s">
        <v>204</v>
      </c>
      <c r="E33" t="s">
        <v>184</v>
      </c>
      <c r="F33" t="s">
        <v>136</v>
      </c>
      <c r="G33">
        <v>0.48970904361694501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ProjectKanban L1S2.ScheduledUtilizationScheduled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</v>
      </c>
      <c r="K33" s="5" cm="1">
        <f t="array" ref="K33">IFERROR(AVERAGE(IF((OutputTable[GroupByKey]=OutputTable[[#This Row],[GroupByKey]]),(OutputTable[GroupByKey]=OutputTable[[#This Row],[GroupByKey]])*OutputTable[RecordedValue])),0)</f>
        <v>0.48970904361694501</v>
      </c>
      <c r="L33" s="5" cm="1">
        <f t="array" ref="L33">IFERROR(_xlfn.STDEV.S(IF((OutputTable[GroupByKey]=OutputTable[[#This Row],[GroupByKey]]),(OutputTable[GroupByKey]=OutputTable[[#This Row],[GroupByKey]])*OutputTable[RecordedValue])),0)</f>
        <v>0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3" s="5" cm="1">
        <f t="array" ref="O33">MIN(IF((OutputTable[GroupByKey]=OutputTable[[#This Row],[GroupByKey]]),(OutputTable[GroupByKey]=OutputTable[[#This Row],[GroupByKey]])*OutputTable[RecordedValue]))</f>
        <v>0.48970904361694501</v>
      </c>
      <c r="P33" s="5" cm="1">
        <f t="array" ref="P33">MAX(IF((OutputTable[GroupByKey]=OutputTable[[#This Row],[GroupByKey]]),(OutputTable[GroupByKey]=OutputTable[[#This Row],[GroupByKey]])*OutputTable[RecordedValue]))</f>
        <v>0.48970904361694501</v>
      </c>
    </row>
    <row r="34" spans="1:16" x14ac:dyDescent="0.25">
      <c r="A34" t="s">
        <v>67</v>
      </c>
      <c r="B34" t="s">
        <v>70</v>
      </c>
      <c r="C34">
        <v>1</v>
      </c>
      <c r="D34" t="s">
        <v>205</v>
      </c>
      <c r="E34" t="s">
        <v>178</v>
      </c>
      <c r="F34" t="s">
        <v>136</v>
      </c>
      <c r="G34">
        <v>0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ProjectKanban L1S2.UsageCostUsage CostResource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</v>
      </c>
      <c r="K34" s="5" cm="1">
        <f t="array" ref="K34">IFERROR(AVERAGE(IF((OutputTable[GroupByKey]=OutputTable[[#This Row],[GroupByKey]]),(OutputTable[GroupByKey]=OutputTable[[#This Row],[GroupByKey]])*OutputTable[RecordedValue])),0)</f>
        <v>0</v>
      </c>
      <c r="L34" s="5" cm="1">
        <f t="array" ref="L34">IFERROR(_xlfn.STDEV.S(IF((OutputTable[GroupByKey]=OutputTable[[#This Row],[GroupByKey]]),(OutputTable[GroupByKey]=OutputTable[[#This Row],[GroupByKey]])*OutputTable[RecordedValue])),0)</f>
        <v>0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4" s="5" cm="1">
        <f t="array" ref="O34">MIN(IF((OutputTable[GroupByKey]=OutputTable[[#This Row],[GroupByKey]]),(OutputTable[GroupByKey]=OutputTable[[#This Row],[GroupByKey]])*OutputTable[RecordedValue]))</f>
        <v>0</v>
      </c>
      <c r="P34" s="5" cm="1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25">
      <c r="A35" t="s">
        <v>67</v>
      </c>
      <c r="B35" t="s">
        <v>70</v>
      </c>
      <c r="C35">
        <v>1</v>
      </c>
      <c r="D35" t="s">
        <v>206</v>
      </c>
      <c r="E35" t="s">
        <v>173</v>
      </c>
      <c r="F35" t="s">
        <v>136</v>
      </c>
      <c r="G35">
        <v>0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ProjectKanban L1S3.BusyCostBusy CostResource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</v>
      </c>
      <c r="K35" s="5" cm="1">
        <f t="array" ref="K35">IFERROR(AVERAGE(IF((OutputTable[GroupByKey]=OutputTable[[#This Row],[GroupByKey]]),(OutputTable[GroupByKey]=OutputTable[[#This Row],[GroupByKey]])*OutputTable[RecordedValue])),0)</f>
        <v>0</v>
      </c>
      <c r="L35" s="5" cm="1">
        <f t="array" ref="L35">IFERROR(_xlfn.STDEV.S(IF((OutputTable[GroupByKey]=OutputTable[[#This Row],[GroupByKey]]),(OutputTable[GroupByKey]=OutputTable[[#This Row],[GroupByKey]])*OutputTable[RecordedValue])),0)</f>
        <v>0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5" s="5" cm="1">
        <f t="array" ref="O35">MIN(IF((OutputTable[GroupByKey]=OutputTable[[#This Row],[GroupByKey]]),(OutputTable[GroupByKey]=OutputTable[[#This Row],[GroupByKey]])*OutputTable[RecordedValue]))</f>
        <v>0</v>
      </c>
      <c r="P35" s="5" cm="1">
        <f t="array" ref="P35">MAX(IF((OutputTable[GroupByKey]=OutputTable[[#This Row],[GroupByKey]]),(OutputTable[GroupByKey]=OutputTable[[#This Row],[GroupByKey]])*OutputTable[RecordedValue]))</f>
        <v>0</v>
      </c>
    </row>
    <row r="36" spans="1:16" x14ac:dyDescent="0.25">
      <c r="A36" t="s">
        <v>67</v>
      </c>
      <c r="B36" t="s">
        <v>70</v>
      </c>
      <c r="C36">
        <v>1</v>
      </c>
      <c r="D36" t="s">
        <v>207</v>
      </c>
      <c r="E36" t="s">
        <v>175</v>
      </c>
      <c r="F36" t="s">
        <v>136</v>
      </c>
      <c r="G36">
        <v>0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ProjectKanban L1S3.IdleCostIdle CostResource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</v>
      </c>
      <c r="K36" s="5" cm="1">
        <f t="array" ref="K36">IFERROR(AVERAGE(IF((OutputTable[GroupByKey]=OutputTable[[#This Row],[GroupByKey]]),(OutputTable[GroupByKey]=OutputTable[[#This Row],[GroupByKey]])*OutputTable[RecordedValue])),0)</f>
        <v>0</v>
      </c>
      <c r="L36" s="5" cm="1">
        <f t="array" ref="L36">IFERROR(_xlfn.STDEV.S(IF((OutputTable[GroupByKey]=OutputTable[[#This Row],[GroupByKey]]),(OutputTable[GroupByKey]=OutputTable[[#This Row],[GroupByKey]])*OutputTable[RecordedValue])),0)</f>
        <v>0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6" s="5" cm="1">
        <f t="array" ref="O36">MIN(IF((OutputTable[GroupByKey]=OutputTable[[#This Row],[GroupByKey]]),(OutputTable[GroupByKey]=OutputTable[[#This Row],[GroupByKey]])*OutputTable[RecordedValue]))</f>
        <v>0</v>
      </c>
      <c r="P36" s="5" cm="1">
        <f t="array" ref="P36">MAX(IF((OutputTable[GroupByKey]=OutputTable[[#This Row],[GroupByKey]]),(OutputTable[GroupByKey]=OutputTable[[#This Row],[GroupByKey]])*OutputTable[RecordedValue]))</f>
        <v>0</v>
      </c>
    </row>
    <row r="37" spans="1:16" x14ac:dyDescent="0.25">
      <c r="A37" t="s">
        <v>67</v>
      </c>
      <c r="B37" t="s">
        <v>70</v>
      </c>
      <c r="C37">
        <v>1</v>
      </c>
      <c r="D37" t="s">
        <v>208</v>
      </c>
      <c r="E37" t="s">
        <v>182</v>
      </c>
      <c r="F37" t="s">
        <v>136</v>
      </c>
      <c r="G37">
        <v>4193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ProjectKanban L1S3.NumberSeizedTotal Number SeizedResource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</v>
      </c>
      <c r="K37" s="5" cm="1">
        <f t="array" ref="K37">IFERROR(AVERAGE(IF((OutputTable[GroupByKey]=OutputTable[[#This Row],[GroupByKey]]),(OutputTable[GroupByKey]=OutputTable[[#This Row],[GroupByKey]])*OutputTable[RecordedValue])),0)</f>
        <v>4193</v>
      </c>
      <c r="L37" s="5" cm="1">
        <f t="array" ref="L37">IFERROR(_xlfn.STDEV.S(IF((OutputTable[GroupByKey]=OutputTable[[#This Row],[GroupByKey]]),(OutputTable[GroupByKey]=OutputTable[[#This Row],[GroupByKey]])*OutputTable[RecordedValue])),0)</f>
        <v>0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7" s="5" cm="1">
        <f t="array" ref="O37">MIN(IF((OutputTable[GroupByKey]=OutputTable[[#This Row],[GroupByKey]]),(OutputTable[GroupByKey]=OutputTable[[#This Row],[GroupByKey]])*OutputTable[RecordedValue]))</f>
        <v>4193</v>
      </c>
      <c r="P37" s="5" cm="1">
        <f t="array" ref="P37">MAX(IF((OutputTable[GroupByKey]=OutputTable[[#This Row],[GroupByKey]]),(OutputTable[GroupByKey]=OutputTable[[#This Row],[GroupByKey]])*OutputTable[RecordedValue]))</f>
        <v>4193</v>
      </c>
    </row>
    <row r="38" spans="1:16" x14ac:dyDescent="0.25">
      <c r="A38" t="s">
        <v>67</v>
      </c>
      <c r="B38" t="s">
        <v>70</v>
      </c>
      <c r="C38">
        <v>1</v>
      </c>
      <c r="D38" t="s">
        <v>209</v>
      </c>
      <c r="E38" t="s">
        <v>184</v>
      </c>
      <c r="F38" t="s">
        <v>136</v>
      </c>
      <c r="G38">
        <v>0.40981440879307901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ProjectKanban L1S3.ScheduledUtilizationScheduled UtilizationResource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</v>
      </c>
      <c r="K38" s="5" cm="1">
        <f t="array" ref="K38">IFERROR(AVERAGE(IF((OutputTable[GroupByKey]=OutputTable[[#This Row],[GroupByKey]]),(OutputTable[GroupByKey]=OutputTable[[#This Row],[GroupByKey]])*OutputTable[RecordedValue])),0)</f>
        <v>0.40981440879307901</v>
      </c>
      <c r="L38" s="5" cm="1">
        <f t="array" ref="L38">IFERROR(_xlfn.STDEV.S(IF((OutputTable[GroupByKey]=OutputTable[[#This Row],[GroupByKey]]),(OutputTable[GroupByKey]=OutputTable[[#This Row],[GroupByKey]])*OutputTable[RecordedValue])),0)</f>
        <v>0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8" s="5" cm="1">
        <f t="array" ref="O38">MIN(IF((OutputTable[GroupByKey]=OutputTable[[#This Row],[GroupByKey]]),(OutputTable[GroupByKey]=OutputTable[[#This Row],[GroupByKey]])*OutputTable[RecordedValue]))</f>
        <v>0.40981440879307901</v>
      </c>
      <c r="P38" s="5" cm="1">
        <f t="array" ref="P38">MAX(IF((OutputTable[GroupByKey]=OutputTable[[#This Row],[GroupByKey]]),(OutputTable[GroupByKey]=OutputTable[[#This Row],[GroupByKey]])*OutputTable[RecordedValue]))</f>
        <v>0.40981440879307901</v>
      </c>
    </row>
    <row r="39" spans="1:16" x14ac:dyDescent="0.25">
      <c r="A39" t="s">
        <v>67</v>
      </c>
      <c r="B39" t="s">
        <v>70</v>
      </c>
      <c r="C39">
        <v>1</v>
      </c>
      <c r="D39" t="s">
        <v>210</v>
      </c>
      <c r="E39" t="s">
        <v>178</v>
      </c>
      <c r="F39" t="s">
        <v>136</v>
      </c>
      <c r="G39">
        <v>0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ProjectKanban L1S3.UsageCostUsage CostResource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</v>
      </c>
      <c r="K39" s="5" cm="1">
        <f t="array" ref="K39">IFERROR(AVERAGE(IF((OutputTable[GroupByKey]=OutputTable[[#This Row],[GroupByKey]]),(OutputTable[GroupByKey]=OutputTable[[#This Row],[GroupByKey]])*OutputTable[RecordedValue])),0)</f>
        <v>0</v>
      </c>
      <c r="L39" s="5" cm="1">
        <f t="array" ref="L39">IFERROR(_xlfn.STDEV.S(IF((OutputTable[GroupByKey]=OutputTable[[#This Row],[GroupByKey]]),(OutputTable[GroupByKey]=OutputTable[[#This Row],[GroupByKey]])*OutputTable[RecordedValue])),0)</f>
        <v>0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9" s="5" cm="1">
        <f t="array" ref="O39">MIN(IF((OutputTable[GroupByKey]=OutputTable[[#This Row],[GroupByKey]]),(OutputTable[GroupByKey]=OutputTable[[#This Row],[GroupByKey]])*OutputTable[RecordedValue]))</f>
        <v>0</v>
      </c>
      <c r="P39" s="5" cm="1">
        <f t="array" ref="P39">MAX(IF((OutputTable[GroupByKey]=OutputTable[[#This Row],[GroupByKey]]),(OutputTable[GroupByKey]=OutputTable[[#This Row],[GroupByKey]])*OutputTable[RecordedValue]))</f>
        <v>0</v>
      </c>
    </row>
    <row r="40" spans="1:16" x14ac:dyDescent="0.25">
      <c r="A40" t="s">
        <v>67</v>
      </c>
      <c r="B40" t="s">
        <v>70</v>
      </c>
      <c r="C40">
        <v>1</v>
      </c>
      <c r="D40" t="s">
        <v>211</v>
      </c>
      <c r="E40" t="s">
        <v>173</v>
      </c>
      <c r="F40" t="s">
        <v>136</v>
      </c>
      <c r="G40">
        <v>0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ProjectKanban L2S1.BusyCostBusy CostResource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</v>
      </c>
      <c r="K40" s="5" cm="1">
        <f t="array" ref="K40">IFERROR(AVERAGE(IF((OutputTable[GroupByKey]=OutputTable[[#This Row],[GroupByKey]]),(OutputTable[GroupByKey]=OutputTable[[#This Row],[GroupByKey]])*OutputTable[RecordedValue])),0)</f>
        <v>0</v>
      </c>
      <c r="L40" s="5" cm="1">
        <f t="array" ref="L40">IFERROR(_xlfn.STDEV.S(IF((OutputTable[GroupByKey]=OutputTable[[#This Row],[GroupByKey]]),(OutputTable[GroupByKey]=OutputTable[[#This Row],[GroupByKey]])*OutputTable[RecordedValue])),0)</f>
        <v>0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0" s="5" cm="1">
        <f t="array" ref="O40">MIN(IF((OutputTable[GroupByKey]=OutputTable[[#This Row],[GroupByKey]]),(OutputTable[GroupByKey]=OutputTable[[#This Row],[GroupByKey]])*OutputTable[RecordedValue]))</f>
        <v>0</v>
      </c>
      <c r="P40" s="5" cm="1">
        <f t="array" ref="P40">MAX(IF((OutputTable[GroupByKey]=OutputTable[[#This Row],[GroupByKey]]),(OutputTable[GroupByKey]=OutputTable[[#This Row],[GroupByKey]])*OutputTable[RecordedValue]))</f>
        <v>0</v>
      </c>
    </row>
    <row r="41" spans="1:16" x14ac:dyDescent="0.25">
      <c r="A41" t="s">
        <v>67</v>
      </c>
      <c r="B41" t="s">
        <v>70</v>
      </c>
      <c r="C41">
        <v>1</v>
      </c>
      <c r="D41" t="s">
        <v>212</v>
      </c>
      <c r="E41" t="s">
        <v>175</v>
      </c>
      <c r="F41" t="s">
        <v>136</v>
      </c>
      <c r="G41">
        <v>0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ProjectKanban L2S1.IdleCostIdle CostResource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</v>
      </c>
      <c r="K41" s="5" cm="1">
        <f t="array" ref="K41">IFERROR(AVERAGE(IF((OutputTable[GroupByKey]=OutputTable[[#This Row],[GroupByKey]]),(OutputTable[GroupByKey]=OutputTable[[#This Row],[GroupByKey]])*OutputTable[RecordedValue])),0)</f>
        <v>0</v>
      </c>
      <c r="L41" s="5" cm="1">
        <f t="array" ref="L41">IFERROR(_xlfn.STDEV.S(IF((OutputTable[GroupByKey]=OutputTable[[#This Row],[GroupByKey]]),(OutputTable[GroupByKey]=OutputTable[[#This Row],[GroupByKey]])*OutputTable[RecordedValue])),0)</f>
        <v>0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67</v>
      </c>
      <c r="B42" t="s">
        <v>70</v>
      </c>
      <c r="C42">
        <v>1</v>
      </c>
      <c r="D42" t="s">
        <v>213</v>
      </c>
      <c r="E42" t="s">
        <v>182</v>
      </c>
      <c r="F42" t="s">
        <v>136</v>
      </c>
      <c r="G42">
        <v>2024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ProjectKanban L2S1.NumberSeizedTotal Number SeizedResource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</v>
      </c>
      <c r="K42" s="5" cm="1">
        <f t="array" ref="K42">IFERROR(AVERAGE(IF((OutputTable[GroupByKey]=OutputTable[[#This Row],[GroupByKey]]),(OutputTable[GroupByKey]=OutputTable[[#This Row],[GroupByKey]])*OutputTable[RecordedValue])),0)</f>
        <v>2024</v>
      </c>
      <c r="L42" s="5" cm="1">
        <f t="array" ref="L42">IFERROR(_xlfn.STDEV.S(IF((OutputTable[GroupByKey]=OutputTable[[#This Row],[GroupByKey]]),(OutputTable[GroupByKey]=OutputTable[[#This Row],[GroupByKey]])*OutputTable[RecordedValue])),0)</f>
        <v>0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2" s="5" cm="1">
        <f t="array" ref="O42">MIN(IF((OutputTable[GroupByKey]=OutputTable[[#This Row],[GroupByKey]]),(OutputTable[GroupByKey]=OutputTable[[#This Row],[GroupByKey]])*OutputTable[RecordedValue]))</f>
        <v>2024</v>
      </c>
      <c r="P42" s="5" cm="1">
        <f t="array" ref="P42">MAX(IF((OutputTable[GroupByKey]=OutputTable[[#This Row],[GroupByKey]]),(OutputTable[GroupByKey]=OutputTable[[#This Row],[GroupByKey]])*OutputTable[RecordedValue]))</f>
        <v>2024</v>
      </c>
    </row>
    <row r="43" spans="1:16" x14ac:dyDescent="0.25">
      <c r="A43" t="s">
        <v>67</v>
      </c>
      <c r="B43" t="s">
        <v>70</v>
      </c>
      <c r="C43">
        <v>1</v>
      </c>
      <c r="D43" t="s">
        <v>214</v>
      </c>
      <c r="E43" t="s">
        <v>184</v>
      </c>
      <c r="F43" t="s">
        <v>136</v>
      </c>
      <c r="G43">
        <v>0.99437007322419102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ProjectKanban L2S1.ScheduledUtilizationScheduled UtilizationResource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</v>
      </c>
      <c r="K43" s="5" cm="1">
        <f t="array" ref="K43">IFERROR(AVERAGE(IF((OutputTable[GroupByKey]=OutputTable[[#This Row],[GroupByKey]]),(OutputTable[GroupByKey]=OutputTable[[#This Row],[GroupByKey]])*OutputTable[RecordedValue])),0)</f>
        <v>0.99437007322419102</v>
      </c>
      <c r="L43" s="5" cm="1">
        <f t="array" ref="L43">IFERROR(_xlfn.STDEV.S(IF((OutputTable[GroupByKey]=OutputTable[[#This Row],[GroupByKey]]),(OutputTable[GroupByKey]=OutputTable[[#This Row],[GroupByKey]])*OutputTable[RecordedValue])),0)</f>
        <v>0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3" s="5" cm="1">
        <f t="array" ref="O43">MIN(IF((OutputTable[GroupByKey]=OutputTable[[#This Row],[GroupByKey]]),(OutputTable[GroupByKey]=OutputTable[[#This Row],[GroupByKey]])*OutputTable[RecordedValue]))</f>
        <v>0.99437007322419102</v>
      </c>
      <c r="P43" s="5" cm="1">
        <f t="array" ref="P43">MAX(IF((OutputTable[GroupByKey]=OutputTable[[#This Row],[GroupByKey]]),(OutputTable[GroupByKey]=OutputTable[[#This Row],[GroupByKey]])*OutputTable[RecordedValue]))</f>
        <v>0.99437007322419102</v>
      </c>
    </row>
    <row r="44" spans="1:16" x14ac:dyDescent="0.25">
      <c r="A44" t="s">
        <v>67</v>
      </c>
      <c r="B44" t="s">
        <v>70</v>
      </c>
      <c r="C44">
        <v>1</v>
      </c>
      <c r="D44" t="s">
        <v>215</v>
      </c>
      <c r="E44" t="s">
        <v>178</v>
      </c>
      <c r="F44" t="s">
        <v>136</v>
      </c>
      <c r="G44">
        <v>0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ProjectKanban L2S1.UsageCostUsage CostResource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</v>
      </c>
      <c r="K44" s="5" cm="1">
        <f t="array" ref="K44">IFERROR(AVERAGE(IF((OutputTable[GroupByKey]=OutputTable[[#This Row],[GroupByKey]]),(OutputTable[GroupByKey]=OutputTable[[#This Row],[GroupByKey]])*OutputTable[RecordedValue])),0)</f>
        <v>0</v>
      </c>
      <c r="L44" s="5" cm="1">
        <f t="array" ref="L44">IFERROR(_xlfn.STDEV.S(IF((OutputTable[GroupByKey]=OutputTable[[#This Row],[GroupByKey]]),(OutputTable[GroupByKey]=OutputTable[[#This Row],[GroupByKey]])*OutputTable[RecordedValue])),0)</f>
        <v>0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4" s="5" cm="1">
        <f t="array" ref="O44">MIN(IF((OutputTable[GroupByKey]=OutputTable[[#This Row],[GroupByKey]]),(OutputTable[GroupByKey]=OutputTable[[#This Row],[GroupByKey]])*OutputTable[RecordedValue]))</f>
        <v>0</v>
      </c>
      <c r="P44" s="5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67</v>
      </c>
      <c r="B45" t="s">
        <v>70</v>
      </c>
      <c r="C45">
        <v>1</v>
      </c>
      <c r="D45" t="s">
        <v>216</v>
      </c>
      <c r="E45" t="s">
        <v>173</v>
      </c>
      <c r="F45" t="s">
        <v>136</v>
      </c>
      <c r="G45">
        <v>0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ProjectKanban L2S2.BusyCostBusy CostResource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</v>
      </c>
      <c r="K45" s="5" cm="1">
        <f t="array" ref="K45">IFERROR(AVERAGE(IF((OutputTable[GroupByKey]=OutputTable[[#This Row],[GroupByKey]]),(OutputTable[GroupByKey]=OutputTable[[#This Row],[GroupByKey]])*OutputTable[RecordedValue])),0)</f>
        <v>0</v>
      </c>
      <c r="L45" s="5" cm="1">
        <f t="array" ref="L45">IFERROR(_xlfn.STDEV.S(IF((OutputTable[GroupByKey]=OutputTable[[#This Row],[GroupByKey]]),(OutputTable[GroupByKey]=OutputTable[[#This Row],[GroupByKey]])*OutputTable[RecordedValue])),0)</f>
        <v>0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5" s="5" cm="1">
        <f t="array" ref="O45">MIN(IF((OutputTable[GroupByKey]=OutputTable[[#This Row],[GroupByKey]]),(OutputTable[GroupByKey]=OutputTable[[#This Row],[GroupByKey]])*OutputTable[RecordedValue]))</f>
        <v>0</v>
      </c>
      <c r="P45" s="5" cm="1">
        <f t="array" ref="P45">MAX(IF((OutputTable[GroupByKey]=OutputTable[[#This Row],[GroupByKey]]),(OutputTable[GroupByKey]=OutputTable[[#This Row],[GroupByKey]])*OutputTable[RecordedValue]))</f>
        <v>0</v>
      </c>
    </row>
    <row r="46" spans="1:16" x14ac:dyDescent="0.25">
      <c r="A46" t="s">
        <v>67</v>
      </c>
      <c r="B46" t="s">
        <v>70</v>
      </c>
      <c r="C46">
        <v>1</v>
      </c>
      <c r="D46" t="s">
        <v>217</v>
      </c>
      <c r="E46" t="s">
        <v>175</v>
      </c>
      <c r="F46" t="s">
        <v>136</v>
      </c>
      <c r="G46">
        <v>0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ProjectKanban L2S2.IdleCostIdle CostResource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</v>
      </c>
      <c r="K46" s="5" cm="1">
        <f t="array" ref="K46">IFERROR(AVERAGE(IF((OutputTable[GroupByKey]=OutputTable[[#This Row],[GroupByKey]]),(OutputTable[GroupByKey]=OutputTable[[#This Row],[GroupByKey]])*OutputTable[RecordedValue])),0)</f>
        <v>0</v>
      </c>
      <c r="L46" s="5" cm="1">
        <f t="array" ref="L46">IFERROR(_xlfn.STDEV.S(IF((OutputTable[GroupByKey]=OutputTable[[#This Row],[GroupByKey]]),(OutputTable[GroupByKey]=OutputTable[[#This Row],[GroupByKey]])*OutputTable[RecordedValue])),0)</f>
        <v>0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6" s="5" cm="1">
        <f t="array" ref="O46">MIN(IF((OutputTable[GroupByKey]=OutputTable[[#This Row],[GroupByKey]]),(OutputTable[GroupByKey]=OutputTable[[#This Row],[GroupByKey]])*OutputTable[RecordedValue]))</f>
        <v>0</v>
      </c>
      <c r="P46" s="5" cm="1">
        <f t="array" ref="P46">MAX(IF((OutputTable[GroupByKey]=OutputTable[[#This Row],[GroupByKey]]),(OutputTable[GroupByKey]=OutputTable[[#This Row],[GroupByKey]])*OutputTable[RecordedValue]))</f>
        <v>0</v>
      </c>
    </row>
    <row r="47" spans="1:16" x14ac:dyDescent="0.25">
      <c r="A47" t="s">
        <v>67</v>
      </c>
      <c r="B47" t="s">
        <v>70</v>
      </c>
      <c r="C47">
        <v>1</v>
      </c>
      <c r="D47" t="s">
        <v>218</v>
      </c>
      <c r="E47" t="s">
        <v>182</v>
      </c>
      <c r="F47" t="s">
        <v>136</v>
      </c>
      <c r="G47">
        <v>2022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ProjectKanban L2S2.NumberSeizedTotal Number SeizedResource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</v>
      </c>
      <c r="K47" s="5" cm="1">
        <f t="array" ref="K47">IFERROR(AVERAGE(IF((OutputTable[GroupByKey]=OutputTable[[#This Row],[GroupByKey]]),(OutputTable[GroupByKey]=OutputTable[[#This Row],[GroupByKey]])*OutputTable[RecordedValue])),0)</f>
        <v>2022</v>
      </c>
      <c r="L47" s="5" cm="1">
        <f t="array" ref="L47">IFERROR(_xlfn.STDEV.S(IF((OutputTable[GroupByKey]=OutputTable[[#This Row],[GroupByKey]]),(OutputTable[GroupByKey]=OutputTable[[#This Row],[GroupByKey]])*OutputTable[RecordedValue])),0)</f>
        <v>0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7" s="5" cm="1">
        <f t="array" ref="O47">MIN(IF((OutputTable[GroupByKey]=OutputTable[[#This Row],[GroupByKey]]),(OutputTable[GroupByKey]=OutputTable[[#This Row],[GroupByKey]])*OutputTable[RecordedValue]))</f>
        <v>2022</v>
      </c>
      <c r="P47" s="5" cm="1">
        <f t="array" ref="P47">MAX(IF((OutputTable[GroupByKey]=OutputTable[[#This Row],[GroupByKey]]),(OutputTable[GroupByKey]=OutputTable[[#This Row],[GroupByKey]])*OutputTable[RecordedValue]))</f>
        <v>2022</v>
      </c>
    </row>
    <row r="48" spans="1:16" x14ac:dyDescent="0.25">
      <c r="A48" t="s">
        <v>67</v>
      </c>
      <c r="B48" t="s">
        <v>70</v>
      </c>
      <c r="C48">
        <v>1</v>
      </c>
      <c r="D48" t="s">
        <v>219</v>
      </c>
      <c r="E48" t="s">
        <v>184</v>
      </c>
      <c r="F48" t="s">
        <v>136</v>
      </c>
      <c r="G48">
        <v>0.64915601926033095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ProjectKanban L2S2.ScheduledUtilizationScheduled UtilizationResource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</v>
      </c>
      <c r="K48" s="5" cm="1">
        <f t="array" ref="K48">IFERROR(AVERAGE(IF((OutputTable[GroupByKey]=OutputTable[[#This Row],[GroupByKey]]),(OutputTable[GroupByKey]=OutputTable[[#This Row],[GroupByKey]])*OutputTable[RecordedValue])),0)</f>
        <v>0.64915601926033095</v>
      </c>
      <c r="L48" s="5" cm="1">
        <f t="array" ref="L48">IFERROR(_xlfn.STDEV.S(IF((OutputTable[GroupByKey]=OutputTable[[#This Row],[GroupByKey]]),(OutputTable[GroupByKey]=OutputTable[[#This Row],[GroupByKey]])*OutputTable[RecordedValue])),0)</f>
        <v>0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8" s="5" cm="1">
        <f t="array" ref="O48">MIN(IF((OutputTable[GroupByKey]=OutputTable[[#This Row],[GroupByKey]]),(OutputTable[GroupByKey]=OutputTable[[#This Row],[GroupByKey]])*OutputTable[RecordedValue]))</f>
        <v>0.64915601926033095</v>
      </c>
      <c r="P48" s="5" cm="1">
        <f t="array" ref="P48">MAX(IF((OutputTable[GroupByKey]=OutputTable[[#This Row],[GroupByKey]]),(OutputTable[GroupByKey]=OutputTable[[#This Row],[GroupByKey]])*OutputTable[RecordedValue]))</f>
        <v>0.64915601926033095</v>
      </c>
    </row>
    <row r="49" spans="1:16" x14ac:dyDescent="0.25">
      <c r="A49" t="s">
        <v>67</v>
      </c>
      <c r="B49" t="s">
        <v>70</v>
      </c>
      <c r="C49">
        <v>1</v>
      </c>
      <c r="D49" t="s">
        <v>220</v>
      </c>
      <c r="E49" t="s">
        <v>178</v>
      </c>
      <c r="F49" t="s">
        <v>136</v>
      </c>
      <c r="G49">
        <v>0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ProjectKanban L2S2.UsageCostUsage CostResource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</v>
      </c>
      <c r="K49" s="5" cm="1">
        <f t="array" ref="K49">IFERROR(AVERAGE(IF((OutputTable[GroupByKey]=OutputTable[[#This Row],[GroupByKey]]),(OutputTable[GroupByKey]=OutputTable[[#This Row],[GroupByKey]])*OutputTable[RecordedValue])),0)</f>
        <v>0</v>
      </c>
      <c r="L49" s="5" cm="1">
        <f t="array" ref="L49">IFERROR(_xlfn.STDEV.S(IF((OutputTable[GroupByKey]=OutputTable[[#This Row],[GroupByKey]]),(OutputTable[GroupByKey]=OutputTable[[#This Row],[GroupByKey]])*OutputTable[RecordedValue])),0)</f>
        <v>0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9" s="5" cm="1">
        <f t="array" ref="O49">MIN(IF((OutputTable[GroupByKey]=OutputTable[[#This Row],[GroupByKey]]),(OutputTable[GroupByKey]=OutputTable[[#This Row],[GroupByKey]])*OutputTable[RecordedValue]))</f>
        <v>0</v>
      </c>
      <c r="P49" s="5" cm="1">
        <f t="array" ref="P49">MAX(IF((OutputTable[GroupByKey]=OutputTable[[#This Row],[GroupByKey]]),(OutputTable[GroupByKey]=OutputTable[[#This Row],[GroupByKey]])*OutputTable[RecordedValue]))</f>
        <v>0</v>
      </c>
    </row>
    <row r="50" spans="1:16" x14ac:dyDescent="0.25">
      <c r="A50" t="s">
        <v>67</v>
      </c>
      <c r="B50" t="s">
        <v>70</v>
      </c>
      <c r="C50">
        <v>1</v>
      </c>
      <c r="D50" t="s">
        <v>221</v>
      </c>
      <c r="E50" t="s">
        <v>173</v>
      </c>
      <c r="F50" t="s">
        <v>136</v>
      </c>
      <c r="G50">
        <v>0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ProjectKanban L2S3.BusyCostBusy CostResource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</v>
      </c>
      <c r="K50" s="5" cm="1">
        <f t="array" ref="K50">IFERROR(AVERAGE(IF((OutputTable[GroupByKey]=OutputTable[[#This Row],[GroupByKey]]),(OutputTable[GroupByKey]=OutputTable[[#This Row],[GroupByKey]])*OutputTable[RecordedValue])),0)</f>
        <v>0</v>
      </c>
      <c r="L50" s="5" cm="1">
        <f t="array" ref="L50">IFERROR(_xlfn.STDEV.S(IF((OutputTable[GroupByKey]=OutputTable[[#This Row],[GroupByKey]]),(OutputTable[GroupByKey]=OutputTable[[#This Row],[GroupByKey]])*OutputTable[RecordedValue])),0)</f>
        <v>0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0" s="5" cm="1">
        <f t="array" ref="O50">MIN(IF((OutputTable[GroupByKey]=OutputTable[[#This Row],[GroupByKey]]),(OutputTable[GroupByKey]=OutputTable[[#This Row],[GroupByKey]])*OutputTable[RecordedValue]))</f>
        <v>0</v>
      </c>
      <c r="P50" s="5" cm="1">
        <f t="array" ref="P50">MAX(IF((OutputTable[GroupByKey]=OutputTable[[#This Row],[GroupByKey]]),(OutputTable[GroupByKey]=OutputTable[[#This Row],[GroupByKey]])*OutputTable[RecordedValue]))</f>
        <v>0</v>
      </c>
    </row>
    <row r="51" spans="1:16" x14ac:dyDescent="0.25">
      <c r="A51" t="s">
        <v>67</v>
      </c>
      <c r="B51" t="s">
        <v>70</v>
      </c>
      <c r="C51">
        <v>1</v>
      </c>
      <c r="D51" t="s">
        <v>222</v>
      </c>
      <c r="E51" t="s">
        <v>175</v>
      </c>
      <c r="F51" t="s">
        <v>136</v>
      </c>
      <c r="G51">
        <v>0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ProjectKanban L2S3.IdleCostIdle CostResource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</v>
      </c>
      <c r="K51" s="5" cm="1">
        <f t="array" ref="K51">IFERROR(AVERAGE(IF((OutputTable[GroupByKey]=OutputTable[[#This Row],[GroupByKey]]),(OutputTable[GroupByKey]=OutputTable[[#This Row],[GroupByKey]])*OutputTable[RecordedValue])),0)</f>
        <v>0</v>
      </c>
      <c r="L51" s="5" cm="1">
        <f t="array" ref="L51">IFERROR(_xlfn.STDEV.S(IF((OutputTable[GroupByKey]=OutputTable[[#This Row],[GroupByKey]]),(OutputTable[GroupByKey]=OutputTable[[#This Row],[GroupByKey]])*OutputTable[RecordedValue])),0)</f>
        <v>0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1" s="5" cm="1">
        <f t="array" ref="O51">MIN(IF((OutputTable[GroupByKey]=OutputTable[[#This Row],[GroupByKey]]),(OutputTable[GroupByKey]=OutputTable[[#This Row],[GroupByKey]])*OutputTable[RecordedValue]))</f>
        <v>0</v>
      </c>
      <c r="P51" s="5" cm="1">
        <f t="array" ref="P51">MAX(IF((OutputTable[GroupByKey]=OutputTable[[#This Row],[GroupByKey]]),(OutputTable[GroupByKey]=OutputTable[[#This Row],[GroupByKey]])*OutputTable[RecordedValue]))</f>
        <v>0</v>
      </c>
    </row>
    <row r="52" spans="1:16" x14ac:dyDescent="0.25">
      <c r="A52" t="s">
        <v>67</v>
      </c>
      <c r="B52" t="s">
        <v>70</v>
      </c>
      <c r="C52">
        <v>1</v>
      </c>
      <c r="D52" t="s">
        <v>223</v>
      </c>
      <c r="E52" t="s">
        <v>182</v>
      </c>
      <c r="F52" t="s">
        <v>136</v>
      </c>
      <c r="G52">
        <v>2018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ProjectKanban L2S3.NumberSeizedTotal Number SeizedResource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</v>
      </c>
      <c r="K52" s="5" cm="1">
        <f t="array" ref="K52">IFERROR(AVERAGE(IF((OutputTable[GroupByKey]=OutputTable[[#This Row],[GroupByKey]]),(OutputTable[GroupByKey]=OutputTable[[#This Row],[GroupByKey]])*OutputTable[RecordedValue])),0)</f>
        <v>2018</v>
      </c>
      <c r="L52" s="5" cm="1">
        <f t="array" ref="L52">IFERROR(_xlfn.STDEV.S(IF((OutputTable[GroupByKey]=OutputTable[[#This Row],[GroupByKey]]),(OutputTable[GroupByKey]=OutputTable[[#This Row],[GroupByKey]])*OutputTable[RecordedValue])),0)</f>
        <v>0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2" s="5" cm="1">
        <f t="array" ref="O52">MIN(IF((OutputTable[GroupByKey]=OutputTable[[#This Row],[GroupByKey]]),(OutputTable[GroupByKey]=OutputTable[[#This Row],[GroupByKey]])*OutputTable[RecordedValue]))</f>
        <v>2018</v>
      </c>
      <c r="P52" s="5" cm="1">
        <f t="array" ref="P52">MAX(IF((OutputTable[GroupByKey]=OutputTable[[#This Row],[GroupByKey]]),(OutputTable[GroupByKey]=OutputTable[[#This Row],[GroupByKey]])*OutputTable[RecordedValue]))</f>
        <v>2018</v>
      </c>
    </row>
    <row r="53" spans="1:16" x14ac:dyDescent="0.25">
      <c r="A53" t="s">
        <v>67</v>
      </c>
      <c r="B53" t="s">
        <v>70</v>
      </c>
      <c r="C53">
        <v>1</v>
      </c>
      <c r="D53" t="s">
        <v>224</v>
      </c>
      <c r="E53" t="s">
        <v>184</v>
      </c>
      <c r="F53" t="s">
        <v>136</v>
      </c>
      <c r="G53">
        <v>0.66607687117899494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ProjectKanban L2S3.ScheduledUtilizationScheduled UtilizationResource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</v>
      </c>
      <c r="K53" s="5" cm="1">
        <f t="array" ref="K53">IFERROR(AVERAGE(IF((OutputTable[GroupByKey]=OutputTable[[#This Row],[GroupByKey]]),(OutputTable[GroupByKey]=OutputTable[[#This Row],[GroupByKey]])*OutputTable[RecordedValue])),0)</f>
        <v>0.66607687117899494</v>
      </c>
      <c r="L53" s="5" cm="1">
        <f t="array" ref="L53">IFERROR(_xlfn.STDEV.S(IF((OutputTable[GroupByKey]=OutputTable[[#This Row],[GroupByKey]]),(OutputTable[GroupByKey]=OutputTable[[#This Row],[GroupByKey]])*OutputTable[RecordedValue])),0)</f>
        <v>0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3" s="5" cm="1">
        <f t="array" ref="O53">MIN(IF((OutputTable[GroupByKey]=OutputTable[[#This Row],[GroupByKey]]),(OutputTable[GroupByKey]=OutputTable[[#This Row],[GroupByKey]])*OutputTable[RecordedValue]))</f>
        <v>0.66607687117899494</v>
      </c>
      <c r="P53" s="5" cm="1">
        <f t="array" ref="P53">MAX(IF((OutputTable[GroupByKey]=OutputTable[[#This Row],[GroupByKey]]),(OutputTable[GroupByKey]=OutputTable[[#This Row],[GroupByKey]])*OutputTable[RecordedValue]))</f>
        <v>0.66607687117899494</v>
      </c>
    </row>
    <row r="54" spans="1:16" x14ac:dyDescent="0.25">
      <c r="A54" t="s">
        <v>67</v>
      </c>
      <c r="B54" t="s">
        <v>70</v>
      </c>
      <c r="C54">
        <v>1</v>
      </c>
      <c r="D54" t="s">
        <v>225</v>
      </c>
      <c r="E54" t="s">
        <v>178</v>
      </c>
      <c r="F54" t="s">
        <v>136</v>
      </c>
      <c r="G54">
        <v>0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ProjectKanban L2S3.UsageCostUsage CostResource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</v>
      </c>
      <c r="K54" s="5" cm="1">
        <f t="array" ref="K54">IFERROR(AVERAGE(IF((OutputTable[GroupByKey]=OutputTable[[#This Row],[GroupByKey]]),(OutputTable[GroupByKey]=OutputTable[[#This Row],[GroupByKey]])*OutputTable[RecordedValue])),0)</f>
        <v>0</v>
      </c>
      <c r="L54" s="5" cm="1">
        <f t="array" ref="L54">IFERROR(_xlfn.STDEV.S(IF((OutputTable[GroupByKey]=OutputTable[[#This Row],[GroupByKey]]),(OutputTable[GroupByKey]=OutputTable[[#This Row],[GroupByKey]])*OutputTable[RecordedValue])),0)</f>
        <v>0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4" s="5" cm="1">
        <f t="array" ref="O54">MIN(IF((OutputTable[GroupByKey]=OutputTable[[#This Row],[GroupByKey]]),(OutputTable[GroupByKey]=OutputTable[[#This Row],[GroupByKey]])*OutputTable[RecordedValue]))</f>
        <v>0</v>
      </c>
      <c r="P54" s="5" cm="1">
        <f t="array" ref="P54">MAX(IF((OutputTable[GroupByKey]=OutputTable[[#This Row],[GroupByKey]]),(OutputTable[GroupByKey]=OutputTable[[#This Row],[GroupByKey]])*OutputTable[RecordedValue]))</f>
        <v>0</v>
      </c>
    </row>
    <row r="55" spans="1:16" x14ac:dyDescent="0.25">
      <c r="A55" t="s">
        <v>67</v>
      </c>
      <c r="B55" t="s">
        <v>70</v>
      </c>
      <c r="C55">
        <v>1</v>
      </c>
      <c r="D55" t="s">
        <v>226</v>
      </c>
      <c r="E55" t="s">
        <v>173</v>
      </c>
      <c r="F55" t="s">
        <v>136</v>
      </c>
      <c r="G55">
        <v>0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ProjectKanban L2S4.BusyCostBusy CostResource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</v>
      </c>
      <c r="K55" s="5" cm="1">
        <f t="array" ref="K55">IFERROR(AVERAGE(IF((OutputTable[GroupByKey]=OutputTable[[#This Row],[GroupByKey]]),(OutputTable[GroupByKey]=OutputTable[[#This Row],[GroupByKey]])*OutputTable[RecordedValue])),0)</f>
        <v>0</v>
      </c>
      <c r="L55" s="5" cm="1">
        <f t="array" ref="L55">IFERROR(_xlfn.STDEV.S(IF((OutputTable[GroupByKey]=OutputTable[[#This Row],[GroupByKey]]),(OutputTable[GroupByKey]=OutputTable[[#This Row],[GroupByKey]])*OutputTable[RecordedValue])),0)</f>
        <v>0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5" s="5" cm="1">
        <f t="array" ref="O55">MIN(IF((OutputTable[GroupByKey]=OutputTable[[#This Row],[GroupByKey]]),(OutputTable[GroupByKey]=OutputTable[[#This Row],[GroupByKey]])*OutputTable[RecordedValue]))</f>
        <v>0</v>
      </c>
      <c r="P55" s="5" cm="1">
        <f t="array" ref="P55">MAX(IF((OutputTable[GroupByKey]=OutputTable[[#This Row],[GroupByKey]]),(OutputTable[GroupByKey]=OutputTable[[#This Row],[GroupByKey]])*OutputTable[RecordedValue]))</f>
        <v>0</v>
      </c>
    </row>
    <row r="56" spans="1:16" x14ac:dyDescent="0.25">
      <c r="A56" t="s">
        <v>67</v>
      </c>
      <c r="B56" t="s">
        <v>70</v>
      </c>
      <c r="C56">
        <v>1</v>
      </c>
      <c r="D56" t="s">
        <v>227</v>
      </c>
      <c r="E56" t="s">
        <v>175</v>
      </c>
      <c r="F56" t="s">
        <v>136</v>
      </c>
      <c r="G56">
        <v>0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ProjectKanban L2S4.IdleCostIdle CostResource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</v>
      </c>
      <c r="K56" s="5" cm="1">
        <f t="array" ref="K56">IFERROR(AVERAGE(IF((OutputTable[GroupByKey]=OutputTable[[#This Row],[GroupByKey]]),(OutputTable[GroupByKey]=OutputTable[[#This Row],[GroupByKey]])*OutputTable[RecordedValue])),0)</f>
        <v>0</v>
      </c>
      <c r="L56" s="5" cm="1">
        <f t="array" ref="L56">IFERROR(_xlfn.STDEV.S(IF((OutputTable[GroupByKey]=OutputTable[[#This Row],[GroupByKey]]),(OutputTable[GroupByKey]=OutputTable[[#This Row],[GroupByKey]])*OutputTable[RecordedValue])),0)</f>
        <v>0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6" s="5" cm="1">
        <f t="array" ref="O56">MIN(IF((OutputTable[GroupByKey]=OutputTable[[#This Row],[GroupByKey]]),(OutputTable[GroupByKey]=OutputTable[[#This Row],[GroupByKey]])*OutputTable[RecordedValue]))</f>
        <v>0</v>
      </c>
      <c r="P56" s="5" cm="1">
        <f t="array" ref="P56">MAX(IF((OutputTable[GroupByKey]=OutputTable[[#This Row],[GroupByKey]]),(OutputTable[GroupByKey]=OutputTable[[#This Row],[GroupByKey]])*OutputTable[RecordedValue]))</f>
        <v>0</v>
      </c>
    </row>
    <row r="57" spans="1:16" x14ac:dyDescent="0.25">
      <c r="A57" t="s">
        <v>67</v>
      </c>
      <c r="B57" t="s">
        <v>70</v>
      </c>
      <c r="C57">
        <v>1</v>
      </c>
      <c r="D57" t="s">
        <v>228</v>
      </c>
      <c r="E57" t="s">
        <v>182</v>
      </c>
      <c r="F57" t="s">
        <v>136</v>
      </c>
      <c r="G57">
        <v>2014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ProjectKanban L2S4.NumberSeizedTotal Number SeizedResource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</v>
      </c>
      <c r="K57" s="5" cm="1">
        <f t="array" ref="K57">IFERROR(AVERAGE(IF((OutputTable[GroupByKey]=OutputTable[[#This Row],[GroupByKey]]),(OutputTable[GroupByKey]=OutputTable[[#This Row],[GroupByKey]])*OutputTable[RecordedValue])),0)</f>
        <v>2014</v>
      </c>
      <c r="L57" s="5" cm="1">
        <f t="array" ref="L57">IFERROR(_xlfn.STDEV.S(IF((OutputTable[GroupByKey]=OutputTable[[#This Row],[GroupByKey]]),(OutputTable[GroupByKey]=OutputTable[[#This Row],[GroupByKey]])*OutputTable[RecordedValue])),0)</f>
        <v>0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7" s="5" cm="1">
        <f t="array" ref="O57">MIN(IF((OutputTable[GroupByKey]=OutputTable[[#This Row],[GroupByKey]]),(OutputTable[GroupByKey]=OutputTable[[#This Row],[GroupByKey]])*OutputTable[RecordedValue]))</f>
        <v>2014</v>
      </c>
      <c r="P57" s="5" cm="1">
        <f t="array" ref="P57">MAX(IF((OutputTable[GroupByKey]=OutputTable[[#This Row],[GroupByKey]]),(OutputTable[GroupByKey]=OutputTable[[#This Row],[GroupByKey]])*OutputTable[RecordedValue]))</f>
        <v>2014</v>
      </c>
    </row>
    <row r="58" spans="1:16" x14ac:dyDescent="0.25">
      <c r="A58" t="s">
        <v>67</v>
      </c>
      <c r="B58" t="s">
        <v>70</v>
      </c>
      <c r="C58">
        <v>1</v>
      </c>
      <c r="D58" t="s">
        <v>229</v>
      </c>
      <c r="E58" t="s">
        <v>184</v>
      </c>
      <c r="F58" t="s">
        <v>136</v>
      </c>
      <c r="G58">
        <v>0.33931560369556002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ProjectKanban L2S4.ScheduledUtilizationScheduled UtilizationResource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</v>
      </c>
      <c r="K58" s="5" cm="1">
        <f t="array" ref="K58">IFERROR(AVERAGE(IF((OutputTable[GroupByKey]=OutputTable[[#This Row],[GroupByKey]]),(OutputTable[GroupByKey]=OutputTable[[#This Row],[GroupByKey]])*OutputTable[RecordedValue])),0)</f>
        <v>0.33931560369556002</v>
      </c>
      <c r="L58" s="5" cm="1">
        <f t="array" ref="L58">IFERROR(_xlfn.STDEV.S(IF((OutputTable[GroupByKey]=OutputTable[[#This Row],[GroupByKey]]),(OutputTable[GroupByKey]=OutputTable[[#This Row],[GroupByKey]])*OutputTable[RecordedValue])),0)</f>
        <v>0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8" s="5" cm="1">
        <f t="array" ref="O58">MIN(IF((OutputTable[GroupByKey]=OutputTable[[#This Row],[GroupByKey]]),(OutputTable[GroupByKey]=OutputTable[[#This Row],[GroupByKey]])*OutputTable[RecordedValue]))</f>
        <v>0.33931560369556002</v>
      </c>
      <c r="P58" s="5" cm="1">
        <f t="array" ref="P58">MAX(IF((OutputTable[GroupByKey]=OutputTable[[#This Row],[GroupByKey]]),(OutputTable[GroupByKey]=OutputTable[[#This Row],[GroupByKey]])*OutputTable[RecordedValue]))</f>
        <v>0.33931560369556002</v>
      </c>
    </row>
    <row r="59" spans="1:16" x14ac:dyDescent="0.25">
      <c r="A59" t="s">
        <v>67</v>
      </c>
      <c r="B59" t="s">
        <v>70</v>
      </c>
      <c r="C59">
        <v>1</v>
      </c>
      <c r="D59" t="s">
        <v>230</v>
      </c>
      <c r="E59" t="s">
        <v>178</v>
      </c>
      <c r="F59" t="s">
        <v>136</v>
      </c>
      <c r="G59">
        <v>0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ProjectKanban L2S4.UsageCostUsage CostResource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</v>
      </c>
      <c r="K59" s="5" cm="1">
        <f t="array" ref="K59">IFERROR(AVERAGE(IF((OutputTable[GroupByKey]=OutputTable[[#This Row],[GroupByKey]]),(OutputTable[GroupByKey]=OutputTable[[#This Row],[GroupByKey]])*OutputTable[RecordedValue])),0)</f>
        <v>0</v>
      </c>
      <c r="L59" s="5" cm="1">
        <f t="array" ref="L59">IFERROR(_xlfn.STDEV.S(IF((OutputTable[GroupByKey]=OutputTable[[#This Row],[GroupByKey]]),(OutputTable[GroupByKey]=OutputTable[[#This Row],[GroupByKey]])*OutputTable[RecordedValue])),0)</f>
        <v>0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9" s="5" cm="1">
        <f t="array" ref="O59">MIN(IF((OutputTable[GroupByKey]=OutputTable[[#This Row],[GroupByKey]]),(OutputTable[GroupByKey]=OutputTable[[#This Row],[GroupByKey]])*OutputTable[RecordedValue]))</f>
        <v>0</v>
      </c>
      <c r="P59" s="5" cm="1">
        <f t="array" ref="P59">MAX(IF((OutputTable[GroupByKey]=OutputTable[[#This Row],[GroupByKey]]),(OutputTable[GroupByKey]=OutputTable[[#This Row],[GroupByKey]])*OutputTable[RecordedValue]))</f>
        <v>0</v>
      </c>
    </row>
    <row r="60" spans="1:16" x14ac:dyDescent="0.25">
      <c r="A60" t="s">
        <v>67</v>
      </c>
      <c r="B60" t="s">
        <v>70</v>
      </c>
      <c r="C60">
        <v>1</v>
      </c>
      <c r="D60" t="s">
        <v>231</v>
      </c>
      <c r="E60" t="s">
        <v>173</v>
      </c>
      <c r="F60" t="s">
        <v>136</v>
      </c>
      <c r="G60">
        <v>0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ProjectKanban L3S1.BusyCostBusy CostResource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</v>
      </c>
      <c r="K60" s="5" cm="1">
        <f t="array" ref="K60">IFERROR(AVERAGE(IF((OutputTable[GroupByKey]=OutputTable[[#This Row],[GroupByKey]]),(OutputTable[GroupByKey]=OutputTable[[#This Row],[GroupByKey]])*OutputTable[RecordedValue])),0)</f>
        <v>0</v>
      </c>
      <c r="L60" s="5" cm="1">
        <f t="array" ref="L60">IFERROR(_xlfn.STDEV.S(IF((OutputTable[GroupByKey]=OutputTable[[#This Row],[GroupByKey]]),(OutputTable[GroupByKey]=OutputTable[[#This Row],[GroupByKey]])*OutputTable[RecordedValue])),0)</f>
        <v>0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0" s="5" cm="1">
        <f t="array" ref="O60">MIN(IF((OutputTable[GroupByKey]=OutputTable[[#This Row],[GroupByKey]]),(OutputTable[GroupByKey]=OutputTable[[#This Row],[GroupByKey]])*OutputTable[RecordedValue]))</f>
        <v>0</v>
      </c>
      <c r="P60" s="5" cm="1">
        <f t="array" ref="P60">MAX(IF((OutputTable[GroupByKey]=OutputTable[[#This Row],[GroupByKey]]),(OutputTable[GroupByKey]=OutputTable[[#This Row],[GroupByKey]])*OutputTable[RecordedValue]))</f>
        <v>0</v>
      </c>
    </row>
    <row r="61" spans="1:16" x14ac:dyDescent="0.25">
      <c r="A61" t="s">
        <v>67</v>
      </c>
      <c r="B61" t="s">
        <v>70</v>
      </c>
      <c r="C61">
        <v>1</v>
      </c>
      <c r="D61" t="s">
        <v>232</v>
      </c>
      <c r="E61" t="s">
        <v>175</v>
      </c>
      <c r="F61" t="s">
        <v>136</v>
      </c>
      <c r="G61">
        <v>0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ProjectKanban L3S1.IdleCostIdle CostResource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</v>
      </c>
      <c r="K61" s="5" cm="1">
        <f t="array" ref="K61">IFERROR(AVERAGE(IF((OutputTable[GroupByKey]=OutputTable[[#This Row],[GroupByKey]]),(OutputTable[GroupByKey]=OutputTable[[#This Row],[GroupByKey]])*OutputTable[RecordedValue])),0)</f>
        <v>0</v>
      </c>
      <c r="L61" s="5" cm="1">
        <f t="array" ref="L61">IFERROR(_xlfn.STDEV.S(IF((OutputTable[GroupByKey]=OutputTable[[#This Row],[GroupByKey]]),(OutputTable[GroupByKey]=OutputTable[[#This Row],[GroupByKey]])*OutputTable[RecordedValue])),0)</f>
        <v>0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1" s="5" cm="1">
        <f t="array" ref="O61">MIN(IF((OutputTable[GroupByKey]=OutputTable[[#This Row],[GroupByKey]]),(OutputTable[GroupByKey]=OutputTable[[#This Row],[GroupByKey]])*OutputTable[RecordedValue]))</f>
        <v>0</v>
      </c>
      <c r="P61" s="5" cm="1">
        <f t="array" ref="P61">MAX(IF((OutputTable[GroupByKey]=OutputTable[[#This Row],[GroupByKey]]),(OutputTable[GroupByKey]=OutputTable[[#This Row],[GroupByKey]])*OutputTable[RecordedValue]))</f>
        <v>0</v>
      </c>
    </row>
    <row r="62" spans="1:16" x14ac:dyDescent="0.25">
      <c r="A62" t="s">
        <v>67</v>
      </c>
      <c r="B62" t="s">
        <v>70</v>
      </c>
      <c r="C62">
        <v>1</v>
      </c>
      <c r="D62" t="s">
        <v>233</v>
      </c>
      <c r="E62" t="s">
        <v>182</v>
      </c>
      <c r="F62" t="s">
        <v>136</v>
      </c>
      <c r="G62">
        <v>8700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ProjectKanban L3S1.NumberSeizedTotal Number SeizedResource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</v>
      </c>
      <c r="K62" s="5" cm="1">
        <f t="array" ref="K62">IFERROR(AVERAGE(IF((OutputTable[GroupByKey]=OutputTable[[#This Row],[GroupByKey]]),(OutputTable[GroupByKey]=OutputTable[[#This Row],[GroupByKey]])*OutputTable[RecordedValue])),0)</f>
        <v>8700</v>
      </c>
      <c r="L62" s="5" cm="1">
        <f t="array" ref="L62">IFERROR(_xlfn.STDEV.S(IF((OutputTable[GroupByKey]=OutputTable[[#This Row],[GroupByKey]]),(OutputTable[GroupByKey]=OutputTable[[#This Row],[GroupByKey]])*OutputTable[RecordedValue])),0)</f>
        <v>0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2" s="5" cm="1">
        <f t="array" ref="O62">MIN(IF((OutputTable[GroupByKey]=OutputTable[[#This Row],[GroupByKey]]),(OutputTable[GroupByKey]=OutputTable[[#This Row],[GroupByKey]])*OutputTable[RecordedValue]))</f>
        <v>8700</v>
      </c>
      <c r="P62" s="5" cm="1">
        <f t="array" ref="P62">MAX(IF((OutputTable[GroupByKey]=OutputTable[[#This Row],[GroupByKey]]),(OutputTable[GroupByKey]=OutputTable[[#This Row],[GroupByKey]])*OutputTable[RecordedValue]))</f>
        <v>8700</v>
      </c>
    </row>
    <row r="63" spans="1:16" x14ac:dyDescent="0.25">
      <c r="A63" t="s">
        <v>67</v>
      </c>
      <c r="B63" t="s">
        <v>70</v>
      </c>
      <c r="C63">
        <v>1</v>
      </c>
      <c r="D63" t="s">
        <v>234</v>
      </c>
      <c r="E63" t="s">
        <v>184</v>
      </c>
      <c r="F63" t="s">
        <v>136</v>
      </c>
      <c r="G63">
        <v>0.923864885868942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ProjectKanban L3S1.ScheduledUtilizationScheduled UtilizationResource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</v>
      </c>
      <c r="K63" s="5" cm="1">
        <f t="array" ref="K63">IFERROR(AVERAGE(IF((OutputTable[GroupByKey]=OutputTable[[#This Row],[GroupByKey]]),(OutputTable[GroupByKey]=OutputTable[[#This Row],[GroupByKey]])*OutputTable[RecordedValue])),0)</f>
        <v>0.923864885868942</v>
      </c>
      <c r="L63" s="5" cm="1">
        <f t="array" ref="L63">IFERROR(_xlfn.STDEV.S(IF((OutputTable[GroupByKey]=OutputTable[[#This Row],[GroupByKey]]),(OutputTable[GroupByKey]=OutputTable[[#This Row],[GroupByKey]])*OutputTable[RecordedValue])),0)</f>
        <v>0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3" s="5" cm="1">
        <f t="array" ref="O63">MIN(IF((OutputTable[GroupByKey]=OutputTable[[#This Row],[GroupByKey]]),(OutputTable[GroupByKey]=OutputTable[[#This Row],[GroupByKey]])*OutputTable[RecordedValue]))</f>
        <v>0.923864885868942</v>
      </c>
      <c r="P63" s="5" cm="1">
        <f t="array" ref="P63">MAX(IF((OutputTable[GroupByKey]=OutputTable[[#This Row],[GroupByKey]]),(OutputTable[GroupByKey]=OutputTable[[#This Row],[GroupByKey]])*OutputTable[RecordedValue]))</f>
        <v>0.923864885868942</v>
      </c>
    </row>
    <row r="64" spans="1:16" x14ac:dyDescent="0.25">
      <c r="A64" t="s">
        <v>67</v>
      </c>
      <c r="B64" t="s">
        <v>70</v>
      </c>
      <c r="C64">
        <v>1</v>
      </c>
      <c r="D64" t="s">
        <v>235</v>
      </c>
      <c r="E64" t="s">
        <v>178</v>
      </c>
      <c r="F64" t="s">
        <v>136</v>
      </c>
      <c r="G64">
        <v>0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ProjectKanban L3S1.UsageCostUsage CostResource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</v>
      </c>
      <c r="K64" s="5" cm="1">
        <f t="array" ref="K64">IFERROR(AVERAGE(IF((OutputTable[GroupByKey]=OutputTable[[#This Row],[GroupByKey]]),(OutputTable[GroupByKey]=OutputTable[[#This Row],[GroupByKey]])*OutputTable[RecordedValue])),0)</f>
        <v>0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4" s="5" cm="1">
        <f t="array" ref="O64">MIN(IF((OutputTable[GroupByKey]=OutputTable[[#This Row],[GroupByKey]]),(OutputTable[GroupByKey]=OutputTable[[#This Row],[GroupByKey]])*OutputTable[RecordedValue]))</f>
        <v>0</v>
      </c>
      <c r="P64" s="5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67</v>
      </c>
      <c r="B65" t="s">
        <v>70</v>
      </c>
      <c r="C65">
        <v>1</v>
      </c>
      <c r="D65" t="s">
        <v>236</v>
      </c>
      <c r="E65" t="s">
        <v>173</v>
      </c>
      <c r="F65" t="s">
        <v>136</v>
      </c>
      <c r="G65">
        <v>0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ProjectKanban L3S2.BusyCostBusy CostResource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</v>
      </c>
      <c r="K65" s="5" cm="1">
        <f t="array" ref="K65">IFERROR(AVERAGE(IF((OutputTable[GroupByKey]=OutputTable[[#This Row],[GroupByKey]]),(OutputTable[GroupByKey]=OutputTable[[#This Row],[GroupByKey]])*OutputTable[RecordedValue])),0)</f>
        <v>0</v>
      </c>
      <c r="L65" s="5" cm="1">
        <f t="array" ref="L65">IFERROR(_xlfn.STDEV.S(IF((OutputTable[GroupByKey]=OutputTable[[#This Row],[GroupByKey]]),(OutputTable[GroupByKey]=OutputTable[[#This Row],[GroupByKey]])*OutputTable[RecordedValue])),0)</f>
        <v>0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5" s="5" cm="1">
        <f t="array" ref="O65">MIN(IF((OutputTable[GroupByKey]=OutputTable[[#This Row],[GroupByKey]]),(OutputTable[GroupByKey]=OutputTable[[#This Row],[GroupByKey]])*OutputTable[RecordedValue]))</f>
        <v>0</v>
      </c>
      <c r="P65" s="5" cm="1">
        <f t="array" ref="P65">MAX(IF((OutputTable[GroupByKey]=OutputTable[[#This Row],[GroupByKey]]),(OutputTable[GroupByKey]=OutputTable[[#This Row],[GroupByKey]])*OutputTable[RecordedValue]))</f>
        <v>0</v>
      </c>
    </row>
    <row r="66" spans="1:16" x14ac:dyDescent="0.25">
      <c r="A66" t="s">
        <v>67</v>
      </c>
      <c r="B66" t="s">
        <v>70</v>
      </c>
      <c r="C66">
        <v>1</v>
      </c>
      <c r="D66" t="s">
        <v>237</v>
      </c>
      <c r="E66" t="s">
        <v>175</v>
      </c>
      <c r="F66" t="s">
        <v>136</v>
      </c>
      <c r="G66">
        <v>0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ProjectKanban L3S2.IdleCostIdle CostResource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</v>
      </c>
      <c r="K66" s="5" cm="1">
        <f t="array" ref="K66">IFERROR(AVERAGE(IF((OutputTable[GroupByKey]=OutputTable[[#This Row],[GroupByKey]]),(OutputTable[GroupByKey]=OutputTable[[#This Row],[GroupByKey]])*OutputTable[RecordedValue])),0)</f>
        <v>0</v>
      </c>
      <c r="L66" s="5" cm="1">
        <f t="array" ref="L66">IFERROR(_xlfn.STDEV.S(IF((OutputTable[GroupByKey]=OutputTable[[#This Row],[GroupByKey]]),(OutputTable[GroupByKey]=OutputTable[[#This Row],[GroupByKey]])*OutputTable[RecordedValue])),0)</f>
        <v>0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6" s="5" cm="1">
        <f t="array" ref="O66">MIN(IF((OutputTable[GroupByKey]=OutputTable[[#This Row],[GroupByKey]]),(OutputTable[GroupByKey]=OutputTable[[#This Row],[GroupByKey]])*OutputTable[RecordedValue]))</f>
        <v>0</v>
      </c>
      <c r="P66" s="5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25">
      <c r="A67" t="s">
        <v>67</v>
      </c>
      <c r="B67" t="s">
        <v>70</v>
      </c>
      <c r="C67">
        <v>1</v>
      </c>
      <c r="D67" t="s">
        <v>238</v>
      </c>
      <c r="E67" t="s">
        <v>182</v>
      </c>
      <c r="F67" t="s">
        <v>136</v>
      </c>
      <c r="G67">
        <v>8697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ProjectKanban L3S2.NumberSeizedTotal Number SeizedResource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</v>
      </c>
      <c r="K67" s="5" cm="1">
        <f t="array" ref="K67">IFERROR(AVERAGE(IF((OutputTable[GroupByKey]=OutputTable[[#This Row],[GroupByKey]]),(OutputTable[GroupByKey]=OutputTable[[#This Row],[GroupByKey]])*OutputTable[RecordedValue])),0)</f>
        <v>8697</v>
      </c>
      <c r="L67" s="5" cm="1">
        <f t="array" ref="L67">IFERROR(_xlfn.STDEV.S(IF((OutputTable[GroupByKey]=OutputTable[[#This Row],[GroupByKey]]),(OutputTable[GroupByKey]=OutputTable[[#This Row],[GroupByKey]])*OutputTable[RecordedValue])),0)</f>
        <v>0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7" s="5" cm="1">
        <f t="array" ref="O67">MIN(IF((OutputTable[GroupByKey]=OutputTable[[#This Row],[GroupByKey]]),(OutputTable[GroupByKey]=OutputTable[[#This Row],[GroupByKey]])*OutputTable[RecordedValue]))</f>
        <v>8697</v>
      </c>
      <c r="P67" s="5" cm="1">
        <f t="array" ref="P67">MAX(IF((OutputTable[GroupByKey]=OutputTable[[#This Row],[GroupByKey]]),(OutputTable[GroupByKey]=OutputTable[[#This Row],[GroupByKey]])*OutputTable[RecordedValue]))</f>
        <v>8697</v>
      </c>
    </row>
    <row r="68" spans="1:16" x14ac:dyDescent="0.25">
      <c r="A68" t="s">
        <v>67</v>
      </c>
      <c r="B68" t="s">
        <v>70</v>
      </c>
      <c r="C68">
        <v>1</v>
      </c>
      <c r="D68" t="s">
        <v>239</v>
      </c>
      <c r="E68" t="s">
        <v>184</v>
      </c>
      <c r="F68" t="s">
        <v>136</v>
      </c>
      <c r="G68">
        <v>0.66362836165822503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ProjectKanban L3S2.ScheduledUtilizationScheduled UtilizationResource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</v>
      </c>
      <c r="K68" s="5" cm="1">
        <f t="array" ref="K68">IFERROR(AVERAGE(IF((OutputTable[GroupByKey]=OutputTable[[#This Row],[GroupByKey]]),(OutputTable[GroupByKey]=OutputTable[[#This Row],[GroupByKey]])*OutputTable[RecordedValue])),0)</f>
        <v>0.66362836165822503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8" s="5" cm="1">
        <f t="array" ref="O68">MIN(IF((OutputTable[GroupByKey]=OutputTable[[#This Row],[GroupByKey]]),(OutputTable[GroupByKey]=OutputTable[[#This Row],[GroupByKey]])*OutputTable[RecordedValue]))</f>
        <v>0.66362836165822503</v>
      </c>
      <c r="P68" s="5" cm="1">
        <f t="array" ref="P68">MAX(IF((OutputTable[GroupByKey]=OutputTable[[#This Row],[GroupByKey]]),(OutputTable[GroupByKey]=OutputTable[[#This Row],[GroupByKey]])*OutputTable[RecordedValue]))</f>
        <v>0.66362836165822503</v>
      </c>
    </row>
    <row r="69" spans="1:16" x14ac:dyDescent="0.25">
      <c r="A69" t="s">
        <v>67</v>
      </c>
      <c r="B69" t="s">
        <v>70</v>
      </c>
      <c r="C69">
        <v>1</v>
      </c>
      <c r="D69" t="s">
        <v>240</v>
      </c>
      <c r="E69" t="s">
        <v>178</v>
      </c>
      <c r="F69" t="s">
        <v>136</v>
      </c>
      <c r="G69">
        <v>0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ProjectKanban L3S2.UsageCostUsage CostResource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</v>
      </c>
      <c r="K69" s="5" cm="1">
        <f t="array" ref="K69">IFERROR(AVERAGE(IF((OutputTable[GroupByKey]=OutputTable[[#This Row],[GroupByKey]]),(OutputTable[GroupByKey]=OutputTable[[#This Row],[GroupByKey]])*OutputTable[RecordedValue])),0)</f>
        <v>0</v>
      </c>
      <c r="L69" s="5" cm="1">
        <f t="array" ref="L69">IFERROR(_xlfn.STDEV.S(IF((OutputTable[GroupByKey]=OutputTable[[#This Row],[GroupByKey]]),(OutputTable[GroupByKey]=OutputTable[[#This Row],[GroupByKey]])*OutputTable[RecordedValue])),0)</f>
        <v>0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9" s="5" cm="1">
        <f t="array" ref="O69">MIN(IF((OutputTable[GroupByKey]=OutputTable[[#This Row],[GroupByKey]]),(OutputTable[GroupByKey]=OutputTable[[#This Row],[GroupByKey]])*OutputTable[RecordedValue]))</f>
        <v>0</v>
      </c>
      <c r="P69" s="5" cm="1">
        <f t="array" ref="P69">MAX(IF((OutputTable[GroupByKey]=OutputTable[[#This Row],[GroupByKey]]),(OutputTable[GroupByKey]=OutputTable[[#This Row],[GroupByKey]])*OutputTable[RecordedValue]))</f>
        <v>0</v>
      </c>
    </row>
    <row r="70" spans="1:16" x14ac:dyDescent="0.25">
      <c r="A70" t="s">
        <v>67</v>
      </c>
      <c r="B70" t="s">
        <v>70</v>
      </c>
      <c r="C70">
        <v>1</v>
      </c>
      <c r="D70" t="s">
        <v>241</v>
      </c>
      <c r="E70" t="s">
        <v>173</v>
      </c>
      <c r="F70" t="s">
        <v>136</v>
      </c>
      <c r="G70">
        <v>0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ProjectL1 Station1.BusyCostBusy CostResource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</v>
      </c>
      <c r="K70" s="5" cm="1">
        <f t="array" ref="K70">IFERROR(AVERAGE(IF((OutputTable[GroupByKey]=OutputTable[[#This Row],[GroupByKey]]),(OutputTable[GroupByKey]=OutputTable[[#This Row],[GroupByKey]])*OutputTable[RecordedValue])),0)</f>
        <v>0</v>
      </c>
      <c r="L70" s="5" cm="1">
        <f t="array" ref="L70">IFERROR(_xlfn.STDEV.S(IF((OutputTable[GroupByKey]=OutputTable[[#This Row],[GroupByKey]]),(OutputTable[GroupByKey]=OutputTable[[#This Row],[GroupByKey]])*OutputTable[RecordedValue])),0)</f>
        <v>0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0" s="5" cm="1">
        <f t="array" ref="O70">MIN(IF((OutputTable[GroupByKey]=OutputTable[[#This Row],[GroupByKey]]),(OutputTable[GroupByKey]=OutputTable[[#This Row],[GroupByKey]])*OutputTable[RecordedValue]))</f>
        <v>0</v>
      </c>
      <c r="P70" s="5" cm="1">
        <f t="array" ref="P70">MAX(IF((OutputTable[GroupByKey]=OutputTable[[#This Row],[GroupByKey]]),(OutputTable[GroupByKey]=OutputTable[[#This Row],[GroupByKey]])*OutputTable[RecordedValue]))</f>
        <v>0</v>
      </c>
    </row>
    <row r="71" spans="1:16" x14ac:dyDescent="0.25">
      <c r="A71" t="s">
        <v>67</v>
      </c>
      <c r="B71" t="s">
        <v>70</v>
      </c>
      <c r="C71">
        <v>1</v>
      </c>
      <c r="D71" t="s">
        <v>242</v>
      </c>
      <c r="E71" t="s">
        <v>175</v>
      </c>
      <c r="F71" t="s">
        <v>136</v>
      </c>
      <c r="G71">
        <v>0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ProjectL1 Station1.IdleCostIdle CostResource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</v>
      </c>
      <c r="K71" s="5" cm="1">
        <f t="array" ref="K71">IFERROR(AVERAGE(IF((OutputTable[GroupByKey]=OutputTable[[#This Row],[GroupByKey]]),(OutputTable[GroupByKey]=OutputTable[[#This Row],[GroupByKey]])*OutputTable[RecordedValue])),0)</f>
        <v>0</v>
      </c>
      <c r="L71" s="5" cm="1">
        <f t="array" ref="L71">IFERROR(_xlfn.STDEV.S(IF((OutputTable[GroupByKey]=OutputTable[[#This Row],[GroupByKey]]),(OutputTable[GroupByKey]=OutputTable[[#This Row],[GroupByKey]])*OutputTable[RecordedValue])),0)</f>
        <v>0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1" s="5" cm="1">
        <f t="array" ref="O71">MIN(IF((OutputTable[GroupByKey]=OutputTable[[#This Row],[GroupByKey]]),(OutputTable[GroupByKey]=OutputTable[[#This Row],[GroupByKey]])*OutputTable[RecordedValue]))</f>
        <v>0</v>
      </c>
      <c r="P71" s="5" cm="1">
        <f t="array" ref="P71">MAX(IF((OutputTable[GroupByKey]=OutputTable[[#This Row],[GroupByKey]]),(OutputTable[GroupByKey]=OutputTable[[#This Row],[GroupByKey]])*OutputTable[RecordedValue]))</f>
        <v>0</v>
      </c>
    </row>
    <row r="72" spans="1:16" x14ac:dyDescent="0.25">
      <c r="A72" t="s">
        <v>67</v>
      </c>
      <c r="B72" t="s">
        <v>70</v>
      </c>
      <c r="C72">
        <v>1</v>
      </c>
      <c r="D72" t="s">
        <v>243</v>
      </c>
      <c r="E72" t="s">
        <v>182</v>
      </c>
      <c r="F72" t="s">
        <v>136</v>
      </c>
      <c r="G72">
        <v>4196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ProjectL1 Station1.NumberSeizedTotal Number SeizedResource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</v>
      </c>
      <c r="K72" s="5" cm="1">
        <f t="array" ref="K72">IFERROR(AVERAGE(IF((OutputTable[GroupByKey]=OutputTable[[#This Row],[GroupByKey]]),(OutputTable[GroupByKey]=OutputTable[[#This Row],[GroupByKey]])*OutputTable[RecordedValue])),0)</f>
        <v>4196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2" s="5" cm="1">
        <f t="array" ref="O72">MIN(IF((OutputTable[GroupByKey]=OutputTable[[#This Row],[GroupByKey]]),(OutputTable[GroupByKey]=OutputTable[[#This Row],[GroupByKey]])*OutputTable[RecordedValue]))</f>
        <v>4196</v>
      </c>
      <c r="P72" s="5" cm="1">
        <f t="array" ref="P72">MAX(IF((OutputTable[GroupByKey]=OutputTable[[#This Row],[GroupByKey]]),(OutputTable[GroupByKey]=OutputTable[[#This Row],[GroupByKey]])*OutputTable[RecordedValue]))</f>
        <v>4196</v>
      </c>
    </row>
    <row r="73" spans="1:16" x14ac:dyDescent="0.25">
      <c r="A73" t="s">
        <v>67</v>
      </c>
      <c r="B73" t="s">
        <v>70</v>
      </c>
      <c r="C73">
        <v>1</v>
      </c>
      <c r="D73" t="s">
        <v>244</v>
      </c>
      <c r="E73" t="s">
        <v>184</v>
      </c>
      <c r="F73" t="s">
        <v>136</v>
      </c>
      <c r="G73">
        <v>1.00045041343626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ProjectL1 Station1.ScheduledUtilizationScheduled UtilizationResource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</v>
      </c>
      <c r="K73" s="5" cm="1">
        <f t="array" ref="K73">IFERROR(AVERAGE(IF((OutputTable[GroupByKey]=OutputTable[[#This Row],[GroupByKey]]),(OutputTable[GroupByKey]=OutputTable[[#This Row],[GroupByKey]])*OutputTable[RecordedValue])),0)</f>
        <v>1.00045041343626</v>
      </c>
      <c r="L73" s="5" cm="1">
        <f t="array" ref="L73">IFERROR(_xlfn.STDEV.S(IF((OutputTable[GroupByKey]=OutputTable[[#This Row],[GroupByKey]]),(OutputTable[GroupByKey]=OutputTable[[#This Row],[GroupByKey]])*OutputTable[RecordedValue])),0)</f>
        <v>0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3" s="5" cm="1">
        <f t="array" ref="O73">MIN(IF((OutputTable[GroupByKey]=OutputTable[[#This Row],[GroupByKey]]),(OutputTable[GroupByKey]=OutputTable[[#This Row],[GroupByKey]])*OutputTable[RecordedValue]))</f>
        <v>1.00045041343626</v>
      </c>
      <c r="P73" s="5" cm="1">
        <f t="array" ref="P73">MAX(IF((OutputTable[GroupByKey]=OutputTable[[#This Row],[GroupByKey]]),(OutputTable[GroupByKey]=OutputTable[[#This Row],[GroupByKey]])*OutputTable[RecordedValue]))</f>
        <v>1.00045041343626</v>
      </c>
    </row>
    <row r="74" spans="1:16" x14ac:dyDescent="0.25">
      <c r="A74" t="s">
        <v>67</v>
      </c>
      <c r="B74" t="s">
        <v>70</v>
      </c>
      <c r="C74">
        <v>1</v>
      </c>
      <c r="D74" t="s">
        <v>245</v>
      </c>
      <c r="E74" t="s">
        <v>178</v>
      </c>
      <c r="F74" t="s">
        <v>136</v>
      </c>
      <c r="G74">
        <v>0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ProjectL1 Station1.UsageCostUsage CostResource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</v>
      </c>
      <c r="K74" s="5" cm="1">
        <f t="array" ref="K74">IFERROR(AVERAGE(IF((OutputTable[GroupByKey]=OutputTable[[#This Row],[GroupByKey]]),(OutputTable[GroupByKey]=OutputTable[[#This Row],[GroupByKey]])*OutputTable[RecordedValue])),0)</f>
        <v>0</v>
      </c>
      <c r="L74" s="5" cm="1">
        <f t="array" ref="L74">IFERROR(_xlfn.STDEV.S(IF((OutputTable[GroupByKey]=OutputTable[[#This Row],[GroupByKey]]),(OutputTable[GroupByKey]=OutputTable[[#This Row],[GroupByKey]])*OutputTable[RecordedValue])),0)</f>
        <v>0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4" s="5" cm="1">
        <f t="array" ref="O74">MIN(IF((OutputTable[GroupByKey]=OutputTable[[#This Row],[GroupByKey]]),(OutputTable[GroupByKey]=OutputTable[[#This Row],[GroupByKey]])*OutputTable[RecordedValue]))</f>
        <v>0</v>
      </c>
      <c r="P74" s="5" cm="1">
        <f t="array" ref="P74">MAX(IF((OutputTable[GroupByKey]=OutputTable[[#This Row],[GroupByKey]]),(OutputTable[GroupByKey]=OutputTable[[#This Row],[GroupByKey]])*OutputTable[RecordedValue]))</f>
        <v>0</v>
      </c>
    </row>
    <row r="75" spans="1:16" x14ac:dyDescent="0.25">
      <c r="A75" t="s">
        <v>67</v>
      </c>
      <c r="B75" t="s">
        <v>70</v>
      </c>
      <c r="C75">
        <v>1</v>
      </c>
      <c r="D75" t="s">
        <v>246</v>
      </c>
      <c r="E75" t="s">
        <v>173</v>
      </c>
      <c r="F75" t="s">
        <v>136</v>
      </c>
      <c r="G75">
        <v>0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ProjectL1 Station2.BusyCostBusy CostResource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</v>
      </c>
      <c r="K75" s="5" cm="1">
        <f t="array" ref="K75">IFERROR(AVERAGE(IF((OutputTable[GroupByKey]=OutputTable[[#This Row],[GroupByKey]]),(OutputTable[GroupByKey]=OutputTable[[#This Row],[GroupByKey]])*OutputTable[RecordedValue])),0)</f>
        <v>0</v>
      </c>
      <c r="L75" s="5" cm="1">
        <f t="array" ref="L75">IFERROR(_xlfn.STDEV.S(IF((OutputTable[GroupByKey]=OutputTable[[#This Row],[GroupByKey]]),(OutputTable[GroupByKey]=OutputTable[[#This Row],[GroupByKey]])*OutputTable[RecordedValue])),0)</f>
        <v>0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5" s="5" cm="1">
        <f t="array" ref="O75">MIN(IF((OutputTable[GroupByKey]=OutputTable[[#This Row],[GroupByKey]]),(OutputTable[GroupByKey]=OutputTable[[#This Row],[GroupByKey]])*OutputTable[RecordedValue]))</f>
        <v>0</v>
      </c>
      <c r="P75" s="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25">
      <c r="A76" t="s">
        <v>67</v>
      </c>
      <c r="B76" t="s">
        <v>70</v>
      </c>
      <c r="C76">
        <v>1</v>
      </c>
      <c r="D76" t="s">
        <v>247</v>
      </c>
      <c r="E76" t="s">
        <v>175</v>
      </c>
      <c r="F76" t="s">
        <v>136</v>
      </c>
      <c r="G76">
        <v>0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ProjectL1 Station2.IdleCostIdle CostResource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</v>
      </c>
      <c r="K76" s="5" cm="1">
        <f t="array" ref="K76">IFERROR(AVERAGE(IF((OutputTable[GroupByKey]=OutputTable[[#This Row],[GroupByKey]]),(OutputTable[GroupByKey]=OutputTable[[#This Row],[GroupByKey]])*OutputTable[RecordedValue])),0)</f>
        <v>0</v>
      </c>
      <c r="L76" s="5" cm="1">
        <f t="array" ref="L76">IFERROR(_xlfn.STDEV.S(IF((OutputTable[GroupByKey]=OutputTable[[#This Row],[GroupByKey]]),(OutputTable[GroupByKey]=OutputTable[[#This Row],[GroupByKey]])*OutputTable[RecordedValue])),0)</f>
        <v>0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6" s="5" cm="1">
        <f t="array" ref="O76">MIN(IF((OutputTable[GroupByKey]=OutputTable[[#This Row],[GroupByKey]]),(OutputTable[GroupByKey]=OutputTable[[#This Row],[GroupByKey]])*OutputTable[RecordedValue]))</f>
        <v>0</v>
      </c>
      <c r="P76" s="5" cm="1">
        <f t="array" ref="P76">MAX(IF((OutputTable[GroupByKey]=OutputTable[[#This Row],[GroupByKey]]),(OutputTable[GroupByKey]=OutputTable[[#This Row],[GroupByKey]])*OutputTable[RecordedValue]))</f>
        <v>0</v>
      </c>
    </row>
    <row r="77" spans="1:16" x14ac:dyDescent="0.25">
      <c r="A77" t="s">
        <v>67</v>
      </c>
      <c r="B77" t="s">
        <v>70</v>
      </c>
      <c r="C77">
        <v>1</v>
      </c>
      <c r="D77" t="s">
        <v>248</v>
      </c>
      <c r="E77" t="s">
        <v>182</v>
      </c>
      <c r="F77" t="s">
        <v>136</v>
      </c>
      <c r="G77">
        <v>4194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ProjectL1 Station2.NumberSeizedTotal Number SeizedResource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1</v>
      </c>
      <c r="K77" s="5" cm="1">
        <f t="array" ref="K77">IFERROR(AVERAGE(IF((OutputTable[GroupByKey]=OutputTable[[#This Row],[GroupByKey]]),(OutputTable[GroupByKey]=OutputTable[[#This Row],[GroupByKey]])*OutputTable[RecordedValue])),0)</f>
        <v>4194</v>
      </c>
      <c r="L77" s="5" cm="1">
        <f t="array" ref="L77">IFERROR(_xlfn.STDEV.S(IF((OutputTable[GroupByKey]=OutputTable[[#This Row],[GroupByKey]]),(OutputTable[GroupByKey]=OutputTable[[#This Row],[GroupByKey]])*OutputTable[RecordedValue])),0)</f>
        <v>0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7" s="5" cm="1">
        <f t="array" ref="O77">MIN(IF((OutputTable[GroupByKey]=OutputTable[[#This Row],[GroupByKey]]),(OutputTable[GroupByKey]=OutputTable[[#This Row],[GroupByKey]])*OutputTable[RecordedValue]))</f>
        <v>4194</v>
      </c>
      <c r="P77" s="5" cm="1">
        <f t="array" ref="P77">MAX(IF((OutputTable[GroupByKey]=OutputTable[[#This Row],[GroupByKey]]),(OutputTable[GroupByKey]=OutputTable[[#This Row],[GroupByKey]])*OutputTable[RecordedValue]))</f>
        <v>4194</v>
      </c>
    </row>
    <row r="78" spans="1:16" x14ac:dyDescent="0.25">
      <c r="A78" t="s">
        <v>67</v>
      </c>
      <c r="B78" t="s">
        <v>70</v>
      </c>
      <c r="C78">
        <v>1</v>
      </c>
      <c r="D78" t="s">
        <v>249</v>
      </c>
      <c r="E78" t="s">
        <v>184</v>
      </c>
      <c r="F78" t="s">
        <v>136</v>
      </c>
      <c r="G78">
        <v>0.49840691245013202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ProjectL1 Station2.ScheduledUtilizationScheduled UtilizationResource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1</v>
      </c>
      <c r="K78" s="5" cm="1">
        <f t="array" ref="K78">IFERROR(AVERAGE(IF((OutputTable[GroupByKey]=OutputTable[[#This Row],[GroupByKey]]),(OutputTable[GroupByKey]=OutputTable[[#This Row],[GroupByKey]])*OutputTable[RecordedValue])),0)</f>
        <v>0.49840691245013202</v>
      </c>
      <c r="L78" s="5" cm="1">
        <f t="array" ref="L78">IFERROR(_xlfn.STDEV.S(IF((OutputTable[GroupByKey]=OutputTable[[#This Row],[GroupByKey]]),(OutputTable[GroupByKey]=OutputTable[[#This Row],[GroupByKey]])*OutputTable[RecordedValue])),0)</f>
        <v>0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8" s="5" cm="1">
        <f t="array" ref="O78">MIN(IF((OutputTable[GroupByKey]=OutputTable[[#This Row],[GroupByKey]]),(OutputTable[GroupByKey]=OutputTable[[#This Row],[GroupByKey]])*OutputTable[RecordedValue]))</f>
        <v>0.49840691245013202</v>
      </c>
      <c r="P78" s="5" cm="1">
        <f t="array" ref="P78">MAX(IF((OutputTable[GroupByKey]=OutputTable[[#This Row],[GroupByKey]]),(OutputTable[GroupByKey]=OutputTable[[#This Row],[GroupByKey]])*OutputTable[RecordedValue]))</f>
        <v>0.49840691245013202</v>
      </c>
    </row>
    <row r="79" spans="1:16" x14ac:dyDescent="0.25">
      <c r="A79" t="s">
        <v>67</v>
      </c>
      <c r="B79" t="s">
        <v>70</v>
      </c>
      <c r="C79">
        <v>1</v>
      </c>
      <c r="D79" t="s">
        <v>250</v>
      </c>
      <c r="E79" t="s">
        <v>178</v>
      </c>
      <c r="F79" t="s">
        <v>136</v>
      </c>
      <c r="G79">
        <v>0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ProjectL1 Station2.UsageCostUsage CostResource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1</v>
      </c>
      <c r="K79" s="5" cm="1">
        <f t="array" ref="K79">IFERROR(AVERAGE(IF((OutputTable[GroupByKey]=OutputTable[[#This Row],[GroupByKey]]),(OutputTable[GroupByKey]=OutputTable[[#This Row],[GroupByKey]])*OutputTable[RecordedValue])),0)</f>
        <v>0</v>
      </c>
      <c r="L79" s="5" cm="1">
        <f t="array" ref="L79">IFERROR(_xlfn.STDEV.S(IF((OutputTable[GroupByKey]=OutputTable[[#This Row],[GroupByKey]]),(OutputTable[GroupByKey]=OutputTable[[#This Row],[GroupByKey]])*OutputTable[RecordedValue])),0)</f>
        <v>0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9" s="5" cm="1">
        <f t="array" ref="O79">MIN(IF((OutputTable[GroupByKey]=OutputTable[[#This Row],[GroupByKey]]),(OutputTable[GroupByKey]=OutputTable[[#This Row],[GroupByKey]])*OutputTable[RecordedValue]))</f>
        <v>0</v>
      </c>
      <c r="P79" s="5" cm="1">
        <f t="array" ref="P79">MAX(IF((OutputTable[GroupByKey]=OutputTable[[#This Row],[GroupByKey]]),(OutputTable[GroupByKey]=OutputTable[[#This Row],[GroupByKey]])*OutputTable[RecordedValue]))</f>
        <v>0</v>
      </c>
    </row>
    <row r="80" spans="1:16" x14ac:dyDescent="0.25">
      <c r="A80" t="s">
        <v>67</v>
      </c>
      <c r="B80" t="s">
        <v>70</v>
      </c>
      <c r="C80">
        <v>1</v>
      </c>
      <c r="D80" t="s">
        <v>251</v>
      </c>
      <c r="E80" t="s">
        <v>173</v>
      </c>
      <c r="F80" t="s">
        <v>136</v>
      </c>
      <c r="G80">
        <v>0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ProjectL1 Station3.BusyCostBusy CostResource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1</v>
      </c>
      <c r="K80" s="5" cm="1">
        <f t="array" ref="K80">IFERROR(AVERAGE(IF((OutputTable[GroupByKey]=OutputTable[[#This Row],[GroupByKey]]),(OutputTable[GroupByKey]=OutputTable[[#This Row],[GroupByKey]])*OutputTable[RecordedValue])),0)</f>
        <v>0</v>
      </c>
      <c r="L80" s="5" cm="1">
        <f t="array" ref="L80">IFERROR(_xlfn.STDEV.S(IF((OutputTable[GroupByKey]=OutputTable[[#This Row],[GroupByKey]]),(OutputTable[GroupByKey]=OutputTable[[#This Row],[GroupByKey]])*OutputTable[RecordedValue])),0)</f>
        <v>0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0" s="5" cm="1">
        <f t="array" ref="O80">MIN(IF((OutputTable[GroupByKey]=OutputTable[[#This Row],[GroupByKey]]),(OutputTable[GroupByKey]=OutputTable[[#This Row],[GroupByKey]])*OutputTable[RecordedValue]))</f>
        <v>0</v>
      </c>
      <c r="P80" s="5" cm="1">
        <f t="array" ref="P80">MAX(IF((OutputTable[GroupByKey]=OutputTable[[#This Row],[GroupByKey]]),(OutputTable[GroupByKey]=OutputTable[[#This Row],[GroupByKey]])*OutputTable[RecordedValue]))</f>
        <v>0</v>
      </c>
    </row>
    <row r="81" spans="1:16" x14ac:dyDescent="0.25">
      <c r="A81" t="s">
        <v>67</v>
      </c>
      <c r="B81" t="s">
        <v>70</v>
      </c>
      <c r="C81">
        <v>1</v>
      </c>
      <c r="D81" t="s">
        <v>252</v>
      </c>
      <c r="E81" t="s">
        <v>175</v>
      </c>
      <c r="F81" t="s">
        <v>136</v>
      </c>
      <c r="G81">
        <v>0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ProjectL1 Station3.IdleCostIdle CostResource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1</v>
      </c>
      <c r="K81" s="5" cm="1">
        <f t="array" ref="K81">IFERROR(AVERAGE(IF((OutputTable[GroupByKey]=OutputTable[[#This Row],[GroupByKey]]),(OutputTable[GroupByKey]=OutputTable[[#This Row],[GroupByKey]])*OutputTable[RecordedValue])),0)</f>
        <v>0</v>
      </c>
      <c r="L81" s="5" cm="1">
        <f t="array" ref="L81">IFERROR(_xlfn.STDEV.S(IF((OutputTable[GroupByKey]=OutputTable[[#This Row],[GroupByKey]]),(OutputTable[GroupByKey]=OutputTable[[#This Row],[GroupByKey]])*OutputTable[RecordedValue])),0)</f>
        <v>0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1" s="5" cm="1">
        <f t="array" ref="O81">MIN(IF((OutputTable[GroupByKey]=OutputTable[[#This Row],[GroupByKey]]),(OutputTable[GroupByKey]=OutputTable[[#This Row],[GroupByKey]])*OutputTable[RecordedValue]))</f>
        <v>0</v>
      </c>
      <c r="P81" s="5" cm="1">
        <f t="array" ref="P81">MAX(IF((OutputTable[GroupByKey]=OutputTable[[#This Row],[GroupByKey]]),(OutputTable[GroupByKey]=OutputTable[[#This Row],[GroupByKey]])*OutputTable[RecordedValue]))</f>
        <v>0</v>
      </c>
    </row>
    <row r="82" spans="1:16" x14ac:dyDescent="0.25">
      <c r="A82" t="s">
        <v>67</v>
      </c>
      <c r="B82" t="s">
        <v>70</v>
      </c>
      <c r="C82">
        <v>1</v>
      </c>
      <c r="D82" t="s">
        <v>253</v>
      </c>
      <c r="E82" t="s">
        <v>182</v>
      </c>
      <c r="F82" t="s">
        <v>136</v>
      </c>
      <c r="G82">
        <v>4193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ProjectL1 Station3.NumberSeizedTotal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1</v>
      </c>
      <c r="K82" s="5" cm="1">
        <f t="array" ref="K82">IFERROR(AVERAGE(IF((OutputTable[GroupByKey]=OutputTable[[#This Row],[GroupByKey]]),(OutputTable[GroupByKey]=OutputTable[[#This Row],[GroupByKey]])*OutputTable[RecordedValue])),0)</f>
        <v>4193</v>
      </c>
      <c r="L82" s="5" cm="1">
        <f t="array" ref="L82">IFERROR(_xlfn.STDEV.S(IF((OutputTable[GroupByKey]=OutputTable[[#This Row],[GroupByKey]]),(OutputTable[GroupByKey]=OutputTable[[#This Row],[GroupByKey]])*OutputTable[RecordedValue])),0)</f>
        <v>0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2" s="5" cm="1">
        <f t="array" ref="O82">MIN(IF((OutputTable[GroupByKey]=OutputTable[[#This Row],[GroupByKey]]),(OutputTable[GroupByKey]=OutputTable[[#This Row],[GroupByKey]])*OutputTable[RecordedValue]))</f>
        <v>4193</v>
      </c>
      <c r="P82" s="5" cm="1">
        <f t="array" ref="P82">MAX(IF((OutputTable[GroupByKey]=OutputTable[[#This Row],[GroupByKey]]),(OutputTable[GroupByKey]=OutputTable[[#This Row],[GroupByKey]])*OutputTable[RecordedValue]))</f>
        <v>4193</v>
      </c>
    </row>
    <row r="83" spans="1:16" x14ac:dyDescent="0.25">
      <c r="A83" t="s">
        <v>67</v>
      </c>
      <c r="B83" t="s">
        <v>70</v>
      </c>
      <c r="C83">
        <v>1</v>
      </c>
      <c r="D83" t="s">
        <v>254</v>
      </c>
      <c r="E83" t="s">
        <v>184</v>
      </c>
      <c r="F83" t="s">
        <v>136</v>
      </c>
      <c r="G83">
        <v>0.91597279721514702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ProjectL1 Station3.ScheduledUtilizationScheduled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1</v>
      </c>
      <c r="K83" s="5" cm="1">
        <f t="array" ref="K83">IFERROR(AVERAGE(IF((OutputTable[GroupByKey]=OutputTable[[#This Row],[GroupByKey]]),(OutputTable[GroupByKey]=OutputTable[[#This Row],[GroupByKey]])*OutputTable[RecordedValue])),0)</f>
        <v>0.91597279721514702</v>
      </c>
      <c r="L83" s="5" cm="1">
        <f t="array" ref="L83">IFERROR(_xlfn.STDEV.S(IF((OutputTable[GroupByKey]=OutputTable[[#This Row],[GroupByKey]]),(OutputTable[GroupByKey]=OutputTable[[#This Row],[GroupByKey]])*OutputTable[RecordedValue])),0)</f>
        <v>0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3" s="5" cm="1">
        <f t="array" ref="O83">MIN(IF((OutputTable[GroupByKey]=OutputTable[[#This Row],[GroupByKey]]),(OutputTable[GroupByKey]=OutputTable[[#This Row],[GroupByKey]])*OutputTable[RecordedValue]))</f>
        <v>0.91597279721514702</v>
      </c>
      <c r="P83" s="5" cm="1">
        <f t="array" ref="P83">MAX(IF((OutputTable[GroupByKey]=OutputTable[[#This Row],[GroupByKey]]),(OutputTable[GroupByKey]=OutputTable[[#This Row],[GroupByKey]])*OutputTable[RecordedValue]))</f>
        <v>0.91597279721514702</v>
      </c>
    </row>
    <row r="84" spans="1:16" x14ac:dyDescent="0.25">
      <c r="A84" t="s">
        <v>67</v>
      </c>
      <c r="B84" t="s">
        <v>70</v>
      </c>
      <c r="C84">
        <v>1</v>
      </c>
      <c r="D84" t="s">
        <v>255</v>
      </c>
      <c r="E84" t="s">
        <v>178</v>
      </c>
      <c r="F84" t="s">
        <v>136</v>
      </c>
      <c r="G84">
        <v>0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ProjectL1 Station3.UsageCostUsage CostResource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1</v>
      </c>
      <c r="K84" s="5" cm="1">
        <f t="array" ref="K84">IFERROR(AVERAGE(IF((OutputTable[GroupByKey]=OutputTable[[#This Row],[GroupByKey]]),(OutputTable[GroupByKey]=OutputTable[[#This Row],[GroupByKey]])*OutputTable[RecordedValue])),0)</f>
        <v>0</v>
      </c>
      <c r="L84" s="5" cm="1">
        <f t="array" ref="L84">IFERROR(_xlfn.STDEV.S(IF((OutputTable[GroupByKey]=OutputTable[[#This Row],[GroupByKey]]),(OutputTable[GroupByKey]=OutputTable[[#This Row],[GroupByKey]])*OutputTable[RecordedValue])),0)</f>
        <v>0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4" s="5" cm="1">
        <f t="array" ref="O84">MIN(IF((OutputTable[GroupByKey]=OutputTable[[#This Row],[GroupByKey]]),(OutputTable[GroupByKey]=OutputTable[[#This Row],[GroupByKey]])*OutputTable[RecordedValue]))</f>
        <v>0</v>
      </c>
      <c r="P84" s="5" cm="1">
        <f t="array" ref="P84">MAX(IF((OutputTable[GroupByKey]=OutputTable[[#This Row],[GroupByKey]]),(OutputTable[GroupByKey]=OutputTable[[#This Row],[GroupByKey]])*OutputTable[RecordedValue]))</f>
        <v>0</v>
      </c>
    </row>
    <row r="85" spans="1:16" x14ac:dyDescent="0.25">
      <c r="A85" t="s">
        <v>67</v>
      </c>
      <c r="B85" t="s">
        <v>70</v>
      </c>
      <c r="C85">
        <v>1</v>
      </c>
      <c r="D85" t="s">
        <v>256</v>
      </c>
      <c r="E85" t="s">
        <v>173</v>
      </c>
      <c r="F85" t="s">
        <v>136</v>
      </c>
      <c r="G85">
        <v>0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ProjectL2 Station1.BusyCostBusy CostResource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1</v>
      </c>
      <c r="K85" s="5" cm="1">
        <f t="array" ref="K85">IFERROR(AVERAGE(IF((OutputTable[GroupByKey]=OutputTable[[#This Row],[GroupByKey]]),(OutputTable[GroupByKey]=OutputTable[[#This Row],[GroupByKey]])*OutputTable[RecordedValue])),0)</f>
        <v>0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5" s="5" cm="1">
        <f t="array" ref="O85">MIN(IF((OutputTable[GroupByKey]=OutputTable[[#This Row],[GroupByKey]]),(OutputTable[GroupByKey]=OutputTable[[#This Row],[GroupByKey]])*OutputTable[RecordedValue]))</f>
        <v>0</v>
      </c>
      <c r="P85" s="5" cm="1">
        <f t="array" ref="P85">MAX(IF((OutputTable[GroupByKey]=OutputTable[[#This Row],[GroupByKey]]),(OutputTable[GroupByKey]=OutputTable[[#This Row],[GroupByKey]])*OutputTable[RecordedValue]))</f>
        <v>0</v>
      </c>
    </row>
    <row r="86" spans="1:16" x14ac:dyDescent="0.25">
      <c r="A86" t="s">
        <v>67</v>
      </c>
      <c r="B86" t="s">
        <v>70</v>
      </c>
      <c r="C86">
        <v>1</v>
      </c>
      <c r="D86" t="s">
        <v>257</v>
      </c>
      <c r="E86" t="s">
        <v>175</v>
      </c>
      <c r="F86" t="s">
        <v>136</v>
      </c>
      <c r="G86">
        <v>0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ProjectL2 Station1.IdleCostIdle CostResource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1</v>
      </c>
      <c r="K86" s="5" cm="1">
        <f t="array" ref="K86">IFERROR(AVERAGE(IF((OutputTable[GroupByKey]=OutputTable[[#This Row],[GroupByKey]]),(OutputTable[GroupByKey]=OutputTable[[#This Row],[GroupByKey]])*OutputTable[RecordedValue])),0)</f>
        <v>0</v>
      </c>
      <c r="L86" s="5" cm="1">
        <f t="array" ref="L86">IFERROR(_xlfn.STDEV.S(IF((OutputTable[GroupByKey]=OutputTable[[#This Row],[GroupByKey]]),(OutputTable[GroupByKey]=OutputTable[[#This Row],[GroupByKey]])*OutputTable[RecordedValue])),0)</f>
        <v>0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6" s="5" cm="1">
        <f t="array" ref="O86">MIN(IF((OutputTable[GroupByKey]=OutputTable[[#This Row],[GroupByKey]]),(OutputTable[GroupByKey]=OutputTable[[#This Row],[GroupByKey]])*OutputTable[RecordedValue]))</f>
        <v>0</v>
      </c>
      <c r="P86" s="5" cm="1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25">
      <c r="A87" t="s">
        <v>67</v>
      </c>
      <c r="B87" t="s">
        <v>70</v>
      </c>
      <c r="C87">
        <v>1</v>
      </c>
      <c r="D87" t="s">
        <v>258</v>
      </c>
      <c r="E87" t="s">
        <v>182</v>
      </c>
      <c r="F87" t="s">
        <v>136</v>
      </c>
      <c r="G87">
        <v>2023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ProjectL2 Station1.NumberSeizedTotal Number SeizedResource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1</v>
      </c>
      <c r="K87" s="5" cm="1">
        <f t="array" ref="K87">IFERROR(AVERAGE(IF((OutputTable[GroupByKey]=OutputTable[[#This Row],[GroupByKey]]),(OutputTable[GroupByKey]=OutputTable[[#This Row],[GroupByKey]])*OutputTable[RecordedValue])),0)</f>
        <v>2023</v>
      </c>
      <c r="L87" s="5" cm="1">
        <f t="array" ref="L87">IFERROR(_xlfn.STDEV.S(IF((OutputTable[GroupByKey]=OutputTable[[#This Row],[GroupByKey]]),(OutputTable[GroupByKey]=OutputTable[[#This Row],[GroupByKey]])*OutputTable[RecordedValue])),0)</f>
        <v>0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7" s="5" cm="1">
        <f t="array" ref="O87">MIN(IF((OutputTable[GroupByKey]=OutputTable[[#This Row],[GroupByKey]]),(OutputTable[GroupByKey]=OutputTable[[#This Row],[GroupByKey]])*OutputTable[RecordedValue]))</f>
        <v>2023</v>
      </c>
      <c r="P87" s="5" cm="1">
        <f t="array" ref="P87">MAX(IF((OutputTable[GroupByKey]=OutputTable[[#This Row],[GroupByKey]]),(OutputTable[GroupByKey]=OutputTable[[#This Row],[GroupByKey]])*OutputTable[RecordedValue]))</f>
        <v>2023</v>
      </c>
    </row>
    <row r="88" spans="1:16" x14ac:dyDescent="0.25">
      <c r="A88" t="s">
        <v>67</v>
      </c>
      <c r="B88" t="s">
        <v>70</v>
      </c>
      <c r="C88">
        <v>1</v>
      </c>
      <c r="D88" t="s">
        <v>259</v>
      </c>
      <c r="E88" t="s">
        <v>184</v>
      </c>
      <c r="F88" t="s">
        <v>136</v>
      </c>
      <c r="G88">
        <v>0.28226201264062101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ProjectL2 Station1.ScheduledUtilizationScheduled UtilizationResource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1</v>
      </c>
      <c r="K88" s="5" cm="1">
        <f t="array" ref="K88">IFERROR(AVERAGE(IF((OutputTable[GroupByKey]=OutputTable[[#This Row],[GroupByKey]]),(OutputTable[GroupByKey]=OutputTable[[#This Row],[GroupByKey]])*OutputTable[RecordedValue])),0)</f>
        <v>0.28226201264062101</v>
      </c>
      <c r="L88" s="5" cm="1">
        <f t="array" ref="L88">IFERROR(_xlfn.STDEV.S(IF((OutputTable[GroupByKey]=OutputTable[[#This Row],[GroupByKey]]),(OutputTable[GroupByKey]=OutputTable[[#This Row],[GroupByKey]])*OutputTable[RecordedValue])),0)</f>
        <v>0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8" s="5" cm="1">
        <f t="array" ref="O88">MIN(IF((OutputTable[GroupByKey]=OutputTable[[#This Row],[GroupByKey]]),(OutputTable[GroupByKey]=OutputTable[[#This Row],[GroupByKey]])*OutputTable[RecordedValue]))</f>
        <v>0.28226201264062101</v>
      </c>
      <c r="P88" s="5" cm="1">
        <f t="array" ref="P88">MAX(IF((OutputTable[GroupByKey]=OutputTable[[#This Row],[GroupByKey]]),(OutputTable[GroupByKey]=OutputTable[[#This Row],[GroupByKey]])*OutputTable[RecordedValue]))</f>
        <v>0.28226201264062101</v>
      </c>
    </row>
    <row r="89" spans="1:16" x14ac:dyDescent="0.25">
      <c r="A89" t="s">
        <v>67</v>
      </c>
      <c r="B89" t="s">
        <v>70</v>
      </c>
      <c r="C89">
        <v>1</v>
      </c>
      <c r="D89" t="s">
        <v>260</v>
      </c>
      <c r="E89" t="s">
        <v>178</v>
      </c>
      <c r="F89" t="s">
        <v>136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ProjectL2 Station1.UsageCostUsage CostResource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1</v>
      </c>
      <c r="K89" s="5" cm="1">
        <f t="array" ref="K89">IFERROR(AVERAGE(IF((OutputTable[GroupByKey]=OutputTable[[#This Row],[GroupByKey]]),(OutputTable[GroupByKey]=OutputTable[[#This Row],[GroupByKey]])*OutputTable[RecordedValue])),0)</f>
        <v>0</v>
      </c>
      <c r="L89" s="5" cm="1">
        <f t="array" ref="L89">IFERROR(_xlfn.STDEV.S(IF((OutputTable[GroupByKey]=OutputTable[[#This Row],[GroupByKey]]),(OutputTable[GroupByKey]=OutputTable[[#This Row],[GroupByKey]])*OutputTable[RecordedValue])),0)</f>
        <v>0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25">
      <c r="A90" t="s">
        <v>67</v>
      </c>
      <c r="B90" t="s">
        <v>70</v>
      </c>
      <c r="C90">
        <v>1</v>
      </c>
      <c r="D90" t="s">
        <v>261</v>
      </c>
      <c r="E90" t="s">
        <v>173</v>
      </c>
      <c r="F90" t="s">
        <v>136</v>
      </c>
      <c r="G90">
        <v>0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ProjectL2 Station2.BusyCostBusy CostResource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1</v>
      </c>
      <c r="K90" s="5" cm="1">
        <f t="array" ref="K90">IFERROR(AVERAGE(IF((OutputTable[GroupByKey]=OutputTable[[#This Row],[GroupByKey]]),(OutputTable[GroupByKey]=OutputTable[[#This Row],[GroupByKey]])*OutputTable[RecordedValue])),0)</f>
        <v>0</v>
      </c>
      <c r="L90" s="5" cm="1">
        <f t="array" ref="L90">IFERROR(_xlfn.STDEV.S(IF((OutputTable[GroupByKey]=OutputTable[[#This Row],[GroupByKey]]),(OutputTable[GroupByKey]=OutputTable[[#This Row],[GroupByKey]])*OutputTable[RecordedValue])),0)</f>
        <v>0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0" s="5" cm="1">
        <f t="array" ref="O90">MIN(IF((OutputTable[GroupByKey]=OutputTable[[#This Row],[GroupByKey]]),(OutputTable[GroupByKey]=OutputTable[[#This Row],[GroupByKey]])*OutputTable[RecordedValue]))</f>
        <v>0</v>
      </c>
      <c r="P90" s="5" cm="1">
        <f t="array" ref="P90">MAX(IF((OutputTable[GroupByKey]=OutputTable[[#This Row],[GroupByKey]]),(OutputTable[GroupByKey]=OutputTable[[#This Row],[GroupByKey]])*OutputTable[RecordedValue]))</f>
        <v>0</v>
      </c>
    </row>
    <row r="91" spans="1:16" x14ac:dyDescent="0.25">
      <c r="A91" t="s">
        <v>67</v>
      </c>
      <c r="B91" t="s">
        <v>70</v>
      </c>
      <c r="C91">
        <v>1</v>
      </c>
      <c r="D91" t="s">
        <v>262</v>
      </c>
      <c r="E91" t="s">
        <v>175</v>
      </c>
      <c r="F91" t="s">
        <v>136</v>
      </c>
      <c r="G91">
        <v>0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ProjectL2 Station2.IdleCostIdle CostResource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1</v>
      </c>
      <c r="K91" s="5" cm="1">
        <f t="array" ref="K91">IFERROR(AVERAGE(IF((OutputTable[GroupByKey]=OutputTable[[#This Row],[GroupByKey]]),(OutputTable[GroupByKey]=OutputTable[[#This Row],[GroupByKey]])*OutputTable[RecordedValue])),0)</f>
        <v>0</v>
      </c>
      <c r="L91" s="5" cm="1">
        <f t="array" ref="L91">IFERROR(_xlfn.STDEV.S(IF((OutputTable[GroupByKey]=OutputTable[[#This Row],[GroupByKey]]),(OutputTable[GroupByKey]=OutputTable[[#This Row],[GroupByKey]])*OutputTable[RecordedValue])),0)</f>
        <v>0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1" s="5" cm="1">
        <f t="array" ref="O91">MIN(IF((OutputTable[GroupByKey]=OutputTable[[#This Row],[GroupByKey]]),(OutputTable[GroupByKey]=OutputTable[[#This Row],[GroupByKey]])*OutputTable[RecordedValue]))</f>
        <v>0</v>
      </c>
      <c r="P91" s="5" cm="1">
        <f t="array" ref="P91">MAX(IF((OutputTable[GroupByKey]=OutputTable[[#This Row],[GroupByKey]]),(OutputTable[GroupByKey]=OutputTable[[#This Row],[GroupByKey]])*OutputTable[RecordedValue]))</f>
        <v>0</v>
      </c>
    </row>
    <row r="92" spans="1:16" x14ac:dyDescent="0.25">
      <c r="A92" t="s">
        <v>67</v>
      </c>
      <c r="B92" t="s">
        <v>70</v>
      </c>
      <c r="C92">
        <v>1</v>
      </c>
      <c r="D92" t="s">
        <v>263</v>
      </c>
      <c r="E92" t="s">
        <v>182</v>
      </c>
      <c r="F92" t="s">
        <v>136</v>
      </c>
      <c r="G92">
        <v>2022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ProjectL2 Station2.NumberSeizedTotal Number SeizedResource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1</v>
      </c>
      <c r="K92" s="5" cm="1">
        <f t="array" ref="K92">IFERROR(AVERAGE(IF((OutputTable[GroupByKey]=OutputTable[[#This Row],[GroupByKey]]),(OutputTable[GroupByKey]=OutputTable[[#This Row],[GroupByKey]])*OutputTable[RecordedValue])),0)</f>
        <v>2022</v>
      </c>
      <c r="L92" s="5" cm="1">
        <f t="array" ref="L92">IFERROR(_xlfn.STDEV.S(IF((OutputTable[GroupByKey]=OutputTable[[#This Row],[GroupByKey]]),(OutputTable[GroupByKey]=OutputTable[[#This Row],[GroupByKey]])*OutputTable[RecordedValue])),0)</f>
        <v>0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2" s="5" cm="1">
        <f t="array" ref="O92">MIN(IF((OutputTable[GroupByKey]=OutputTable[[#This Row],[GroupByKey]]),(OutputTable[GroupByKey]=OutputTable[[#This Row],[GroupByKey]])*OutputTable[RecordedValue]))</f>
        <v>2022</v>
      </c>
      <c r="P92" s="5" cm="1">
        <f t="array" ref="P92">MAX(IF((OutputTable[GroupByKey]=OutputTable[[#This Row],[GroupByKey]]),(OutputTable[GroupByKey]=OutputTable[[#This Row],[GroupByKey]])*OutputTable[RecordedValue]))</f>
        <v>2022</v>
      </c>
    </row>
    <row r="93" spans="1:16" x14ac:dyDescent="0.25">
      <c r="A93" t="s">
        <v>67</v>
      </c>
      <c r="B93" t="s">
        <v>70</v>
      </c>
      <c r="C93">
        <v>1</v>
      </c>
      <c r="D93" t="s">
        <v>264</v>
      </c>
      <c r="E93" t="s">
        <v>184</v>
      </c>
      <c r="F93" t="s">
        <v>136</v>
      </c>
      <c r="G93">
        <v>0.400248686969426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ProjectL2 Station2.ScheduledUtilizationScheduled UtilizationResource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1</v>
      </c>
      <c r="K93" s="5" cm="1">
        <f t="array" ref="K93">IFERROR(AVERAGE(IF((OutputTable[GroupByKey]=OutputTable[[#This Row],[GroupByKey]]),(OutputTable[GroupByKey]=OutputTable[[#This Row],[GroupByKey]])*OutputTable[RecordedValue])),0)</f>
        <v>0.400248686969426</v>
      </c>
      <c r="L93" s="5" cm="1">
        <f t="array" ref="L93">IFERROR(_xlfn.STDEV.S(IF((OutputTable[GroupByKey]=OutputTable[[#This Row],[GroupByKey]]),(OutputTable[GroupByKey]=OutputTable[[#This Row],[GroupByKey]])*OutputTable[RecordedValue])),0)</f>
        <v>0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3" s="5" cm="1">
        <f t="array" ref="O93">MIN(IF((OutputTable[GroupByKey]=OutputTable[[#This Row],[GroupByKey]]),(OutputTable[GroupByKey]=OutputTable[[#This Row],[GroupByKey]])*OutputTable[RecordedValue]))</f>
        <v>0.400248686969426</v>
      </c>
      <c r="P93" s="5" cm="1">
        <f t="array" ref="P93">MAX(IF((OutputTable[GroupByKey]=OutputTable[[#This Row],[GroupByKey]]),(OutputTable[GroupByKey]=OutputTable[[#This Row],[GroupByKey]])*OutputTable[RecordedValue]))</f>
        <v>0.400248686969426</v>
      </c>
    </row>
    <row r="94" spans="1:16" x14ac:dyDescent="0.25">
      <c r="A94" t="s">
        <v>67</v>
      </c>
      <c r="B94" t="s">
        <v>70</v>
      </c>
      <c r="C94">
        <v>1</v>
      </c>
      <c r="D94" t="s">
        <v>265</v>
      </c>
      <c r="E94" t="s">
        <v>178</v>
      </c>
      <c r="F94" t="s">
        <v>136</v>
      </c>
      <c r="G94">
        <v>0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ProjectL2 Station2.UsageCostUsage CostResource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1</v>
      </c>
      <c r="K94" s="5" cm="1">
        <f t="array" ref="K94">IFERROR(AVERAGE(IF((OutputTable[GroupByKey]=OutputTable[[#This Row],[GroupByKey]]),(OutputTable[GroupByKey]=OutputTable[[#This Row],[GroupByKey]])*OutputTable[RecordedValue])),0)</f>
        <v>0</v>
      </c>
      <c r="L94" s="5" cm="1">
        <f t="array" ref="L94">IFERROR(_xlfn.STDEV.S(IF((OutputTable[GroupByKey]=OutputTable[[#This Row],[GroupByKey]]),(OutputTable[GroupByKey]=OutputTable[[#This Row],[GroupByKey]])*OutputTable[RecordedValue])),0)</f>
        <v>0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25">
      <c r="A95" t="s">
        <v>67</v>
      </c>
      <c r="B95" t="s">
        <v>70</v>
      </c>
      <c r="C95">
        <v>1</v>
      </c>
      <c r="D95" t="s">
        <v>266</v>
      </c>
      <c r="E95" t="s">
        <v>173</v>
      </c>
      <c r="F95" t="s">
        <v>136</v>
      </c>
      <c r="G95">
        <v>0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ProjectL2 Station3.BusyCostBusy CostResource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1</v>
      </c>
      <c r="K95" s="5" cm="1">
        <f t="array" ref="K95">IFERROR(AVERAGE(IF((OutputTable[GroupByKey]=OutputTable[[#This Row],[GroupByKey]]),(OutputTable[GroupByKey]=OutputTable[[#This Row],[GroupByKey]])*OutputTable[RecordedValue])),0)</f>
        <v>0</v>
      </c>
      <c r="L95" s="5" cm="1">
        <f t="array" ref="L95">IFERROR(_xlfn.STDEV.S(IF((OutputTable[GroupByKey]=OutputTable[[#This Row],[GroupByKey]]),(OutputTable[GroupByKey]=OutputTable[[#This Row],[GroupByKey]])*OutputTable[RecordedValue])),0)</f>
        <v>0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5" s="5" cm="1">
        <f t="array" ref="O95">MIN(IF((OutputTable[GroupByKey]=OutputTable[[#This Row],[GroupByKey]]),(OutputTable[GroupByKey]=OutputTable[[#This Row],[GroupByKey]])*OutputTable[RecordedValue]))</f>
        <v>0</v>
      </c>
      <c r="P95" s="5" cm="1">
        <f t="array" ref="P95">MAX(IF((OutputTable[GroupByKey]=OutputTable[[#This Row],[GroupByKey]]),(OutputTable[GroupByKey]=OutputTable[[#This Row],[GroupByKey]])*OutputTable[RecordedValue]))</f>
        <v>0</v>
      </c>
    </row>
    <row r="96" spans="1:16" x14ac:dyDescent="0.25">
      <c r="A96" t="s">
        <v>67</v>
      </c>
      <c r="B96" t="s">
        <v>70</v>
      </c>
      <c r="C96">
        <v>1</v>
      </c>
      <c r="D96" t="s">
        <v>267</v>
      </c>
      <c r="E96" t="s">
        <v>175</v>
      </c>
      <c r="F96" t="s">
        <v>136</v>
      </c>
      <c r="G96">
        <v>0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ProjectL2 Station3.IdleCostIdle CostResource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1</v>
      </c>
      <c r="K96" s="5" cm="1">
        <f t="array" ref="K96">IFERROR(AVERAGE(IF((OutputTable[GroupByKey]=OutputTable[[#This Row],[GroupByKey]]),(OutputTable[GroupByKey]=OutputTable[[#This Row],[GroupByKey]])*OutputTable[RecordedValue])),0)</f>
        <v>0</v>
      </c>
      <c r="L96" s="5" cm="1">
        <f t="array" ref="L96">IFERROR(_xlfn.STDEV.S(IF((OutputTable[GroupByKey]=OutputTable[[#This Row],[GroupByKey]]),(OutputTable[GroupByKey]=OutputTable[[#This Row],[GroupByKey]])*OutputTable[RecordedValue])),0)</f>
        <v>0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6" s="5" cm="1">
        <f t="array" ref="O96">MIN(IF((OutputTable[GroupByKey]=OutputTable[[#This Row],[GroupByKey]]),(OutputTable[GroupByKey]=OutputTable[[#This Row],[GroupByKey]])*OutputTable[RecordedValue]))</f>
        <v>0</v>
      </c>
      <c r="P96" s="5" cm="1">
        <f t="array" ref="P96">MAX(IF((OutputTable[GroupByKey]=OutputTable[[#This Row],[GroupByKey]]),(OutputTable[GroupByKey]=OutputTable[[#This Row],[GroupByKey]])*OutputTable[RecordedValue]))</f>
        <v>0</v>
      </c>
    </row>
    <row r="97" spans="1:16" x14ac:dyDescent="0.25">
      <c r="A97" t="s">
        <v>67</v>
      </c>
      <c r="B97" t="s">
        <v>70</v>
      </c>
      <c r="C97">
        <v>1</v>
      </c>
      <c r="D97" t="s">
        <v>268</v>
      </c>
      <c r="E97" t="s">
        <v>182</v>
      </c>
      <c r="F97" t="s">
        <v>136</v>
      </c>
      <c r="G97">
        <v>2015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ProjectL2 Station3.NumberSeizedTotal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1</v>
      </c>
      <c r="K97" s="5" cm="1">
        <f t="array" ref="K97">IFERROR(AVERAGE(IF((OutputTable[GroupByKey]=OutputTable[[#This Row],[GroupByKey]]),(OutputTable[GroupByKey]=OutputTable[[#This Row],[GroupByKey]])*OutputTable[RecordedValue])),0)</f>
        <v>2015</v>
      </c>
      <c r="L97" s="5" cm="1">
        <f t="array" ref="L97">IFERROR(_xlfn.STDEV.S(IF((OutputTable[GroupByKey]=OutputTable[[#This Row],[GroupByKey]]),(OutputTable[GroupByKey]=OutputTable[[#This Row],[GroupByKey]])*OutputTable[RecordedValue])),0)</f>
        <v>0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7" s="5" cm="1">
        <f t="array" ref="O97">MIN(IF((OutputTable[GroupByKey]=OutputTable[[#This Row],[GroupByKey]]),(OutputTable[GroupByKey]=OutputTable[[#This Row],[GroupByKey]])*OutputTable[RecordedValue]))</f>
        <v>2015</v>
      </c>
      <c r="P97" s="5" cm="1">
        <f t="array" ref="P97">MAX(IF((OutputTable[GroupByKey]=OutputTable[[#This Row],[GroupByKey]]),(OutputTable[GroupByKey]=OutputTable[[#This Row],[GroupByKey]])*OutputTable[RecordedValue]))</f>
        <v>2015</v>
      </c>
    </row>
    <row r="98" spans="1:16" x14ac:dyDescent="0.25">
      <c r="A98" t="s">
        <v>67</v>
      </c>
      <c r="B98" t="s">
        <v>70</v>
      </c>
      <c r="C98">
        <v>1</v>
      </c>
      <c r="D98" t="s">
        <v>269</v>
      </c>
      <c r="E98" t="s">
        <v>184</v>
      </c>
      <c r="F98" t="s">
        <v>136</v>
      </c>
      <c r="G98">
        <v>0.999710769940933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ProjectL2 Station3.ScheduledUtilizationScheduled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1</v>
      </c>
      <c r="K98" s="5" cm="1">
        <f t="array" ref="K98">IFERROR(AVERAGE(IF((OutputTable[GroupByKey]=OutputTable[[#This Row],[GroupByKey]]),(OutputTable[GroupByKey]=OutputTable[[#This Row],[GroupByKey]])*OutputTable[RecordedValue])),0)</f>
        <v>0.999710769940933</v>
      </c>
      <c r="L98" s="5" cm="1">
        <f t="array" ref="L98">IFERROR(_xlfn.STDEV.S(IF((OutputTable[GroupByKey]=OutputTable[[#This Row],[GroupByKey]]),(OutputTable[GroupByKey]=OutputTable[[#This Row],[GroupByKey]])*OutputTable[RecordedValue])),0)</f>
        <v>0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8" s="5" cm="1">
        <f t="array" ref="O98">MIN(IF((OutputTable[GroupByKey]=OutputTable[[#This Row],[GroupByKey]]),(OutputTable[GroupByKey]=OutputTable[[#This Row],[GroupByKey]])*OutputTable[RecordedValue]))</f>
        <v>0.999710769940933</v>
      </c>
      <c r="P98" s="5" cm="1">
        <f t="array" ref="P98">MAX(IF((OutputTable[GroupByKey]=OutputTable[[#This Row],[GroupByKey]]),(OutputTable[GroupByKey]=OutputTable[[#This Row],[GroupByKey]])*OutputTable[RecordedValue]))</f>
        <v>0.999710769940933</v>
      </c>
    </row>
    <row r="99" spans="1:16" x14ac:dyDescent="0.25">
      <c r="A99" t="s">
        <v>67</v>
      </c>
      <c r="B99" t="s">
        <v>70</v>
      </c>
      <c r="C99">
        <v>1</v>
      </c>
      <c r="D99" t="s">
        <v>270</v>
      </c>
      <c r="E99" t="s">
        <v>178</v>
      </c>
      <c r="F99" t="s">
        <v>136</v>
      </c>
      <c r="G99">
        <v>0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ProjectL2 Station3.UsageCostUsage CostResource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1</v>
      </c>
      <c r="K99" s="5" cm="1">
        <f t="array" ref="K99">IFERROR(AVERAGE(IF((OutputTable[GroupByKey]=OutputTable[[#This Row],[GroupByKey]]),(OutputTable[GroupByKey]=OutputTable[[#This Row],[GroupByKey]])*OutputTable[RecordedValue])),0)</f>
        <v>0</v>
      </c>
      <c r="L99" s="5" cm="1">
        <f t="array" ref="L99">IFERROR(_xlfn.STDEV.S(IF((OutputTable[GroupByKey]=OutputTable[[#This Row],[GroupByKey]]),(OutputTable[GroupByKey]=OutputTable[[#This Row],[GroupByKey]])*OutputTable[RecordedValue])),0)</f>
        <v>0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9" s="5" cm="1">
        <f t="array" ref="O99">MIN(IF((OutputTable[GroupByKey]=OutputTable[[#This Row],[GroupByKey]]),(OutputTable[GroupByKey]=OutputTable[[#This Row],[GroupByKey]])*OutputTable[RecordedValue]))</f>
        <v>0</v>
      </c>
      <c r="P99" s="5" cm="1">
        <f t="array" ref="P99">MAX(IF((OutputTable[GroupByKey]=OutputTable[[#This Row],[GroupByKey]]),(OutputTable[GroupByKey]=OutputTable[[#This Row],[GroupByKey]])*OutputTable[RecordedValue]))</f>
        <v>0</v>
      </c>
    </row>
    <row r="100" spans="1:16" x14ac:dyDescent="0.25">
      <c r="A100" t="s">
        <v>67</v>
      </c>
      <c r="B100" t="s">
        <v>70</v>
      </c>
      <c r="C100">
        <v>1</v>
      </c>
      <c r="D100" t="s">
        <v>271</v>
      </c>
      <c r="E100" t="s">
        <v>173</v>
      </c>
      <c r="F100" t="s">
        <v>136</v>
      </c>
      <c r="G100">
        <v>0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ProjectL2 Station4.BusyCostBusy CostResource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1</v>
      </c>
      <c r="K100" s="5" cm="1">
        <f t="array" ref="K100">IFERROR(AVERAGE(IF((OutputTable[GroupByKey]=OutputTable[[#This Row],[GroupByKey]]),(OutputTable[GroupByKey]=OutputTable[[#This Row],[GroupByKey]])*OutputTable[RecordedValue])),0)</f>
        <v>0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0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0" s="5" cm="1">
        <f t="array" ref="O100">MIN(IF((OutputTable[GroupByKey]=OutputTable[[#This Row],[GroupByKey]]),(OutputTable[GroupByKey]=OutputTable[[#This Row],[GroupByKey]])*OutputTable[RecordedValue]))</f>
        <v>0</v>
      </c>
      <c r="P100" s="5" cm="1">
        <f t="array" ref="P100">MAX(IF((OutputTable[GroupByKey]=OutputTable[[#This Row],[GroupByKey]]),(OutputTable[GroupByKey]=OutputTable[[#This Row],[GroupByKey]])*OutputTable[RecordedValue]))</f>
        <v>0</v>
      </c>
    </row>
    <row r="101" spans="1:16" x14ac:dyDescent="0.25">
      <c r="A101" t="s">
        <v>67</v>
      </c>
      <c r="B101" t="s">
        <v>70</v>
      </c>
      <c r="C101">
        <v>1</v>
      </c>
      <c r="D101" t="s">
        <v>272</v>
      </c>
      <c r="E101" t="s">
        <v>175</v>
      </c>
      <c r="F101" t="s">
        <v>136</v>
      </c>
      <c r="G101">
        <v>0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ProjectL2 Station4.IdleCostIdle CostResource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1</v>
      </c>
      <c r="K101" s="5" cm="1">
        <f t="array" ref="K101">IFERROR(AVERAGE(IF((OutputTable[GroupByKey]=OutputTable[[#This Row],[GroupByKey]]),(OutputTable[GroupByKey]=OutputTable[[#This Row],[GroupByKey]])*OutputTable[RecordedValue])),0)</f>
        <v>0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1" s="5" cm="1">
        <f t="array" ref="O101">MIN(IF((OutputTable[GroupByKey]=OutputTable[[#This Row],[GroupByKey]]),(OutputTable[GroupByKey]=OutputTable[[#This Row],[GroupByKey]])*OutputTable[RecordedValue]))</f>
        <v>0</v>
      </c>
      <c r="P101" s="5" cm="1">
        <f t="array" ref="P101">MAX(IF((OutputTable[GroupByKey]=OutputTable[[#This Row],[GroupByKey]]),(OutputTable[GroupByKey]=OutputTable[[#This Row],[GroupByKey]])*OutputTable[RecordedValue]))</f>
        <v>0</v>
      </c>
    </row>
    <row r="102" spans="1:16" x14ac:dyDescent="0.25">
      <c r="A102" t="s">
        <v>67</v>
      </c>
      <c r="B102" t="s">
        <v>70</v>
      </c>
      <c r="C102">
        <v>1</v>
      </c>
      <c r="D102" t="s">
        <v>273</v>
      </c>
      <c r="E102" t="s">
        <v>182</v>
      </c>
      <c r="F102" t="s">
        <v>136</v>
      </c>
      <c r="G102">
        <v>2014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ProjectL2 Station4.NumberSeizedTotal Number SeizedResource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1</v>
      </c>
      <c r="K102" s="5" cm="1">
        <f t="array" ref="K102">IFERROR(AVERAGE(IF((OutputTable[GroupByKey]=OutputTable[[#This Row],[GroupByKey]]),(OutputTable[GroupByKey]=OutputTable[[#This Row],[GroupByKey]])*OutputTable[RecordedValue])),0)</f>
        <v>2014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0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2" s="5" cm="1">
        <f t="array" ref="O102">MIN(IF((OutputTable[GroupByKey]=OutputTable[[#This Row],[GroupByKey]]),(OutputTable[GroupByKey]=OutputTable[[#This Row],[GroupByKey]])*OutputTable[RecordedValue]))</f>
        <v>2014</v>
      </c>
      <c r="P102" s="5" cm="1">
        <f t="array" ref="P102">MAX(IF((OutputTable[GroupByKey]=OutputTable[[#This Row],[GroupByKey]]),(OutputTable[GroupByKey]=OutputTable[[#This Row],[GroupByKey]])*OutputTable[RecordedValue]))</f>
        <v>2014</v>
      </c>
    </row>
    <row r="103" spans="1:16" x14ac:dyDescent="0.25">
      <c r="A103" t="s">
        <v>67</v>
      </c>
      <c r="B103" t="s">
        <v>70</v>
      </c>
      <c r="C103">
        <v>1</v>
      </c>
      <c r="D103" t="s">
        <v>274</v>
      </c>
      <c r="E103" t="s">
        <v>184</v>
      </c>
      <c r="F103" t="s">
        <v>136</v>
      </c>
      <c r="G103">
        <v>0.47888381979299199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ProjectL2 Station4.ScheduledUtilizationScheduled UtilizationResource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1</v>
      </c>
      <c r="K103" s="5" cm="1">
        <f t="array" ref="K103">IFERROR(AVERAGE(IF((OutputTable[GroupByKey]=OutputTable[[#This Row],[GroupByKey]]),(OutputTable[GroupByKey]=OutputTable[[#This Row],[GroupByKey]])*OutputTable[RecordedValue])),0)</f>
        <v>0.47888381979299199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3" s="5" cm="1">
        <f t="array" ref="O103">MIN(IF((OutputTable[GroupByKey]=OutputTable[[#This Row],[GroupByKey]]),(OutputTable[GroupByKey]=OutputTable[[#This Row],[GroupByKey]])*OutputTable[RecordedValue]))</f>
        <v>0.47888381979299199</v>
      </c>
      <c r="P103" s="5" cm="1">
        <f t="array" ref="P103">MAX(IF((OutputTable[GroupByKey]=OutputTable[[#This Row],[GroupByKey]]),(OutputTable[GroupByKey]=OutputTable[[#This Row],[GroupByKey]])*OutputTable[RecordedValue]))</f>
        <v>0.47888381979299199</v>
      </c>
    </row>
    <row r="104" spans="1:16" x14ac:dyDescent="0.25">
      <c r="A104" t="s">
        <v>67</v>
      </c>
      <c r="B104" t="s">
        <v>70</v>
      </c>
      <c r="C104">
        <v>1</v>
      </c>
      <c r="D104" t="s">
        <v>275</v>
      </c>
      <c r="E104" t="s">
        <v>178</v>
      </c>
      <c r="F104" t="s">
        <v>136</v>
      </c>
      <c r="G104">
        <v>0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ProjectL2 Station4.UsageCostUsage CostResource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1</v>
      </c>
      <c r="K104" s="5" cm="1">
        <f t="array" ref="K104">IFERROR(AVERAGE(IF((OutputTable[GroupByKey]=OutputTable[[#This Row],[GroupByKey]]),(OutputTable[GroupByKey]=OutputTable[[#This Row],[GroupByKey]])*OutputTable[RecordedValue])),0)</f>
        <v>0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0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4" s="5" cm="1">
        <f t="array" ref="O104">MIN(IF((OutputTable[GroupByKey]=OutputTable[[#This Row],[GroupByKey]]),(OutputTable[GroupByKey]=OutputTable[[#This Row],[GroupByKey]])*OutputTable[RecordedValue]))</f>
        <v>0</v>
      </c>
      <c r="P104" s="5" cm="1">
        <f t="array" ref="P104">MAX(IF((OutputTable[GroupByKey]=OutputTable[[#This Row],[GroupByKey]]),(OutputTable[GroupByKey]=OutputTable[[#This Row],[GroupByKey]])*OutputTable[RecordedValue]))</f>
        <v>0</v>
      </c>
    </row>
    <row r="105" spans="1:16" x14ac:dyDescent="0.25">
      <c r="A105" t="s">
        <v>67</v>
      </c>
      <c r="B105" t="s">
        <v>70</v>
      </c>
      <c r="C105">
        <v>1</v>
      </c>
      <c r="D105" t="s">
        <v>276</v>
      </c>
      <c r="E105" t="s">
        <v>173</v>
      </c>
      <c r="F105" t="s">
        <v>136</v>
      </c>
      <c r="G105">
        <v>0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ProjectL3 Station1.BusyCostBusy CostResource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1</v>
      </c>
      <c r="K105" s="5" cm="1">
        <f t="array" ref="K105">IFERROR(AVERAGE(IF((OutputTable[GroupByKey]=OutputTable[[#This Row],[GroupByKey]]),(OutputTable[GroupByKey]=OutputTable[[#This Row],[GroupByKey]])*OutputTable[RecordedValue])),0)</f>
        <v>0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0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5" s="5" cm="1">
        <f t="array" ref="O105">MIN(IF((OutputTable[GroupByKey]=OutputTable[[#This Row],[GroupByKey]]),(OutputTable[GroupByKey]=OutputTable[[#This Row],[GroupByKey]])*OutputTable[RecordedValue]))</f>
        <v>0</v>
      </c>
      <c r="P105" s="5" cm="1">
        <f t="array" ref="P105">MAX(IF((OutputTable[GroupByKey]=OutputTable[[#This Row],[GroupByKey]]),(OutputTable[GroupByKey]=OutputTable[[#This Row],[GroupByKey]])*OutputTable[RecordedValue]))</f>
        <v>0</v>
      </c>
    </row>
    <row r="106" spans="1:16" x14ac:dyDescent="0.25">
      <c r="A106" t="s">
        <v>67</v>
      </c>
      <c r="B106" t="s">
        <v>70</v>
      </c>
      <c r="C106">
        <v>1</v>
      </c>
      <c r="D106" t="s">
        <v>277</v>
      </c>
      <c r="E106" t="s">
        <v>175</v>
      </c>
      <c r="F106" t="s">
        <v>136</v>
      </c>
      <c r="G106">
        <v>0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ProjectL3 Station1.IdleCostIdle CostResource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1</v>
      </c>
      <c r="K106" s="5" cm="1">
        <f t="array" ref="K106">IFERROR(AVERAGE(IF((OutputTable[GroupByKey]=OutputTable[[#This Row],[GroupByKey]]),(OutputTable[GroupByKey]=OutputTable[[#This Row],[GroupByKey]])*OutputTable[RecordedValue])),0)</f>
        <v>0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6" s="5" cm="1">
        <f t="array" ref="O106">MIN(IF((OutputTable[GroupByKey]=OutputTable[[#This Row],[GroupByKey]]),(OutputTable[GroupByKey]=OutputTable[[#This Row],[GroupByKey]])*OutputTable[RecordedValue]))</f>
        <v>0</v>
      </c>
      <c r="P106" s="5" cm="1">
        <f t="array" ref="P106">MAX(IF((OutputTable[GroupByKey]=OutputTable[[#This Row],[GroupByKey]]),(OutputTable[GroupByKey]=OutputTable[[#This Row],[GroupByKey]])*OutputTable[RecordedValue]))</f>
        <v>0</v>
      </c>
    </row>
    <row r="107" spans="1:16" x14ac:dyDescent="0.25">
      <c r="A107" t="s">
        <v>67</v>
      </c>
      <c r="B107" t="s">
        <v>70</v>
      </c>
      <c r="C107">
        <v>1</v>
      </c>
      <c r="D107" t="s">
        <v>278</v>
      </c>
      <c r="E107" t="s">
        <v>182</v>
      </c>
      <c r="F107" t="s">
        <v>136</v>
      </c>
      <c r="G107">
        <v>8699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ProjectL3 Station1.NumberSeizedTotal Number SeizedResource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1</v>
      </c>
      <c r="K107" s="5" cm="1">
        <f t="array" ref="K107">IFERROR(AVERAGE(IF((OutputTable[GroupByKey]=OutputTable[[#This Row],[GroupByKey]]),(OutputTable[GroupByKey]=OutputTable[[#This Row],[GroupByKey]])*OutputTable[RecordedValue])),0)</f>
        <v>8699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7" s="5" cm="1">
        <f t="array" ref="O107">MIN(IF((OutputTable[GroupByKey]=OutputTable[[#This Row],[GroupByKey]]),(OutputTable[GroupByKey]=OutputTable[[#This Row],[GroupByKey]])*OutputTable[RecordedValue]))</f>
        <v>8699</v>
      </c>
      <c r="P107" s="5" cm="1">
        <f t="array" ref="P107">MAX(IF((OutputTable[GroupByKey]=OutputTable[[#This Row],[GroupByKey]]),(OutputTable[GroupByKey]=OutputTable[[#This Row],[GroupByKey]])*OutputTable[RecordedValue]))</f>
        <v>8699</v>
      </c>
    </row>
    <row r="108" spans="1:16" x14ac:dyDescent="0.25">
      <c r="A108" t="s">
        <v>67</v>
      </c>
      <c r="B108" t="s">
        <v>70</v>
      </c>
      <c r="C108">
        <v>1</v>
      </c>
      <c r="D108" t="s">
        <v>279</v>
      </c>
      <c r="E108" t="s">
        <v>184</v>
      </c>
      <c r="F108" t="s">
        <v>136</v>
      </c>
      <c r="G108">
        <v>0.86515959015468702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ProjectL3 Station1.ScheduledUtilizationScheduled UtilizationResource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1</v>
      </c>
      <c r="K108" s="5" cm="1">
        <f t="array" ref="K108">IFERROR(AVERAGE(IF((OutputTable[GroupByKey]=OutputTable[[#This Row],[GroupByKey]]),(OutputTable[GroupByKey]=OutputTable[[#This Row],[GroupByKey]])*OutputTable[RecordedValue])),0)</f>
        <v>0.86515959015468702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0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8" s="5" cm="1">
        <f t="array" ref="O108">MIN(IF((OutputTable[GroupByKey]=OutputTable[[#This Row],[GroupByKey]]),(OutputTable[GroupByKey]=OutputTable[[#This Row],[GroupByKey]])*OutputTable[RecordedValue]))</f>
        <v>0.86515959015468702</v>
      </c>
      <c r="P108" s="5" cm="1">
        <f t="array" ref="P108">MAX(IF((OutputTable[GroupByKey]=OutputTable[[#This Row],[GroupByKey]]),(OutputTable[GroupByKey]=OutputTable[[#This Row],[GroupByKey]])*OutputTable[RecordedValue]))</f>
        <v>0.86515959015468702</v>
      </c>
    </row>
    <row r="109" spans="1:16" x14ac:dyDescent="0.25">
      <c r="A109" t="s">
        <v>67</v>
      </c>
      <c r="B109" t="s">
        <v>70</v>
      </c>
      <c r="C109">
        <v>1</v>
      </c>
      <c r="D109" t="s">
        <v>280</v>
      </c>
      <c r="E109" t="s">
        <v>178</v>
      </c>
      <c r="F109" t="s">
        <v>136</v>
      </c>
      <c r="G109">
        <v>0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ProjectL3 Station1.UsageCostUsage CostResource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1</v>
      </c>
      <c r="K109" s="5" cm="1">
        <f t="array" ref="K109">IFERROR(AVERAGE(IF((OutputTable[GroupByKey]=OutputTable[[#This Row],[GroupByKey]]),(OutputTable[GroupByKey]=OutputTable[[#This Row],[GroupByKey]])*OutputTable[RecordedValue])),0)</f>
        <v>0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0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9" s="5" cm="1">
        <f t="array" ref="O109">MIN(IF((OutputTable[GroupByKey]=OutputTable[[#This Row],[GroupByKey]]),(OutputTable[GroupByKey]=OutputTable[[#This Row],[GroupByKey]])*OutputTable[RecordedValue]))</f>
        <v>0</v>
      </c>
      <c r="P109" s="5" cm="1">
        <f t="array" ref="P109">MAX(IF((OutputTable[GroupByKey]=OutputTable[[#This Row],[GroupByKey]]),(OutputTable[GroupByKey]=OutputTable[[#This Row],[GroupByKey]])*OutputTable[RecordedValue]))</f>
        <v>0</v>
      </c>
    </row>
    <row r="110" spans="1:16" x14ac:dyDescent="0.25">
      <c r="A110" t="s">
        <v>67</v>
      </c>
      <c r="B110" t="s">
        <v>70</v>
      </c>
      <c r="C110">
        <v>1</v>
      </c>
      <c r="D110" t="s">
        <v>281</v>
      </c>
      <c r="E110" t="s">
        <v>173</v>
      </c>
      <c r="F110" t="s">
        <v>136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ProjectL3 Station2.BusyCostBusy CostResource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1</v>
      </c>
      <c r="K110" s="5" cm="1">
        <f t="array" ref="K110">IFERROR(AVERAGE(IF((OutputTable[GroupByKey]=OutputTable[[#This Row],[GroupByKey]]),(OutputTable[GroupByKey]=OutputTable[[#This Row],[GroupByKey]])*OutputTable[RecordedValue])),0)</f>
        <v>0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67</v>
      </c>
      <c r="B111" t="s">
        <v>70</v>
      </c>
      <c r="C111">
        <v>1</v>
      </c>
      <c r="D111" t="s">
        <v>282</v>
      </c>
      <c r="E111" t="s">
        <v>175</v>
      </c>
      <c r="F111" t="s">
        <v>136</v>
      </c>
      <c r="G111">
        <v>0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ProjectL3 Station2.IdleCostIdle CostResource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1</v>
      </c>
      <c r="K111" s="5" cm="1">
        <f t="array" ref="K111">IFERROR(AVERAGE(IF((OutputTable[GroupByKey]=OutputTable[[#This Row],[GroupByKey]]),(OutputTable[GroupByKey]=OutputTable[[#This Row],[GroupByKey]])*OutputTable[RecordedValue])),0)</f>
        <v>0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0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1" s="5" cm="1">
        <f t="array" ref="O111">MIN(IF((OutputTable[GroupByKey]=OutputTable[[#This Row],[GroupByKey]]),(OutputTable[GroupByKey]=OutputTable[[#This Row],[GroupByKey]])*OutputTable[RecordedValue]))</f>
        <v>0</v>
      </c>
      <c r="P111" s="5" cm="1">
        <f t="array" ref="P111">MAX(IF((OutputTable[GroupByKey]=OutputTable[[#This Row],[GroupByKey]]),(OutputTable[GroupByKey]=OutputTable[[#This Row],[GroupByKey]])*OutputTable[RecordedValue]))</f>
        <v>0</v>
      </c>
    </row>
    <row r="112" spans="1:16" x14ac:dyDescent="0.25">
      <c r="A112" t="s">
        <v>67</v>
      </c>
      <c r="B112" t="s">
        <v>70</v>
      </c>
      <c r="C112">
        <v>1</v>
      </c>
      <c r="D112" t="s">
        <v>283</v>
      </c>
      <c r="E112" t="s">
        <v>182</v>
      </c>
      <c r="F112" t="s">
        <v>136</v>
      </c>
      <c r="G112">
        <v>8695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ProjectL3 Station2.NumberSeizedTotal Number SeizedResource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</v>
      </c>
      <c r="K112" s="5" cm="1">
        <f t="array" ref="K112">IFERROR(AVERAGE(IF((OutputTable[GroupByKey]=OutputTable[[#This Row],[GroupByKey]]),(OutputTable[GroupByKey]=OutputTable[[#This Row],[GroupByKey]])*OutputTable[RecordedValue])),0)</f>
        <v>8695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0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2" s="5" cm="1">
        <f t="array" ref="O112">MIN(IF((OutputTable[GroupByKey]=OutputTable[[#This Row],[GroupByKey]]),(OutputTable[GroupByKey]=OutputTable[[#This Row],[GroupByKey]])*OutputTable[RecordedValue]))</f>
        <v>8695</v>
      </c>
      <c r="P112" s="5" cm="1">
        <f t="array" ref="P112">MAX(IF((OutputTable[GroupByKey]=OutputTable[[#This Row],[GroupByKey]]),(OutputTable[GroupByKey]=OutputTable[[#This Row],[GroupByKey]])*OutputTable[RecordedValue]))</f>
        <v>8695</v>
      </c>
    </row>
    <row r="113" spans="1:16" x14ac:dyDescent="0.25">
      <c r="A113" t="s">
        <v>67</v>
      </c>
      <c r="B113" t="s">
        <v>70</v>
      </c>
      <c r="C113">
        <v>1</v>
      </c>
      <c r="D113" t="s">
        <v>284</v>
      </c>
      <c r="E113" t="s">
        <v>184</v>
      </c>
      <c r="F113" t="s">
        <v>136</v>
      </c>
      <c r="G113">
        <v>0.97851514202337897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ProjectL3 Station2.ScheduledUtilizationScheduled UtilizationResource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</v>
      </c>
      <c r="K113" s="5" cm="1">
        <f t="array" ref="K113">IFERROR(AVERAGE(IF((OutputTable[GroupByKey]=OutputTable[[#This Row],[GroupByKey]]),(OutputTable[GroupByKey]=OutputTable[[#This Row],[GroupByKey]])*OutputTable[RecordedValue])),0)</f>
        <v>0.97851514202337897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0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3" s="5" cm="1">
        <f t="array" ref="O113">MIN(IF((OutputTable[GroupByKey]=OutputTable[[#This Row],[GroupByKey]]),(OutputTable[GroupByKey]=OutputTable[[#This Row],[GroupByKey]])*OutputTable[RecordedValue]))</f>
        <v>0.97851514202337897</v>
      </c>
      <c r="P113" s="5" cm="1">
        <f t="array" ref="P113">MAX(IF((OutputTable[GroupByKey]=OutputTable[[#This Row],[GroupByKey]]),(OutputTable[GroupByKey]=OutputTable[[#This Row],[GroupByKey]])*OutputTable[RecordedValue]))</f>
        <v>0.97851514202337897</v>
      </c>
    </row>
    <row r="114" spans="1:16" x14ac:dyDescent="0.25">
      <c r="A114" t="s">
        <v>67</v>
      </c>
      <c r="B114" t="s">
        <v>70</v>
      </c>
      <c r="C114">
        <v>1</v>
      </c>
      <c r="D114" t="s">
        <v>285</v>
      </c>
      <c r="E114" t="s">
        <v>178</v>
      </c>
      <c r="F114" t="s">
        <v>136</v>
      </c>
      <c r="G114">
        <v>0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ProjectL3 Station2.UsageCostUsage CostResource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</v>
      </c>
      <c r="K114" s="5" cm="1">
        <f t="array" ref="K114">IFERROR(AVERAGE(IF((OutputTable[GroupByKey]=OutputTable[[#This Row],[GroupByKey]]),(OutputTable[GroupByKey]=OutputTable[[#This Row],[GroupByKey]])*OutputTable[RecordedValue])),0)</f>
        <v>0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4" s="5" cm="1">
        <f t="array" ref="O114">MIN(IF((OutputTable[GroupByKey]=OutputTable[[#This Row],[GroupByKey]]),(OutputTable[GroupByKey]=OutputTable[[#This Row],[GroupByKey]])*OutputTable[RecordedValue]))</f>
        <v>0</v>
      </c>
      <c r="P114" s="5" cm="1">
        <f t="array" ref="P114">MAX(IF((OutputTable[GroupByKey]=OutputTable[[#This Row],[GroupByKey]]),(OutputTable[GroupByKey]=OutputTable[[#This Row],[GroupByKey]])*OutputTable[RecordedValue]))</f>
        <v>0</v>
      </c>
    </row>
    <row r="115" spans="1:16" x14ac:dyDescent="0.25">
      <c r="A115" t="s">
        <v>67</v>
      </c>
      <c r="B115" t="s">
        <v>70</v>
      </c>
      <c r="C115">
        <v>1</v>
      </c>
      <c r="D115" t="s">
        <v>286</v>
      </c>
      <c r="E115" t="s">
        <v>287</v>
      </c>
      <c r="F115" t="s">
        <v>97</v>
      </c>
      <c r="G115">
        <v>0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ProjectProcess 1 Accum VA CostAccum VA CostProcess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</v>
      </c>
      <c r="K115" s="5" cm="1">
        <f t="array" ref="K115">IFERROR(AVERAGE(IF((OutputTable[GroupByKey]=OutputTable[[#This Row],[GroupByKey]]),(OutputTable[GroupByKey]=OutputTable[[#This Row],[GroupByKey]])*OutputTable[RecordedValue])),0)</f>
        <v>0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5" s="5" cm="1">
        <f t="array" ref="O115">MIN(IF((OutputTable[GroupByKey]=OutputTable[[#This Row],[GroupByKey]]),(OutputTable[GroupByKey]=OutputTable[[#This Row],[GroupByKey]])*OutputTable[RecordedValue]))</f>
        <v>0</v>
      </c>
      <c r="P115" s="5" cm="1">
        <f t="array" ref="P115">MAX(IF((OutputTable[GroupByKey]=OutputTable[[#This Row],[GroupByKey]]),(OutputTable[GroupByKey]=OutputTable[[#This Row],[GroupByKey]])*OutputTable[RecordedValue]))</f>
        <v>0</v>
      </c>
    </row>
    <row r="116" spans="1:16" x14ac:dyDescent="0.25">
      <c r="A116" t="s">
        <v>67</v>
      </c>
      <c r="B116" t="s">
        <v>70</v>
      </c>
      <c r="C116">
        <v>1</v>
      </c>
      <c r="D116" t="s">
        <v>288</v>
      </c>
      <c r="E116" t="s">
        <v>289</v>
      </c>
      <c r="F116" t="s">
        <v>97</v>
      </c>
      <c r="G116">
        <v>13.999032000903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ProjectProcess 1 Accum VA TimeAccum VA TimeProcess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</v>
      </c>
      <c r="K116" s="5" cm="1">
        <f t="array" ref="K116">IFERROR(AVERAGE(IF((OutputTable[GroupByKey]=OutputTable[[#This Row],[GroupByKey]]),(OutputTable[GroupByKey]=OutputTable[[#This Row],[GroupByKey]])*OutputTable[RecordedValue])),0)</f>
        <v>13.999032000903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6" s="5" cm="1">
        <f t="array" ref="O116">MIN(IF((OutputTable[GroupByKey]=OutputTable[[#This Row],[GroupByKey]]),(OutputTable[GroupByKey]=OutputTable[[#This Row],[GroupByKey]])*OutputTable[RecordedValue]))</f>
        <v>13.999032000903</v>
      </c>
      <c r="P116" s="5" cm="1">
        <f t="array" ref="P116">MAX(IF((OutputTable[GroupByKey]=OutputTable[[#This Row],[GroupByKey]]),(OutputTable[GroupByKey]=OutputTable[[#This Row],[GroupByKey]])*OutputTable[RecordedValue]))</f>
        <v>13.999032000903</v>
      </c>
    </row>
    <row r="117" spans="1:16" x14ac:dyDescent="0.25">
      <c r="A117" t="s">
        <v>67</v>
      </c>
      <c r="B117" t="s">
        <v>70</v>
      </c>
      <c r="C117">
        <v>1</v>
      </c>
      <c r="D117" t="s">
        <v>290</v>
      </c>
      <c r="E117" t="s">
        <v>291</v>
      </c>
      <c r="F117" t="s">
        <v>97</v>
      </c>
      <c r="G117">
        <v>0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ProjectProcess 1 Accum Wait CostAccum Wait CostProcess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</v>
      </c>
      <c r="K117" s="5" cm="1">
        <f t="array" ref="K117">IFERROR(AVERAGE(IF((OutputTable[GroupByKey]=OutputTable[[#This Row],[GroupByKey]]),(OutputTable[GroupByKey]=OutputTable[[#This Row],[GroupByKey]])*OutputTable[RecordedValue])),0)</f>
        <v>0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0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7" s="5" cm="1">
        <f t="array" ref="O117">MIN(IF((OutputTable[GroupByKey]=OutputTable[[#This Row],[GroupByKey]]),(OutputTable[GroupByKey]=OutputTable[[#This Row],[GroupByKey]])*OutputTable[RecordedValue]))</f>
        <v>0</v>
      </c>
      <c r="P117" s="5" cm="1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25">
      <c r="A118" t="s">
        <v>67</v>
      </c>
      <c r="B118" t="s">
        <v>70</v>
      </c>
      <c r="C118">
        <v>1</v>
      </c>
      <c r="D118" t="s">
        <v>292</v>
      </c>
      <c r="E118" t="s">
        <v>293</v>
      </c>
      <c r="F118" t="s">
        <v>97</v>
      </c>
      <c r="G118">
        <v>51.049160557846903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ProjectProcess 1 Accum Wait TimeAccum Wait TimeProcess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</v>
      </c>
      <c r="K118" s="5" cm="1">
        <f t="array" ref="K118">IFERROR(AVERAGE(IF((OutputTable[GroupByKey]=OutputTable[[#This Row],[GroupByKey]]),(OutputTable[GroupByKey]=OutputTable[[#This Row],[GroupByKey]])*OutputTable[RecordedValue])),0)</f>
        <v>51.049160557846903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0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8" s="5" cm="1">
        <f t="array" ref="O118">MIN(IF((OutputTable[GroupByKey]=OutputTable[[#This Row],[GroupByKey]]),(OutputTable[GroupByKey]=OutputTable[[#This Row],[GroupByKey]])*OutputTable[RecordedValue]))</f>
        <v>51.049160557846903</v>
      </c>
      <c r="P118" s="5" cm="1">
        <f t="array" ref="P118">MAX(IF((OutputTable[GroupByKey]=OutputTable[[#This Row],[GroupByKey]]),(OutputTable[GroupByKey]=OutputTable[[#This Row],[GroupByKey]])*OutputTable[RecordedValue]))</f>
        <v>51.049160557846903</v>
      </c>
    </row>
    <row r="119" spans="1:16" x14ac:dyDescent="0.25">
      <c r="A119" t="s">
        <v>67</v>
      </c>
      <c r="B119" t="s">
        <v>70</v>
      </c>
      <c r="C119">
        <v>1</v>
      </c>
      <c r="D119" t="s">
        <v>294</v>
      </c>
      <c r="E119" t="s">
        <v>187</v>
      </c>
      <c r="F119" t="s">
        <v>97</v>
      </c>
      <c r="G119">
        <v>4197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ProjectProcess 1 Number InNumber InProcess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</v>
      </c>
      <c r="K119" s="5" cm="1">
        <f t="array" ref="K119">IFERROR(AVERAGE(IF((OutputTable[GroupByKey]=OutputTable[[#This Row],[GroupByKey]]),(OutputTable[GroupByKey]=OutputTable[[#This Row],[GroupByKey]])*OutputTable[RecordedValue])),0)</f>
        <v>4197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9" s="5" cm="1">
        <f t="array" ref="O119">MIN(IF((OutputTable[GroupByKey]=OutputTable[[#This Row],[GroupByKey]]),(OutputTable[GroupByKey]=OutputTable[[#This Row],[GroupByKey]])*OutputTable[RecordedValue]))</f>
        <v>4197</v>
      </c>
      <c r="P119" s="5" cm="1">
        <f t="array" ref="P119">MAX(IF((OutputTable[GroupByKey]=OutputTable[[#This Row],[GroupByKey]]),(OutputTable[GroupByKey]=OutputTable[[#This Row],[GroupByKey]])*OutputTable[RecordedValue]))</f>
        <v>4197</v>
      </c>
    </row>
    <row r="120" spans="1:16" x14ac:dyDescent="0.25">
      <c r="A120" t="s">
        <v>67</v>
      </c>
      <c r="B120" t="s">
        <v>70</v>
      </c>
      <c r="C120">
        <v>1</v>
      </c>
      <c r="D120" t="s">
        <v>295</v>
      </c>
      <c r="E120" t="s">
        <v>189</v>
      </c>
      <c r="F120" t="s">
        <v>97</v>
      </c>
      <c r="G120">
        <v>4195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ProjectProcess 1 Number OutNumber OutProcess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</v>
      </c>
      <c r="K120" s="5" cm="1">
        <f t="array" ref="K120">IFERROR(AVERAGE(IF((OutputTable[GroupByKey]=OutputTable[[#This Row],[GroupByKey]]),(OutputTable[GroupByKey]=OutputTable[[#This Row],[GroupByKey]])*OutputTable[RecordedValue])),0)</f>
        <v>4195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0" s="5" cm="1">
        <f t="array" ref="O120">MIN(IF((OutputTable[GroupByKey]=OutputTable[[#This Row],[GroupByKey]]),(OutputTable[GroupByKey]=OutputTable[[#This Row],[GroupByKey]])*OutputTable[RecordedValue]))</f>
        <v>4195</v>
      </c>
      <c r="P120" s="5" cm="1">
        <f t="array" ref="P120">MAX(IF((OutputTable[GroupByKey]=OutputTable[[#This Row],[GroupByKey]]),(OutputTable[GroupByKey]=OutputTable[[#This Row],[GroupByKey]])*OutputTable[RecordedValue]))</f>
        <v>4195</v>
      </c>
    </row>
    <row r="121" spans="1:16" x14ac:dyDescent="0.25">
      <c r="A121" t="s">
        <v>67</v>
      </c>
      <c r="B121" t="s">
        <v>70</v>
      </c>
      <c r="C121">
        <v>1</v>
      </c>
      <c r="D121" t="s">
        <v>296</v>
      </c>
      <c r="E121" t="s">
        <v>297</v>
      </c>
      <c r="F121" t="s">
        <v>97</v>
      </c>
      <c r="G121">
        <v>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ProjectProcess 1 Total Accum CostTotal Accum CostProcess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</v>
      </c>
      <c r="K121" s="5" cm="1">
        <f t="array" ref="K121">IFERROR(AVERAGE(IF((OutputTable[GroupByKey]=OutputTable[[#This Row],[GroupByKey]]),(OutputTable[GroupByKey]=OutputTable[[#This Row],[GroupByKey]])*OutputTable[RecordedValue])),0)</f>
        <v>0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1" s="5" cm="1">
        <f t="array" ref="O121">MIN(IF((OutputTable[GroupByKey]=OutputTable[[#This Row],[GroupByKey]]),(OutputTable[GroupByKey]=OutputTable[[#This Row],[GroupByKey]])*OutputTable[RecordedValue]))</f>
        <v>0</v>
      </c>
      <c r="P121" s="5" cm="1">
        <f t="array" ref="P121">MAX(IF((OutputTable[GroupByKey]=OutputTable[[#This Row],[GroupByKey]]),(OutputTable[GroupByKey]=OutputTable[[#This Row],[GroupByKey]])*OutputTable[RecordedValue]))</f>
        <v>0</v>
      </c>
    </row>
    <row r="122" spans="1:16" x14ac:dyDescent="0.25">
      <c r="A122" t="s">
        <v>67</v>
      </c>
      <c r="B122" t="s">
        <v>70</v>
      </c>
      <c r="C122">
        <v>1</v>
      </c>
      <c r="D122" t="s">
        <v>298</v>
      </c>
      <c r="E122" t="s">
        <v>299</v>
      </c>
      <c r="F122" t="s">
        <v>97</v>
      </c>
      <c r="G122">
        <v>65.048192558749903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ProjectProcess 1 Total Accum TimeTotal Accum TimeProcess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</v>
      </c>
      <c r="K122" s="5" cm="1">
        <f t="array" ref="K122">IFERROR(AVERAGE(IF((OutputTable[GroupByKey]=OutputTable[[#This Row],[GroupByKey]]),(OutputTable[GroupByKey]=OutputTable[[#This Row],[GroupByKey]])*OutputTable[RecordedValue])),0)</f>
        <v>65.048192558749903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0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2" s="5" cm="1">
        <f t="array" ref="O122">MIN(IF((OutputTable[GroupByKey]=OutputTable[[#This Row],[GroupByKey]]),(OutputTable[GroupByKey]=OutputTable[[#This Row],[GroupByKey]])*OutputTable[RecordedValue]))</f>
        <v>65.048192558749903</v>
      </c>
      <c r="P122" s="5" cm="1">
        <f t="array" ref="P122">MAX(IF((OutputTable[GroupByKey]=OutputTable[[#This Row],[GroupByKey]]),(OutputTable[GroupByKey]=OutputTable[[#This Row],[GroupByKey]])*OutputTable[RecordedValue]))</f>
        <v>65.048192558749903</v>
      </c>
    </row>
    <row r="123" spans="1:16" x14ac:dyDescent="0.25">
      <c r="A123" t="s">
        <v>67</v>
      </c>
      <c r="B123" t="s">
        <v>70</v>
      </c>
      <c r="C123">
        <v>1</v>
      </c>
      <c r="D123" t="s">
        <v>300</v>
      </c>
      <c r="E123" t="s">
        <v>287</v>
      </c>
      <c r="F123" t="s">
        <v>97</v>
      </c>
      <c r="G123">
        <v>0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ProjectProcess 14 Accum VA CostAccum VA CostProcess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</v>
      </c>
      <c r="K123" s="5" cm="1">
        <f t="array" ref="K123">IFERROR(AVERAGE(IF((OutputTable[GroupByKey]=OutputTable[[#This Row],[GroupByKey]]),(OutputTable[GroupByKey]=OutputTable[[#This Row],[GroupByKey]])*OutputTable[RecordedValue])),0)</f>
        <v>0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3" s="5" cm="1">
        <f t="array" ref="O123">MIN(IF((OutputTable[GroupByKey]=OutputTable[[#This Row],[GroupByKey]]),(OutputTable[GroupByKey]=OutputTable[[#This Row],[GroupByKey]])*OutputTable[RecordedValue]))</f>
        <v>0</v>
      </c>
      <c r="P123" s="5" cm="1">
        <f t="array" ref="P123">MAX(IF((OutputTable[GroupByKey]=OutputTable[[#This Row],[GroupByKey]]),(OutputTable[GroupByKey]=OutputTable[[#This Row],[GroupByKey]])*OutputTable[RecordedValue]))</f>
        <v>0</v>
      </c>
    </row>
    <row r="124" spans="1:16" x14ac:dyDescent="0.25">
      <c r="A124" t="s">
        <v>67</v>
      </c>
      <c r="B124" t="s">
        <v>70</v>
      </c>
      <c r="C124">
        <v>1</v>
      </c>
      <c r="D124" t="s">
        <v>301</v>
      </c>
      <c r="E124" t="s">
        <v>289</v>
      </c>
      <c r="F124" t="s">
        <v>97</v>
      </c>
      <c r="G124">
        <v>2.6023946283544599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ProjectProcess 14 Accum VA TimeAccum VA TimeProcess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</v>
      </c>
      <c r="K124" s="5" cm="1">
        <f t="array" ref="K124">IFERROR(AVERAGE(IF((OutputTable[GroupByKey]=OutputTable[[#This Row],[GroupByKey]]),(OutputTable[GroupByKey]=OutputTable[[#This Row],[GroupByKey]])*OutputTable[RecordedValue])),0)</f>
        <v>2.6023946283544599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4" s="5" cm="1">
        <f t="array" ref="O124">MIN(IF((OutputTable[GroupByKey]=OutputTable[[#This Row],[GroupByKey]]),(OutputTable[GroupByKey]=OutputTable[[#This Row],[GroupByKey]])*OutputTable[RecordedValue]))</f>
        <v>2.6023946283544599</v>
      </c>
      <c r="P124" s="5" cm="1">
        <f t="array" ref="P124">MAX(IF((OutputTable[GroupByKey]=OutputTable[[#This Row],[GroupByKey]]),(OutputTable[GroupByKey]=OutputTable[[#This Row],[GroupByKey]])*OutputTable[RecordedValue]))</f>
        <v>2.6023946283544599</v>
      </c>
    </row>
    <row r="125" spans="1:16" x14ac:dyDescent="0.25">
      <c r="A125" t="s">
        <v>67</v>
      </c>
      <c r="B125" t="s">
        <v>70</v>
      </c>
      <c r="C125">
        <v>1</v>
      </c>
      <c r="D125" t="s">
        <v>302</v>
      </c>
      <c r="E125" t="s">
        <v>291</v>
      </c>
      <c r="F125" t="s">
        <v>97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ProjectProcess 14 Accum Wait CostAccum Wait CostProcess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</v>
      </c>
      <c r="K125" s="5" cm="1">
        <f t="array" ref="K125">IFERROR(AVERAGE(IF((OutputTable[GroupByKey]=OutputTable[[#This Row],[GroupByKey]]),(OutputTable[GroupByKey]=OutputTable[[#This Row],[GroupByKey]])*OutputTable[RecordedValue])),0)</f>
        <v>0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5" s="5" cm="1">
        <f t="array" ref="O125">MIN(IF((OutputTable[GroupByKey]=OutputTable[[#This Row],[GroupByKey]]),(OutputTable[GroupByKey]=OutputTable[[#This Row],[GroupByKey]])*OutputTable[RecordedValue]))</f>
        <v>0</v>
      </c>
      <c r="P125" s="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25">
      <c r="A126" t="s">
        <v>67</v>
      </c>
      <c r="B126" t="s">
        <v>70</v>
      </c>
      <c r="C126">
        <v>1</v>
      </c>
      <c r="D126" t="s">
        <v>303</v>
      </c>
      <c r="E126" t="s">
        <v>293</v>
      </c>
      <c r="F126" t="s">
        <v>97</v>
      </c>
      <c r="G126">
        <v>0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ProjectProcess 14 Accum Wait TimeAccum Wait TimeProcess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</v>
      </c>
      <c r="K126" s="5" cm="1">
        <f t="array" ref="K126">IFERROR(AVERAGE(IF((OutputTable[GroupByKey]=OutputTable[[#This Row],[GroupByKey]]),(OutputTable[GroupByKey]=OutputTable[[#This Row],[GroupByKey]])*OutputTable[RecordedValue])),0)</f>
        <v>0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6" s="5" cm="1">
        <f t="array" ref="O126">MIN(IF((OutputTable[GroupByKey]=OutputTable[[#This Row],[GroupByKey]]),(OutputTable[GroupByKey]=OutputTable[[#This Row],[GroupByKey]])*OutputTable[RecordedValue]))</f>
        <v>0</v>
      </c>
      <c r="P126" s="5" cm="1">
        <f t="array" ref="P126">MAX(IF((OutputTable[GroupByKey]=OutputTable[[#This Row],[GroupByKey]]),(OutputTable[GroupByKey]=OutputTable[[#This Row],[GroupByKey]])*OutputTable[RecordedValue]))</f>
        <v>0</v>
      </c>
    </row>
    <row r="127" spans="1:16" x14ac:dyDescent="0.25">
      <c r="A127" t="s">
        <v>67</v>
      </c>
      <c r="B127" t="s">
        <v>70</v>
      </c>
      <c r="C127">
        <v>1</v>
      </c>
      <c r="D127" t="s">
        <v>304</v>
      </c>
      <c r="E127" t="s">
        <v>187</v>
      </c>
      <c r="F127" t="s">
        <v>97</v>
      </c>
      <c r="G127">
        <v>2818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ProjectProcess 14 Number InNumber InProcess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</v>
      </c>
      <c r="K127" s="5" cm="1">
        <f t="array" ref="K127">IFERROR(AVERAGE(IF((OutputTable[GroupByKey]=OutputTable[[#This Row],[GroupByKey]]),(OutputTable[GroupByKey]=OutputTable[[#This Row],[GroupByKey]])*OutputTable[RecordedValue])),0)</f>
        <v>2818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0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7" s="5" cm="1">
        <f t="array" ref="O127">MIN(IF((OutputTable[GroupByKey]=OutputTable[[#This Row],[GroupByKey]]),(OutputTable[GroupByKey]=OutputTable[[#This Row],[GroupByKey]])*OutputTable[RecordedValue]))</f>
        <v>2818</v>
      </c>
      <c r="P127" s="5" cm="1">
        <f t="array" ref="P127">MAX(IF((OutputTable[GroupByKey]=OutputTable[[#This Row],[GroupByKey]]),(OutputTable[GroupByKey]=OutputTable[[#This Row],[GroupByKey]])*OutputTable[RecordedValue]))</f>
        <v>2818</v>
      </c>
    </row>
    <row r="128" spans="1:16" x14ac:dyDescent="0.25">
      <c r="A128" t="s">
        <v>67</v>
      </c>
      <c r="B128" t="s">
        <v>70</v>
      </c>
      <c r="C128">
        <v>1</v>
      </c>
      <c r="D128" t="s">
        <v>305</v>
      </c>
      <c r="E128" t="s">
        <v>189</v>
      </c>
      <c r="F128" t="s">
        <v>97</v>
      </c>
      <c r="G128">
        <v>2818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ProjectProcess 14 Number OutNumber OutProcess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</v>
      </c>
      <c r="K128" s="5" cm="1">
        <f t="array" ref="K128">IFERROR(AVERAGE(IF((OutputTable[GroupByKey]=OutputTable[[#This Row],[GroupByKey]]),(OutputTable[GroupByKey]=OutputTable[[#This Row],[GroupByKey]])*OutputTable[RecordedValue])),0)</f>
        <v>2818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0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8" s="5" cm="1">
        <f t="array" ref="O128">MIN(IF((OutputTable[GroupByKey]=OutputTable[[#This Row],[GroupByKey]]),(OutputTable[GroupByKey]=OutputTable[[#This Row],[GroupByKey]])*OutputTable[RecordedValue]))</f>
        <v>2818</v>
      </c>
      <c r="P128" s="5" cm="1">
        <f t="array" ref="P128">MAX(IF((OutputTable[GroupByKey]=OutputTable[[#This Row],[GroupByKey]]),(OutputTable[GroupByKey]=OutputTable[[#This Row],[GroupByKey]])*OutputTable[RecordedValue]))</f>
        <v>2818</v>
      </c>
    </row>
    <row r="129" spans="1:16" x14ac:dyDescent="0.25">
      <c r="A129" t="s">
        <v>67</v>
      </c>
      <c r="B129" t="s">
        <v>70</v>
      </c>
      <c r="C129">
        <v>1</v>
      </c>
      <c r="D129" t="s">
        <v>306</v>
      </c>
      <c r="E129" t="s">
        <v>297</v>
      </c>
      <c r="F129" t="s">
        <v>97</v>
      </c>
      <c r="G129">
        <v>0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ProjectProcess 14 Total Accum CostTotal Accum CostProcess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</v>
      </c>
      <c r="K129" s="5" cm="1">
        <f t="array" ref="K129">IFERROR(AVERAGE(IF((OutputTable[GroupByKey]=OutputTable[[#This Row],[GroupByKey]]),(OutputTable[GroupByKey]=OutputTable[[#This Row],[GroupByKey]])*OutputTable[RecordedValue])),0)</f>
        <v>0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0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9" s="5" cm="1">
        <f t="array" ref="O129">MIN(IF((OutputTable[GroupByKey]=OutputTable[[#This Row],[GroupByKey]]),(OutputTable[GroupByKey]=OutputTable[[#This Row],[GroupByKey]])*OutputTable[RecordedValue]))</f>
        <v>0</v>
      </c>
      <c r="P129" s="5" cm="1">
        <f t="array" ref="P129">MAX(IF((OutputTable[GroupByKey]=OutputTable[[#This Row],[GroupByKey]]),(OutputTable[GroupByKey]=OutputTable[[#This Row],[GroupByKey]])*OutputTable[RecordedValue]))</f>
        <v>0</v>
      </c>
    </row>
    <row r="130" spans="1:16" x14ac:dyDescent="0.25">
      <c r="A130" t="s">
        <v>67</v>
      </c>
      <c r="B130" t="s">
        <v>70</v>
      </c>
      <c r="C130">
        <v>1</v>
      </c>
      <c r="D130" t="s">
        <v>307</v>
      </c>
      <c r="E130" t="s">
        <v>299</v>
      </c>
      <c r="F130" t="s">
        <v>97</v>
      </c>
      <c r="G130">
        <v>2.6023946283544599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ProjectProcess 14 Total Accum TimeTotal Accum TimeProcess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</v>
      </c>
      <c r="K130" s="5" cm="1">
        <f t="array" ref="K130">IFERROR(AVERAGE(IF((OutputTable[GroupByKey]=OutputTable[[#This Row],[GroupByKey]]),(OutputTable[GroupByKey]=OutputTable[[#This Row],[GroupByKey]])*OutputTable[RecordedValue])),0)</f>
        <v>2.6023946283544599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0" s="5" cm="1">
        <f t="array" ref="O130">MIN(IF((OutputTable[GroupByKey]=OutputTable[[#This Row],[GroupByKey]]),(OutputTable[GroupByKey]=OutputTable[[#This Row],[GroupByKey]])*OutputTable[RecordedValue]))</f>
        <v>2.6023946283544599</v>
      </c>
      <c r="P130" s="5" cm="1">
        <f t="array" ref="P130">MAX(IF((OutputTable[GroupByKey]=OutputTable[[#This Row],[GroupByKey]]),(OutputTable[GroupByKey]=OutputTable[[#This Row],[GroupByKey]])*OutputTable[RecordedValue]))</f>
        <v>2.6023946283544599</v>
      </c>
    </row>
    <row r="131" spans="1:16" x14ac:dyDescent="0.25">
      <c r="A131" t="s">
        <v>67</v>
      </c>
      <c r="B131" t="s">
        <v>70</v>
      </c>
      <c r="C131">
        <v>1</v>
      </c>
      <c r="D131" t="s">
        <v>308</v>
      </c>
      <c r="E131" t="s">
        <v>287</v>
      </c>
      <c r="F131" t="s">
        <v>97</v>
      </c>
      <c r="G131">
        <v>0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ProjectProcess 2 Accum VA CostAccum VA CostProcess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</v>
      </c>
      <c r="K131" s="5" cm="1">
        <f t="array" ref="K131">IFERROR(AVERAGE(IF((OutputTable[GroupByKey]=OutputTable[[#This Row],[GroupByKey]]),(OutputTable[GroupByKey]=OutputTable[[#This Row],[GroupByKey]])*OutputTable[RecordedValue])),0)</f>
        <v>0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1" s="5" cm="1">
        <f t="array" ref="O131">MIN(IF((OutputTable[GroupByKey]=OutputTable[[#This Row],[GroupByKey]]),(OutputTable[GroupByKey]=OutputTable[[#This Row],[GroupByKey]])*OutputTable[RecordedValue]))</f>
        <v>0</v>
      </c>
      <c r="P131" s="5" cm="1">
        <f t="array" ref="P131">MAX(IF((OutputTable[GroupByKey]=OutputTable[[#This Row],[GroupByKey]]),(OutputTable[GroupByKey]=OutputTable[[#This Row],[GroupByKey]])*OutputTable[RecordedValue]))</f>
        <v>0</v>
      </c>
    </row>
    <row r="132" spans="1:16" x14ac:dyDescent="0.25">
      <c r="A132" t="s">
        <v>67</v>
      </c>
      <c r="B132" t="s">
        <v>70</v>
      </c>
      <c r="C132">
        <v>1</v>
      </c>
      <c r="D132" t="s">
        <v>309</v>
      </c>
      <c r="E132" t="s">
        <v>289</v>
      </c>
      <c r="F132" t="s">
        <v>97</v>
      </c>
      <c r="G132">
        <v>6.9757996404281997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ProjectProcess 2 Accum VA TimeAccum VA TimeProcess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</v>
      </c>
      <c r="K132" s="5" cm="1">
        <f t="array" ref="K132">IFERROR(AVERAGE(IF((OutputTable[GroupByKey]=OutputTable[[#This Row],[GroupByKey]]),(OutputTable[GroupByKey]=OutputTable[[#This Row],[GroupByKey]])*OutputTable[RecordedValue])),0)</f>
        <v>6.9757996404281997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2" s="5" cm="1">
        <f t="array" ref="O132">MIN(IF((OutputTable[GroupByKey]=OutputTable[[#This Row],[GroupByKey]]),(OutputTable[GroupByKey]=OutputTable[[#This Row],[GroupByKey]])*OutputTable[RecordedValue]))</f>
        <v>6.9757996404281997</v>
      </c>
      <c r="P132" s="5" cm="1">
        <f t="array" ref="P132">MAX(IF((OutputTable[GroupByKey]=OutputTable[[#This Row],[GroupByKey]]),(OutputTable[GroupByKey]=OutputTable[[#This Row],[GroupByKey]])*OutputTable[RecordedValue]))</f>
        <v>6.9757996404281997</v>
      </c>
    </row>
    <row r="133" spans="1:16" x14ac:dyDescent="0.25">
      <c r="A133" t="s">
        <v>67</v>
      </c>
      <c r="B133" t="s">
        <v>70</v>
      </c>
      <c r="C133">
        <v>1</v>
      </c>
      <c r="D133" t="s">
        <v>310</v>
      </c>
      <c r="E133" t="s">
        <v>291</v>
      </c>
      <c r="F133" t="s">
        <v>97</v>
      </c>
      <c r="G133">
        <v>0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ProjectProcess 2 Accum Wait CostAccum Wait CostProcess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</v>
      </c>
      <c r="K133" s="5" cm="1">
        <f t="array" ref="K133">IFERROR(AVERAGE(IF((OutputTable[GroupByKey]=OutputTable[[#This Row],[GroupByKey]]),(OutputTable[GroupByKey]=OutputTable[[#This Row],[GroupByKey]])*OutputTable[RecordedValue])),0)</f>
        <v>0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0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3" s="5" cm="1">
        <f t="array" ref="O133">MIN(IF((OutputTable[GroupByKey]=OutputTable[[#This Row],[GroupByKey]]),(OutputTable[GroupByKey]=OutputTable[[#This Row],[GroupByKey]])*OutputTable[RecordedValue]))</f>
        <v>0</v>
      </c>
      <c r="P133" s="5" cm="1">
        <f t="array" ref="P133">MAX(IF((OutputTable[GroupByKey]=OutputTable[[#This Row],[GroupByKey]]),(OutputTable[GroupByKey]=OutputTable[[#This Row],[GroupByKey]])*OutputTable[RecordedValue]))</f>
        <v>0</v>
      </c>
    </row>
    <row r="134" spans="1:16" x14ac:dyDescent="0.25">
      <c r="A134" t="s">
        <v>67</v>
      </c>
      <c r="B134" t="s">
        <v>70</v>
      </c>
      <c r="C134">
        <v>1</v>
      </c>
      <c r="D134" t="s">
        <v>311</v>
      </c>
      <c r="E134" t="s">
        <v>293</v>
      </c>
      <c r="F134" t="s">
        <v>97</v>
      </c>
      <c r="G134">
        <v>4.9941040648729098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ProjectProcess 2 Accum Wait TimeAccum Wait TimeProcess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</v>
      </c>
      <c r="K134" s="5" cm="1">
        <f t="array" ref="K134">IFERROR(AVERAGE(IF((OutputTable[GroupByKey]=OutputTable[[#This Row],[GroupByKey]]),(OutputTable[GroupByKey]=OutputTable[[#This Row],[GroupByKey]])*OutputTable[RecordedValue])),0)</f>
        <v>4.9941040648729098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4" s="5" cm="1">
        <f t="array" ref="O134">MIN(IF((OutputTable[GroupByKey]=OutputTable[[#This Row],[GroupByKey]]),(OutputTable[GroupByKey]=OutputTable[[#This Row],[GroupByKey]])*OutputTable[RecordedValue]))</f>
        <v>4.9941040648729098</v>
      </c>
      <c r="P134" s="5" cm="1">
        <f t="array" ref="P134">MAX(IF((OutputTable[GroupByKey]=OutputTable[[#This Row],[GroupByKey]]),(OutputTable[GroupByKey]=OutputTable[[#This Row],[GroupByKey]])*OutputTable[RecordedValue]))</f>
        <v>4.9941040648729098</v>
      </c>
    </row>
    <row r="135" spans="1:16" x14ac:dyDescent="0.25">
      <c r="A135" t="s">
        <v>67</v>
      </c>
      <c r="B135" t="s">
        <v>70</v>
      </c>
      <c r="C135">
        <v>1</v>
      </c>
      <c r="D135" t="s">
        <v>312</v>
      </c>
      <c r="E135" t="s">
        <v>187</v>
      </c>
      <c r="F135" t="s">
        <v>97</v>
      </c>
      <c r="G135">
        <v>4194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ProjectProcess 2 Number InNumber InProcess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</v>
      </c>
      <c r="K135" s="5" cm="1">
        <f t="array" ref="K135">IFERROR(AVERAGE(IF((OutputTable[GroupByKey]=OutputTable[[#This Row],[GroupByKey]]),(OutputTable[GroupByKey]=OutputTable[[#This Row],[GroupByKey]])*OutputTable[RecordedValue])),0)</f>
        <v>4194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5" s="5" cm="1">
        <f t="array" ref="O135">MIN(IF((OutputTable[GroupByKey]=OutputTable[[#This Row],[GroupByKey]]),(OutputTable[GroupByKey]=OutputTable[[#This Row],[GroupByKey]])*OutputTable[RecordedValue]))</f>
        <v>4194</v>
      </c>
      <c r="P135" s="5" cm="1">
        <f t="array" ref="P135">MAX(IF((OutputTable[GroupByKey]=OutputTable[[#This Row],[GroupByKey]]),(OutputTable[GroupByKey]=OutputTable[[#This Row],[GroupByKey]])*OutputTable[RecordedValue]))</f>
        <v>4194</v>
      </c>
    </row>
    <row r="136" spans="1:16" x14ac:dyDescent="0.25">
      <c r="A136" t="s">
        <v>67</v>
      </c>
      <c r="B136" t="s">
        <v>70</v>
      </c>
      <c r="C136">
        <v>1</v>
      </c>
      <c r="D136" t="s">
        <v>313</v>
      </c>
      <c r="E136" t="s">
        <v>189</v>
      </c>
      <c r="F136" t="s">
        <v>97</v>
      </c>
      <c r="G136">
        <v>4193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ProjectProcess 2 Number OutNumber OutProcess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</v>
      </c>
      <c r="K136" s="5" cm="1">
        <f t="array" ref="K136">IFERROR(AVERAGE(IF((OutputTable[GroupByKey]=OutputTable[[#This Row],[GroupByKey]]),(OutputTable[GroupByKey]=OutputTable[[#This Row],[GroupByKey]])*OutputTable[RecordedValue])),0)</f>
        <v>4193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6" s="5" cm="1">
        <f t="array" ref="O136">MIN(IF((OutputTable[GroupByKey]=OutputTable[[#This Row],[GroupByKey]]),(OutputTable[GroupByKey]=OutputTable[[#This Row],[GroupByKey]])*OutputTable[RecordedValue]))</f>
        <v>4193</v>
      </c>
      <c r="P136" s="5" cm="1">
        <f t="array" ref="P136">MAX(IF((OutputTable[GroupByKey]=OutputTable[[#This Row],[GroupByKey]]),(OutputTable[GroupByKey]=OutputTable[[#This Row],[GroupByKey]])*OutputTable[RecordedValue]))</f>
        <v>4193</v>
      </c>
    </row>
    <row r="137" spans="1:16" x14ac:dyDescent="0.25">
      <c r="A137" t="s">
        <v>67</v>
      </c>
      <c r="B137" t="s">
        <v>70</v>
      </c>
      <c r="C137">
        <v>1</v>
      </c>
      <c r="D137" t="s">
        <v>314</v>
      </c>
      <c r="E137" t="s">
        <v>297</v>
      </c>
      <c r="F137" t="s">
        <v>97</v>
      </c>
      <c r="G137">
        <v>0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ProjectProcess 2 Total Accum CostTotal Accum CostProcess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</v>
      </c>
      <c r="K137" s="5" cm="1">
        <f t="array" ref="K137">IFERROR(AVERAGE(IF((OutputTable[GroupByKey]=OutputTable[[#This Row],[GroupByKey]]),(OutputTable[GroupByKey]=OutputTable[[#This Row],[GroupByKey]])*OutputTable[RecordedValue])),0)</f>
        <v>0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7" s="5" cm="1">
        <f t="array" ref="O137">MIN(IF((OutputTable[GroupByKey]=OutputTable[[#This Row],[GroupByKey]]),(OutputTable[GroupByKey]=OutputTable[[#This Row],[GroupByKey]])*OutputTable[RecordedValue]))</f>
        <v>0</v>
      </c>
      <c r="P137" s="5" cm="1">
        <f t="array" ref="P137">MAX(IF((OutputTable[GroupByKey]=OutputTable[[#This Row],[GroupByKey]]),(OutputTable[GroupByKey]=OutputTable[[#This Row],[GroupByKey]])*OutputTable[RecordedValue]))</f>
        <v>0</v>
      </c>
    </row>
    <row r="138" spans="1:16" x14ac:dyDescent="0.25">
      <c r="A138" t="s">
        <v>67</v>
      </c>
      <c r="B138" t="s">
        <v>70</v>
      </c>
      <c r="C138">
        <v>1</v>
      </c>
      <c r="D138" t="s">
        <v>315</v>
      </c>
      <c r="E138" t="s">
        <v>299</v>
      </c>
      <c r="F138" t="s">
        <v>97</v>
      </c>
      <c r="G138">
        <v>11.9699037053011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ProjectProcess 2 Total Accum TimeTotal Accum TimeProcess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</v>
      </c>
      <c r="K138" s="5" cm="1">
        <f t="array" ref="K138">IFERROR(AVERAGE(IF((OutputTable[GroupByKey]=OutputTable[[#This Row],[GroupByKey]]),(OutputTable[GroupByKey]=OutputTable[[#This Row],[GroupByKey]])*OutputTable[RecordedValue])),0)</f>
        <v>11.9699037053011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8" s="5" cm="1">
        <f t="array" ref="O138">MIN(IF((OutputTable[GroupByKey]=OutputTable[[#This Row],[GroupByKey]]),(OutputTable[GroupByKey]=OutputTable[[#This Row],[GroupByKey]])*OutputTable[RecordedValue]))</f>
        <v>11.9699037053011</v>
      </c>
      <c r="P138" s="5" cm="1">
        <f t="array" ref="P138">MAX(IF((OutputTable[GroupByKey]=OutputTable[[#This Row],[GroupByKey]]),(OutputTable[GroupByKey]=OutputTable[[#This Row],[GroupByKey]])*OutputTable[RecordedValue]))</f>
        <v>11.9699037053011</v>
      </c>
    </row>
    <row r="139" spans="1:16" x14ac:dyDescent="0.25">
      <c r="A139" t="s">
        <v>67</v>
      </c>
      <c r="B139" t="s">
        <v>70</v>
      </c>
      <c r="C139">
        <v>1</v>
      </c>
      <c r="D139" t="s">
        <v>316</v>
      </c>
      <c r="E139" t="s">
        <v>287</v>
      </c>
      <c r="F139" t="s">
        <v>97</v>
      </c>
      <c r="G139">
        <v>0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ProjectProcess 3 Accum VA CostAccum VA CostProcess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</v>
      </c>
      <c r="K139" s="5" cm="1">
        <f t="array" ref="K139">IFERROR(AVERAGE(IF((OutputTable[GroupByKey]=OutputTable[[#This Row],[GroupByKey]]),(OutputTable[GroupByKey]=OutputTable[[#This Row],[GroupByKey]])*OutputTable[RecordedValue])),0)</f>
        <v>0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0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9" s="5" cm="1">
        <f t="array" ref="O139">MIN(IF((OutputTable[GroupByKey]=OutputTable[[#This Row],[GroupByKey]]),(OutputTable[GroupByKey]=OutputTable[[#This Row],[GroupByKey]])*OutputTable[RecordedValue]))</f>
        <v>0</v>
      </c>
      <c r="P139" s="5" cm="1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25">
      <c r="A140" t="s">
        <v>67</v>
      </c>
      <c r="B140" t="s">
        <v>70</v>
      </c>
      <c r="C140">
        <v>1</v>
      </c>
      <c r="D140" t="s">
        <v>317</v>
      </c>
      <c r="E140" t="s">
        <v>289</v>
      </c>
      <c r="F140" t="s">
        <v>97</v>
      </c>
      <c r="G140">
        <v>12.821264227883001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ProjectProcess 3 Accum VA TimeAccum VA TimeProcess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</v>
      </c>
      <c r="K140" s="5" cm="1">
        <f t="array" ref="K140">IFERROR(AVERAGE(IF((OutputTable[GroupByKey]=OutputTable[[#This Row],[GroupByKey]]),(OutputTable[GroupByKey]=OutputTable[[#This Row],[GroupByKey]])*OutputTable[RecordedValue])),0)</f>
        <v>12.821264227883001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0" s="5" cm="1">
        <f t="array" ref="O140">MIN(IF((OutputTable[GroupByKey]=OutputTable[[#This Row],[GroupByKey]]),(OutputTable[GroupByKey]=OutputTable[[#This Row],[GroupByKey]])*OutputTable[RecordedValue]))</f>
        <v>12.821264227883001</v>
      </c>
      <c r="P140" s="5" cm="1">
        <f t="array" ref="P140">MAX(IF((OutputTable[GroupByKey]=OutputTable[[#This Row],[GroupByKey]]),(OutputTable[GroupByKey]=OutputTable[[#This Row],[GroupByKey]])*OutputTable[RecordedValue]))</f>
        <v>12.821264227883001</v>
      </c>
    </row>
    <row r="141" spans="1:16" x14ac:dyDescent="0.25">
      <c r="A141" t="s">
        <v>67</v>
      </c>
      <c r="B141" t="s">
        <v>70</v>
      </c>
      <c r="C141">
        <v>1</v>
      </c>
      <c r="D141" t="s">
        <v>318</v>
      </c>
      <c r="E141" t="s">
        <v>291</v>
      </c>
      <c r="F141" t="s">
        <v>97</v>
      </c>
      <c r="G141">
        <v>0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ProjectProcess 3 Accum Wait CostAccum Wait CostProcess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</v>
      </c>
      <c r="K141" s="5" cm="1">
        <f t="array" ref="K141">IFERROR(AVERAGE(IF((OutputTable[GroupByKey]=OutputTable[[#This Row],[GroupByKey]]),(OutputTable[GroupByKey]=OutputTable[[#This Row],[GroupByKey]])*OutputTable[RecordedValue])),0)</f>
        <v>0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0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1" s="5" cm="1">
        <f t="array" ref="O141">MIN(IF((OutputTable[GroupByKey]=OutputTable[[#This Row],[GroupByKey]]),(OutputTable[GroupByKey]=OutputTable[[#This Row],[GroupByKey]])*OutputTable[RecordedValue]))</f>
        <v>0</v>
      </c>
      <c r="P141" s="5" cm="1">
        <f t="array" ref="P141">MAX(IF((OutputTable[GroupByKey]=OutputTable[[#This Row],[GroupByKey]]),(OutputTable[GroupByKey]=OutputTable[[#This Row],[GroupByKey]])*OutputTable[RecordedValue]))</f>
        <v>0</v>
      </c>
    </row>
    <row r="142" spans="1:16" x14ac:dyDescent="0.25">
      <c r="A142" t="s">
        <v>67</v>
      </c>
      <c r="B142" t="s">
        <v>70</v>
      </c>
      <c r="C142">
        <v>1</v>
      </c>
      <c r="D142" t="s">
        <v>319</v>
      </c>
      <c r="E142" t="s">
        <v>293</v>
      </c>
      <c r="F142" t="s">
        <v>97</v>
      </c>
      <c r="G142">
        <v>5.0571729553421099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ProjectProcess 3 Accum Wait TimeAccum Wait TimeProcess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</v>
      </c>
      <c r="K142" s="5" cm="1">
        <f t="array" ref="K142">IFERROR(AVERAGE(IF((OutputTable[GroupByKey]=OutputTable[[#This Row],[GroupByKey]]),(OutputTable[GroupByKey]=OutputTable[[#This Row],[GroupByKey]])*OutputTable[RecordedValue])),0)</f>
        <v>5.0571729553421099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0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2" s="5" cm="1">
        <f t="array" ref="O142">MIN(IF((OutputTable[GroupByKey]=OutputTable[[#This Row],[GroupByKey]]),(OutputTable[GroupByKey]=OutputTable[[#This Row],[GroupByKey]])*OutputTable[RecordedValue]))</f>
        <v>5.0571729553421099</v>
      </c>
      <c r="P142" s="5" cm="1">
        <f t="array" ref="P142">MAX(IF((OutputTable[GroupByKey]=OutputTable[[#This Row],[GroupByKey]]),(OutputTable[GroupByKey]=OutputTable[[#This Row],[GroupByKey]])*OutputTable[RecordedValue]))</f>
        <v>5.0571729553421099</v>
      </c>
    </row>
    <row r="143" spans="1:16" x14ac:dyDescent="0.25">
      <c r="A143" t="s">
        <v>67</v>
      </c>
      <c r="B143" t="s">
        <v>70</v>
      </c>
      <c r="C143">
        <v>1</v>
      </c>
      <c r="D143" t="s">
        <v>320</v>
      </c>
      <c r="E143" t="s">
        <v>187</v>
      </c>
      <c r="F143" t="s">
        <v>97</v>
      </c>
      <c r="G143">
        <v>4193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ProjectProcess 3 Number InNumber InProcess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</v>
      </c>
      <c r="K143" s="5" cm="1">
        <f t="array" ref="K143">IFERROR(AVERAGE(IF((OutputTable[GroupByKey]=OutputTable[[#This Row],[GroupByKey]]),(OutputTable[GroupByKey]=OutputTable[[#This Row],[GroupByKey]])*OutputTable[RecordedValue])),0)</f>
        <v>4193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0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3" s="5" cm="1">
        <f t="array" ref="O143">MIN(IF((OutputTable[GroupByKey]=OutputTable[[#This Row],[GroupByKey]]),(OutputTable[GroupByKey]=OutputTable[[#This Row],[GroupByKey]])*OutputTable[RecordedValue]))</f>
        <v>4193</v>
      </c>
      <c r="P143" s="5" cm="1">
        <f t="array" ref="P143">MAX(IF((OutputTable[GroupByKey]=OutputTable[[#This Row],[GroupByKey]]),(OutputTable[GroupByKey]=OutputTable[[#This Row],[GroupByKey]])*OutputTable[RecordedValue]))</f>
        <v>4193</v>
      </c>
    </row>
    <row r="144" spans="1:16" x14ac:dyDescent="0.25">
      <c r="A144" t="s">
        <v>67</v>
      </c>
      <c r="B144" t="s">
        <v>70</v>
      </c>
      <c r="C144">
        <v>1</v>
      </c>
      <c r="D144" t="s">
        <v>321</v>
      </c>
      <c r="E144" t="s">
        <v>189</v>
      </c>
      <c r="F144" t="s">
        <v>97</v>
      </c>
      <c r="G144">
        <v>4192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ProjectProcess 3 Number OutNumber OutProcess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</v>
      </c>
      <c r="K144" s="5" cm="1">
        <f t="array" ref="K144">IFERROR(AVERAGE(IF((OutputTable[GroupByKey]=OutputTable[[#This Row],[GroupByKey]]),(OutputTable[GroupByKey]=OutputTable[[#This Row],[GroupByKey]])*OutputTable[RecordedValue])),0)</f>
        <v>4192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0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4" s="5" cm="1">
        <f t="array" ref="O144">MIN(IF((OutputTable[GroupByKey]=OutputTable[[#This Row],[GroupByKey]]),(OutputTable[GroupByKey]=OutputTable[[#This Row],[GroupByKey]])*OutputTable[RecordedValue]))</f>
        <v>4192</v>
      </c>
      <c r="P144" s="5" cm="1">
        <f t="array" ref="P144">MAX(IF((OutputTable[GroupByKey]=OutputTable[[#This Row],[GroupByKey]]),(OutputTable[GroupByKey]=OutputTable[[#This Row],[GroupByKey]])*OutputTable[RecordedValue]))</f>
        <v>4192</v>
      </c>
    </row>
    <row r="145" spans="1:16" x14ac:dyDescent="0.25">
      <c r="A145" t="s">
        <v>67</v>
      </c>
      <c r="B145" t="s">
        <v>70</v>
      </c>
      <c r="C145">
        <v>1</v>
      </c>
      <c r="D145" t="s">
        <v>322</v>
      </c>
      <c r="E145" t="s">
        <v>297</v>
      </c>
      <c r="F145" t="s">
        <v>97</v>
      </c>
      <c r="G145">
        <v>0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ProjectProcess 3 Total Accum CostTotal Accum CostProcess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</v>
      </c>
      <c r="K145" s="5" cm="1">
        <f t="array" ref="K145">IFERROR(AVERAGE(IF((OutputTable[GroupByKey]=OutputTable[[#This Row],[GroupByKey]]),(OutputTable[GroupByKey]=OutputTable[[#This Row],[GroupByKey]])*OutputTable[RecordedValue])),0)</f>
        <v>0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5" s="5" cm="1">
        <f t="array" ref="O145">MIN(IF((OutputTable[GroupByKey]=OutputTable[[#This Row],[GroupByKey]]),(OutputTable[GroupByKey]=OutputTable[[#This Row],[GroupByKey]])*OutputTable[RecordedValue]))</f>
        <v>0</v>
      </c>
      <c r="P145" s="5" cm="1">
        <f t="array" ref="P145">MAX(IF((OutputTable[GroupByKey]=OutputTable[[#This Row],[GroupByKey]]),(OutputTable[GroupByKey]=OutputTable[[#This Row],[GroupByKey]])*OutputTable[RecordedValue]))</f>
        <v>0</v>
      </c>
    </row>
    <row r="146" spans="1:16" x14ac:dyDescent="0.25">
      <c r="A146" t="s">
        <v>67</v>
      </c>
      <c r="B146" t="s">
        <v>70</v>
      </c>
      <c r="C146">
        <v>1</v>
      </c>
      <c r="D146" t="s">
        <v>323</v>
      </c>
      <c r="E146" t="s">
        <v>299</v>
      </c>
      <c r="F146" t="s">
        <v>97</v>
      </c>
      <c r="G146">
        <v>17.878437183225099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ProjectProcess 3 Total Accum TimeTotal Accum TimeProcess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</v>
      </c>
      <c r="K146" s="5" cm="1">
        <f t="array" ref="K146">IFERROR(AVERAGE(IF((OutputTable[GroupByKey]=OutputTable[[#This Row],[GroupByKey]]),(OutputTable[GroupByKey]=OutputTable[[#This Row],[GroupByKey]])*OutputTable[RecordedValue])),0)</f>
        <v>17.878437183225099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0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6" s="5" cm="1">
        <f t="array" ref="O146">MIN(IF((OutputTable[GroupByKey]=OutputTable[[#This Row],[GroupByKey]]),(OutputTable[GroupByKey]=OutputTable[[#This Row],[GroupByKey]])*OutputTable[RecordedValue]))</f>
        <v>17.878437183225099</v>
      </c>
      <c r="P146" s="5" cm="1">
        <f t="array" ref="P146">MAX(IF((OutputTable[GroupByKey]=OutputTable[[#This Row],[GroupByKey]]),(OutputTable[GroupByKey]=OutputTable[[#This Row],[GroupByKey]])*OutputTable[RecordedValue]))</f>
        <v>17.878437183225099</v>
      </c>
    </row>
    <row r="147" spans="1:16" x14ac:dyDescent="0.25">
      <c r="A147" t="s">
        <v>67</v>
      </c>
      <c r="B147" t="s">
        <v>70</v>
      </c>
      <c r="C147">
        <v>1</v>
      </c>
      <c r="D147" t="s">
        <v>324</v>
      </c>
      <c r="E147" t="s">
        <v>287</v>
      </c>
      <c r="F147" t="s">
        <v>97</v>
      </c>
      <c r="G147">
        <v>0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ProjectProcess 4 Accum VA CostAccum VA CostProcess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</v>
      </c>
      <c r="K147" s="5" cm="1">
        <f t="array" ref="K147">IFERROR(AVERAGE(IF((OutputTable[GroupByKey]=OutputTable[[#This Row],[GroupByKey]]),(OutputTable[GroupByKey]=OutputTable[[#This Row],[GroupByKey]])*OutputTable[RecordedValue])),0)</f>
        <v>0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7" s="5" cm="1">
        <f t="array" ref="O147">MIN(IF((OutputTable[GroupByKey]=OutputTable[[#This Row],[GroupByKey]]),(OutputTable[GroupByKey]=OutputTable[[#This Row],[GroupByKey]])*OutputTable[RecordedValue]))</f>
        <v>0</v>
      </c>
      <c r="P147" s="5" cm="1">
        <f t="array" ref="P147">MAX(IF((OutputTable[GroupByKey]=OutputTable[[#This Row],[GroupByKey]]),(OutputTable[GroupByKey]=OutputTable[[#This Row],[GroupByKey]])*OutputTable[RecordedValue]))</f>
        <v>0</v>
      </c>
    </row>
    <row r="148" spans="1:16" x14ac:dyDescent="0.25">
      <c r="A148" t="s">
        <v>67</v>
      </c>
      <c r="B148" t="s">
        <v>70</v>
      </c>
      <c r="C148">
        <v>1</v>
      </c>
      <c r="D148" t="s">
        <v>325</v>
      </c>
      <c r="E148" t="s">
        <v>289</v>
      </c>
      <c r="F148" t="s">
        <v>97</v>
      </c>
      <c r="G148">
        <v>3.9516681769686901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ProjectProcess 4 Accum VA TimeAccum VA TimeProcess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</v>
      </c>
      <c r="K148" s="5" cm="1">
        <f t="array" ref="K148">IFERROR(AVERAGE(IF((OutputTable[GroupByKey]=OutputTable[[#This Row],[GroupByKey]]),(OutputTable[GroupByKey]=OutputTable[[#This Row],[GroupByKey]])*OutputTable[RecordedValue])),0)</f>
        <v>3.9516681769686901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8" s="5" cm="1">
        <f t="array" ref="O148">MIN(IF((OutputTable[GroupByKey]=OutputTable[[#This Row],[GroupByKey]]),(OutputTable[GroupByKey]=OutputTable[[#This Row],[GroupByKey]])*OutputTable[RecordedValue]))</f>
        <v>3.9516681769686901</v>
      </c>
      <c r="P148" s="5" cm="1">
        <f t="array" ref="P148">MAX(IF((OutputTable[GroupByKey]=OutputTable[[#This Row],[GroupByKey]]),(OutputTable[GroupByKey]=OutputTable[[#This Row],[GroupByKey]])*OutputTable[RecordedValue]))</f>
        <v>3.9516681769686901</v>
      </c>
    </row>
    <row r="149" spans="1:16" x14ac:dyDescent="0.25">
      <c r="A149" t="s">
        <v>67</v>
      </c>
      <c r="B149" t="s">
        <v>70</v>
      </c>
      <c r="C149">
        <v>1</v>
      </c>
      <c r="D149" t="s">
        <v>326</v>
      </c>
      <c r="E149" t="s">
        <v>291</v>
      </c>
      <c r="F149" t="s">
        <v>97</v>
      </c>
      <c r="G149">
        <v>0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ProjectProcess 4 Accum Wait CostAccum Wait CostProcess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</v>
      </c>
      <c r="K149" s="5" cm="1">
        <f t="array" ref="K149">IFERROR(AVERAGE(IF((OutputTable[GroupByKey]=OutputTable[[#This Row],[GroupByKey]]),(OutputTable[GroupByKey]=OutputTable[[#This Row],[GroupByKey]])*OutputTable[RecordedValue])),0)</f>
        <v>0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0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9" s="5" cm="1">
        <f t="array" ref="O149">MIN(IF((OutputTable[GroupByKey]=OutputTable[[#This Row],[GroupByKey]]),(OutputTable[GroupByKey]=OutputTable[[#This Row],[GroupByKey]])*OutputTable[RecordedValue]))</f>
        <v>0</v>
      </c>
      <c r="P149" s="5" cm="1">
        <f t="array" ref="P149">MAX(IF((OutputTable[GroupByKey]=OutputTable[[#This Row],[GroupByKey]]),(OutputTable[GroupByKey]=OutputTable[[#This Row],[GroupByKey]])*OutputTable[RecordedValue]))</f>
        <v>0</v>
      </c>
    </row>
    <row r="150" spans="1:16" x14ac:dyDescent="0.25">
      <c r="A150" t="s">
        <v>67</v>
      </c>
      <c r="B150" t="s">
        <v>70</v>
      </c>
      <c r="C150">
        <v>1</v>
      </c>
      <c r="D150" t="s">
        <v>327</v>
      </c>
      <c r="E150" t="s">
        <v>293</v>
      </c>
      <c r="F150" t="s">
        <v>97</v>
      </c>
      <c r="G150">
        <v>19.7034094307276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ProjectProcess 4 Accum Wait TimeAccum Wait TimeProcess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</v>
      </c>
      <c r="K150" s="5" cm="1">
        <f t="array" ref="K150">IFERROR(AVERAGE(IF((OutputTable[GroupByKey]=OutputTable[[#This Row],[GroupByKey]]),(OutputTable[GroupByKey]=OutputTable[[#This Row],[GroupByKey]])*OutputTable[RecordedValue])),0)</f>
        <v>19.7034094307276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0" s="5" cm="1">
        <f t="array" ref="O150">MIN(IF((OutputTable[GroupByKey]=OutputTable[[#This Row],[GroupByKey]]),(OutputTable[GroupByKey]=OutputTable[[#This Row],[GroupByKey]])*OutputTable[RecordedValue]))</f>
        <v>19.7034094307276</v>
      </c>
      <c r="P150" s="5" cm="1">
        <f t="array" ref="P150">MAX(IF((OutputTable[GroupByKey]=OutputTable[[#This Row],[GroupByKey]]),(OutputTable[GroupByKey]=OutputTable[[#This Row],[GroupByKey]])*OutputTable[RecordedValue]))</f>
        <v>19.7034094307276</v>
      </c>
    </row>
    <row r="151" spans="1:16" x14ac:dyDescent="0.25">
      <c r="A151" t="s">
        <v>67</v>
      </c>
      <c r="B151" t="s">
        <v>70</v>
      </c>
      <c r="C151">
        <v>1</v>
      </c>
      <c r="D151" t="s">
        <v>328</v>
      </c>
      <c r="E151" t="s">
        <v>187</v>
      </c>
      <c r="F151" t="s">
        <v>97</v>
      </c>
      <c r="G151">
        <v>2023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ProjectProcess 4 Number InNumber InProcess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</v>
      </c>
      <c r="K151" s="5" cm="1">
        <f t="array" ref="K151">IFERROR(AVERAGE(IF((OutputTable[GroupByKey]=OutputTable[[#This Row],[GroupByKey]]),(OutputTable[GroupByKey]=OutputTable[[#This Row],[GroupByKey]])*OutputTable[RecordedValue])),0)</f>
        <v>2023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0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1" s="5" cm="1">
        <f t="array" ref="O151">MIN(IF((OutputTable[GroupByKey]=OutputTable[[#This Row],[GroupByKey]]),(OutputTable[GroupByKey]=OutputTable[[#This Row],[GroupByKey]])*OutputTable[RecordedValue]))</f>
        <v>2023</v>
      </c>
      <c r="P151" s="5" cm="1">
        <f t="array" ref="P151">MAX(IF((OutputTable[GroupByKey]=OutputTable[[#This Row],[GroupByKey]]),(OutputTable[GroupByKey]=OutputTable[[#This Row],[GroupByKey]])*OutputTable[RecordedValue]))</f>
        <v>2023</v>
      </c>
    </row>
    <row r="152" spans="1:16" x14ac:dyDescent="0.25">
      <c r="A152" t="s">
        <v>67</v>
      </c>
      <c r="B152" t="s">
        <v>70</v>
      </c>
      <c r="C152">
        <v>1</v>
      </c>
      <c r="D152" t="s">
        <v>329</v>
      </c>
      <c r="E152" t="s">
        <v>189</v>
      </c>
      <c r="F152" t="s">
        <v>97</v>
      </c>
      <c r="G152">
        <v>2023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ProjectProcess 4 Number OutNumber OutProcess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1</v>
      </c>
      <c r="K152" s="5" cm="1">
        <f t="array" ref="K152">IFERROR(AVERAGE(IF((OutputTable[GroupByKey]=OutputTable[[#This Row],[GroupByKey]]),(OutputTable[GroupByKey]=OutputTable[[#This Row],[GroupByKey]])*OutputTable[RecordedValue])),0)</f>
        <v>2023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0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2" s="5" cm="1">
        <f t="array" ref="O152">MIN(IF((OutputTable[GroupByKey]=OutputTable[[#This Row],[GroupByKey]]),(OutputTable[GroupByKey]=OutputTable[[#This Row],[GroupByKey]])*OutputTable[RecordedValue]))</f>
        <v>2023</v>
      </c>
      <c r="P152" s="5" cm="1">
        <f t="array" ref="P152">MAX(IF((OutputTable[GroupByKey]=OutputTable[[#This Row],[GroupByKey]]),(OutputTable[GroupByKey]=OutputTable[[#This Row],[GroupByKey]])*OutputTable[RecordedValue]))</f>
        <v>2023</v>
      </c>
    </row>
    <row r="153" spans="1:16" x14ac:dyDescent="0.25">
      <c r="A153" t="s">
        <v>67</v>
      </c>
      <c r="B153" t="s">
        <v>70</v>
      </c>
      <c r="C153">
        <v>1</v>
      </c>
      <c r="D153" t="s">
        <v>330</v>
      </c>
      <c r="E153" t="s">
        <v>297</v>
      </c>
      <c r="F153" t="s">
        <v>97</v>
      </c>
      <c r="G153">
        <v>0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ProjectProcess 4 Total Accum CostTotal Accum CostProcess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1</v>
      </c>
      <c r="K153" s="5" cm="1">
        <f t="array" ref="K153">IFERROR(AVERAGE(IF((OutputTable[GroupByKey]=OutputTable[[#This Row],[GroupByKey]]),(OutputTable[GroupByKey]=OutputTable[[#This Row],[GroupByKey]])*OutputTable[RecordedValue])),0)</f>
        <v>0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0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3" s="5" cm="1">
        <f t="array" ref="O153">MIN(IF((OutputTable[GroupByKey]=OutputTable[[#This Row],[GroupByKey]]),(OutputTable[GroupByKey]=OutputTable[[#This Row],[GroupByKey]])*OutputTable[RecordedValue]))</f>
        <v>0</v>
      </c>
      <c r="P153" s="5" cm="1">
        <f t="array" ref="P153">MAX(IF((OutputTable[GroupByKey]=OutputTable[[#This Row],[GroupByKey]]),(OutputTable[GroupByKey]=OutputTable[[#This Row],[GroupByKey]])*OutputTable[RecordedValue]))</f>
        <v>0</v>
      </c>
    </row>
    <row r="154" spans="1:16" x14ac:dyDescent="0.25">
      <c r="A154" t="s">
        <v>67</v>
      </c>
      <c r="B154" t="s">
        <v>70</v>
      </c>
      <c r="C154">
        <v>1</v>
      </c>
      <c r="D154" t="s">
        <v>331</v>
      </c>
      <c r="E154" t="s">
        <v>299</v>
      </c>
      <c r="F154" t="s">
        <v>97</v>
      </c>
      <c r="G154">
        <v>23.655077607696299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ProjectProcess 4 Total Accum TimeTotal Accum TimeProcess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1</v>
      </c>
      <c r="K154" s="5" cm="1">
        <f t="array" ref="K154">IFERROR(AVERAGE(IF((OutputTable[GroupByKey]=OutputTable[[#This Row],[GroupByKey]]),(OutputTable[GroupByKey]=OutputTable[[#This Row],[GroupByKey]])*OutputTable[RecordedValue])),0)</f>
        <v>23.655077607696299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4" s="5" cm="1">
        <f t="array" ref="O154">MIN(IF((OutputTable[GroupByKey]=OutputTable[[#This Row],[GroupByKey]]),(OutputTable[GroupByKey]=OutputTable[[#This Row],[GroupByKey]])*OutputTable[RecordedValue]))</f>
        <v>23.655077607696299</v>
      </c>
      <c r="P154" s="5" cm="1">
        <f t="array" ref="P154">MAX(IF((OutputTable[GroupByKey]=OutputTable[[#This Row],[GroupByKey]]),(OutputTable[GroupByKey]=OutputTable[[#This Row],[GroupByKey]])*OutputTable[RecordedValue]))</f>
        <v>23.655077607696299</v>
      </c>
    </row>
    <row r="155" spans="1:16" x14ac:dyDescent="0.25">
      <c r="A155" t="s">
        <v>67</v>
      </c>
      <c r="B155" t="s">
        <v>70</v>
      </c>
      <c r="C155">
        <v>1</v>
      </c>
      <c r="D155" t="s">
        <v>332</v>
      </c>
      <c r="E155" t="s">
        <v>287</v>
      </c>
      <c r="F155" t="s">
        <v>97</v>
      </c>
      <c r="G155">
        <v>0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ProjectProcess 5 Accum VA CostAccum VA CostProcess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1</v>
      </c>
      <c r="K155" s="5" cm="1">
        <f t="array" ref="K155">IFERROR(AVERAGE(IF((OutputTable[GroupByKey]=OutputTable[[#This Row],[GroupByKey]]),(OutputTable[GroupByKey]=OutputTable[[#This Row],[GroupByKey]])*OutputTable[RecordedValue])),0)</f>
        <v>0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0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5" s="5" cm="1">
        <f t="array" ref="O155">MIN(IF((OutputTable[GroupByKey]=OutputTable[[#This Row],[GroupByKey]]),(OutputTable[GroupByKey]=OutputTable[[#This Row],[GroupByKey]])*OutputTable[RecordedValue]))</f>
        <v>0</v>
      </c>
      <c r="P155" s="5" cm="1">
        <f t="array" ref="P155">MAX(IF((OutputTable[GroupByKey]=OutputTable[[#This Row],[GroupByKey]]),(OutputTable[GroupByKey]=OutputTable[[#This Row],[GroupByKey]])*OutputTable[RecordedValue]))</f>
        <v>0</v>
      </c>
    </row>
    <row r="156" spans="1:16" x14ac:dyDescent="0.25">
      <c r="A156" t="s">
        <v>67</v>
      </c>
      <c r="B156" t="s">
        <v>70</v>
      </c>
      <c r="C156">
        <v>1</v>
      </c>
      <c r="D156" t="s">
        <v>333</v>
      </c>
      <c r="E156" t="s">
        <v>289</v>
      </c>
      <c r="F156" t="s">
        <v>97</v>
      </c>
      <c r="G156">
        <v>5.60023446795776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ProjectProcess 5 Accum VA TimeAccum VA TimeProcess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1</v>
      </c>
      <c r="K156" s="5" cm="1">
        <f t="array" ref="K156">IFERROR(AVERAGE(IF((OutputTable[GroupByKey]=OutputTable[[#This Row],[GroupByKey]]),(OutputTable[GroupByKey]=OutputTable[[#This Row],[GroupByKey]])*OutputTable[RecordedValue])),0)</f>
        <v>5.60023446795776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0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6" s="5" cm="1">
        <f t="array" ref="O156">MIN(IF((OutputTable[GroupByKey]=OutputTable[[#This Row],[GroupByKey]]),(OutputTable[GroupByKey]=OutputTable[[#This Row],[GroupByKey]])*OutputTable[RecordedValue]))</f>
        <v>5.60023446795776</v>
      </c>
      <c r="P156" s="5" cm="1">
        <f t="array" ref="P156">MAX(IF((OutputTable[GroupByKey]=OutputTable[[#This Row],[GroupByKey]]),(OutputTable[GroupByKey]=OutputTable[[#This Row],[GroupByKey]])*OutputTable[RecordedValue]))</f>
        <v>5.60023446795776</v>
      </c>
    </row>
    <row r="157" spans="1:16" x14ac:dyDescent="0.25">
      <c r="A157" t="s">
        <v>67</v>
      </c>
      <c r="B157" t="s">
        <v>70</v>
      </c>
      <c r="C157">
        <v>1</v>
      </c>
      <c r="D157" t="s">
        <v>334</v>
      </c>
      <c r="E157" t="s">
        <v>291</v>
      </c>
      <c r="F157" t="s">
        <v>97</v>
      </c>
      <c r="G157">
        <v>0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ProjectProcess 5 Accum Wait CostAccum Wait CostProcess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1</v>
      </c>
      <c r="K157" s="5" cm="1">
        <f t="array" ref="K157">IFERROR(AVERAGE(IF((OutputTable[GroupByKey]=OutputTable[[#This Row],[GroupByKey]]),(OutputTable[GroupByKey]=OutputTable[[#This Row],[GroupByKey]])*OutputTable[RecordedValue])),0)</f>
        <v>0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0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7" s="5" cm="1">
        <f t="array" ref="O157">MIN(IF((OutputTable[GroupByKey]=OutputTable[[#This Row],[GroupByKey]]),(OutputTable[GroupByKey]=OutputTable[[#This Row],[GroupByKey]])*OutputTable[RecordedValue]))</f>
        <v>0</v>
      </c>
      <c r="P157" s="5" cm="1">
        <f t="array" ref="P157">MAX(IF((OutputTable[GroupByKey]=OutputTable[[#This Row],[GroupByKey]]),(OutputTable[GroupByKey]=OutputTable[[#This Row],[GroupByKey]])*OutputTable[RecordedValue]))</f>
        <v>0</v>
      </c>
    </row>
    <row r="158" spans="1:16" x14ac:dyDescent="0.25">
      <c r="A158" t="s">
        <v>67</v>
      </c>
      <c r="B158" t="s">
        <v>70</v>
      </c>
      <c r="C158">
        <v>1</v>
      </c>
      <c r="D158" t="s">
        <v>335</v>
      </c>
      <c r="E158" t="s">
        <v>293</v>
      </c>
      <c r="F158" t="s">
        <v>97</v>
      </c>
      <c r="G158">
        <v>1.9932112164795099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ProjectProcess 5 Accum Wait TimeAccum Wait TimeProcess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1</v>
      </c>
      <c r="K158" s="5" cm="1">
        <f t="array" ref="K158">IFERROR(AVERAGE(IF((OutputTable[GroupByKey]=OutputTable[[#This Row],[GroupByKey]]),(OutputTable[GroupByKey]=OutputTable[[#This Row],[GroupByKey]])*OutputTable[RecordedValue])),0)</f>
        <v>1.9932112164795099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8" s="5" cm="1">
        <f t="array" ref="O158">MIN(IF((OutputTable[GroupByKey]=OutputTable[[#This Row],[GroupByKey]]),(OutputTable[GroupByKey]=OutputTable[[#This Row],[GroupByKey]])*OutputTable[RecordedValue]))</f>
        <v>1.9932112164795099</v>
      </c>
      <c r="P158" s="5" cm="1">
        <f t="array" ref="P158">MAX(IF((OutputTable[GroupByKey]=OutputTable[[#This Row],[GroupByKey]]),(OutputTable[GroupByKey]=OutputTable[[#This Row],[GroupByKey]])*OutputTable[RecordedValue]))</f>
        <v>1.9932112164795099</v>
      </c>
    </row>
    <row r="159" spans="1:16" x14ac:dyDescent="0.25">
      <c r="A159" t="s">
        <v>67</v>
      </c>
      <c r="B159" t="s">
        <v>70</v>
      </c>
      <c r="C159">
        <v>1</v>
      </c>
      <c r="D159" t="s">
        <v>336</v>
      </c>
      <c r="E159" t="s">
        <v>187</v>
      </c>
      <c r="F159" t="s">
        <v>97</v>
      </c>
      <c r="G159">
        <v>2022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ProjectProcess 5 Number InNumber InProcess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1</v>
      </c>
      <c r="K159" s="5" cm="1">
        <f t="array" ref="K159">IFERROR(AVERAGE(IF((OutputTable[GroupByKey]=OutputTable[[#This Row],[GroupByKey]]),(OutputTable[GroupByKey]=OutputTable[[#This Row],[GroupByKey]])*OutputTable[RecordedValue])),0)</f>
        <v>2022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0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9" s="5" cm="1">
        <f t="array" ref="O159">MIN(IF((OutputTable[GroupByKey]=OutputTable[[#This Row],[GroupByKey]]),(OutputTable[GroupByKey]=OutputTable[[#This Row],[GroupByKey]])*OutputTable[RecordedValue]))</f>
        <v>2022</v>
      </c>
      <c r="P159" s="5" cm="1">
        <f t="array" ref="P159">MAX(IF((OutputTable[GroupByKey]=OutputTable[[#This Row],[GroupByKey]]),(OutputTable[GroupByKey]=OutputTable[[#This Row],[GroupByKey]])*OutputTable[RecordedValue]))</f>
        <v>2022</v>
      </c>
    </row>
    <row r="160" spans="1:16" x14ac:dyDescent="0.25">
      <c r="A160" t="s">
        <v>67</v>
      </c>
      <c r="B160" t="s">
        <v>70</v>
      </c>
      <c r="C160">
        <v>1</v>
      </c>
      <c r="D160" t="s">
        <v>337</v>
      </c>
      <c r="E160" t="s">
        <v>189</v>
      </c>
      <c r="F160" t="s">
        <v>97</v>
      </c>
      <c r="G160">
        <v>2021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ProjectProcess 5 Number OutNumber OutProcess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1</v>
      </c>
      <c r="K160" s="5" cm="1">
        <f t="array" ref="K160">IFERROR(AVERAGE(IF((OutputTable[GroupByKey]=OutputTable[[#This Row],[GroupByKey]]),(OutputTable[GroupByKey]=OutputTable[[#This Row],[GroupByKey]])*OutputTable[RecordedValue])),0)</f>
        <v>2021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0" s="5" cm="1">
        <f t="array" ref="O160">MIN(IF((OutputTable[GroupByKey]=OutputTable[[#This Row],[GroupByKey]]),(OutputTable[GroupByKey]=OutputTable[[#This Row],[GroupByKey]])*OutputTable[RecordedValue]))</f>
        <v>2021</v>
      </c>
      <c r="P160" s="5" cm="1">
        <f t="array" ref="P160">MAX(IF((OutputTable[GroupByKey]=OutputTable[[#This Row],[GroupByKey]]),(OutputTable[GroupByKey]=OutputTable[[#This Row],[GroupByKey]])*OutputTable[RecordedValue]))</f>
        <v>2021</v>
      </c>
    </row>
    <row r="161" spans="1:16" x14ac:dyDescent="0.25">
      <c r="A161" t="s">
        <v>67</v>
      </c>
      <c r="B161" t="s">
        <v>70</v>
      </c>
      <c r="C161">
        <v>1</v>
      </c>
      <c r="D161" t="s">
        <v>338</v>
      </c>
      <c r="E161" t="s">
        <v>297</v>
      </c>
      <c r="F161" t="s">
        <v>97</v>
      </c>
      <c r="G161">
        <v>0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ProjectProcess 5 Total Accum CostTotal Accum CostProcess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1</v>
      </c>
      <c r="K161" s="5" cm="1">
        <f t="array" ref="K161">IFERROR(AVERAGE(IF((OutputTable[GroupByKey]=OutputTable[[#This Row],[GroupByKey]]),(OutputTable[GroupByKey]=OutputTable[[#This Row],[GroupByKey]])*OutputTable[RecordedValue])),0)</f>
        <v>0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1" s="5" cm="1">
        <f t="array" ref="O161">MIN(IF((OutputTable[GroupByKey]=OutputTable[[#This Row],[GroupByKey]]),(OutputTable[GroupByKey]=OutputTable[[#This Row],[GroupByKey]])*OutputTable[RecordedValue]))</f>
        <v>0</v>
      </c>
      <c r="P161" s="5" cm="1">
        <f t="array" ref="P161">MAX(IF((OutputTable[GroupByKey]=OutputTable[[#This Row],[GroupByKey]]),(OutputTable[GroupByKey]=OutputTable[[#This Row],[GroupByKey]])*OutputTable[RecordedValue]))</f>
        <v>0</v>
      </c>
    </row>
    <row r="162" spans="1:16" x14ac:dyDescent="0.25">
      <c r="A162" t="s">
        <v>67</v>
      </c>
      <c r="B162" t="s">
        <v>70</v>
      </c>
      <c r="C162">
        <v>1</v>
      </c>
      <c r="D162" t="s">
        <v>339</v>
      </c>
      <c r="E162" t="s">
        <v>299</v>
      </c>
      <c r="F162" t="s">
        <v>97</v>
      </c>
      <c r="G162">
        <v>7.5934456844372704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ProjectProcess 5 Total Accum TimeTotal Accum TimeProcess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1</v>
      </c>
      <c r="K162" s="5" cm="1">
        <f t="array" ref="K162">IFERROR(AVERAGE(IF((OutputTable[GroupByKey]=OutputTable[[#This Row],[GroupByKey]]),(OutputTable[GroupByKey]=OutputTable[[#This Row],[GroupByKey]])*OutputTable[RecordedValue])),0)</f>
        <v>7.5934456844372704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0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2" s="5" cm="1">
        <f t="array" ref="O162">MIN(IF((OutputTable[GroupByKey]=OutputTable[[#This Row],[GroupByKey]]),(OutputTable[GroupByKey]=OutputTable[[#This Row],[GroupByKey]])*OutputTable[RecordedValue]))</f>
        <v>7.5934456844372704</v>
      </c>
      <c r="P162" s="5" cm="1">
        <f t="array" ref="P162">MAX(IF((OutputTable[GroupByKey]=OutputTable[[#This Row],[GroupByKey]]),(OutputTable[GroupByKey]=OutputTable[[#This Row],[GroupByKey]])*OutputTable[RecordedValue]))</f>
        <v>7.5934456844372704</v>
      </c>
    </row>
    <row r="163" spans="1:16" x14ac:dyDescent="0.25">
      <c r="A163" t="s">
        <v>67</v>
      </c>
      <c r="B163" t="s">
        <v>70</v>
      </c>
      <c r="C163">
        <v>1</v>
      </c>
      <c r="D163" t="s">
        <v>340</v>
      </c>
      <c r="E163" t="s">
        <v>287</v>
      </c>
      <c r="F163" t="s">
        <v>97</v>
      </c>
      <c r="G163">
        <v>0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ProjectProcess 6 Accum VA CostAccum VA CostProcess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1</v>
      </c>
      <c r="K163" s="5" cm="1">
        <f t="array" ref="K163">IFERROR(AVERAGE(IF((OutputTable[GroupByKey]=OutputTable[[#This Row],[GroupByKey]]),(OutputTable[GroupByKey]=OutputTable[[#This Row],[GroupByKey]])*OutputTable[RecordedValue])),0)</f>
        <v>0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0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3" s="5" cm="1">
        <f t="array" ref="O163">MIN(IF((OutputTable[GroupByKey]=OutputTable[[#This Row],[GroupByKey]]),(OutputTable[GroupByKey]=OutputTable[[#This Row],[GroupByKey]])*OutputTable[RecordedValue]))</f>
        <v>0</v>
      </c>
      <c r="P163" s="5" cm="1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25">
      <c r="A164" t="s">
        <v>67</v>
      </c>
      <c r="B164" t="s">
        <v>70</v>
      </c>
      <c r="C164">
        <v>1</v>
      </c>
      <c r="D164" t="s">
        <v>341</v>
      </c>
      <c r="E164" t="s">
        <v>289</v>
      </c>
      <c r="F164" t="s">
        <v>97</v>
      </c>
      <c r="G164">
        <v>13.986084960686799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ProjectProcess 6 Accum VA TimeAccum VA TimeProcess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1</v>
      </c>
      <c r="K164" s="5" cm="1">
        <f t="array" ref="K164">IFERROR(AVERAGE(IF((OutputTable[GroupByKey]=OutputTable[[#This Row],[GroupByKey]]),(OutputTable[GroupByKey]=OutputTable[[#This Row],[GroupByKey]])*OutputTable[RecordedValue])),0)</f>
        <v>13.986084960686799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0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4" s="5" cm="1">
        <f t="array" ref="O164">MIN(IF((OutputTable[GroupByKey]=OutputTable[[#This Row],[GroupByKey]]),(OutputTable[GroupByKey]=OutputTable[[#This Row],[GroupByKey]])*OutputTable[RecordedValue]))</f>
        <v>13.986084960686799</v>
      </c>
      <c r="P164" s="5" cm="1">
        <f t="array" ref="P164">MAX(IF((OutputTable[GroupByKey]=OutputTable[[#This Row],[GroupByKey]]),(OutputTable[GroupByKey]=OutputTable[[#This Row],[GroupByKey]])*OutputTable[RecordedValue]))</f>
        <v>13.986084960686799</v>
      </c>
    </row>
    <row r="165" spans="1:16" x14ac:dyDescent="0.25">
      <c r="A165" t="s">
        <v>67</v>
      </c>
      <c r="B165" t="s">
        <v>70</v>
      </c>
      <c r="C165">
        <v>1</v>
      </c>
      <c r="D165" t="s">
        <v>342</v>
      </c>
      <c r="E165" t="s">
        <v>291</v>
      </c>
      <c r="F165" t="s">
        <v>97</v>
      </c>
      <c r="G165">
        <v>0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ProjectProcess 6 Accum Wait CostAccum Wait CostProcess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1</v>
      </c>
      <c r="K165" s="5" cm="1">
        <f t="array" ref="K165">IFERROR(AVERAGE(IF((OutputTable[GroupByKey]=OutputTable[[#This Row],[GroupByKey]]),(OutputTable[GroupByKey]=OutputTable[[#This Row],[GroupByKey]])*OutputTable[RecordedValue])),0)</f>
        <v>0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0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5" s="5" cm="1">
        <f t="array" ref="O165">MIN(IF((OutputTable[GroupByKey]=OutputTable[[#This Row],[GroupByKey]]),(OutputTable[GroupByKey]=OutputTable[[#This Row],[GroupByKey]])*OutputTable[RecordedValue]))</f>
        <v>0</v>
      </c>
      <c r="P165" s="5" cm="1">
        <f t="array" ref="P165">MAX(IF((OutputTable[GroupByKey]=OutputTable[[#This Row],[GroupByKey]]),(OutputTable[GroupByKey]=OutputTable[[#This Row],[GroupByKey]])*OutputTable[RecordedValue]))</f>
        <v>0</v>
      </c>
    </row>
    <row r="166" spans="1:16" x14ac:dyDescent="0.25">
      <c r="A166" t="s">
        <v>67</v>
      </c>
      <c r="B166" t="s">
        <v>70</v>
      </c>
      <c r="C166">
        <v>1</v>
      </c>
      <c r="D166" t="s">
        <v>343</v>
      </c>
      <c r="E166" t="s">
        <v>293</v>
      </c>
      <c r="F166" t="s">
        <v>97</v>
      </c>
      <c r="G166">
        <v>38.701019980603697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ProjectProcess 6 Accum Wait TimeAccum Wait TimeProcess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1</v>
      </c>
      <c r="K166" s="5" cm="1">
        <f t="array" ref="K166">IFERROR(AVERAGE(IF((OutputTable[GroupByKey]=OutputTable[[#This Row],[GroupByKey]]),(OutputTable[GroupByKey]=OutputTable[[#This Row],[GroupByKey]])*OutputTable[RecordedValue])),0)</f>
        <v>38.701019980603697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0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6" s="5" cm="1">
        <f t="array" ref="O166">MIN(IF((OutputTable[GroupByKey]=OutputTable[[#This Row],[GroupByKey]]),(OutputTable[GroupByKey]=OutputTable[[#This Row],[GroupByKey]])*OutputTable[RecordedValue]))</f>
        <v>38.701019980603697</v>
      </c>
      <c r="P166" s="5" cm="1">
        <f t="array" ref="P166">MAX(IF((OutputTable[GroupByKey]=OutputTable[[#This Row],[GroupByKey]]),(OutputTable[GroupByKey]=OutputTable[[#This Row],[GroupByKey]])*OutputTable[RecordedValue]))</f>
        <v>38.701019980603697</v>
      </c>
    </row>
    <row r="167" spans="1:16" x14ac:dyDescent="0.25">
      <c r="A167" t="s">
        <v>67</v>
      </c>
      <c r="B167" t="s">
        <v>70</v>
      </c>
      <c r="C167">
        <v>1</v>
      </c>
      <c r="D167" t="s">
        <v>344</v>
      </c>
      <c r="E167" t="s">
        <v>187</v>
      </c>
      <c r="F167" t="s">
        <v>97</v>
      </c>
      <c r="G167">
        <v>2017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ProjectProcess 6 Number InNumber InProcess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1</v>
      </c>
      <c r="K167" s="5" cm="1">
        <f t="array" ref="K167">IFERROR(AVERAGE(IF((OutputTable[GroupByKey]=OutputTable[[#This Row],[GroupByKey]]),(OutputTable[GroupByKey]=OutputTable[[#This Row],[GroupByKey]])*OutputTable[RecordedValue])),0)</f>
        <v>2017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0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7" s="5" cm="1">
        <f t="array" ref="O167">MIN(IF((OutputTable[GroupByKey]=OutputTable[[#This Row],[GroupByKey]]),(OutputTable[GroupByKey]=OutputTable[[#This Row],[GroupByKey]])*OutputTable[RecordedValue]))</f>
        <v>2017</v>
      </c>
      <c r="P167" s="5" cm="1">
        <f t="array" ref="P167">MAX(IF((OutputTable[GroupByKey]=OutputTable[[#This Row],[GroupByKey]]),(OutputTable[GroupByKey]=OutputTable[[#This Row],[GroupByKey]])*OutputTable[RecordedValue]))</f>
        <v>2017</v>
      </c>
    </row>
    <row r="168" spans="1:16" x14ac:dyDescent="0.25">
      <c r="A168" t="s">
        <v>67</v>
      </c>
      <c r="B168" t="s">
        <v>70</v>
      </c>
      <c r="C168">
        <v>1</v>
      </c>
      <c r="D168" t="s">
        <v>345</v>
      </c>
      <c r="E168" t="s">
        <v>189</v>
      </c>
      <c r="F168" t="s">
        <v>97</v>
      </c>
      <c r="G168">
        <v>2014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ProjectProcess 6 Number OutNumber OutProcess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1</v>
      </c>
      <c r="K168" s="5" cm="1">
        <f t="array" ref="K168">IFERROR(AVERAGE(IF((OutputTable[GroupByKey]=OutputTable[[#This Row],[GroupByKey]]),(OutputTable[GroupByKey]=OutputTable[[#This Row],[GroupByKey]])*OutputTable[RecordedValue])),0)</f>
        <v>2014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0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8" s="5" cm="1">
        <f t="array" ref="O168">MIN(IF((OutputTable[GroupByKey]=OutputTable[[#This Row],[GroupByKey]]),(OutputTable[GroupByKey]=OutputTable[[#This Row],[GroupByKey]])*OutputTable[RecordedValue]))</f>
        <v>2014</v>
      </c>
      <c r="P168" s="5" cm="1">
        <f t="array" ref="P168">MAX(IF((OutputTable[GroupByKey]=OutputTable[[#This Row],[GroupByKey]]),(OutputTable[GroupByKey]=OutputTable[[#This Row],[GroupByKey]])*OutputTable[RecordedValue]))</f>
        <v>2014</v>
      </c>
    </row>
    <row r="169" spans="1:16" x14ac:dyDescent="0.25">
      <c r="A169" t="s">
        <v>67</v>
      </c>
      <c r="B169" t="s">
        <v>70</v>
      </c>
      <c r="C169">
        <v>1</v>
      </c>
      <c r="D169" t="s">
        <v>346</v>
      </c>
      <c r="E169" t="s">
        <v>297</v>
      </c>
      <c r="F169" t="s">
        <v>97</v>
      </c>
      <c r="G169">
        <v>0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ProjectProcess 6 Total Accum CostTotal Accum CostProcess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1</v>
      </c>
      <c r="K169" s="5" cm="1">
        <f t="array" ref="K169">IFERROR(AVERAGE(IF((OutputTable[GroupByKey]=OutputTable[[#This Row],[GroupByKey]]),(OutputTable[GroupByKey]=OutputTable[[#This Row],[GroupByKey]])*OutputTable[RecordedValue])),0)</f>
        <v>0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9" s="5" cm="1">
        <f t="array" ref="O169">MIN(IF((OutputTable[GroupByKey]=OutputTable[[#This Row],[GroupByKey]]),(OutputTable[GroupByKey]=OutputTable[[#This Row],[GroupByKey]])*OutputTable[RecordedValue]))</f>
        <v>0</v>
      </c>
      <c r="P169" s="5" cm="1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25">
      <c r="A170" t="s">
        <v>67</v>
      </c>
      <c r="B170" t="s">
        <v>70</v>
      </c>
      <c r="C170">
        <v>1</v>
      </c>
      <c r="D170" t="s">
        <v>347</v>
      </c>
      <c r="E170" t="s">
        <v>299</v>
      </c>
      <c r="F170" t="s">
        <v>97</v>
      </c>
      <c r="G170">
        <v>52.6871049412904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ProjectProcess 6 Total Accum TimeTotal Accum TimeProcess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1</v>
      </c>
      <c r="K170" s="5" cm="1">
        <f t="array" ref="K170">IFERROR(AVERAGE(IF((OutputTable[GroupByKey]=OutputTable[[#This Row],[GroupByKey]]),(OutputTable[GroupByKey]=OutputTable[[#This Row],[GroupByKey]])*OutputTable[RecordedValue])),0)</f>
        <v>52.6871049412904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0" s="5" cm="1">
        <f t="array" ref="O170">MIN(IF((OutputTable[GroupByKey]=OutputTable[[#This Row],[GroupByKey]]),(OutputTable[GroupByKey]=OutputTable[[#This Row],[GroupByKey]])*OutputTable[RecordedValue]))</f>
        <v>52.6871049412904</v>
      </c>
      <c r="P170" s="5" cm="1">
        <f t="array" ref="P170">MAX(IF((OutputTable[GroupByKey]=OutputTable[[#This Row],[GroupByKey]]),(OutputTable[GroupByKey]=OutputTable[[#This Row],[GroupByKey]])*OutputTable[RecordedValue]))</f>
        <v>52.6871049412904</v>
      </c>
    </row>
    <row r="171" spans="1:16" x14ac:dyDescent="0.25">
      <c r="A171" t="s">
        <v>67</v>
      </c>
      <c r="B171" t="s">
        <v>70</v>
      </c>
      <c r="C171">
        <v>1</v>
      </c>
      <c r="D171" t="s">
        <v>348</v>
      </c>
      <c r="E171" t="s">
        <v>287</v>
      </c>
      <c r="F171" t="s">
        <v>97</v>
      </c>
      <c r="G171">
        <v>0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ProjectProcess 7 Accum VA CostAccum VA CostProcess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1</v>
      </c>
      <c r="K171" s="5" cm="1">
        <f t="array" ref="K171">IFERROR(AVERAGE(IF((OutputTable[GroupByKey]=OutputTable[[#This Row],[GroupByKey]]),(OutputTable[GroupByKey]=OutputTable[[#This Row],[GroupByKey]])*OutputTable[RecordedValue])),0)</f>
        <v>0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0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1" s="5" cm="1">
        <f t="array" ref="O171">MIN(IF((OutputTable[GroupByKey]=OutputTable[[#This Row],[GroupByKey]]),(OutputTable[GroupByKey]=OutputTable[[#This Row],[GroupByKey]])*OutputTable[RecordedValue]))</f>
        <v>0</v>
      </c>
      <c r="P171" s="5" cm="1">
        <f t="array" ref="P171">MAX(IF((OutputTable[GroupByKey]=OutputTable[[#This Row],[GroupByKey]]),(OutputTable[GroupByKey]=OutputTable[[#This Row],[GroupByKey]])*OutputTable[RecordedValue]))</f>
        <v>0</v>
      </c>
    </row>
    <row r="172" spans="1:16" x14ac:dyDescent="0.25">
      <c r="A172" t="s">
        <v>67</v>
      </c>
      <c r="B172" t="s">
        <v>70</v>
      </c>
      <c r="C172">
        <v>1</v>
      </c>
      <c r="D172" t="s">
        <v>349</v>
      </c>
      <c r="E172" t="s">
        <v>289</v>
      </c>
      <c r="F172" t="s">
        <v>97</v>
      </c>
      <c r="G172">
        <v>6.7041992346972803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ProjectProcess 7 Accum VA TimeAccum VA TimeProcess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1</v>
      </c>
      <c r="K172" s="5" cm="1">
        <f t="array" ref="K172">IFERROR(AVERAGE(IF((OutputTable[GroupByKey]=OutputTable[[#This Row],[GroupByKey]]),(OutputTable[GroupByKey]=OutputTable[[#This Row],[GroupByKey]])*OutputTable[RecordedValue])),0)</f>
        <v>6.7041992346972803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0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2" s="5" cm="1">
        <f t="array" ref="O172">MIN(IF((OutputTable[GroupByKey]=OutputTable[[#This Row],[GroupByKey]]),(OutputTable[GroupByKey]=OutputTable[[#This Row],[GroupByKey]])*OutputTable[RecordedValue]))</f>
        <v>6.7041992346972803</v>
      </c>
      <c r="P172" s="5" cm="1">
        <f t="array" ref="P172">MAX(IF((OutputTable[GroupByKey]=OutputTable[[#This Row],[GroupByKey]]),(OutputTable[GroupByKey]=OutputTable[[#This Row],[GroupByKey]])*OutputTable[RecordedValue]))</f>
        <v>6.7041992346972803</v>
      </c>
    </row>
    <row r="173" spans="1:16" x14ac:dyDescent="0.25">
      <c r="A173" t="s">
        <v>67</v>
      </c>
      <c r="B173" t="s">
        <v>70</v>
      </c>
      <c r="C173">
        <v>1</v>
      </c>
      <c r="D173" t="s">
        <v>350</v>
      </c>
      <c r="E173" t="s">
        <v>291</v>
      </c>
      <c r="F173" t="s">
        <v>97</v>
      </c>
      <c r="G173">
        <v>0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ProjectProcess 7 Accum Wait CostAccum Wait CostProcess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1</v>
      </c>
      <c r="K173" s="5" cm="1">
        <f t="array" ref="K173">IFERROR(AVERAGE(IF((OutputTable[GroupByKey]=OutputTable[[#This Row],[GroupByKey]]),(OutputTable[GroupByKey]=OutputTable[[#This Row],[GroupByKey]])*OutputTable[RecordedValue])),0)</f>
        <v>0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0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3" s="5" cm="1">
        <f t="array" ref="O173">MIN(IF((OutputTable[GroupByKey]=OutputTable[[#This Row],[GroupByKey]]),(OutputTable[GroupByKey]=OutputTable[[#This Row],[GroupByKey]])*OutputTable[RecordedValue]))</f>
        <v>0</v>
      </c>
      <c r="P173" s="5" cm="1">
        <f t="array" ref="P173">MAX(IF((OutputTable[GroupByKey]=OutputTable[[#This Row],[GroupByKey]]),(OutputTable[GroupByKey]=OutputTable[[#This Row],[GroupByKey]])*OutputTable[RecordedValue]))</f>
        <v>0</v>
      </c>
    </row>
    <row r="174" spans="1:16" x14ac:dyDescent="0.25">
      <c r="A174" t="s">
        <v>67</v>
      </c>
      <c r="B174" t="s">
        <v>70</v>
      </c>
      <c r="C174">
        <v>1</v>
      </c>
      <c r="D174" t="s">
        <v>351</v>
      </c>
      <c r="E174" t="s">
        <v>293</v>
      </c>
      <c r="F174" t="s">
        <v>97</v>
      </c>
      <c r="G174">
        <v>3.98305807260558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ProjectProcess 7 Accum Wait TimeAccum Wait TimeProcess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1</v>
      </c>
      <c r="K174" s="5" cm="1">
        <f t="array" ref="K174">IFERROR(AVERAGE(IF((OutputTable[GroupByKey]=OutputTable[[#This Row],[GroupByKey]]),(OutputTable[GroupByKey]=OutputTable[[#This Row],[GroupByKey]])*OutputTable[RecordedValue])),0)</f>
        <v>3.98305807260558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4" s="5" cm="1">
        <f t="array" ref="O174">MIN(IF((OutputTable[GroupByKey]=OutputTable[[#This Row],[GroupByKey]]),(OutputTable[GroupByKey]=OutputTable[[#This Row],[GroupByKey]])*OutputTable[RecordedValue]))</f>
        <v>3.98305807260558</v>
      </c>
      <c r="P174" s="5" cm="1">
        <f t="array" ref="P174">MAX(IF((OutputTable[GroupByKey]=OutputTable[[#This Row],[GroupByKey]]),(OutputTable[GroupByKey]=OutputTable[[#This Row],[GroupByKey]])*OutputTable[RecordedValue]))</f>
        <v>3.98305807260558</v>
      </c>
    </row>
    <row r="175" spans="1:16" x14ac:dyDescent="0.25">
      <c r="A175" t="s">
        <v>67</v>
      </c>
      <c r="B175" t="s">
        <v>70</v>
      </c>
      <c r="C175">
        <v>1</v>
      </c>
      <c r="D175" t="s">
        <v>352</v>
      </c>
      <c r="E175" t="s">
        <v>187</v>
      </c>
      <c r="F175" t="s">
        <v>97</v>
      </c>
      <c r="G175">
        <v>2014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ProjectProcess 7 Number InNumber InProcess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1</v>
      </c>
      <c r="K175" s="5" cm="1">
        <f t="array" ref="K175">IFERROR(AVERAGE(IF((OutputTable[GroupByKey]=OutputTable[[#This Row],[GroupByKey]]),(OutputTable[GroupByKey]=OutputTable[[#This Row],[GroupByKey]])*OutputTable[RecordedValue])),0)</f>
        <v>2014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5" s="5" cm="1">
        <f t="array" ref="O175">MIN(IF((OutputTable[GroupByKey]=OutputTable[[#This Row],[GroupByKey]]),(OutputTable[GroupByKey]=OutputTable[[#This Row],[GroupByKey]])*OutputTable[RecordedValue]))</f>
        <v>2014</v>
      </c>
      <c r="P175" s="5" cm="1">
        <f t="array" ref="P175">MAX(IF((OutputTable[GroupByKey]=OutputTable[[#This Row],[GroupByKey]]),(OutputTable[GroupByKey]=OutputTable[[#This Row],[GroupByKey]])*OutputTable[RecordedValue]))</f>
        <v>2014</v>
      </c>
    </row>
    <row r="176" spans="1:16" x14ac:dyDescent="0.25">
      <c r="A176" t="s">
        <v>67</v>
      </c>
      <c r="B176" t="s">
        <v>70</v>
      </c>
      <c r="C176">
        <v>1</v>
      </c>
      <c r="D176" t="s">
        <v>353</v>
      </c>
      <c r="E176" t="s">
        <v>189</v>
      </c>
      <c r="F176" t="s">
        <v>97</v>
      </c>
      <c r="G176">
        <v>2013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ProjectProcess 7 Number OutNumber OutProcess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1</v>
      </c>
      <c r="K176" s="5" cm="1">
        <f t="array" ref="K176">IFERROR(AVERAGE(IF((OutputTable[GroupByKey]=OutputTable[[#This Row],[GroupByKey]]),(OutputTable[GroupByKey]=OutputTable[[#This Row],[GroupByKey]])*OutputTable[RecordedValue])),0)</f>
        <v>2013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0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6" s="5" cm="1">
        <f t="array" ref="O176">MIN(IF((OutputTable[GroupByKey]=OutputTable[[#This Row],[GroupByKey]]),(OutputTable[GroupByKey]=OutputTable[[#This Row],[GroupByKey]])*OutputTable[RecordedValue]))</f>
        <v>2013</v>
      </c>
      <c r="P176" s="5" cm="1">
        <f t="array" ref="P176">MAX(IF((OutputTable[GroupByKey]=OutputTable[[#This Row],[GroupByKey]]),(OutputTable[GroupByKey]=OutputTable[[#This Row],[GroupByKey]])*OutputTable[RecordedValue]))</f>
        <v>2013</v>
      </c>
    </row>
    <row r="177" spans="1:16" x14ac:dyDescent="0.25">
      <c r="A177" t="s">
        <v>67</v>
      </c>
      <c r="B177" t="s">
        <v>70</v>
      </c>
      <c r="C177">
        <v>1</v>
      </c>
      <c r="D177" t="s">
        <v>354</v>
      </c>
      <c r="E177" t="s">
        <v>297</v>
      </c>
      <c r="F177" t="s">
        <v>97</v>
      </c>
      <c r="G177">
        <v>0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ProjectProcess 7 Total Accum CostTotal Accum CostProcess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1</v>
      </c>
      <c r="K177" s="5" cm="1">
        <f t="array" ref="K177">IFERROR(AVERAGE(IF((OutputTable[GroupByKey]=OutputTable[[#This Row],[GroupByKey]]),(OutputTable[GroupByKey]=OutputTable[[#This Row],[GroupByKey]])*OutputTable[RecordedValue])),0)</f>
        <v>0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0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7" s="5" cm="1">
        <f t="array" ref="O177">MIN(IF((OutputTable[GroupByKey]=OutputTable[[#This Row],[GroupByKey]]),(OutputTable[GroupByKey]=OutputTable[[#This Row],[GroupByKey]])*OutputTable[RecordedValue]))</f>
        <v>0</v>
      </c>
      <c r="P177" s="5" cm="1">
        <f t="array" ref="P177">MAX(IF((OutputTable[GroupByKey]=OutputTable[[#This Row],[GroupByKey]]),(OutputTable[GroupByKey]=OutputTable[[#This Row],[GroupByKey]])*OutputTable[RecordedValue]))</f>
        <v>0</v>
      </c>
    </row>
    <row r="178" spans="1:16" x14ac:dyDescent="0.25">
      <c r="A178" t="s">
        <v>67</v>
      </c>
      <c r="B178" t="s">
        <v>70</v>
      </c>
      <c r="C178">
        <v>1</v>
      </c>
      <c r="D178" t="s">
        <v>355</v>
      </c>
      <c r="E178" t="s">
        <v>299</v>
      </c>
      <c r="F178" t="s">
        <v>97</v>
      </c>
      <c r="G178">
        <v>10.6872573073029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ProjectProcess 7 Total Accum TimeTotal Accum TimeProcess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1</v>
      </c>
      <c r="K178" s="5" cm="1">
        <f t="array" ref="K178">IFERROR(AVERAGE(IF((OutputTable[GroupByKey]=OutputTable[[#This Row],[GroupByKey]]),(OutputTable[GroupByKey]=OutputTable[[#This Row],[GroupByKey]])*OutputTable[RecordedValue])),0)</f>
        <v>10.6872573073029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0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8" s="5" cm="1">
        <f t="array" ref="O178">MIN(IF((OutputTable[GroupByKey]=OutputTable[[#This Row],[GroupByKey]]),(OutputTable[GroupByKey]=OutputTable[[#This Row],[GroupByKey]])*OutputTable[RecordedValue]))</f>
        <v>10.6872573073029</v>
      </c>
      <c r="P178" s="5" cm="1">
        <f t="array" ref="P178">MAX(IF((OutputTable[GroupByKey]=OutputTable[[#This Row],[GroupByKey]]),(OutputTable[GroupByKey]=OutputTable[[#This Row],[GroupByKey]])*OutputTable[RecordedValue]))</f>
        <v>10.6872573073029</v>
      </c>
    </row>
    <row r="179" spans="1:16" x14ac:dyDescent="0.25">
      <c r="A179" t="s">
        <v>67</v>
      </c>
      <c r="B179" t="s">
        <v>70</v>
      </c>
      <c r="C179">
        <v>1</v>
      </c>
      <c r="D179" t="s">
        <v>356</v>
      </c>
      <c r="E179" t="s">
        <v>287</v>
      </c>
      <c r="F179" t="s">
        <v>97</v>
      </c>
      <c r="G179">
        <v>0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ProjectProcess 8 Accum VA CostAccum VA CostProcess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1</v>
      </c>
      <c r="K179" s="5" cm="1">
        <f t="array" ref="K179">IFERROR(AVERAGE(IF((OutputTable[GroupByKey]=OutputTable[[#This Row],[GroupByKey]]),(OutputTable[GroupByKey]=OutputTable[[#This Row],[GroupByKey]])*OutputTable[RecordedValue])),0)</f>
        <v>0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0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9" s="5" cm="1">
        <f t="array" ref="O179">MIN(IF((OutputTable[GroupByKey]=OutputTable[[#This Row],[GroupByKey]]),(OutputTable[GroupByKey]=OutputTable[[#This Row],[GroupByKey]])*OutputTable[RecordedValue]))</f>
        <v>0</v>
      </c>
      <c r="P179" s="5" cm="1">
        <f t="array" ref="P179">MAX(IF((OutputTable[GroupByKey]=OutputTable[[#This Row],[GroupByKey]]),(OutputTable[GroupByKey]=OutputTable[[#This Row],[GroupByKey]])*OutputTable[RecordedValue]))</f>
        <v>0</v>
      </c>
    </row>
    <row r="180" spans="1:16" x14ac:dyDescent="0.25">
      <c r="A180" t="s">
        <v>67</v>
      </c>
      <c r="B180" t="s">
        <v>70</v>
      </c>
      <c r="C180">
        <v>1</v>
      </c>
      <c r="D180" t="s">
        <v>357</v>
      </c>
      <c r="E180" t="s">
        <v>289</v>
      </c>
      <c r="F180" t="s">
        <v>97</v>
      </c>
      <c r="G180">
        <v>12.1118020201568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ProjectProcess 8 Accum VA TimeAccum VA TimeProcess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1</v>
      </c>
      <c r="K180" s="5" cm="1">
        <f t="array" ref="K180">IFERROR(AVERAGE(IF((OutputTable[GroupByKey]=OutputTable[[#This Row],[GroupByKey]]),(OutputTable[GroupByKey]=OutputTable[[#This Row],[GroupByKey]])*OutputTable[RecordedValue])),0)</f>
        <v>12.1118020201568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0" s="5" cm="1">
        <f t="array" ref="O180">MIN(IF((OutputTable[GroupByKey]=OutputTable[[#This Row],[GroupByKey]]),(OutputTable[GroupByKey]=OutputTable[[#This Row],[GroupByKey]])*OutputTable[RecordedValue]))</f>
        <v>12.1118020201568</v>
      </c>
      <c r="P180" s="5" cm="1">
        <f t="array" ref="P180">MAX(IF((OutputTable[GroupByKey]=OutputTable[[#This Row],[GroupByKey]]),(OutputTable[GroupByKey]=OutputTable[[#This Row],[GroupByKey]])*OutputTable[RecordedValue]))</f>
        <v>12.1118020201568</v>
      </c>
    </row>
    <row r="181" spans="1:16" x14ac:dyDescent="0.25">
      <c r="A181" t="s">
        <v>67</v>
      </c>
      <c r="B181" t="s">
        <v>70</v>
      </c>
      <c r="C181">
        <v>1</v>
      </c>
      <c r="D181" t="s">
        <v>358</v>
      </c>
      <c r="E181" t="s">
        <v>291</v>
      </c>
      <c r="F181" t="s">
        <v>97</v>
      </c>
      <c r="G181">
        <v>0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ProjectProcess 8 Accum Wait CostAccum Wait CostProcess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1</v>
      </c>
      <c r="K181" s="5" cm="1">
        <f t="array" ref="K181">IFERROR(AVERAGE(IF((OutputTable[GroupByKey]=OutputTable[[#This Row],[GroupByKey]]),(OutputTable[GroupByKey]=OutputTable[[#This Row],[GroupByKey]])*OutputTable[RecordedValue])),0)</f>
        <v>0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1" s="5" cm="1">
        <f t="array" ref="O181">MIN(IF((OutputTable[GroupByKey]=OutputTable[[#This Row],[GroupByKey]]),(OutputTable[GroupByKey]=OutputTable[[#This Row],[GroupByKey]])*OutputTable[RecordedValue]))</f>
        <v>0</v>
      </c>
      <c r="P181" s="5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67</v>
      </c>
      <c r="B182" t="s">
        <v>70</v>
      </c>
      <c r="C182">
        <v>1</v>
      </c>
      <c r="D182" t="s">
        <v>359</v>
      </c>
      <c r="E182" t="s">
        <v>293</v>
      </c>
      <c r="F182" t="s">
        <v>97</v>
      </c>
      <c r="G182">
        <v>43.764656889134301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ProjectProcess 8 Accum Wait TimeAccum Wait TimeProcess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1</v>
      </c>
      <c r="K182" s="5" cm="1">
        <f t="array" ref="K182">IFERROR(AVERAGE(IF((OutputTable[GroupByKey]=OutputTable[[#This Row],[GroupByKey]]),(OutputTable[GroupByKey]=OutputTable[[#This Row],[GroupByKey]])*OutputTable[RecordedValue])),0)</f>
        <v>43.764656889134301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0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2" s="5" cm="1">
        <f t="array" ref="O182">MIN(IF((OutputTable[GroupByKey]=OutputTable[[#This Row],[GroupByKey]]),(OutputTable[GroupByKey]=OutputTable[[#This Row],[GroupByKey]])*OutputTable[RecordedValue]))</f>
        <v>43.764656889134301</v>
      </c>
      <c r="P182" s="5" cm="1">
        <f t="array" ref="P182">MAX(IF((OutputTable[GroupByKey]=OutputTable[[#This Row],[GroupByKey]]),(OutputTable[GroupByKey]=OutputTable[[#This Row],[GroupByKey]])*OutputTable[RecordedValue]))</f>
        <v>43.764656889134301</v>
      </c>
    </row>
    <row r="183" spans="1:16" x14ac:dyDescent="0.25">
      <c r="A183" t="s">
        <v>67</v>
      </c>
      <c r="B183" t="s">
        <v>70</v>
      </c>
      <c r="C183">
        <v>1</v>
      </c>
      <c r="D183" t="s">
        <v>360</v>
      </c>
      <c r="E183" t="s">
        <v>187</v>
      </c>
      <c r="F183" t="s">
        <v>97</v>
      </c>
      <c r="G183">
        <v>8699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ProjectProcess 8 Number InNumber InProcess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1</v>
      </c>
      <c r="K183" s="5" cm="1">
        <f t="array" ref="K183">IFERROR(AVERAGE(IF((OutputTable[GroupByKey]=OutputTable[[#This Row],[GroupByKey]]),(OutputTable[GroupByKey]=OutputTable[[#This Row],[GroupByKey]])*OutputTable[RecordedValue])),0)</f>
        <v>8699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3" s="5" cm="1">
        <f t="array" ref="O183">MIN(IF((OutputTable[GroupByKey]=OutputTable[[#This Row],[GroupByKey]]),(OutputTable[GroupByKey]=OutputTable[[#This Row],[GroupByKey]])*OutputTable[RecordedValue]))</f>
        <v>8699</v>
      </c>
      <c r="P183" s="5" cm="1">
        <f t="array" ref="P183">MAX(IF((OutputTable[GroupByKey]=OutputTable[[#This Row],[GroupByKey]]),(OutputTable[GroupByKey]=OutputTable[[#This Row],[GroupByKey]])*OutputTable[RecordedValue]))</f>
        <v>8699</v>
      </c>
    </row>
    <row r="184" spans="1:16" x14ac:dyDescent="0.25">
      <c r="A184" t="s">
        <v>67</v>
      </c>
      <c r="B184" t="s">
        <v>70</v>
      </c>
      <c r="C184">
        <v>1</v>
      </c>
      <c r="D184" t="s">
        <v>361</v>
      </c>
      <c r="E184" t="s">
        <v>189</v>
      </c>
      <c r="F184" t="s">
        <v>97</v>
      </c>
      <c r="G184">
        <v>8698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ProjectProcess 8 Number OutNumber OutProcess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1</v>
      </c>
      <c r="K184" s="5" cm="1">
        <f t="array" ref="K184">IFERROR(AVERAGE(IF((OutputTable[GroupByKey]=OutputTable[[#This Row],[GroupByKey]]),(OutputTable[GroupByKey]=OutputTable[[#This Row],[GroupByKey]])*OutputTable[RecordedValue])),0)</f>
        <v>8698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0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4" s="5" cm="1">
        <f t="array" ref="O184">MIN(IF((OutputTable[GroupByKey]=OutputTable[[#This Row],[GroupByKey]]),(OutputTable[GroupByKey]=OutputTable[[#This Row],[GroupByKey]])*OutputTable[RecordedValue]))</f>
        <v>8698</v>
      </c>
      <c r="P184" s="5" cm="1">
        <f t="array" ref="P184">MAX(IF((OutputTable[GroupByKey]=OutputTable[[#This Row],[GroupByKey]]),(OutputTable[GroupByKey]=OutputTable[[#This Row],[GroupByKey]])*OutputTable[RecordedValue]))</f>
        <v>8698</v>
      </c>
    </row>
    <row r="185" spans="1:16" x14ac:dyDescent="0.25">
      <c r="A185" t="s">
        <v>67</v>
      </c>
      <c r="B185" t="s">
        <v>70</v>
      </c>
      <c r="C185">
        <v>1</v>
      </c>
      <c r="D185" t="s">
        <v>362</v>
      </c>
      <c r="E185" t="s">
        <v>297</v>
      </c>
      <c r="F185" t="s">
        <v>97</v>
      </c>
      <c r="G185">
        <v>0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ProjectProcess 8 Total Accum CostTotal Accum CostProcess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1</v>
      </c>
      <c r="K185" s="5" cm="1">
        <f t="array" ref="K185">IFERROR(AVERAGE(IF((OutputTable[GroupByKey]=OutputTable[[#This Row],[GroupByKey]]),(OutputTable[GroupByKey]=OutputTable[[#This Row],[GroupByKey]])*OutputTable[RecordedValue])),0)</f>
        <v>0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0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5" s="5" cm="1">
        <f t="array" ref="O185">MIN(IF((OutputTable[GroupByKey]=OutputTable[[#This Row],[GroupByKey]]),(OutputTable[GroupByKey]=OutputTable[[#This Row],[GroupByKey]])*OutputTable[RecordedValue]))</f>
        <v>0</v>
      </c>
      <c r="P185" s="5" cm="1">
        <f t="array" ref="P185">MAX(IF((OutputTable[GroupByKey]=OutputTable[[#This Row],[GroupByKey]]),(OutputTable[GroupByKey]=OutputTable[[#This Row],[GroupByKey]])*OutputTable[RecordedValue]))</f>
        <v>0</v>
      </c>
    </row>
    <row r="186" spans="1:16" x14ac:dyDescent="0.25">
      <c r="A186" t="s">
        <v>67</v>
      </c>
      <c r="B186" t="s">
        <v>70</v>
      </c>
      <c r="C186">
        <v>1</v>
      </c>
      <c r="D186" t="s">
        <v>363</v>
      </c>
      <c r="E186" t="s">
        <v>299</v>
      </c>
      <c r="F186" t="s">
        <v>97</v>
      </c>
      <c r="G186">
        <v>55.876458909291102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ProjectProcess 8 Total Accum TimeTotal Accum TimeProcess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1</v>
      </c>
      <c r="K186" s="5" cm="1">
        <f t="array" ref="K186">IFERROR(AVERAGE(IF((OutputTable[GroupByKey]=OutputTable[[#This Row],[GroupByKey]]),(OutputTable[GroupByKey]=OutputTable[[#This Row],[GroupByKey]])*OutputTable[RecordedValue])),0)</f>
        <v>55.876458909291102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0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6" s="5" cm="1">
        <f t="array" ref="O186">MIN(IF((OutputTable[GroupByKey]=OutputTable[[#This Row],[GroupByKey]]),(OutputTable[GroupByKey]=OutputTable[[#This Row],[GroupByKey]])*OutputTable[RecordedValue]))</f>
        <v>55.876458909291102</v>
      </c>
      <c r="P186" s="5" cm="1">
        <f t="array" ref="P186">MAX(IF((OutputTable[GroupByKey]=OutputTable[[#This Row],[GroupByKey]]),(OutputTable[GroupByKey]=OutputTable[[#This Row],[GroupByKey]])*OutputTable[RecordedValue]))</f>
        <v>55.876458909291102</v>
      </c>
    </row>
    <row r="187" spans="1:16" x14ac:dyDescent="0.25">
      <c r="A187" t="s">
        <v>67</v>
      </c>
      <c r="B187" t="s">
        <v>70</v>
      </c>
      <c r="C187">
        <v>1</v>
      </c>
      <c r="D187" t="s">
        <v>364</v>
      </c>
      <c r="E187" t="s">
        <v>287</v>
      </c>
      <c r="F187" t="s">
        <v>97</v>
      </c>
      <c r="G187">
        <v>0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ProjectProcess 9 Accum VA CostAccum VA CostProcess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1</v>
      </c>
      <c r="K187" s="5" cm="1">
        <f t="array" ref="K187">IFERROR(AVERAGE(IF((OutputTable[GroupByKey]=OutputTable[[#This Row],[GroupByKey]]),(OutputTable[GroupByKey]=OutputTable[[#This Row],[GroupByKey]])*OutputTable[RecordedValue])),0)</f>
        <v>0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7" s="5" cm="1">
        <f t="array" ref="O187">MIN(IF((OutputTable[GroupByKey]=OutputTable[[#This Row],[GroupByKey]]),(OutputTable[GroupByKey]=OutputTable[[#This Row],[GroupByKey]])*OutputTable[RecordedValue]))</f>
        <v>0</v>
      </c>
      <c r="P187" s="5" cm="1">
        <f t="array" ref="P187">MAX(IF((OutputTable[GroupByKey]=OutputTable[[#This Row],[GroupByKey]]),(OutputTable[GroupByKey]=OutputTable[[#This Row],[GroupByKey]])*OutputTable[RecordedValue]))</f>
        <v>0</v>
      </c>
    </row>
    <row r="188" spans="1:16" x14ac:dyDescent="0.25">
      <c r="A188" t="s">
        <v>67</v>
      </c>
      <c r="B188" t="s">
        <v>70</v>
      </c>
      <c r="C188">
        <v>1</v>
      </c>
      <c r="D188" t="s">
        <v>365</v>
      </c>
      <c r="E188" t="s">
        <v>289</v>
      </c>
      <c r="F188" t="s">
        <v>97</v>
      </c>
      <c r="G188">
        <v>13.6970430385252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ProjectProcess 9 Accum VA TimeAccum VA TimeProcess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1</v>
      </c>
      <c r="K188" s="5" cm="1">
        <f t="array" ref="K188">IFERROR(AVERAGE(IF((OutputTable[GroupByKey]=OutputTable[[#This Row],[GroupByKey]]),(OutputTable[GroupByKey]=OutputTable[[#This Row],[GroupByKey]])*OutputTable[RecordedValue])),0)</f>
        <v>13.6970430385252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8" s="5" cm="1">
        <f t="array" ref="O188">MIN(IF((OutputTable[GroupByKey]=OutputTable[[#This Row],[GroupByKey]]),(OutputTable[GroupByKey]=OutputTable[[#This Row],[GroupByKey]])*OutputTable[RecordedValue]))</f>
        <v>13.6970430385252</v>
      </c>
      <c r="P188" s="5" cm="1">
        <f t="array" ref="P188">MAX(IF((OutputTable[GroupByKey]=OutputTable[[#This Row],[GroupByKey]]),(OutputTable[GroupByKey]=OutputTable[[#This Row],[GroupByKey]])*OutputTable[RecordedValue]))</f>
        <v>13.6970430385252</v>
      </c>
    </row>
    <row r="189" spans="1:16" x14ac:dyDescent="0.25">
      <c r="A189" t="s">
        <v>67</v>
      </c>
      <c r="B189" t="s">
        <v>70</v>
      </c>
      <c r="C189">
        <v>1</v>
      </c>
      <c r="D189" t="s">
        <v>366</v>
      </c>
      <c r="E189" t="s">
        <v>291</v>
      </c>
      <c r="F189" t="s">
        <v>97</v>
      </c>
      <c r="G189">
        <v>0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ProjectProcess 9 Accum Wait CostAccum Wait CostProcess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1</v>
      </c>
      <c r="K189" s="5" cm="1">
        <f t="array" ref="K189">IFERROR(AVERAGE(IF((OutputTable[GroupByKey]=OutputTable[[#This Row],[GroupByKey]]),(OutputTable[GroupByKey]=OutputTable[[#This Row],[GroupByKey]])*OutputTable[RecordedValue])),0)</f>
        <v>0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9" s="5" cm="1">
        <f t="array" ref="O189">MIN(IF((OutputTable[GroupByKey]=OutputTable[[#This Row],[GroupByKey]]),(OutputTable[GroupByKey]=OutputTable[[#This Row],[GroupByKey]])*OutputTable[RecordedValue]))</f>
        <v>0</v>
      </c>
      <c r="P189" s="5" cm="1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25">
      <c r="A190" t="s">
        <v>67</v>
      </c>
      <c r="B190" t="s">
        <v>70</v>
      </c>
      <c r="C190">
        <v>1</v>
      </c>
      <c r="D190" t="s">
        <v>367</v>
      </c>
      <c r="E190" t="s">
        <v>293</v>
      </c>
      <c r="F190" t="s">
        <v>97</v>
      </c>
      <c r="G190">
        <v>9.9514208489188292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ProjectProcess 9 Accum Wait TimeAccum Wait TimeProcess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1</v>
      </c>
      <c r="K190" s="5" cm="1">
        <f t="array" ref="K190">IFERROR(AVERAGE(IF((OutputTable[GroupByKey]=OutputTable[[#This Row],[GroupByKey]]),(OutputTable[GroupByKey]=OutputTable[[#This Row],[GroupByKey]])*OutputTable[RecordedValue])),0)</f>
        <v>9.9514208489188292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0" s="5" cm="1">
        <f t="array" ref="O190">MIN(IF((OutputTable[GroupByKey]=OutputTable[[#This Row],[GroupByKey]]),(OutputTable[GroupByKey]=OutputTable[[#This Row],[GroupByKey]])*OutputTable[RecordedValue]))</f>
        <v>9.9514208489188292</v>
      </c>
      <c r="P190" s="5" cm="1">
        <f t="array" ref="P190">MAX(IF((OutputTable[GroupByKey]=OutputTable[[#This Row],[GroupByKey]]),(OutputTable[GroupByKey]=OutputTable[[#This Row],[GroupByKey]])*OutputTable[RecordedValue]))</f>
        <v>9.9514208489188292</v>
      </c>
    </row>
    <row r="191" spans="1:16" x14ac:dyDescent="0.25">
      <c r="A191" t="s">
        <v>67</v>
      </c>
      <c r="B191" t="s">
        <v>70</v>
      </c>
      <c r="C191">
        <v>1</v>
      </c>
      <c r="D191" t="s">
        <v>368</v>
      </c>
      <c r="E191" t="s">
        <v>187</v>
      </c>
      <c r="F191" t="s">
        <v>97</v>
      </c>
      <c r="G191">
        <v>8695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ProjectProcess 9 Number InNumber InProcess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1</v>
      </c>
      <c r="K191" s="5" cm="1">
        <f t="array" ref="K191">IFERROR(AVERAGE(IF((OutputTable[GroupByKey]=OutputTable[[#This Row],[GroupByKey]]),(OutputTable[GroupByKey]=OutputTable[[#This Row],[GroupByKey]])*OutputTable[RecordedValue])),0)</f>
        <v>8695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1" s="5" cm="1">
        <f t="array" ref="O191">MIN(IF((OutputTable[GroupByKey]=OutputTable[[#This Row],[GroupByKey]]),(OutputTable[GroupByKey]=OutputTable[[#This Row],[GroupByKey]])*OutputTable[RecordedValue]))</f>
        <v>8695</v>
      </c>
      <c r="P191" s="5" cm="1">
        <f t="array" ref="P191">MAX(IF((OutputTable[GroupByKey]=OutputTable[[#This Row],[GroupByKey]]),(OutputTable[GroupByKey]=OutputTable[[#This Row],[GroupByKey]])*OutputTable[RecordedValue]))</f>
        <v>8695</v>
      </c>
    </row>
    <row r="192" spans="1:16" x14ac:dyDescent="0.25">
      <c r="A192" t="s">
        <v>67</v>
      </c>
      <c r="B192" t="s">
        <v>70</v>
      </c>
      <c r="C192">
        <v>1</v>
      </c>
      <c r="D192" t="s">
        <v>369</v>
      </c>
      <c r="E192" t="s">
        <v>189</v>
      </c>
      <c r="F192" t="s">
        <v>97</v>
      </c>
      <c r="G192">
        <v>8694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ProjectProcess 9 Number OutNumber OutProcess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1</v>
      </c>
      <c r="K192" s="5" cm="1">
        <f t="array" ref="K192">IFERROR(AVERAGE(IF((OutputTable[GroupByKey]=OutputTable[[#This Row],[GroupByKey]]),(OutputTable[GroupByKey]=OutputTable[[#This Row],[GroupByKey]])*OutputTable[RecordedValue])),0)</f>
        <v>8694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2" s="5" cm="1">
        <f t="array" ref="O192">MIN(IF((OutputTable[GroupByKey]=OutputTable[[#This Row],[GroupByKey]]),(OutputTable[GroupByKey]=OutputTable[[#This Row],[GroupByKey]])*OutputTable[RecordedValue]))</f>
        <v>8694</v>
      </c>
      <c r="P192" s="5" cm="1">
        <f t="array" ref="P192">MAX(IF((OutputTable[GroupByKey]=OutputTable[[#This Row],[GroupByKey]]),(OutputTable[GroupByKey]=OutputTable[[#This Row],[GroupByKey]])*OutputTable[RecordedValue]))</f>
        <v>8694</v>
      </c>
    </row>
    <row r="193" spans="1:16" x14ac:dyDescent="0.25">
      <c r="A193" t="s">
        <v>67</v>
      </c>
      <c r="B193" t="s">
        <v>70</v>
      </c>
      <c r="C193">
        <v>1</v>
      </c>
      <c r="D193" t="s">
        <v>370</v>
      </c>
      <c r="E193" t="s">
        <v>297</v>
      </c>
      <c r="F193" t="s">
        <v>97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ProjectProcess 9 Total Accum CostTotal Accum CostProcess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1</v>
      </c>
      <c r="K193" s="5" cm="1">
        <f t="array" ref="K193">IFERROR(AVERAGE(IF((OutputTable[GroupByKey]=OutputTable[[#This Row],[GroupByKey]]),(OutputTable[GroupByKey]=OutputTable[[#This Row],[GroupByKey]])*OutputTable[RecordedValue])),0)</f>
        <v>0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67</v>
      </c>
      <c r="B194" t="s">
        <v>70</v>
      </c>
      <c r="C194">
        <v>1</v>
      </c>
      <c r="D194" t="s">
        <v>371</v>
      </c>
      <c r="E194" t="s">
        <v>299</v>
      </c>
      <c r="F194" t="s">
        <v>97</v>
      </c>
      <c r="G194">
        <v>23.648463887443999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ProjectProcess 9 Total Accum TimeTotal Accum TimeProcess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1</v>
      </c>
      <c r="K194" s="5" cm="1">
        <f t="array" ref="K194">IFERROR(AVERAGE(IF((OutputTable[GroupByKey]=OutputTable[[#This Row],[GroupByKey]]),(OutputTable[GroupByKey]=OutputTable[[#This Row],[GroupByKey]])*OutputTable[RecordedValue])),0)</f>
        <v>23.648463887443999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4" s="5" cm="1">
        <f t="array" ref="O194">MIN(IF((OutputTable[GroupByKey]=OutputTable[[#This Row],[GroupByKey]]),(OutputTable[GroupByKey]=OutputTable[[#This Row],[GroupByKey]])*OutputTable[RecordedValue]))</f>
        <v>23.648463887443999</v>
      </c>
      <c r="P194" s="5" cm="1">
        <f t="array" ref="P194">MAX(IF((OutputTable[GroupByKey]=OutputTable[[#This Row],[GroupByKey]]),(OutputTable[GroupByKey]=OutputTable[[#This Row],[GroupByKey]])*OutputTable[RecordedValue]))</f>
        <v>23.648463887443999</v>
      </c>
    </row>
    <row r="195" spans="1:16" x14ac:dyDescent="0.25">
      <c r="A195" t="s">
        <v>67</v>
      </c>
      <c r="B195" t="s">
        <v>70</v>
      </c>
      <c r="C195">
        <v>1</v>
      </c>
      <c r="D195" t="s">
        <v>372</v>
      </c>
      <c r="E195" t="s">
        <v>173</v>
      </c>
      <c r="F195" t="s">
        <v>136</v>
      </c>
      <c r="G195">
        <v>0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ProjectSales Department.BusyCostBusy CostResource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1</v>
      </c>
      <c r="K195" s="5" cm="1">
        <f t="array" ref="K195">IFERROR(AVERAGE(IF((OutputTable[GroupByKey]=OutputTable[[#This Row],[GroupByKey]]),(OutputTable[GroupByKey]=OutputTable[[#This Row],[GroupByKey]])*OutputTable[RecordedValue])),0)</f>
        <v>0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0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5" s="5" cm="1">
        <f t="array" ref="O195">MIN(IF((OutputTable[GroupByKey]=OutputTable[[#This Row],[GroupByKey]]),(OutputTable[GroupByKey]=OutputTable[[#This Row],[GroupByKey]])*OutputTable[RecordedValue]))</f>
        <v>0</v>
      </c>
      <c r="P195" s="5" cm="1">
        <f t="array" ref="P195">MAX(IF((OutputTable[GroupByKey]=OutputTable[[#This Row],[GroupByKey]]),(OutputTable[GroupByKey]=OutputTable[[#This Row],[GroupByKey]])*OutputTable[RecordedValue]))</f>
        <v>0</v>
      </c>
    </row>
    <row r="196" spans="1:16" x14ac:dyDescent="0.25">
      <c r="A196" t="s">
        <v>67</v>
      </c>
      <c r="B196" t="s">
        <v>70</v>
      </c>
      <c r="C196">
        <v>1</v>
      </c>
      <c r="D196" t="s">
        <v>373</v>
      </c>
      <c r="E196" t="s">
        <v>175</v>
      </c>
      <c r="F196" t="s">
        <v>136</v>
      </c>
      <c r="G196">
        <v>0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ProjectSales Department.IdleCostIdle CostResource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1</v>
      </c>
      <c r="K196" s="5" cm="1">
        <f t="array" ref="K196">IFERROR(AVERAGE(IF((OutputTable[GroupByKey]=OutputTable[[#This Row],[GroupByKey]]),(OutputTable[GroupByKey]=OutputTable[[#This Row],[GroupByKey]])*OutputTable[RecordedValue])),0)</f>
        <v>0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0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6" s="5" cm="1">
        <f t="array" ref="O196">MIN(IF((OutputTable[GroupByKey]=OutputTable[[#This Row],[GroupByKey]]),(OutputTable[GroupByKey]=OutputTable[[#This Row],[GroupByKey]])*OutputTable[RecordedValue]))</f>
        <v>0</v>
      </c>
      <c r="P196" s="5" cm="1">
        <f t="array" ref="P196">MAX(IF((OutputTable[GroupByKey]=OutputTable[[#This Row],[GroupByKey]]),(OutputTable[GroupByKey]=OutputTable[[#This Row],[GroupByKey]])*OutputTable[RecordedValue]))</f>
        <v>0</v>
      </c>
    </row>
    <row r="197" spans="1:16" x14ac:dyDescent="0.25">
      <c r="A197" t="s">
        <v>67</v>
      </c>
      <c r="B197" t="s">
        <v>70</v>
      </c>
      <c r="C197">
        <v>1</v>
      </c>
      <c r="D197" t="s">
        <v>374</v>
      </c>
      <c r="E197" t="s">
        <v>182</v>
      </c>
      <c r="F197" t="s">
        <v>136</v>
      </c>
      <c r="G197">
        <v>0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ProjectSales Department.NumberSeizedTotal Number SeizedResource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1</v>
      </c>
      <c r="K197" s="5" cm="1">
        <f t="array" ref="K197">IFERROR(AVERAGE(IF((OutputTable[GroupByKey]=OutputTable[[#This Row],[GroupByKey]]),(OutputTable[GroupByKey]=OutputTable[[#This Row],[GroupByKey]])*OutputTable[RecordedValue])),0)</f>
        <v>0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0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7" s="5" cm="1">
        <f t="array" ref="O197">MIN(IF((OutputTable[GroupByKey]=OutputTable[[#This Row],[GroupByKey]]),(OutputTable[GroupByKey]=OutputTable[[#This Row],[GroupByKey]])*OutputTable[RecordedValue]))</f>
        <v>0</v>
      </c>
      <c r="P197" s="5" cm="1">
        <f t="array" ref="P197">MAX(IF((OutputTable[GroupByKey]=OutputTable[[#This Row],[GroupByKey]]),(OutputTable[GroupByKey]=OutputTable[[#This Row],[GroupByKey]])*OutputTable[RecordedValue]))</f>
        <v>0</v>
      </c>
    </row>
    <row r="198" spans="1:16" x14ac:dyDescent="0.25">
      <c r="A198" t="s">
        <v>67</v>
      </c>
      <c r="B198" t="s">
        <v>70</v>
      </c>
      <c r="C198">
        <v>1</v>
      </c>
      <c r="D198" t="s">
        <v>375</v>
      </c>
      <c r="E198" t="s">
        <v>184</v>
      </c>
      <c r="F198" t="s">
        <v>136</v>
      </c>
      <c r="G198">
        <v>0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ProjectSales Department.ScheduledUtilizationScheduled UtilizationResource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1</v>
      </c>
      <c r="K198" s="5" cm="1">
        <f t="array" ref="K198">IFERROR(AVERAGE(IF((OutputTable[GroupByKey]=OutputTable[[#This Row],[GroupByKey]]),(OutputTable[GroupByKey]=OutputTable[[#This Row],[GroupByKey]])*OutputTable[RecordedValue])),0)</f>
        <v>0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0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8" s="5" cm="1">
        <f t="array" ref="O198">MIN(IF((OutputTable[GroupByKey]=OutputTable[[#This Row],[GroupByKey]]),(OutputTable[GroupByKey]=OutputTable[[#This Row],[GroupByKey]])*OutputTable[RecordedValue]))</f>
        <v>0</v>
      </c>
      <c r="P198" s="5" cm="1">
        <f t="array" ref="P198">MAX(IF((OutputTable[GroupByKey]=OutputTable[[#This Row],[GroupByKey]]),(OutputTable[GroupByKey]=OutputTable[[#This Row],[GroupByKey]])*OutputTable[RecordedValue]))</f>
        <v>0</v>
      </c>
    </row>
    <row r="199" spans="1:16" x14ac:dyDescent="0.25">
      <c r="A199" t="s">
        <v>67</v>
      </c>
      <c r="B199" t="s">
        <v>70</v>
      </c>
      <c r="C199">
        <v>1</v>
      </c>
      <c r="D199" t="s">
        <v>376</v>
      </c>
      <c r="E199" t="s">
        <v>178</v>
      </c>
      <c r="F199" t="s">
        <v>136</v>
      </c>
      <c r="G199">
        <v>0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ProjectSales Department.UsageCostUsage CostResource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1</v>
      </c>
      <c r="K199" s="5" cm="1">
        <f t="array" ref="K199">IFERROR(AVERAGE(IF((OutputTable[GroupByKey]=OutputTable[[#This Row],[GroupByKey]]),(OutputTable[GroupByKey]=OutputTable[[#This Row],[GroupByKey]])*OutputTable[RecordedValue])),0)</f>
        <v>0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0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9" s="5" cm="1">
        <f t="array" ref="O199">MIN(IF((OutputTable[GroupByKey]=OutputTable[[#This Row],[GroupByKey]]),(OutputTable[GroupByKey]=OutputTable[[#This Row],[GroupByKey]])*OutputTable[RecordedValue]))</f>
        <v>0</v>
      </c>
      <c r="P199" s="5" cm="1">
        <f t="array" ref="P199">MAX(IF((OutputTable[GroupByKey]=OutputTable[[#This Row],[GroupByKey]]),(OutputTable[GroupByKey]=OutputTable[[#This Row],[GroupByKey]])*OutputTable[RecordedValue]))</f>
        <v>0</v>
      </c>
    </row>
    <row r="200" spans="1:16" x14ac:dyDescent="0.25">
      <c r="A200" t="s">
        <v>67</v>
      </c>
      <c r="B200" t="s">
        <v>70</v>
      </c>
      <c r="C200">
        <v>1</v>
      </c>
      <c r="D200" t="s">
        <v>377</v>
      </c>
      <c r="E200" t="s">
        <v>173</v>
      </c>
      <c r="F200" t="s">
        <v>136</v>
      </c>
      <c r="G200">
        <v>0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ProjectSales Rep.BusyCostBusy CostResource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1</v>
      </c>
      <c r="K200" s="5" cm="1">
        <f t="array" ref="K200">IFERROR(AVERAGE(IF((OutputTable[GroupByKey]=OutputTable[[#This Row],[GroupByKey]]),(OutputTable[GroupByKey]=OutputTable[[#This Row],[GroupByKey]])*OutputTable[RecordedValue])),0)</f>
        <v>0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0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0" s="5" cm="1">
        <f t="array" ref="O200">MIN(IF((OutputTable[GroupByKey]=OutputTable[[#This Row],[GroupByKey]]),(OutputTable[GroupByKey]=OutputTable[[#This Row],[GroupByKey]])*OutputTable[RecordedValue]))</f>
        <v>0</v>
      </c>
      <c r="P200" s="5" cm="1">
        <f t="array" ref="P200">MAX(IF((OutputTable[GroupByKey]=OutputTable[[#This Row],[GroupByKey]]),(OutputTable[GroupByKey]=OutputTable[[#This Row],[GroupByKey]])*OutputTable[RecordedValue]))</f>
        <v>0</v>
      </c>
    </row>
    <row r="201" spans="1:16" x14ac:dyDescent="0.25">
      <c r="A201" t="s">
        <v>67</v>
      </c>
      <c r="B201" t="s">
        <v>70</v>
      </c>
      <c r="C201">
        <v>1</v>
      </c>
      <c r="D201" t="s">
        <v>378</v>
      </c>
      <c r="E201" t="s">
        <v>175</v>
      </c>
      <c r="F201" t="s">
        <v>136</v>
      </c>
      <c r="G201">
        <v>0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ProjectSales Rep.IdleCostIdle CostResource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1</v>
      </c>
      <c r="K201" s="5" cm="1">
        <f t="array" ref="K201">IFERROR(AVERAGE(IF((OutputTable[GroupByKey]=OutputTable[[#This Row],[GroupByKey]]),(OutputTable[GroupByKey]=OutputTable[[#This Row],[GroupByKey]])*OutputTable[RecordedValue])),0)</f>
        <v>0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1" s="5" cm="1">
        <f t="array" ref="O201">MIN(IF((OutputTable[GroupByKey]=OutputTable[[#This Row],[GroupByKey]]),(OutputTable[GroupByKey]=OutputTable[[#This Row],[GroupByKey]])*OutputTable[RecordedValue]))</f>
        <v>0</v>
      </c>
      <c r="P201" s="5" cm="1">
        <f t="array" ref="P201">MAX(IF((OutputTable[GroupByKey]=OutputTable[[#This Row],[GroupByKey]]),(OutputTable[GroupByKey]=OutputTable[[#This Row],[GroupByKey]])*OutputTable[RecordedValue]))</f>
        <v>0</v>
      </c>
    </row>
    <row r="202" spans="1:16" x14ac:dyDescent="0.25">
      <c r="A202" t="s">
        <v>67</v>
      </c>
      <c r="B202" t="s">
        <v>70</v>
      </c>
      <c r="C202">
        <v>1</v>
      </c>
      <c r="D202" t="s">
        <v>379</v>
      </c>
      <c r="E202" t="s">
        <v>182</v>
      </c>
      <c r="F202" t="s">
        <v>136</v>
      </c>
      <c r="G202">
        <v>14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ProjectSales Rep.NumberSeizedTotal Number SeizedResource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1</v>
      </c>
      <c r="K202" s="5" cm="1">
        <f t="array" ref="K202">IFERROR(AVERAGE(IF((OutputTable[GroupByKey]=OutputTable[[#This Row],[GroupByKey]]),(OutputTable[GroupByKey]=OutputTable[[#This Row],[GroupByKey]])*OutputTable[RecordedValue])),0)</f>
        <v>14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0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2" s="5" cm="1">
        <f t="array" ref="O202">MIN(IF((OutputTable[GroupByKey]=OutputTable[[#This Row],[GroupByKey]]),(OutputTable[GroupByKey]=OutputTable[[#This Row],[GroupByKey]])*OutputTable[RecordedValue]))</f>
        <v>14</v>
      </c>
      <c r="P202" s="5" cm="1">
        <f t="array" ref="P202">MAX(IF((OutputTable[GroupByKey]=OutputTable[[#This Row],[GroupByKey]]),(OutputTable[GroupByKey]=OutputTable[[#This Row],[GroupByKey]])*OutputTable[RecordedValue]))</f>
        <v>14</v>
      </c>
    </row>
    <row r="203" spans="1:16" x14ac:dyDescent="0.25">
      <c r="A203" t="s">
        <v>67</v>
      </c>
      <c r="B203" t="s">
        <v>70</v>
      </c>
      <c r="C203">
        <v>1</v>
      </c>
      <c r="D203" t="s">
        <v>380</v>
      </c>
      <c r="E203" t="s">
        <v>184</v>
      </c>
      <c r="F203" t="s">
        <v>136</v>
      </c>
      <c r="G203">
        <v>7.3988940102363898E-2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ProjectSales Rep.ScheduledUtilizationScheduled UtilizationResource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1</v>
      </c>
      <c r="K203" s="5" cm="1">
        <f t="array" ref="K203">IFERROR(AVERAGE(IF((OutputTable[GroupByKey]=OutputTable[[#This Row],[GroupByKey]]),(OutputTable[GroupByKey]=OutputTable[[#This Row],[GroupByKey]])*OutputTable[RecordedValue])),0)</f>
        <v>7.3988940102363898E-2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3" s="5" cm="1">
        <f t="array" ref="O203">MIN(IF((OutputTable[GroupByKey]=OutputTable[[#This Row],[GroupByKey]]),(OutputTable[GroupByKey]=OutputTable[[#This Row],[GroupByKey]])*OutputTable[RecordedValue]))</f>
        <v>7.3988940102363898E-2</v>
      </c>
      <c r="P203" s="5" cm="1">
        <f t="array" ref="P203">MAX(IF((OutputTable[GroupByKey]=OutputTable[[#This Row],[GroupByKey]]),(OutputTable[GroupByKey]=OutputTable[[#This Row],[GroupByKey]])*OutputTable[RecordedValue]))</f>
        <v>7.3988940102363898E-2</v>
      </c>
    </row>
    <row r="204" spans="1:16" x14ac:dyDescent="0.25">
      <c r="A204" t="s">
        <v>67</v>
      </c>
      <c r="B204" t="s">
        <v>70</v>
      </c>
      <c r="C204">
        <v>1</v>
      </c>
      <c r="D204" t="s">
        <v>381</v>
      </c>
      <c r="E204" t="s">
        <v>178</v>
      </c>
      <c r="F204" t="s">
        <v>136</v>
      </c>
      <c r="G204">
        <v>0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ProjectSales Rep.UsageCostUsage CostResource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1</v>
      </c>
      <c r="K204" s="5" cm="1">
        <f t="array" ref="K204">IFERROR(AVERAGE(IF((OutputTable[GroupByKey]=OutputTable[[#This Row],[GroupByKey]]),(OutputTable[GroupByKey]=OutputTable[[#This Row],[GroupByKey]])*OutputTable[RecordedValue])),0)</f>
        <v>0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0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4" s="5" cm="1">
        <f t="array" ref="O204">MIN(IF((OutputTable[GroupByKey]=OutputTable[[#This Row],[GroupByKey]]),(OutputTable[GroupByKey]=OutputTable[[#This Row],[GroupByKey]])*OutputTable[RecordedValue]))</f>
        <v>0</v>
      </c>
      <c r="P204" s="5" cm="1">
        <f t="array" ref="P204">MAX(IF((OutputTable[GroupByKey]=OutputTable[[#This Row],[GroupByKey]]),(OutputTable[GroupByKey]=OutputTable[[#This Row],[GroupByKey]])*OutputTable[RecordedValue]))</f>
        <v>0</v>
      </c>
    </row>
    <row r="205" spans="1:16" x14ac:dyDescent="0.25">
      <c r="A205" t="s">
        <v>67</v>
      </c>
      <c r="B205" t="s">
        <v>70</v>
      </c>
      <c r="C205">
        <v>1</v>
      </c>
      <c r="D205" t="s">
        <v>382</v>
      </c>
      <c r="E205" t="s">
        <v>189</v>
      </c>
      <c r="F205" t="s">
        <v>165</v>
      </c>
      <c r="G205">
        <v>1097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ProjectSystem.NumberOutNumber OutSystem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1</v>
      </c>
      <c r="K205" s="5" cm="1">
        <f t="array" ref="K205">IFERROR(AVERAGE(IF((OutputTable[GroupByKey]=OutputTable[[#This Row],[GroupByKey]]),(OutputTable[GroupByKey]=OutputTable[[#This Row],[GroupByKey]])*OutputTable[RecordedValue])),0)</f>
        <v>1097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0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5" s="5" cm="1">
        <f t="array" ref="O205">MIN(IF((OutputTable[GroupByKey]=OutputTable[[#This Row],[GroupByKey]]),(OutputTable[GroupByKey]=OutputTable[[#This Row],[GroupByKey]])*OutputTable[RecordedValue]))</f>
        <v>1097</v>
      </c>
      <c r="P205" s="5" cm="1">
        <f t="array" ref="P205">MAX(IF((OutputTable[GroupByKey]=OutputTable[[#This Row],[GroupByKey]]),(OutputTable[GroupByKey]=OutputTable[[#This Row],[GroupByKey]])*OutputTable[RecordedValue]))</f>
        <v>1097</v>
      </c>
    </row>
    <row r="206" spans="1:16" x14ac:dyDescent="0.25">
      <c r="A206" t="s">
        <v>67</v>
      </c>
      <c r="B206" t="s">
        <v>70</v>
      </c>
      <c r="C206">
        <v>1</v>
      </c>
      <c r="D206" t="s">
        <v>383</v>
      </c>
      <c r="E206" t="s">
        <v>84</v>
      </c>
      <c r="F206" t="s">
        <v>165</v>
      </c>
      <c r="G206">
        <v>0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ProjectSystem.TotalCostTotal CostSystem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1</v>
      </c>
      <c r="K206" s="5" cm="1">
        <f t="array" ref="K206">IFERROR(AVERAGE(IF((OutputTable[GroupByKey]=OutputTable[[#This Row],[GroupByKey]]),(OutputTable[GroupByKey]=OutputTable[[#This Row],[GroupByKey]])*OutputTable[RecordedValue])),0)</f>
        <v>0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0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6" s="5" cm="1">
        <f t="array" ref="O206">MIN(IF((OutputTable[GroupByKey]=OutputTable[[#This Row],[GroupByKey]]),(OutputTable[GroupByKey]=OutputTable[[#This Row],[GroupByKey]])*OutputTable[RecordedValue]))</f>
        <v>0</v>
      </c>
      <c r="P206" s="5" cm="1">
        <f t="array" ref="P206">MAX(IF((OutputTable[GroupByKey]=OutputTable[[#This Row],[GroupByKey]]),(OutputTable[GroupByKey]=OutputTable[[#This Row],[GroupByKey]])*OutputTable[RecordedValue]))</f>
        <v>0</v>
      </c>
    </row>
    <row r="207" spans="1:16" x14ac:dyDescent="0.25">
      <c r="A207" t="s">
        <v>67</v>
      </c>
      <c r="B207" t="s">
        <v>70</v>
      </c>
      <c r="C207">
        <v>1</v>
      </c>
      <c r="D207" t="s">
        <v>384</v>
      </c>
      <c r="E207" t="s">
        <v>187</v>
      </c>
      <c r="F207" t="s">
        <v>80</v>
      </c>
      <c r="G207">
        <v>923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ProjectWire Harness.NumberInNumber InEntity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1</v>
      </c>
      <c r="K207" s="5" cm="1">
        <f t="array" ref="K207">IFERROR(AVERAGE(IF((OutputTable[GroupByKey]=OutputTable[[#This Row],[GroupByKey]]),(OutputTable[GroupByKey]=OutputTable[[#This Row],[GroupByKey]])*OutputTable[RecordedValue])),0)</f>
        <v>923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0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7" s="5" cm="1">
        <f t="array" ref="O207">MIN(IF((OutputTable[GroupByKey]=OutputTable[[#This Row],[GroupByKey]]),(OutputTable[GroupByKey]=OutputTable[[#This Row],[GroupByKey]])*OutputTable[RecordedValue]))</f>
        <v>923</v>
      </c>
      <c r="P207" s="5" cm="1">
        <f t="array" ref="P207">MAX(IF((OutputTable[GroupByKey]=OutputTable[[#This Row],[GroupByKey]]),(OutputTable[GroupByKey]=OutputTable[[#This Row],[GroupByKey]])*OutputTable[RecordedValue]))</f>
        <v>923</v>
      </c>
    </row>
    <row r="208" spans="1:16" x14ac:dyDescent="0.25">
      <c r="A208" t="s">
        <v>67</v>
      </c>
      <c r="B208" t="s">
        <v>70</v>
      </c>
      <c r="C208">
        <v>1</v>
      </c>
      <c r="D208" t="s">
        <v>385</v>
      </c>
      <c r="E208" t="s">
        <v>189</v>
      </c>
      <c r="F208" t="s">
        <v>80</v>
      </c>
      <c r="G208">
        <v>923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ProjectWire Harness.NumberOutNumber OutEntity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1</v>
      </c>
      <c r="K208" s="5" cm="1">
        <f t="array" ref="K208">IFERROR(AVERAGE(IF((OutputTable[GroupByKey]=OutputTable[[#This Row],[GroupByKey]]),(OutputTable[GroupByKey]=OutputTable[[#This Row],[GroupByKey]])*OutputTable[RecordedValue])),0)</f>
        <v>923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0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8" s="5" cm="1">
        <f t="array" ref="O208">MIN(IF((OutputTable[GroupByKey]=OutputTable[[#This Row],[GroupByKey]]),(OutputTable[GroupByKey]=OutputTable[[#This Row],[GroupByKey]])*OutputTable[RecordedValue]))</f>
        <v>923</v>
      </c>
      <c r="P208" s="5" cm="1">
        <f t="array" ref="P208">MAX(IF((OutputTable[GroupByKey]=OutputTable[[#This Row],[GroupByKey]]),(OutputTable[GroupByKey]=OutputTable[[#This Row],[GroupByKey]])*OutputTable[RecordedValue]))</f>
        <v>923</v>
      </c>
    </row>
    <row r="209" spans="1:16" x14ac:dyDescent="0.25">
      <c r="A209" t="s">
        <v>67</v>
      </c>
      <c r="B209" t="s">
        <v>70</v>
      </c>
      <c r="C209">
        <v>1</v>
      </c>
      <c r="D209" t="s">
        <v>386</v>
      </c>
      <c r="E209" t="s">
        <v>287</v>
      </c>
      <c r="F209" t="s">
        <v>97</v>
      </c>
      <c r="G209">
        <v>0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Projectsales Accum VA CostAccum VA CostProcess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1</v>
      </c>
      <c r="K209" s="5" cm="1">
        <f t="array" ref="K209">IFERROR(AVERAGE(IF((OutputTable[GroupByKey]=OutputTable[[#This Row],[GroupByKey]]),(OutputTable[GroupByKey]=OutputTable[[#This Row],[GroupByKey]])*OutputTable[RecordedValue])),0)</f>
        <v>0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0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9" s="5" cm="1">
        <f t="array" ref="O209">MIN(IF((OutputTable[GroupByKey]=OutputTable[[#This Row],[GroupByKey]]),(OutputTable[GroupByKey]=OutputTable[[#This Row],[GroupByKey]])*OutputTable[RecordedValue]))</f>
        <v>0</v>
      </c>
      <c r="P209" s="5" cm="1">
        <f t="array" ref="P209">MAX(IF((OutputTable[GroupByKey]=OutputTable[[#This Row],[GroupByKey]]),(OutputTable[GroupByKey]=OutputTable[[#This Row],[GroupByKey]])*OutputTable[RecordedValue]))</f>
        <v>0</v>
      </c>
    </row>
    <row r="210" spans="1:16" x14ac:dyDescent="0.25">
      <c r="A210" t="s">
        <v>67</v>
      </c>
      <c r="B210" t="s">
        <v>70</v>
      </c>
      <c r="C210">
        <v>1</v>
      </c>
      <c r="D210" t="s">
        <v>387</v>
      </c>
      <c r="E210" t="s">
        <v>289</v>
      </c>
      <c r="F210" t="s">
        <v>97</v>
      </c>
      <c r="G210">
        <v>1.77573456245673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Projectsales Accum VA TimeAccum VA TimeProcess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1</v>
      </c>
      <c r="K210" s="5" cm="1">
        <f t="array" ref="K210">IFERROR(AVERAGE(IF((OutputTable[GroupByKey]=OutputTable[[#This Row],[GroupByKey]]),(OutputTable[GroupByKey]=OutputTable[[#This Row],[GroupByKey]])*OutputTable[RecordedValue])),0)</f>
        <v>1.77573456245673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0" s="5" cm="1">
        <f t="array" ref="O210">MIN(IF((OutputTable[GroupByKey]=OutputTable[[#This Row],[GroupByKey]]),(OutputTable[GroupByKey]=OutputTable[[#This Row],[GroupByKey]])*OutputTable[RecordedValue]))</f>
        <v>1.77573456245673</v>
      </c>
      <c r="P210" s="5" cm="1">
        <f t="array" ref="P210">MAX(IF((OutputTable[GroupByKey]=OutputTable[[#This Row],[GroupByKey]]),(OutputTable[GroupByKey]=OutputTable[[#This Row],[GroupByKey]])*OutputTable[RecordedValue]))</f>
        <v>1.77573456245673</v>
      </c>
    </row>
    <row r="211" spans="1:16" x14ac:dyDescent="0.25">
      <c r="A211" t="s">
        <v>67</v>
      </c>
      <c r="B211" t="s">
        <v>70</v>
      </c>
      <c r="C211">
        <v>1</v>
      </c>
      <c r="D211" t="s">
        <v>388</v>
      </c>
      <c r="E211" t="s">
        <v>291</v>
      </c>
      <c r="F211" t="s">
        <v>97</v>
      </c>
      <c r="G211">
        <v>0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Projectsales Accum Wait CostAccum Wait CostProcess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1</v>
      </c>
      <c r="K211" s="5" cm="1">
        <f t="array" ref="K211">IFERROR(AVERAGE(IF((OutputTable[GroupByKey]=OutputTable[[#This Row],[GroupByKey]]),(OutputTable[GroupByKey]=OutputTable[[#This Row],[GroupByKey]])*OutputTable[RecordedValue])),0)</f>
        <v>0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0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1" s="5" cm="1">
        <f t="array" ref="O211">MIN(IF((OutputTable[GroupByKey]=OutputTable[[#This Row],[GroupByKey]]),(OutputTable[GroupByKey]=OutputTable[[#This Row],[GroupByKey]])*OutputTable[RecordedValue]))</f>
        <v>0</v>
      </c>
      <c r="P211" s="5" cm="1">
        <f t="array" ref="P211">MAX(IF((OutputTable[GroupByKey]=OutputTable[[#This Row],[GroupByKey]]),(OutputTable[GroupByKey]=OutputTable[[#This Row],[GroupByKey]])*OutputTable[RecordedValue]))</f>
        <v>0</v>
      </c>
    </row>
    <row r="212" spans="1:16" x14ac:dyDescent="0.25">
      <c r="A212" t="s">
        <v>67</v>
      </c>
      <c r="B212" t="s">
        <v>70</v>
      </c>
      <c r="C212">
        <v>1</v>
      </c>
      <c r="D212" t="s">
        <v>389</v>
      </c>
      <c r="E212" t="s">
        <v>293</v>
      </c>
      <c r="F212" t="s">
        <v>97</v>
      </c>
      <c r="G212">
        <v>0.30130563522900999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Projectsales Accum Wait TimeAccum Wait TimeProcess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1</v>
      </c>
      <c r="K212" s="5" cm="1">
        <f t="array" ref="K212">IFERROR(AVERAGE(IF((OutputTable[GroupByKey]=OutputTable[[#This Row],[GroupByKey]]),(OutputTable[GroupByKey]=OutputTable[[#This Row],[GroupByKey]])*OutputTable[RecordedValue])),0)</f>
        <v>0.30130563522900999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0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2" s="5" cm="1">
        <f t="array" ref="O212">MIN(IF((OutputTable[GroupByKey]=OutputTable[[#This Row],[GroupByKey]]),(OutputTable[GroupByKey]=OutputTable[[#This Row],[GroupByKey]])*OutputTable[RecordedValue]))</f>
        <v>0.30130563522900999</v>
      </c>
      <c r="P212" s="5" cm="1">
        <f t="array" ref="P212">MAX(IF((OutputTable[GroupByKey]=OutputTable[[#This Row],[GroupByKey]]),(OutputTable[GroupByKey]=OutputTable[[#This Row],[GroupByKey]])*OutputTable[RecordedValue]))</f>
        <v>0.30130563522900999</v>
      </c>
    </row>
    <row r="213" spans="1:16" x14ac:dyDescent="0.25">
      <c r="A213" t="s">
        <v>67</v>
      </c>
      <c r="B213" t="s">
        <v>70</v>
      </c>
      <c r="C213">
        <v>1</v>
      </c>
      <c r="D213" t="s">
        <v>390</v>
      </c>
      <c r="E213" t="s">
        <v>187</v>
      </c>
      <c r="F213" t="s">
        <v>97</v>
      </c>
      <c r="G213">
        <v>14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Projectsales Number InNumber InProcess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1</v>
      </c>
      <c r="K213" s="5" cm="1">
        <f t="array" ref="K213">IFERROR(AVERAGE(IF((OutputTable[GroupByKey]=OutputTable[[#This Row],[GroupByKey]]),(OutputTable[GroupByKey]=OutputTable[[#This Row],[GroupByKey]])*OutputTable[RecordedValue])),0)</f>
        <v>14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3" s="5" cm="1">
        <f t="array" ref="O213">MIN(IF((OutputTable[GroupByKey]=OutputTable[[#This Row],[GroupByKey]]),(OutputTable[GroupByKey]=OutputTable[[#This Row],[GroupByKey]])*OutputTable[RecordedValue]))</f>
        <v>14</v>
      </c>
      <c r="P213" s="5" cm="1">
        <f t="array" ref="P213">MAX(IF((OutputTable[GroupByKey]=OutputTable[[#This Row],[GroupByKey]]),(OutputTable[GroupByKey]=OutputTable[[#This Row],[GroupByKey]])*OutputTable[RecordedValue]))</f>
        <v>14</v>
      </c>
    </row>
    <row r="214" spans="1:16" x14ac:dyDescent="0.25">
      <c r="A214" t="s">
        <v>67</v>
      </c>
      <c r="B214" t="s">
        <v>70</v>
      </c>
      <c r="C214">
        <v>1</v>
      </c>
      <c r="D214" t="s">
        <v>391</v>
      </c>
      <c r="E214" t="s">
        <v>189</v>
      </c>
      <c r="F214" t="s">
        <v>97</v>
      </c>
      <c r="G214">
        <v>14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Projectsales Number OutNumber OutProcess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1</v>
      </c>
      <c r="K214" s="5" cm="1">
        <f t="array" ref="K214">IFERROR(AVERAGE(IF((OutputTable[GroupByKey]=OutputTable[[#This Row],[GroupByKey]]),(OutputTable[GroupByKey]=OutputTable[[#This Row],[GroupByKey]])*OutputTable[RecordedValue])),0)</f>
        <v>14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4" s="5" cm="1">
        <f t="array" ref="O214">MIN(IF((OutputTable[GroupByKey]=OutputTable[[#This Row],[GroupByKey]]),(OutputTable[GroupByKey]=OutputTable[[#This Row],[GroupByKey]])*OutputTable[RecordedValue]))</f>
        <v>14</v>
      </c>
      <c r="P214" s="5" cm="1">
        <f t="array" ref="P214">MAX(IF((OutputTable[GroupByKey]=OutputTable[[#This Row],[GroupByKey]]),(OutputTable[GroupByKey]=OutputTable[[#This Row],[GroupByKey]])*OutputTable[RecordedValue]))</f>
        <v>14</v>
      </c>
    </row>
    <row r="215" spans="1:16" x14ac:dyDescent="0.25">
      <c r="A215" t="s">
        <v>67</v>
      </c>
      <c r="B215" t="s">
        <v>70</v>
      </c>
      <c r="C215">
        <v>1</v>
      </c>
      <c r="D215" t="s">
        <v>392</v>
      </c>
      <c r="E215" t="s">
        <v>297</v>
      </c>
      <c r="F215" t="s">
        <v>97</v>
      </c>
      <c r="G215">
        <v>0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Projectsales Total Accum CostTotal Accum CostProcess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1</v>
      </c>
      <c r="K215" s="5" cm="1">
        <f t="array" ref="K215">IFERROR(AVERAGE(IF((OutputTable[GroupByKey]=OutputTable[[#This Row],[GroupByKey]]),(OutputTable[GroupByKey]=OutputTable[[#This Row],[GroupByKey]])*OutputTable[RecordedValue])),0)</f>
        <v>0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5" s="5" cm="1">
        <f t="array" ref="O215">MIN(IF((OutputTable[GroupByKey]=OutputTable[[#This Row],[GroupByKey]]),(OutputTable[GroupByKey]=OutputTable[[#This Row],[GroupByKey]])*OutputTable[RecordedValue]))</f>
        <v>0</v>
      </c>
      <c r="P215" s="5" cm="1">
        <f t="array" ref="P215">MAX(IF((OutputTable[GroupByKey]=OutputTable[[#This Row],[GroupByKey]]),(OutputTable[GroupByKey]=OutputTable[[#This Row],[GroupByKey]])*OutputTable[RecordedValue]))</f>
        <v>0</v>
      </c>
    </row>
    <row r="216" spans="1:16" x14ac:dyDescent="0.25">
      <c r="A216" t="s">
        <v>67</v>
      </c>
      <c r="B216" t="s">
        <v>70</v>
      </c>
      <c r="C216">
        <v>1</v>
      </c>
      <c r="D216" t="s">
        <v>393</v>
      </c>
      <c r="E216" t="s">
        <v>299</v>
      </c>
      <c r="F216" t="s">
        <v>97</v>
      </c>
      <c r="G216">
        <v>2.07704019768574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Projectsales Total Accum TimeTotal Accum TimeProcess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1</v>
      </c>
      <c r="K216" s="5" cm="1">
        <f t="array" ref="K216">IFERROR(AVERAGE(IF((OutputTable[GroupByKey]=OutputTable[[#This Row],[GroupByKey]]),(OutputTable[GroupByKey]=OutputTable[[#This Row],[GroupByKey]])*OutputTable[RecordedValue])),0)</f>
        <v>2.07704019768574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6" s="5" cm="1">
        <f t="array" ref="O216">MIN(IF((OutputTable[GroupByKey]=OutputTable[[#This Row],[GroupByKey]]),(OutputTable[GroupByKey]=OutputTable[[#This Row],[GroupByKey]])*OutputTable[RecordedValue]))</f>
        <v>2.07704019768574</v>
      </c>
      <c r="P216" s="5" cm="1">
        <f t="array" ref="P216">MAX(IF((OutputTable[GroupByKey]=OutputTable[[#This Row],[GroupByKey]]),(OutputTable[GroupByKey]=OutputTable[[#This Row],[GroupByKey]])*OutputTable[RecordedValue]))</f>
        <v>2.07704019768574</v>
      </c>
    </row>
  </sheetData>
  <phoneticPr fontId="2" type="noConversion"/>
  <conditionalFormatting sqref="I2:P216">
    <cfRule type="expression" dxfId="3" priority="2">
      <formula>MOD(ROW(),2)=0</formula>
    </cfRule>
  </conditionalFormatting>
  <conditionalFormatting sqref="N2:N21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Tolga Kara</cp:lastModifiedBy>
  <cp:lastPrinted>2022-03-22T10:33:10Z</cp:lastPrinted>
  <dcterms:created xsi:type="dcterms:W3CDTF">2020-06-29T21:30:31Z</dcterms:created>
  <dcterms:modified xsi:type="dcterms:W3CDTF">2025-12-26T17:24:56Z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