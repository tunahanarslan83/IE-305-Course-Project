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unahan\Downloads\"/>
    </mc:Choice>
  </mc:AlternateContent>
  <xr:revisionPtr revIDLastSave="0" documentId="13_ncr:1_{7CBBCDAA-5A67-41A8-A7C4-9CC15A773373}" xr6:coauthVersionLast="47" xr6:coauthVersionMax="47" xr10:uidLastSave="{00000000-0000-0000-0000-000000000000}"/>
  <bookViews>
    <workbookView xWindow="-120" yWindow="-120" windowWidth="21840" windowHeight="130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ContinuousTimeStatsByRep!$A$1:$L$851</definedName>
    <definedName name="ExternalData_1" localSheetId="4" hidden="1">CounterStatsByRep!$A$1:$G$71</definedName>
    <definedName name="ExternalData_1" localSheetId="2" hidden="1">DiscreteTimeStatsByRep!$A$1:$K$511</definedName>
    <definedName name="ExternalData_1" localSheetId="6" hidden="1">FrequencyStatsByRep!$A$1:$K$2</definedName>
    <definedName name="ExternalData_1" localSheetId="5" hidden="1">OutputStatsByRep!$A$1:$H$861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K35" i="20" s="1" a="1"/>
  <c r="K35" i="20" s="1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K18" i="20" s="1" a="1"/>
  <c r="K18" i="20" s="1"/>
  <c r="I26" i="20"/>
  <c r="I27" i="20"/>
  <c r="I28" i="20"/>
  <c r="I29" i="20"/>
  <c r="I30" i="20"/>
  <c r="I31" i="20"/>
  <c r="I32" i="20"/>
  <c r="I33" i="20"/>
  <c r="K48" i="20" s="1" a="1"/>
  <c r="K48" i="20" s="1"/>
  <c r="I34" i="20"/>
  <c r="I35" i="20"/>
  <c r="I36" i="20"/>
  <c r="I37" i="20"/>
  <c r="I38" i="20"/>
  <c r="I39" i="20"/>
  <c r="I40" i="20"/>
  <c r="I41" i="20"/>
  <c r="K64" i="20" s="1" a="1"/>
  <c r="K64" i="20" s="1"/>
  <c r="I42" i="20"/>
  <c r="I43" i="20"/>
  <c r="I44" i="20"/>
  <c r="I45" i="20"/>
  <c r="I46" i="20"/>
  <c r="I47" i="20"/>
  <c r="I48" i="20"/>
  <c r="I49" i="20"/>
  <c r="I50" i="20"/>
  <c r="I51" i="20"/>
  <c r="I52" i="20"/>
  <c r="I53" i="20"/>
  <c r="K83" i="20" s="1" a="1"/>
  <c r="K83" i="20" s="1"/>
  <c r="I54" i="20"/>
  <c r="I55" i="20"/>
  <c r="I56" i="20"/>
  <c r="I57" i="20"/>
  <c r="I58" i="20"/>
  <c r="I59" i="20"/>
  <c r="I60" i="20"/>
  <c r="I61" i="20"/>
  <c r="K88" i="20" s="1" a="1"/>
  <c r="K88" i="20" s="1"/>
  <c r="I62" i="20"/>
  <c r="I63" i="20"/>
  <c r="I64" i="20"/>
  <c r="I65" i="20"/>
  <c r="I66" i="20"/>
  <c r="I67" i="20"/>
  <c r="I68" i="20"/>
  <c r="I69" i="20"/>
  <c r="K92" i="20" s="1" a="1"/>
  <c r="K92" i="20" s="1"/>
  <c r="I70" i="20"/>
  <c r="I71" i="20"/>
  <c r="I72" i="20"/>
  <c r="I73" i="20"/>
  <c r="I74" i="20"/>
  <c r="I75" i="20"/>
  <c r="I76" i="20"/>
  <c r="I77" i="20"/>
  <c r="K95" i="20" s="1" a="1"/>
  <c r="K95" i="20" s="1"/>
  <c r="I78" i="20"/>
  <c r="I79" i="20"/>
  <c r="I80" i="20"/>
  <c r="I81" i="20"/>
  <c r="I82" i="20"/>
  <c r="I83" i="20"/>
  <c r="I84" i="20"/>
  <c r="I85" i="20"/>
  <c r="K105" i="20" s="1" a="1"/>
  <c r="K105" i="20" s="1"/>
  <c r="I86" i="20"/>
  <c r="I87" i="20"/>
  <c r="I88" i="20"/>
  <c r="I89" i="20"/>
  <c r="I90" i="20"/>
  <c r="I91" i="20"/>
  <c r="I92" i="20"/>
  <c r="I93" i="20"/>
  <c r="K93" i="20" s="1" a="1"/>
  <c r="K93" i="20" s="1"/>
  <c r="I94" i="20"/>
  <c r="I95" i="20"/>
  <c r="I96" i="20"/>
  <c r="I97" i="20"/>
  <c r="K97" i="20" s="1" a="1"/>
  <c r="K97" i="20" s="1"/>
  <c r="I98" i="20"/>
  <c r="I99" i="20"/>
  <c r="I100" i="20"/>
  <c r="I101" i="20"/>
  <c r="K101" i="20" s="1" a="1"/>
  <c r="K101" i="20" s="1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J9" i="20" a="1"/>
  <c r="J9" i="20"/>
  <c r="J10" i="20" a="1"/>
  <c r="J10" i="20"/>
  <c r="J11" i="20" a="1"/>
  <c r="J11" i="20"/>
  <c r="J12" i="20" a="1"/>
  <c r="J12" i="20"/>
  <c r="J13" i="20" a="1"/>
  <c r="J13" i="20"/>
  <c r="J14" i="20" a="1"/>
  <c r="J14" i="20"/>
  <c r="J15" i="20" a="1"/>
  <c r="J15" i="20"/>
  <c r="J16" i="20" a="1"/>
  <c r="J16" i="20"/>
  <c r="J17" i="20" a="1"/>
  <c r="J17" i="20"/>
  <c r="J18" i="20" a="1"/>
  <c r="J18" i="20"/>
  <c r="J19" i="20" a="1"/>
  <c r="J19" i="20"/>
  <c r="J20" i="20" a="1"/>
  <c r="J20" i="20"/>
  <c r="J21" i="20" a="1"/>
  <c r="J21" i="20"/>
  <c r="J22" i="20" a="1"/>
  <c r="J22" i="20"/>
  <c r="J23" i="20" a="1"/>
  <c r="J23" i="20"/>
  <c r="J24" i="20" a="1"/>
  <c r="J24" i="20" s="1"/>
  <c r="J25" i="20" a="1"/>
  <c r="J25" i="20"/>
  <c r="J26" i="20" a="1"/>
  <c r="J26" i="20" s="1"/>
  <c r="J27" i="20" a="1"/>
  <c r="J27" i="20"/>
  <c r="J28" i="20" a="1"/>
  <c r="J28" i="20" s="1"/>
  <c r="J29" i="20" a="1"/>
  <c r="J29" i="20"/>
  <c r="J30" i="20" a="1"/>
  <c r="J30" i="20" s="1"/>
  <c r="J31" i="20" a="1"/>
  <c r="J31" i="20"/>
  <c r="J32" i="20" a="1"/>
  <c r="J32" i="20" s="1"/>
  <c r="J33" i="20" a="1"/>
  <c r="J33" i="20"/>
  <c r="J34" i="20" a="1"/>
  <c r="J34" i="20" s="1"/>
  <c r="J35" i="20" a="1"/>
  <c r="J35" i="20"/>
  <c r="J36" i="20" a="1"/>
  <c r="J36" i="20" s="1"/>
  <c r="J37" i="20" a="1"/>
  <c r="J37" i="20"/>
  <c r="J38" i="20" a="1"/>
  <c r="J38" i="20" s="1"/>
  <c r="J39" i="20" a="1"/>
  <c r="J39" i="20"/>
  <c r="J40" i="20" a="1"/>
  <c r="J40" i="20" s="1"/>
  <c r="J41" i="20" a="1"/>
  <c r="J41" i="20"/>
  <c r="J42" i="20" a="1"/>
  <c r="J42" i="20" s="1"/>
  <c r="J43" i="20" a="1"/>
  <c r="J43" i="20"/>
  <c r="J44" i="20" a="1"/>
  <c r="J44" i="20" s="1"/>
  <c r="J45" i="20" a="1"/>
  <c r="J45" i="20"/>
  <c r="J46" i="20" a="1"/>
  <c r="J46" i="20" s="1"/>
  <c r="J47" i="20" a="1"/>
  <c r="J47" i="20"/>
  <c r="J48" i="20" a="1"/>
  <c r="J48" i="20" s="1"/>
  <c r="J49" i="20" a="1"/>
  <c r="J49" i="20"/>
  <c r="J50" i="20" a="1"/>
  <c r="J50" i="20" s="1"/>
  <c r="J51" i="20" a="1"/>
  <c r="J51" i="20"/>
  <c r="J52" i="20" a="1"/>
  <c r="J52" i="20" s="1"/>
  <c r="J53" i="20" a="1"/>
  <c r="J53" i="20"/>
  <c r="J54" i="20" a="1"/>
  <c r="J54" i="20" s="1"/>
  <c r="J55" i="20" a="1"/>
  <c r="J55" i="20"/>
  <c r="J56" i="20" a="1"/>
  <c r="J56" i="20" s="1"/>
  <c r="J57" i="20" a="1"/>
  <c r="J57" i="20"/>
  <c r="J58" i="20" a="1"/>
  <c r="J58" i="20" s="1"/>
  <c r="J59" i="20" a="1"/>
  <c r="J59" i="20"/>
  <c r="J60" i="20" a="1"/>
  <c r="J60" i="20" s="1"/>
  <c r="J61" i="20" a="1"/>
  <c r="J61" i="20"/>
  <c r="J62" i="20" a="1"/>
  <c r="J62" i="20" s="1"/>
  <c r="J63" i="20" a="1"/>
  <c r="J63" i="20"/>
  <c r="J64" i="20" a="1"/>
  <c r="J64" i="20" s="1"/>
  <c r="J65" i="20" a="1"/>
  <c r="J65" i="20"/>
  <c r="J66" i="20" a="1"/>
  <c r="J66" i="20" s="1"/>
  <c r="J67" i="20" a="1"/>
  <c r="J67" i="20"/>
  <c r="J68" i="20" a="1"/>
  <c r="J68" i="20" s="1"/>
  <c r="J69" i="20" a="1"/>
  <c r="J69" i="20"/>
  <c r="J70" i="20" a="1"/>
  <c r="J70" i="20" s="1"/>
  <c r="J71" i="20" a="1"/>
  <c r="J71" i="20"/>
  <c r="J72" i="20" a="1"/>
  <c r="J72" i="20" s="1"/>
  <c r="J73" i="20" a="1"/>
  <c r="J73" i="20"/>
  <c r="J74" i="20" a="1"/>
  <c r="J74" i="20" s="1"/>
  <c r="J75" i="20" a="1"/>
  <c r="J75" i="20"/>
  <c r="J76" i="20" a="1"/>
  <c r="J76" i="20" s="1"/>
  <c r="J77" i="20" a="1"/>
  <c r="J77" i="20"/>
  <c r="J78" i="20" a="1"/>
  <c r="J78" i="20" s="1"/>
  <c r="J79" i="20" a="1"/>
  <c r="J79" i="20"/>
  <c r="J80" i="20" a="1"/>
  <c r="J80" i="20" s="1"/>
  <c r="J81" i="20" a="1"/>
  <c r="J81" i="20"/>
  <c r="J82" i="20" a="1"/>
  <c r="J82" i="20" s="1"/>
  <c r="J83" i="20" a="1"/>
  <c r="J83" i="20"/>
  <c r="J84" i="20" a="1"/>
  <c r="J84" i="20" s="1"/>
  <c r="J85" i="20" a="1"/>
  <c r="J85" i="20"/>
  <c r="J86" i="20" a="1"/>
  <c r="J86" i="20" s="1"/>
  <c r="J87" i="20" a="1"/>
  <c r="J87" i="20"/>
  <c r="J88" i="20" a="1"/>
  <c r="J88" i="20" s="1"/>
  <c r="J89" i="20" a="1"/>
  <c r="J89" i="20"/>
  <c r="J90" i="20" a="1"/>
  <c r="J90" i="20" s="1"/>
  <c r="J91" i="20" a="1"/>
  <c r="J91" i="20"/>
  <c r="J92" i="20" a="1"/>
  <c r="J92" i="20" s="1"/>
  <c r="J93" i="20" a="1"/>
  <c r="J93" i="20"/>
  <c r="J94" i="20" a="1"/>
  <c r="J94" i="20" s="1"/>
  <c r="J95" i="20" a="1"/>
  <c r="J95" i="20"/>
  <c r="J96" i="20" a="1"/>
  <c r="J96" i="20" s="1"/>
  <c r="J97" i="20" a="1"/>
  <c r="J97" i="20"/>
  <c r="J98" i="20" a="1"/>
  <c r="J98" i="20" s="1"/>
  <c r="J99" i="20" a="1"/>
  <c r="J99" i="20"/>
  <c r="J100" i="20" a="1"/>
  <c r="J100" i="20" s="1"/>
  <c r="J101" i="20" a="1"/>
  <c r="J101" i="20"/>
  <c r="J102" i="20" a="1"/>
  <c r="J102" i="20" s="1"/>
  <c r="J103" i="20" a="1"/>
  <c r="J103" i="20"/>
  <c r="J104" i="20" a="1"/>
  <c r="J104" i="20" s="1"/>
  <c r="J105" i="20" a="1"/>
  <c r="J105" i="20"/>
  <c r="J106" i="20" a="1"/>
  <c r="J106" i="20" s="1"/>
  <c r="J107" i="20" a="1"/>
  <c r="J107" i="20"/>
  <c r="J108" i="20" a="1"/>
  <c r="J108" i="20" s="1"/>
  <c r="J109" i="20" a="1"/>
  <c r="J109" i="20"/>
  <c r="J110" i="20" a="1"/>
  <c r="J110" i="20" s="1"/>
  <c r="J111" i="20" a="1"/>
  <c r="J111" i="20"/>
  <c r="J112" i="20" a="1"/>
  <c r="J112" i="20" s="1"/>
  <c r="J113" i="20" a="1"/>
  <c r="J113" i="20"/>
  <c r="J114" i="20" a="1"/>
  <c r="J114" i="20" s="1"/>
  <c r="J115" i="20" a="1"/>
  <c r="J115" i="20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/>
  <c r="J123" i="20" a="1"/>
  <c r="J123" i="20" s="1"/>
  <c r="J124" i="20" a="1"/>
  <c r="J124" i="20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/>
  <c r="J133" i="20" a="1"/>
  <c r="J133" i="20" s="1"/>
  <c r="J134" i="20" a="1"/>
  <c r="J134" i="20"/>
  <c r="J135" i="20" a="1"/>
  <c r="J135" i="20" s="1"/>
  <c r="J136" i="20" a="1"/>
  <c r="J136" i="20"/>
  <c r="J137" i="20" a="1"/>
  <c r="J137" i="20" s="1"/>
  <c r="J138" i="20" a="1"/>
  <c r="J138" i="20"/>
  <c r="J139" i="20" a="1"/>
  <c r="J139" i="20" s="1"/>
  <c r="J140" i="20" a="1"/>
  <c r="J140" i="20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/>
  <c r="J148" i="20" a="1"/>
  <c r="J148" i="20" s="1"/>
  <c r="J149" i="20" a="1"/>
  <c r="J149" i="20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/>
  <c r="J156" i="20" a="1"/>
  <c r="J156" i="20" s="1"/>
  <c r="J157" i="20" a="1"/>
  <c r="J157" i="20"/>
  <c r="J158" i="20" a="1"/>
  <c r="J158" i="20" s="1"/>
  <c r="J159" i="20" a="1"/>
  <c r="J159" i="20"/>
  <c r="J160" i="20" a="1"/>
  <c r="J160" i="20" s="1"/>
  <c r="J161" i="20" a="1"/>
  <c r="J161" i="20"/>
  <c r="J162" i="20" a="1"/>
  <c r="J162" i="20" s="1"/>
  <c r="J163" i="20" a="1"/>
  <c r="J163" i="20"/>
  <c r="J164" i="20" a="1"/>
  <c r="J164" i="20" s="1"/>
  <c r="J165" i="20" a="1"/>
  <c r="J165" i="20"/>
  <c r="J166" i="20" a="1"/>
  <c r="J166" i="20" s="1"/>
  <c r="J167" i="20" a="1"/>
  <c r="J167" i="20" s="1"/>
  <c r="J168" i="20" a="1"/>
  <c r="J168" i="20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/>
  <c r="J175" i="20" a="1"/>
  <c r="J175" i="20" s="1"/>
  <c r="J176" i="20" a="1"/>
  <c r="J176" i="20"/>
  <c r="J177" i="20" a="1"/>
  <c r="J177" i="20" s="1"/>
  <c r="J178" i="20" a="1"/>
  <c r="J178" i="20" s="1"/>
  <c r="J179" i="20" a="1"/>
  <c r="J179" i="20" s="1"/>
  <c r="J180" i="20" a="1"/>
  <c r="J180" i="20"/>
  <c r="J181" i="20" a="1"/>
  <c r="J181" i="20" s="1"/>
  <c r="J182" i="20" a="1"/>
  <c r="J182" i="20"/>
  <c r="J183" i="20" a="1"/>
  <c r="J183" i="20" s="1"/>
  <c r="J184" i="20" a="1"/>
  <c r="J184" i="20"/>
  <c r="J185" i="20" a="1"/>
  <c r="J185" i="20" s="1"/>
  <c r="J186" i="20" a="1"/>
  <c r="J186" i="20"/>
  <c r="J187" i="20" a="1"/>
  <c r="J187" i="20" s="1"/>
  <c r="J188" i="20" a="1"/>
  <c r="J188" i="20"/>
  <c r="J189" i="20" a="1"/>
  <c r="J189" i="20" s="1"/>
  <c r="J190" i="20" a="1"/>
  <c r="J190" i="20" s="1"/>
  <c r="J191" i="20" a="1"/>
  <c r="J191" i="20"/>
  <c r="J192" i="20" a="1"/>
  <c r="J192" i="20" s="1"/>
  <c r="J193" i="20" a="1"/>
  <c r="J193" i="20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/>
  <c r="J200" i="20" a="1"/>
  <c r="J200" i="20" s="1"/>
  <c r="J201" i="20" a="1"/>
  <c r="J201" i="20"/>
  <c r="J202" i="20" a="1"/>
  <c r="J202" i="20" s="1"/>
  <c r="J203" i="20" a="1"/>
  <c r="J203" i="20"/>
  <c r="J204" i="20" a="1"/>
  <c r="J204" i="20" s="1"/>
  <c r="J205" i="20" a="1"/>
  <c r="J205" i="20"/>
  <c r="J206" i="20" a="1"/>
  <c r="J206" i="20" s="1"/>
  <c r="J207" i="20" a="1"/>
  <c r="J207" i="20"/>
  <c r="J208" i="20" a="1"/>
  <c r="J208" i="20" s="1"/>
  <c r="J209" i="20" a="1"/>
  <c r="J209" i="20"/>
  <c r="J210" i="20" a="1"/>
  <c r="J210" i="20" s="1"/>
  <c r="J211" i="20" a="1"/>
  <c r="J211" i="20"/>
  <c r="J212" i="20" a="1"/>
  <c r="J212" i="20" s="1"/>
  <c r="J213" i="20" a="1"/>
  <c r="J213" i="20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/>
  <c r="J219" i="20" a="1"/>
  <c r="J219" i="20" s="1"/>
  <c r="J220" i="20" a="1"/>
  <c r="J220" i="20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/>
  <c r="J227" i="20" a="1"/>
  <c r="J227" i="20" s="1"/>
  <c r="J228" i="20" a="1"/>
  <c r="J228" i="20" s="1"/>
  <c r="J229" i="20" a="1"/>
  <c r="J229" i="20" s="1"/>
  <c r="J230" i="20" a="1"/>
  <c r="J230" i="20"/>
  <c r="J231" i="20" a="1"/>
  <c r="J231" i="20" s="1"/>
  <c r="J232" i="20" a="1"/>
  <c r="J232" i="20"/>
  <c r="J233" i="20" a="1"/>
  <c r="J233" i="20" s="1"/>
  <c r="J234" i="20" a="1"/>
  <c r="J234" i="20"/>
  <c r="J235" i="20" a="1"/>
  <c r="J235" i="20" s="1"/>
  <c r="J236" i="20" a="1"/>
  <c r="J236" i="20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/>
  <c r="J244" i="20" a="1"/>
  <c r="J244" i="20" s="1"/>
  <c r="J245" i="20" a="1"/>
  <c r="J245" i="20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/>
  <c r="J252" i="20" a="1"/>
  <c r="J252" i="20" s="1"/>
  <c r="J253" i="20" a="1"/>
  <c r="J253" i="20"/>
  <c r="J254" i="20" a="1"/>
  <c r="J254" i="20" s="1"/>
  <c r="J255" i="20" a="1"/>
  <c r="J255" i="20"/>
  <c r="J256" i="20" a="1"/>
  <c r="J256" i="20" s="1"/>
  <c r="J257" i="20" a="1"/>
  <c r="J257" i="20"/>
  <c r="J258" i="20" a="1"/>
  <c r="J258" i="20" s="1"/>
  <c r="J259" i="20" a="1"/>
  <c r="J259" i="20"/>
  <c r="J260" i="20" a="1"/>
  <c r="J260" i="20" s="1"/>
  <c r="J261" i="20" a="1"/>
  <c r="J261" i="20"/>
  <c r="J262" i="20" a="1"/>
  <c r="J262" i="20" s="1"/>
  <c r="J263" i="20" a="1"/>
  <c r="J263" i="20" s="1"/>
  <c r="J264" i="20" a="1"/>
  <c r="J264" i="20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/>
  <c r="J271" i="20" a="1"/>
  <c r="J271" i="20" s="1"/>
  <c r="J272" i="20" a="1"/>
  <c r="J272" i="20"/>
  <c r="J273" i="20" a="1"/>
  <c r="J273" i="20" s="1"/>
  <c r="J274" i="20" a="1"/>
  <c r="J274" i="20" s="1"/>
  <c r="J275" i="20" a="1"/>
  <c r="J275" i="20" s="1"/>
  <c r="J276" i="20" a="1"/>
  <c r="J276" i="20"/>
  <c r="J277" i="20" a="1"/>
  <c r="J277" i="20" s="1"/>
  <c r="J278" i="20" a="1"/>
  <c r="J278" i="20"/>
  <c r="J279" i="20" a="1"/>
  <c r="J279" i="20" s="1"/>
  <c r="J280" i="20" a="1"/>
  <c r="J280" i="20"/>
  <c r="J281" i="20" a="1"/>
  <c r="J281" i="20" s="1"/>
  <c r="J282" i="20" a="1"/>
  <c r="J282" i="20"/>
  <c r="J283" i="20" a="1"/>
  <c r="J283" i="20" s="1"/>
  <c r="J284" i="20" a="1"/>
  <c r="J284" i="20"/>
  <c r="J285" i="20" a="1"/>
  <c r="J285" i="20" s="1"/>
  <c r="J286" i="20" a="1"/>
  <c r="J286" i="20" s="1"/>
  <c r="J287" i="20" a="1"/>
  <c r="J287" i="20"/>
  <c r="J288" i="20" a="1"/>
  <c r="J288" i="20" s="1"/>
  <c r="J289" i="20" a="1"/>
  <c r="J289" i="20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/>
  <c r="J296" i="20" a="1"/>
  <c r="J296" i="20" s="1"/>
  <c r="J297" i="20" a="1"/>
  <c r="J297" i="20"/>
  <c r="J298" i="20" a="1"/>
  <c r="J298" i="20" s="1"/>
  <c r="J299" i="20" a="1"/>
  <c r="J299" i="20"/>
  <c r="J300" i="20" a="1"/>
  <c r="J300" i="20" s="1"/>
  <c r="J301" i="20" a="1"/>
  <c r="J301" i="20"/>
  <c r="J302" i="20" a="1"/>
  <c r="J302" i="20" s="1"/>
  <c r="J303" i="20" a="1"/>
  <c r="J303" i="20"/>
  <c r="J304" i="20" a="1"/>
  <c r="J304" i="20" s="1"/>
  <c r="J305" i="20" a="1"/>
  <c r="J305" i="20"/>
  <c r="J306" i="20" a="1"/>
  <c r="J306" i="20" s="1"/>
  <c r="J307" i="20" a="1"/>
  <c r="J307" i="20"/>
  <c r="J308" i="20" a="1"/>
  <c r="J308" i="20" s="1"/>
  <c r="J309" i="20" a="1"/>
  <c r="J309" i="20"/>
  <c r="J310" i="20" a="1"/>
  <c r="J310" i="20" s="1"/>
  <c r="J311" i="20" a="1"/>
  <c r="J311" i="20" s="1"/>
  <c r="J312" i="20" a="1"/>
  <c r="J312" i="20"/>
  <c r="J313" i="20" a="1"/>
  <c r="J313" i="20" s="1"/>
  <c r="J314" i="20" a="1"/>
  <c r="J314" i="20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/>
  <c r="J321" i="20" a="1"/>
  <c r="J321" i="20" s="1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/>
  <c r="J327" i="20" a="1"/>
  <c r="J327" i="20" s="1"/>
  <c r="J328" i="20" a="1"/>
  <c r="J328" i="20"/>
  <c r="J329" i="20" a="1"/>
  <c r="J329" i="20" s="1"/>
  <c r="J330" i="20" a="1"/>
  <c r="J330" i="20" s="1"/>
  <c r="J331" i="20" a="1"/>
  <c r="J331" i="20" s="1"/>
  <c r="J332" i="20" a="1"/>
  <c r="J332" i="20"/>
  <c r="J333" i="20" a="1"/>
  <c r="J333" i="20" s="1"/>
  <c r="J334" i="20" a="1"/>
  <c r="J334" i="20" s="1"/>
  <c r="J335" i="20" a="1"/>
  <c r="J335" i="20"/>
  <c r="J336" i="20" a="1"/>
  <c r="J336" i="20"/>
  <c r="J337" i="20" a="1"/>
  <c r="J337" i="20"/>
  <c r="J338" i="20" a="1"/>
  <c r="J338" i="20"/>
  <c r="J339" i="20" a="1"/>
  <c r="J339" i="20"/>
  <c r="J340" i="20" a="1"/>
  <c r="J340" i="20"/>
  <c r="J341" i="20" a="1"/>
  <c r="J341" i="20"/>
  <c r="J342" i="20" a="1"/>
  <c r="J342" i="20"/>
  <c r="J343" i="20" a="1"/>
  <c r="J343" i="20"/>
  <c r="J344" i="20" a="1"/>
  <c r="J344" i="20"/>
  <c r="J345" i="20" a="1"/>
  <c r="J345" i="20"/>
  <c r="J346" i="20" a="1"/>
  <c r="J346" i="20" s="1"/>
  <c r="J347" i="20" a="1"/>
  <c r="J347" i="20" s="1"/>
  <c r="J348" i="20" a="1"/>
  <c r="J348" i="20"/>
  <c r="J349" i="20" a="1"/>
  <c r="J349" i="20" s="1"/>
  <c r="J350" i="20" a="1"/>
  <c r="J350" i="20"/>
  <c r="J351" i="20" a="1"/>
  <c r="J351" i="20" s="1"/>
  <c r="J352" i="20" a="1"/>
  <c r="J352" i="20"/>
  <c r="J353" i="20" a="1"/>
  <c r="J353" i="20" s="1"/>
  <c r="J354" i="20" a="1"/>
  <c r="J354" i="20" s="1"/>
  <c r="J355" i="20" a="1"/>
  <c r="J355" i="20" s="1"/>
  <c r="J356" i="20" a="1"/>
  <c r="J356" i="20"/>
  <c r="J357" i="20" a="1"/>
  <c r="J357" i="20" s="1"/>
  <c r="J358" i="20" a="1"/>
  <c r="J358" i="20" s="1"/>
  <c r="J359" i="20" a="1"/>
  <c r="J359" i="20" s="1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 s="1"/>
  <c r="J365" i="20" a="1"/>
  <c r="J365" i="20" s="1"/>
  <c r="J366" i="20" a="1"/>
  <c r="J366" i="20"/>
  <c r="J367" i="20" a="1"/>
  <c r="J367" i="20" s="1"/>
  <c r="J368" i="20" a="1"/>
  <c r="J368" i="20"/>
  <c r="J369" i="20" a="1"/>
  <c r="J369" i="20" s="1"/>
  <c r="J370" i="20" a="1"/>
  <c r="J370" i="20" s="1"/>
  <c r="J371" i="20" a="1"/>
  <c r="J371" i="20" s="1"/>
  <c r="J372" i="20" a="1"/>
  <c r="J372" i="20"/>
  <c r="J373" i="20" a="1"/>
  <c r="J373" i="20" s="1"/>
  <c r="J374" i="20" a="1"/>
  <c r="J374" i="20" s="1"/>
  <c r="J375" i="20" a="1"/>
  <c r="J375" i="20" s="1"/>
  <c r="J376" i="20" a="1"/>
  <c r="J376" i="20"/>
  <c r="J377" i="20" a="1"/>
  <c r="J377" i="20" s="1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/>
  <c r="J385" i="20" a="1"/>
  <c r="J385" i="20" s="1"/>
  <c r="J386" i="20" a="1"/>
  <c r="J386" i="20"/>
  <c r="J387" i="20" a="1"/>
  <c r="J387" i="20" s="1"/>
  <c r="J388" i="20" a="1"/>
  <c r="J388" i="20"/>
  <c r="J389" i="20" a="1"/>
  <c r="J389" i="20" s="1"/>
  <c r="J390" i="20" a="1"/>
  <c r="J390" i="20"/>
  <c r="J391" i="20" a="1"/>
  <c r="J391" i="20" s="1"/>
  <c r="J392" i="20" a="1"/>
  <c r="J392" i="20"/>
  <c r="J393" i="20" a="1"/>
  <c r="J393" i="20" s="1"/>
  <c r="J394" i="20" a="1"/>
  <c r="J394" i="20"/>
  <c r="J395" i="20" a="1"/>
  <c r="J395" i="20" s="1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/>
  <c r="J401" i="20" a="1"/>
  <c r="J401" i="20" s="1"/>
  <c r="J402" i="20" a="1"/>
  <c r="J402" i="20"/>
  <c r="J403" i="20" a="1"/>
  <c r="J403" i="20" s="1"/>
  <c r="J404" i="20" a="1"/>
  <c r="J404" i="20" s="1"/>
  <c r="J405" i="20" a="1"/>
  <c r="J405" i="20" s="1"/>
  <c r="J406" i="20" a="1"/>
  <c r="J406" i="20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/>
  <c r="J413" i="20" a="1"/>
  <c r="J413" i="20"/>
  <c r="J414" i="20" a="1"/>
  <c r="J414" i="20"/>
  <c r="J415" i="20" a="1"/>
  <c r="J415" i="20"/>
  <c r="J416" i="20" a="1"/>
  <c r="J416" i="20"/>
  <c r="J417" i="20" a="1"/>
  <c r="J417" i="20"/>
  <c r="J418" i="20" a="1"/>
  <c r="J418" i="20" s="1"/>
  <c r="J419" i="20" a="1"/>
  <c r="J419" i="20" s="1"/>
  <c r="J420" i="20" a="1"/>
  <c r="J420" i="20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 s="1"/>
  <c r="J426" i="20" a="1"/>
  <c r="J426" i="20" s="1"/>
  <c r="J427" i="20" a="1"/>
  <c r="J427" i="20" s="1"/>
  <c r="J428" i="20" a="1"/>
  <c r="J428" i="20" s="1"/>
  <c r="J429" i="20" a="1"/>
  <c r="J429" i="20" s="1"/>
  <c r="J430" i="20" a="1"/>
  <c r="J430" i="20" s="1"/>
  <c r="J431" i="20" a="1"/>
  <c r="J431" i="20"/>
  <c r="J432" i="20" a="1"/>
  <c r="J432" i="20" s="1"/>
  <c r="J433" i="20" a="1"/>
  <c r="J433" i="20"/>
  <c r="J434" i="20" a="1"/>
  <c r="J434" i="20" s="1"/>
  <c r="J435" i="20" a="1"/>
  <c r="J435" i="20" s="1"/>
  <c r="J436" i="20" a="1"/>
  <c r="J436" i="20" s="1"/>
  <c r="J437" i="20" a="1"/>
  <c r="J437" i="20" s="1"/>
  <c r="J438" i="20" a="1"/>
  <c r="J438" i="20" s="1"/>
  <c r="J439" i="20" a="1"/>
  <c r="J439" i="20"/>
  <c r="J440" i="20" a="1"/>
  <c r="J440" i="20" s="1"/>
  <c r="J441" i="20" a="1"/>
  <c r="J441" i="20" s="1"/>
  <c r="J442" i="20" a="1"/>
  <c r="J442" i="20"/>
  <c r="J443" i="20" a="1"/>
  <c r="J443" i="20" s="1"/>
  <c r="J444" i="20" a="1"/>
  <c r="J444" i="20"/>
  <c r="J445" i="20" a="1"/>
  <c r="J445" i="20" s="1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/>
  <c r="J451" i="20" a="1"/>
  <c r="J451" i="20" s="1"/>
  <c r="J452" i="20" a="1"/>
  <c r="J452" i="20" s="1"/>
  <c r="J453" i="20" a="1"/>
  <c r="J453" i="20" s="1"/>
  <c r="J454" i="20" a="1"/>
  <c r="J454" i="20" s="1"/>
  <c r="J455" i="20" a="1"/>
  <c r="J455" i="20" s="1"/>
  <c r="J456" i="20" a="1"/>
  <c r="J456" i="20"/>
  <c r="J457" i="20" a="1"/>
  <c r="J457" i="20" s="1"/>
  <c r="J458" i="20" a="1"/>
  <c r="J458" i="20" s="1"/>
  <c r="J459" i="20" a="1"/>
  <c r="J459" i="20" s="1"/>
  <c r="J460" i="20" a="1"/>
  <c r="J460" i="20" s="1"/>
  <c r="J461" i="20" a="1"/>
  <c r="J461" i="20" s="1"/>
  <c r="J462" i="20" a="1"/>
  <c r="J462" i="20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/>
  <c r="J469" i="20" a="1"/>
  <c r="J469" i="20" s="1"/>
  <c r="J470" i="20" a="1"/>
  <c r="J470" i="20"/>
  <c r="J471" i="20" a="1"/>
  <c r="J471" i="20" s="1"/>
  <c r="J472" i="20" a="1"/>
  <c r="J472" i="20" s="1"/>
  <c r="J473" i="20" a="1"/>
  <c r="J473" i="20" s="1"/>
  <c r="J474" i="20" a="1"/>
  <c r="J474" i="20"/>
  <c r="J475" i="20" a="1"/>
  <c r="J475" i="20" s="1"/>
  <c r="J476" i="20" a="1"/>
  <c r="J476" i="20" s="1"/>
  <c r="J477" i="20" a="1"/>
  <c r="J477" i="20"/>
  <c r="J478" i="20" a="1"/>
  <c r="J478" i="20"/>
  <c r="J479" i="20" a="1"/>
  <c r="J479" i="20"/>
  <c r="J480" i="20" a="1"/>
  <c r="J480" i="20"/>
  <c r="J481" i="20" a="1"/>
  <c r="J481" i="20"/>
  <c r="J482" i="20" a="1"/>
  <c r="J482" i="20"/>
  <c r="J483" i="20" a="1"/>
  <c r="J483" i="20"/>
  <c r="J484" i="20" a="1"/>
  <c r="J484" i="20"/>
  <c r="J485" i="20" a="1"/>
  <c r="J485" i="20"/>
  <c r="J486" i="20" a="1"/>
  <c r="J486" i="20"/>
  <c r="J487" i="20" a="1"/>
  <c r="J487" i="20"/>
  <c r="J488" i="20" a="1"/>
  <c r="J488" i="20" s="1"/>
  <c r="J489" i="20" a="1"/>
  <c r="J489" i="20" s="1"/>
  <c r="J490" i="20" a="1"/>
  <c r="J490" i="20"/>
  <c r="J491" i="20" a="1"/>
  <c r="J491" i="20" s="1"/>
  <c r="J492" i="20" a="1"/>
  <c r="J492" i="20"/>
  <c r="J493" i="20" a="1"/>
  <c r="J493" i="20" s="1"/>
  <c r="J494" i="20" a="1"/>
  <c r="J494" i="20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/>
  <c r="J503" i="20" a="1"/>
  <c r="J503" i="20" s="1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 s="1"/>
  <c r="J516" i="20" a="1"/>
  <c r="J516" i="20"/>
  <c r="J517" i="20" a="1"/>
  <c r="J517" i="20" s="1"/>
  <c r="J518" i="20" a="1"/>
  <c r="J518" i="20" s="1"/>
  <c r="J519" i="20" a="1"/>
  <c r="J519" i="20" s="1"/>
  <c r="J520" i="20" a="1"/>
  <c r="J520" i="20" s="1"/>
  <c r="J521" i="20" a="1"/>
  <c r="J521" i="20" s="1"/>
  <c r="J522" i="20" a="1"/>
  <c r="J522" i="20" s="1"/>
  <c r="J523" i="20" a="1"/>
  <c r="J523" i="20" s="1"/>
  <c r="J524" i="20" a="1"/>
  <c r="J524" i="20"/>
  <c r="J525" i="20" a="1"/>
  <c r="J525" i="20" s="1"/>
  <c r="J526" i="20" a="1"/>
  <c r="J526" i="20"/>
  <c r="J527" i="20" a="1"/>
  <c r="J527" i="20" s="1"/>
  <c r="J528" i="20" a="1"/>
  <c r="J528" i="20"/>
  <c r="J529" i="20" a="1"/>
  <c r="J529" i="20" s="1"/>
  <c r="J530" i="20" a="1"/>
  <c r="J530" i="20"/>
  <c r="J531" i="20" a="1"/>
  <c r="J531" i="20" s="1"/>
  <c r="J532" i="20" a="1"/>
  <c r="J532" i="20"/>
  <c r="J533" i="20" a="1"/>
  <c r="J533" i="20" s="1"/>
  <c r="J534" i="20" a="1"/>
  <c r="J534" i="20" s="1"/>
  <c r="J535" i="20" a="1"/>
  <c r="J535" i="20" s="1"/>
  <c r="J536" i="20" a="1"/>
  <c r="J536" i="20" s="1"/>
  <c r="J537" i="20" a="1"/>
  <c r="J537" i="20" s="1"/>
  <c r="J538" i="20" a="1"/>
  <c r="J538" i="20"/>
  <c r="J539" i="20" a="1"/>
  <c r="J539" i="20" s="1"/>
  <c r="J540" i="20" a="1"/>
  <c r="J540" i="20"/>
  <c r="J541" i="20" a="1"/>
  <c r="J541" i="20" s="1"/>
  <c r="J542" i="20" a="1"/>
  <c r="J542" i="20" s="1"/>
  <c r="J543" i="20" a="1"/>
  <c r="J543" i="20" s="1"/>
  <c r="J544" i="20" a="1"/>
  <c r="J544" i="20"/>
  <c r="J545" i="20" a="1"/>
  <c r="J545" i="20" s="1"/>
  <c r="J546" i="20" a="1"/>
  <c r="J546" i="20" s="1"/>
  <c r="J547" i="20" a="1"/>
  <c r="J547" i="20" s="1"/>
  <c r="J548" i="20" a="1"/>
  <c r="J548" i="20" s="1"/>
  <c r="J549" i="20" a="1"/>
  <c r="J549" i="20" s="1"/>
  <c r="J550" i="20" a="1"/>
  <c r="J550" i="20"/>
  <c r="J551" i="20" a="1"/>
  <c r="J551" i="20" s="1"/>
  <c r="J552" i="20" a="1"/>
  <c r="J552" i="20" s="1"/>
  <c r="J553" i="20" a="1"/>
  <c r="J553" i="20" s="1"/>
  <c r="J554" i="20" a="1"/>
  <c r="J554" i="20"/>
  <c r="J555" i="20" a="1"/>
  <c r="J555" i="20" s="1"/>
  <c r="J556" i="20" a="1"/>
  <c r="J556" i="20" s="1"/>
  <c r="J557" i="20" a="1"/>
  <c r="J557" i="20" s="1"/>
  <c r="J558" i="20" a="1"/>
  <c r="J558" i="20" s="1"/>
  <c r="J559" i="20" a="1"/>
  <c r="J559" i="20" s="1"/>
  <c r="J560" i="20" a="1"/>
  <c r="J560" i="20"/>
  <c r="J561" i="20" a="1"/>
  <c r="J561" i="20" s="1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/>
  <c r="J567" i="20" a="1"/>
  <c r="J567" i="20" s="1"/>
  <c r="J568" i="20" a="1"/>
  <c r="J568" i="20"/>
  <c r="J569" i="20" a="1"/>
  <c r="J569" i="20" s="1"/>
  <c r="J570" i="20" a="1"/>
  <c r="J570" i="20" s="1"/>
  <c r="J571" i="20" a="1"/>
  <c r="J571" i="20"/>
  <c r="J572" i="20" a="1"/>
  <c r="J572" i="20" s="1"/>
  <c r="J573" i="20" a="1"/>
  <c r="J573" i="20"/>
  <c r="J574" i="20" a="1"/>
  <c r="J574" i="20" s="1"/>
  <c r="J575" i="20" a="1"/>
  <c r="J575" i="20"/>
  <c r="J576" i="20" a="1"/>
  <c r="J576" i="20" s="1"/>
  <c r="J577" i="20" a="1"/>
  <c r="J577" i="20"/>
  <c r="J578" i="20" a="1"/>
  <c r="J578" i="20" s="1"/>
  <c r="J579" i="20" a="1"/>
  <c r="J579" i="20"/>
  <c r="J580" i="20" a="1"/>
  <c r="J580" i="20" s="1"/>
  <c r="J581" i="20" a="1"/>
  <c r="J581" i="20"/>
  <c r="J582" i="20" a="1"/>
  <c r="J582" i="20" s="1"/>
  <c r="J583" i="20" a="1"/>
  <c r="J583" i="20" s="1"/>
  <c r="J584" i="20" a="1"/>
  <c r="J584" i="20"/>
  <c r="J585" i="20" a="1"/>
  <c r="J585" i="20" s="1"/>
  <c r="J586" i="20" a="1"/>
  <c r="J586" i="20" s="1"/>
  <c r="J587" i="20" a="1"/>
  <c r="J587" i="20" s="1"/>
  <c r="J588" i="20" a="1"/>
  <c r="J588" i="20" s="1"/>
  <c r="J589" i="20" a="1"/>
  <c r="J589" i="20" s="1"/>
  <c r="J590" i="20" a="1"/>
  <c r="J590" i="20"/>
  <c r="J591" i="20" a="1"/>
  <c r="J591" i="20" s="1"/>
  <c r="J592" i="20" a="1"/>
  <c r="J592" i="20"/>
  <c r="J593" i="20" a="1"/>
  <c r="J593" i="20" s="1"/>
  <c r="J594" i="20" a="1"/>
  <c r="J594" i="20" s="1"/>
  <c r="J595" i="20" a="1"/>
  <c r="J595" i="20" s="1"/>
  <c r="J596" i="20" a="1"/>
  <c r="J596" i="20"/>
  <c r="J597" i="20" a="1"/>
  <c r="J597" i="20" s="1"/>
  <c r="J598" i="20" a="1"/>
  <c r="J598" i="20"/>
  <c r="J599" i="20" a="1"/>
  <c r="J599" i="20" s="1"/>
  <c r="J600" i="20" a="1"/>
  <c r="J600" i="20" s="1"/>
  <c r="J601" i="20" a="1"/>
  <c r="J601" i="20" s="1"/>
  <c r="J602" i="20" a="1"/>
  <c r="J602" i="20" s="1"/>
  <c r="J603" i="20" a="1"/>
  <c r="J603" i="20" s="1"/>
  <c r="J604" i="20" a="1"/>
  <c r="J604" i="20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 s="1"/>
  <c r="J610" i="20" a="1"/>
  <c r="J610" i="20"/>
  <c r="J611" i="20" a="1"/>
  <c r="J611" i="20" s="1"/>
  <c r="J612" i="20" a="1"/>
  <c r="J612" i="20"/>
  <c r="J613" i="20" a="1"/>
  <c r="J613" i="20" s="1"/>
  <c r="J614" i="20" a="1"/>
  <c r="J614" i="20" s="1"/>
  <c r="J615" i="20" a="1"/>
  <c r="J615" i="20" s="1"/>
  <c r="J616" i="20" a="1"/>
  <c r="J616" i="20" s="1"/>
  <c r="J617" i="20" a="1"/>
  <c r="J617" i="20" s="1"/>
  <c r="J618" i="20" a="1"/>
  <c r="J618" i="20" s="1"/>
  <c r="J619" i="20" a="1"/>
  <c r="J619" i="20" s="1"/>
  <c r="J620" i="20" a="1"/>
  <c r="J620" i="20"/>
  <c r="J621" i="20" a="1"/>
  <c r="J621" i="20" s="1"/>
  <c r="J622" i="20" a="1"/>
  <c r="J622" i="20"/>
  <c r="J623" i="20" a="1"/>
  <c r="J623" i="20" s="1"/>
  <c r="J624" i="20" a="1"/>
  <c r="J624" i="20"/>
  <c r="J625" i="20" a="1"/>
  <c r="J625" i="20" s="1"/>
  <c r="J626" i="20" a="1"/>
  <c r="J626" i="20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 s="1"/>
  <c r="J632" i="20" a="1"/>
  <c r="J632" i="20"/>
  <c r="J633" i="20" a="1"/>
  <c r="J633" i="20" s="1"/>
  <c r="J634" i="20" a="1"/>
  <c r="J634" i="20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 s="1"/>
  <c r="J644" i="20" a="1"/>
  <c r="J644" i="20" s="1"/>
  <c r="J645" i="20" a="1"/>
  <c r="J645" i="20" s="1"/>
  <c r="J646" i="20" a="1"/>
  <c r="J646" i="20"/>
  <c r="J647" i="20" a="1"/>
  <c r="J647" i="20" s="1"/>
  <c r="J648" i="20" a="1"/>
  <c r="J648" i="20"/>
  <c r="J649" i="20" a="1"/>
  <c r="J649" i="20" s="1"/>
  <c r="J650" i="20" a="1"/>
  <c r="J650" i="20" s="1"/>
  <c r="J651" i="20" a="1"/>
  <c r="J651" i="20" s="1"/>
  <c r="J652" i="20" a="1"/>
  <c r="J652" i="20" s="1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 s="1"/>
  <c r="J658" i="20" a="1"/>
  <c r="J658" i="20" s="1"/>
  <c r="J659" i="20" a="1"/>
  <c r="J659" i="20" s="1"/>
  <c r="J660" i="20" a="1"/>
  <c r="J660" i="20"/>
  <c r="J661" i="20" a="1"/>
  <c r="J661" i="20" s="1"/>
  <c r="J662" i="20" a="1"/>
  <c r="J662" i="20"/>
  <c r="J663" i="20" a="1"/>
  <c r="J663" i="20" s="1"/>
  <c r="J664" i="20" a="1"/>
  <c r="J664" i="20" s="1"/>
  <c r="J665" i="20" a="1"/>
  <c r="J665" i="20" s="1"/>
  <c r="J666" i="20" a="1"/>
  <c r="J666" i="20" s="1"/>
  <c r="J667" i="20" a="1"/>
  <c r="J667" i="20" s="1"/>
  <c r="J668" i="20" a="1"/>
  <c r="J668" i="20"/>
  <c r="J669" i="20" a="1"/>
  <c r="J669" i="20" s="1"/>
  <c r="J670" i="20" a="1"/>
  <c r="J670" i="20"/>
  <c r="J671" i="20" a="1"/>
  <c r="J671" i="20" s="1"/>
  <c r="J672" i="20" a="1"/>
  <c r="J672" i="20"/>
  <c r="J673" i="20" a="1"/>
  <c r="J673" i="20" s="1"/>
  <c r="J674" i="20" a="1"/>
  <c r="J674" i="20"/>
  <c r="J675" i="20" a="1"/>
  <c r="J675" i="20" s="1"/>
  <c r="J676" i="20" a="1"/>
  <c r="J676" i="20" s="1"/>
  <c r="J677" i="20" a="1"/>
  <c r="J677" i="20" s="1"/>
  <c r="J678" i="20" a="1"/>
  <c r="J678" i="20" s="1"/>
  <c r="J679" i="20" a="1"/>
  <c r="J679" i="20" s="1"/>
  <c r="J680" i="20" a="1"/>
  <c r="J680" i="20" s="1"/>
  <c r="J681" i="20" a="1"/>
  <c r="J681" i="20" s="1"/>
  <c r="J682" i="20" a="1"/>
  <c r="J682" i="20"/>
  <c r="J683" i="20" a="1"/>
  <c r="J683" i="20" s="1"/>
  <c r="J684" i="20" a="1"/>
  <c r="J684" i="20"/>
  <c r="J685" i="20" a="1"/>
  <c r="J685" i="20" s="1"/>
  <c r="J686" i="20" a="1"/>
  <c r="J686" i="20" s="1"/>
  <c r="J687" i="20" a="1"/>
  <c r="J687" i="20" s="1"/>
  <c r="J688" i="20" a="1"/>
  <c r="J688" i="20" s="1"/>
  <c r="J689" i="20" a="1"/>
  <c r="J689" i="20" s="1"/>
  <c r="J690" i="20" a="1"/>
  <c r="J690" i="20"/>
  <c r="J691" i="20" a="1"/>
  <c r="J691" i="20" s="1"/>
  <c r="J692" i="20" a="1"/>
  <c r="J692" i="20" s="1"/>
  <c r="J693" i="20" a="1"/>
  <c r="J693" i="20" s="1"/>
  <c r="J694" i="20" a="1"/>
  <c r="J694" i="20" s="1"/>
  <c r="J695" i="20" a="1"/>
  <c r="J695" i="20" s="1"/>
  <c r="J696" i="20" a="1"/>
  <c r="J696" i="20"/>
  <c r="J697" i="20" a="1"/>
  <c r="J697" i="20" s="1"/>
  <c r="J698" i="20" a="1"/>
  <c r="J698" i="20"/>
  <c r="J699" i="20" a="1"/>
  <c r="J699" i="20" s="1"/>
  <c r="J700" i="20" a="1"/>
  <c r="J700" i="20" s="1"/>
  <c r="J701" i="20" a="1"/>
  <c r="J701" i="20" s="1"/>
  <c r="J702" i="20" a="1"/>
  <c r="J702" i="20"/>
  <c r="J703" i="20" a="1"/>
  <c r="J703" i="20" s="1"/>
  <c r="J704" i="20" a="1"/>
  <c r="J704" i="20"/>
  <c r="J705" i="20" a="1"/>
  <c r="J705" i="20" s="1"/>
  <c r="J706" i="20" a="1"/>
  <c r="J706" i="20" s="1"/>
  <c r="J707" i="20" a="1"/>
  <c r="J707" i="20" s="1"/>
  <c r="J708" i="20" a="1"/>
  <c r="J708" i="20" s="1"/>
  <c r="J709" i="20" a="1"/>
  <c r="J709" i="20" s="1"/>
  <c r="J710" i="20" a="1"/>
  <c r="J710" i="20"/>
  <c r="J711" i="20" a="1"/>
  <c r="J711" i="20" s="1"/>
  <c r="J712" i="20" a="1"/>
  <c r="J712" i="20" s="1"/>
  <c r="J713" i="20" a="1"/>
  <c r="J713" i="20"/>
  <c r="J714" i="20" a="1"/>
  <c r="J714" i="20" s="1"/>
  <c r="J715" i="20" a="1"/>
  <c r="J715" i="20"/>
  <c r="J716" i="20" a="1"/>
  <c r="J716" i="20" s="1"/>
  <c r="J717" i="20" a="1"/>
  <c r="J717" i="20"/>
  <c r="J718" i="20" a="1"/>
  <c r="J718" i="20" s="1"/>
  <c r="J719" i="20" a="1"/>
  <c r="J719" i="20"/>
  <c r="J720" i="20" a="1"/>
  <c r="J720" i="20" s="1"/>
  <c r="J721" i="20" a="1"/>
  <c r="J721" i="20"/>
  <c r="J722" i="20" a="1"/>
  <c r="J722" i="20" s="1"/>
  <c r="J723" i="20" a="1"/>
  <c r="J723" i="20"/>
  <c r="J724" i="20" a="1"/>
  <c r="J724" i="20" s="1"/>
  <c r="J725" i="20" a="1"/>
  <c r="J725" i="20" s="1"/>
  <c r="J726" i="20" a="1"/>
  <c r="J726" i="20"/>
  <c r="J727" i="20" a="1"/>
  <c r="J727" i="20" s="1"/>
  <c r="J728" i="20" a="1"/>
  <c r="J728" i="20"/>
  <c r="J729" i="20" a="1"/>
  <c r="J729" i="20" s="1"/>
  <c r="J730" i="20" a="1"/>
  <c r="J730" i="20" s="1"/>
  <c r="J731" i="20" a="1"/>
  <c r="J731" i="20" s="1"/>
  <c r="J732" i="20" a="1"/>
  <c r="J732" i="20" s="1"/>
  <c r="J733" i="20" a="1"/>
  <c r="J733" i="20" s="1"/>
  <c r="J734" i="20" a="1"/>
  <c r="J734" i="20"/>
  <c r="J735" i="20" a="1"/>
  <c r="J735" i="20" s="1"/>
  <c r="J736" i="20" a="1"/>
  <c r="J736" i="20" s="1"/>
  <c r="J737" i="20" a="1"/>
  <c r="J737" i="20" s="1"/>
  <c r="J738" i="20" a="1"/>
  <c r="J738" i="20" s="1"/>
  <c r="J739" i="20" a="1"/>
  <c r="J739" i="20" s="1"/>
  <c r="J740" i="20" a="1"/>
  <c r="J740" i="20"/>
  <c r="J741" i="20" a="1"/>
  <c r="J741" i="20" s="1"/>
  <c r="J742" i="20" a="1"/>
  <c r="J742" i="20"/>
  <c r="J743" i="20" a="1"/>
  <c r="J743" i="20" s="1"/>
  <c r="J744" i="20" a="1"/>
  <c r="J744" i="20" s="1"/>
  <c r="J745" i="20" a="1"/>
  <c r="J745" i="20" s="1"/>
  <c r="J746" i="20" a="1"/>
  <c r="J746" i="20" s="1"/>
  <c r="J747" i="20" a="1"/>
  <c r="J747" i="20" s="1"/>
  <c r="J748" i="20" a="1"/>
  <c r="J748" i="20" s="1"/>
  <c r="J749" i="20" a="1"/>
  <c r="J749" i="20" s="1"/>
  <c r="J750" i="20" a="1"/>
  <c r="J750" i="20" s="1"/>
  <c r="J751" i="20" a="1"/>
  <c r="J751" i="20" s="1"/>
  <c r="J752" i="20" a="1"/>
  <c r="J752" i="20" s="1"/>
  <c r="J753" i="20" a="1"/>
  <c r="J753" i="20" s="1"/>
  <c r="J754" i="20" a="1"/>
  <c r="J754" i="20"/>
  <c r="J755" i="20" a="1"/>
  <c r="J755" i="20" s="1"/>
  <c r="J756" i="20" a="1"/>
  <c r="J756" i="20"/>
  <c r="J757" i="20" a="1"/>
  <c r="J757" i="20" s="1"/>
  <c r="J758" i="20" a="1"/>
  <c r="J758" i="20" s="1"/>
  <c r="J759" i="20" a="1"/>
  <c r="J759" i="20"/>
  <c r="J760" i="20" a="1"/>
  <c r="J760" i="20" s="1"/>
  <c r="J761" i="20" a="1"/>
  <c r="J761" i="20"/>
  <c r="J762" i="20" a="1"/>
  <c r="J762" i="20" s="1"/>
  <c r="J763" i="20" a="1"/>
  <c r="J763" i="20"/>
  <c r="J764" i="20" a="1"/>
  <c r="J764" i="20" s="1"/>
  <c r="J765" i="20" a="1"/>
  <c r="J765" i="20"/>
  <c r="J766" i="20" a="1"/>
  <c r="J766" i="20" s="1"/>
  <c r="J767" i="20" a="1"/>
  <c r="J767" i="20"/>
  <c r="J768" i="20" a="1"/>
  <c r="J768" i="20" s="1"/>
  <c r="J769" i="20" a="1"/>
  <c r="J769" i="20"/>
  <c r="J770" i="20" a="1"/>
  <c r="J770" i="20" s="1"/>
  <c r="J771" i="20" a="1"/>
  <c r="J771" i="20" s="1"/>
  <c r="J772" i="20" a="1"/>
  <c r="J772" i="20"/>
  <c r="J773" i="20" a="1"/>
  <c r="J773" i="20" s="1"/>
  <c r="J774" i="20" a="1"/>
  <c r="J774" i="20" s="1"/>
  <c r="J775" i="20" a="1"/>
  <c r="J775" i="20" s="1"/>
  <c r="J776" i="20" a="1"/>
  <c r="J776" i="20" s="1"/>
  <c r="J777" i="20" a="1"/>
  <c r="J777" i="20" s="1"/>
  <c r="J778" i="20" a="1"/>
  <c r="J778" i="20"/>
  <c r="J779" i="20" a="1"/>
  <c r="J779" i="20" s="1"/>
  <c r="J780" i="20" a="1"/>
  <c r="J780" i="20"/>
  <c r="J781" i="20" a="1"/>
  <c r="J781" i="20" s="1"/>
  <c r="J782" i="20" a="1"/>
  <c r="J782" i="20" s="1"/>
  <c r="J783" i="20" a="1"/>
  <c r="J783" i="20" s="1"/>
  <c r="J784" i="20" a="1"/>
  <c r="J784" i="20"/>
  <c r="J785" i="20" a="1"/>
  <c r="J785" i="20" s="1"/>
  <c r="J786" i="20" a="1"/>
  <c r="J786" i="20"/>
  <c r="J787" i="20" a="1"/>
  <c r="J787" i="20" s="1"/>
  <c r="J788" i="20" a="1"/>
  <c r="J788" i="20" s="1"/>
  <c r="J789" i="20" a="1"/>
  <c r="J789" i="20" s="1"/>
  <c r="J790" i="20" a="1"/>
  <c r="J790" i="20" s="1"/>
  <c r="J791" i="20" a="1"/>
  <c r="J791" i="20" s="1"/>
  <c r="J792" i="20" a="1"/>
  <c r="J792" i="20" s="1"/>
  <c r="J793" i="20" a="1"/>
  <c r="J793" i="20" s="1"/>
  <c r="J794" i="20" a="1"/>
  <c r="J794" i="20" s="1"/>
  <c r="J795" i="20" a="1"/>
  <c r="J795" i="20" s="1"/>
  <c r="J796" i="20" a="1"/>
  <c r="J796" i="20" s="1"/>
  <c r="J797" i="20" a="1"/>
  <c r="J797" i="20" s="1"/>
  <c r="J798" i="20" a="1"/>
  <c r="J798" i="20"/>
  <c r="J799" i="20" a="1"/>
  <c r="J799" i="20" s="1"/>
  <c r="J800" i="20" a="1"/>
  <c r="J800" i="20"/>
  <c r="J801" i="20" a="1"/>
  <c r="J801" i="20" s="1"/>
  <c r="J802" i="20" a="1"/>
  <c r="J802" i="20" s="1"/>
  <c r="J803" i="20" a="1"/>
  <c r="J803" i="20" s="1"/>
  <c r="J804" i="20" a="1"/>
  <c r="J804" i="20" s="1"/>
  <c r="J805" i="20" a="1"/>
  <c r="J805" i="20" s="1"/>
  <c r="J806" i="20" a="1"/>
  <c r="J806" i="20"/>
  <c r="J807" i="20" a="1"/>
  <c r="J807" i="20" s="1"/>
  <c r="J808" i="20" a="1"/>
  <c r="J808" i="20"/>
  <c r="J809" i="20" a="1"/>
  <c r="J809" i="20" s="1"/>
  <c r="J810" i="20" a="1"/>
  <c r="J810" i="20"/>
  <c r="J811" i="20" a="1"/>
  <c r="J811" i="20" s="1"/>
  <c r="J812" i="20" a="1"/>
  <c r="J812" i="20"/>
  <c r="J813" i="20" a="1"/>
  <c r="J813" i="20" s="1"/>
  <c r="J814" i="20" a="1"/>
  <c r="J814" i="20"/>
  <c r="J815" i="20" a="1"/>
  <c r="J815" i="20" s="1"/>
  <c r="J816" i="20" a="1"/>
  <c r="J816" i="20" s="1"/>
  <c r="J817" i="20" a="1"/>
  <c r="J817" i="20" s="1"/>
  <c r="J818" i="20" a="1"/>
  <c r="J818" i="20" s="1"/>
  <c r="J819" i="20" a="1"/>
  <c r="J819" i="20" s="1"/>
  <c r="J820" i="20" a="1"/>
  <c r="J820" i="20" s="1"/>
  <c r="J821" i="20" a="1"/>
  <c r="J821" i="20" s="1"/>
  <c r="J822" i="20" a="1"/>
  <c r="J822" i="20"/>
  <c r="J823" i="20" a="1"/>
  <c r="J823" i="20" s="1"/>
  <c r="J824" i="20" a="1"/>
  <c r="J824" i="20"/>
  <c r="J825" i="20" a="1"/>
  <c r="J825" i="20" s="1"/>
  <c r="J826" i="20" a="1"/>
  <c r="J826" i="20" s="1"/>
  <c r="J827" i="20" a="1"/>
  <c r="J827" i="20"/>
  <c r="J828" i="20" a="1"/>
  <c r="J828" i="20" s="1"/>
  <c r="J829" i="20" a="1"/>
  <c r="J829" i="20" s="1"/>
  <c r="J830" i="20" a="1"/>
  <c r="J830" i="20"/>
  <c r="J831" i="20" a="1"/>
  <c r="J831" i="20" s="1"/>
  <c r="J832" i="20" a="1"/>
  <c r="J832" i="20"/>
  <c r="J833" i="20" a="1"/>
  <c r="J833" i="20" s="1"/>
  <c r="J834" i="20" a="1"/>
  <c r="J834" i="20" s="1"/>
  <c r="J835" i="20" a="1"/>
  <c r="J835" i="20" s="1"/>
  <c r="J836" i="20" a="1"/>
  <c r="J836" i="20" s="1"/>
  <c r="J837" i="20" a="1"/>
  <c r="J837" i="20" s="1"/>
  <c r="J838" i="20" a="1"/>
  <c r="J838" i="20"/>
  <c r="J839" i="20" a="1"/>
  <c r="J839" i="20" s="1"/>
  <c r="J840" i="20" a="1"/>
  <c r="J840" i="20" s="1"/>
  <c r="J841" i="20" a="1"/>
  <c r="J841" i="20" s="1"/>
  <c r="J842" i="20" a="1"/>
  <c r="J842" i="20" s="1"/>
  <c r="J843" i="20" a="1"/>
  <c r="J843" i="20" s="1"/>
  <c r="J844" i="20" a="1"/>
  <c r="J844" i="20"/>
  <c r="J845" i="20" a="1"/>
  <c r="J845" i="20" s="1"/>
  <c r="J846" i="20" a="1"/>
  <c r="J846" i="20"/>
  <c r="J847" i="20" a="1"/>
  <c r="J847" i="20" s="1"/>
  <c r="J848" i="20" a="1"/>
  <c r="J848" i="20" s="1"/>
  <c r="J849" i="20" a="1"/>
  <c r="J849" i="20" s="1"/>
  <c r="J850" i="20" a="1"/>
  <c r="J850" i="20" s="1"/>
  <c r="J851" i="20" a="1"/>
  <c r="J851" i="20" s="1"/>
  <c r="J852" i="20" a="1"/>
  <c r="J852" i="20"/>
  <c r="J853" i="20" a="1"/>
  <c r="J853" i="20" s="1"/>
  <c r="J854" i="20" a="1"/>
  <c r="J854" i="20"/>
  <c r="J855" i="20" a="1"/>
  <c r="J855" i="20" s="1"/>
  <c r="J856" i="20" a="1"/>
  <c r="J856" i="20"/>
  <c r="J857" i="20" a="1"/>
  <c r="J857" i="20" s="1"/>
  <c r="J858" i="20" a="1"/>
  <c r="J858" i="20"/>
  <c r="J859" i="20" a="1"/>
  <c r="J859" i="20" s="1"/>
  <c r="J860" i="20" a="1"/>
  <c r="J860" i="20"/>
  <c r="J861" i="20" a="1"/>
  <c r="J861" i="20" s="1"/>
  <c r="K29" i="20" a="1"/>
  <c r="K29" i="20" s="1"/>
  <c r="K45" i="20" a="1"/>
  <c r="K45" i="20" s="1"/>
  <c r="K61" i="20" a="1"/>
  <c r="K61" i="20" s="1"/>
  <c r="K77" i="20" a="1"/>
  <c r="K77" i="20" s="1"/>
  <c r="K87" i="20" a="1"/>
  <c r="K87" i="20" s="1"/>
  <c r="K91" i="20" a="1"/>
  <c r="K91" i="20" s="1"/>
  <c r="K94" i="20" a="1"/>
  <c r="K94" i="20" s="1"/>
  <c r="K98" i="20" a="1"/>
  <c r="K98" i="20" s="1"/>
  <c r="K104" i="20" a="1"/>
  <c r="K104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3" i="20" a="1"/>
  <c r="K113" i="20" s="1"/>
  <c r="K114" i="20" a="1"/>
  <c r="K114" i="20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/>
  <c r="K123" i="20" a="1"/>
  <c r="K123" i="20" s="1"/>
  <c r="K124" i="20" a="1"/>
  <c r="K124" i="20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/>
  <c r="K139" i="20" a="1"/>
  <c r="K139" i="20" s="1"/>
  <c r="K140" i="20" a="1"/>
  <c r="K140" i="20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/>
  <c r="K155" i="20" a="1"/>
  <c r="K155" i="20" s="1"/>
  <c r="K156" i="20" a="1"/>
  <c r="K156" i="20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/>
  <c r="K171" i="20" a="1"/>
  <c r="K171" i="20" s="1"/>
  <c r="K172" i="20" a="1"/>
  <c r="K172" i="20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/>
  <c r="K187" i="20" a="1"/>
  <c r="K187" i="20" s="1"/>
  <c r="K188" i="20" a="1"/>
  <c r="K188" i="20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/>
  <c r="K203" i="20" a="1"/>
  <c r="K203" i="20" s="1"/>
  <c r="K204" i="20" a="1"/>
  <c r="K204" i="20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/>
  <c r="K219" i="20" a="1"/>
  <c r="K219" i="20" s="1"/>
  <c r="K220" i="20" a="1"/>
  <c r="K220" i="20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/>
  <c r="K235" i="20" a="1"/>
  <c r="K235" i="20" s="1"/>
  <c r="K236" i="20" a="1"/>
  <c r="K236" i="20"/>
  <c r="K237" i="20" a="1"/>
  <c r="K237" i="20" s="1"/>
  <c r="K238" i="20" a="1"/>
  <c r="K238" i="20"/>
  <c r="K239" i="20" a="1"/>
  <c r="K239" i="20" s="1"/>
  <c r="K240" i="20" a="1"/>
  <c r="K240" i="20" s="1"/>
  <c r="K241" i="20" a="1"/>
  <c r="K241" i="20" s="1"/>
  <c r="K242" i="20" a="1"/>
  <c r="K242" i="20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/>
  <c r="K281" i="20" a="1"/>
  <c r="K281" i="20" s="1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/>
  <c r="K305" i="20" a="1"/>
  <c r="K305" i="20" s="1"/>
  <c r="K306" i="20" a="1"/>
  <c r="K306" i="20" s="1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/>
  <c r="K313" i="20" a="1"/>
  <c r="K313" i="20" s="1"/>
  <c r="K314" i="20" a="1"/>
  <c r="K314" i="20" s="1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/>
  <c r="K321" i="20" a="1"/>
  <c r="K321" i="20" s="1"/>
  <c r="K322" i="20" a="1"/>
  <c r="K322" i="20" s="1"/>
  <c r="K323" i="20" a="1"/>
  <c r="K323" i="20" s="1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/>
  <c r="K337" i="20" a="1"/>
  <c r="K337" i="20" s="1"/>
  <c r="K338" i="20" a="1"/>
  <c r="K338" i="20" s="1"/>
  <c r="K339" i="20" a="1"/>
  <c r="K339" i="20" s="1"/>
  <c r="K340" i="20" a="1"/>
  <c r="K340" i="20" s="1"/>
  <c r="K341" i="20" a="1"/>
  <c r="K341" i="20" s="1"/>
  <c r="K342" i="20" a="1"/>
  <c r="K342" i="20" s="1"/>
  <c r="K343" i="20" a="1"/>
  <c r="K343" i="20" s="1"/>
  <c r="K344" i="20" a="1"/>
  <c r="K344" i="20"/>
  <c r="K345" i="20" a="1"/>
  <c r="K345" i="20" s="1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 s="1"/>
  <c r="K351" i="20" a="1"/>
  <c r="K351" i="20" s="1"/>
  <c r="K352" i="20" a="1"/>
  <c r="K352" i="20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 s="1"/>
  <c r="K364" i="20" a="1"/>
  <c r="K364" i="20" s="1"/>
  <c r="K365" i="20" a="1"/>
  <c r="K365" i="20" s="1"/>
  <c r="K366" i="20" a="1"/>
  <c r="K366" i="20" s="1"/>
  <c r="K367" i="20" a="1"/>
  <c r="K367" i="20" s="1"/>
  <c r="K368" i="20" a="1"/>
  <c r="K368" i="20"/>
  <c r="K369" i="20" a="1"/>
  <c r="K369" i="20" s="1"/>
  <c r="K370" i="20" a="1"/>
  <c r="K370" i="20" s="1"/>
  <c r="K371" i="20" a="1"/>
  <c r="K371" i="20" s="1"/>
  <c r="K372" i="20" a="1"/>
  <c r="K372" i="20" s="1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 s="1"/>
  <c r="K378" i="20" a="1"/>
  <c r="K378" i="20" s="1"/>
  <c r="K379" i="20" a="1"/>
  <c r="K379" i="20" s="1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/>
  <c r="K385" i="20" a="1"/>
  <c r="K385" i="20" s="1"/>
  <c r="K386" i="20" a="1"/>
  <c r="K386" i="20" s="1"/>
  <c r="K387" i="20" a="1"/>
  <c r="K387" i="20" s="1"/>
  <c r="K388" i="20" a="1"/>
  <c r="K388" i="20" s="1"/>
  <c r="K389" i="20" a="1"/>
  <c r="K389" i="20" s="1"/>
  <c r="K390" i="20" a="1"/>
  <c r="K390" i="20" s="1"/>
  <c r="K391" i="20" a="1"/>
  <c r="K391" i="20" s="1"/>
  <c r="K392" i="20" a="1"/>
  <c r="K392" i="20" s="1"/>
  <c r="K393" i="20" a="1"/>
  <c r="K393" i="20" s="1"/>
  <c r="K394" i="20" a="1"/>
  <c r="K394" i="20" s="1"/>
  <c r="K395" i="20" a="1"/>
  <c r="K395" i="20" s="1"/>
  <c r="K396" i="20" a="1"/>
  <c r="K396" i="20" s="1"/>
  <c r="K397" i="20" a="1"/>
  <c r="K397" i="20" s="1"/>
  <c r="K398" i="20" a="1"/>
  <c r="K398" i="20" s="1"/>
  <c r="K399" i="20" a="1"/>
  <c r="K399" i="20" s="1"/>
  <c r="K400" i="20" a="1"/>
  <c r="K400" i="20"/>
  <c r="K401" i="20" a="1"/>
  <c r="K401" i="20" s="1"/>
  <c r="K402" i="20" a="1"/>
  <c r="K402" i="20" s="1"/>
  <c r="K403" i="20" a="1"/>
  <c r="K403" i="20" s="1"/>
  <c r="K404" i="20" a="1"/>
  <c r="K404" i="20" s="1"/>
  <c r="K405" i="20" a="1"/>
  <c r="K405" i="20" s="1"/>
  <c r="K406" i="20" a="1"/>
  <c r="K406" i="20" s="1"/>
  <c r="K407" i="20" a="1"/>
  <c r="K407" i="20" s="1"/>
  <c r="K408" i="20" a="1"/>
  <c r="K408" i="20" s="1"/>
  <c r="K409" i="20" a="1"/>
  <c r="K409" i="20" s="1"/>
  <c r="K410" i="20" a="1"/>
  <c r="K410" i="20" s="1"/>
  <c r="K411" i="20" a="1"/>
  <c r="K411" i="20" s="1"/>
  <c r="K412" i="20" a="1"/>
  <c r="K412" i="20" s="1"/>
  <c r="K413" i="20" a="1"/>
  <c r="K413" i="20" s="1"/>
  <c r="K414" i="20" a="1"/>
  <c r="K414" i="20" s="1"/>
  <c r="K415" i="20" a="1"/>
  <c r="K415" i="20" s="1"/>
  <c r="K416" i="20" a="1"/>
  <c r="K416" i="20"/>
  <c r="K417" i="20" a="1"/>
  <c r="K417" i="20" s="1"/>
  <c r="K418" i="20" a="1"/>
  <c r="K418" i="20" s="1"/>
  <c r="K419" i="20" a="1"/>
  <c r="K419" i="20" s="1"/>
  <c r="K420" i="20" a="1"/>
  <c r="K420" i="20" s="1"/>
  <c r="K421" i="20" a="1"/>
  <c r="K421" i="20" s="1"/>
  <c r="K422" i="20" a="1"/>
  <c r="K422" i="20" s="1"/>
  <c r="K423" i="20" a="1"/>
  <c r="K423" i="20" s="1"/>
  <c r="K424" i="20" a="1"/>
  <c r="K424" i="20" s="1"/>
  <c r="K425" i="20" a="1"/>
  <c r="K425" i="20" s="1"/>
  <c r="K426" i="20" a="1"/>
  <c r="K426" i="20" s="1"/>
  <c r="K427" i="20" a="1"/>
  <c r="K427" i="20" s="1"/>
  <c r="K428" i="20" a="1"/>
  <c r="K428" i="20" s="1"/>
  <c r="K429" i="20" a="1"/>
  <c r="K429" i="20" s="1"/>
  <c r="K430" i="20" a="1"/>
  <c r="K430" i="20" s="1"/>
  <c r="K431" i="20" a="1"/>
  <c r="K431" i="20" s="1"/>
  <c r="K432" i="20" a="1"/>
  <c r="K432" i="20"/>
  <c r="K433" i="20" a="1"/>
  <c r="K433" i="20" s="1"/>
  <c r="K434" i="20" a="1"/>
  <c r="K434" i="20" s="1"/>
  <c r="K435" i="20" a="1"/>
  <c r="K435" i="20" s="1"/>
  <c r="K436" i="20" a="1"/>
  <c r="K436" i="20" s="1"/>
  <c r="K437" i="20" a="1"/>
  <c r="K437" i="20" s="1"/>
  <c r="K438" i="20" a="1"/>
  <c r="K438" i="20" s="1"/>
  <c r="K439" i="20" a="1"/>
  <c r="K439" i="20" s="1"/>
  <c r="K440" i="20" a="1"/>
  <c r="K440" i="20" s="1"/>
  <c r="K441" i="20" a="1"/>
  <c r="K441" i="20" s="1"/>
  <c r="K442" i="20" a="1"/>
  <c r="K442" i="20" s="1"/>
  <c r="K443" i="20" a="1"/>
  <c r="K443" i="20" s="1"/>
  <c r="K444" i="20" a="1"/>
  <c r="K444" i="20" s="1"/>
  <c r="K445" i="20" a="1"/>
  <c r="K445" i="20" s="1"/>
  <c r="K446" i="20" a="1"/>
  <c r="K446" i="20" s="1"/>
  <c r="K447" i="20" a="1"/>
  <c r="K447" i="20" s="1"/>
  <c r="K448" i="20" a="1"/>
  <c r="K448" i="20"/>
  <c r="K449" i="20" a="1"/>
  <c r="K449" i="20" s="1"/>
  <c r="K450" i="20" a="1"/>
  <c r="K450" i="20" s="1"/>
  <c r="K451" i="20" a="1"/>
  <c r="K451" i="20" s="1"/>
  <c r="K452" i="20" a="1"/>
  <c r="K452" i="20" s="1"/>
  <c r="K453" i="20" a="1"/>
  <c r="K453" i="20" s="1"/>
  <c r="K454" i="20" a="1"/>
  <c r="K454" i="20" s="1"/>
  <c r="K455" i="20" a="1"/>
  <c r="K455" i="20" s="1"/>
  <c r="K456" i="20" a="1"/>
  <c r="K456" i="20"/>
  <c r="K457" i="20" a="1"/>
  <c r="K457" i="20" s="1"/>
  <c r="K458" i="20" a="1"/>
  <c r="K458" i="20" s="1"/>
  <c r="K459" i="20" a="1"/>
  <c r="K459" i="20" s="1"/>
  <c r="K460" i="20" a="1"/>
  <c r="K460" i="20" s="1"/>
  <c r="K461" i="20" a="1"/>
  <c r="K461" i="20" s="1"/>
  <c r="K462" i="20" a="1"/>
  <c r="K462" i="20" s="1"/>
  <c r="K463" i="20" a="1"/>
  <c r="K463" i="20" s="1"/>
  <c r="K464" i="20" a="1"/>
  <c r="K464" i="20"/>
  <c r="K465" i="20" a="1"/>
  <c r="K465" i="20" s="1"/>
  <c r="K466" i="20" a="1"/>
  <c r="K466" i="20" s="1"/>
  <c r="K467" i="20" a="1"/>
  <c r="K467" i="20" s="1"/>
  <c r="K468" i="20" a="1"/>
  <c r="K468" i="20" s="1"/>
  <c r="K469" i="20" a="1"/>
  <c r="K469" i="20" s="1"/>
  <c r="K470" i="20" a="1"/>
  <c r="K470" i="20" s="1"/>
  <c r="K471" i="20" a="1"/>
  <c r="K471" i="20" s="1"/>
  <c r="K472" i="20" a="1"/>
  <c r="K472" i="20"/>
  <c r="K473" i="20" a="1"/>
  <c r="K473" i="20" s="1"/>
  <c r="K474" i="20" a="1"/>
  <c r="K474" i="20" s="1"/>
  <c r="K475" i="20" a="1"/>
  <c r="K475" i="20" s="1"/>
  <c r="K476" i="20" a="1"/>
  <c r="K476" i="20" s="1"/>
  <c r="K477" i="20" a="1"/>
  <c r="K477" i="20" s="1"/>
  <c r="K478" i="20" a="1"/>
  <c r="K478" i="20" s="1"/>
  <c r="K479" i="20" a="1"/>
  <c r="K479" i="20" s="1"/>
  <c r="K480" i="20" a="1"/>
  <c r="K480" i="20"/>
  <c r="K481" i="20" a="1"/>
  <c r="K481" i="20" s="1"/>
  <c r="K482" i="20" a="1"/>
  <c r="K482" i="20" s="1"/>
  <c r="K483" i="20" a="1"/>
  <c r="K483" i="20" s="1"/>
  <c r="K484" i="20" a="1"/>
  <c r="K484" i="20" s="1"/>
  <c r="K485" i="20" a="1"/>
  <c r="K485" i="20" s="1"/>
  <c r="K486" i="20" a="1"/>
  <c r="K486" i="20" s="1"/>
  <c r="K487" i="20" a="1"/>
  <c r="K487" i="20" s="1"/>
  <c r="K488" i="20" a="1"/>
  <c r="K488" i="20" s="1"/>
  <c r="K489" i="20" a="1"/>
  <c r="K489" i="20" s="1"/>
  <c r="K490" i="20" a="1"/>
  <c r="K490" i="20" s="1"/>
  <c r="K491" i="20" a="1"/>
  <c r="K491" i="20" s="1"/>
  <c r="K492" i="20" a="1"/>
  <c r="K492" i="20" s="1"/>
  <c r="K493" i="20" a="1"/>
  <c r="K493" i="20" s="1"/>
  <c r="K494" i="20" a="1"/>
  <c r="K494" i="20" s="1"/>
  <c r="K495" i="20" a="1"/>
  <c r="K495" i="20" s="1"/>
  <c r="K496" i="20" a="1"/>
  <c r="K496" i="20"/>
  <c r="K497" i="20" a="1"/>
  <c r="K497" i="20" s="1"/>
  <c r="K498" i="20" a="1"/>
  <c r="K498" i="20" s="1"/>
  <c r="K499" i="20" a="1"/>
  <c r="K499" i="20" s="1"/>
  <c r="K500" i="20" a="1"/>
  <c r="K500" i="20" s="1"/>
  <c r="K501" i="20" a="1"/>
  <c r="K501" i="20" s="1"/>
  <c r="K502" i="20" a="1"/>
  <c r="K502" i="20" s="1"/>
  <c r="K503" i="20" a="1"/>
  <c r="K503" i="20" s="1"/>
  <c r="K504" i="20" a="1"/>
  <c r="K504" i="20"/>
  <c r="K505" i="20" a="1"/>
  <c r="K505" i="20" s="1"/>
  <c r="K506" i="20" a="1"/>
  <c r="K506" i="20" s="1"/>
  <c r="K507" i="20" a="1"/>
  <c r="K507" i="20" s="1"/>
  <c r="K508" i="20" a="1"/>
  <c r="K508" i="20" s="1"/>
  <c r="K509" i="20" a="1"/>
  <c r="K509" i="20" s="1"/>
  <c r="K510" i="20" a="1"/>
  <c r="K510" i="20" s="1"/>
  <c r="K511" i="20" a="1"/>
  <c r="K511" i="20" s="1"/>
  <c r="K512" i="20" a="1"/>
  <c r="K512" i="20"/>
  <c r="K513" i="20" a="1"/>
  <c r="K513" i="20" s="1"/>
  <c r="K514" i="20" a="1"/>
  <c r="K514" i="20" s="1"/>
  <c r="K515" i="20" a="1"/>
  <c r="K515" i="20" s="1"/>
  <c r="K516" i="20" a="1"/>
  <c r="K516" i="20" s="1"/>
  <c r="K517" i="20" a="1"/>
  <c r="K517" i="20" s="1"/>
  <c r="K518" i="20" a="1"/>
  <c r="K518" i="20" s="1"/>
  <c r="K519" i="20" a="1"/>
  <c r="K519" i="20" s="1"/>
  <c r="K520" i="20" a="1"/>
  <c r="K520" i="20" s="1"/>
  <c r="K521" i="20" a="1"/>
  <c r="K521" i="20" s="1"/>
  <c r="K522" i="20" a="1"/>
  <c r="K522" i="20" s="1"/>
  <c r="K523" i="20" a="1"/>
  <c r="K523" i="20" s="1"/>
  <c r="K524" i="20" a="1"/>
  <c r="K524" i="20" s="1"/>
  <c r="K525" i="20" a="1"/>
  <c r="K525" i="20" s="1"/>
  <c r="K526" i="20" a="1"/>
  <c r="K526" i="20" s="1"/>
  <c r="K527" i="20" a="1"/>
  <c r="K527" i="20" s="1"/>
  <c r="K528" i="20" a="1"/>
  <c r="K528" i="20"/>
  <c r="K529" i="20" a="1"/>
  <c r="K529" i="20" s="1"/>
  <c r="K530" i="20" a="1"/>
  <c r="K530" i="20" s="1"/>
  <c r="K531" i="20" a="1"/>
  <c r="K531" i="20" s="1"/>
  <c r="K532" i="20" a="1"/>
  <c r="K532" i="20" s="1"/>
  <c r="K533" i="20" a="1"/>
  <c r="K533" i="20" s="1"/>
  <c r="K534" i="20" a="1"/>
  <c r="K534" i="20" s="1"/>
  <c r="K535" i="20" a="1"/>
  <c r="K535" i="20" s="1"/>
  <c r="K536" i="20" a="1"/>
  <c r="K536" i="20"/>
  <c r="K537" i="20" a="1"/>
  <c r="K537" i="20" s="1"/>
  <c r="K538" i="20" a="1"/>
  <c r="K538" i="20" s="1"/>
  <c r="K539" i="20" a="1"/>
  <c r="K539" i="20" s="1"/>
  <c r="K540" i="20" a="1"/>
  <c r="K540" i="20" s="1"/>
  <c r="K541" i="20" a="1"/>
  <c r="K541" i="20" s="1"/>
  <c r="K542" i="20" a="1"/>
  <c r="K542" i="20" s="1"/>
  <c r="K543" i="20" a="1"/>
  <c r="K543" i="20" s="1"/>
  <c r="K544" i="20" a="1"/>
  <c r="K544" i="20"/>
  <c r="K545" i="20" a="1"/>
  <c r="K545" i="20" s="1"/>
  <c r="K546" i="20" a="1"/>
  <c r="K546" i="20" s="1"/>
  <c r="K547" i="20" a="1"/>
  <c r="K547" i="20" s="1"/>
  <c r="K548" i="20" a="1"/>
  <c r="K548" i="20" s="1"/>
  <c r="K549" i="20" a="1"/>
  <c r="K549" i="20" s="1"/>
  <c r="K550" i="20" a="1"/>
  <c r="K550" i="20" s="1"/>
  <c r="K551" i="20" a="1"/>
  <c r="K551" i="20" s="1"/>
  <c r="K552" i="20" a="1"/>
  <c r="K552" i="20" s="1"/>
  <c r="K553" i="20" a="1"/>
  <c r="K553" i="20" s="1"/>
  <c r="K554" i="20" a="1"/>
  <c r="K554" i="20" s="1"/>
  <c r="K555" i="20" a="1"/>
  <c r="K555" i="20" s="1"/>
  <c r="K556" i="20" a="1"/>
  <c r="K556" i="20" s="1"/>
  <c r="K557" i="20" a="1"/>
  <c r="K557" i="20" s="1"/>
  <c r="K558" i="20" a="1"/>
  <c r="K558" i="20" s="1"/>
  <c r="K559" i="20" a="1"/>
  <c r="K559" i="20" s="1"/>
  <c r="K560" i="20" a="1"/>
  <c r="K560" i="20"/>
  <c r="K561" i="20" a="1"/>
  <c r="K561" i="20" s="1"/>
  <c r="K562" i="20" a="1"/>
  <c r="K562" i="20" s="1"/>
  <c r="K563" i="20" a="1"/>
  <c r="K563" i="20" s="1"/>
  <c r="K564" i="20" a="1"/>
  <c r="K564" i="20" s="1"/>
  <c r="K565" i="20" a="1"/>
  <c r="K565" i="20" s="1"/>
  <c r="K566" i="20" a="1"/>
  <c r="K566" i="20" s="1"/>
  <c r="K567" i="20" a="1"/>
  <c r="K567" i="20" s="1"/>
  <c r="K568" i="20" a="1"/>
  <c r="K568" i="20"/>
  <c r="K569" i="20" a="1"/>
  <c r="K569" i="20" s="1"/>
  <c r="K570" i="20" a="1"/>
  <c r="K570" i="20"/>
  <c r="K571" i="20" a="1"/>
  <c r="K571" i="20" s="1"/>
  <c r="K572" i="20" a="1"/>
  <c r="K572" i="20" s="1"/>
  <c r="K573" i="20" a="1"/>
  <c r="K573" i="20" s="1"/>
  <c r="K574" i="20" a="1"/>
  <c r="K574" i="20" s="1"/>
  <c r="K575" i="20" a="1"/>
  <c r="K575" i="20" s="1"/>
  <c r="K576" i="20" a="1"/>
  <c r="K576" i="20" s="1"/>
  <c r="K577" i="20" a="1"/>
  <c r="K577" i="20" s="1"/>
  <c r="K578" i="20" a="1"/>
  <c r="K578" i="20"/>
  <c r="K579" i="20" a="1"/>
  <c r="K579" i="20" s="1"/>
  <c r="K580" i="20" a="1"/>
  <c r="K580" i="20" s="1"/>
  <c r="K581" i="20" a="1"/>
  <c r="K581" i="20" s="1"/>
  <c r="K582" i="20" a="1"/>
  <c r="K582" i="20" s="1"/>
  <c r="K583" i="20" a="1"/>
  <c r="K583" i="20" s="1"/>
  <c r="K584" i="20" a="1"/>
  <c r="K584" i="20"/>
  <c r="K585" i="20" a="1"/>
  <c r="K585" i="20" s="1"/>
  <c r="K586" i="20" a="1"/>
  <c r="K586" i="20"/>
  <c r="K587" i="20" a="1"/>
  <c r="K587" i="20" s="1"/>
  <c r="K588" i="20" a="1"/>
  <c r="K588" i="20" s="1"/>
  <c r="K589" i="20" a="1"/>
  <c r="K589" i="20" s="1"/>
  <c r="K590" i="20" a="1"/>
  <c r="K590" i="20" s="1"/>
  <c r="K591" i="20" a="1"/>
  <c r="K591" i="20" s="1"/>
  <c r="K592" i="20" a="1"/>
  <c r="K592" i="20" s="1"/>
  <c r="K593" i="20" a="1"/>
  <c r="K593" i="20" s="1"/>
  <c r="K594" i="20" a="1"/>
  <c r="K594" i="20"/>
  <c r="K595" i="20" a="1"/>
  <c r="K595" i="20" s="1"/>
  <c r="K596" i="20" a="1"/>
  <c r="K596" i="20" s="1"/>
  <c r="K597" i="20" a="1"/>
  <c r="K597" i="20" s="1"/>
  <c r="K598" i="20" a="1"/>
  <c r="K598" i="20" s="1"/>
  <c r="K599" i="20" a="1"/>
  <c r="K599" i="20" s="1"/>
  <c r="K600" i="20" a="1"/>
  <c r="K600" i="20"/>
  <c r="K601" i="20" a="1"/>
  <c r="K601" i="20" s="1"/>
  <c r="K602" i="20" a="1"/>
  <c r="K602" i="20"/>
  <c r="K603" i="20" a="1"/>
  <c r="K603" i="20" s="1"/>
  <c r="K604" i="20" a="1"/>
  <c r="K604" i="20" s="1"/>
  <c r="K605" i="20" a="1"/>
  <c r="K605" i="20" s="1"/>
  <c r="K606" i="20" a="1"/>
  <c r="K606" i="20" s="1"/>
  <c r="K607" i="20" a="1"/>
  <c r="K607" i="20" s="1"/>
  <c r="K608" i="20" a="1"/>
  <c r="K608" i="20" s="1"/>
  <c r="K609" i="20" a="1"/>
  <c r="K609" i="20" s="1"/>
  <c r="K610" i="20" a="1"/>
  <c r="K610" i="20"/>
  <c r="K611" i="20" a="1"/>
  <c r="K611" i="20" s="1"/>
  <c r="K612" i="20" a="1"/>
  <c r="K612" i="20" s="1"/>
  <c r="K613" i="20" a="1"/>
  <c r="K613" i="20" s="1"/>
  <c r="K614" i="20" a="1"/>
  <c r="K614" i="20" s="1"/>
  <c r="K615" i="20" a="1"/>
  <c r="K615" i="20" s="1"/>
  <c r="K616" i="20" a="1"/>
  <c r="K616" i="20"/>
  <c r="K617" i="20" a="1"/>
  <c r="K617" i="20" s="1"/>
  <c r="K618" i="20" a="1"/>
  <c r="K618" i="20"/>
  <c r="K619" i="20" a="1"/>
  <c r="K619" i="20" s="1"/>
  <c r="K620" i="20" a="1"/>
  <c r="K620" i="20" s="1"/>
  <c r="K621" i="20" a="1"/>
  <c r="K621" i="20" s="1"/>
  <c r="K622" i="20" a="1"/>
  <c r="K622" i="20" s="1"/>
  <c r="K623" i="20" a="1"/>
  <c r="K623" i="20" s="1"/>
  <c r="K624" i="20" a="1"/>
  <c r="K624" i="20" s="1"/>
  <c r="K625" i="20" a="1"/>
  <c r="K625" i="20" s="1"/>
  <c r="K626" i="20" a="1"/>
  <c r="K626" i="20"/>
  <c r="K627" i="20" a="1"/>
  <c r="K627" i="20" s="1"/>
  <c r="K628" i="20" a="1"/>
  <c r="K628" i="20" s="1"/>
  <c r="K629" i="20" a="1"/>
  <c r="K629" i="20" s="1"/>
  <c r="K630" i="20" a="1"/>
  <c r="K630" i="20" s="1"/>
  <c r="K631" i="20" a="1"/>
  <c r="K631" i="20" s="1"/>
  <c r="K632" i="20" a="1"/>
  <c r="K632" i="20"/>
  <c r="K633" i="20" a="1"/>
  <c r="K633" i="20" s="1"/>
  <c r="K634" i="20" a="1"/>
  <c r="K634" i="20"/>
  <c r="K635" i="20" a="1"/>
  <c r="K635" i="20" s="1"/>
  <c r="K636" i="20" a="1"/>
  <c r="K636" i="20" s="1"/>
  <c r="K637" i="20" a="1"/>
  <c r="K637" i="20" s="1"/>
  <c r="K638" i="20" a="1"/>
  <c r="K638" i="20" s="1"/>
  <c r="K639" i="20" a="1"/>
  <c r="K639" i="20" s="1"/>
  <c r="K640" i="20" a="1"/>
  <c r="K640" i="20" s="1"/>
  <c r="K641" i="20" a="1"/>
  <c r="K641" i="20" s="1"/>
  <c r="K642" i="20" a="1"/>
  <c r="K642" i="20"/>
  <c r="K643" i="20" a="1"/>
  <c r="K643" i="20" s="1"/>
  <c r="K644" i="20" a="1"/>
  <c r="K644" i="20" s="1"/>
  <c r="K645" i="20" a="1"/>
  <c r="K645" i="20" s="1"/>
  <c r="K646" i="20" a="1"/>
  <c r="K646" i="20" s="1"/>
  <c r="K647" i="20" a="1"/>
  <c r="K647" i="20" s="1"/>
  <c r="K648" i="20" a="1"/>
  <c r="K648" i="20" s="1"/>
  <c r="K649" i="20" a="1"/>
  <c r="K649" i="20" s="1"/>
  <c r="K650" i="20" a="1"/>
  <c r="K650" i="20"/>
  <c r="K651" i="20" a="1"/>
  <c r="K651" i="20" s="1"/>
  <c r="K652" i="20" a="1"/>
  <c r="K652" i="20" s="1"/>
  <c r="K653" i="20" a="1"/>
  <c r="K653" i="20" s="1"/>
  <c r="K654" i="20" a="1"/>
  <c r="K654" i="20" s="1"/>
  <c r="K655" i="20" a="1"/>
  <c r="K655" i="20" s="1"/>
  <c r="K656" i="20" a="1"/>
  <c r="K656" i="20" s="1"/>
  <c r="K657" i="20" a="1"/>
  <c r="K657" i="20" s="1"/>
  <c r="K658" i="20" a="1"/>
  <c r="K658" i="20"/>
  <c r="K659" i="20" a="1"/>
  <c r="K659" i="20" s="1"/>
  <c r="K660" i="20" a="1"/>
  <c r="K660" i="20" s="1"/>
  <c r="K661" i="20" a="1"/>
  <c r="K661" i="20" s="1"/>
  <c r="K662" i="20" a="1"/>
  <c r="K662" i="20" s="1"/>
  <c r="K663" i="20" a="1"/>
  <c r="K663" i="20" s="1"/>
  <c r="K664" i="20" a="1"/>
  <c r="K664" i="20"/>
  <c r="K665" i="20" a="1"/>
  <c r="K665" i="20" s="1"/>
  <c r="K666" i="20" a="1"/>
  <c r="K666" i="20"/>
  <c r="K667" i="20" a="1"/>
  <c r="K667" i="20" s="1"/>
  <c r="K668" i="20" a="1"/>
  <c r="K668" i="20" s="1"/>
  <c r="K669" i="20" a="1"/>
  <c r="K669" i="20" s="1"/>
  <c r="K670" i="20" a="1"/>
  <c r="K670" i="20" s="1"/>
  <c r="K671" i="20" a="1"/>
  <c r="K671" i="20" s="1"/>
  <c r="K672" i="20" a="1"/>
  <c r="K672" i="20" s="1"/>
  <c r="K673" i="20" a="1"/>
  <c r="K673" i="20" s="1"/>
  <c r="K674" i="20" a="1"/>
  <c r="K674" i="20"/>
  <c r="K675" i="20" a="1"/>
  <c r="K675" i="20" s="1"/>
  <c r="K676" i="20" a="1"/>
  <c r="K676" i="20" s="1"/>
  <c r="K677" i="20" a="1"/>
  <c r="K677" i="20" s="1"/>
  <c r="K678" i="20" a="1"/>
  <c r="K678" i="20" s="1"/>
  <c r="K679" i="20" a="1"/>
  <c r="K679" i="20" s="1"/>
  <c r="K680" i="20" a="1"/>
  <c r="K680" i="20"/>
  <c r="K681" i="20" a="1"/>
  <c r="K681" i="20" s="1"/>
  <c r="K682" i="20" a="1"/>
  <c r="K682" i="20"/>
  <c r="K683" i="20" a="1"/>
  <c r="K683" i="20" s="1"/>
  <c r="K684" i="20" a="1"/>
  <c r="K684" i="20" s="1"/>
  <c r="K685" i="20" a="1"/>
  <c r="K685" i="20" s="1"/>
  <c r="K686" i="20" a="1"/>
  <c r="K686" i="20" s="1"/>
  <c r="K687" i="20" a="1"/>
  <c r="K687" i="20" s="1"/>
  <c r="K688" i="20" a="1"/>
  <c r="K688" i="20" s="1"/>
  <c r="K689" i="20" a="1"/>
  <c r="K689" i="20" s="1"/>
  <c r="K690" i="20" a="1"/>
  <c r="K690" i="20" s="1"/>
  <c r="K691" i="20" a="1"/>
  <c r="K691" i="20" s="1"/>
  <c r="K692" i="20" a="1"/>
  <c r="K692" i="20" s="1"/>
  <c r="K693" i="20" a="1"/>
  <c r="K693" i="20" s="1"/>
  <c r="K694" i="20" a="1"/>
  <c r="K694" i="20" s="1"/>
  <c r="K695" i="20" a="1"/>
  <c r="K695" i="20" s="1"/>
  <c r="K696" i="20" a="1"/>
  <c r="K696" i="20"/>
  <c r="K697" i="20" a="1"/>
  <c r="K697" i="20" s="1"/>
  <c r="K698" i="20" a="1"/>
  <c r="K698" i="20" s="1"/>
  <c r="K699" i="20" a="1"/>
  <c r="K699" i="20" s="1"/>
  <c r="K700" i="20" a="1"/>
  <c r="K700" i="20" s="1"/>
  <c r="K701" i="20" a="1"/>
  <c r="K701" i="20" s="1"/>
  <c r="K702" i="20" a="1"/>
  <c r="K702" i="20" s="1"/>
  <c r="K703" i="20" a="1"/>
  <c r="K703" i="20" s="1"/>
  <c r="K704" i="20" a="1"/>
  <c r="K704" i="20"/>
  <c r="K705" i="20" a="1"/>
  <c r="K705" i="20" s="1"/>
  <c r="K706" i="20" a="1"/>
  <c r="K706" i="20" s="1"/>
  <c r="K707" i="20" a="1"/>
  <c r="K707" i="20" s="1"/>
  <c r="K708" i="20" a="1"/>
  <c r="K708" i="20" s="1"/>
  <c r="K709" i="20" a="1"/>
  <c r="K709" i="20" s="1"/>
  <c r="K710" i="20" a="1"/>
  <c r="K710" i="20" s="1"/>
  <c r="K711" i="20" a="1"/>
  <c r="K711" i="20" s="1"/>
  <c r="K712" i="20" a="1"/>
  <c r="K712" i="20"/>
  <c r="K713" i="20" a="1"/>
  <c r="K713" i="20" s="1"/>
  <c r="K714" i="20" a="1"/>
  <c r="K714" i="20" s="1"/>
  <c r="K715" i="20" a="1"/>
  <c r="K715" i="20" s="1"/>
  <c r="K716" i="20" a="1"/>
  <c r="K716" i="20" s="1"/>
  <c r="K717" i="20" a="1"/>
  <c r="K717" i="20" s="1"/>
  <c r="K718" i="20" a="1"/>
  <c r="K718" i="20" s="1"/>
  <c r="K719" i="20" a="1"/>
  <c r="K719" i="20" s="1"/>
  <c r="K720" i="20" a="1"/>
  <c r="K720" i="20" s="1"/>
  <c r="K721" i="20" a="1"/>
  <c r="K721" i="20" s="1"/>
  <c r="K722" i="20" a="1"/>
  <c r="K722" i="20"/>
  <c r="K723" i="20" a="1"/>
  <c r="K723" i="20" s="1"/>
  <c r="K724" i="20" a="1"/>
  <c r="K724" i="20" s="1"/>
  <c r="K725" i="20" a="1"/>
  <c r="K725" i="20" s="1"/>
  <c r="K726" i="20" a="1"/>
  <c r="K726" i="20" s="1"/>
  <c r="K727" i="20" a="1"/>
  <c r="K727" i="20" s="1"/>
  <c r="K728" i="20" a="1"/>
  <c r="K728" i="20"/>
  <c r="K729" i="20" a="1"/>
  <c r="K729" i="20" s="1"/>
  <c r="K730" i="20" a="1"/>
  <c r="K730" i="20"/>
  <c r="K731" i="20" a="1"/>
  <c r="K731" i="20" s="1"/>
  <c r="K732" i="20" a="1"/>
  <c r="K732" i="20" s="1"/>
  <c r="K733" i="20" a="1"/>
  <c r="K733" i="20" s="1"/>
  <c r="K734" i="20" a="1"/>
  <c r="K734" i="20" s="1"/>
  <c r="K735" i="20" a="1"/>
  <c r="K735" i="20" s="1"/>
  <c r="K736" i="20" a="1"/>
  <c r="K736" i="20" s="1"/>
  <c r="K737" i="20" a="1"/>
  <c r="K737" i="20" s="1"/>
  <c r="K738" i="20" a="1"/>
  <c r="K738" i="20" s="1"/>
  <c r="K739" i="20" a="1"/>
  <c r="K739" i="20" s="1"/>
  <c r="K740" i="20" a="1"/>
  <c r="K740" i="20" s="1"/>
  <c r="K741" i="20" a="1"/>
  <c r="K741" i="20" s="1"/>
  <c r="K742" i="20" a="1"/>
  <c r="K742" i="20" s="1"/>
  <c r="K743" i="20" a="1"/>
  <c r="K743" i="20" s="1"/>
  <c r="K744" i="20" a="1"/>
  <c r="K744" i="20"/>
  <c r="K745" i="20" a="1"/>
  <c r="K745" i="20" s="1"/>
  <c r="K746" i="20" a="1"/>
  <c r="K746" i="20" s="1"/>
  <c r="K747" i="20" a="1"/>
  <c r="K747" i="20" s="1"/>
  <c r="K748" i="20" a="1"/>
  <c r="K748" i="20" s="1"/>
  <c r="K749" i="20" a="1"/>
  <c r="K749" i="20" s="1"/>
  <c r="K750" i="20" a="1"/>
  <c r="K750" i="20" s="1"/>
  <c r="K751" i="20" a="1"/>
  <c r="K751" i="20" s="1"/>
  <c r="K752" i="20" a="1"/>
  <c r="K752" i="20"/>
  <c r="K753" i="20" a="1"/>
  <c r="K753" i="20" s="1"/>
  <c r="K754" i="20" a="1"/>
  <c r="K754" i="20" s="1"/>
  <c r="K755" i="20" a="1"/>
  <c r="K755" i="20" s="1"/>
  <c r="K756" i="20" a="1"/>
  <c r="K756" i="20" s="1"/>
  <c r="K757" i="20" a="1"/>
  <c r="K757" i="20" s="1"/>
  <c r="K758" i="20" a="1"/>
  <c r="K758" i="20" s="1"/>
  <c r="K759" i="20" a="1"/>
  <c r="K759" i="20" s="1"/>
  <c r="K760" i="20" a="1"/>
  <c r="K760" i="20"/>
  <c r="K761" i="20" a="1"/>
  <c r="K761" i="20" s="1"/>
  <c r="K762" i="20" a="1"/>
  <c r="K762" i="20" s="1"/>
  <c r="K763" i="20" a="1"/>
  <c r="K763" i="20" s="1"/>
  <c r="K764" i="20" a="1"/>
  <c r="K764" i="20" s="1"/>
  <c r="K765" i="20" a="1"/>
  <c r="K765" i="20" s="1"/>
  <c r="K766" i="20" a="1"/>
  <c r="K766" i="20" s="1"/>
  <c r="K767" i="20" a="1"/>
  <c r="K767" i="20" s="1"/>
  <c r="K768" i="20" a="1"/>
  <c r="K768" i="20" s="1"/>
  <c r="K769" i="20" a="1"/>
  <c r="K769" i="20" s="1"/>
  <c r="K770" i="20" a="1"/>
  <c r="K770" i="20" s="1"/>
  <c r="K771" i="20" a="1"/>
  <c r="K771" i="20" s="1"/>
  <c r="K772" i="20" a="1"/>
  <c r="K772" i="20" s="1"/>
  <c r="K773" i="20" a="1"/>
  <c r="K773" i="20" s="1"/>
  <c r="K774" i="20" a="1"/>
  <c r="K774" i="20" s="1"/>
  <c r="K775" i="20" a="1"/>
  <c r="K775" i="20" s="1"/>
  <c r="K776" i="20" a="1"/>
  <c r="K776" i="20"/>
  <c r="K777" i="20" a="1"/>
  <c r="K777" i="20" s="1"/>
  <c r="K778" i="20" a="1"/>
  <c r="K778" i="20" s="1"/>
  <c r="K779" i="20" a="1"/>
  <c r="K779" i="20" s="1"/>
  <c r="K780" i="20" a="1"/>
  <c r="K780" i="20" s="1"/>
  <c r="K781" i="20" a="1"/>
  <c r="K781" i="20" s="1"/>
  <c r="K782" i="20" a="1"/>
  <c r="K782" i="20" s="1"/>
  <c r="K783" i="20" a="1"/>
  <c r="K783" i="20" s="1"/>
  <c r="K784" i="20" a="1"/>
  <c r="K784" i="20"/>
  <c r="K785" i="20" a="1"/>
  <c r="K785" i="20" s="1"/>
  <c r="K786" i="20" a="1"/>
  <c r="K786" i="20" s="1"/>
  <c r="K787" i="20" a="1"/>
  <c r="K787" i="20" s="1"/>
  <c r="K788" i="20" a="1"/>
  <c r="K788" i="20" s="1"/>
  <c r="K789" i="20" a="1"/>
  <c r="K789" i="20" s="1"/>
  <c r="K790" i="20" a="1"/>
  <c r="K790" i="20" s="1"/>
  <c r="K791" i="20" a="1"/>
  <c r="K791" i="20" s="1"/>
  <c r="K792" i="20" a="1"/>
  <c r="K792" i="20"/>
  <c r="K793" i="20" a="1"/>
  <c r="K793" i="20" s="1"/>
  <c r="K794" i="20" a="1"/>
  <c r="K794" i="20" s="1"/>
  <c r="K795" i="20" a="1"/>
  <c r="K795" i="20" s="1"/>
  <c r="K796" i="20" a="1"/>
  <c r="K796" i="20" s="1"/>
  <c r="K797" i="20" a="1"/>
  <c r="K797" i="20" s="1"/>
  <c r="K798" i="20" a="1"/>
  <c r="K798" i="20" s="1"/>
  <c r="K799" i="20" a="1"/>
  <c r="K799" i="20" s="1"/>
  <c r="K800" i="20" a="1"/>
  <c r="K800" i="20" s="1"/>
  <c r="K801" i="20" a="1"/>
  <c r="K801" i="20" s="1"/>
  <c r="K802" i="20" a="1"/>
  <c r="K802" i="20" s="1"/>
  <c r="K803" i="20" a="1"/>
  <c r="K803" i="20" s="1"/>
  <c r="K804" i="20" a="1"/>
  <c r="K804" i="20" s="1"/>
  <c r="K805" i="20" a="1"/>
  <c r="K805" i="20" s="1"/>
  <c r="K806" i="20" a="1"/>
  <c r="K806" i="20" s="1"/>
  <c r="K807" i="20" a="1"/>
  <c r="K807" i="20" s="1"/>
  <c r="K808" i="20" a="1"/>
  <c r="K808" i="20"/>
  <c r="K809" i="20" a="1"/>
  <c r="K809" i="20" s="1"/>
  <c r="K810" i="20" a="1"/>
  <c r="K810" i="20" s="1"/>
  <c r="K811" i="20" a="1"/>
  <c r="K811" i="20" s="1"/>
  <c r="K812" i="20" a="1"/>
  <c r="K812" i="20" s="1"/>
  <c r="K813" i="20" a="1"/>
  <c r="K813" i="20" s="1"/>
  <c r="K814" i="20" a="1"/>
  <c r="K814" i="20" s="1"/>
  <c r="K815" i="20" a="1"/>
  <c r="K815" i="20" s="1"/>
  <c r="K816" i="20" a="1"/>
  <c r="K816" i="20"/>
  <c r="K817" i="20" a="1"/>
  <c r="K817" i="20" s="1"/>
  <c r="K818" i="20" a="1"/>
  <c r="K818" i="20"/>
  <c r="K819" i="20" a="1"/>
  <c r="K819" i="20" s="1"/>
  <c r="K820" i="20" a="1"/>
  <c r="K820" i="20" s="1"/>
  <c r="K821" i="20" a="1"/>
  <c r="K821" i="20" s="1"/>
  <c r="K822" i="20" a="1"/>
  <c r="K822" i="20" s="1"/>
  <c r="K823" i="20" a="1"/>
  <c r="K823" i="20" s="1"/>
  <c r="K824" i="20" a="1"/>
  <c r="K824" i="20" s="1"/>
  <c r="K825" i="20" a="1"/>
  <c r="K825" i="20" s="1"/>
  <c r="K826" i="20" a="1"/>
  <c r="K826" i="20"/>
  <c r="K827" i="20" a="1"/>
  <c r="K827" i="20" s="1"/>
  <c r="K828" i="20" a="1"/>
  <c r="K828" i="20" s="1"/>
  <c r="K829" i="20" a="1"/>
  <c r="K829" i="20" s="1"/>
  <c r="K830" i="20" a="1"/>
  <c r="K830" i="20" s="1"/>
  <c r="K831" i="20" a="1"/>
  <c r="K831" i="20" s="1"/>
  <c r="K832" i="20" a="1"/>
  <c r="K832" i="20"/>
  <c r="K833" i="20" a="1"/>
  <c r="K833" i="20" s="1"/>
  <c r="K834" i="20" a="1"/>
  <c r="K834" i="20"/>
  <c r="K835" i="20" a="1"/>
  <c r="K835" i="20" s="1"/>
  <c r="K836" i="20" a="1"/>
  <c r="K836" i="20" s="1"/>
  <c r="K837" i="20" a="1"/>
  <c r="K837" i="20" s="1"/>
  <c r="K838" i="20" a="1"/>
  <c r="K838" i="20" s="1"/>
  <c r="K839" i="20" a="1"/>
  <c r="K839" i="20" s="1"/>
  <c r="K840" i="20" a="1"/>
  <c r="K840" i="20" s="1"/>
  <c r="K841" i="20" a="1"/>
  <c r="K841" i="20" s="1"/>
  <c r="K842" i="20" a="1"/>
  <c r="K842" i="20" s="1"/>
  <c r="K843" i="20" a="1"/>
  <c r="K843" i="20" s="1"/>
  <c r="K844" i="20" a="1"/>
  <c r="K844" i="20" s="1"/>
  <c r="K845" i="20" a="1"/>
  <c r="K845" i="20" s="1"/>
  <c r="K846" i="20" a="1"/>
  <c r="K846" i="20" s="1"/>
  <c r="K847" i="20" a="1"/>
  <c r="K847" i="20" s="1"/>
  <c r="K848" i="20" a="1"/>
  <c r="K848" i="20"/>
  <c r="K849" i="20" a="1"/>
  <c r="K849" i="20" s="1"/>
  <c r="K850" i="20" a="1"/>
  <c r="K850" i="20" s="1"/>
  <c r="K851" i="20" a="1"/>
  <c r="K851" i="20" s="1"/>
  <c r="K852" i="20" a="1"/>
  <c r="K852" i="20" s="1"/>
  <c r="K853" i="20" a="1"/>
  <c r="K853" i="20" s="1"/>
  <c r="K854" i="20" a="1"/>
  <c r="K854" i="20" s="1"/>
  <c r="K855" i="20" a="1"/>
  <c r="K855" i="20" s="1"/>
  <c r="K856" i="20" a="1"/>
  <c r="K856" i="20"/>
  <c r="K857" i="20" a="1"/>
  <c r="K857" i="20" s="1"/>
  <c r="K858" i="20" a="1"/>
  <c r="K858" i="20" s="1"/>
  <c r="K859" i="20" a="1"/>
  <c r="K859" i="20" s="1"/>
  <c r="K860" i="20" a="1"/>
  <c r="K860" i="20" s="1"/>
  <c r="K861" i="20" a="1"/>
  <c r="K86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 s="1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 s="1"/>
  <c r="L288" i="20" a="1"/>
  <c r="L288" i="20" s="1"/>
  <c r="L289" i="20" a="1"/>
  <c r="L289" i="20" s="1"/>
  <c r="L290" i="20" a="1"/>
  <c r="L290" i="20" s="1"/>
  <c r="L291" i="20" a="1"/>
  <c r="L291" i="20" s="1"/>
  <c r="L292" i="20" a="1"/>
  <c r="L292" i="20" s="1"/>
  <c r="L293" i="20" a="1"/>
  <c r="L293" i="20" s="1"/>
  <c r="L294" i="20" a="1"/>
  <c r="L294" i="20" s="1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/>
  <c r="L300" i="20" a="1"/>
  <c r="L300" i="20" s="1"/>
  <c r="L301" i="20" a="1"/>
  <c r="L301" i="20" s="1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 s="1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/>
  <c r="L312" i="20" a="1"/>
  <c r="L312" i="20" s="1"/>
  <c r="L313" i="20" a="1"/>
  <c r="L313" i="20" s="1"/>
  <c r="L314" i="20" a="1"/>
  <c r="L314" i="20" s="1"/>
  <c r="L315" i="20" a="1"/>
  <c r="L315" i="20"/>
  <c r="L316" i="20" a="1"/>
  <c r="L316" i="20" s="1"/>
  <c r="L317" i="20" a="1"/>
  <c r="L317" i="20" s="1"/>
  <c r="L318" i="20" a="1"/>
  <c r="L318" i="20" s="1"/>
  <c r="L319" i="20" a="1"/>
  <c r="L319" i="20"/>
  <c r="L320" i="20" a="1"/>
  <c r="L320" i="20" s="1"/>
  <c r="L321" i="20" a="1"/>
  <c r="L321" i="20" s="1"/>
  <c r="L322" i="20" a="1"/>
  <c r="L322" i="20" s="1"/>
  <c r="L323" i="20" a="1"/>
  <c r="L323" i="20" s="1"/>
  <c r="L324" i="20" a="1"/>
  <c r="L324" i="20" s="1"/>
  <c r="L325" i="20" a="1"/>
  <c r="L325" i="20" s="1"/>
  <c r="L326" i="20" a="1"/>
  <c r="L326" i="20" s="1"/>
  <c r="L327" i="20" a="1"/>
  <c r="L327" i="20"/>
  <c r="L328" i="20" a="1"/>
  <c r="L328" i="20" s="1"/>
  <c r="L329" i="20" a="1"/>
  <c r="L329" i="20" s="1"/>
  <c r="L330" i="20" a="1"/>
  <c r="L330" i="20" s="1"/>
  <c r="L331" i="20" a="1"/>
  <c r="L331" i="20"/>
  <c r="L332" i="20" a="1"/>
  <c r="L332" i="20" s="1"/>
  <c r="L333" i="20" a="1"/>
  <c r="L333" i="20"/>
  <c r="L334" i="20" a="1"/>
  <c r="L334" i="20" s="1"/>
  <c r="L335" i="20" a="1"/>
  <c r="L335" i="20"/>
  <c r="L336" i="20" a="1"/>
  <c r="L336" i="20" s="1"/>
  <c r="L337" i="20" a="1"/>
  <c r="L337" i="20" s="1"/>
  <c r="L338" i="20" a="1"/>
  <c r="L338" i="20" s="1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 s="1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 s="1"/>
  <c r="L355" i="20" a="1"/>
  <c r="L355" i="20" s="1"/>
  <c r="L356" i="20" a="1"/>
  <c r="L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 s="1"/>
  <c r="L365" i="20" a="1"/>
  <c r="L365" i="20" s="1"/>
  <c r="L366" i="20" a="1"/>
  <c r="L366" i="20" s="1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 s="1"/>
  <c r="L372" i="20" a="1"/>
  <c r="L372" i="20" s="1"/>
  <c r="L373" i="20" a="1"/>
  <c r="L373" i="20" s="1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 s="1"/>
  <c r="L379" i="20" a="1"/>
  <c r="L379" i="20" s="1"/>
  <c r="L380" i="20" a="1"/>
  <c r="L380" i="20" s="1"/>
  <c r="L381" i="20" a="1"/>
  <c r="L381" i="20" s="1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 s="1"/>
  <c r="L387" i="20" a="1"/>
  <c r="L387" i="20" s="1"/>
  <c r="L388" i="20" a="1"/>
  <c r="L388" i="20" s="1"/>
  <c r="L389" i="20" a="1"/>
  <c r="L389" i="20" s="1"/>
  <c r="L390" i="20" a="1"/>
  <c r="L390" i="20" s="1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 s="1"/>
  <c r="L396" i="20" a="1"/>
  <c r="L396" i="20" s="1"/>
  <c r="L397" i="20" a="1"/>
  <c r="L397" i="20" s="1"/>
  <c r="L398" i="20" a="1"/>
  <c r="L398" i="20" s="1"/>
  <c r="L399" i="20" a="1"/>
  <c r="L399" i="20" s="1"/>
  <c r="L400" i="20" a="1"/>
  <c r="L400" i="20" s="1"/>
  <c r="L401" i="20" a="1"/>
  <c r="L401" i="20" s="1"/>
  <c r="L402" i="20" a="1"/>
  <c r="L402" i="20" s="1"/>
  <c r="L403" i="20" a="1"/>
  <c r="L403" i="20" s="1"/>
  <c r="L404" i="20" a="1"/>
  <c r="L404" i="20" s="1"/>
  <c r="L405" i="20" a="1"/>
  <c r="L405" i="20" s="1"/>
  <c r="L406" i="20" a="1"/>
  <c r="L406" i="20" s="1"/>
  <c r="L407" i="20" a="1"/>
  <c r="L407" i="20" s="1"/>
  <c r="L408" i="20" a="1"/>
  <c r="L408" i="20" s="1"/>
  <c r="L409" i="20" a="1"/>
  <c r="L409" i="20" s="1"/>
  <c r="L410" i="20" a="1"/>
  <c r="L410" i="20" s="1"/>
  <c r="L411" i="20" a="1"/>
  <c r="L411" i="20" s="1"/>
  <c r="L412" i="20" a="1"/>
  <c r="L412" i="20" s="1"/>
  <c r="L413" i="20" a="1"/>
  <c r="L413" i="20" s="1"/>
  <c r="L414" i="20" a="1"/>
  <c r="L414" i="20" s="1"/>
  <c r="L415" i="20" a="1"/>
  <c r="L415" i="20" s="1"/>
  <c r="L416" i="20" a="1"/>
  <c r="L416" i="20" s="1"/>
  <c r="L417" i="20" a="1"/>
  <c r="L417" i="20" s="1"/>
  <c r="L418" i="20" a="1"/>
  <c r="L418" i="20" s="1"/>
  <c r="L419" i="20" a="1"/>
  <c r="L419" i="20" s="1"/>
  <c r="L420" i="20" a="1"/>
  <c r="L420" i="20" s="1"/>
  <c r="L421" i="20" a="1"/>
  <c r="L421" i="20" s="1"/>
  <c r="L422" i="20" a="1"/>
  <c r="L422" i="20" s="1"/>
  <c r="L423" i="20" a="1"/>
  <c r="L423" i="20" s="1"/>
  <c r="L424" i="20" a="1"/>
  <c r="L424" i="20" s="1"/>
  <c r="L425" i="20" a="1"/>
  <c r="L425" i="20" s="1"/>
  <c r="L426" i="20" a="1"/>
  <c r="L426" i="20" s="1"/>
  <c r="L427" i="20" a="1"/>
  <c r="L427" i="20" s="1"/>
  <c r="L428" i="20" a="1"/>
  <c r="L428" i="20" s="1"/>
  <c r="L429" i="20" a="1"/>
  <c r="L429" i="20" s="1"/>
  <c r="L430" i="20" a="1"/>
  <c r="L430" i="20" s="1"/>
  <c r="L431" i="20" a="1"/>
  <c r="L431" i="20" s="1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 s="1"/>
  <c r="L437" i="20" a="1"/>
  <c r="L437" i="20" s="1"/>
  <c r="L438" i="20" a="1"/>
  <c r="L438" i="20" s="1"/>
  <c r="L439" i="20" a="1"/>
  <c r="L439" i="20" s="1"/>
  <c r="L440" i="20" a="1"/>
  <c r="L440" i="20" s="1"/>
  <c r="L441" i="20" a="1"/>
  <c r="L441" i="20" s="1"/>
  <c r="L442" i="20" a="1"/>
  <c r="L442" i="20" s="1"/>
  <c r="L443" i="20" a="1"/>
  <c r="L443" i="20" s="1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 s="1"/>
  <c r="L449" i="20" a="1"/>
  <c r="L449" i="20" s="1"/>
  <c r="L450" i="20" a="1"/>
  <c r="L450" i="20" s="1"/>
  <c r="L451" i="20" a="1"/>
  <c r="L451" i="20" s="1"/>
  <c r="L452" i="20" a="1"/>
  <c r="L452" i="20" s="1"/>
  <c r="L453" i="20" a="1"/>
  <c r="L453" i="20" s="1"/>
  <c r="L454" i="20" a="1"/>
  <c r="L454" i="20" s="1"/>
  <c r="L455" i="20" a="1"/>
  <c r="L455" i="20" s="1"/>
  <c r="L456" i="20" a="1"/>
  <c r="L456" i="20" s="1"/>
  <c r="L457" i="20" a="1"/>
  <c r="L457" i="20" s="1"/>
  <c r="L458" i="20" a="1"/>
  <c r="L458" i="20" s="1"/>
  <c r="L459" i="20" a="1"/>
  <c r="L459" i="20" s="1"/>
  <c r="L460" i="20" a="1"/>
  <c r="L460" i="20" s="1"/>
  <c r="L461" i="20" a="1"/>
  <c r="L461" i="20" s="1"/>
  <c r="L462" i="20" a="1"/>
  <c r="L462" i="20" s="1"/>
  <c r="L463" i="20" a="1"/>
  <c r="L463" i="20" s="1"/>
  <c r="L464" i="20" a="1"/>
  <c r="L464" i="20" s="1"/>
  <c r="L465" i="20" a="1"/>
  <c r="L465" i="20" s="1"/>
  <c r="L466" i="20" a="1"/>
  <c r="L466" i="20" s="1"/>
  <c r="L467" i="20" a="1"/>
  <c r="L467" i="20" s="1"/>
  <c r="L468" i="20" a="1"/>
  <c r="L468" i="20" s="1"/>
  <c r="L469" i="20" a="1"/>
  <c r="L469" i="20" s="1"/>
  <c r="L470" i="20" a="1"/>
  <c r="L470" i="20" s="1"/>
  <c r="L471" i="20" a="1"/>
  <c r="L471" i="20" s="1"/>
  <c r="L472" i="20" a="1"/>
  <c r="L472" i="20" s="1"/>
  <c r="L473" i="20" a="1"/>
  <c r="L473" i="20" s="1"/>
  <c r="L474" i="20" a="1"/>
  <c r="L474" i="20" s="1"/>
  <c r="L475" i="20" a="1"/>
  <c r="L475" i="20" s="1"/>
  <c r="L476" i="20" a="1"/>
  <c r="L476" i="20" s="1"/>
  <c r="L477" i="20" a="1"/>
  <c r="L477" i="20" s="1"/>
  <c r="L478" i="20" a="1"/>
  <c r="L478" i="20" s="1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 s="1"/>
  <c r="L484" i="20" a="1"/>
  <c r="L484" i="20" s="1"/>
  <c r="L485" i="20" a="1"/>
  <c r="L485" i="20" s="1"/>
  <c r="L486" i="20" a="1"/>
  <c r="L486" i="20" s="1"/>
  <c r="L487" i="20" a="1"/>
  <c r="L487" i="20" s="1"/>
  <c r="L488" i="20" a="1"/>
  <c r="L488" i="20" s="1"/>
  <c r="L489" i="20" a="1"/>
  <c r="L489" i="20" s="1"/>
  <c r="L490" i="20" a="1"/>
  <c r="L490" i="20" s="1"/>
  <c r="L491" i="20" a="1"/>
  <c r="L491" i="20" s="1"/>
  <c r="L492" i="20" a="1"/>
  <c r="L492" i="20" s="1"/>
  <c r="L493" i="20" a="1"/>
  <c r="L493" i="20" s="1"/>
  <c r="L494" i="20" a="1"/>
  <c r="L494" i="20" s="1"/>
  <c r="L495" i="20" a="1"/>
  <c r="L495" i="20" s="1"/>
  <c r="L496" i="20" a="1"/>
  <c r="L496" i="20" s="1"/>
  <c r="L497" i="20" a="1"/>
  <c r="L497" i="20" s="1"/>
  <c r="L498" i="20" a="1"/>
  <c r="L498" i="20" s="1"/>
  <c r="L499" i="20" a="1"/>
  <c r="L499" i="20" s="1"/>
  <c r="L500" i="20" a="1"/>
  <c r="L500" i="20" s="1"/>
  <c r="L501" i="20" a="1"/>
  <c r="L501" i="20" s="1"/>
  <c r="L502" i="20" a="1"/>
  <c r="L502" i="20" s="1"/>
  <c r="L503" i="20" a="1"/>
  <c r="L503" i="20" s="1"/>
  <c r="L504" i="20" a="1"/>
  <c r="L504" i="20" s="1"/>
  <c r="L505" i="20" a="1"/>
  <c r="L505" i="20" s="1"/>
  <c r="L506" i="20" a="1"/>
  <c r="L506" i="20" s="1"/>
  <c r="L507" i="20" a="1"/>
  <c r="L507" i="20" s="1"/>
  <c r="L508" i="20" a="1"/>
  <c r="L508" i="20" s="1"/>
  <c r="L509" i="20" a="1"/>
  <c r="L509" i="20" s="1"/>
  <c r="L510" i="20" a="1"/>
  <c r="L510" i="20" s="1"/>
  <c r="L511" i="20" a="1"/>
  <c r="L511" i="20" s="1"/>
  <c r="L512" i="20" a="1"/>
  <c r="L512" i="20" s="1"/>
  <c r="L513" i="20" a="1"/>
  <c r="L513" i="20" s="1"/>
  <c r="L514" i="20" a="1"/>
  <c r="L514" i="20" s="1"/>
  <c r="L515" i="20" a="1"/>
  <c r="L515" i="20" s="1"/>
  <c r="L516" i="20" a="1"/>
  <c r="L516" i="20" s="1"/>
  <c r="L517" i="20" a="1"/>
  <c r="L517" i="20" s="1"/>
  <c r="L518" i="20" a="1"/>
  <c r="L518" i="20" s="1"/>
  <c r="L519" i="20" a="1"/>
  <c r="L519" i="20" s="1"/>
  <c r="L520" i="20" a="1"/>
  <c r="L520" i="20" s="1"/>
  <c r="L521" i="20" a="1"/>
  <c r="L521" i="20" s="1"/>
  <c r="L522" i="20" a="1"/>
  <c r="L522" i="20" s="1"/>
  <c r="L523" i="20" a="1"/>
  <c r="L523" i="20" s="1"/>
  <c r="L524" i="20" a="1"/>
  <c r="L524" i="20" s="1"/>
  <c r="L525" i="20" a="1"/>
  <c r="L525" i="20" s="1"/>
  <c r="L526" i="20" a="1"/>
  <c r="L526" i="20" s="1"/>
  <c r="L527" i="20" a="1"/>
  <c r="L527" i="20" s="1"/>
  <c r="L528" i="20" a="1"/>
  <c r="L528" i="20" s="1"/>
  <c r="L529" i="20" a="1"/>
  <c r="L529" i="20" s="1"/>
  <c r="L530" i="20" a="1"/>
  <c r="L530" i="20" s="1"/>
  <c r="L531" i="20" a="1"/>
  <c r="L531" i="20" s="1"/>
  <c r="L532" i="20" a="1"/>
  <c r="L532" i="20" s="1"/>
  <c r="L533" i="20" a="1"/>
  <c r="L533" i="20" s="1"/>
  <c r="L534" i="20" a="1"/>
  <c r="L534" i="20" s="1"/>
  <c r="L535" i="20" a="1"/>
  <c r="L535" i="20" s="1"/>
  <c r="L536" i="20" a="1"/>
  <c r="L536" i="20" s="1"/>
  <c r="L537" i="20" a="1"/>
  <c r="L537" i="20" s="1"/>
  <c r="L538" i="20" a="1"/>
  <c r="L538" i="20" s="1"/>
  <c r="L539" i="20" a="1"/>
  <c r="L539" i="20" s="1"/>
  <c r="L540" i="20" a="1"/>
  <c r="L540" i="20" s="1"/>
  <c r="L541" i="20" a="1"/>
  <c r="L541" i="20" s="1"/>
  <c r="L542" i="20" a="1"/>
  <c r="L542" i="20" s="1"/>
  <c r="L543" i="20" a="1"/>
  <c r="L543" i="20" s="1"/>
  <c r="L544" i="20" a="1"/>
  <c r="L544" i="20" s="1"/>
  <c r="L545" i="20" a="1"/>
  <c r="L545" i="20" s="1"/>
  <c r="L546" i="20" a="1"/>
  <c r="L546" i="20" s="1"/>
  <c r="L547" i="20" a="1"/>
  <c r="L547" i="20" s="1"/>
  <c r="L548" i="20" a="1"/>
  <c r="L548" i="20" s="1"/>
  <c r="L549" i="20" a="1"/>
  <c r="L549" i="20" s="1"/>
  <c r="L550" i="20" a="1"/>
  <c r="L550" i="20" s="1"/>
  <c r="L551" i="20" a="1"/>
  <c r="L551" i="20" s="1"/>
  <c r="L552" i="20" a="1"/>
  <c r="L552" i="20" s="1"/>
  <c r="L553" i="20" a="1"/>
  <c r="L553" i="20" s="1"/>
  <c r="L554" i="20" a="1"/>
  <c r="L554" i="20" s="1"/>
  <c r="L555" i="20" a="1"/>
  <c r="L555" i="20" s="1"/>
  <c r="L556" i="20" a="1"/>
  <c r="L556" i="20" s="1"/>
  <c r="L557" i="20" a="1"/>
  <c r="L557" i="20" s="1"/>
  <c r="L558" i="20" a="1"/>
  <c r="L558" i="20" s="1"/>
  <c r="L559" i="20" a="1"/>
  <c r="L559" i="20" s="1"/>
  <c r="L560" i="20" a="1"/>
  <c r="L560" i="20" s="1"/>
  <c r="L561" i="20" a="1"/>
  <c r="L561" i="20" s="1"/>
  <c r="L562" i="20" a="1"/>
  <c r="L562" i="20" s="1"/>
  <c r="L563" i="20" a="1"/>
  <c r="L563" i="20" s="1"/>
  <c r="L564" i="20" a="1"/>
  <c r="L564" i="20" s="1"/>
  <c r="L565" i="20" a="1"/>
  <c r="L565" i="20" s="1"/>
  <c r="L566" i="20" a="1"/>
  <c r="L566" i="20" s="1"/>
  <c r="L567" i="20" a="1"/>
  <c r="L567" i="20" s="1"/>
  <c r="L568" i="20" a="1"/>
  <c r="L568" i="20" s="1"/>
  <c r="L569" i="20" a="1"/>
  <c r="L569" i="20" s="1"/>
  <c r="L570" i="20" a="1"/>
  <c r="L570" i="20" s="1"/>
  <c r="L571" i="20" a="1"/>
  <c r="L571" i="20" s="1"/>
  <c r="L572" i="20" a="1"/>
  <c r="L572" i="20" s="1"/>
  <c r="L573" i="20" a="1"/>
  <c r="L573" i="20" s="1"/>
  <c r="L574" i="20" a="1"/>
  <c r="L574" i="20" s="1"/>
  <c r="L575" i="20" a="1"/>
  <c r="L575" i="20" s="1"/>
  <c r="L576" i="20" a="1"/>
  <c r="L576" i="20" s="1"/>
  <c r="L577" i="20" a="1"/>
  <c r="L577" i="20" s="1"/>
  <c r="L578" i="20" a="1"/>
  <c r="L578" i="20" s="1"/>
  <c r="L579" i="20" a="1"/>
  <c r="L579" i="20" s="1"/>
  <c r="L580" i="20" a="1"/>
  <c r="L580" i="20" s="1"/>
  <c r="L581" i="20" a="1"/>
  <c r="L581" i="20" s="1"/>
  <c r="L582" i="20" a="1"/>
  <c r="L582" i="20" s="1"/>
  <c r="L583" i="20" a="1"/>
  <c r="L583" i="20" s="1"/>
  <c r="L584" i="20" a="1"/>
  <c r="L584" i="20" s="1"/>
  <c r="L585" i="20" a="1"/>
  <c r="L585" i="20" s="1"/>
  <c r="L586" i="20" a="1"/>
  <c r="L586" i="20" s="1"/>
  <c r="L587" i="20" a="1"/>
  <c r="L587" i="20" s="1"/>
  <c r="L588" i="20" a="1"/>
  <c r="L588" i="20" s="1"/>
  <c r="L589" i="20" a="1"/>
  <c r="L589" i="20" s="1"/>
  <c r="L590" i="20" a="1"/>
  <c r="L590" i="20" s="1"/>
  <c r="L591" i="20" a="1"/>
  <c r="L591" i="20" s="1"/>
  <c r="L592" i="20" a="1"/>
  <c r="L592" i="20" s="1"/>
  <c r="L593" i="20" a="1"/>
  <c r="L593" i="20" s="1"/>
  <c r="L594" i="20" a="1"/>
  <c r="L594" i="20" s="1"/>
  <c r="L595" i="20" a="1"/>
  <c r="L595" i="20" s="1"/>
  <c r="L596" i="20" a="1"/>
  <c r="L596" i="20" s="1"/>
  <c r="L597" i="20" a="1"/>
  <c r="L597" i="20" s="1"/>
  <c r="L598" i="20" a="1"/>
  <c r="L598" i="20" s="1"/>
  <c r="L599" i="20" a="1"/>
  <c r="L599" i="20" s="1"/>
  <c r="L600" i="20" a="1"/>
  <c r="L600" i="20" s="1"/>
  <c r="L601" i="20" a="1"/>
  <c r="L601" i="20" s="1"/>
  <c r="L602" i="20" a="1"/>
  <c r="L602" i="20" s="1"/>
  <c r="L603" i="20" a="1"/>
  <c r="L603" i="20" s="1"/>
  <c r="L604" i="20" a="1"/>
  <c r="L604" i="20" s="1"/>
  <c r="L605" i="20" a="1"/>
  <c r="L605" i="20" s="1"/>
  <c r="L606" i="20" a="1"/>
  <c r="L606" i="20" s="1"/>
  <c r="L607" i="20" a="1"/>
  <c r="L607" i="20" s="1"/>
  <c r="L608" i="20" a="1"/>
  <c r="L608" i="20" s="1"/>
  <c r="L609" i="20" a="1"/>
  <c r="L609" i="20" s="1"/>
  <c r="L610" i="20" a="1"/>
  <c r="L610" i="20" s="1"/>
  <c r="L611" i="20" a="1"/>
  <c r="L611" i="20" s="1"/>
  <c r="L612" i="20" a="1"/>
  <c r="L612" i="20" s="1"/>
  <c r="L613" i="20" a="1"/>
  <c r="L613" i="20" s="1"/>
  <c r="L614" i="20" a="1"/>
  <c r="L614" i="20" s="1"/>
  <c r="L615" i="20" a="1"/>
  <c r="L615" i="20" s="1"/>
  <c r="L616" i="20" a="1"/>
  <c r="L616" i="20" s="1"/>
  <c r="L617" i="20" a="1"/>
  <c r="L617" i="20" s="1"/>
  <c r="L618" i="20" a="1"/>
  <c r="L618" i="20" s="1"/>
  <c r="L619" i="20" a="1"/>
  <c r="L619" i="20" s="1"/>
  <c r="L620" i="20" a="1"/>
  <c r="L620" i="20" s="1"/>
  <c r="L621" i="20" a="1"/>
  <c r="L621" i="20" s="1"/>
  <c r="L622" i="20" a="1"/>
  <c r="L622" i="20" s="1"/>
  <c r="L623" i="20" a="1"/>
  <c r="L623" i="20" s="1"/>
  <c r="L624" i="20" a="1"/>
  <c r="L624" i="20" s="1"/>
  <c r="L625" i="20" a="1"/>
  <c r="L625" i="20" s="1"/>
  <c r="L626" i="20" a="1"/>
  <c r="L626" i="20" s="1"/>
  <c r="L627" i="20" a="1"/>
  <c r="L627" i="20" s="1"/>
  <c r="L628" i="20" a="1"/>
  <c r="L628" i="20" s="1"/>
  <c r="L629" i="20" a="1"/>
  <c r="L629" i="20" s="1"/>
  <c r="L630" i="20" a="1"/>
  <c r="L630" i="20" s="1"/>
  <c r="L631" i="20" a="1"/>
  <c r="L631" i="20" s="1"/>
  <c r="L632" i="20" a="1"/>
  <c r="L632" i="20" s="1"/>
  <c r="L633" i="20" a="1"/>
  <c r="L633" i="20" s="1"/>
  <c r="L634" i="20" a="1"/>
  <c r="L634" i="20" s="1"/>
  <c r="L635" i="20" a="1"/>
  <c r="L635" i="20" s="1"/>
  <c r="L636" i="20" a="1"/>
  <c r="L636" i="20" s="1"/>
  <c r="L637" i="20" a="1"/>
  <c r="L637" i="20" s="1"/>
  <c r="L638" i="20" a="1"/>
  <c r="L638" i="20" s="1"/>
  <c r="L639" i="20" a="1"/>
  <c r="L639" i="20" s="1"/>
  <c r="L640" i="20" a="1"/>
  <c r="L640" i="20" s="1"/>
  <c r="L641" i="20" a="1"/>
  <c r="L641" i="20" s="1"/>
  <c r="L642" i="20" a="1"/>
  <c r="L642" i="20" s="1"/>
  <c r="L643" i="20" a="1"/>
  <c r="L643" i="20" s="1"/>
  <c r="L644" i="20" a="1"/>
  <c r="L644" i="20" s="1"/>
  <c r="L645" i="20" a="1"/>
  <c r="L645" i="20" s="1"/>
  <c r="L646" i="20" a="1"/>
  <c r="L646" i="20" s="1"/>
  <c r="L647" i="20" a="1"/>
  <c r="L647" i="20" s="1"/>
  <c r="L648" i="20" a="1"/>
  <c r="L648" i="20" s="1"/>
  <c r="L649" i="20" a="1"/>
  <c r="L649" i="20" s="1"/>
  <c r="L650" i="20" a="1"/>
  <c r="L650" i="20" s="1"/>
  <c r="L651" i="20" a="1"/>
  <c r="L651" i="20" s="1"/>
  <c r="L652" i="20" a="1"/>
  <c r="L652" i="20" s="1"/>
  <c r="L653" i="20" a="1"/>
  <c r="L653" i="20" s="1"/>
  <c r="L654" i="20" a="1"/>
  <c r="L654" i="20" s="1"/>
  <c r="L655" i="20" a="1"/>
  <c r="L655" i="20" s="1"/>
  <c r="L656" i="20" a="1"/>
  <c r="L656" i="20" s="1"/>
  <c r="L657" i="20" a="1"/>
  <c r="L657" i="20" s="1"/>
  <c r="L658" i="20" a="1"/>
  <c r="L658" i="20" s="1"/>
  <c r="L659" i="20" a="1"/>
  <c r="L659" i="20" s="1"/>
  <c r="L660" i="20" a="1"/>
  <c r="L660" i="20" s="1"/>
  <c r="L661" i="20" a="1"/>
  <c r="L661" i="20" s="1"/>
  <c r="L662" i="20" a="1"/>
  <c r="L662" i="20" s="1"/>
  <c r="L663" i="20" a="1"/>
  <c r="L663" i="20" s="1"/>
  <c r="L664" i="20" a="1"/>
  <c r="L664" i="20" s="1"/>
  <c r="L665" i="20" a="1"/>
  <c r="L665" i="20" s="1"/>
  <c r="L666" i="20" a="1"/>
  <c r="L666" i="20" s="1"/>
  <c r="L667" i="20" a="1"/>
  <c r="L667" i="20" s="1"/>
  <c r="L668" i="20" a="1"/>
  <c r="L668" i="20" s="1"/>
  <c r="L669" i="20" a="1"/>
  <c r="L669" i="20" s="1"/>
  <c r="L670" i="20" a="1"/>
  <c r="L670" i="20" s="1"/>
  <c r="L671" i="20" a="1"/>
  <c r="L671" i="20"/>
  <c r="L672" i="20" a="1"/>
  <c r="L672" i="20" s="1"/>
  <c r="L673" i="20" a="1"/>
  <c r="L673" i="20" s="1"/>
  <c r="L674" i="20" a="1"/>
  <c r="L674" i="20" s="1"/>
  <c r="L675" i="20" a="1"/>
  <c r="L675" i="20" s="1"/>
  <c r="L676" i="20" a="1"/>
  <c r="L676" i="20" s="1"/>
  <c r="L677" i="20" a="1"/>
  <c r="L677" i="20"/>
  <c r="L678" i="20" a="1"/>
  <c r="L678" i="20" s="1"/>
  <c r="L679" i="20" a="1"/>
  <c r="L679" i="20" s="1"/>
  <c r="L680" i="20" a="1"/>
  <c r="L680" i="20" s="1"/>
  <c r="L681" i="20" a="1"/>
  <c r="L681" i="20" s="1"/>
  <c r="L682" i="20" a="1"/>
  <c r="L682" i="20" s="1"/>
  <c r="L683" i="20" a="1"/>
  <c r="L683" i="20" s="1"/>
  <c r="L684" i="20" a="1"/>
  <c r="L684" i="20" s="1"/>
  <c r="L685" i="20" a="1"/>
  <c r="L685" i="20" s="1"/>
  <c r="L686" i="20" a="1"/>
  <c r="L686" i="20" s="1"/>
  <c r="L687" i="20" a="1"/>
  <c r="L687" i="20" s="1"/>
  <c r="L688" i="20" a="1"/>
  <c r="L688" i="20" s="1"/>
  <c r="L689" i="20" a="1"/>
  <c r="L689" i="20" s="1"/>
  <c r="L690" i="20" a="1"/>
  <c r="L690" i="20" s="1"/>
  <c r="L691" i="20" a="1"/>
  <c r="L691" i="20" s="1"/>
  <c r="L692" i="20" a="1"/>
  <c r="L692" i="20" s="1"/>
  <c r="L693" i="20" a="1"/>
  <c r="L693" i="20" s="1"/>
  <c r="L694" i="20" a="1"/>
  <c r="L694" i="20" s="1"/>
  <c r="L695" i="20" a="1"/>
  <c r="L695" i="20" s="1"/>
  <c r="L696" i="20" a="1"/>
  <c r="L696" i="20" s="1"/>
  <c r="L697" i="20" a="1"/>
  <c r="L697" i="20" s="1"/>
  <c r="L698" i="20" a="1"/>
  <c r="L698" i="20" s="1"/>
  <c r="L699" i="20" a="1"/>
  <c r="L699" i="20" s="1"/>
  <c r="L700" i="20" a="1"/>
  <c r="L700" i="20" s="1"/>
  <c r="L701" i="20" a="1"/>
  <c r="L701" i="20" s="1"/>
  <c r="L702" i="20" a="1"/>
  <c r="L702" i="20" s="1"/>
  <c r="L703" i="20" a="1"/>
  <c r="L703" i="20" s="1"/>
  <c r="L704" i="20" a="1"/>
  <c r="L704" i="20" s="1"/>
  <c r="L705" i="20" a="1"/>
  <c r="L705" i="20" s="1"/>
  <c r="L706" i="20" a="1"/>
  <c r="L706" i="20" s="1"/>
  <c r="L707" i="20" a="1"/>
  <c r="L707" i="20" s="1"/>
  <c r="L708" i="20" a="1"/>
  <c r="L708" i="20" s="1"/>
  <c r="L709" i="20" a="1"/>
  <c r="L709" i="20" s="1"/>
  <c r="L710" i="20" a="1"/>
  <c r="L710" i="20" s="1"/>
  <c r="L711" i="20" a="1"/>
  <c r="L711" i="20" s="1"/>
  <c r="L712" i="20" a="1"/>
  <c r="L712" i="20" s="1"/>
  <c r="L713" i="20" a="1"/>
  <c r="L713" i="20" s="1"/>
  <c r="L714" i="20" a="1"/>
  <c r="L714" i="20" s="1"/>
  <c r="L715" i="20" a="1"/>
  <c r="L715" i="20" s="1"/>
  <c r="L716" i="20" a="1"/>
  <c r="L716" i="20" s="1"/>
  <c r="L717" i="20" a="1"/>
  <c r="L717" i="20" s="1"/>
  <c r="L718" i="20" a="1"/>
  <c r="L718" i="20" s="1"/>
  <c r="L719" i="20" a="1"/>
  <c r="L719" i="20" s="1"/>
  <c r="L720" i="20" a="1"/>
  <c r="L720" i="20" s="1"/>
  <c r="L721" i="20" a="1"/>
  <c r="L721" i="20" s="1"/>
  <c r="L722" i="20" a="1"/>
  <c r="L722" i="20" s="1"/>
  <c r="L723" i="20" a="1"/>
  <c r="L723" i="20" s="1"/>
  <c r="L724" i="20" a="1"/>
  <c r="L724" i="20" s="1"/>
  <c r="L725" i="20" a="1"/>
  <c r="L725" i="20" s="1"/>
  <c r="L726" i="20" a="1"/>
  <c r="L726" i="20" s="1"/>
  <c r="L727" i="20" a="1"/>
  <c r="L727" i="20" s="1"/>
  <c r="L728" i="20" a="1"/>
  <c r="L728" i="20" s="1"/>
  <c r="L729" i="20" a="1"/>
  <c r="L729" i="20" s="1"/>
  <c r="L730" i="20" a="1"/>
  <c r="L730" i="20" s="1"/>
  <c r="L731" i="20" a="1"/>
  <c r="L731" i="20" s="1"/>
  <c r="L732" i="20" a="1"/>
  <c r="L732" i="20" s="1"/>
  <c r="L733" i="20" a="1"/>
  <c r="L733" i="20" s="1"/>
  <c r="L734" i="20" a="1"/>
  <c r="L734" i="20" s="1"/>
  <c r="L735" i="20" a="1"/>
  <c r="L735" i="20" s="1"/>
  <c r="L736" i="20" a="1"/>
  <c r="L736" i="20" s="1"/>
  <c r="L737" i="20" a="1"/>
  <c r="L737" i="20" s="1"/>
  <c r="L738" i="20" a="1"/>
  <c r="L738" i="20" s="1"/>
  <c r="L739" i="20" a="1"/>
  <c r="L739" i="20" s="1"/>
  <c r="L740" i="20" a="1"/>
  <c r="L740" i="20" s="1"/>
  <c r="L741" i="20" a="1"/>
  <c r="L741" i="20" s="1"/>
  <c r="L742" i="20" a="1"/>
  <c r="L742" i="20" s="1"/>
  <c r="L743" i="20" a="1"/>
  <c r="L743" i="20" s="1"/>
  <c r="L744" i="20" a="1"/>
  <c r="L744" i="20" s="1"/>
  <c r="L745" i="20" a="1"/>
  <c r="L745" i="20" s="1"/>
  <c r="L746" i="20" a="1"/>
  <c r="L746" i="20" s="1"/>
  <c r="L747" i="20" a="1"/>
  <c r="L747" i="20" s="1"/>
  <c r="L748" i="20" a="1"/>
  <c r="L748" i="20" s="1"/>
  <c r="L749" i="20" a="1"/>
  <c r="L749" i="20" s="1"/>
  <c r="L750" i="20" a="1"/>
  <c r="L750" i="20" s="1"/>
  <c r="L751" i="20" a="1"/>
  <c r="L751" i="20" s="1"/>
  <c r="L752" i="20" a="1"/>
  <c r="L752" i="20" s="1"/>
  <c r="L753" i="20" a="1"/>
  <c r="L753" i="20" s="1"/>
  <c r="L754" i="20" a="1"/>
  <c r="L754" i="20" s="1"/>
  <c r="L755" i="20" a="1"/>
  <c r="L755" i="20" s="1"/>
  <c r="L756" i="20" a="1"/>
  <c r="L756" i="20" s="1"/>
  <c r="L757" i="20" a="1"/>
  <c r="L757" i="20" s="1"/>
  <c r="L758" i="20" a="1"/>
  <c r="L758" i="20" s="1"/>
  <c r="L759" i="20" a="1"/>
  <c r="L759" i="20" s="1"/>
  <c r="L760" i="20" a="1"/>
  <c r="L760" i="20" s="1"/>
  <c r="L761" i="20" a="1"/>
  <c r="L761" i="20" s="1"/>
  <c r="L762" i="20" a="1"/>
  <c r="L762" i="20" s="1"/>
  <c r="L763" i="20" a="1"/>
  <c r="L763" i="20" s="1"/>
  <c r="L764" i="20" a="1"/>
  <c r="L764" i="20" s="1"/>
  <c r="L765" i="20" a="1"/>
  <c r="L765" i="20" s="1"/>
  <c r="L766" i="20" a="1"/>
  <c r="L766" i="20" s="1"/>
  <c r="L767" i="20" a="1"/>
  <c r="L767" i="20" s="1"/>
  <c r="L768" i="20" a="1"/>
  <c r="L768" i="20" s="1"/>
  <c r="L769" i="20" a="1"/>
  <c r="L769" i="20" s="1"/>
  <c r="L770" i="20" a="1"/>
  <c r="L770" i="20" s="1"/>
  <c r="L771" i="20" a="1"/>
  <c r="L771" i="20" s="1"/>
  <c r="L772" i="20" a="1"/>
  <c r="L772" i="20" s="1"/>
  <c r="L773" i="20" a="1"/>
  <c r="L773" i="20" s="1"/>
  <c r="L774" i="20" a="1"/>
  <c r="L774" i="20" s="1"/>
  <c r="L775" i="20" a="1"/>
  <c r="L775" i="20" s="1"/>
  <c r="L776" i="20" a="1"/>
  <c r="L776" i="20" s="1"/>
  <c r="L777" i="20" a="1"/>
  <c r="L777" i="20" s="1"/>
  <c r="L778" i="20" a="1"/>
  <c r="L778" i="20" s="1"/>
  <c r="L779" i="20" a="1"/>
  <c r="L779" i="20" s="1"/>
  <c r="L780" i="20" a="1"/>
  <c r="L780" i="20" s="1"/>
  <c r="L781" i="20" a="1"/>
  <c r="L781" i="20" s="1"/>
  <c r="L782" i="20" a="1"/>
  <c r="L782" i="20" s="1"/>
  <c r="L783" i="20" a="1"/>
  <c r="L783" i="20" s="1"/>
  <c r="L784" i="20" a="1"/>
  <c r="L784" i="20" s="1"/>
  <c r="L785" i="20" a="1"/>
  <c r="L785" i="20" s="1"/>
  <c r="L786" i="20" a="1"/>
  <c r="L786" i="20" s="1"/>
  <c r="L787" i="20" a="1"/>
  <c r="L787" i="20" s="1"/>
  <c r="L788" i="20" a="1"/>
  <c r="L788" i="20" s="1"/>
  <c r="L789" i="20" a="1"/>
  <c r="L789" i="20" s="1"/>
  <c r="L790" i="20" a="1"/>
  <c r="L790" i="20" s="1"/>
  <c r="L791" i="20" a="1"/>
  <c r="L791" i="20" s="1"/>
  <c r="L792" i="20" a="1"/>
  <c r="L792" i="20" s="1"/>
  <c r="L793" i="20" a="1"/>
  <c r="L793" i="20" s="1"/>
  <c r="L794" i="20" a="1"/>
  <c r="L794" i="20" s="1"/>
  <c r="L795" i="20" a="1"/>
  <c r="L795" i="20" s="1"/>
  <c r="L796" i="20" a="1"/>
  <c r="L796" i="20" s="1"/>
  <c r="L797" i="20" a="1"/>
  <c r="L797" i="20" s="1"/>
  <c r="L798" i="20" a="1"/>
  <c r="L798" i="20" s="1"/>
  <c r="L799" i="20" a="1"/>
  <c r="L799" i="20" s="1"/>
  <c r="L800" i="20" a="1"/>
  <c r="L800" i="20" s="1"/>
  <c r="L801" i="20" a="1"/>
  <c r="L801" i="20" s="1"/>
  <c r="L802" i="20" a="1"/>
  <c r="L802" i="20" s="1"/>
  <c r="L803" i="20" a="1"/>
  <c r="L803" i="20" s="1"/>
  <c r="L804" i="20" a="1"/>
  <c r="L804" i="20" s="1"/>
  <c r="L805" i="20" a="1"/>
  <c r="L805" i="20" s="1"/>
  <c r="L806" i="20" a="1"/>
  <c r="L806" i="20" s="1"/>
  <c r="L807" i="20" a="1"/>
  <c r="L807" i="20" s="1"/>
  <c r="L808" i="20" a="1"/>
  <c r="L808" i="20" s="1"/>
  <c r="L809" i="20" a="1"/>
  <c r="L809" i="20" s="1"/>
  <c r="L810" i="20" a="1"/>
  <c r="L810" i="20" s="1"/>
  <c r="L811" i="20" a="1"/>
  <c r="L811" i="20" s="1"/>
  <c r="L812" i="20" a="1"/>
  <c r="L812" i="20" s="1"/>
  <c r="L813" i="20" a="1"/>
  <c r="L813" i="20" s="1"/>
  <c r="L814" i="20" a="1"/>
  <c r="L814" i="20" s="1"/>
  <c r="L815" i="20" a="1"/>
  <c r="L815" i="20" s="1"/>
  <c r="L816" i="20" a="1"/>
  <c r="L816" i="20" s="1"/>
  <c r="L817" i="20" a="1"/>
  <c r="L817" i="20" s="1"/>
  <c r="L818" i="20" a="1"/>
  <c r="L818" i="20" s="1"/>
  <c r="L819" i="20" a="1"/>
  <c r="L819" i="20" s="1"/>
  <c r="L820" i="20" a="1"/>
  <c r="L820" i="20" s="1"/>
  <c r="L821" i="20" a="1"/>
  <c r="L821" i="20" s="1"/>
  <c r="L822" i="20" a="1"/>
  <c r="L822" i="20" s="1"/>
  <c r="L823" i="20" a="1"/>
  <c r="L823" i="20" s="1"/>
  <c r="L824" i="20" a="1"/>
  <c r="L824" i="20" s="1"/>
  <c r="L825" i="20" a="1"/>
  <c r="L825" i="20" s="1"/>
  <c r="L826" i="20" a="1"/>
  <c r="L826" i="20" s="1"/>
  <c r="L827" i="20" a="1"/>
  <c r="L827" i="20" s="1"/>
  <c r="L828" i="20" a="1"/>
  <c r="L828" i="20" s="1"/>
  <c r="L829" i="20" a="1"/>
  <c r="L829" i="20" s="1"/>
  <c r="L830" i="20" a="1"/>
  <c r="L830" i="20" s="1"/>
  <c r="L831" i="20" a="1"/>
  <c r="L831" i="20" s="1"/>
  <c r="L832" i="20" a="1"/>
  <c r="L832" i="20" s="1"/>
  <c r="L833" i="20" a="1"/>
  <c r="L833" i="20" s="1"/>
  <c r="L834" i="20" a="1"/>
  <c r="L834" i="20" s="1"/>
  <c r="L835" i="20" a="1"/>
  <c r="L835" i="20" s="1"/>
  <c r="L836" i="20" a="1"/>
  <c r="L836" i="20" s="1"/>
  <c r="L837" i="20" a="1"/>
  <c r="L837" i="20" s="1"/>
  <c r="L838" i="20" a="1"/>
  <c r="L838" i="20" s="1"/>
  <c r="L839" i="20" a="1"/>
  <c r="L839" i="20" s="1"/>
  <c r="L840" i="20" a="1"/>
  <c r="L840" i="20" s="1"/>
  <c r="L841" i="20" a="1"/>
  <c r="L841" i="20"/>
  <c r="L842" i="20" a="1"/>
  <c r="L842" i="20" s="1"/>
  <c r="L843" i="20" a="1"/>
  <c r="L843" i="20" s="1"/>
  <c r="L844" i="20" a="1"/>
  <c r="L844" i="20" s="1"/>
  <c r="L845" i="20" a="1"/>
  <c r="L845" i="20"/>
  <c r="L846" i="20" a="1"/>
  <c r="L846" i="20" s="1"/>
  <c r="L847" i="20" a="1"/>
  <c r="L847" i="20" s="1"/>
  <c r="L848" i="20" a="1"/>
  <c r="L848" i="20" s="1"/>
  <c r="L849" i="20" a="1"/>
  <c r="L849" i="20" s="1"/>
  <c r="L850" i="20" a="1"/>
  <c r="L850" i="20" s="1"/>
  <c r="L851" i="20" a="1"/>
  <c r="L851" i="20" s="1"/>
  <c r="L852" i="20" a="1"/>
  <c r="L852" i="20" s="1"/>
  <c r="L853" i="20" a="1"/>
  <c r="L853" i="20"/>
  <c r="L854" i="20" a="1"/>
  <c r="L854" i="20" s="1"/>
  <c r="L855" i="20" a="1"/>
  <c r="L855" i="20" s="1"/>
  <c r="L856" i="20" a="1"/>
  <c r="L856" i="20" s="1"/>
  <c r="L857" i="20" a="1"/>
  <c r="L857" i="20"/>
  <c r="L858" i="20" a="1"/>
  <c r="L858" i="20" s="1"/>
  <c r="L859" i="20" a="1"/>
  <c r="L859" i="20" s="1"/>
  <c r="L860" i="20" a="1"/>
  <c r="L860" i="20" s="1"/>
  <c r="L861" i="20" a="1"/>
  <c r="L861" i="20"/>
  <c r="M2" i="20" a="1"/>
  <c r="M2" i="20" s="1"/>
  <c r="M3" i="20" a="1"/>
  <c r="M3" i="20" s="1"/>
  <c r="N3" i="20" s="1"/>
  <c r="M4" i="20" a="1"/>
  <c r="M4" i="20" s="1"/>
  <c r="M5" i="20" a="1"/>
  <c r="M5" i="20" s="1"/>
  <c r="N5" i="20" s="1"/>
  <c r="M6" i="20" a="1"/>
  <c r="M6" i="20" s="1"/>
  <c r="M7" i="20" a="1"/>
  <c r="M7" i="20" s="1"/>
  <c r="N7" i="20" s="1"/>
  <c r="M8" i="20" a="1"/>
  <c r="M8" i="20" s="1"/>
  <c r="N8" i="20" s="1"/>
  <c r="M9" i="20" a="1"/>
  <c r="M9" i="20"/>
  <c r="M10" i="20" a="1"/>
  <c r="M10" i="20" s="1"/>
  <c r="M11" i="20" a="1"/>
  <c r="M11" i="20" s="1"/>
  <c r="N11" i="20" s="1"/>
  <c r="M12" i="20" a="1"/>
  <c r="M12" i="20" s="1"/>
  <c r="M13" i="20" a="1"/>
  <c r="M13" i="20"/>
  <c r="M14" i="20" a="1"/>
  <c r="M14" i="20" s="1"/>
  <c r="M15" i="20" a="1"/>
  <c r="M15" i="20" s="1"/>
  <c r="N15" i="20" s="1"/>
  <c r="M16" i="20" a="1"/>
  <c r="M16" i="20" s="1"/>
  <c r="M17" i="20" a="1"/>
  <c r="M17" i="20"/>
  <c r="M18" i="20" a="1"/>
  <c r="M18" i="20" s="1"/>
  <c r="M19" i="20" a="1"/>
  <c r="M19" i="20" s="1"/>
  <c r="N19" i="20" s="1"/>
  <c r="M20" i="20" a="1"/>
  <c r="M20" i="20" s="1"/>
  <c r="M21" i="20" a="1"/>
  <c r="M21" i="20" s="1"/>
  <c r="M22" i="20" a="1"/>
  <c r="M22" i="20" s="1"/>
  <c r="M23" i="20" a="1"/>
  <c r="M23" i="20" s="1"/>
  <c r="N23" i="20" s="1"/>
  <c r="M24" i="20" a="1"/>
  <c r="M24" i="20" s="1"/>
  <c r="M25" i="20" a="1"/>
  <c r="M25" i="20"/>
  <c r="M26" i="20" a="1"/>
  <c r="M26" i="20" s="1"/>
  <c r="M27" i="20" a="1"/>
  <c r="M27" i="20" s="1"/>
  <c r="N27" i="20" s="1"/>
  <c r="M28" i="20" a="1"/>
  <c r="M28" i="20" s="1"/>
  <c r="M29" i="20" a="1"/>
  <c r="M29" i="20"/>
  <c r="M30" i="20" a="1"/>
  <c r="M30" i="20" s="1"/>
  <c r="M31" i="20" a="1"/>
  <c r="M31" i="20" s="1"/>
  <c r="N31" i="20" s="1"/>
  <c r="M32" i="20" a="1"/>
  <c r="M32" i="20" s="1"/>
  <c r="M33" i="20" a="1"/>
  <c r="M33" i="20"/>
  <c r="M34" i="20" a="1"/>
  <c r="M34" i="20" s="1"/>
  <c r="M35" i="20" a="1"/>
  <c r="M35" i="20" s="1"/>
  <c r="N35" i="20" s="1"/>
  <c r="M36" i="20" a="1"/>
  <c r="M36" i="20" s="1"/>
  <c r="M37" i="20" a="1"/>
  <c r="M37" i="20" s="1"/>
  <c r="M38" i="20" a="1"/>
  <c r="M38" i="20" s="1"/>
  <c r="M39" i="20" a="1"/>
  <c r="M39" i="20" s="1"/>
  <c r="N39" i="20" s="1"/>
  <c r="M40" i="20" a="1"/>
  <c r="M40" i="20" s="1"/>
  <c r="M41" i="20" a="1"/>
  <c r="M41" i="20"/>
  <c r="M42" i="20" a="1"/>
  <c r="M42" i="20" s="1"/>
  <c r="M43" i="20" a="1"/>
  <c r="M43" i="20" s="1"/>
  <c r="N43" i="20" s="1"/>
  <c r="M44" i="20" a="1"/>
  <c r="M44" i="20" s="1"/>
  <c r="M45" i="20" a="1"/>
  <c r="M45" i="20"/>
  <c r="M46" i="20" a="1"/>
  <c r="M46" i="20" s="1"/>
  <c r="M47" i="20" a="1"/>
  <c r="M47" i="20" s="1"/>
  <c r="N47" i="20" s="1"/>
  <c r="M48" i="20" a="1"/>
  <c r="M48" i="20" s="1"/>
  <c r="M49" i="20" a="1"/>
  <c r="M49" i="20"/>
  <c r="M50" i="20" a="1"/>
  <c r="M50" i="20" s="1"/>
  <c r="M51" i="20" a="1"/>
  <c r="M51" i="20" s="1"/>
  <c r="N51" i="20" s="1"/>
  <c r="M52" i="20" a="1"/>
  <c r="M52" i="20" s="1"/>
  <c r="M53" i="20" a="1"/>
  <c r="M53" i="20" s="1"/>
  <c r="M54" i="20" a="1"/>
  <c r="M54" i="20" s="1"/>
  <c r="M55" i="20" a="1"/>
  <c r="M55" i="20" s="1"/>
  <c r="N55" i="20" s="1"/>
  <c r="M56" i="20" a="1"/>
  <c r="M56" i="20" s="1"/>
  <c r="M57" i="20" a="1"/>
  <c r="M57" i="20"/>
  <c r="M58" i="20" a="1"/>
  <c r="M58" i="20" s="1"/>
  <c r="M59" i="20" a="1"/>
  <c r="M59" i="20" s="1"/>
  <c r="N59" i="20" s="1"/>
  <c r="M60" i="20" a="1"/>
  <c r="M60" i="20" s="1"/>
  <c r="M61" i="20" a="1"/>
  <c r="M61" i="20"/>
  <c r="M62" i="20" a="1"/>
  <c r="M62" i="20" s="1"/>
  <c r="M63" i="20" a="1"/>
  <c r="M63" i="20" s="1"/>
  <c r="N63" i="20" s="1"/>
  <c r="M64" i="20" a="1"/>
  <c r="M64" i="20" s="1"/>
  <c r="M65" i="20" a="1"/>
  <c r="M65" i="20"/>
  <c r="M66" i="20" a="1"/>
  <c r="M66" i="20" s="1"/>
  <c r="M67" i="20" a="1"/>
  <c r="M67" i="20" s="1"/>
  <c r="N67" i="20" s="1"/>
  <c r="M68" i="20" a="1"/>
  <c r="M68" i="20" s="1"/>
  <c r="M69" i="20" a="1"/>
  <c r="M69" i="20" s="1"/>
  <c r="M70" i="20" a="1"/>
  <c r="M70" i="20" s="1"/>
  <c r="M71" i="20" a="1"/>
  <c r="M71" i="20" s="1"/>
  <c r="N71" i="20" s="1"/>
  <c r="M72" i="20" a="1"/>
  <c r="M72" i="20" s="1"/>
  <c r="M73" i="20" a="1"/>
  <c r="M73" i="20"/>
  <c r="M74" i="20" a="1"/>
  <c r="M74" i="20" s="1"/>
  <c r="M75" i="20" a="1"/>
  <c r="M75" i="20" s="1"/>
  <c r="N75" i="20" s="1"/>
  <c r="M76" i="20" a="1"/>
  <c r="M76" i="20" s="1"/>
  <c r="M77" i="20" a="1"/>
  <c r="M77" i="20"/>
  <c r="M78" i="20" a="1"/>
  <c r="M78" i="20" s="1"/>
  <c r="M79" i="20" a="1"/>
  <c r="M79" i="20" s="1"/>
  <c r="N79" i="20" s="1"/>
  <c r="M80" i="20" a="1"/>
  <c r="M80" i="20" s="1"/>
  <c r="M81" i="20" a="1"/>
  <c r="M81" i="20"/>
  <c r="M82" i="20" a="1"/>
  <c r="M82" i="20" s="1"/>
  <c r="M83" i="20" a="1"/>
  <c r="M83" i="20" s="1"/>
  <c r="N83" i="20" s="1"/>
  <c r="M84" i="20" a="1"/>
  <c r="M84" i="20" s="1"/>
  <c r="M85" i="20" a="1"/>
  <c r="M85" i="20" s="1"/>
  <c r="M86" i="20" a="1"/>
  <c r="M86" i="20" s="1"/>
  <c r="M87" i="20" a="1"/>
  <c r="M87" i="20" s="1"/>
  <c r="N87" i="20" s="1"/>
  <c r="M88" i="20" a="1"/>
  <c r="M88" i="20" s="1"/>
  <c r="M89" i="20" a="1"/>
  <c r="M89" i="20"/>
  <c r="M90" i="20" a="1"/>
  <c r="M90" i="20" s="1"/>
  <c r="M91" i="20" a="1"/>
  <c r="M91" i="20" s="1"/>
  <c r="N91" i="20" s="1"/>
  <c r="M92" i="20" a="1"/>
  <c r="M92" i="20" s="1"/>
  <c r="M93" i="20" a="1"/>
  <c r="M93" i="20"/>
  <c r="M94" i="20" a="1"/>
  <c r="M94" i="20" s="1"/>
  <c r="M95" i="20" a="1"/>
  <c r="M95" i="20" s="1"/>
  <c r="N95" i="20" s="1"/>
  <c r="M96" i="20" a="1"/>
  <c r="M96" i="20" s="1"/>
  <c r="M97" i="20" a="1"/>
  <c r="M97" i="20"/>
  <c r="M98" i="20" a="1"/>
  <c r="M98" i="20" s="1"/>
  <c r="M99" i="20" a="1"/>
  <c r="M99" i="20" s="1"/>
  <c r="N99" i="20" s="1"/>
  <c r="M100" i="20" a="1"/>
  <c r="M100" i="20" s="1"/>
  <c r="M101" i="20" a="1"/>
  <c r="M101" i="20" s="1"/>
  <c r="M102" i="20" a="1"/>
  <c r="M102" i="20" s="1"/>
  <c r="M103" i="20" a="1"/>
  <c r="M103" i="20" s="1"/>
  <c r="N103" i="20" s="1"/>
  <c r="M104" i="20" a="1"/>
  <c r="M104" i="20" s="1"/>
  <c r="M105" i="20" a="1"/>
  <c r="M105" i="20" s="1"/>
  <c r="M106" i="20" a="1"/>
  <c r="M106" i="20" s="1"/>
  <c r="M107" i="20" a="1"/>
  <c r="M107" i="20" s="1"/>
  <c r="N107" i="20" s="1"/>
  <c r="M108" i="20" a="1"/>
  <c r="M108" i="20" s="1"/>
  <c r="M109" i="20" a="1"/>
  <c r="M109" i="20"/>
  <c r="M110" i="20" a="1"/>
  <c r="M110" i="20" s="1"/>
  <c r="M111" i="20" a="1"/>
  <c r="M111" i="20" s="1"/>
  <c r="N111" i="20" s="1"/>
  <c r="M112" i="20" a="1"/>
  <c r="M112" i="20" s="1"/>
  <c r="M113" i="20" a="1"/>
  <c r="M113" i="20"/>
  <c r="M114" i="20" a="1"/>
  <c r="M114" i="20" s="1"/>
  <c r="M115" i="20" a="1"/>
  <c r="M115" i="20" s="1"/>
  <c r="N115" i="20" s="1"/>
  <c r="M116" i="20" a="1"/>
  <c r="M116" i="20" s="1"/>
  <c r="M117" i="20" a="1"/>
  <c r="M117" i="20" s="1"/>
  <c r="M118" i="20" a="1"/>
  <c r="M118" i="20" s="1"/>
  <c r="M119" i="20" a="1"/>
  <c r="M119" i="20" s="1"/>
  <c r="N119" i="20" s="1"/>
  <c r="M120" i="20" a="1"/>
  <c r="M120" i="20" s="1"/>
  <c r="M121" i="20" a="1"/>
  <c r="M121" i="20" s="1"/>
  <c r="M122" i="20" a="1"/>
  <c r="M122" i="20" s="1"/>
  <c r="M123" i="20" a="1"/>
  <c r="M123" i="20" s="1"/>
  <c r="N123" i="20" s="1"/>
  <c r="M124" i="20" a="1"/>
  <c r="M124" i="20" s="1"/>
  <c r="M125" i="20" a="1"/>
  <c r="M125" i="20"/>
  <c r="M126" i="20" a="1"/>
  <c r="M126" i="20" s="1"/>
  <c r="M127" i="20" a="1"/>
  <c r="M127" i="20" s="1"/>
  <c r="N127" i="20" s="1"/>
  <c r="M128" i="20" a="1"/>
  <c r="M128" i="20" s="1"/>
  <c r="M129" i="20" a="1"/>
  <c r="M129" i="20"/>
  <c r="M130" i="20" a="1"/>
  <c r="M130" i="20" s="1"/>
  <c r="M131" i="20" a="1"/>
  <c r="M131" i="20" s="1"/>
  <c r="N131" i="20" s="1"/>
  <c r="M132" i="20" a="1"/>
  <c r="M132" i="20" s="1"/>
  <c r="M133" i="20" a="1"/>
  <c r="M133" i="20" s="1"/>
  <c r="M134" i="20" a="1"/>
  <c r="M134" i="20" s="1"/>
  <c r="M135" i="20" a="1"/>
  <c r="M135" i="20" s="1"/>
  <c r="N135" i="20" s="1"/>
  <c r="M136" i="20" a="1"/>
  <c r="M136" i="20" s="1"/>
  <c r="M137" i="20" a="1"/>
  <c r="M137" i="20" s="1"/>
  <c r="N137" i="20" s="1"/>
  <c r="M138" i="20" a="1"/>
  <c r="M138" i="20" s="1"/>
  <c r="M139" i="20" a="1"/>
  <c r="M139" i="20" s="1"/>
  <c r="N139" i="20" s="1"/>
  <c r="M140" i="20" a="1"/>
  <c r="M140" i="20" s="1"/>
  <c r="M141" i="20" a="1"/>
  <c r="M141" i="20" s="1"/>
  <c r="M142" i="20" a="1"/>
  <c r="M142" i="20" s="1"/>
  <c r="M143" i="20" a="1"/>
  <c r="M143" i="20" s="1"/>
  <c r="N143" i="20" s="1"/>
  <c r="M144" i="20" a="1"/>
  <c r="M144" i="20" s="1"/>
  <c r="M145" i="20" a="1"/>
  <c r="M145" i="20"/>
  <c r="M146" i="20" a="1"/>
  <c r="M146" i="20" s="1"/>
  <c r="M147" i="20" a="1"/>
  <c r="M147" i="20" s="1"/>
  <c r="N147" i="20" s="1"/>
  <c r="M148" i="20" a="1"/>
  <c r="M148" i="20" s="1"/>
  <c r="M149" i="20" a="1"/>
  <c r="M149" i="20"/>
  <c r="M150" i="20" a="1"/>
  <c r="M150" i="20" s="1"/>
  <c r="N150" i="20" s="1"/>
  <c r="M151" i="20" a="1"/>
  <c r="M151" i="20"/>
  <c r="M152" i="20" a="1"/>
  <c r="M152" i="20" s="1"/>
  <c r="M153" i="20" a="1"/>
  <c r="M153" i="20"/>
  <c r="M154" i="20" a="1"/>
  <c r="M154" i="20" s="1"/>
  <c r="M155" i="20" a="1"/>
  <c r="M155" i="20"/>
  <c r="M156" i="20" a="1"/>
  <c r="M156" i="20" s="1"/>
  <c r="N156" i="20" s="1"/>
  <c r="M157" i="20" a="1"/>
  <c r="M157" i="20" s="1"/>
  <c r="M158" i="20" a="1"/>
  <c r="M158" i="20"/>
  <c r="M159" i="20" a="1"/>
  <c r="M159" i="20" s="1"/>
  <c r="M160" i="20" a="1"/>
  <c r="M160" i="20"/>
  <c r="M161" i="20" a="1"/>
  <c r="M161" i="20" s="1"/>
  <c r="M162" i="20" a="1"/>
  <c r="M162" i="20"/>
  <c r="M163" i="20" a="1"/>
  <c r="M163" i="20" s="1"/>
  <c r="M164" i="20" a="1"/>
  <c r="M164" i="20"/>
  <c r="M165" i="20" a="1"/>
  <c r="M165" i="20" s="1"/>
  <c r="M166" i="20" a="1"/>
  <c r="M166" i="20" s="1"/>
  <c r="N166" i="20" s="1"/>
  <c r="M167" i="20" a="1"/>
  <c r="M167" i="20" s="1"/>
  <c r="M168" i="20" a="1"/>
  <c r="M168" i="20"/>
  <c r="M169" i="20" a="1"/>
  <c r="M169" i="20" s="1"/>
  <c r="M170" i="20" a="1"/>
  <c r="M170" i="20" s="1"/>
  <c r="N170" i="20" s="1"/>
  <c r="M171" i="20" a="1"/>
  <c r="M171" i="20"/>
  <c r="M172" i="20" a="1"/>
  <c r="M172" i="20" s="1"/>
  <c r="N172" i="20" s="1"/>
  <c r="M173" i="20" a="1"/>
  <c r="M173" i="20"/>
  <c r="M174" i="20" a="1"/>
  <c r="M174" i="20" s="1"/>
  <c r="N174" i="20" s="1"/>
  <c r="M175" i="20" a="1"/>
  <c r="M175" i="20" s="1"/>
  <c r="M176" i="20" a="1"/>
  <c r="M176" i="20" s="1"/>
  <c r="N176" i="20" s="1"/>
  <c r="M177" i="20" a="1"/>
  <c r="M177" i="20" s="1"/>
  <c r="M178" i="20" a="1"/>
  <c r="M178" i="20" s="1"/>
  <c r="N178" i="20" s="1"/>
  <c r="M179" i="20" a="1"/>
  <c r="M179" i="20"/>
  <c r="M180" i="20" a="1"/>
  <c r="M180" i="20" s="1"/>
  <c r="N180" i="20" s="1"/>
  <c r="M181" i="20" a="1"/>
  <c r="M181" i="20"/>
  <c r="M182" i="20" a="1"/>
  <c r="M182" i="20" s="1"/>
  <c r="N182" i="20" s="1"/>
  <c r="M183" i="20" a="1"/>
  <c r="M183" i="20" s="1"/>
  <c r="M184" i="20" a="1"/>
  <c r="M184" i="20"/>
  <c r="M185" i="20" a="1"/>
  <c r="M185" i="20" s="1"/>
  <c r="M186" i="20" a="1"/>
  <c r="M186" i="20" s="1"/>
  <c r="N186" i="20" s="1"/>
  <c r="M187" i="20" a="1"/>
  <c r="M187" i="20" s="1"/>
  <c r="M188" i="20" a="1"/>
  <c r="M188" i="20"/>
  <c r="M189" i="20" a="1"/>
  <c r="M189" i="20" s="1"/>
  <c r="M190" i="20" a="1"/>
  <c r="M190" i="20"/>
  <c r="M191" i="20" a="1"/>
  <c r="M191" i="20" s="1"/>
  <c r="M192" i="20" a="1"/>
  <c r="M192" i="20" s="1"/>
  <c r="N192" i="20" s="1"/>
  <c r="M193" i="20" a="1"/>
  <c r="M193" i="20"/>
  <c r="M194" i="20" a="1"/>
  <c r="M194" i="20" s="1"/>
  <c r="N194" i="20" s="1"/>
  <c r="M195" i="20" a="1"/>
  <c r="M195" i="20"/>
  <c r="M196" i="20" a="1"/>
  <c r="M196" i="20" s="1"/>
  <c r="N196" i="20" s="1"/>
  <c r="M197" i="20" a="1"/>
  <c r="M197" i="20" s="1"/>
  <c r="M198" i="20" a="1"/>
  <c r="M198" i="20" s="1"/>
  <c r="N198" i="20" s="1"/>
  <c r="M199" i="20" a="1"/>
  <c r="M199" i="20" s="1"/>
  <c r="M200" i="20" a="1"/>
  <c r="M200" i="20" s="1"/>
  <c r="N200" i="20" s="1"/>
  <c r="M201" i="20" a="1"/>
  <c r="M201" i="20"/>
  <c r="M202" i="20" a="1"/>
  <c r="M202" i="20" s="1"/>
  <c r="N202" i="20" s="1"/>
  <c r="M203" i="20" a="1"/>
  <c r="M203" i="20"/>
  <c r="M204" i="20" a="1"/>
  <c r="M204" i="20" s="1"/>
  <c r="N204" i="20" s="1"/>
  <c r="M205" i="20" a="1"/>
  <c r="M205" i="20" s="1"/>
  <c r="M206" i="20" a="1"/>
  <c r="M206" i="20" s="1"/>
  <c r="N206" i="20" s="1"/>
  <c r="M207" i="20" a="1"/>
  <c r="M207" i="20" s="1"/>
  <c r="M208" i="20" a="1"/>
  <c r="M208" i="20" s="1"/>
  <c r="N208" i="20" s="1"/>
  <c r="M209" i="20" a="1"/>
  <c r="M209" i="20"/>
  <c r="M210" i="20" a="1"/>
  <c r="M210" i="20" s="1"/>
  <c r="N210" i="20" s="1"/>
  <c r="M211" i="20" a="1"/>
  <c r="M211" i="20"/>
  <c r="M212" i="20" a="1"/>
  <c r="M212" i="20" s="1"/>
  <c r="N212" i="20" s="1"/>
  <c r="M213" i="20" a="1"/>
  <c r="M213" i="20" s="1"/>
  <c r="M214" i="20" a="1"/>
  <c r="M214" i="20" s="1"/>
  <c r="N214" i="20" s="1"/>
  <c r="M215" i="20" a="1"/>
  <c r="M215" i="20" s="1"/>
  <c r="M216" i="20" a="1"/>
  <c r="M216" i="20" s="1"/>
  <c r="N216" i="20" s="1"/>
  <c r="M217" i="20" a="1"/>
  <c r="M217" i="20"/>
  <c r="M218" i="20" a="1"/>
  <c r="M218" i="20" s="1"/>
  <c r="N218" i="20" s="1"/>
  <c r="M219" i="20" a="1"/>
  <c r="M219" i="20"/>
  <c r="M220" i="20" a="1"/>
  <c r="M220" i="20" s="1"/>
  <c r="N220" i="20" s="1"/>
  <c r="M221" i="20" a="1"/>
  <c r="M221" i="20" s="1"/>
  <c r="M222" i="20" a="1"/>
  <c r="M222" i="20" s="1"/>
  <c r="N222" i="20" s="1"/>
  <c r="M223" i="20" a="1"/>
  <c r="M223" i="20" s="1"/>
  <c r="M224" i="20" a="1"/>
  <c r="M224" i="20" s="1"/>
  <c r="N224" i="20" s="1"/>
  <c r="M225" i="20" a="1"/>
  <c r="M225" i="20"/>
  <c r="M226" i="20" a="1"/>
  <c r="M226" i="20" s="1"/>
  <c r="N226" i="20" s="1"/>
  <c r="M227" i="20" a="1"/>
  <c r="M227" i="20"/>
  <c r="M228" i="20" a="1"/>
  <c r="M228" i="20" s="1"/>
  <c r="N228" i="20" s="1"/>
  <c r="M229" i="20" a="1"/>
  <c r="M229" i="20" s="1"/>
  <c r="M230" i="20" a="1"/>
  <c r="M230" i="20" s="1"/>
  <c r="N230" i="20" s="1"/>
  <c r="M231" i="20" a="1"/>
  <c r="M231" i="20" s="1"/>
  <c r="M232" i="20" a="1"/>
  <c r="M232" i="20" s="1"/>
  <c r="N232" i="20" s="1"/>
  <c r="M233" i="20" a="1"/>
  <c r="M233" i="20"/>
  <c r="M234" i="20" a="1"/>
  <c r="M234" i="20" s="1"/>
  <c r="N234" i="20" s="1"/>
  <c r="M235" i="20" a="1"/>
  <c r="M235" i="20"/>
  <c r="M236" i="20" a="1"/>
  <c r="M236" i="20" s="1"/>
  <c r="N236" i="20" s="1"/>
  <c r="M237" i="20" a="1"/>
  <c r="M237" i="20" s="1"/>
  <c r="M238" i="20" a="1"/>
  <c r="M238" i="20" s="1"/>
  <c r="N238" i="20" s="1"/>
  <c r="M239" i="20" a="1"/>
  <c r="M239" i="20" s="1"/>
  <c r="M240" i="20" a="1"/>
  <c r="M240" i="20" s="1"/>
  <c r="N240" i="20" s="1"/>
  <c r="M241" i="20" a="1"/>
  <c r="M241" i="20"/>
  <c r="M242" i="20" a="1"/>
  <c r="M242" i="20" s="1"/>
  <c r="N242" i="20" s="1"/>
  <c r="M243" i="20" a="1"/>
  <c r="M243" i="20"/>
  <c r="M244" i="20" a="1"/>
  <c r="M244" i="20" s="1"/>
  <c r="N244" i="20" s="1"/>
  <c r="M245" i="20" a="1"/>
  <c r="M245" i="20" s="1"/>
  <c r="M246" i="20" a="1"/>
  <c r="M246" i="20" s="1"/>
  <c r="N246" i="20" s="1"/>
  <c r="M247" i="20" a="1"/>
  <c r="M247" i="20" s="1"/>
  <c r="M248" i="20" a="1"/>
  <c r="M248" i="20" s="1"/>
  <c r="N248" i="20" s="1"/>
  <c r="M249" i="20" a="1"/>
  <c r="M249" i="20"/>
  <c r="M250" i="20" a="1"/>
  <c r="M250" i="20" s="1"/>
  <c r="N250" i="20" s="1"/>
  <c r="M251" i="20" a="1"/>
  <c r="M251" i="20"/>
  <c r="M252" i="20" a="1"/>
  <c r="M252" i="20" s="1"/>
  <c r="N252" i="20" s="1"/>
  <c r="M253" i="20" a="1"/>
  <c r="M253" i="20" s="1"/>
  <c r="M254" i="20" a="1"/>
  <c r="M254" i="20" s="1"/>
  <c r="N254" i="20" s="1"/>
  <c r="M255" i="20" a="1"/>
  <c r="M255" i="20" s="1"/>
  <c r="M256" i="20" a="1"/>
  <c r="M256" i="20" s="1"/>
  <c r="N256" i="20" s="1"/>
  <c r="M257" i="20" a="1"/>
  <c r="M257" i="20"/>
  <c r="M258" i="20" a="1"/>
  <c r="M258" i="20" s="1"/>
  <c r="N258" i="20" s="1"/>
  <c r="M259" i="20" a="1"/>
  <c r="M259" i="20"/>
  <c r="M260" i="20" a="1"/>
  <c r="M260" i="20" s="1"/>
  <c r="N260" i="20" s="1"/>
  <c r="M261" i="20" a="1"/>
  <c r="M261" i="20" s="1"/>
  <c r="M262" i="20" a="1"/>
  <c r="M262" i="20" s="1"/>
  <c r="N262" i="20" s="1"/>
  <c r="M263" i="20" a="1"/>
  <c r="M263" i="20" s="1"/>
  <c r="M264" i="20" a="1"/>
  <c r="M264" i="20" s="1"/>
  <c r="N264" i="20" s="1"/>
  <c r="M265" i="20" a="1"/>
  <c r="M265" i="20"/>
  <c r="M266" i="20" a="1"/>
  <c r="M266" i="20" s="1"/>
  <c r="N266" i="20" s="1"/>
  <c r="M267" i="20" a="1"/>
  <c r="M267" i="20"/>
  <c r="M268" i="20" a="1"/>
  <c r="M268" i="20" s="1"/>
  <c r="N268" i="20" s="1"/>
  <c r="M269" i="20" a="1"/>
  <c r="M269" i="20" s="1"/>
  <c r="M270" i="20" a="1"/>
  <c r="M270" i="20" s="1"/>
  <c r="N270" i="20" s="1"/>
  <c r="M271" i="20" a="1"/>
  <c r="M271" i="20" s="1"/>
  <c r="M272" i="20" a="1"/>
  <c r="M272" i="20" s="1"/>
  <c r="N272" i="20" s="1"/>
  <c r="M273" i="20" a="1"/>
  <c r="M273" i="20"/>
  <c r="M274" i="20" a="1"/>
  <c r="M274" i="20" s="1"/>
  <c r="N274" i="20" s="1"/>
  <c r="M275" i="20" a="1"/>
  <c r="M275" i="20"/>
  <c r="M276" i="20" a="1"/>
  <c r="M276" i="20" s="1"/>
  <c r="N276" i="20" s="1"/>
  <c r="M277" i="20" a="1"/>
  <c r="M277" i="20" s="1"/>
  <c r="M278" i="20" a="1"/>
  <c r="M278" i="20" s="1"/>
  <c r="N278" i="20" s="1"/>
  <c r="M279" i="20" a="1"/>
  <c r="M279" i="20" s="1"/>
  <c r="M280" i="20" a="1"/>
  <c r="M280" i="20" s="1"/>
  <c r="N280" i="20" s="1"/>
  <c r="M281" i="20" a="1"/>
  <c r="M281" i="20"/>
  <c r="M282" i="20" a="1"/>
  <c r="M282" i="20" s="1"/>
  <c r="N282" i="20" s="1"/>
  <c r="M283" i="20" a="1"/>
  <c r="M283" i="20"/>
  <c r="M284" i="20" a="1"/>
  <c r="M284" i="20" s="1"/>
  <c r="N284" i="20" s="1"/>
  <c r="M285" i="20" a="1"/>
  <c r="M285" i="20" s="1"/>
  <c r="M286" i="20" a="1"/>
  <c r="M286" i="20"/>
  <c r="M287" i="20" a="1"/>
  <c r="M287" i="20" s="1"/>
  <c r="M288" i="20" a="1"/>
  <c r="M288" i="20"/>
  <c r="M289" i="20" a="1"/>
  <c r="M289" i="20" s="1"/>
  <c r="M290" i="20" a="1"/>
  <c r="M290" i="20"/>
  <c r="M291" i="20" a="1"/>
  <c r="M291" i="20" s="1"/>
  <c r="M292" i="20" a="1"/>
  <c r="M292" i="20"/>
  <c r="M293" i="20" a="1"/>
  <c r="M293" i="20" s="1"/>
  <c r="M294" i="20" a="1"/>
  <c r="M294" i="20"/>
  <c r="M295" i="20" a="1"/>
  <c r="M295" i="20" s="1"/>
  <c r="M296" i="20" a="1"/>
  <c r="M296" i="20" s="1"/>
  <c r="N296" i="20" s="1"/>
  <c r="M297" i="20" a="1"/>
  <c r="M297" i="20" s="1"/>
  <c r="M298" i="20" a="1"/>
  <c r="M298" i="20"/>
  <c r="M299" i="20" a="1"/>
  <c r="M299" i="20" s="1"/>
  <c r="M300" i="20" a="1"/>
  <c r="M300" i="20"/>
  <c r="M301" i="20" a="1"/>
  <c r="M301" i="20" s="1"/>
  <c r="M302" i="20" a="1"/>
  <c r="M302" i="20"/>
  <c r="M303" i="20" a="1"/>
  <c r="M303" i="20" s="1"/>
  <c r="M304" i="20" a="1"/>
  <c r="M304" i="20"/>
  <c r="M305" i="20" a="1"/>
  <c r="M305" i="20" s="1"/>
  <c r="M306" i="20" a="1"/>
  <c r="M306" i="20" s="1"/>
  <c r="N306" i="20" s="1"/>
  <c r="M307" i="20" a="1"/>
  <c r="M307" i="20"/>
  <c r="M308" i="20" a="1"/>
  <c r="M308" i="20" s="1"/>
  <c r="M309" i="20" a="1"/>
  <c r="M309" i="20"/>
  <c r="M310" i="20" a="1"/>
  <c r="M310" i="20"/>
  <c r="M311" i="20" a="1"/>
  <c r="M311" i="20"/>
  <c r="M312" i="20" a="1"/>
  <c r="M312" i="20"/>
  <c r="M313" i="20" a="1"/>
  <c r="M313" i="20"/>
  <c r="M314" i="20" a="1"/>
  <c r="M314" i="20" s="1"/>
  <c r="M315" i="20" a="1"/>
  <c r="M315" i="20"/>
  <c r="M316" i="20" a="1"/>
  <c r="M316" i="20"/>
  <c r="M317" i="20" a="1"/>
  <c r="M317" i="20"/>
  <c r="M318" i="20" a="1"/>
  <c r="M318" i="20" s="1"/>
  <c r="N318" i="20" s="1"/>
  <c r="M319" i="20" a="1"/>
  <c r="M319" i="20"/>
  <c r="M320" i="20" a="1"/>
  <c r="M320" i="20" s="1"/>
  <c r="M321" i="20" a="1"/>
  <c r="M321" i="20"/>
  <c r="M322" i="20" a="1"/>
  <c r="M322" i="20" s="1"/>
  <c r="M323" i="20" a="1"/>
  <c r="M323" i="20"/>
  <c r="M324" i="20" a="1"/>
  <c r="M324" i="20" s="1"/>
  <c r="M325" i="20" a="1"/>
  <c r="M325" i="20"/>
  <c r="M326" i="20" a="1"/>
  <c r="M326" i="20" s="1"/>
  <c r="M327" i="20" a="1"/>
  <c r="M327" i="20"/>
  <c r="M328" i="20" a="1"/>
  <c r="M328" i="20" s="1"/>
  <c r="M329" i="20" a="1"/>
  <c r="M329" i="20"/>
  <c r="M330" i="20" a="1"/>
  <c r="M330" i="20" s="1"/>
  <c r="N330" i="20" s="1"/>
  <c r="M331" i="20" a="1"/>
  <c r="M331" i="20" s="1"/>
  <c r="M332" i="20" a="1"/>
  <c r="M332" i="20"/>
  <c r="M333" i="20" a="1"/>
  <c r="M333" i="20" s="1"/>
  <c r="M334" i="20" a="1"/>
  <c r="M334" i="20"/>
  <c r="M335" i="20" a="1"/>
  <c r="M335" i="20" s="1"/>
  <c r="M336" i="20" a="1"/>
  <c r="M336" i="20"/>
  <c r="M337" i="20" a="1"/>
  <c r="M337" i="20" s="1"/>
  <c r="M338" i="20" a="1"/>
  <c r="M338" i="20"/>
  <c r="M339" i="20" a="1"/>
  <c r="M339" i="20" s="1"/>
  <c r="M340" i="20" a="1"/>
  <c r="M340" i="20"/>
  <c r="M341" i="20" a="1"/>
  <c r="M341" i="20" s="1"/>
  <c r="M342" i="20" a="1"/>
  <c r="M342" i="20" s="1"/>
  <c r="N342" i="20" s="1"/>
  <c r="M343" i="20" a="1"/>
  <c r="M343" i="20" s="1"/>
  <c r="M344" i="20" a="1"/>
  <c r="M344" i="20"/>
  <c r="M345" i="20" a="1"/>
  <c r="M345" i="20" s="1"/>
  <c r="M346" i="20" a="1"/>
  <c r="M346" i="20"/>
  <c r="M347" i="20" a="1"/>
  <c r="M347" i="20" s="1"/>
  <c r="M348" i="20" a="1"/>
  <c r="M348" i="20"/>
  <c r="M349" i="20" a="1"/>
  <c r="M349" i="20" s="1"/>
  <c r="M350" i="20" a="1"/>
  <c r="M350" i="20"/>
  <c r="M351" i="20" a="1"/>
  <c r="M351" i="20" s="1"/>
  <c r="M352" i="20" a="1"/>
  <c r="M352" i="20" s="1"/>
  <c r="N352" i="20" s="1"/>
  <c r="M353" i="20" a="1"/>
  <c r="M353" i="20"/>
  <c r="M354" i="20" a="1"/>
  <c r="M354" i="20" s="1"/>
  <c r="M355" i="20" a="1"/>
  <c r="M355" i="20"/>
  <c r="M356" i="20" a="1"/>
  <c r="M356" i="20" s="1"/>
  <c r="M357" i="20" a="1"/>
  <c r="M357" i="20"/>
  <c r="M358" i="20" a="1"/>
  <c r="M358" i="20" s="1"/>
  <c r="M359" i="20" a="1"/>
  <c r="M359" i="20"/>
  <c r="M360" i="20" a="1"/>
  <c r="M360" i="20"/>
  <c r="M361" i="20" a="1"/>
  <c r="M361" i="20"/>
  <c r="M362" i="20" a="1"/>
  <c r="M362" i="20"/>
  <c r="M363" i="20" a="1"/>
  <c r="M363" i="20"/>
  <c r="M364" i="20" a="1"/>
  <c r="M364" i="20" s="1"/>
  <c r="N364" i="20" s="1"/>
  <c r="M365" i="20" a="1"/>
  <c r="M365" i="20"/>
  <c r="M366" i="20" a="1"/>
  <c r="M366" i="20" s="1"/>
  <c r="M367" i="20" a="1"/>
  <c r="M367" i="20"/>
  <c r="M368" i="20" a="1"/>
  <c r="M368" i="20" s="1"/>
  <c r="M369" i="20" a="1"/>
  <c r="M369" i="20"/>
  <c r="M370" i="20" a="1"/>
  <c r="M370" i="20" s="1"/>
  <c r="M371" i="20" a="1"/>
  <c r="M371" i="20"/>
  <c r="M372" i="20" a="1"/>
  <c r="M372" i="20" s="1"/>
  <c r="M373" i="20" a="1"/>
  <c r="M373" i="20"/>
  <c r="M374" i="20" a="1"/>
  <c r="M374" i="20" s="1"/>
  <c r="M375" i="20" a="1"/>
  <c r="M375" i="20"/>
  <c r="M376" i="20" a="1"/>
  <c r="M376" i="20" s="1"/>
  <c r="N376" i="20" s="1"/>
  <c r="M377" i="20" a="1"/>
  <c r="M377" i="20" s="1"/>
  <c r="M378" i="20" a="1"/>
  <c r="M378" i="20"/>
  <c r="M379" i="20" a="1"/>
  <c r="M379" i="20" s="1"/>
  <c r="M380" i="20" a="1"/>
  <c r="M380" i="20"/>
  <c r="M381" i="20" a="1"/>
  <c r="M381" i="20" s="1"/>
  <c r="M382" i="20" a="1"/>
  <c r="M382" i="20"/>
  <c r="M383" i="20" a="1"/>
  <c r="M383" i="20" s="1"/>
  <c r="M384" i="20" a="1"/>
  <c r="M384" i="20"/>
  <c r="M385" i="20" a="1"/>
  <c r="M385" i="20" s="1"/>
  <c r="M386" i="20" a="1"/>
  <c r="M386" i="20" s="1"/>
  <c r="N386" i="20" s="1"/>
  <c r="M387" i="20" a="1"/>
  <c r="M387" i="20" s="1"/>
  <c r="M388" i="20" a="1"/>
  <c r="M388" i="20"/>
  <c r="M389" i="20" a="1"/>
  <c r="M389" i="20" s="1"/>
  <c r="M390" i="20" a="1"/>
  <c r="M390" i="20"/>
  <c r="M391" i="20" a="1"/>
  <c r="M391" i="20" s="1"/>
  <c r="M392" i="20" a="1"/>
  <c r="M392" i="20"/>
  <c r="M393" i="20" a="1"/>
  <c r="M393" i="20" s="1"/>
  <c r="M394" i="20" a="1"/>
  <c r="M394" i="20"/>
  <c r="M395" i="20" a="1"/>
  <c r="M395" i="20" s="1"/>
  <c r="M396" i="20" a="1"/>
  <c r="M396" i="20"/>
  <c r="M397" i="20" a="1"/>
  <c r="M397" i="20" s="1"/>
  <c r="M398" i="20" a="1"/>
  <c r="M398" i="20" s="1"/>
  <c r="N398" i="20" s="1"/>
  <c r="M399" i="20" a="1"/>
  <c r="M399" i="20"/>
  <c r="M400" i="20" a="1"/>
  <c r="M400" i="20" s="1"/>
  <c r="M401" i="20" a="1"/>
  <c r="M401" i="20"/>
  <c r="M402" i="20" a="1"/>
  <c r="M402" i="20" s="1"/>
  <c r="M403" i="20" a="1"/>
  <c r="M403" i="20"/>
  <c r="M404" i="20" a="1"/>
  <c r="M404" i="20" s="1"/>
  <c r="M405" i="20" a="1"/>
  <c r="M405" i="20"/>
  <c r="M406" i="20" a="1"/>
  <c r="M406" i="20"/>
  <c r="M407" i="20" a="1"/>
  <c r="M407" i="20"/>
  <c r="M408" i="20" a="1"/>
  <c r="M408" i="20" s="1"/>
  <c r="N408" i="20" s="1"/>
  <c r="M409" i="20" a="1"/>
  <c r="M409" i="20"/>
  <c r="M410" i="20" a="1"/>
  <c r="M410" i="20" s="1"/>
  <c r="M411" i="20" a="1"/>
  <c r="M411" i="20"/>
  <c r="M412" i="20" a="1"/>
  <c r="M412" i="20" s="1"/>
  <c r="M413" i="20" a="1"/>
  <c r="M413" i="20"/>
  <c r="M414" i="20" a="1"/>
  <c r="M414" i="20" s="1"/>
  <c r="M415" i="20" a="1"/>
  <c r="M415" i="20"/>
  <c r="M416" i="20" a="1"/>
  <c r="M416" i="20" s="1"/>
  <c r="M417" i="20" a="1"/>
  <c r="M417" i="20"/>
  <c r="M418" i="20" a="1"/>
  <c r="M418" i="20" s="1"/>
  <c r="M419" i="20" a="1"/>
  <c r="M419" i="20"/>
  <c r="M420" i="20" a="1"/>
  <c r="M420" i="20" s="1"/>
  <c r="N420" i="20" s="1"/>
  <c r="M421" i="20" a="1"/>
  <c r="M421" i="20" s="1"/>
  <c r="M422" i="20" a="1"/>
  <c r="M422" i="20"/>
  <c r="M423" i="20" a="1"/>
  <c r="M423" i="20" s="1"/>
  <c r="M424" i="20" a="1"/>
  <c r="M424" i="20"/>
  <c r="M425" i="20" a="1"/>
  <c r="M425" i="20" s="1"/>
  <c r="M426" i="20" a="1"/>
  <c r="M426" i="20"/>
  <c r="M427" i="20" a="1"/>
  <c r="M427" i="20" s="1"/>
  <c r="M428" i="20" a="1"/>
  <c r="M428" i="20"/>
  <c r="M429" i="20" a="1"/>
  <c r="M429" i="20" s="1"/>
  <c r="M430" i="20" a="1"/>
  <c r="M430" i="20"/>
  <c r="M431" i="20" a="1"/>
  <c r="M431" i="20" s="1"/>
  <c r="M432" i="20" a="1"/>
  <c r="M432" i="20" s="1"/>
  <c r="N432" i="20" s="1"/>
  <c r="M433" i="20" a="1"/>
  <c r="M433" i="20" s="1"/>
  <c r="M434" i="20" a="1"/>
  <c r="M434" i="20"/>
  <c r="M435" i="20" a="1"/>
  <c r="M435" i="20" s="1"/>
  <c r="M436" i="20" a="1"/>
  <c r="M436" i="20"/>
  <c r="M437" i="20" a="1"/>
  <c r="M437" i="20" s="1"/>
  <c r="M438" i="20" a="1"/>
  <c r="M438" i="20"/>
  <c r="M439" i="20" a="1"/>
  <c r="M439" i="20" s="1"/>
  <c r="M440" i="20" a="1"/>
  <c r="M440" i="20"/>
  <c r="M441" i="20" a="1"/>
  <c r="M441" i="20" s="1"/>
  <c r="M442" i="20" a="1"/>
  <c r="M442" i="20"/>
  <c r="M443" i="20" a="1"/>
  <c r="M443" i="20" s="1"/>
  <c r="M444" i="20" a="1"/>
  <c r="M444" i="20"/>
  <c r="M445" i="20" a="1"/>
  <c r="M445" i="20" s="1"/>
  <c r="M446" i="20" a="1"/>
  <c r="M446" i="20"/>
  <c r="M447" i="20" a="1"/>
  <c r="M447" i="20" s="1"/>
  <c r="M448" i="20" a="1"/>
  <c r="M448" i="20"/>
  <c r="M449" i="20" a="1"/>
  <c r="M449" i="20" s="1"/>
  <c r="M450" i="20" a="1"/>
  <c r="M450" i="20"/>
  <c r="M451" i="20" a="1"/>
  <c r="M451" i="20" s="1"/>
  <c r="M452" i="20" a="1"/>
  <c r="M452" i="20"/>
  <c r="M453" i="20" a="1"/>
  <c r="M453" i="20" s="1"/>
  <c r="M454" i="20" a="1"/>
  <c r="M454" i="20"/>
  <c r="M455" i="20" a="1"/>
  <c r="M455" i="20" s="1"/>
  <c r="M456" i="20" a="1"/>
  <c r="M456" i="20"/>
  <c r="M457" i="20" a="1"/>
  <c r="M457" i="20" s="1"/>
  <c r="M458" i="20" a="1"/>
  <c r="M458" i="20"/>
  <c r="M459" i="20" a="1"/>
  <c r="M459" i="20" s="1"/>
  <c r="M460" i="20" a="1"/>
  <c r="M460" i="20" s="1"/>
  <c r="N460" i="20" s="1"/>
  <c r="M461" i="20" a="1"/>
  <c r="M461" i="20"/>
  <c r="M462" i="20" a="1"/>
  <c r="M462" i="20" s="1"/>
  <c r="M463" i="20" a="1"/>
  <c r="M463" i="20"/>
  <c r="M464" i="20" a="1"/>
  <c r="M464" i="20" s="1"/>
  <c r="M465" i="20" a="1"/>
  <c r="M465" i="20"/>
  <c r="M466" i="20" a="1"/>
  <c r="M466" i="20" s="1"/>
  <c r="M467" i="20" a="1"/>
  <c r="M467" i="20"/>
  <c r="M468" i="20" a="1"/>
  <c r="M468" i="20" s="1"/>
  <c r="M469" i="20" a="1"/>
  <c r="M469" i="20"/>
  <c r="M470" i="20" a="1"/>
  <c r="M470" i="20" s="1"/>
  <c r="M471" i="20" a="1"/>
  <c r="M471" i="20"/>
  <c r="M472" i="20" a="1"/>
  <c r="M472" i="20" s="1"/>
  <c r="M473" i="20" a="1"/>
  <c r="M473" i="20"/>
  <c r="M474" i="20" a="1"/>
  <c r="M474" i="20" s="1"/>
  <c r="M475" i="20" a="1"/>
  <c r="M475" i="20"/>
  <c r="M476" i="20" a="1"/>
  <c r="M476" i="20" s="1"/>
  <c r="M477" i="20" a="1"/>
  <c r="M477" i="20"/>
  <c r="M478" i="20" a="1"/>
  <c r="M478" i="20" s="1"/>
  <c r="M479" i="20" a="1"/>
  <c r="M479" i="20"/>
  <c r="M480" i="20" a="1"/>
  <c r="M480" i="20" s="1"/>
  <c r="M481" i="20" a="1"/>
  <c r="M481" i="20"/>
  <c r="M482" i="20" a="1"/>
  <c r="M482" i="20" s="1"/>
  <c r="M483" i="20" a="1"/>
  <c r="M483" i="20"/>
  <c r="M484" i="20" a="1"/>
  <c r="M484" i="20" s="1"/>
  <c r="M485" i="20" a="1"/>
  <c r="M485" i="20"/>
  <c r="M486" i="20" a="1"/>
  <c r="M486" i="20" s="1"/>
  <c r="M487" i="20" a="1"/>
  <c r="M487" i="20"/>
  <c r="M488" i="20" a="1"/>
  <c r="M488" i="20"/>
  <c r="M489" i="20" a="1"/>
  <c r="M489" i="20"/>
  <c r="M490" i="20" a="1"/>
  <c r="M490" i="20" s="1"/>
  <c r="M491" i="20" a="1"/>
  <c r="M491" i="20"/>
  <c r="M492" i="20" a="1"/>
  <c r="M492" i="20"/>
  <c r="M493" i="20" a="1"/>
  <c r="M493" i="20"/>
  <c r="M494" i="20" a="1"/>
  <c r="M494" i="20"/>
  <c r="M495" i="20" a="1"/>
  <c r="M495" i="20"/>
  <c r="M496" i="20" a="1"/>
  <c r="M496" i="20"/>
  <c r="M497" i="20" a="1"/>
  <c r="M497" i="20"/>
  <c r="M498" i="20" a="1"/>
  <c r="M498" i="20"/>
  <c r="M499" i="20" a="1"/>
  <c r="M499" i="20"/>
  <c r="M500" i="20" a="1"/>
  <c r="M500" i="20"/>
  <c r="M501" i="20" a="1"/>
  <c r="M501" i="20"/>
  <c r="M502" i="20" a="1"/>
  <c r="M502" i="20" s="1"/>
  <c r="M503" i="20" a="1"/>
  <c r="M503" i="20"/>
  <c r="M504" i="20" a="1"/>
  <c r="M504" i="20"/>
  <c r="M505" i="20" a="1"/>
  <c r="M505" i="20"/>
  <c r="M506" i="20" a="1"/>
  <c r="M506" i="20"/>
  <c r="M507" i="20" a="1"/>
  <c r="M507" i="20"/>
  <c r="M508" i="20" a="1"/>
  <c r="M508" i="20"/>
  <c r="M509" i="20" a="1"/>
  <c r="M509" i="20"/>
  <c r="M510" i="20" a="1"/>
  <c r="M510" i="20"/>
  <c r="M511" i="20" a="1"/>
  <c r="M511" i="20"/>
  <c r="M512" i="20" a="1"/>
  <c r="M512" i="20"/>
  <c r="M513" i="20" a="1"/>
  <c r="M513" i="20"/>
  <c r="M514" i="20" a="1"/>
  <c r="M514" i="20" s="1"/>
  <c r="M515" i="20" a="1"/>
  <c r="M515" i="20"/>
  <c r="M516" i="20" a="1"/>
  <c r="M516" i="20"/>
  <c r="M517" i="20" a="1"/>
  <c r="M517" i="20"/>
  <c r="M518" i="20" a="1"/>
  <c r="M518" i="20"/>
  <c r="M519" i="20" a="1"/>
  <c r="M519" i="20"/>
  <c r="M520" i="20" a="1"/>
  <c r="M520" i="20"/>
  <c r="M521" i="20" a="1"/>
  <c r="M521" i="20"/>
  <c r="M522" i="20" a="1"/>
  <c r="M522" i="20"/>
  <c r="M523" i="20" a="1"/>
  <c r="M523" i="20"/>
  <c r="M524" i="20" a="1"/>
  <c r="M524" i="20" s="1"/>
  <c r="M525" i="20" a="1"/>
  <c r="M525" i="20"/>
  <c r="M526" i="20" a="1"/>
  <c r="M526" i="20"/>
  <c r="M527" i="20" a="1"/>
  <c r="M527" i="20"/>
  <c r="M528" i="20" a="1"/>
  <c r="M528" i="20"/>
  <c r="M529" i="20" a="1"/>
  <c r="M529" i="20"/>
  <c r="M530" i="20" a="1"/>
  <c r="M530" i="20"/>
  <c r="M531" i="20" a="1"/>
  <c r="M531" i="20"/>
  <c r="M532" i="20" a="1"/>
  <c r="M532" i="20"/>
  <c r="M533" i="20" a="1"/>
  <c r="M533" i="20"/>
  <c r="M534" i="20" a="1"/>
  <c r="M534" i="20" s="1"/>
  <c r="M535" i="20" a="1"/>
  <c r="M535" i="20"/>
  <c r="M536" i="20" a="1"/>
  <c r="M536" i="20"/>
  <c r="M537" i="20" a="1"/>
  <c r="M537" i="20"/>
  <c r="M538" i="20" a="1"/>
  <c r="M538" i="20"/>
  <c r="M539" i="20" a="1"/>
  <c r="M539" i="20"/>
  <c r="M540" i="20" a="1"/>
  <c r="M540" i="20"/>
  <c r="M541" i="20" a="1"/>
  <c r="M541" i="20"/>
  <c r="M542" i="20" a="1"/>
  <c r="M542" i="20"/>
  <c r="M543" i="20" a="1"/>
  <c r="M543" i="20"/>
  <c r="M544" i="20" a="1"/>
  <c r="M544" i="20"/>
  <c r="M545" i="20" a="1"/>
  <c r="M545" i="20"/>
  <c r="M546" i="20" a="1"/>
  <c r="M546" i="20" s="1"/>
  <c r="M547" i="20" a="1"/>
  <c r="M547" i="20"/>
  <c r="M548" i="20" a="1"/>
  <c r="M548" i="20"/>
  <c r="M549" i="20" a="1"/>
  <c r="M549" i="20"/>
  <c r="M550" i="20" a="1"/>
  <c r="M550" i="20"/>
  <c r="M551" i="20" a="1"/>
  <c r="M551" i="20"/>
  <c r="M552" i="20" a="1"/>
  <c r="M552" i="20"/>
  <c r="M553" i="20" a="1"/>
  <c r="M553" i="20"/>
  <c r="M554" i="20" a="1"/>
  <c r="M554" i="20" s="1"/>
  <c r="M555" i="20" a="1"/>
  <c r="M555" i="20"/>
  <c r="M556" i="20" a="1"/>
  <c r="M556" i="20"/>
  <c r="M557" i="20" a="1"/>
  <c r="M557" i="20"/>
  <c r="M558" i="20" a="1"/>
  <c r="M558" i="20"/>
  <c r="M559" i="20" a="1"/>
  <c r="M559" i="20"/>
  <c r="M560" i="20" a="1"/>
  <c r="M560" i="20" s="1"/>
  <c r="M561" i="20" a="1"/>
  <c r="M561" i="20"/>
  <c r="M562" i="20" a="1"/>
  <c r="M562" i="20"/>
  <c r="M563" i="20" a="1"/>
  <c r="M563" i="20"/>
  <c r="M564" i="20" a="1"/>
  <c r="M564" i="20" s="1"/>
  <c r="N564" i="20" s="1"/>
  <c r="M565" i="20" a="1"/>
  <c r="M565" i="20"/>
  <c r="M566" i="20" a="1"/>
  <c r="M566" i="20" s="1"/>
  <c r="M567" i="20" a="1"/>
  <c r="M567" i="20"/>
  <c r="M568" i="20" a="1"/>
  <c r="M568" i="20" s="1"/>
  <c r="M569" i="20" a="1"/>
  <c r="M569" i="20"/>
  <c r="M570" i="20" a="1"/>
  <c r="M570" i="20" s="1"/>
  <c r="M571" i="20" a="1"/>
  <c r="M571" i="20"/>
  <c r="M572" i="20" a="1"/>
  <c r="M572" i="20" s="1"/>
  <c r="M573" i="20" a="1"/>
  <c r="M573" i="20"/>
  <c r="M574" i="20" a="1"/>
  <c r="M574" i="20" s="1"/>
  <c r="M575" i="20" a="1"/>
  <c r="M575" i="20"/>
  <c r="M576" i="20" a="1"/>
  <c r="M576" i="20" s="1"/>
  <c r="N576" i="20" s="1"/>
  <c r="M577" i="20" a="1"/>
  <c r="M577" i="20" s="1"/>
  <c r="M578" i="20" a="1"/>
  <c r="M578" i="20"/>
  <c r="M579" i="20" a="1"/>
  <c r="M579" i="20" s="1"/>
  <c r="M580" i="20" a="1"/>
  <c r="M580" i="20"/>
  <c r="M581" i="20" a="1"/>
  <c r="M581" i="20" s="1"/>
  <c r="M582" i="20" a="1"/>
  <c r="M582" i="20" s="1"/>
  <c r="N582" i="20" s="1"/>
  <c r="M583" i="20" a="1"/>
  <c r="M583" i="20" s="1"/>
  <c r="M584" i="20" a="1"/>
  <c r="M584" i="20"/>
  <c r="M585" i="20" a="1"/>
  <c r="M585" i="20" s="1"/>
  <c r="M586" i="20" a="1"/>
  <c r="M586" i="20" s="1"/>
  <c r="N586" i="20" s="1"/>
  <c r="M587" i="20" a="1"/>
  <c r="M587" i="20" s="1"/>
  <c r="M588" i="20" a="1"/>
  <c r="M588" i="20" s="1"/>
  <c r="N588" i="20" s="1"/>
  <c r="M589" i="20" a="1"/>
  <c r="M589" i="20" s="1"/>
  <c r="M590" i="20" a="1"/>
  <c r="M590" i="20"/>
  <c r="M591" i="20" a="1"/>
  <c r="M591" i="20" s="1"/>
  <c r="M592" i="20" a="1"/>
  <c r="M592" i="20"/>
  <c r="M593" i="20" a="1"/>
  <c r="M593" i="20" s="1"/>
  <c r="M594" i="20" a="1"/>
  <c r="M594" i="20"/>
  <c r="M595" i="20" a="1"/>
  <c r="M595" i="20" s="1"/>
  <c r="M596" i="20" a="1"/>
  <c r="M596" i="20"/>
  <c r="M597" i="20" a="1"/>
  <c r="M597" i="20" s="1"/>
  <c r="M598" i="20" a="1"/>
  <c r="M598" i="20" s="1"/>
  <c r="N598" i="20" s="1"/>
  <c r="M599" i="20" a="1"/>
  <c r="M599" i="20" s="1"/>
  <c r="N599" i="20" s="1"/>
  <c r="M600" i="20" a="1"/>
  <c r="M600" i="20" s="1"/>
  <c r="M601" i="20" a="1"/>
  <c r="M601" i="20"/>
  <c r="M602" i="20" a="1"/>
  <c r="M602" i="20" s="1"/>
  <c r="M603" i="20" a="1"/>
  <c r="M603" i="20" s="1"/>
  <c r="N603" i="20" s="1"/>
  <c r="M604" i="20" a="1"/>
  <c r="M604" i="20" s="1"/>
  <c r="M605" i="20" a="1"/>
  <c r="M605" i="20" s="1"/>
  <c r="N605" i="20" s="1"/>
  <c r="M606" i="20" a="1"/>
  <c r="M606" i="20" s="1"/>
  <c r="M607" i="20" a="1"/>
  <c r="M607" i="20" s="1"/>
  <c r="N607" i="20" s="1"/>
  <c r="M608" i="20" a="1"/>
  <c r="M608" i="20" s="1"/>
  <c r="M609" i="20" a="1"/>
  <c r="M609" i="20"/>
  <c r="M610" i="20" a="1"/>
  <c r="M610" i="20" s="1"/>
  <c r="N610" i="20" s="1"/>
  <c r="M611" i="20" a="1"/>
  <c r="M611" i="20"/>
  <c r="M612" i="20" a="1"/>
  <c r="M612" i="20" s="1"/>
  <c r="M613" i="20" a="1"/>
  <c r="M613" i="20"/>
  <c r="M614" i="20" a="1"/>
  <c r="M614" i="20" s="1"/>
  <c r="M615" i="20" a="1"/>
  <c r="M615" i="20"/>
  <c r="M616" i="20" a="1"/>
  <c r="M616" i="20" s="1"/>
  <c r="M617" i="20" a="1"/>
  <c r="M617" i="20"/>
  <c r="M618" i="20" a="1"/>
  <c r="M618" i="20" s="1"/>
  <c r="M619" i="20" a="1"/>
  <c r="M619" i="20"/>
  <c r="M620" i="20" a="1"/>
  <c r="M620" i="20" s="1"/>
  <c r="M621" i="20" a="1"/>
  <c r="M621" i="20"/>
  <c r="M622" i="20" a="1"/>
  <c r="M622" i="20" s="1"/>
  <c r="N622" i="20" s="1"/>
  <c r="M623" i="20" a="1"/>
  <c r="M623" i="20" s="1"/>
  <c r="M624" i="20" a="1"/>
  <c r="M624" i="20" s="1"/>
  <c r="N624" i="20" s="1"/>
  <c r="M625" i="20" a="1"/>
  <c r="M625" i="20" s="1"/>
  <c r="M626" i="20" a="1"/>
  <c r="M626" i="20" s="1"/>
  <c r="N626" i="20" s="1"/>
  <c r="M627" i="20" a="1"/>
  <c r="M627" i="20" s="1"/>
  <c r="M628" i="20" a="1"/>
  <c r="M628" i="20"/>
  <c r="M629" i="20" a="1"/>
  <c r="M629" i="20" s="1"/>
  <c r="M630" i="20" a="1"/>
  <c r="M630" i="20" s="1"/>
  <c r="N630" i="20" s="1"/>
  <c r="M631" i="20" a="1"/>
  <c r="M631" i="20" s="1"/>
  <c r="M632" i="20" a="1"/>
  <c r="M632" i="20" s="1"/>
  <c r="N632" i="20" s="1"/>
  <c r="M633" i="20" a="1"/>
  <c r="M633" i="20" s="1"/>
  <c r="M634" i="20" a="1"/>
  <c r="M634" i="20" s="1"/>
  <c r="N634" i="20" s="1"/>
  <c r="M635" i="20" a="1"/>
  <c r="M635" i="20" s="1"/>
  <c r="M636" i="20" a="1"/>
  <c r="M636" i="20"/>
  <c r="M637" i="20" a="1"/>
  <c r="M637" i="20" s="1"/>
  <c r="M638" i="20" a="1"/>
  <c r="M638" i="20"/>
  <c r="M639" i="20" a="1"/>
  <c r="M639" i="20" s="1"/>
  <c r="M640" i="20" a="1"/>
  <c r="M640" i="20"/>
  <c r="M641" i="20" a="1"/>
  <c r="M641" i="20" s="1"/>
  <c r="M642" i="20" a="1"/>
  <c r="M642" i="20"/>
  <c r="M643" i="20" a="1"/>
  <c r="M643" i="20" s="1"/>
  <c r="M644" i="20" a="1"/>
  <c r="M644" i="20" s="1"/>
  <c r="N644" i="20" s="1"/>
  <c r="M645" i="20" a="1"/>
  <c r="M645" i="20"/>
  <c r="M646" i="20" a="1"/>
  <c r="M646" i="20" s="1"/>
  <c r="M647" i="20" a="1"/>
  <c r="M647" i="20" s="1"/>
  <c r="N647" i="20" s="1"/>
  <c r="M648" i="20" a="1"/>
  <c r="M648" i="20" s="1"/>
  <c r="M649" i="20" a="1"/>
  <c r="M649" i="20" s="1"/>
  <c r="N649" i="20" s="1"/>
  <c r="M650" i="20" a="1"/>
  <c r="M650" i="20"/>
  <c r="M651" i="20" a="1"/>
  <c r="M651" i="20" s="1"/>
  <c r="N651" i="20" s="1"/>
  <c r="M652" i="20" a="1"/>
  <c r="M652" i="20" s="1"/>
  <c r="M653" i="20" a="1"/>
  <c r="M653" i="20" s="1"/>
  <c r="N653" i="20" s="1"/>
  <c r="M654" i="20" a="1"/>
  <c r="M654" i="20"/>
  <c r="M655" i="20" a="1"/>
  <c r="M655" i="20" s="1"/>
  <c r="N655" i="20" s="1"/>
  <c r="M656" i="20" a="1"/>
  <c r="M656" i="20" s="1"/>
  <c r="N656" i="20" s="1"/>
  <c r="M657" i="20" a="1"/>
  <c r="M657" i="20"/>
  <c r="M658" i="20" a="1"/>
  <c r="M658" i="20" s="1"/>
  <c r="M659" i="20" a="1"/>
  <c r="M659" i="20"/>
  <c r="M660" i="20" a="1"/>
  <c r="M660" i="20" s="1"/>
  <c r="M661" i="20" a="1"/>
  <c r="M661" i="20"/>
  <c r="M662" i="20" a="1"/>
  <c r="M662" i="20" s="1"/>
  <c r="M663" i="20" a="1"/>
  <c r="M663" i="20"/>
  <c r="M664" i="20" a="1"/>
  <c r="M664" i="20" s="1"/>
  <c r="M665" i="20" a="1"/>
  <c r="M665" i="20"/>
  <c r="M666" i="20" a="1"/>
  <c r="M666" i="20" s="1"/>
  <c r="M667" i="20" a="1"/>
  <c r="M667" i="20"/>
  <c r="M668" i="20" a="1"/>
  <c r="M668" i="20" s="1"/>
  <c r="N668" i="20" s="1"/>
  <c r="M669" i="20" a="1"/>
  <c r="M669" i="20" s="1"/>
  <c r="M670" i="20" a="1"/>
  <c r="M670" i="20" s="1"/>
  <c r="N670" i="20" s="1"/>
  <c r="M671" i="20" a="1"/>
  <c r="M671" i="20" s="1"/>
  <c r="M672" i="20" a="1"/>
  <c r="M672" i="20" s="1"/>
  <c r="N672" i="20" s="1"/>
  <c r="M673" i="20" a="1"/>
  <c r="M673" i="20" s="1"/>
  <c r="M674" i="20" a="1"/>
  <c r="M674" i="20" s="1"/>
  <c r="N674" i="20" s="1"/>
  <c r="M675" i="20" a="1"/>
  <c r="M675" i="20" s="1"/>
  <c r="M676" i="20" a="1"/>
  <c r="M676" i="20"/>
  <c r="M677" i="20" a="1"/>
  <c r="M677" i="20" s="1"/>
  <c r="M678" i="20" a="1"/>
  <c r="M678" i="20" s="1"/>
  <c r="N678" i="20" s="1"/>
  <c r="M679" i="20" a="1"/>
  <c r="M679" i="20" s="1"/>
  <c r="M680" i="20" a="1"/>
  <c r="M680" i="20" s="1"/>
  <c r="N680" i="20" s="1"/>
  <c r="M681" i="20" a="1"/>
  <c r="M681" i="20" s="1"/>
  <c r="M682" i="20" a="1"/>
  <c r="M682" i="20"/>
  <c r="M683" i="20" a="1"/>
  <c r="M683" i="20" s="1"/>
  <c r="M684" i="20" a="1"/>
  <c r="M684" i="20"/>
  <c r="M685" i="20" a="1"/>
  <c r="M685" i="20" s="1"/>
  <c r="M686" i="20" a="1"/>
  <c r="M686" i="20"/>
  <c r="M687" i="20" a="1"/>
  <c r="M687" i="20" s="1"/>
  <c r="M688" i="20" a="1"/>
  <c r="M688" i="20"/>
  <c r="M689" i="20" a="1"/>
  <c r="M689" i="20" s="1"/>
  <c r="M690" i="20" a="1"/>
  <c r="M690" i="20" s="1"/>
  <c r="N690" i="20" s="1"/>
  <c r="M691" i="20" a="1"/>
  <c r="M691" i="20" s="1"/>
  <c r="N691" i="20" s="1"/>
  <c r="M692" i="20" a="1"/>
  <c r="M692" i="20"/>
  <c r="M693" i="20" a="1"/>
  <c r="M693" i="20" s="1"/>
  <c r="N693" i="20" s="1"/>
  <c r="M694" i="20" a="1"/>
  <c r="M694" i="20"/>
  <c r="M695" i="20" a="1"/>
  <c r="M695" i="20" s="1"/>
  <c r="N695" i="20" s="1"/>
  <c r="M696" i="20" a="1"/>
  <c r="M696" i="20"/>
  <c r="M697" i="20" a="1"/>
  <c r="M697" i="20" s="1"/>
  <c r="N697" i="20" s="1"/>
  <c r="M698" i="20" a="1"/>
  <c r="M698" i="20"/>
  <c r="M699" i="20" a="1"/>
  <c r="M699" i="20" s="1"/>
  <c r="N699" i="20" s="1"/>
  <c r="M700" i="20" a="1"/>
  <c r="M700" i="20"/>
  <c r="M701" i="20" a="1"/>
  <c r="M701" i="20" s="1"/>
  <c r="N701" i="20" s="1"/>
  <c r="M702" i="20" a="1"/>
  <c r="M702" i="20" s="1"/>
  <c r="N702" i="20" s="1"/>
  <c r="M703" i="20" a="1"/>
  <c r="M703" i="20"/>
  <c r="M704" i="20" a="1"/>
  <c r="M704" i="20" s="1"/>
  <c r="M705" i="20" a="1"/>
  <c r="M705" i="20"/>
  <c r="M706" i="20" a="1"/>
  <c r="M706" i="20" s="1"/>
  <c r="M707" i="20" a="1"/>
  <c r="M707" i="20"/>
  <c r="M708" i="20" a="1"/>
  <c r="M708" i="20" s="1"/>
  <c r="M709" i="20" a="1"/>
  <c r="M709" i="20"/>
  <c r="M710" i="20" a="1"/>
  <c r="M710" i="20" s="1"/>
  <c r="M711" i="20" a="1"/>
  <c r="M711" i="20"/>
  <c r="M712" i="20" a="1"/>
  <c r="M712" i="20" s="1"/>
  <c r="M713" i="20" a="1"/>
  <c r="M713" i="20"/>
  <c r="M714" i="20" a="1"/>
  <c r="M714" i="20" s="1"/>
  <c r="N714" i="20" s="1"/>
  <c r="M715" i="20" a="1"/>
  <c r="M715" i="20" s="1"/>
  <c r="M716" i="20" a="1"/>
  <c r="M716" i="20" s="1"/>
  <c r="N716" i="20" s="1"/>
  <c r="M717" i="20" a="1"/>
  <c r="M717" i="20" s="1"/>
  <c r="M718" i="20" a="1"/>
  <c r="M718" i="20" s="1"/>
  <c r="N718" i="20" s="1"/>
  <c r="M719" i="20" a="1"/>
  <c r="M719" i="20" s="1"/>
  <c r="M720" i="20" a="1"/>
  <c r="M720" i="20" s="1"/>
  <c r="N720" i="20" s="1"/>
  <c r="M721" i="20" a="1"/>
  <c r="M721" i="20" s="1"/>
  <c r="M722" i="20" a="1"/>
  <c r="M722" i="20"/>
  <c r="M723" i="20" a="1"/>
  <c r="M723" i="20" s="1"/>
  <c r="M724" i="20" a="1"/>
  <c r="M724" i="20" s="1"/>
  <c r="N724" i="20" s="1"/>
  <c r="M725" i="20" a="1"/>
  <c r="M725" i="20" s="1"/>
  <c r="M726" i="20" a="1"/>
  <c r="M726" i="20" s="1"/>
  <c r="N726" i="20" s="1"/>
  <c r="M727" i="20" a="1"/>
  <c r="M727" i="20" s="1"/>
  <c r="M728" i="20" a="1"/>
  <c r="M728" i="20"/>
  <c r="M729" i="20" a="1"/>
  <c r="M729" i="20" s="1"/>
  <c r="M730" i="20" a="1"/>
  <c r="M730" i="20"/>
  <c r="M731" i="20" a="1"/>
  <c r="M731" i="20" s="1"/>
  <c r="M732" i="20" a="1"/>
  <c r="M732" i="20"/>
  <c r="M733" i="20" a="1"/>
  <c r="M733" i="20" s="1"/>
  <c r="M734" i="20" a="1"/>
  <c r="M734" i="20"/>
  <c r="M735" i="20" a="1"/>
  <c r="M735" i="20" s="1"/>
  <c r="M736" i="20" a="1"/>
  <c r="M736" i="20" s="1"/>
  <c r="N736" i="20" s="1"/>
  <c r="M737" i="20" a="1"/>
  <c r="M737" i="20" s="1"/>
  <c r="N737" i="20" s="1"/>
  <c r="M738" i="20" a="1"/>
  <c r="M738" i="20" s="1"/>
  <c r="M739" i="20" a="1"/>
  <c r="M739" i="20"/>
  <c r="M740" i="20" a="1"/>
  <c r="M740" i="20" s="1"/>
  <c r="M741" i="20" a="1"/>
  <c r="M741" i="20" s="1"/>
  <c r="N741" i="20" s="1"/>
  <c r="M742" i="20" a="1"/>
  <c r="M742" i="20" s="1"/>
  <c r="M743" i="20" a="1"/>
  <c r="M743" i="20" s="1"/>
  <c r="N743" i="20" s="1"/>
  <c r="M744" i="20" a="1"/>
  <c r="M744" i="20" s="1"/>
  <c r="M745" i="20" a="1"/>
  <c r="M745" i="20" s="1"/>
  <c r="N745" i="20" s="1"/>
  <c r="M746" i="20" a="1"/>
  <c r="M746" i="20" s="1"/>
  <c r="M747" i="20" a="1"/>
  <c r="M747" i="20"/>
  <c r="M748" i="20" a="1"/>
  <c r="M748" i="20" s="1"/>
  <c r="N748" i="20" s="1"/>
  <c r="M749" i="20" a="1"/>
  <c r="M749" i="20"/>
  <c r="M750" i="20" a="1"/>
  <c r="M750" i="20" s="1"/>
  <c r="M751" i="20" a="1"/>
  <c r="M751" i="20"/>
  <c r="M752" i="20" a="1"/>
  <c r="M752" i="20" s="1"/>
  <c r="M753" i="20" a="1"/>
  <c r="M753" i="20"/>
  <c r="M754" i="20" a="1"/>
  <c r="M754" i="20" s="1"/>
  <c r="M755" i="20" a="1"/>
  <c r="M755" i="20"/>
  <c r="M756" i="20" a="1"/>
  <c r="M756" i="20" s="1"/>
  <c r="M757" i="20" a="1"/>
  <c r="M757" i="20"/>
  <c r="M758" i="20" a="1"/>
  <c r="M758" i="20" s="1"/>
  <c r="N758" i="20" s="1"/>
  <c r="M759" i="20" a="1"/>
  <c r="M759" i="20" s="1"/>
  <c r="M760" i="20" a="1"/>
  <c r="M760" i="20" s="1"/>
  <c r="N760" i="20" s="1"/>
  <c r="M761" i="20" a="1"/>
  <c r="M761" i="20" s="1"/>
  <c r="M762" i="20" a="1"/>
  <c r="M762" i="20" s="1"/>
  <c r="N762" i="20" s="1"/>
  <c r="M763" i="20" a="1"/>
  <c r="M763" i="20" s="1"/>
  <c r="M764" i="20" a="1"/>
  <c r="M764" i="20" s="1"/>
  <c r="N764" i="20" s="1"/>
  <c r="M765" i="20" a="1"/>
  <c r="M765" i="20" s="1"/>
  <c r="M766" i="20" a="1"/>
  <c r="M766" i="20"/>
  <c r="M767" i="20" a="1"/>
  <c r="M767" i="20" s="1"/>
  <c r="M768" i="20" a="1"/>
  <c r="M768" i="20" s="1"/>
  <c r="N768" i="20" s="1"/>
  <c r="M769" i="20" a="1"/>
  <c r="M769" i="20" s="1"/>
  <c r="M770" i="20" a="1"/>
  <c r="M770" i="20" s="1"/>
  <c r="N770" i="20" s="1"/>
  <c r="M771" i="20" a="1"/>
  <c r="M771" i="20" s="1"/>
  <c r="M772" i="20" a="1"/>
  <c r="M772" i="20"/>
  <c r="M773" i="20" a="1"/>
  <c r="M773" i="20" s="1"/>
  <c r="M774" i="20" a="1"/>
  <c r="M774" i="20"/>
  <c r="M775" i="20" a="1"/>
  <c r="M775" i="20" s="1"/>
  <c r="M776" i="20" a="1"/>
  <c r="M776" i="20"/>
  <c r="M777" i="20" a="1"/>
  <c r="M777" i="20" s="1"/>
  <c r="M778" i="20" a="1"/>
  <c r="M778" i="20"/>
  <c r="M779" i="20" a="1"/>
  <c r="M779" i="20" s="1"/>
  <c r="M780" i="20" a="1"/>
  <c r="M780" i="20" s="1"/>
  <c r="N780" i="20" s="1"/>
  <c r="M781" i="20" a="1"/>
  <c r="M781" i="20" s="1"/>
  <c r="N781" i="20" s="1"/>
  <c r="M782" i="20" a="1"/>
  <c r="M782" i="20" s="1"/>
  <c r="M783" i="20" a="1"/>
  <c r="M783" i="20"/>
  <c r="M784" i="20" a="1"/>
  <c r="M784" i="20" s="1"/>
  <c r="M785" i="20" a="1"/>
  <c r="M785" i="20" s="1"/>
  <c r="N785" i="20" s="1"/>
  <c r="M786" i="20" a="1"/>
  <c r="M786" i="20" s="1"/>
  <c r="M787" i="20" a="1"/>
  <c r="M787" i="20" s="1"/>
  <c r="N787" i="20" s="1"/>
  <c r="M788" i="20" a="1"/>
  <c r="M788" i="20" s="1"/>
  <c r="M789" i="20" a="1"/>
  <c r="M789" i="20" s="1"/>
  <c r="N789" i="20" s="1"/>
  <c r="M790" i="20" a="1"/>
  <c r="M790" i="20"/>
  <c r="M791" i="20" a="1"/>
  <c r="M791" i="20" s="1"/>
  <c r="N791" i="20" s="1"/>
  <c r="M792" i="20" a="1"/>
  <c r="M792" i="20" s="1"/>
  <c r="N792" i="20" s="1"/>
  <c r="M793" i="20" a="1"/>
  <c r="M793" i="20"/>
  <c r="M794" i="20" a="1"/>
  <c r="M794" i="20" s="1"/>
  <c r="M795" i="20" a="1"/>
  <c r="M795" i="20"/>
  <c r="M796" i="20" a="1"/>
  <c r="M796" i="20" s="1"/>
  <c r="M797" i="20" a="1"/>
  <c r="M797" i="20"/>
  <c r="M798" i="20" a="1"/>
  <c r="M798" i="20" s="1"/>
  <c r="M799" i="20" a="1"/>
  <c r="M799" i="20"/>
  <c r="M800" i="20" a="1"/>
  <c r="M800" i="20" s="1"/>
  <c r="M801" i="20" a="1"/>
  <c r="M801" i="20"/>
  <c r="M802" i="20" a="1"/>
  <c r="M802" i="20" s="1"/>
  <c r="M803" i="20" a="1"/>
  <c r="M803" i="20"/>
  <c r="M804" i="20" a="1"/>
  <c r="M804" i="20" s="1"/>
  <c r="N804" i="20" s="1"/>
  <c r="M805" i="20" a="1"/>
  <c r="M805" i="20" s="1"/>
  <c r="M806" i="20" a="1"/>
  <c r="M806" i="20" s="1"/>
  <c r="N806" i="20" s="1"/>
  <c r="M807" i="20" a="1"/>
  <c r="M807" i="20" s="1"/>
  <c r="M808" i="20" a="1"/>
  <c r="M808" i="20" s="1"/>
  <c r="N808" i="20" s="1"/>
  <c r="M809" i="20" a="1"/>
  <c r="M809" i="20" s="1"/>
  <c r="M810" i="20" a="1"/>
  <c r="M810" i="20" s="1"/>
  <c r="N810" i="20" s="1"/>
  <c r="M811" i="20" a="1"/>
  <c r="M811" i="20" s="1"/>
  <c r="M812" i="20" a="1"/>
  <c r="M812" i="20"/>
  <c r="M813" i="20" a="1"/>
  <c r="M813" i="20" s="1"/>
  <c r="M814" i="20" a="1"/>
  <c r="M814" i="20" s="1"/>
  <c r="N814" i="20" s="1"/>
  <c r="M815" i="20" a="1"/>
  <c r="M815" i="20"/>
  <c r="M816" i="20" a="1"/>
  <c r="M816" i="20" s="1"/>
  <c r="N816" i="20" s="1"/>
  <c r="M817" i="20" a="1"/>
  <c r="M817" i="20"/>
  <c r="M818" i="20" a="1"/>
  <c r="M818" i="20" s="1"/>
  <c r="N818" i="20" s="1"/>
  <c r="M819" i="20" a="1"/>
  <c r="M819" i="20"/>
  <c r="M820" i="20" a="1"/>
  <c r="M820" i="20" s="1"/>
  <c r="N820" i="20" s="1"/>
  <c r="M821" i="20" a="1"/>
  <c r="M821" i="20"/>
  <c r="M822" i="20" a="1"/>
  <c r="M822" i="20" s="1"/>
  <c r="N822" i="20" s="1"/>
  <c r="M823" i="20" a="1"/>
  <c r="M823" i="20"/>
  <c r="M824" i="20" a="1"/>
  <c r="M824" i="20" s="1"/>
  <c r="N824" i="20" s="1"/>
  <c r="M825" i="20" a="1"/>
  <c r="M825" i="20"/>
  <c r="M826" i="20" a="1"/>
  <c r="M826" i="20" s="1"/>
  <c r="N826" i="20" s="1"/>
  <c r="M827" i="20" a="1"/>
  <c r="M827" i="20" s="1"/>
  <c r="N827" i="20" s="1"/>
  <c r="M828" i="20" a="1"/>
  <c r="M828" i="20" s="1"/>
  <c r="N828" i="20" s="1"/>
  <c r="M829" i="20" a="1"/>
  <c r="M829" i="20" s="1"/>
  <c r="N829" i="20" s="1"/>
  <c r="M830" i="20" a="1"/>
  <c r="M830" i="20" s="1"/>
  <c r="N830" i="20" s="1"/>
  <c r="M831" i="20" a="1"/>
  <c r="M831" i="20" s="1"/>
  <c r="N831" i="20" s="1"/>
  <c r="M832" i="20" a="1"/>
  <c r="M832" i="20" s="1"/>
  <c r="N832" i="20" s="1"/>
  <c r="M833" i="20" a="1"/>
  <c r="M833" i="20" s="1"/>
  <c r="N833" i="20" s="1"/>
  <c r="M834" i="20" a="1"/>
  <c r="M834" i="20" s="1"/>
  <c r="N834" i="20" s="1"/>
  <c r="M835" i="20" a="1"/>
  <c r="M835" i="20" s="1"/>
  <c r="M836" i="20" a="1"/>
  <c r="M836" i="20" s="1"/>
  <c r="N836" i="20" s="1"/>
  <c r="M837" i="20" a="1"/>
  <c r="M837" i="20" s="1"/>
  <c r="N837" i="20" s="1"/>
  <c r="M838" i="20" a="1"/>
  <c r="M838" i="20" s="1"/>
  <c r="N838" i="20" s="1"/>
  <c r="M839" i="20" a="1"/>
  <c r="M839" i="20" s="1"/>
  <c r="M840" i="20" a="1"/>
  <c r="M840" i="20"/>
  <c r="M841" i="20" a="1"/>
  <c r="M841" i="20" s="1"/>
  <c r="N841" i="20" s="1"/>
  <c r="M842" i="20" a="1"/>
  <c r="M842" i="20"/>
  <c r="M843" i="20" a="1"/>
  <c r="M843" i="20" s="1"/>
  <c r="M844" i="20" a="1"/>
  <c r="M844" i="20"/>
  <c r="M845" i="20" a="1"/>
  <c r="M845" i="20" s="1"/>
  <c r="N845" i="20" s="1"/>
  <c r="M846" i="20" a="1"/>
  <c r="M846" i="20"/>
  <c r="M847" i="20" a="1"/>
  <c r="M847" i="20" s="1"/>
  <c r="M848" i="20" a="1"/>
  <c r="M848" i="20" s="1"/>
  <c r="N848" i="20" s="1"/>
  <c r="M849" i="20" a="1"/>
  <c r="M849" i="20" s="1"/>
  <c r="N849" i="20" s="1"/>
  <c r="M850" i="20" a="1"/>
  <c r="M850" i="20" s="1"/>
  <c r="N850" i="20" s="1"/>
  <c r="M851" i="20" a="1"/>
  <c r="M851" i="20" s="1"/>
  <c r="M852" i="20" a="1"/>
  <c r="M852" i="20" s="1"/>
  <c r="N852" i="20" s="1"/>
  <c r="M853" i="20" a="1"/>
  <c r="M853" i="20" s="1"/>
  <c r="N853" i="20" s="1"/>
  <c r="M854" i="20" a="1"/>
  <c r="M854" i="20" s="1"/>
  <c r="N854" i="20" s="1"/>
  <c r="M855" i="20" a="1"/>
  <c r="M855" i="20" s="1"/>
  <c r="M856" i="20" a="1"/>
  <c r="M856" i="20" s="1"/>
  <c r="N856" i="20" s="1"/>
  <c r="M857" i="20" a="1"/>
  <c r="M857" i="20" s="1"/>
  <c r="N857" i="20" s="1"/>
  <c r="M858" i="20" a="1"/>
  <c r="M858" i="20" s="1"/>
  <c r="N858" i="20" s="1"/>
  <c r="M859" i="20" a="1"/>
  <c r="M859" i="20" s="1"/>
  <c r="M860" i="20" a="1"/>
  <c r="M860" i="20" s="1"/>
  <c r="N860" i="20" s="1"/>
  <c r="M861" i="20" a="1"/>
  <c r="M861" i="20"/>
  <c r="N2" i="20"/>
  <c r="N4" i="20"/>
  <c r="N6" i="20"/>
  <c r="N9" i="20"/>
  <c r="N10" i="20"/>
  <c r="N12" i="20"/>
  <c r="N13" i="20"/>
  <c r="N14" i="20"/>
  <c r="N16" i="20"/>
  <c r="N17" i="20"/>
  <c r="N18" i="20"/>
  <c r="N20" i="20"/>
  <c r="N21" i="20"/>
  <c r="N22" i="20"/>
  <c r="N24" i="20"/>
  <c r="N25" i="20"/>
  <c r="N26" i="20"/>
  <c r="N28" i="20"/>
  <c r="N29" i="20"/>
  <c r="N30" i="20"/>
  <c r="N32" i="20"/>
  <c r="N33" i="20"/>
  <c r="N34" i="20"/>
  <c r="N36" i="20"/>
  <c r="N37" i="20"/>
  <c r="N38" i="20"/>
  <c r="N40" i="20"/>
  <c r="N41" i="20"/>
  <c r="N42" i="20"/>
  <c r="N44" i="20"/>
  <c r="N45" i="20"/>
  <c r="N46" i="20"/>
  <c r="N48" i="20"/>
  <c r="N49" i="20"/>
  <c r="N50" i="20"/>
  <c r="N52" i="20"/>
  <c r="N53" i="20"/>
  <c r="N54" i="20"/>
  <c r="N56" i="20"/>
  <c r="N57" i="20"/>
  <c r="N58" i="20"/>
  <c r="N60" i="20"/>
  <c r="N61" i="20"/>
  <c r="N62" i="20"/>
  <c r="N64" i="20"/>
  <c r="N65" i="20"/>
  <c r="N66" i="20"/>
  <c r="N68" i="20"/>
  <c r="N69" i="20"/>
  <c r="N70" i="20"/>
  <c r="N72" i="20"/>
  <c r="N73" i="20"/>
  <c r="N74" i="20"/>
  <c r="N76" i="20"/>
  <c r="N77" i="20"/>
  <c r="N78" i="20"/>
  <c r="N80" i="20"/>
  <c r="N81" i="20"/>
  <c r="N82" i="20"/>
  <c r="N84" i="20"/>
  <c r="N85" i="20"/>
  <c r="N86" i="20"/>
  <c r="N88" i="20"/>
  <c r="N89" i="20"/>
  <c r="N90" i="20"/>
  <c r="N92" i="20"/>
  <c r="N93" i="20"/>
  <c r="N94" i="20"/>
  <c r="N96" i="20"/>
  <c r="N97" i="20"/>
  <c r="N98" i="20"/>
  <c r="N100" i="20"/>
  <c r="N101" i="20"/>
  <c r="N102" i="20"/>
  <c r="N104" i="20"/>
  <c r="N105" i="20"/>
  <c r="N106" i="20"/>
  <c r="N108" i="20"/>
  <c r="N109" i="20"/>
  <c r="N110" i="20"/>
  <c r="N112" i="20"/>
  <c r="N113" i="20"/>
  <c r="N114" i="20"/>
  <c r="N116" i="20"/>
  <c r="N117" i="20"/>
  <c r="N118" i="20"/>
  <c r="N120" i="20"/>
  <c r="N121" i="20"/>
  <c r="N122" i="20"/>
  <c r="N124" i="20"/>
  <c r="N125" i="20"/>
  <c r="N126" i="20"/>
  <c r="N128" i="20"/>
  <c r="N129" i="20"/>
  <c r="N130" i="20"/>
  <c r="N132" i="20"/>
  <c r="N133" i="20"/>
  <c r="N134" i="20"/>
  <c r="N136" i="20"/>
  <c r="N138" i="20"/>
  <c r="N140" i="20"/>
  <c r="N141" i="20"/>
  <c r="N142" i="20"/>
  <c r="N144" i="20"/>
  <c r="N145" i="20"/>
  <c r="N146" i="20"/>
  <c r="N148" i="20"/>
  <c r="N149" i="20"/>
  <c r="N151" i="20"/>
  <c r="N152" i="20"/>
  <c r="N153" i="20"/>
  <c r="N154" i="20"/>
  <c r="N155" i="20"/>
  <c r="N157" i="20"/>
  <c r="N158" i="20"/>
  <c r="N159" i="20"/>
  <c r="N160" i="20"/>
  <c r="N161" i="20"/>
  <c r="N162" i="20"/>
  <c r="N163" i="20"/>
  <c r="N164" i="20"/>
  <c r="N165" i="20"/>
  <c r="N167" i="20"/>
  <c r="N168" i="20"/>
  <c r="N169" i="20"/>
  <c r="N171" i="20"/>
  <c r="N173" i="20"/>
  <c r="N175" i="20"/>
  <c r="N177" i="20"/>
  <c r="N179" i="20"/>
  <c r="N181" i="20"/>
  <c r="N183" i="20"/>
  <c r="N184" i="20"/>
  <c r="N185" i="20"/>
  <c r="N187" i="20"/>
  <c r="N188" i="20"/>
  <c r="N189" i="20"/>
  <c r="N190" i="20"/>
  <c r="N191" i="20"/>
  <c r="N193" i="20"/>
  <c r="N195" i="20"/>
  <c r="N197" i="20"/>
  <c r="N199" i="20"/>
  <c r="N201" i="20"/>
  <c r="N203" i="20"/>
  <c r="N205" i="20"/>
  <c r="N207" i="20"/>
  <c r="N209" i="20"/>
  <c r="N211" i="20"/>
  <c r="N213" i="20"/>
  <c r="N215" i="20"/>
  <c r="N217" i="20"/>
  <c r="N219" i="20"/>
  <c r="N221" i="20"/>
  <c r="N223" i="20"/>
  <c r="N225" i="20"/>
  <c r="N227" i="20"/>
  <c r="N229" i="20"/>
  <c r="N231" i="20"/>
  <c r="N233" i="20"/>
  <c r="N235" i="20"/>
  <c r="N237" i="20"/>
  <c r="N239" i="20"/>
  <c r="N241" i="20"/>
  <c r="N243" i="20"/>
  <c r="N245" i="20"/>
  <c r="N247" i="20"/>
  <c r="N249" i="20"/>
  <c r="N251" i="20"/>
  <c r="N253" i="20"/>
  <c r="N255" i="20"/>
  <c r="N257" i="20"/>
  <c r="N259" i="20"/>
  <c r="N261" i="20"/>
  <c r="N263" i="20"/>
  <c r="N265" i="20"/>
  <c r="N267" i="20"/>
  <c r="N269" i="20"/>
  <c r="N271" i="20"/>
  <c r="N273" i="20"/>
  <c r="N275" i="20"/>
  <c r="N277" i="20"/>
  <c r="N279" i="20"/>
  <c r="N281" i="20"/>
  <c r="N283" i="20"/>
  <c r="N285" i="20"/>
  <c r="N286" i="20"/>
  <c r="N287" i="20"/>
  <c r="N288" i="20"/>
  <c r="N289" i="20"/>
  <c r="N290" i="20"/>
  <c r="N291" i="20"/>
  <c r="N292" i="20"/>
  <c r="N293" i="20"/>
  <c r="N294" i="20"/>
  <c r="N295" i="20"/>
  <c r="N297" i="20"/>
  <c r="N298" i="20"/>
  <c r="N299" i="20"/>
  <c r="N300" i="20"/>
  <c r="N301" i="20"/>
  <c r="N302" i="20"/>
  <c r="N303" i="20"/>
  <c r="N304" i="20"/>
  <c r="N305" i="20"/>
  <c r="N307" i="20"/>
  <c r="N308" i="20"/>
  <c r="N309" i="20"/>
  <c r="N310" i="20"/>
  <c r="N311" i="20"/>
  <c r="N312" i="20"/>
  <c r="N313" i="20"/>
  <c r="N314" i="20"/>
  <c r="N315" i="20"/>
  <c r="N316" i="20"/>
  <c r="N317" i="20"/>
  <c r="N319" i="20"/>
  <c r="N320" i="20"/>
  <c r="N321" i="20"/>
  <c r="N322" i="20"/>
  <c r="N323" i="20"/>
  <c r="N324" i="20"/>
  <c r="N325" i="20"/>
  <c r="N326" i="20"/>
  <c r="N327" i="20"/>
  <c r="N328" i="20"/>
  <c r="N329" i="20"/>
  <c r="N331" i="20"/>
  <c r="N332" i="20"/>
  <c r="N333" i="20"/>
  <c r="N334" i="20"/>
  <c r="N335" i="20"/>
  <c r="N336" i="20"/>
  <c r="N337" i="20"/>
  <c r="N338" i="20"/>
  <c r="N339" i="20"/>
  <c r="N340" i="20"/>
  <c r="N341" i="20"/>
  <c r="N343" i="20"/>
  <c r="N344" i="20"/>
  <c r="N345" i="20"/>
  <c r="N346" i="20"/>
  <c r="N347" i="20"/>
  <c r="N348" i="20"/>
  <c r="N349" i="20"/>
  <c r="N350" i="20"/>
  <c r="N351" i="20"/>
  <c r="N353" i="20"/>
  <c r="N354" i="20"/>
  <c r="N355" i="20"/>
  <c r="N356" i="20"/>
  <c r="N357" i="20"/>
  <c r="N358" i="20"/>
  <c r="N359" i="20"/>
  <c r="N360" i="20"/>
  <c r="N361" i="20"/>
  <c r="N362" i="20"/>
  <c r="N363" i="20"/>
  <c r="N365" i="20"/>
  <c r="N366" i="20"/>
  <c r="N367" i="20"/>
  <c r="N368" i="20"/>
  <c r="N369" i="20"/>
  <c r="N370" i="20"/>
  <c r="N371" i="20"/>
  <c r="N372" i="20"/>
  <c r="N373" i="20"/>
  <c r="N374" i="20"/>
  <c r="N375" i="20"/>
  <c r="N377" i="20"/>
  <c r="N378" i="20"/>
  <c r="N379" i="20"/>
  <c r="N380" i="20"/>
  <c r="N381" i="20"/>
  <c r="N382" i="20"/>
  <c r="N383" i="20"/>
  <c r="N384" i="20"/>
  <c r="N385" i="20"/>
  <c r="N387" i="20"/>
  <c r="N388" i="20"/>
  <c r="N389" i="20"/>
  <c r="N390" i="20"/>
  <c r="N391" i="20"/>
  <c r="N392" i="20"/>
  <c r="N393" i="20"/>
  <c r="N394" i="20"/>
  <c r="N395" i="20"/>
  <c r="N396" i="20"/>
  <c r="N397" i="20"/>
  <c r="N399" i="20"/>
  <c r="N400" i="20"/>
  <c r="N401" i="20"/>
  <c r="N402" i="20"/>
  <c r="N403" i="20"/>
  <c r="N404" i="20"/>
  <c r="N405" i="20"/>
  <c r="N406" i="20"/>
  <c r="N407" i="20"/>
  <c r="N409" i="20"/>
  <c r="N410" i="20"/>
  <c r="N411" i="20"/>
  <c r="N412" i="20"/>
  <c r="N413" i="20"/>
  <c r="N414" i="20"/>
  <c r="N415" i="20"/>
  <c r="N416" i="20"/>
  <c r="N417" i="20"/>
  <c r="N418" i="20"/>
  <c r="N419" i="20"/>
  <c r="N421" i="20"/>
  <c r="N422" i="20"/>
  <c r="N423" i="20"/>
  <c r="N424" i="20"/>
  <c r="N425" i="20"/>
  <c r="N426" i="20"/>
  <c r="N427" i="20"/>
  <c r="N428" i="20"/>
  <c r="N429" i="20"/>
  <c r="N430" i="20"/>
  <c r="N431" i="20"/>
  <c r="N433" i="20"/>
  <c r="N434" i="20"/>
  <c r="N435" i="20"/>
  <c r="N436" i="20"/>
  <c r="N437" i="20"/>
  <c r="N438" i="20"/>
  <c r="N439" i="20"/>
  <c r="N440" i="20"/>
  <c r="N441" i="20"/>
  <c r="N442" i="20"/>
  <c r="N443" i="20"/>
  <c r="N444" i="20"/>
  <c r="N445" i="20"/>
  <c r="N446" i="20"/>
  <c r="N447" i="20"/>
  <c r="N448" i="20"/>
  <c r="N449" i="20"/>
  <c r="N450" i="20"/>
  <c r="N451" i="20"/>
  <c r="N452" i="20"/>
  <c r="N453" i="20"/>
  <c r="N454" i="20"/>
  <c r="N455" i="20"/>
  <c r="N456" i="20"/>
  <c r="N457" i="20"/>
  <c r="N458" i="20"/>
  <c r="N459" i="20"/>
  <c r="N461" i="20"/>
  <c r="N462" i="20"/>
  <c r="N463" i="20"/>
  <c r="N464" i="20"/>
  <c r="N465" i="20"/>
  <c r="N466" i="20"/>
  <c r="N467" i="20"/>
  <c r="N468" i="20"/>
  <c r="N469" i="20"/>
  <c r="N470" i="20"/>
  <c r="N471" i="20"/>
  <c r="N472" i="20"/>
  <c r="N473" i="20"/>
  <c r="N474" i="20"/>
  <c r="N475" i="20"/>
  <c r="N476" i="20"/>
  <c r="N477" i="20"/>
  <c r="N478" i="20"/>
  <c r="N479" i="20"/>
  <c r="N480" i="20"/>
  <c r="N481" i="20"/>
  <c r="N482" i="20"/>
  <c r="N483" i="20"/>
  <c r="N484" i="20"/>
  <c r="N485" i="20"/>
  <c r="N486" i="20"/>
  <c r="N487" i="20"/>
  <c r="N488" i="20"/>
  <c r="N489" i="20"/>
  <c r="N490" i="20"/>
  <c r="N491" i="20"/>
  <c r="N492" i="20"/>
  <c r="N493" i="20"/>
  <c r="N494" i="20"/>
  <c r="N495" i="20"/>
  <c r="N496" i="20"/>
  <c r="N497" i="20"/>
  <c r="N498" i="20"/>
  <c r="N499" i="20"/>
  <c r="N500" i="20"/>
  <c r="N501" i="20"/>
  <c r="N502" i="20"/>
  <c r="N503" i="20"/>
  <c r="N504" i="20"/>
  <c r="N505" i="20"/>
  <c r="N506" i="20"/>
  <c r="N507" i="20"/>
  <c r="N508" i="20"/>
  <c r="N509" i="20"/>
  <c r="N510" i="20"/>
  <c r="N511" i="20"/>
  <c r="N512" i="20"/>
  <c r="N513" i="20"/>
  <c r="N514" i="20"/>
  <c r="N515" i="20"/>
  <c r="N516" i="20"/>
  <c r="N517" i="20"/>
  <c r="N518" i="20"/>
  <c r="N519" i="20"/>
  <c r="N520" i="20"/>
  <c r="N521" i="20"/>
  <c r="N522" i="20"/>
  <c r="N523" i="20"/>
  <c r="N524" i="20"/>
  <c r="N525" i="20"/>
  <c r="N526" i="20"/>
  <c r="N527" i="20"/>
  <c r="N528" i="20"/>
  <c r="N529" i="20"/>
  <c r="N530" i="20"/>
  <c r="N531" i="20"/>
  <c r="N532" i="20"/>
  <c r="N533" i="20"/>
  <c r="N534" i="20"/>
  <c r="N535" i="20"/>
  <c r="N536" i="20"/>
  <c r="N537" i="20"/>
  <c r="N538" i="20"/>
  <c r="N539" i="20"/>
  <c r="N540" i="20"/>
  <c r="N541" i="20"/>
  <c r="N542" i="20"/>
  <c r="N543" i="20"/>
  <c r="N544" i="20"/>
  <c r="N545" i="20"/>
  <c r="N546" i="20"/>
  <c r="N547" i="20"/>
  <c r="N548" i="20"/>
  <c r="N549" i="20"/>
  <c r="N550" i="20"/>
  <c r="N551" i="20"/>
  <c r="N552" i="20"/>
  <c r="N553" i="20"/>
  <c r="N554" i="20"/>
  <c r="N555" i="20"/>
  <c r="N556" i="20"/>
  <c r="N557" i="20"/>
  <c r="N558" i="20"/>
  <c r="N559" i="20"/>
  <c r="N560" i="20"/>
  <c r="N561" i="20"/>
  <c r="N562" i="20"/>
  <c r="N563" i="20"/>
  <c r="N565" i="20"/>
  <c r="N566" i="20"/>
  <c r="N567" i="20"/>
  <c r="N568" i="20"/>
  <c r="N569" i="20"/>
  <c r="N570" i="20"/>
  <c r="N571" i="20"/>
  <c r="N572" i="20"/>
  <c r="N573" i="20"/>
  <c r="N574" i="20"/>
  <c r="N575" i="20"/>
  <c r="N577" i="20"/>
  <c r="N578" i="20"/>
  <c r="N579" i="20"/>
  <c r="N580" i="20"/>
  <c r="N581" i="20"/>
  <c r="N583" i="20"/>
  <c r="N584" i="20"/>
  <c r="N585" i="20"/>
  <c r="N587" i="20"/>
  <c r="N589" i="20"/>
  <c r="N590" i="20"/>
  <c r="N591" i="20"/>
  <c r="N592" i="20"/>
  <c r="N593" i="20"/>
  <c r="N594" i="20"/>
  <c r="N595" i="20"/>
  <c r="N596" i="20"/>
  <c r="N597" i="20"/>
  <c r="N600" i="20"/>
  <c r="N601" i="20"/>
  <c r="N602" i="20"/>
  <c r="N604" i="20"/>
  <c r="N606" i="20"/>
  <c r="N608" i="20"/>
  <c r="N609" i="20"/>
  <c r="N611" i="20"/>
  <c r="N612" i="20"/>
  <c r="N613" i="20"/>
  <c r="N614" i="20"/>
  <c r="N615" i="20"/>
  <c r="N616" i="20"/>
  <c r="N617" i="20"/>
  <c r="N618" i="20"/>
  <c r="N619" i="20"/>
  <c r="N620" i="20"/>
  <c r="N621" i="20"/>
  <c r="N623" i="20"/>
  <c r="N625" i="20"/>
  <c r="N627" i="20"/>
  <c r="N628" i="20"/>
  <c r="N629" i="20"/>
  <c r="N631" i="20"/>
  <c r="N633" i="20"/>
  <c r="N635" i="20"/>
  <c r="N636" i="20"/>
  <c r="N637" i="20"/>
  <c r="N638" i="20"/>
  <c r="N639" i="20"/>
  <c r="N640" i="20"/>
  <c r="N641" i="20"/>
  <c r="N642" i="20"/>
  <c r="N643" i="20"/>
  <c r="N645" i="20"/>
  <c r="N646" i="20"/>
  <c r="N648" i="20"/>
  <c r="N650" i="20"/>
  <c r="N652" i="20"/>
  <c r="N654" i="20"/>
  <c r="N657" i="20"/>
  <c r="N658" i="20"/>
  <c r="N659" i="20"/>
  <c r="N660" i="20"/>
  <c r="N661" i="20"/>
  <c r="N662" i="20"/>
  <c r="N663" i="20"/>
  <c r="N664" i="20"/>
  <c r="N665" i="20"/>
  <c r="N666" i="20"/>
  <c r="N667" i="20"/>
  <c r="N669" i="20"/>
  <c r="N671" i="20"/>
  <c r="N673" i="20"/>
  <c r="N675" i="20"/>
  <c r="N676" i="20"/>
  <c r="N677" i="20"/>
  <c r="N679" i="20"/>
  <c r="N681" i="20"/>
  <c r="N682" i="20"/>
  <c r="N683" i="20"/>
  <c r="N684" i="20"/>
  <c r="N685" i="20"/>
  <c r="N686" i="20"/>
  <c r="N687" i="20"/>
  <c r="N688" i="20"/>
  <c r="N689" i="20"/>
  <c r="N692" i="20"/>
  <c r="N694" i="20"/>
  <c r="N696" i="20"/>
  <c r="N698" i="20"/>
  <c r="N700" i="20"/>
  <c r="N703" i="20"/>
  <c r="N704" i="20"/>
  <c r="N705" i="20"/>
  <c r="N706" i="20"/>
  <c r="N707" i="20"/>
  <c r="N708" i="20"/>
  <c r="N709" i="20"/>
  <c r="N710" i="20"/>
  <c r="N711" i="20"/>
  <c r="N712" i="20"/>
  <c r="N713" i="20"/>
  <c r="N715" i="20"/>
  <c r="N717" i="20"/>
  <c r="N719" i="20"/>
  <c r="N721" i="20"/>
  <c r="N722" i="20"/>
  <c r="N723" i="20"/>
  <c r="N725" i="20"/>
  <c r="N727" i="20"/>
  <c r="N728" i="20"/>
  <c r="N729" i="20"/>
  <c r="N730" i="20"/>
  <c r="N731" i="20"/>
  <c r="N732" i="20"/>
  <c r="N733" i="20"/>
  <c r="N734" i="20"/>
  <c r="N735" i="20"/>
  <c r="N738" i="20"/>
  <c r="N739" i="20"/>
  <c r="N740" i="20"/>
  <c r="N742" i="20"/>
  <c r="N744" i="20"/>
  <c r="N746" i="20"/>
  <c r="N747" i="20"/>
  <c r="N749" i="20"/>
  <c r="N750" i="20"/>
  <c r="N751" i="20"/>
  <c r="N752" i="20"/>
  <c r="N753" i="20"/>
  <c r="N754" i="20"/>
  <c r="N755" i="20"/>
  <c r="N756" i="20"/>
  <c r="N757" i="20"/>
  <c r="N759" i="20"/>
  <c r="N761" i="20"/>
  <c r="N763" i="20"/>
  <c r="N765" i="20"/>
  <c r="N766" i="20"/>
  <c r="N767" i="20"/>
  <c r="N769" i="20"/>
  <c r="N771" i="20"/>
  <c r="N772" i="20"/>
  <c r="N773" i="20"/>
  <c r="N774" i="20"/>
  <c r="N775" i="20"/>
  <c r="N776" i="20"/>
  <c r="N777" i="20"/>
  <c r="N778" i="20"/>
  <c r="N779" i="20"/>
  <c r="N782" i="20"/>
  <c r="N783" i="20"/>
  <c r="N784" i="20"/>
  <c r="N786" i="20"/>
  <c r="N788" i="20"/>
  <c r="N790" i="20"/>
  <c r="N793" i="20"/>
  <c r="N794" i="20"/>
  <c r="N795" i="20"/>
  <c r="N796" i="20"/>
  <c r="N797" i="20"/>
  <c r="N798" i="20"/>
  <c r="N799" i="20"/>
  <c r="N800" i="20"/>
  <c r="N801" i="20"/>
  <c r="N802" i="20"/>
  <c r="N803" i="20"/>
  <c r="N805" i="20"/>
  <c r="N807" i="20"/>
  <c r="N809" i="20"/>
  <c r="N811" i="20"/>
  <c r="N812" i="20"/>
  <c r="N813" i="20"/>
  <c r="N815" i="20"/>
  <c r="N817" i="20"/>
  <c r="N819" i="20"/>
  <c r="N821" i="20"/>
  <c r="N823" i="20"/>
  <c r="N825" i="20"/>
  <c r="N840" i="20"/>
  <c r="N842" i="20"/>
  <c r="N844" i="20"/>
  <c r="N846" i="20"/>
  <c r="N861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 s="1"/>
  <c r="O315" i="20" a="1"/>
  <c r="O315" i="20" s="1"/>
  <c r="O316" i="20" a="1"/>
  <c r="O316" i="20" s="1"/>
  <c r="O317" i="20" a="1"/>
  <c r="O317" i="20" s="1"/>
  <c r="O318" i="20" a="1"/>
  <c r="O318" i="20" s="1"/>
  <c r="O319" i="20" a="1"/>
  <c r="O319" i="20" s="1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 s="1"/>
  <c r="O329" i="20" a="1"/>
  <c r="O329" i="20" s="1"/>
  <c r="O330" i="20" a="1"/>
  <c r="O330" i="20" s="1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 s="1"/>
  <c r="O351" i="20" a="1"/>
  <c r="O351" i="20" s="1"/>
  <c r="O352" i="20" a="1"/>
  <c r="O352" i="20" s="1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 s="1"/>
  <c r="O360" i="20" a="1"/>
  <c r="O360" i="20" s="1"/>
  <c r="O361" i="20" a="1"/>
  <c r="O361" i="20" s="1"/>
  <c r="O362" i="20" a="1"/>
  <c r="O362" i="20" s="1"/>
  <c r="O363" i="20" a="1"/>
  <c r="O363" i="20" s="1"/>
  <c r="O364" i="20" a="1"/>
  <c r="O364" i="20" s="1"/>
  <c r="O365" i="20" a="1"/>
  <c r="O365" i="20" s="1"/>
  <c r="O366" i="20" a="1"/>
  <c r="O366" i="20" s="1"/>
  <c r="O367" i="20" a="1"/>
  <c r="O367" i="20" s="1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 s="1"/>
  <c r="O375" i="20" a="1"/>
  <c r="O375" i="20" s="1"/>
  <c r="O376" i="20" a="1"/>
  <c r="O376" i="20" s="1"/>
  <c r="O377" i="20" a="1"/>
  <c r="O377" i="20" s="1"/>
  <c r="O378" i="20" a="1"/>
  <c r="O378" i="20" s="1"/>
  <c r="O379" i="20" a="1"/>
  <c r="O379" i="20" s="1"/>
  <c r="O380" i="20" a="1"/>
  <c r="O380" i="20" s="1"/>
  <c r="O381" i="20" a="1"/>
  <c r="O381" i="20" s="1"/>
  <c r="O382" i="20" a="1"/>
  <c r="O382" i="20" s="1"/>
  <c r="O383" i="20" a="1"/>
  <c r="O383" i="20" s="1"/>
  <c r="O384" i="20" a="1"/>
  <c r="O384" i="20" s="1"/>
  <c r="O385" i="20" a="1"/>
  <c r="O385" i="20" s="1"/>
  <c r="O386" i="20" a="1"/>
  <c r="O386" i="20" s="1"/>
  <c r="O387" i="20" a="1"/>
  <c r="O387" i="20" s="1"/>
  <c r="O388" i="20" a="1"/>
  <c r="O388" i="20" s="1"/>
  <c r="O389" i="20" a="1"/>
  <c r="O389" i="20" s="1"/>
  <c r="O390" i="20" a="1"/>
  <c r="O390" i="20" s="1"/>
  <c r="O391" i="20" a="1"/>
  <c r="O391" i="20" s="1"/>
  <c r="O392" i="20" a="1"/>
  <c r="O392" i="20" s="1"/>
  <c r="O393" i="20" a="1"/>
  <c r="O393" i="20" s="1"/>
  <c r="O394" i="20" a="1"/>
  <c r="O394" i="20" s="1"/>
  <c r="O395" i="20" a="1"/>
  <c r="O395" i="20" s="1"/>
  <c r="O396" i="20" a="1"/>
  <c r="O396" i="20" s="1"/>
  <c r="O397" i="20" a="1"/>
  <c r="O397" i="20" s="1"/>
  <c r="O398" i="20" a="1"/>
  <c r="O398" i="20" s="1"/>
  <c r="O399" i="20" a="1"/>
  <c r="O399" i="20" s="1"/>
  <c r="O400" i="20" a="1"/>
  <c r="O400" i="20" s="1"/>
  <c r="O401" i="20" a="1"/>
  <c r="O401" i="20" s="1"/>
  <c r="O402" i="20" a="1"/>
  <c r="O402" i="20" s="1"/>
  <c r="O403" i="20" a="1"/>
  <c r="O403" i="20" s="1"/>
  <c r="O404" i="20" a="1"/>
  <c r="O404" i="20" s="1"/>
  <c r="O405" i="20" a="1"/>
  <c r="O405" i="20" s="1"/>
  <c r="O406" i="20" a="1"/>
  <c r="O406" i="20" s="1"/>
  <c r="O407" i="20" a="1"/>
  <c r="O407" i="20" s="1"/>
  <c r="O408" i="20" a="1"/>
  <c r="O408" i="20" s="1"/>
  <c r="O409" i="20" a="1"/>
  <c r="O409" i="20" s="1"/>
  <c r="O410" i="20" a="1"/>
  <c r="O410" i="20" s="1"/>
  <c r="O411" i="20" a="1"/>
  <c r="O411" i="20" s="1"/>
  <c r="O412" i="20" a="1"/>
  <c r="O412" i="20" s="1"/>
  <c r="O413" i="20" a="1"/>
  <c r="O413" i="20" s="1"/>
  <c r="O414" i="20" a="1"/>
  <c r="O414" i="20" s="1"/>
  <c r="O415" i="20" a="1"/>
  <c r="O415" i="20" s="1"/>
  <c r="O416" i="20" a="1"/>
  <c r="O416" i="20" s="1"/>
  <c r="O417" i="20" a="1"/>
  <c r="O417" i="20" s="1"/>
  <c r="O418" i="20" a="1"/>
  <c r="O418" i="20" s="1"/>
  <c r="O419" i="20" a="1"/>
  <c r="O419" i="20" s="1"/>
  <c r="O420" i="20" a="1"/>
  <c r="O420" i="20" s="1"/>
  <c r="O421" i="20" a="1"/>
  <c r="O421" i="20" s="1"/>
  <c r="O422" i="20" a="1"/>
  <c r="O422" i="20" s="1"/>
  <c r="O423" i="20" a="1"/>
  <c r="O423" i="20" s="1"/>
  <c r="O424" i="20" a="1"/>
  <c r="O424" i="20" s="1"/>
  <c r="O425" i="20" a="1"/>
  <c r="O425" i="20" s="1"/>
  <c r="O426" i="20" a="1"/>
  <c r="O426" i="20" s="1"/>
  <c r="O427" i="20" a="1"/>
  <c r="O427" i="20" s="1"/>
  <c r="O428" i="20" a="1"/>
  <c r="O428" i="20" s="1"/>
  <c r="O429" i="20" a="1"/>
  <c r="O429" i="20" s="1"/>
  <c r="O430" i="20" a="1"/>
  <c r="O430" i="20" s="1"/>
  <c r="O431" i="20" a="1"/>
  <c r="O431" i="20" s="1"/>
  <c r="O432" i="20" a="1"/>
  <c r="O432" i="20" s="1"/>
  <c r="O433" i="20" a="1"/>
  <c r="O433" i="20" s="1"/>
  <c r="O434" i="20" a="1"/>
  <c r="O434" i="20" s="1"/>
  <c r="O435" i="20" a="1"/>
  <c r="O435" i="20" s="1"/>
  <c r="O436" i="20" a="1"/>
  <c r="O436" i="20" s="1"/>
  <c r="O437" i="20" a="1"/>
  <c r="O437" i="20" s="1"/>
  <c r="O438" i="20" a="1"/>
  <c r="O438" i="20" s="1"/>
  <c r="O439" i="20" a="1"/>
  <c r="O439" i="20" s="1"/>
  <c r="O440" i="20" a="1"/>
  <c r="O440" i="20" s="1"/>
  <c r="O441" i="20" a="1"/>
  <c r="O441" i="20" s="1"/>
  <c r="O442" i="20" a="1"/>
  <c r="O442" i="20" s="1"/>
  <c r="O443" i="20" a="1"/>
  <c r="O443" i="20" s="1"/>
  <c r="O444" i="20" a="1"/>
  <c r="O444" i="20" s="1"/>
  <c r="O445" i="20" a="1"/>
  <c r="O445" i="20" s="1"/>
  <c r="O446" i="20" a="1"/>
  <c r="O446" i="20" s="1"/>
  <c r="O447" i="20" a="1"/>
  <c r="O447" i="20" s="1"/>
  <c r="O448" i="20" a="1"/>
  <c r="O448" i="20" s="1"/>
  <c r="O449" i="20" a="1"/>
  <c r="O449" i="20" s="1"/>
  <c r="O450" i="20" a="1"/>
  <c r="O450" i="20" s="1"/>
  <c r="O451" i="20" a="1"/>
  <c r="O451" i="20" s="1"/>
  <c r="O452" i="20" a="1"/>
  <c r="O452" i="20" s="1"/>
  <c r="O453" i="20" a="1"/>
  <c r="O453" i="20" s="1"/>
  <c r="O454" i="20" a="1"/>
  <c r="O454" i="20" s="1"/>
  <c r="O455" i="20" a="1"/>
  <c r="O455" i="20" s="1"/>
  <c r="O456" i="20" a="1"/>
  <c r="O456" i="20" s="1"/>
  <c r="O457" i="20" a="1"/>
  <c r="O457" i="20" s="1"/>
  <c r="O458" i="20" a="1"/>
  <c r="O458" i="20" s="1"/>
  <c r="O459" i="20" a="1"/>
  <c r="O459" i="20" s="1"/>
  <c r="O460" i="20" a="1"/>
  <c r="O460" i="20" s="1"/>
  <c r="O461" i="20" a="1"/>
  <c r="O461" i="20" s="1"/>
  <c r="O462" i="20" a="1"/>
  <c r="O462" i="20" s="1"/>
  <c r="O463" i="20" a="1"/>
  <c r="O463" i="20" s="1"/>
  <c r="O464" i="20" a="1"/>
  <c r="O464" i="20" s="1"/>
  <c r="O465" i="20" a="1"/>
  <c r="O465" i="20" s="1"/>
  <c r="O466" i="20" a="1"/>
  <c r="O466" i="20" s="1"/>
  <c r="O467" i="20" a="1"/>
  <c r="O467" i="20" s="1"/>
  <c r="O468" i="20" a="1"/>
  <c r="O468" i="20" s="1"/>
  <c r="O469" i="20" a="1"/>
  <c r="O469" i="20" s="1"/>
  <c r="O470" i="20" a="1"/>
  <c r="O470" i="20" s="1"/>
  <c r="O471" i="20" a="1"/>
  <c r="O471" i="20" s="1"/>
  <c r="O472" i="20" a="1"/>
  <c r="O472" i="20" s="1"/>
  <c r="O473" i="20" a="1"/>
  <c r="O473" i="20" s="1"/>
  <c r="O474" i="20" a="1"/>
  <c r="O474" i="20" s="1"/>
  <c r="O475" i="20" a="1"/>
  <c r="O475" i="20" s="1"/>
  <c r="O476" i="20" a="1"/>
  <c r="O476" i="20" s="1"/>
  <c r="O477" i="20" a="1"/>
  <c r="O477" i="20" s="1"/>
  <c r="O478" i="20" a="1"/>
  <c r="O478" i="20" s="1"/>
  <c r="O479" i="20" a="1"/>
  <c r="O479" i="20" s="1"/>
  <c r="O480" i="20" a="1"/>
  <c r="O480" i="20" s="1"/>
  <c r="O481" i="20" a="1"/>
  <c r="O481" i="20" s="1"/>
  <c r="O482" i="20" a="1"/>
  <c r="O482" i="20" s="1"/>
  <c r="O483" i="20" a="1"/>
  <c r="O483" i="20" s="1"/>
  <c r="O484" i="20" a="1"/>
  <c r="O484" i="20" s="1"/>
  <c r="O485" i="20" a="1"/>
  <c r="O485" i="20" s="1"/>
  <c r="O486" i="20" a="1"/>
  <c r="O486" i="20" s="1"/>
  <c r="O487" i="20" a="1"/>
  <c r="O487" i="20" s="1"/>
  <c r="O488" i="20" a="1"/>
  <c r="O488" i="20" s="1"/>
  <c r="O489" i="20" a="1"/>
  <c r="O489" i="20" s="1"/>
  <c r="O490" i="20" a="1"/>
  <c r="O490" i="20" s="1"/>
  <c r="O491" i="20" a="1"/>
  <c r="O491" i="20" s="1"/>
  <c r="O492" i="20" a="1"/>
  <c r="O492" i="20" s="1"/>
  <c r="O493" i="20" a="1"/>
  <c r="O493" i="20" s="1"/>
  <c r="O494" i="20" a="1"/>
  <c r="O494" i="20" s="1"/>
  <c r="O495" i="20" a="1"/>
  <c r="O495" i="20" s="1"/>
  <c r="O496" i="20" a="1"/>
  <c r="O496" i="20" s="1"/>
  <c r="O497" i="20" a="1"/>
  <c r="O497" i="20" s="1"/>
  <c r="O498" i="20" a="1"/>
  <c r="O498" i="20" s="1"/>
  <c r="O499" i="20" a="1"/>
  <c r="O499" i="20" s="1"/>
  <c r="O500" i="20" a="1"/>
  <c r="O500" i="20" s="1"/>
  <c r="O501" i="20" a="1"/>
  <c r="O501" i="20" s="1"/>
  <c r="O502" i="20" a="1"/>
  <c r="O502" i="20" s="1"/>
  <c r="O503" i="20" a="1"/>
  <c r="O503" i="20" s="1"/>
  <c r="O504" i="20" a="1"/>
  <c r="O504" i="20" s="1"/>
  <c r="O505" i="20" a="1"/>
  <c r="O505" i="20" s="1"/>
  <c r="O506" i="20" a="1"/>
  <c r="O506" i="20" s="1"/>
  <c r="O507" i="20" a="1"/>
  <c r="O507" i="20" s="1"/>
  <c r="O508" i="20" a="1"/>
  <c r="O508" i="20" s="1"/>
  <c r="O509" i="20" a="1"/>
  <c r="O509" i="20" s="1"/>
  <c r="O510" i="20" a="1"/>
  <c r="O510" i="20" s="1"/>
  <c r="O511" i="20" a="1"/>
  <c r="O511" i="20" s="1"/>
  <c r="O512" i="20" a="1"/>
  <c r="O512" i="20" s="1"/>
  <c r="O513" i="20" a="1"/>
  <c r="O513" i="20" s="1"/>
  <c r="O514" i="20" a="1"/>
  <c r="O514" i="20" s="1"/>
  <c r="O515" i="20" a="1"/>
  <c r="O515" i="20" s="1"/>
  <c r="O516" i="20" a="1"/>
  <c r="O516" i="20" s="1"/>
  <c r="O517" i="20" a="1"/>
  <c r="O517" i="20" s="1"/>
  <c r="O518" i="20" a="1"/>
  <c r="O518" i="20" s="1"/>
  <c r="O519" i="20" a="1"/>
  <c r="O519" i="20" s="1"/>
  <c r="O520" i="20" a="1"/>
  <c r="O520" i="20" s="1"/>
  <c r="O521" i="20" a="1"/>
  <c r="O521" i="20" s="1"/>
  <c r="O522" i="20" a="1"/>
  <c r="O522" i="20" s="1"/>
  <c r="O523" i="20" a="1"/>
  <c r="O523" i="20" s="1"/>
  <c r="O524" i="20" a="1"/>
  <c r="O524" i="20" s="1"/>
  <c r="O525" i="20" a="1"/>
  <c r="O525" i="20" s="1"/>
  <c r="O526" i="20" a="1"/>
  <c r="O526" i="20" s="1"/>
  <c r="O527" i="20" a="1"/>
  <c r="O527" i="20" s="1"/>
  <c r="O528" i="20" a="1"/>
  <c r="O528" i="20" s="1"/>
  <c r="O529" i="20" a="1"/>
  <c r="O529" i="20" s="1"/>
  <c r="O530" i="20" a="1"/>
  <c r="O530" i="20" s="1"/>
  <c r="O531" i="20" a="1"/>
  <c r="O531" i="20" s="1"/>
  <c r="O532" i="20" a="1"/>
  <c r="O532" i="20" s="1"/>
  <c r="O533" i="20" a="1"/>
  <c r="O533" i="20" s="1"/>
  <c r="O534" i="20" a="1"/>
  <c r="O534" i="20" s="1"/>
  <c r="O535" i="20" a="1"/>
  <c r="O535" i="20" s="1"/>
  <c r="O536" i="20" a="1"/>
  <c r="O536" i="20" s="1"/>
  <c r="O537" i="20" a="1"/>
  <c r="O537" i="20" s="1"/>
  <c r="O538" i="20" a="1"/>
  <c r="O538" i="20" s="1"/>
  <c r="O539" i="20" a="1"/>
  <c r="O539" i="20" s="1"/>
  <c r="O540" i="20" a="1"/>
  <c r="O540" i="20" s="1"/>
  <c r="O541" i="20" a="1"/>
  <c r="O541" i="20" s="1"/>
  <c r="O542" i="20" a="1"/>
  <c r="O542" i="20" s="1"/>
  <c r="O543" i="20" a="1"/>
  <c r="O543" i="20" s="1"/>
  <c r="O544" i="20" a="1"/>
  <c r="O544" i="20" s="1"/>
  <c r="O545" i="20" a="1"/>
  <c r="O545" i="20" s="1"/>
  <c r="O546" i="20" a="1"/>
  <c r="O546" i="20" s="1"/>
  <c r="O547" i="20" a="1"/>
  <c r="O547" i="20" s="1"/>
  <c r="O548" i="20" a="1"/>
  <c r="O548" i="20" s="1"/>
  <c r="O549" i="20" a="1"/>
  <c r="O549" i="20" s="1"/>
  <c r="O550" i="20" a="1"/>
  <c r="O550" i="20" s="1"/>
  <c r="O551" i="20" a="1"/>
  <c r="O551" i="20" s="1"/>
  <c r="O552" i="20" a="1"/>
  <c r="O552" i="20" s="1"/>
  <c r="O553" i="20" a="1"/>
  <c r="O553" i="20" s="1"/>
  <c r="O554" i="20" a="1"/>
  <c r="O554" i="20" s="1"/>
  <c r="O555" i="20" a="1"/>
  <c r="O555" i="20" s="1"/>
  <c r="O556" i="20" a="1"/>
  <c r="O556" i="20" s="1"/>
  <c r="O557" i="20" a="1"/>
  <c r="O557" i="20" s="1"/>
  <c r="O558" i="20" a="1"/>
  <c r="O558" i="20" s="1"/>
  <c r="O559" i="20" a="1"/>
  <c r="O559" i="20" s="1"/>
  <c r="O560" i="20" a="1"/>
  <c r="O560" i="20" s="1"/>
  <c r="O561" i="20" a="1"/>
  <c r="O561" i="20" s="1"/>
  <c r="O562" i="20" a="1"/>
  <c r="O562" i="20" s="1"/>
  <c r="O563" i="20" a="1"/>
  <c r="O563" i="20" s="1"/>
  <c r="O564" i="20" a="1"/>
  <c r="O564" i="20" s="1"/>
  <c r="O565" i="20" a="1"/>
  <c r="O565" i="20" s="1"/>
  <c r="O566" i="20" a="1"/>
  <c r="O566" i="20" s="1"/>
  <c r="O567" i="20" a="1"/>
  <c r="O567" i="20" s="1"/>
  <c r="O568" i="20" a="1"/>
  <c r="O568" i="20" s="1"/>
  <c r="O569" i="20" a="1"/>
  <c r="O569" i="20" s="1"/>
  <c r="O570" i="20" a="1"/>
  <c r="O570" i="20" s="1"/>
  <c r="O571" i="20" a="1"/>
  <c r="O571" i="20" s="1"/>
  <c r="O572" i="20" a="1"/>
  <c r="O572" i="20" s="1"/>
  <c r="O573" i="20" a="1"/>
  <c r="O573" i="20" s="1"/>
  <c r="O574" i="20" a="1"/>
  <c r="O574" i="20" s="1"/>
  <c r="O575" i="20" a="1"/>
  <c r="O575" i="20" s="1"/>
  <c r="O576" i="20" a="1"/>
  <c r="O576" i="20" s="1"/>
  <c r="O577" i="20" a="1"/>
  <c r="O577" i="20" s="1"/>
  <c r="O578" i="20" a="1"/>
  <c r="O578" i="20" s="1"/>
  <c r="O579" i="20" a="1"/>
  <c r="O579" i="20" s="1"/>
  <c r="O580" i="20" a="1"/>
  <c r="O580" i="20" s="1"/>
  <c r="O581" i="20" a="1"/>
  <c r="O581" i="20" s="1"/>
  <c r="O582" i="20" a="1"/>
  <c r="O582" i="20" s="1"/>
  <c r="O583" i="20" a="1"/>
  <c r="O583" i="20" s="1"/>
  <c r="O584" i="20" a="1"/>
  <c r="O584" i="20" s="1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 s="1"/>
  <c r="O590" i="20" a="1"/>
  <c r="O590" i="20" s="1"/>
  <c r="O591" i="20" a="1"/>
  <c r="O591" i="20" s="1"/>
  <c r="O592" i="20" a="1"/>
  <c r="O592" i="20" s="1"/>
  <c r="O593" i="20" a="1"/>
  <c r="O593" i="20" s="1"/>
  <c r="O594" i="20" a="1"/>
  <c r="O594" i="20" s="1"/>
  <c r="O595" i="20" a="1"/>
  <c r="O595" i="20" s="1"/>
  <c r="O596" i="20" a="1"/>
  <c r="O596" i="20" s="1"/>
  <c r="O597" i="20" a="1"/>
  <c r="O597" i="20" s="1"/>
  <c r="O598" i="20" a="1"/>
  <c r="O598" i="20" s="1"/>
  <c r="O599" i="20" a="1"/>
  <c r="O599" i="20" s="1"/>
  <c r="O600" i="20" a="1"/>
  <c r="O600" i="20" s="1"/>
  <c r="O601" i="20" a="1"/>
  <c r="O601" i="20" s="1"/>
  <c r="O602" i="20" a="1"/>
  <c r="O602" i="20" s="1"/>
  <c r="O603" i="20" a="1"/>
  <c r="O603" i="20" s="1"/>
  <c r="O604" i="20" a="1"/>
  <c r="O604" i="20" s="1"/>
  <c r="O605" i="20" a="1"/>
  <c r="O605" i="20" s="1"/>
  <c r="O606" i="20" a="1"/>
  <c r="O606" i="20" s="1"/>
  <c r="O607" i="20" a="1"/>
  <c r="O607" i="20" s="1"/>
  <c r="O608" i="20" a="1"/>
  <c r="O608" i="20" s="1"/>
  <c r="O609" i="20" a="1"/>
  <c r="O609" i="20" s="1"/>
  <c r="O610" i="20" a="1"/>
  <c r="O610" i="20" s="1"/>
  <c r="O611" i="20" a="1"/>
  <c r="O611" i="20" s="1"/>
  <c r="O612" i="20" a="1"/>
  <c r="O612" i="20" s="1"/>
  <c r="O613" i="20" a="1"/>
  <c r="O613" i="20" s="1"/>
  <c r="O614" i="20" a="1"/>
  <c r="O614" i="20" s="1"/>
  <c r="O615" i="20" a="1"/>
  <c r="O615" i="20" s="1"/>
  <c r="O616" i="20" a="1"/>
  <c r="O616" i="20" s="1"/>
  <c r="O617" i="20" a="1"/>
  <c r="O617" i="20" s="1"/>
  <c r="O618" i="20" a="1"/>
  <c r="O618" i="20" s="1"/>
  <c r="O619" i="20" a="1"/>
  <c r="O619" i="20" s="1"/>
  <c r="O620" i="20" a="1"/>
  <c r="O620" i="20" s="1"/>
  <c r="O621" i="20" a="1"/>
  <c r="O621" i="20" s="1"/>
  <c r="O622" i="20" a="1"/>
  <c r="O622" i="20" s="1"/>
  <c r="O623" i="20" a="1"/>
  <c r="O623" i="20" s="1"/>
  <c r="O624" i="20" a="1"/>
  <c r="O624" i="20" s="1"/>
  <c r="O625" i="20" a="1"/>
  <c r="O625" i="20" s="1"/>
  <c r="O626" i="20" a="1"/>
  <c r="O626" i="20" s="1"/>
  <c r="O627" i="20" a="1"/>
  <c r="O627" i="20" s="1"/>
  <c r="O628" i="20" a="1"/>
  <c r="O628" i="20" s="1"/>
  <c r="O629" i="20" a="1"/>
  <c r="O629" i="20" s="1"/>
  <c r="O630" i="20" a="1"/>
  <c r="O630" i="20" s="1"/>
  <c r="O631" i="20" a="1"/>
  <c r="O631" i="20" s="1"/>
  <c r="O632" i="20" a="1"/>
  <c r="O632" i="20" s="1"/>
  <c r="O633" i="20" a="1"/>
  <c r="O633" i="20" s="1"/>
  <c r="O634" i="20" a="1"/>
  <c r="O634" i="20" s="1"/>
  <c r="O635" i="20" a="1"/>
  <c r="O635" i="20" s="1"/>
  <c r="O636" i="20" a="1"/>
  <c r="O636" i="20" s="1"/>
  <c r="O637" i="20" a="1"/>
  <c r="O637" i="20" s="1"/>
  <c r="O638" i="20" a="1"/>
  <c r="O638" i="20" s="1"/>
  <c r="O639" i="20" a="1"/>
  <c r="O639" i="20" s="1"/>
  <c r="O640" i="20" a="1"/>
  <c r="O640" i="20" s="1"/>
  <c r="O641" i="20" a="1"/>
  <c r="O641" i="20" s="1"/>
  <c r="O642" i="20" a="1"/>
  <c r="O642" i="20" s="1"/>
  <c r="O643" i="20" a="1"/>
  <c r="O643" i="20" s="1"/>
  <c r="O644" i="20" a="1"/>
  <c r="O644" i="20" s="1"/>
  <c r="O645" i="20" a="1"/>
  <c r="O645" i="20" s="1"/>
  <c r="O646" i="20" a="1"/>
  <c r="O646" i="20" s="1"/>
  <c r="O647" i="20" a="1"/>
  <c r="O647" i="20" s="1"/>
  <c r="O648" i="20" a="1"/>
  <c r="O648" i="20" s="1"/>
  <c r="O649" i="20" a="1"/>
  <c r="O649" i="20" s="1"/>
  <c r="O650" i="20" a="1"/>
  <c r="O650" i="20" s="1"/>
  <c r="O651" i="20" a="1"/>
  <c r="O651" i="20" s="1"/>
  <c r="O652" i="20" a="1"/>
  <c r="O652" i="20" s="1"/>
  <c r="O653" i="20" a="1"/>
  <c r="O653" i="20" s="1"/>
  <c r="O654" i="20" a="1"/>
  <c r="O654" i="20" s="1"/>
  <c r="O655" i="20" a="1"/>
  <c r="O655" i="20" s="1"/>
  <c r="O656" i="20" a="1"/>
  <c r="O656" i="20" s="1"/>
  <c r="O657" i="20" a="1"/>
  <c r="O657" i="20" s="1"/>
  <c r="O658" i="20" a="1"/>
  <c r="O658" i="20" s="1"/>
  <c r="O659" i="20" a="1"/>
  <c r="O659" i="20" s="1"/>
  <c r="O660" i="20" a="1"/>
  <c r="O660" i="20" s="1"/>
  <c r="O661" i="20" a="1"/>
  <c r="O661" i="20" s="1"/>
  <c r="O662" i="20" a="1"/>
  <c r="O662" i="20" s="1"/>
  <c r="O663" i="20" a="1"/>
  <c r="O663" i="20" s="1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 s="1"/>
  <c r="O671" i="20" a="1"/>
  <c r="O671" i="20" s="1"/>
  <c r="O672" i="20" a="1"/>
  <c r="O672" i="20" s="1"/>
  <c r="O673" i="20" a="1"/>
  <c r="O673" i="20" s="1"/>
  <c r="O674" i="20" a="1"/>
  <c r="O674" i="20" s="1"/>
  <c r="O675" i="20" a="1"/>
  <c r="O675" i="20" s="1"/>
  <c r="O676" i="20" a="1"/>
  <c r="O676" i="20" s="1"/>
  <c r="O677" i="20" a="1"/>
  <c r="O677" i="20" s="1"/>
  <c r="O678" i="20" a="1"/>
  <c r="O678" i="20" s="1"/>
  <c r="O679" i="20" a="1"/>
  <c r="O679" i="20" s="1"/>
  <c r="O680" i="20" a="1"/>
  <c r="O680" i="20" s="1"/>
  <c r="O681" i="20" a="1"/>
  <c r="O681" i="20" s="1"/>
  <c r="O682" i="20" a="1"/>
  <c r="O682" i="20" s="1"/>
  <c r="O683" i="20" a="1"/>
  <c r="O683" i="20" s="1"/>
  <c r="O684" i="20" a="1"/>
  <c r="O684" i="20" s="1"/>
  <c r="O685" i="20" a="1"/>
  <c r="O685" i="20" s="1"/>
  <c r="O686" i="20" a="1"/>
  <c r="O686" i="20" s="1"/>
  <c r="O687" i="20" a="1"/>
  <c r="O687" i="20" s="1"/>
  <c r="O688" i="20" a="1"/>
  <c r="O688" i="20" s="1"/>
  <c r="O689" i="20" a="1"/>
  <c r="O689" i="20"/>
  <c r="O690" i="20" a="1"/>
  <c r="O690" i="20" s="1"/>
  <c r="O691" i="20" a="1"/>
  <c r="O691" i="20" s="1"/>
  <c r="O692" i="20" a="1"/>
  <c r="O692" i="20" s="1"/>
  <c r="O693" i="20" a="1"/>
  <c r="O693" i="20"/>
  <c r="O694" i="20" a="1"/>
  <c r="O694" i="20" s="1"/>
  <c r="O695" i="20" a="1"/>
  <c r="O695" i="20" s="1"/>
  <c r="O696" i="20" a="1"/>
  <c r="O696" i="20" s="1"/>
  <c r="O697" i="20" a="1"/>
  <c r="O697" i="20" s="1"/>
  <c r="O698" i="20" a="1"/>
  <c r="O698" i="20" s="1"/>
  <c r="O699" i="20" a="1"/>
  <c r="O699" i="20" s="1"/>
  <c r="O700" i="20" a="1"/>
  <c r="O700" i="20" s="1"/>
  <c r="O701" i="20" a="1"/>
  <c r="O701" i="20"/>
  <c r="O702" i="20" a="1"/>
  <c r="O702" i="20" s="1"/>
  <c r="O703" i="20" a="1"/>
  <c r="O703" i="20" s="1"/>
  <c r="O704" i="20" a="1"/>
  <c r="O704" i="20" s="1"/>
  <c r="O705" i="20" a="1"/>
  <c r="O705" i="20"/>
  <c r="O706" i="20" a="1"/>
  <c r="O706" i="20" s="1"/>
  <c r="O707" i="20" a="1"/>
  <c r="O707" i="20" s="1"/>
  <c r="O708" i="20" a="1"/>
  <c r="O708" i="20" s="1"/>
  <c r="O709" i="20" a="1"/>
  <c r="O709" i="20"/>
  <c r="O710" i="20" a="1"/>
  <c r="O710" i="20" s="1"/>
  <c r="O711" i="20" a="1"/>
  <c r="O711" i="20" s="1"/>
  <c r="O712" i="20" a="1"/>
  <c r="O712" i="20" s="1"/>
  <c r="O713" i="20" a="1"/>
  <c r="O713" i="20" s="1"/>
  <c r="O714" i="20" a="1"/>
  <c r="O714" i="20" s="1"/>
  <c r="O715" i="20" a="1"/>
  <c r="O715" i="20" s="1"/>
  <c r="O716" i="20" a="1"/>
  <c r="O716" i="20" s="1"/>
  <c r="O717" i="20" a="1"/>
  <c r="O717" i="20"/>
  <c r="O718" i="20" a="1"/>
  <c r="O718" i="20" s="1"/>
  <c r="O719" i="20" a="1"/>
  <c r="O719" i="20" s="1"/>
  <c r="O720" i="20" a="1"/>
  <c r="O720" i="20" s="1"/>
  <c r="O721" i="20" a="1"/>
  <c r="O721" i="20"/>
  <c r="O722" i="20" a="1"/>
  <c r="O722" i="20" s="1"/>
  <c r="O723" i="20" a="1"/>
  <c r="O723" i="20" s="1"/>
  <c r="O724" i="20" a="1"/>
  <c r="O724" i="20" s="1"/>
  <c r="O725" i="20" a="1"/>
  <c r="O725" i="20"/>
  <c r="O726" i="20" a="1"/>
  <c r="O726" i="20" s="1"/>
  <c r="O727" i="20" a="1"/>
  <c r="O727" i="20" s="1"/>
  <c r="O728" i="20" a="1"/>
  <c r="O728" i="20" s="1"/>
  <c r="O729" i="20" a="1"/>
  <c r="O729" i="20" s="1"/>
  <c r="O730" i="20" a="1"/>
  <c r="O730" i="20" s="1"/>
  <c r="O731" i="20" a="1"/>
  <c r="O731" i="20" s="1"/>
  <c r="O732" i="20" a="1"/>
  <c r="O732" i="20" s="1"/>
  <c r="O733" i="20" a="1"/>
  <c r="O733" i="20"/>
  <c r="O734" i="20" a="1"/>
  <c r="O734" i="20"/>
  <c r="O735" i="20" a="1"/>
  <c r="O735" i="20" s="1"/>
  <c r="O736" i="20" a="1"/>
  <c r="O736" i="20"/>
  <c r="O737" i="20" a="1"/>
  <c r="O737" i="20" s="1"/>
  <c r="O738" i="20" a="1"/>
  <c r="O738" i="20" s="1"/>
  <c r="O739" i="20" a="1"/>
  <c r="O739" i="20" s="1"/>
  <c r="O740" i="20" a="1"/>
  <c r="O740" i="20" s="1"/>
  <c r="O741" i="20" a="1"/>
  <c r="O741" i="20" s="1"/>
  <c r="O742" i="20" a="1"/>
  <c r="O742" i="20" s="1"/>
  <c r="O743" i="20" a="1"/>
  <c r="O743" i="20" s="1"/>
  <c r="O744" i="20" a="1"/>
  <c r="O744" i="20" s="1"/>
  <c r="O745" i="20" a="1"/>
  <c r="O745" i="20"/>
  <c r="O746" i="20" a="1"/>
  <c r="O746" i="20" s="1"/>
  <c r="O747" i="20" a="1"/>
  <c r="O747" i="20" s="1"/>
  <c r="O748" i="20" a="1"/>
  <c r="O748" i="20" s="1"/>
  <c r="O749" i="20" a="1"/>
  <c r="O749" i="20" s="1"/>
  <c r="O750" i="20" a="1"/>
  <c r="O750" i="20" s="1"/>
  <c r="O751" i="20" a="1"/>
  <c r="O751" i="20" s="1"/>
  <c r="O752" i="20" a="1"/>
  <c r="O752" i="20" s="1"/>
  <c r="O753" i="20" a="1"/>
  <c r="O753" i="20"/>
  <c r="O754" i="20" a="1"/>
  <c r="O754" i="20" s="1"/>
  <c r="O755" i="20" a="1"/>
  <c r="O755" i="20" s="1"/>
  <c r="O756" i="20" a="1"/>
  <c r="O756" i="20" s="1"/>
  <c r="O757" i="20" a="1"/>
  <c r="O757" i="20" s="1"/>
  <c r="O758" i="20" a="1"/>
  <c r="O758" i="20" s="1"/>
  <c r="O759" i="20" a="1"/>
  <c r="O759" i="20" s="1"/>
  <c r="O760" i="20" a="1"/>
  <c r="O760" i="20" s="1"/>
  <c r="O761" i="20" a="1"/>
  <c r="O761" i="20" s="1"/>
  <c r="O762" i="20" a="1"/>
  <c r="O762" i="20" s="1"/>
  <c r="O763" i="20" a="1"/>
  <c r="O763" i="20" s="1"/>
  <c r="O764" i="20" a="1"/>
  <c r="O764" i="20" s="1"/>
  <c r="O765" i="20" a="1"/>
  <c r="O765" i="20" s="1"/>
  <c r="O766" i="20" a="1"/>
  <c r="O766" i="20" s="1"/>
  <c r="O767" i="20" a="1"/>
  <c r="O767" i="20" s="1"/>
  <c r="O768" i="20" a="1"/>
  <c r="O768" i="20" s="1"/>
  <c r="O769" i="20" a="1"/>
  <c r="O769" i="20" s="1"/>
  <c r="O770" i="20" a="1"/>
  <c r="O770" i="20" s="1"/>
  <c r="O771" i="20" a="1"/>
  <c r="O771" i="20" s="1"/>
  <c r="O772" i="20" a="1"/>
  <c r="O772" i="20" s="1"/>
  <c r="O773" i="20" a="1"/>
  <c r="O773" i="20" s="1"/>
  <c r="O774" i="20" a="1"/>
  <c r="O774" i="20" s="1"/>
  <c r="O775" i="20" a="1"/>
  <c r="O775" i="20" s="1"/>
  <c r="O776" i="20" a="1"/>
  <c r="O776" i="20" s="1"/>
  <c r="O777" i="20" a="1"/>
  <c r="O777" i="20" s="1"/>
  <c r="O778" i="20" a="1"/>
  <c r="O778" i="20" s="1"/>
  <c r="O779" i="20" a="1"/>
  <c r="O779" i="20" s="1"/>
  <c r="O780" i="20" a="1"/>
  <c r="O780" i="20" s="1"/>
  <c r="O781" i="20" a="1"/>
  <c r="O781" i="20" s="1"/>
  <c r="O782" i="20" a="1"/>
  <c r="O782" i="20" s="1"/>
  <c r="O783" i="20" a="1"/>
  <c r="O783" i="20" s="1"/>
  <c r="O784" i="20" a="1"/>
  <c r="O784" i="20" s="1"/>
  <c r="O785" i="20" a="1"/>
  <c r="O785" i="20" s="1"/>
  <c r="O786" i="20" a="1"/>
  <c r="O786" i="20" s="1"/>
  <c r="O787" i="20" a="1"/>
  <c r="O787" i="20" s="1"/>
  <c r="O788" i="20" a="1"/>
  <c r="O788" i="20" s="1"/>
  <c r="O789" i="20" a="1"/>
  <c r="O789" i="20" s="1"/>
  <c r="O790" i="20" a="1"/>
  <c r="O790" i="20" s="1"/>
  <c r="O791" i="20" a="1"/>
  <c r="O791" i="20" s="1"/>
  <c r="O792" i="20" a="1"/>
  <c r="O792" i="20" s="1"/>
  <c r="O793" i="20" a="1"/>
  <c r="O793" i="20" s="1"/>
  <c r="O794" i="20" a="1"/>
  <c r="O794" i="20" s="1"/>
  <c r="O795" i="20" a="1"/>
  <c r="O795" i="20" s="1"/>
  <c r="O796" i="20" a="1"/>
  <c r="O796" i="20" s="1"/>
  <c r="O797" i="20" a="1"/>
  <c r="O797" i="20" s="1"/>
  <c r="O798" i="20" a="1"/>
  <c r="O798" i="20" s="1"/>
  <c r="O799" i="20" a="1"/>
  <c r="O799" i="20" s="1"/>
  <c r="O800" i="20" a="1"/>
  <c r="O800" i="20" s="1"/>
  <c r="O801" i="20" a="1"/>
  <c r="O801" i="20" s="1"/>
  <c r="O802" i="20" a="1"/>
  <c r="O802" i="20" s="1"/>
  <c r="O803" i="20" a="1"/>
  <c r="O803" i="20" s="1"/>
  <c r="O804" i="20" a="1"/>
  <c r="O804" i="20" s="1"/>
  <c r="O805" i="20" a="1"/>
  <c r="O805" i="20" s="1"/>
  <c r="O806" i="20" a="1"/>
  <c r="O806" i="20" s="1"/>
  <c r="O807" i="20" a="1"/>
  <c r="O807" i="20" s="1"/>
  <c r="O808" i="20" a="1"/>
  <c r="O808" i="20" s="1"/>
  <c r="O809" i="20" a="1"/>
  <c r="O809" i="20" s="1"/>
  <c r="O810" i="20" a="1"/>
  <c r="O810" i="20" s="1"/>
  <c r="O811" i="20" a="1"/>
  <c r="O811" i="20" s="1"/>
  <c r="O812" i="20" a="1"/>
  <c r="O812" i="20" s="1"/>
  <c r="O813" i="20" a="1"/>
  <c r="O813" i="20" s="1"/>
  <c r="O814" i="20" a="1"/>
  <c r="O814" i="20" s="1"/>
  <c r="O815" i="20" a="1"/>
  <c r="O815" i="20" s="1"/>
  <c r="O816" i="20" a="1"/>
  <c r="O816" i="20" s="1"/>
  <c r="O817" i="20" a="1"/>
  <c r="O817" i="20" s="1"/>
  <c r="O818" i="20" a="1"/>
  <c r="O818" i="20" s="1"/>
  <c r="O819" i="20" a="1"/>
  <c r="O819" i="20" s="1"/>
  <c r="O820" i="20" a="1"/>
  <c r="O820" i="20" s="1"/>
  <c r="O821" i="20" a="1"/>
  <c r="O821" i="20" s="1"/>
  <c r="O822" i="20" a="1"/>
  <c r="O822" i="20" s="1"/>
  <c r="O823" i="20" a="1"/>
  <c r="O823" i="20" s="1"/>
  <c r="O824" i="20" a="1"/>
  <c r="O824" i="20" s="1"/>
  <c r="O825" i="20" a="1"/>
  <c r="O825" i="20" s="1"/>
  <c r="O826" i="20" a="1"/>
  <c r="O826" i="20" s="1"/>
  <c r="O827" i="20" a="1"/>
  <c r="O827" i="20" s="1"/>
  <c r="O828" i="20" a="1"/>
  <c r="O828" i="20" s="1"/>
  <c r="O829" i="20" a="1"/>
  <c r="O829" i="20" s="1"/>
  <c r="O830" i="20" a="1"/>
  <c r="O830" i="20" s="1"/>
  <c r="O831" i="20" a="1"/>
  <c r="O831" i="20" s="1"/>
  <c r="O832" i="20" a="1"/>
  <c r="O832" i="20" s="1"/>
  <c r="O833" i="20" a="1"/>
  <c r="O833" i="20" s="1"/>
  <c r="O834" i="20" a="1"/>
  <c r="O834" i="20" s="1"/>
  <c r="O835" i="20" a="1"/>
  <c r="O835" i="20" s="1"/>
  <c r="O836" i="20" a="1"/>
  <c r="O836" i="20" s="1"/>
  <c r="O837" i="20" a="1"/>
  <c r="O837" i="20" s="1"/>
  <c r="O838" i="20" a="1"/>
  <c r="O838" i="20" s="1"/>
  <c r="O839" i="20" a="1"/>
  <c r="O839" i="20" s="1"/>
  <c r="O840" i="20" a="1"/>
  <c r="O840" i="20" s="1"/>
  <c r="O841" i="20" a="1"/>
  <c r="O841" i="20" s="1"/>
  <c r="O842" i="20" a="1"/>
  <c r="O842" i="20" s="1"/>
  <c r="O843" i="20" a="1"/>
  <c r="O843" i="20" s="1"/>
  <c r="O844" i="20" a="1"/>
  <c r="O844" i="20" s="1"/>
  <c r="O845" i="20" a="1"/>
  <c r="O845" i="20" s="1"/>
  <c r="O846" i="20" a="1"/>
  <c r="O846" i="20" s="1"/>
  <c r="O847" i="20" a="1"/>
  <c r="O847" i="20" s="1"/>
  <c r="O848" i="20" a="1"/>
  <c r="O848" i="20" s="1"/>
  <c r="O849" i="20" a="1"/>
  <c r="O849" i="20" s="1"/>
  <c r="O850" i="20" a="1"/>
  <c r="O850" i="20" s="1"/>
  <c r="O851" i="20" a="1"/>
  <c r="O851" i="20" s="1"/>
  <c r="O852" i="20" a="1"/>
  <c r="O852" i="20" s="1"/>
  <c r="O853" i="20" a="1"/>
  <c r="O853" i="20" s="1"/>
  <c r="O854" i="20" a="1"/>
  <c r="O854" i="20" s="1"/>
  <c r="O855" i="20" a="1"/>
  <c r="O855" i="20" s="1"/>
  <c r="O856" i="20" a="1"/>
  <c r="O856" i="20" s="1"/>
  <c r="O857" i="20" a="1"/>
  <c r="O857" i="20" s="1"/>
  <c r="O858" i="20" a="1"/>
  <c r="O858" i="20" s="1"/>
  <c r="O859" i="20" a="1"/>
  <c r="O859" i="20" s="1"/>
  <c r="O860" i="20" a="1"/>
  <c r="O860" i="20" s="1"/>
  <c r="O861" i="20" a="1"/>
  <c r="O86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/>
  <c r="P223" i="20" a="1"/>
  <c r="P223" i="20" s="1"/>
  <c r="P224" i="20" a="1"/>
  <c r="P224" i="20" s="1"/>
  <c r="P225" i="20" a="1"/>
  <c r="P225" i="20" s="1"/>
  <c r="P226" i="20" a="1"/>
  <c r="P226" i="20"/>
  <c r="P227" i="20" a="1"/>
  <c r="P227" i="20" s="1"/>
  <c r="P228" i="20" a="1"/>
  <c r="P228" i="20" s="1"/>
  <c r="P229" i="20" a="1"/>
  <c r="P229" i="20" s="1"/>
  <c r="P230" i="20" a="1"/>
  <c r="P230" i="20"/>
  <c r="P231" i="20" a="1"/>
  <c r="P231" i="20" s="1"/>
  <c r="P232" i="20" a="1"/>
  <c r="P232" i="20" s="1"/>
  <c r="P233" i="20" a="1"/>
  <c r="P233" i="20" s="1"/>
  <c r="P234" i="20" a="1"/>
  <c r="P234" i="20"/>
  <c r="P235" i="20" a="1"/>
  <c r="P235" i="20" s="1"/>
  <c r="P236" i="20" a="1"/>
  <c r="P236" i="20" s="1"/>
  <c r="P237" i="20" a="1"/>
  <c r="P237" i="20" s="1"/>
  <c r="P238" i="20" a="1"/>
  <c r="P238" i="20"/>
  <c r="P239" i="20" a="1"/>
  <c r="P239" i="20" s="1"/>
  <c r="P240" i="20" a="1"/>
  <c r="P240" i="20" s="1"/>
  <c r="P241" i="20" a="1"/>
  <c r="P241" i="20" s="1"/>
  <c r="P242" i="20" a="1"/>
  <c r="P242" i="20"/>
  <c r="P243" i="20" a="1"/>
  <c r="P243" i="20" s="1"/>
  <c r="P244" i="20" a="1"/>
  <c r="P244" i="20" s="1"/>
  <c r="P245" i="20" a="1"/>
  <c r="P245" i="20" s="1"/>
  <c r="P246" i="20" a="1"/>
  <c r="P246" i="20"/>
  <c r="P247" i="20" a="1"/>
  <c r="P247" i="20" s="1"/>
  <c r="P248" i="20" a="1"/>
  <c r="P248" i="20" s="1"/>
  <c r="P249" i="20" a="1"/>
  <c r="P249" i="20" s="1"/>
  <c r="P250" i="20" a="1"/>
  <c r="P250" i="20"/>
  <c r="P251" i="20" a="1"/>
  <c r="P251" i="20" s="1"/>
  <c r="P252" i="20" a="1"/>
  <c r="P252" i="20" s="1"/>
  <c r="P253" i="20" a="1"/>
  <c r="P253" i="20" s="1"/>
  <c r="P254" i="20" a="1"/>
  <c r="P254" i="20"/>
  <c r="P255" i="20" a="1"/>
  <c r="P255" i="20" s="1"/>
  <c r="P256" i="20" a="1"/>
  <c r="P256" i="20" s="1"/>
  <c r="P257" i="20" a="1"/>
  <c r="P257" i="20" s="1"/>
  <c r="P258" i="20" a="1"/>
  <c r="P258" i="20"/>
  <c r="P259" i="20" a="1"/>
  <c r="P259" i="20" s="1"/>
  <c r="P260" i="20" a="1"/>
  <c r="P260" i="20" s="1"/>
  <c r="P261" i="20" a="1"/>
  <c r="P261" i="20" s="1"/>
  <c r="P262" i="20" a="1"/>
  <c r="P262" i="20"/>
  <c r="P263" i="20" a="1"/>
  <c r="P263" i="20" s="1"/>
  <c r="P264" i="20" a="1"/>
  <c r="P264" i="20" s="1"/>
  <c r="P265" i="20" a="1"/>
  <c r="P265" i="20" s="1"/>
  <c r="P266" i="20" a="1"/>
  <c r="P266" i="20"/>
  <c r="P267" i="20" a="1"/>
  <c r="P267" i="20" s="1"/>
  <c r="P268" i="20" a="1"/>
  <c r="P268" i="20" s="1"/>
  <c r="P269" i="20" a="1"/>
  <c r="P269" i="20" s="1"/>
  <c r="P270" i="20" a="1"/>
  <c r="P270" i="20"/>
  <c r="P271" i="20" a="1"/>
  <c r="P271" i="20" s="1"/>
  <c r="P272" i="20" a="1"/>
  <c r="P272" i="20" s="1"/>
  <c r="P273" i="20" a="1"/>
  <c r="P273" i="20" s="1"/>
  <c r="P274" i="20" a="1"/>
  <c r="P274" i="20"/>
  <c r="P275" i="20" a="1"/>
  <c r="P275" i="20" s="1"/>
  <c r="P276" i="20" a="1"/>
  <c r="P276" i="20" s="1"/>
  <c r="P277" i="20" a="1"/>
  <c r="P277" i="20" s="1"/>
  <c r="P278" i="20" a="1"/>
  <c r="P278" i="20"/>
  <c r="P279" i="20" a="1"/>
  <c r="P279" i="20" s="1"/>
  <c r="P280" i="20" a="1"/>
  <c r="P280" i="20" s="1"/>
  <c r="P281" i="20" a="1"/>
  <c r="P281" i="20" s="1"/>
  <c r="P282" i="20" a="1"/>
  <c r="P282" i="20"/>
  <c r="P283" i="20" a="1"/>
  <c r="P283" i="20" s="1"/>
  <c r="P284" i="20" a="1"/>
  <c r="P284" i="20" s="1"/>
  <c r="P285" i="20" a="1"/>
  <c r="P285" i="20" s="1"/>
  <c r="P286" i="20" a="1"/>
  <c r="P286" i="20"/>
  <c r="P287" i="20" a="1"/>
  <c r="P287" i="20" s="1"/>
  <c r="P288" i="20" a="1"/>
  <c r="P288" i="20" s="1"/>
  <c r="P289" i="20" a="1"/>
  <c r="P289" i="20" s="1"/>
  <c r="P290" i="20" a="1"/>
  <c r="P290" i="20"/>
  <c r="P291" i="20" a="1"/>
  <c r="P291" i="20" s="1"/>
  <c r="P292" i="20" a="1"/>
  <c r="P292" i="20" s="1"/>
  <c r="P293" i="20" a="1"/>
  <c r="P293" i="20" s="1"/>
  <c r="P294" i="20" a="1"/>
  <c r="P294" i="20"/>
  <c r="P295" i="20" a="1"/>
  <c r="P295" i="20" s="1"/>
  <c r="P296" i="20" a="1"/>
  <c r="P296" i="20" s="1"/>
  <c r="P297" i="20" a="1"/>
  <c r="P297" i="20" s="1"/>
  <c r="P298" i="20" a="1"/>
  <c r="P298" i="20"/>
  <c r="P299" i="20" a="1"/>
  <c r="P299" i="20" s="1"/>
  <c r="P300" i="20" a="1"/>
  <c r="P300" i="20" s="1"/>
  <c r="P301" i="20" a="1"/>
  <c r="P301" i="20" s="1"/>
  <c r="P302" i="20" a="1"/>
  <c r="P302" i="20"/>
  <c r="P303" i="20" a="1"/>
  <c r="P303" i="20" s="1"/>
  <c r="P304" i="20" a="1"/>
  <c r="P304" i="20" s="1"/>
  <c r="P305" i="20" a="1"/>
  <c r="P305" i="20" s="1"/>
  <c r="P306" i="20" a="1"/>
  <c r="P306" i="20"/>
  <c r="P307" i="20" a="1"/>
  <c r="P307" i="20" s="1"/>
  <c r="P308" i="20" a="1"/>
  <c r="P308" i="20" s="1"/>
  <c r="P309" i="20" a="1"/>
  <c r="P309" i="20" s="1"/>
  <c r="P310" i="20" a="1"/>
  <c r="P310" i="20"/>
  <c r="P311" i="20" a="1"/>
  <c r="P311" i="20" s="1"/>
  <c r="P312" i="20" a="1"/>
  <c r="P312" i="20" s="1"/>
  <c r="P313" i="20" a="1"/>
  <c r="P313" i="20" s="1"/>
  <c r="P314" i="20" a="1"/>
  <c r="P314" i="20"/>
  <c r="P315" i="20" a="1"/>
  <c r="P315" i="20" s="1"/>
  <c r="P316" i="20" a="1"/>
  <c r="P316" i="20" s="1"/>
  <c r="P317" i="20" a="1"/>
  <c r="P317" i="20" s="1"/>
  <c r="P318" i="20" a="1"/>
  <c r="P318" i="20"/>
  <c r="P319" i="20" a="1"/>
  <c r="P319" i="20" s="1"/>
  <c r="P320" i="20" a="1"/>
  <c r="P320" i="20" s="1"/>
  <c r="P321" i="20" a="1"/>
  <c r="P321" i="20" s="1"/>
  <c r="P322" i="20" a="1"/>
  <c r="P322" i="20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 s="1"/>
  <c r="P344" i="20" a="1"/>
  <c r="P344" i="20" s="1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 s="1"/>
  <c r="P360" i="20" a="1"/>
  <c r="P360" i="20" s="1"/>
  <c r="P361" i="20" a="1"/>
  <c r="P361" i="20" s="1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 s="1"/>
  <c r="P369" i="20" a="1"/>
  <c r="P369" i="20" s="1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 s="1"/>
  <c r="P377" i="20" a="1"/>
  <c r="P377" i="20" s="1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 s="1"/>
  <c r="P392" i="20" a="1"/>
  <c r="P392" i="20" s="1"/>
  <c r="P393" i="20" a="1"/>
  <c r="P393" i="20" s="1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P407" i="20" a="1"/>
  <c r="P407" i="20" s="1"/>
  <c r="P408" i="20" a="1"/>
  <c r="P408" i="20" s="1"/>
  <c r="P409" i="20" a="1"/>
  <c r="P409" i="20" s="1"/>
  <c r="P410" i="20" a="1"/>
  <c r="P410" i="20" s="1"/>
  <c r="P411" i="20" a="1"/>
  <c r="P411" i="20" s="1"/>
  <c r="P412" i="20" a="1"/>
  <c r="P412" i="20" s="1"/>
  <c r="P413" i="20" a="1"/>
  <c r="P413" i="20" s="1"/>
  <c r="P414" i="20" a="1"/>
  <c r="P414" i="20" s="1"/>
  <c r="P415" i="20" a="1"/>
  <c r="P415" i="20" s="1"/>
  <c r="P416" i="20" a="1"/>
  <c r="P416" i="20" s="1"/>
  <c r="P417" i="20" a="1"/>
  <c r="P417" i="20" s="1"/>
  <c r="P418" i="20" a="1"/>
  <c r="P418" i="20" s="1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 s="1"/>
  <c r="P424" i="20" a="1"/>
  <c r="P424" i="20" s="1"/>
  <c r="P425" i="20" a="1"/>
  <c r="P425" i="20" s="1"/>
  <c r="P426" i="20" a="1"/>
  <c r="P426" i="20" s="1"/>
  <c r="P427" i="20" a="1"/>
  <c r="P427" i="20" s="1"/>
  <c r="P428" i="20" a="1"/>
  <c r="P428" i="20" s="1"/>
  <c r="P429" i="20" a="1"/>
  <c r="P429" i="20" s="1"/>
  <c r="P430" i="20" a="1"/>
  <c r="P430" i="20" s="1"/>
  <c r="P431" i="20" a="1"/>
  <c r="P431" i="20" s="1"/>
  <c r="P432" i="20" a="1"/>
  <c r="P432" i="20" s="1"/>
  <c r="P433" i="20" a="1"/>
  <c r="P433" i="20" s="1"/>
  <c r="P434" i="20" a="1"/>
  <c r="P434" i="20" s="1"/>
  <c r="P435" i="20" a="1"/>
  <c r="P435" i="20" s="1"/>
  <c r="P436" i="20" a="1"/>
  <c r="P436" i="20" s="1"/>
  <c r="P437" i="20" a="1"/>
  <c r="P437" i="20" s="1"/>
  <c r="P438" i="20" a="1"/>
  <c r="P438" i="20" s="1"/>
  <c r="P439" i="20" a="1"/>
  <c r="P439" i="20" s="1"/>
  <c r="P440" i="20" a="1"/>
  <c r="P440" i="20" s="1"/>
  <c r="P441" i="20" a="1"/>
  <c r="P441" i="20" s="1"/>
  <c r="P442" i="20" a="1"/>
  <c r="P442" i="20" s="1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 s="1"/>
  <c r="P449" i="20" a="1"/>
  <c r="P449" i="20" s="1"/>
  <c r="P450" i="20" a="1"/>
  <c r="P450" i="20" s="1"/>
  <c r="P451" i="20" a="1"/>
  <c r="P451" i="20" s="1"/>
  <c r="P452" i="20" a="1"/>
  <c r="P452" i="20" s="1"/>
  <c r="P453" i="20" a="1"/>
  <c r="P453" i="20" s="1"/>
  <c r="P454" i="20" a="1"/>
  <c r="P454" i="20" s="1"/>
  <c r="P455" i="20" a="1"/>
  <c r="P455" i="20" s="1"/>
  <c r="P456" i="20" a="1"/>
  <c r="P456" i="20" s="1"/>
  <c r="P457" i="20" a="1"/>
  <c r="P457" i="20" s="1"/>
  <c r="P458" i="20" a="1"/>
  <c r="P458" i="20" s="1"/>
  <c r="P459" i="20" a="1"/>
  <c r="P459" i="20" s="1"/>
  <c r="P460" i="20" a="1"/>
  <c r="P460" i="20" s="1"/>
  <c r="P461" i="20" a="1"/>
  <c r="P461" i="20" s="1"/>
  <c r="P462" i="20" a="1"/>
  <c r="P462" i="20" s="1"/>
  <c r="P463" i="20" a="1"/>
  <c r="P463" i="20" s="1"/>
  <c r="P464" i="20" a="1"/>
  <c r="P464" i="20" s="1"/>
  <c r="P465" i="20" a="1"/>
  <c r="P465" i="20" s="1"/>
  <c r="P466" i="20" a="1"/>
  <c r="P466" i="20" s="1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 s="1"/>
  <c r="P473" i="20" a="1"/>
  <c r="P473" i="20" s="1"/>
  <c r="P474" i="20" a="1"/>
  <c r="P474" i="20" s="1"/>
  <c r="P475" i="20" a="1"/>
  <c r="P475" i="20" s="1"/>
  <c r="P476" i="20" a="1"/>
  <c r="P476" i="20" s="1"/>
  <c r="P477" i="20" a="1"/>
  <c r="P477" i="20" s="1"/>
  <c r="P478" i="20" a="1"/>
  <c r="P478" i="20" s="1"/>
  <c r="P479" i="20" a="1"/>
  <c r="P479" i="20" s="1"/>
  <c r="P480" i="20" a="1"/>
  <c r="P480" i="20" s="1"/>
  <c r="P481" i="20" a="1"/>
  <c r="P481" i="20" s="1"/>
  <c r="P482" i="20" a="1"/>
  <c r="P482" i="20" s="1"/>
  <c r="P483" i="20" a="1"/>
  <c r="P483" i="20" s="1"/>
  <c r="P484" i="20" a="1"/>
  <c r="P484" i="20" s="1"/>
  <c r="P485" i="20" a="1"/>
  <c r="P485" i="20" s="1"/>
  <c r="P486" i="20" a="1"/>
  <c r="P486" i="20" s="1"/>
  <c r="P487" i="20" a="1"/>
  <c r="P487" i="20" s="1"/>
  <c r="P488" i="20" a="1"/>
  <c r="P488" i="20" s="1"/>
  <c r="P489" i="20" a="1"/>
  <c r="P489" i="20" s="1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 s="1"/>
  <c r="P496" i="20" a="1"/>
  <c r="P496" i="20" s="1"/>
  <c r="P497" i="20" a="1"/>
  <c r="P497" i="20" s="1"/>
  <c r="P498" i="20" a="1"/>
  <c r="P498" i="20" s="1"/>
  <c r="P499" i="20" a="1"/>
  <c r="P499" i="20" s="1"/>
  <c r="P500" i="20" a="1"/>
  <c r="P500" i="20" s="1"/>
  <c r="P501" i="20" a="1"/>
  <c r="P501" i="20" s="1"/>
  <c r="P502" i="20" a="1"/>
  <c r="P502" i="20" s="1"/>
  <c r="P503" i="20" a="1"/>
  <c r="P503" i="20" s="1"/>
  <c r="P504" i="20" a="1"/>
  <c r="P504" i="20" s="1"/>
  <c r="P505" i="20" a="1"/>
  <c r="P505" i="20" s="1"/>
  <c r="P506" i="20" a="1"/>
  <c r="P506" i="20" s="1"/>
  <c r="P507" i="20" a="1"/>
  <c r="P507" i="20" s="1"/>
  <c r="P508" i="20" a="1"/>
  <c r="P508" i="20" s="1"/>
  <c r="P509" i="20" a="1"/>
  <c r="P509" i="20" s="1"/>
  <c r="P510" i="20" a="1"/>
  <c r="P510" i="20" s="1"/>
  <c r="P511" i="20" a="1"/>
  <c r="P511" i="20" s="1"/>
  <c r="P512" i="20" a="1"/>
  <c r="P512" i="20" s="1"/>
  <c r="P513" i="20" a="1"/>
  <c r="P513" i="20" s="1"/>
  <c r="P514" i="20" a="1"/>
  <c r="P514" i="20" s="1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 s="1"/>
  <c r="P520" i="20" a="1"/>
  <c r="P520" i="20" s="1"/>
  <c r="P521" i="20" a="1"/>
  <c r="P521" i="20" s="1"/>
  <c r="P522" i="20" a="1"/>
  <c r="P522" i="20" s="1"/>
  <c r="P523" i="20" a="1"/>
  <c r="P523" i="20" s="1"/>
  <c r="P524" i="20" a="1"/>
  <c r="P524" i="20" s="1"/>
  <c r="P525" i="20" a="1"/>
  <c r="P525" i="20" s="1"/>
  <c r="P526" i="20" a="1"/>
  <c r="P526" i="20" s="1"/>
  <c r="P527" i="20" a="1"/>
  <c r="P527" i="20" s="1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 s="1"/>
  <c r="P537" i="20" a="1"/>
  <c r="P537" i="20" s="1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 s="1"/>
  <c r="P544" i="20" a="1"/>
  <c r="P544" i="20" s="1"/>
  <c r="P545" i="20" a="1"/>
  <c r="P545" i="20" s="1"/>
  <c r="P546" i="20" a="1"/>
  <c r="P546" i="20" s="1"/>
  <c r="P547" i="20" a="1"/>
  <c r="P547" i="20" s="1"/>
  <c r="P548" i="20" a="1"/>
  <c r="P548" i="20" s="1"/>
  <c r="P549" i="20" a="1"/>
  <c r="P549" i="20" s="1"/>
  <c r="P550" i="20" a="1"/>
  <c r="P550" i="20" s="1"/>
  <c r="P551" i="20" a="1"/>
  <c r="P551" i="20" s="1"/>
  <c r="P552" i="20" a="1"/>
  <c r="P552" i="20" s="1"/>
  <c r="P553" i="20" a="1"/>
  <c r="P553" i="20" s="1"/>
  <c r="P554" i="20" a="1"/>
  <c r="P554" i="20" s="1"/>
  <c r="P555" i="20" a="1"/>
  <c r="P555" i="20" s="1"/>
  <c r="P556" i="20" a="1"/>
  <c r="P556" i="20" s="1"/>
  <c r="P557" i="20" a="1"/>
  <c r="P557" i="20" s="1"/>
  <c r="P558" i="20" a="1"/>
  <c r="P558" i="20" s="1"/>
  <c r="P559" i="20" a="1"/>
  <c r="P559" i="20" s="1"/>
  <c r="P560" i="20" a="1"/>
  <c r="P560" i="20" s="1"/>
  <c r="P561" i="20" a="1"/>
  <c r="P561" i="20" s="1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 s="1"/>
  <c r="P567" i="20" a="1"/>
  <c r="P567" i="20" s="1"/>
  <c r="P568" i="20" a="1"/>
  <c r="P568" i="20" s="1"/>
  <c r="P569" i="20" a="1"/>
  <c r="P569" i="20" s="1"/>
  <c r="P570" i="20" a="1"/>
  <c r="P570" i="20" s="1"/>
  <c r="P571" i="20" a="1"/>
  <c r="P571" i="20" s="1"/>
  <c r="P572" i="20" a="1"/>
  <c r="P572" i="20" s="1"/>
  <c r="P573" i="20" a="1"/>
  <c r="P573" i="20" s="1"/>
  <c r="P574" i="20" a="1"/>
  <c r="P574" i="20" s="1"/>
  <c r="P575" i="20" a="1"/>
  <c r="P575" i="20" s="1"/>
  <c r="P576" i="20" a="1"/>
  <c r="P576" i="20" s="1"/>
  <c r="P577" i="20" a="1"/>
  <c r="P577" i="20" s="1"/>
  <c r="P578" i="20" a="1"/>
  <c r="P578" i="20" s="1"/>
  <c r="P579" i="20" a="1"/>
  <c r="P579" i="20" s="1"/>
  <c r="P580" i="20" a="1"/>
  <c r="P580" i="20" s="1"/>
  <c r="P581" i="20" a="1"/>
  <c r="P581" i="20" s="1"/>
  <c r="P582" i="20" a="1"/>
  <c r="P582" i="20" s="1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 s="1"/>
  <c r="P589" i="20" a="1"/>
  <c r="P589" i="20" s="1"/>
  <c r="P590" i="20" a="1"/>
  <c r="P590" i="20" s="1"/>
  <c r="P591" i="20" a="1"/>
  <c r="P591" i="20" s="1"/>
  <c r="P592" i="20" a="1"/>
  <c r="P592" i="20" s="1"/>
  <c r="P593" i="20" a="1"/>
  <c r="P593" i="20" s="1"/>
  <c r="P594" i="20" a="1"/>
  <c r="P594" i="20" s="1"/>
  <c r="P595" i="20" a="1"/>
  <c r="P595" i="20" s="1"/>
  <c r="P596" i="20" a="1"/>
  <c r="P596" i="20" s="1"/>
  <c r="P597" i="20" a="1"/>
  <c r="P597" i="20" s="1"/>
  <c r="P598" i="20" a="1"/>
  <c r="P598" i="20" s="1"/>
  <c r="P599" i="20" a="1"/>
  <c r="P599" i="20" s="1"/>
  <c r="P600" i="20" a="1"/>
  <c r="P600" i="20" s="1"/>
  <c r="P601" i="20" a="1"/>
  <c r="P601" i="20" s="1"/>
  <c r="P602" i="20" a="1"/>
  <c r="P602" i="20" s="1"/>
  <c r="P603" i="20" a="1"/>
  <c r="P603" i="20" s="1"/>
  <c r="P604" i="20" a="1"/>
  <c r="P604" i="20" s="1"/>
  <c r="P605" i="20" a="1"/>
  <c r="P605" i="20" s="1"/>
  <c r="P606" i="20" a="1"/>
  <c r="P606" i="20" s="1"/>
  <c r="P607" i="20" a="1"/>
  <c r="P607" i="20" s="1"/>
  <c r="P608" i="20" a="1"/>
  <c r="P608" i="20" s="1"/>
  <c r="P609" i="20" a="1"/>
  <c r="P609" i="20" s="1"/>
  <c r="P610" i="20" a="1"/>
  <c r="P610" i="20" s="1"/>
  <c r="P611" i="20" a="1"/>
  <c r="P611" i="20" s="1"/>
  <c r="P612" i="20" a="1"/>
  <c r="P612" i="20" s="1"/>
  <c r="P613" i="20" a="1"/>
  <c r="P613" i="20" s="1"/>
  <c r="P614" i="20" a="1"/>
  <c r="P614" i="20" s="1"/>
  <c r="P615" i="20" a="1"/>
  <c r="P615" i="20" s="1"/>
  <c r="P616" i="20" a="1"/>
  <c r="P616" i="20" s="1"/>
  <c r="P617" i="20" a="1"/>
  <c r="P617" i="20" s="1"/>
  <c r="P618" i="20" a="1"/>
  <c r="P618" i="20" s="1"/>
  <c r="P619" i="20" a="1"/>
  <c r="P619" i="20" s="1"/>
  <c r="P620" i="20" a="1"/>
  <c r="P620" i="20" s="1"/>
  <c r="P621" i="20" a="1"/>
  <c r="P621" i="20" s="1"/>
  <c r="P622" i="20" a="1"/>
  <c r="P622" i="20" s="1"/>
  <c r="P623" i="20" a="1"/>
  <c r="P623" i="20" s="1"/>
  <c r="P624" i="20" a="1"/>
  <c r="P624" i="20" s="1"/>
  <c r="P625" i="20" a="1"/>
  <c r="P625" i="20" s="1"/>
  <c r="P626" i="20" a="1"/>
  <c r="P626" i="20" s="1"/>
  <c r="P627" i="20" a="1"/>
  <c r="P627" i="20" s="1"/>
  <c r="P628" i="20" a="1"/>
  <c r="P628" i="20" s="1"/>
  <c r="P629" i="20" a="1"/>
  <c r="P629" i="20" s="1"/>
  <c r="P630" i="20" a="1"/>
  <c r="P630" i="20" s="1"/>
  <c r="P631" i="20" a="1"/>
  <c r="P631" i="20" s="1"/>
  <c r="P632" i="20" a="1"/>
  <c r="P632" i="20" s="1"/>
  <c r="P633" i="20" a="1"/>
  <c r="P633" i="20" s="1"/>
  <c r="P634" i="20" a="1"/>
  <c r="P634" i="20" s="1"/>
  <c r="P635" i="20" a="1"/>
  <c r="P635" i="20" s="1"/>
  <c r="P636" i="20" a="1"/>
  <c r="P636" i="20" s="1"/>
  <c r="P637" i="20" a="1"/>
  <c r="P637" i="20" s="1"/>
  <c r="P638" i="20" a="1"/>
  <c r="P638" i="20" s="1"/>
  <c r="P639" i="20" a="1"/>
  <c r="P639" i="20" s="1"/>
  <c r="P640" i="20" a="1"/>
  <c r="P640" i="20" s="1"/>
  <c r="P641" i="20" a="1"/>
  <c r="P641" i="20" s="1"/>
  <c r="P642" i="20" a="1"/>
  <c r="P642" i="20" s="1"/>
  <c r="P643" i="20" a="1"/>
  <c r="P643" i="20" s="1"/>
  <c r="P644" i="20" a="1"/>
  <c r="P644" i="20" s="1"/>
  <c r="P645" i="20" a="1"/>
  <c r="P645" i="20" s="1"/>
  <c r="P646" i="20" a="1"/>
  <c r="P646" i="20" s="1"/>
  <c r="P647" i="20" a="1"/>
  <c r="P647" i="20" s="1"/>
  <c r="P648" i="20" a="1"/>
  <c r="P648" i="20" s="1"/>
  <c r="P649" i="20" a="1"/>
  <c r="P649" i="20" s="1"/>
  <c r="P650" i="20" a="1"/>
  <c r="P650" i="20" s="1"/>
  <c r="P651" i="20" a="1"/>
  <c r="P651" i="20" s="1"/>
  <c r="P652" i="20" a="1"/>
  <c r="P652" i="20" s="1"/>
  <c r="P653" i="20" a="1"/>
  <c r="P653" i="20" s="1"/>
  <c r="P654" i="20" a="1"/>
  <c r="P654" i="20" s="1"/>
  <c r="P655" i="20" a="1"/>
  <c r="P655" i="20" s="1"/>
  <c r="P656" i="20" a="1"/>
  <c r="P656" i="20" s="1"/>
  <c r="P657" i="20" a="1"/>
  <c r="P657" i="20" s="1"/>
  <c r="P658" i="20" a="1"/>
  <c r="P658" i="20" s="1"/>
  <c r="P659" i="20" a="1"/>
  <c r="P659" i="20" s="1"/>
  <c r="P660" i="20" a="1"/>
  <c r="P660" i="20" s="1"/>
  <c r="P661" i="20" a="1"/>
  <c r="P661" i="20" s="1"/>
  <c r="P662" i="20" a="1"/>
  <c r="P662" i="20" s="1"/>
  <c r="P663" i="20" a="1"/>
  <c r="P663" i="20" s="1"/>
  <c r="P664" i="20" a="1"/>
  <c r="P664" i="20" s="1"/>
  <c r="P665" i="20" a="1"/>
  <c r="P665" i="20" s="1"/>
  <c r="P666" i="20" a="1"/>
  <c r="P666" i="20" s="1"/>
  <c r="P667" i="20" a="1"/>
  <c r="P667" i="20" s="1"/>
  <c r="P668" i="20" a="1"/>
  <c r="P668" i="20" s="1"/>
  <c r="P669" i="20" a="1"/>
  <c r="P669" i="20" s="1"/>
  <c r="P670" i="20" a="1"/>
  <c r="P670" i="20" s="1"/>
  <c r="P671" i="20" a="1"/>
  <c r="P671" i="20" s="1"/>
  <c r="P672" i="20" a="1"/>
  <c r="P672" i="20" s="1"/>
  <c r="P673" i="20" a="1"/>
  <c r="P673" i="20" s="1"/>
  <c r="P674" i="20" a="1"/>
  <c r="P674" i="20" s="1"/>
  <c r="P675" i="20" a="1"/>
  <c r="P675" i="20" s="1"/>
  <c r="P676" i="20" a="1"/>
  <c r="P676" i="20" s="1"/>
  <c r="P677" i="20" a="1"/>
  <c r="P677" i="20" s="1"/>
  <c r="P678" i="20" a="1"/>
  <c r="P678" i="20" s="1"/>
  <c r="P679" i="20" a="1"/>
  <c r="P679" i="20" s="1"/>
  <c r="P680" i="20" a="1"/>
  <c r="P680" i="20" s="1"/>
  <c r="P681" i="20" a="1"/>
  <c r="P681" i="20" s="1"/>
  <c r="P682" i="20" a="1"/>
  <c r="P682" i="20" s="1"/>
  <c r="P683" i="20" a="1"/>
  <c r="P683" i="20" s="1"/>
  <c r="P684" i="20" a="1"/>
  <c r="P684" i="20" s="1"/>
  <c r="P685" i="20" a="1"/>
  <c r="P685" i="20" s="1"/>
  <c r="P686" i="20" a="1"/>
  <c r="P686" i="20" s="1"/>
  <c r="P687" i="20" a="1"/>
  <c r="P687" i="20" s="1"/>
  <c r="P688" i="20" a="1"/>
  <c r="P688" i="20" s="1"/>
  <c r="P689" i="20" a="1"/>
  <c r="P689" i="20" s="1"/>
  <c r="P690" i="20" a="1"/>
  <c r="P690" i="20" s="1"/>
  <c r="P691" i="20" a="1"/>
  <c r="P691" i="20" s="1"/>
  <c r="P692" i="20" a="1"/>
  <c r="P692" i="20" s="1"/>
  <c r="P693" i="20" a="1"/>
  <c r="P693" i="20" s="1"/>
  <c r="P694" i="20" a="1"/>
  <c r="P694" i="20" s="1"/>
  <c r="P695" i="20" a="1"/>
  <c r="P695" i="20" s="1"/>
  <c r="P696" i="20" a="1"/>
  <c r="P696" i="20" s="1"/>
  <c r="P697" i="20" a="1"/>
  <c r="P697" i="20" s="1"/>
  <c r="P698" i="20" a="1"/>
  <c r="P698" i="20" s="1"/>
  <c r="P699" i="20" a="1"/>
  <c r="P699" i="20" s="1"/>
  <c r="P700" i="20" a="1"/>
  <c r="P700" i="20" s="1"/>
  <c r="P701" i="20" a="1"/>
  <c r="P701" i="20" s="1"/>
  <c r="P702" i="20" a="1"/>
  <c r="P702" i="20" s="1"/>
  <c r="P703" i="20" a="1"/>
  <c r="P703" i="20" s="1"/>
  <c r="P704" i="20" a="1"/>
  <c r="P704" i="20" s="1"/>
  <c r="P705" i="20" a="1"/>
  <c r="P705" i="20" s="1"/>
  <c r="P706" i="20" a="1"/>
  <c r="P706" i="20" s="1"/>
  <c r="P707" i="20" a="1"/>
  <c r="P707" i="20" s="1"/>
  <c r="P708" i="20" a="1"/>
  <c r="P708" i="20" s="1"/>
  <c r="P709" i="20" a="1"/>
  <c r="P709" i="20" s="1"/>
  <c r="P710" i="20" a="1"/>
  <c r="P710" i="20" s="1"/>
  <c r="P711" i="20" a="1"/>
  <c r="P711" i="20" s="1"/>
  <c r="P712" i="20" a="1"/>
  <c r="P712" i="20" s="1"/>
  <c r="P713" i="20" a="1"/>
  <c r="P713" i="20" s="1"/>
  <c r="P714" i="20" a="1"/>
  <c r="P714" i="20" s="1"/>
  <c r="P715" i="20" a="1"/>
  <c r="P715" i="20" s="1"/>
  <c r="P716" i="20" a="1"/>
  <c r="P716" i="20" s="1"/>
  <c r="P717" i="20" a="1"/>
  <c r="P717" i="20" s="1"/>
  <c r="P718" i="20" a="1"/>
  <c r="P718" i="20" s="1"/>
  <c r="P719" i="20" a="1"/>
  <c r="P719" i="20" s="1"/>
  <c r="P720" i="20" a="1"/>
  <c r="P720" i="20" s="1"/>
  <c r="P721" i="20" a="1"/>
  <c r="P721" i="20" s="1"/>
  <c r="P722" i="20" a="1"/>
  <c r="P722" i="20" s="1"/>
  <c r="P723" i="20" a="1"/>
  <c r="P723" i="20" s="1"/>
  <c r="P724" i="20" a="1"/>
  <c r="P724" i="20" s="1"/>
  <c r="P725" i="20" a="1"/>
  <c r="P725" i="20" s="1"/>
  <c r="P726" i="20" a="1"/>
  <c r="P726" i="20" s="1"/>
  <c r="P727" i="20" a="1"/>
  <c r="P727" i="20" s="1"/>
  <c r="P728" i="20" a="1"/>
  <c r="P728" i="20" s="1"/>
  <c r="P729" i="20" a="1"/>
  <c r="P729" i="20" s="1"/>
  <c r="P730" i="20" a="1"/>
  <c r="P730" i="20" s="1"/>
  <c r="P731" i="20" a="1"/>
  <c r="P731" i="20" s="1"/>
  <c r="P732" i="20" a="1"/>
  <c r="P732" i="20" s="1"/>
  <c r="P733" i="20" a="1"/>
  <c r="P733" i="20" s="1"/>
  <c r="P734" i="20" a="1"/>
  <c r="P734" i="20" s="1"/>
  <c r="P735" i="20" a="1"/>
  <c r="P735" i="20" s="1"/>
  <c r="P736" i="20" a="1"/>
  <c r="P736" i="20" s="1"/>
  <c r="P737" i="20" a="1"/>
  <c r="P737" i="20" s="1"/>
  <c r="P738" i="20" a="1"/>
  <c r="P738" i="20" s="1"/>
  <c r="P739" i="20" a="1"/>
  <c r="P739" i="20" s="1"/>
  <c r="P740" i="20" a="1"/>
  <c r="P740" i="20" s="1"/>
  <c r="P741" i="20" a="1"/>
  <c r="P741" i="20" s="1"/>
  <c r="P742" i="20" a="1"/>
  <c r="P742" i="20" s="1"/>
  <c r="P743" i="20" a="1"/>
  <c r="P743" i="20" s="1"/>
  <c r="P744" i="20" a="1"/>
  <c r="P744" i="20" s="1"/>
  <c r="P745" i="20" a="1"/>
  <c r="P745" i="20" s="1"/>
  <c r="P746" i="20" a="1"/>
  <c r="P746" i="20" s="1"/>
  <c r="P747" i="20" a="1"/>
  <c r="P747" i="20" s="1"/>
  <c r="P748" i="20" a="1"/>
  <c r="P748" i="20" s="1"/>
  <c r="P749" i="20" a="1"/>
  <c r="P749" i="20" s="1"/>
  <c r="P750" i="20" a="1"/>
  <c r="P750" i="20" s="1"/>
  <c r="P751" i="20" a="1"/>
  <c r="P751" i="20" s="1"/>
  <c r="P752" i="20" a="1"/>
  <c r="P752" i="20" s="1"/>
  <c r="P753" i="20" a="1"/>
  <c r="P753" i="20" s="1"/>
  <c r="P754" i="20" a="1"/>
  <c r="P754" i="20" s="1"/>
  <c r="P755" i="20" a="1"/>
  <c r="P755" i="20" s="1"/>
  <c r="P756" i="20" a="1"/>
  <c r="P756" i="20" s="1"/>
  <c r="P757" i="20" a="1"/>
  <c r="P757" i="20" s="1"/>
  <c r="P758" i="20" a="1"/>
  <c r="P758" i="20" s="1"/>
  <c r="P759" i="20" a="1"/>
  <c r="P759" i="20" s="1"/>
  <c r="P760" i="20" a="1"/>
  <c r="P760" i="20" s="1"/>
  <c r="P761" i="20" a="1"/>
  <c r="P761" i="20" s="1"/>
  <c r="P762" i="20" a="1"/>
  <c r="P762" i="20" s="1"/>
  <c r="P763" i="20" a="1"/>
  <c r="P763" i="20" s="1"/>
  <c r="P764" i="20" a="1"/>
  <c r="P764" i="20" s="1"/>
  <c r="P765" i="20" a="1"/>
  <c r="P765" i="20" s="1"/>
  <c r="P766" i="20" a="1"/>
  <c r="P766" i="20" s="1"/>
  <c r="P767" i="20" a="1"/>
  <c r="P767" i="20" s="1"/>
  <c r="P768" i="20" a="1"/>
  <c r="P768" i="20" s="1"/>
  <c r="P769" i="20" a="1"/>
  <c r="P769" i="20" s="1"/>
  <c r="P770" i="20" a="1"/>
  <c r="P770" i="20" s="1"/>
  <c r="P771" i="20" a="1"/>
  <c r="P771" i="20" s="1"/>
  <c r="P772" i="20" a="1"/>
  <c r="P772" i="20" s="1"/>
  <c r="P773" i="20" a="1"/>
  <c r="P773" i="20" s="1"/>
  <c r="P774" i="20" a="1"/>
  <c r="P774" i="20" s="1"/>
  <c r="P775" i="20" a="1"/>
  <c r="P775" i="20" s="1"/>
  <c r="P776" i="20" a="1"/>
  <c r="P776" i="20" s="1"/>
  <c r="P777" i="20" a="1"/>
  <c r="P777" i="20" s="1"/>
  <c r="P778" i="20" a="1"/>
  <c r="P778" i="20" s="1"/>
  <c r="P779" i="20" a="1"/>
  <c r="P779" i="20" s="1"/>
  <c r="P780" i="20" a="1"/>
  <c r="P780" i="20" s="1"/>
  <c r="P781" i="20" a="1"/>
  <c r="P781" i="20" s="1"/>
  <c r="P782" i="20" a="1"/>
  <c r="P782" i="20" s="1"/>
  <c r="P783" i="20" a="1"/>
  <c r="P783" i="20" s="1"/>
  <c r="P784" i="20" a="1"/>
  <c r="P784" i="20" s="1"/>
  <c r="P785" i="20" a="1"/>
  <c r="P785" i="20" s="1"/>
  <c r="P786" i="20" a="1"/>
  <c r="P786" i="20" s="1"/>
  <c r="P787" i="20" a="1"/>
  <c r="P787" i="20" s="1"/>
  <c r="P788" i="20" a="1"/>
  <c r="P788" i="20" s="1"/>
  <c r="P789" i="20" a="1"/>
  <c r="P789" i="20" s="1"/>
  <c r="P790" i="20" a="1"/>
  <c r="P790" i="20" s="1"/>
  <c r="P791" i="20" a="1"/>
  <c r="P791" i="20" s="1"/>
  <c r="P792" i="20" a="1"/>
  <c r="P792" i="20" s="1"/>
  <c r="P793" i="20" a="1"/>
  <c r="P793" i="20" s="1"/>
  <c r="P794" i="20" a="1"/>
  <c r="P794" i="20" s="1"/>
  <c r="P795" i="20" a="1"/>
  <c r="P795" i="20" s="1"/>
  <c r="P796" i="20" a="1"/>
  <c r="P796" i="20" s="1"/>
  <c r="P797" i="20" a="1"/>
  <c r="P797" i="20" s="1"/>
  <c r="P798" i="20" a="1"/>
  <c r="P798" i="20" s="1"/>
  <c r="P799" i="20" a="1"/>
  <c r="P799" i="20" s="1"/>
  <c r="P800" i="20" a="1"/>
  <c r="P800" i="20" s="1"/>
  <c r="P801" i="20" a="1"/>
  <c r="P801" i="20" s="1"/>
  <c r="P802" i="20" a="1"/>
  <c r="P802" i="20" s="1"/>
  <c r="P803" i="20" a="1"/>
  <c r="P803" i="20" s="1"/>
  <c r="P804" i="20" a="1"/>
  <c r="P804" i="20" s="1"/>
  <c r="P805" i="20" a="1"/>
  <c r="P805" i="20" s="1"/>
  <c r="P806" i="20" a="1"/>
  <c r="P806" i="20" s="1"/>
  <c r="P807" i="20" a="1"/>
  <c r="P807" i="20" s="1"/>
  <c r="P808" i="20" a="1"/>
  <c r="P808" i="20" s="1"/>
  <c r="P809" i="20" a="1"/>
  <c r="P809" i="20" s="1"/>
  <c r="P810" i="20" a="1"/>
  <c r="P810" i="20" s="1"/>
  <c r="P811" i="20" a="1"/>
  <c r="P811" i="20" s="1"/>
  <c r="P812" i="20" a="1"/>
  <c r="P812" i="20" s="1"/>
  <c r="P813" i="20" a="1"/>
  <c r="P813" i="20" s="1"/>
  <c r="P814" i="20" a="1"/>
  <c r="P814" i="20" s="1"/>
  <c r="P815" i="20" a="1"/>
  <c r="P815" i="20" s="1"/>
  <c r="P816" i="20" a="1"/>
  <c r="P816" i="20" s="1"/>
  <c r="P817" i="20" a="1"/>
  <c r="P817" i="20" s="1"/>
  <c r="P818" i="20" a="1"/>
  <c r="P818" i="20" s="1"/>
  <c r="P819" i="20" a="1"/>
  <c r="P819" i="20" s="1"/>
  <c r="P820" i="20" a="1"/>
  <c r="P820" i="20" s="1"/>
  <c r="P821" i="20" a="1"/>
  <c r="P821" i="20" s="1"/>
  <c r="P822" i="20" a="1"/>
  <c r="P822" i="20" s="1"/>
  <c r="P823" i="20" a="1"/>
  <c r="P823" i="20" s="1"/>
  <c r="P824" i="20" a="1"/>
  <c r="P824" i="20" s="1"/>
  <c r="P825" i="20" a="1"/>
  <c r="P825" i="20" s="1"/>
  <c r="P826" i="20" a="1"/>
  <c r="P826" i="20" s="1"/>
  <c r="P827" i="20" a="1"/>
  <c r="P827" i="20" s="1"/>
  <c r="P828" i="20" a="1"/>
  <c r="P828" i="20" s="1"/>
  <c r="P829" i="20" a="1"/>
  <c r="P829" i="20" s="1"/>
  <c r="P830" i="20" a="1"/>
  <c r="P830" i="20" s="1"/>
  <c r="P831" i="20" a="1"/>
  <c r="P831" i="20" s="1"/>
  <c r="P832" i="20" a="1"/>
  <c r="P832" i="20" s="1"/>
  <c r="P833" i="20" a="1"/>
  <c r="P833" i="20" s="1"/>
  <c r="P834" i="20" a="1"/>
  <c r="P834" i="20" s="1"/>
  <c r="P835" i="20" a="1"/>
  <c r="P835" i="20" s="1"/>
  <c r="P836" i="20" a="1"/>
  <c r="P836" i="20" s="1"/>
  <c r="P837" i="20" a="1"/>
  <c r="P837" i="20" s="1"/>
  <c r="P838" i="20" a="1"/>
  <c r="P838" i="20" s="1"/>
  <c r="P839" i="20" a="1"/>
  <c r="P839" i="20" s="1"/>
  <c r="P840" i="20" a="1"/>
  <c r="P840" i="20" s="1"/>
  <c r="P841" i="20" a="1"/>
  <c r="P841" i="20" s="1"/>
  <c r="P842" i="20" a="1"/>
  <c r="P842" i="20" s="1"/>
  <c r="P843" i="20" a="1"/>
  <c r="P843" i="20" s="1"/>
  <c r="P844" i="20" a="1"/>
  <c r="P844" i="20" s="1"/>
  <c r="P845" i="20" a="1"/>
  <c r="P845" i="20" s="1"/>
  <c r="P846" i="20" a="1"/>
  <c r="P846" i="20" s="1"/>
  <c r="P847" i="20" a="1"/>
  <c r="P847" i="20" s="1"/>
  <c r="P848" i="20" a="1"/>
  <c r="P848" i="20" s="1"/>
  <c r="P849" i="20" a="1"/>
  <c r="P849" i="20" s="1"/>
  <c r="P850" i="20" a="1"/>
  <c r="P850" i="20" s="1"/>
  <c r="P851" i="20" a="1"/>
  <c r="P851" i="20" s="1"/>
  <c r="P852" i="20" a="1"/>
  <c r="P852" i="20" s="1"/>
  <c r="P853" i="20" a="1"/>
  <c r="P853" i="20" s="1"/>
  <c r="P854" i="20" a="1"/>
  <c r="P854" i="20" s="1"/>
  <c r="P855" i="20" a="1"/>
  <c r="P855" i="20" s="1"/>
  <c r="P856" i="20" a="1"/>
  <c r="P856" i="20" s="1"/>
  <c r="P857" i="20" a="1"/>
  <c r="P857" i="20" s="1"/>
  <c r="P858" i="20" a="1"/>
  <c r="P858" i="20" s="1"/>
  <c r="P859" i="20" a="1"/>
  <c r="P859" i="20" s="1"/>
  <c r="P860" i="20" a="1"/>
  <c r="P860" i="20" s="1"/>
  <c r="P861" i="20" a="1"/>
  <c r="P861" i="20" s="1"/>
  <c r="H2" i="19"/>
  <c r="H3" i="19"/>
  <c r="H4" i="19"/>
  <c r="J4" i="19" s="1" a="1"/>
  <c r="J4" i="19" s="1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J10" i="19" s="1" a="1"/>
  <c r="J10" i="19" s="1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M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M13" i="19" s="1"/>
  <c r="I14" i="19" a="1"/>
  <c r="I14" i="19" s="1"/>
  <c r="I15" i="19" a="1"/>
  <c r="I15" i="19" s="1"/>
  <c r="M15" i="19" s="1"/>
  <c r="I16" i="19" a="1"/>
  <c r="I16" i="19" s="1"/>
  <c r="I17" i="19" a="1"/>
  <c r="I17" i="19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/>
  <c r="I26" i="19" a="1"/>
  <c r="I26" i="19" s="1"/>
  <c r="I27" i="19" a="1"/>
  <c r="I27" i="19" s="1"/>
  <c r="I28" i="19" a="1"/>
  <c r="I28" i="19" s="1"/>
  <c r="I29" i="19" a="1"/>
  <c r="I29" i="19" s="1"/>
  <c r="M29" i="19" s="1"/>
  <c r="I30" i="19" a="1"/>
  <c r="I30" i="19" s="1"/>
  <c r="I31" i="19" a="1"/>
  <c r="I31" i="19" s="1"/>
  <c r="I32" i="19" a="1"/>
  <c r="I32" i="19" s="1"/>
  <c r="I33" i="19" a="1"/>
  <c r="I33" i="19"/>
  <c r="I34" i="19" a="1"/>
  <c r="I34" i="19" s="1"/>
  <c r="I35" i="19" a="1"/>
  <c r="I35" i="19" s="1"/>
  <c r="I36" i="19" a="1"/>
  <c r="I36" i="19" s="1"/>
  <c r="I37" i="19" a="1"/>
  <c r="I37" i="19" s="1"/>
  <c r="M37" i="19" s="1"/>
  <c r="I38" i="19" a="1"/>
  <c r="I38" i="19" s="1"/>
  <c r="I39" i="19" a="1"/>
  <c r="I39" i="19"/>
  <c r="I40" i="19" a="1"/>
  <c r="I40" i="19" s="1"/>
  <c r="I41" i="19" a="1"/>
  <c r="I41" i="19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/>
  <c r="I54" i="19" a="1"/>
  <c r="I54" i="19" s="1"/>
  <c r="I55" i="19" a="1"/>
  <c r="I55" i="19"/>
  <c r="I56" i="19" a="1"/>
  <c r="I56" i="19" s="1"/>
  <c r="I57" i="19" a="1"/>
  <c r="I57" i="19" s="1"/>
  <c r="I58" i="19" a="1"/>
  <c r="I58" i="19" s="1"/>
  <c r="I59" i="19" a="1"/>
  <c r="I59" i="19"/>
  <c r="I60" i="19" a="1"/>
  <c r="I60" i="19" s="1"/>
  <c r="I61" i="19" a="1"/>
  <c r="I61" i="19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/>
  <c r="I68" i="19" a="1"/>
  <c r="I68" i="19" s="1"/>
  <c r="I69" i="19" a="1"/>
  <c r="I69" i="19" s="1"/>
  <c r="I70" i="19" a="1"/>
  <c r="I70" i="19" s="1"/>
  <c r="I71" i="19" a="1"/>
  <c r="I71" i="19" s="1"/>
  <c r="J9" i="19" a="1"/>
  <c r="J9" i="19" s="1"/>
  <c r="J12" i="19" a="1"/>
  <c r="J12" i="19" s="1"/>
  <c r="J13" i="19" a="1"/>
  <c r="J13" i="19" s="1"/>
  <c r="J14" i="19" a="1"/>
  <c r="J14" i="19" s="1"/>
  <c r="J15" i="19" a="1"/>
  <c r="J15" i="19" s="1"/>
  <c r="J16" i="19" a="1"/>
  <c r="J16" i="19" s="1"/>
  <c r="J17" i="19" a="1"/>
  <c r="J17" i="19" s="1"/>
  <c r="J18" i="19" a="1"/>
  <c r="J18" i="19" s="1"/>
  <c r="J19" i="19" a="1"/>
  <c r="J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J27" i="19" a="1"/>
  <c r="J27" i="19" s="1"/>
  <c r="J28" i="19" a="1"/>
  <c r="J28" i="19" s="1"/>
  <c r="J29" i="19" a="1"/>
  <c r="J29" i="19" s="1"/>
  <c r="J30" i="19" a="1"/>
  <c r="J30" i="19" s="1"/>
  <c r="J31" i="19" a="1"/>
  <c r="J31" i="19" s="1"/>
  <c r="J32" i="19" a="1"/>
  <c r="J32" i="19" s="1"/>
  <c r="J33" i="19" a="1"/>
  <c r="J33" i="19" s="1"/>
  <c r="J34" i="19" a="1"/>
  <c r="J34" i="19" s="1"/>
  <c r="J35" i="19" a="1"/>
  <c r="J35" i="19" s="1"/>
  <c r="J36" i="19" a="1"/>
  <c r="J36" i="19" s="1"/>
  <c r="J37" i="19" a="1"/>
  <c r="J37" i="19" s="1"/>
  <c r="J38" i="19" a="1"/>
  <c r="J38" i="19" s="1"/>
  <c r="J39" i="19" a="1"/>
  <c r="J39" i="19" s="1"/>
  <c r="J40" i="19" a="1"/>
  <c r="J40" i="19" s="1"/>
  <c r="J41" i="19" a="1"/>
  <c r="J41" i="19" s="1"/>
  <c r="J42" i="19" a="1"/>
  <c r="J42" i="19" s="1"/>
  <c r="J43" i="19" a="1"/>
  <c r="J43" i="19" s="1"/>
  <c r="J44" i="19" a="1"/>
  <c r="J44" i="19" s="1"/>
  <c r="J45" i="19" a="1"/>
  <c r="J45" i="19" s="1"/>
  <c r="J46" i="19" a="1"/>
  <c r="J46" i="19" s="1"/>
  <c r="J47" i="19" a="1"/>
  <c r="J47" i="19" s="1"/>
  <c r="J48" i="19" a="1"/>
  <c r="J48" i="19" s="1"/>
  <c r="J49" i="19" a="1"/>
  <c r="J49" i="19" s="1"/>
  <c r="J50" i="19" a="1"/>
  <c r="J50" i="19" s="1"/>
  <c r="J51" i="19" a="1"/>
  <c r="J51" i="19" s="1"/>
  <c r="J52" i="19" a="1"/>
  <c r="J52" i="19" s="1"/>
  <c r="J53" i="19" a="1"/>
  <c r="J53" i="19" s="1"/>
  <c r="J54" i="19" a="1"/>
  <c r="J54" i="19" s="1"/>
  <c r="J55" i="19" a="1"/>
  <c r="J55" i="19" s="1"/>
  <c r="J56" i="19" a="1"/>
  <c r="J56" i="19" s="1"/>
  <c r="J57" i="19" a="1"/>
  <c r="J57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63" i="19" a="1"/>
  <c r="J63" i="19" s="1"/>
  <c r="J64" i="19" a="1"/>
  <c r="J64" i="19" s="1"/>
  <c r="J65" i="19" a="1"/>
  <c r="J65" i="19" s="1"/>
  <c r="J66" i="19" a="1"/>
  <c r="J66" i="19" s="1"/>
  <c r="J67" i="19" a="1"/>
  <c r="J67" i="19" s="1"/>
  <c r="J68" i="19" a="1"/>
  <c r="J68" i="19" s="1"/>
  <c r="J69" i="19" a="1"/>
  <c r="J69" i="19" s="1"/>
  <c r="J70" i="19" a="1"/>
  <c r="J70" i="19" s="1"/>
  <c r="J71" i="19" a="1"/>
  <c r="J71" i="19" s="1"/>
  <c r="K2" i="19" a="1"/>
  <c r="K2" i="19" s="1"/>
  <c r="K3" i="19" a="1"/>
  <c r="K3" i="19" s="1"/>
  <c r="K4" i="19" a="1"/>
  <c r="K4" i="19" s="1"/>
  <c r="K5" i="19" a="1"/>
  <c r="K5" i="19" s="1"/>
  <c r="K6" i="19" a="1"/>
  <c r="K6" i="19" s="1"/>
  <c r="K7" i="19" a="1"/>
  <c r="K7" i="19" s="1"/>
  <c r="K8" i="19" a="1"/>
  <c r="K8" i="19" s="1"/>
  <c r="K9" i="19" a="1"/>
  <c r="K9" i="19" s="1"/>
  <c r="K10" i="19" a="1"/>
  <c r="K10" i="19" s="1"/>
  <c r="K11" i="19" a="1"/>
  <c r="K11" i="19" s="1"/>
  <c r="K12" i="19" a="1"/>
  <c r="K12" i="19" s="1"/>
  <c r="K13" i="19" a="1"/>
  <c r="K13" i="19" s="1"/>
  <c r="K14" i="19" a="1"/>
  <c r="K14" i="19" s="1"/>
  <c r="K15" i="19" a="1"/>
  <c r="K15" i="19" s="1"/>
  <c r="K16" i="19" a="1"/>
  <c r="K16" i="19" s="1"/>
  <c r="K17" i="19" a="1"/>
  <c r="K17" i="19" s="1"/>
  <c r="K18" i="19" a="1"/>
  <c r="K18" i="19" s="1"/>
  <c r="K19" i="19" a="1"/>
  <c r="K19" i="19" s="1"/>
  <c r="K20" i="19" a="1"/>
  <c r="K20" i="19" s="1"/>
  <c r="K21" i="19" a="1"/>
  <c r="K21" i="19" s="1"/>
  <c r="K22" i="19" a="1"/>
  <c r="K22" i="19" s="1"/>
  <c r="K23" i="19" a="1"/>
  <c r="K23" i="19" s="1"/>
  <c r="K24" i="19" a="1"/>
  <c r="K24" i="19" s="1"/>
  <c r="K25" i="19" a="1"/>
  <c r="K25" i="19" s="1"/>
  <c r="K26" i="19" a="1"/>
  <c r="K26" i="19" s="1"/>
  <c r="K27" i="19" a="1"/>
  <c r="K27" i="19" s="1"/>
  <c r="K28" i="19" a="1"/>
  <c r="K28" i="19" s="1"/>
  <c r="K29" i="19" a="1"/>
  <c r="K29" i="19" s="1"/>
  <c r="K30" i="19" a="1"/>
  <c r="K30" i="19" s="1"/>
  <c r="K31" i="19" a="1"/>
  <c r="K31" i="19" s="1"/>
  <c r="K32" i="19" a="1"/>
  <c r="K32" i="19" s="1"/>
  <c r="K33" i="19" a="1"/>
  <c r="K33" i="19" s="1"/>
  <c r="K34" i="19" a="1"/>
  <c r="K34" i="19" s="1"/>
  <c r="K35" i="19" a="1"/>
  <c r="K35" i="19" s="1"/>
  <c r="K36" i="19" a="1"/>
  <c r="K36" i="19" s="1"/>
  <c r="K37" i="19" a="1"/>
  <c r="K37" i="19" s="1"/>
  <c r="K38" i="19" a="1"/>
  <c r="K38" i="19" s="1"/>
  <c r="K39" i="19" a="1"/>
  <c r="K39" i="19" s="1"/>
  <c r="K40" i="19" a="1"/>
  <c r="K40" i="19" s="1"/>
  <c r="K41" i="19" a="1"/>
  <c r="K41" i="19" s="1"/>
  <c r="K42" i="19" a="1"/>
  <c r="K42" i="19" s="1"/>
  <c r="K43" i="19" a="1"/>
  <c r="K43" i="19" s="1"/>
  <c r="K44" i="19" a="1"/>
  <c r="K44" i="19" s="1"/>
  <c r="K45" i="19" a="1"/>
  <c r="K45" i="19" s="1"/>
  <c r="K46" i="19" a="1"/>
  <c r="K46" i="19" s="1"/>
  <c r="K47" i="19" a="1"/>
  <c r="K47" i="19" s="1"/>
  <c r="K48" i="19" a="1"/>
  <c r="K48" i="19" s="1"/>
  <c r="K49" i="19" a="1"/>
  <c r="K49" i="19" s="1"/>
  <c r="K50" i="19" a="1"/>
  <c r="K50" i="19" s="1"/>
  <c r="K51" i="19" a="1"/>
  <c r="K51" i="19" s="1"/>
  <c r="K52" i="19" a="1"/>
  <c r="K52" i="19"/>
  <c r="K53" i="19" a="1"/>
  <c r="K53" i="19" s="1"/>
  <c r="K54" i="19" a="1"/>
  <c r="K54" i="19" s="1"/>
  <c r="K55" i="19" a="1"/>
  <c r="K55" i="19" s="1"/>
  <c r="K56" i="19" a="1"/>
  <c r="K56" i="19" s="1"/>
  <c r="K57" i="19" a="1"/>
  <c r="K57" i="19" s="1"/>
  <c r="K58" i="19" a="1"/>
  <c r="K58" i="19" s="1"/>
  <c r="K59" i="19" a="1"/>
  <c r="K59" i="19" s="1"/>
  <c r="K60" i="19" a="1"/>
  <c r="K60" i="19"/>
  <c r="M60" i="19" s="1"/>
  <c r="K61" i="19" a="1"/>
  <c r="K61" i="19" s="1"/>
  <c r="K62" i="19" a="1"/>
  <c r="K62" i="19" s="1"/>
  <c r="K63" i="19" a="1"/>
  <c r="K63" i="19" s="1"/>
  <c r="K64" i="19" a="1"/>
  <c r="K64" i="19" s="1"/>
  <c r="K65" i="19" a="1"/>
  <c r="K65" i="19" s="1"/>
  <c r="K66" i="19" a="1"/>
  <c r="K66" i="19" s="1"/>
  <c r="K67" i="19" a="1"/>
  <c r="K67" i="19" s="1"/>
  <c r="K68" i="19" a="1"/>
  <c r="K68" i="19" s="1"/>
  <c r="K69" i="19" a="1"/>
  <c r="K69" i="19" s="1"/>
  <c r="K70" i="19" a="1"/>
  <c r="K70" i="19" s="1"/>
  <c r="K71" i="19" a="1"/>
  <c r="K71" i="19" s="1"/>
  <c r="L2" i="19" a="1"/>
  <c r="L2" i="19" s="1"/>
  <c r="M2" i="19" s="1"/>
  <c r="L3" i="19" a="1"/>
  <c r="L3" i="19" s="1"/>
  <c r="L4" i="19" a="1"/>
  <c r="L4" i="19" s="1"/>
  <c r="M4" i="19" s="1"/>
  <c r="L5" i="19" a="1"/>
  <c r="L5" i="19" s="1"/>
  <c r="L6" i="19" a="1"/>
  <c r="L6" i="19" s="1"/>
  <c r="M6" i="19" s="1"/>
  <c r="L7" i="19" a="1"/>
  <c r="L7" i="19" s="1"/>
  <c r="L8" i="19" a="1"/>
  <c r="L8" i="19" s="1"/>
  <c r="L9" i="19" a="1"/>
  <c r="L9" i="19" s="1"/>
  <c r="L10" i="19" a="1"/>
  <c r="L10" i="19" s="1"/>
  <c r="M10" i="19" s="1"/>
  <c r="L11" i="19" a="1"/>
  <c r="L11" i="19" s="1"/>
  <c r="L12" i="19" a="1"/>
  <c r="L12" i="19" s="1"/>
  <c r="L13" i="19" a="1"/>
  <c r="L13" i="19" s="1"/>
  <c r="L14" i="19" a="1"/>
  <c r="L14" i="19"/>
  <c r="L15" i="19" a="1"/>
  <c r="L15" i="19" s="1"/>
  <c r="L16" i="19" a="1"/>
  <c r="L16" i="19" s="1"/>
  <c r="M16" i="19" s="1"/>
  <c r="L17" i="19" a="1"/>
  <c r="L17" i="19" s="1"/>
  <c r="L18" i="19" a="1"/>
  <c r="L18" i="19" s="1"/>
  <c r="M18" i="19" s="1"/>
  <c r="L19" i="19" a="1"/>
  <c r="L19" i="19" s="1"/>
  <c r="M19" i="19" s="1"/>
  <c r="L20" i="19" a="1"/>
  <c r="L20" i="19"/>
  <c r="L21" i="19" a="1"/>
  <c r="L21" i="19" s="1"/>
  <c r="L22" i="19" a="1"/>
  <c r="L22" i="19" s="1"/>
  <c r="L23" i="19" a="1"/>
  <c r="L23" i="19"/>
  <c r="L24" i="19" a="1"/>
  <c r="L24" i="19" s="1"/>
  <c r="L25" i="19" a="1"/>
  <c r="L25" i="19"/>
  <c r="M25" i="19" s="1"/>
  <c r="L26" i="19" a="1"/>
  <c r="L26" i="19" s="1"/>
  <c r="M26" i="19" s="1"/>
  <c r="L27" i="19" a="1"/>
  <c r="L27" i="19"/>
  <c r="L28" i="19" a="1"/>
  <c r="L28" i="19" s="1"/>
  <c r="L29" i="19" a="1"/>
  <c r="L29" i="19"/>
  <c r="L30" i="19" a="1"/>
  <c r="L30" i="19" s="1"/>
  <c r="L31" i="19" a="1"/>
  <c r="L31" i="19"/>
  <c r="L32" i="19" a="1"/>
  <c r="L32" i="19" s="1"/>
  <c r="L33" i="19" a="1"/>
  <c r="L33" i="19"/>
  <c r="M33" i="19" s="1"/>
  <c r="L34" i="19" a="1"/>
  <c r="L34" i="19" s="1"/>
  <c r="L35" i="19" a="1"/>
  <c r="L35" i="19"/>
  <c r="L36" i="19" a="1"/>
  <c r="L36" i="19" s="1"/>
  <c r="L37" i="19" a="1"/>
  <c r="L37" i="19"/>
  <c r="L38" i="19" a="1"/>
  <c r="L38" i="19" s="1"/>
  <c r="L39" i="19" a="1"/>
  <c r="L39" i="19"/>
  <c r="L40" i="19" a="1"/>
  <c r="L40" i="19" s="1"/>
  <c r="L41" i="19" a="1"/>
  <c r="L41" i="19"/>
  <c r="M41" i="19" s="1"/>
  <c r="L42" i="19" a="1"/>
  <c r="L42" i="19" s="1"/>
  <c r="L43" i="19" a="1"/>
  <c r="L43" i="19"/>
  <c r="L44" i="19" a="1"/>
  <c r="L44" i="19" s="1"/>
  <c r="L45" i="19" a="1"/>
  <c r="L45" i="19" s="1"/>
  <c r="M45" i="19" s="1"/>
  <c r="L46" i="19" a="1"/>
  <c r="L46" i="19"/>
  <c r="L47" i="19" a="1"/>
  <c r="L47" i="19" s="1"/>
  <c r="L48" i="19" a="1"/>
  <c r="L48" i="19"/>
  <c r="L49" i="19" a="1"/>
  <c r="L49" i="19" s="1"/>
  <c r="L50" i="19" a="1"/>
  <c r="L50" i="19"/>
  <c r="L51" i="19" a="1"/>
  <c r="L51" i="19" s="1"/>
  <c r="M51" i="19" s="1"/>
  <c r="L52" i="19" a="1"/>
  <c r="L52" i="19"/>
  <c r="L53" i="19" a="1"/>
  <c r="L53" i="19" s="1"/>
  <c r="M53" i="19" s="1"/>
  <c r="L54" i="19" a="1"/>
  <c r="L54" i="19"/>
  <c r="L55" i="19" a="1"/>
  <c r="L55" i="19" s="1"/>
  <c r="M55" i="19" s="1"/>
  <c r="L56" i="19" a="1"/>
  <c r="L56" i="19" s="1"/>
  <c r="M56" i="19" s="1"/>
  <c r="L57" i="19" a="1"/>
  <c r="L57" i="19" s="1"/>
  <c r="M57" i="19" s="1"/>
  <c r="L58" i="19" a="1"/>
  <c r="L58" i="19"/>
  <c r="L59" i="19" a="1"/>
  <c r="L59" i="19" s="1"/>
  <c r="M59" i="19" s="1"/>
  <c r="L60" i="19" a="1"/>
  <c r="L60" i="19"/>
  <c r="L61" i="19" a="1"/>
  <c r="L61" i="19" s="1"/>
  <c r="M61" i="19" s="1"/>
  <c r="L62" i="19" a="1"/>
  <c r="L62" i="19"/>
  <c r="L63" i="19" a="1"/>
  <c r="L63" i="19" s="1"/>
  <c r="M63" i="19" s="1"/>
  <c r="L64" i="19" a="1"/>
  <c r="L64" i="19"/>
  <c r="L65" i="19" a="1"/>
  <c r="L65" i="19" s="1"/>
  <c r="L66" i="19" a="1"/>
  <c r="L66" i="19" s="1"/>
  <c r="M66" i="19" s="1"/>
  <c r="L67" i="19" a="1"/>
  <c r="L67" i="19"/>
  <c r="M67" i="19" s="1"/>
  <c r="L68" i="19" a="1"/>
  <c r="L68" i="19" s="1"/>
  <c r="L69" i="19" a="1"/>
  <c r="L69" i="19"/>
  <c r="M69" i="19" s="1"/>
  <c r="L70" i="19" a="1"/>
  <c r="L70" i="19" s="1"/>
  <c r="L71" i="19" a="1"/>
  <c r="L71" i="19"/>
  <c r="M3" i="19"/>
  <c r="M17" i="19"/>
  <c r="N2" i="19" a="1"/>
  <c r="N2" i="19"/>
  <c r="N3" i="19" a="1"/>
  <c r="N3" i="19" s="1"/>
  <c r="N4" i="19" a="1"/>
  <c r="N4" i="19" s="1"/>
  <c r="N5" i="19" a="1"/>
  <c r="N5" i="19" s="1"/>
  <c r="N6" i="19" a="1"/>
  <c r="N6" i="19" s="1"/>
  <c r="N7" i="19" a="1"/>
  <c r="N7" i="19" s="1"/>
  <c r="N8" i="19" a="1"/>
  <c r="N8" i="19"/>
  <c r="N9" i="19" a="1"/>
  <c r="N9" i="19" s="1"/>
  <c r="N10" i="19" a="1"/>
  <c r="N10" i="19"/>
  <c r="N11" i="19" a="1"/>
  <c r="N11" i="19" s="1"/>
  <c r="N12" i="19" a="1"/>
  <c r="N12" i="19" s="1"/>
  <c r="N13" i="19" a="1"/>
  <c r="N13" i="19" s="1"/>
  <c r="N14" i="19" a="1"/>
  <c r="N14" i="19" s="1"/>
  <c r="N15" i="19" a="1"/>
  <c r="N15" i="19" s="1"/>
  <c r="N16" i="19" a="1"/>
  <c r="N16" i="19"/>
  <c r="N17" i="19" a="1"/>
  <c r="N17" i="19" s="1"/>
  <c r="N18" i="19" a="1"/>
  <c r="N18" i="19"/>
  <c r="N19" i="19" a="1"/>
  <c r="N19" i="19" s="1"/>
  <c r="N20" i="19" a="1"/>
  <c r="N20" i="19" s="1"/>
  <c r="N21" i="19" a="1"/>
  <c r="N21" i="19" s="1"/>
  <c r="N22" i="19" a="1"/>
  <c r="N22" i="19" s="1"/>
  <c r="N23" i="19" a="1"/>
  <c r="N23" i="19" s="1"/>
  <c r="N24" i="19" a="1"/>
  <c r="N24" i="19"/>
  <c r="N25" i="19" a="1"/>
  <c r="N25" i="19" s="1"/>
  <c r="N26" i="19" a="1"/>
  <c r="N26" i="19"/>
  <c r="N27" i="19" a="1"/>
  <c r="N27" i="19" s="1"/>
  <c r="N28" i="19" a="1"/>
  <c r="N28" i="19" s="1"/>
  <c r="N29" i="19" a="1"/>
  <c r="N29" i="19" s="1"/>
  <c r="N30" i="19" a="1"/>
  <c r="N30" i="19"/>
  <c r="N31" i="19" a="1"/>
  <c r="N31" i="19" s="1"/>
  <c r="N32" i="19" a="1"/>
  <c r="N32" i="19" s="1"/>
  <c r="N33" i="19" a="1"/>
  <c r="N33" i="19" s="1"/>
  <c r="N34" i="19" a="1"/>
  <c r="N34" i="19" s="1"/>
  <c r="N35" i="19" a="1"/>
  <c r="N35" i="19" s="1"/>
  <c r="N36" i="19" a="1"/>
  <c r="N36" i="19" s="1"/>
  <c r="N37" i="19" a="1"/>
  <c r="N37" i="19" s="1"/>
  <c r="N38" i="19" a="1"/>
  <c r="N38" i="19" s="1"/>
  <c r="N39" i="19" a="1"/>
  <c r="N39" i="19" s="1"/>
  <c r="N40" i="19" a="1"/>
  <c r="N40" i="19" s="1"/>
  <c r="N41" i="19" a="1"/>
  <c r="N41" i="19" s="1"/>
  <c r="N42" i="19" a="1"/>
  <c r="N42" i="19"/>
  <c r="N43" i="19" a="1"/>
  <c r="N43" i="19" s="1"/>
  <c r="N44" i="19" a="1"/>
  <c r="N44" i="19" s="1"/>
  <c r="N45" i="19" a="1"/>
  <c r="N45" i="19" s="1"/>
  <c r="N46" i="19" a="1"/>
  <c r="N46" i="19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/>
  <c r="N59" i="19" a="1"/>
  <c r="N59" i="19" s="1"/>
  <c r="N60" i="19" a="1"/>
  <c r="N60" i="19" s="1"/>
  <c r="N61" i="19" a="1"/>
  <c r="N61" i="19" s="1"/>
  <c r="N62" i="19" a="1"/>
  <c r="N62" i="19"/>
  <c r="N63" i="19" a="1"/>
  <c r="N63" i="19" s="1"/>
  <c r="N64" i="19" a="1"/>
  <c r="N64" i="19" s="1"/>
  <c r="N65" i="19" a="1"/>
  <c r="N65" i="19" s="1"/>
  <c r="N66" i="19" a="1"/>
  <c r="N66" i="19" s="1"/>
  <c r="N67" i="19" a="1"/>
  <c r="N67" i="19" s="1"/>
  <c r="N68" i="19" a="1"/>
  <c r="N68" i="19" s="1"/>
  <c r="N69" i="19" a="1"/>
  <c r="N69" i="19" s="1"/>
  <c r="N70" i="19" a="1"/>
  <c r="N70" i="19" s="1"/>
  <c r="N71" i="19" a="1"/>
  <c r="N71" i="19" s="1"/>
  <c r="O2" i="19" a="1"/>
  <c r="O2" i="19" s="1"/>
  <c r="O3" i="19" a="1"/>
  <c r="O3" i="19" s="1"/>
  <c r="O4" i="19" a="1"/>
  <c r="O4" i="19"/>
  <c r="O5" i="19" a="1"/>
  <c r="O5" i="19" s="1"/>
  <c r="O6" i="19" a="1"/>
  <c r="O6" i="19" s="1"/>
  <c r="O7" i="19" a="1"/>
  <c r="O7" i="19" s="1"/>
  <c r="O8" i="19" a="1"/>
  <c r="O8" i="19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/>
  <c r="O21" i="19" a="1"/>
  <c r="O21" i="19" s="1"/>
  <c r="O22" i="19" a="1"/>
  <c r="O22" i="19" s="1"/>
  <c r="O23" i="19" a="1"/>
  <c r="O23" i="19" s="1"/>
  <c r="O24" i="19" a="1"/>
  <c r="O24" i="19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/>
  <c r="O37" i="19" a="1"/>
  <c r="O37" i="19" s="1"/>
  <c r="O38" i="19" a="1"/>
  <c r="O38" i="19" s="1"/>
  <c r="O39" i="19" a="1"/>
  <c r="O39" i="19" s="1"/>
  <c r="O40" i="19" a="1"/>
  <c r="O40" i="19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O62" i="19" a="1"/>
  <c r="O62" i="19" s="1"/>
  <c r="O63" i="19" a="1"/>
  <c r="O63" i="19" s="1"/>
  <c r="O64" i="19" a="1"/>
  <c r="O64" i="19" s="1"/>
  <c r="O65" i="19" a="1"/>
  <c r="O65" i="19" s="1"/>
  <c r="O66" i="19" a="1"/>
  <c r="O66" i="19" s="1"/>
  <c r="O67" i="19" a="1"/>
  <c r="O67" i="19" s="1"/>
  <c r="O68" i="19" a="1"/>
  <c r="O68" i="19" s="1"/>
  <c r="O69" i="19" a="1"/>
  <c r="O69" i="19" s="1"/>
  <c r="O70" i="19" a="1"/>
  <c r="O70" i="19" s="1"/>
  <c r="O71" i="19" a="1"/>
  <c r="O71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O44" i="18" s="1" a="1"/>
  <c r="O44" i="18" s="1"/>
  <c r="M34" i="18"/>
  <c r="M35" i="18"/>
  <c r="M36" i="18"/>
  <c r="M37" i="18"/>
  <c r="M38" i="18"/>
  <c r="M39" i="18"/>
  <c r="M40" i="18"/>
  <c r="M41" i="18"/>
  <c r="O62" i="18" s="1" a="1"/>
  <c r="O62" i="18" s="1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O154" i="18" s="1" a="1"/>
  <c r="O154" i="18" s="1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O156" i="18" s="1" a="1"/>
  <c r="O156" i="18" s="1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M652" i="18"/>
  <c r="M653" i="18"/>
  <c r="M654" i="18"/>
  <c r="M655" i="18"/>
  <c r="M656" i="18"/>
  <c r="M657" i="18"/>
  <c r="M658" i="18"/>
  <c r="M659" i="18"/>
  <c r="M660" i="18"/>
  <c r="M661" i="18"/>
  <c r="M662" i="18"/>
  <c r="M663" i="18"/>
  <c r="M664" i="18"/>
  <c r="M665" i="18"/>
  <c r="M666" i="18"/>
  <c r="M667" i="18"/>
  <c r="M668" i="18"/>
  <c r="M669" i="18"/>
  <c r="M670" i="18"/>
  <c r="M671" i="18"/>
  <c r="M672" i="18"/>
  <c r="M673" i="18"/>
  <c r="M674" i="18"/>
  <c r="M675" i="18"/>
  <c r="M676" i="18"/>
  <c r="M677" i="18"/>
  <c r="M678" i="18"/>
  <c r="M679" i="18"/>
  <c r="M680" i="18"/>
  <c r="M681" i="18"/>
  <c r="M682" i="18"/>
  <c r="M683" i="18"/>
  <c r="M684" i="18"/>
  <c r="M685" i="18"/>
  <c r="M686" i="18"/>
  <c r="M687" i="18"/>
  <c r="M688" i="18"/>
  <c r="M689" i="18"/>
  <c r="M690" i="18"/>
  <c r="M691" i="18"/>
  <c r="M692" i="18"/>
  <c r="M693" i="18"/>
  <c r="M694" i="18"/>
  <c r="M695" i="18"/>
  <c r="M696" i="18"/>
  <c r="M697" i="18"/>
  <c r="M698" i="18"/>
  <c r="M699" i="18"/>
  <c r="M700" i="18"/>
  <c r="M701" i="18"/>
  <c r="M702" i="18"/>
  <c r="M703" i="18"/>
  <c r="M704" i="18"/>
  <c r="M705" i="18"/>
  <c r="M706" i="18"/>
  <c r="M707" i="18"/>
  <c r="M708" i="18"/>
  <c r="M709" i="18"/>
  <c r="M710" i="18"/>
  <c r="M711" i="18"/>
  <c r="M712" i="18"/>
  <c r="M713" i="18"/>
  <c r="M714" i="18"/>
  <c r="M715" i="18"/>
  <c r="M716" i="18"/>
  <c r="M717" i="18"/>
  <c r="M718" i="18"/>
  <c r="M719" i="18"/>
  <c r="M720" i="18"/>
  <c r="M721" i="18"/>
  <c r="M722" i="18"/>
  <c r="M723" i="18"/>
  <c r="M724" i="18"/>
  <c r="M725" i="18"/>
  <c r="M726" i="18"/>
  <c r="M727" i="18"/>
  <c r="M728" i="18"/>
  <c r="M729" i="18"/>
  <c r="M730" i="18"/>
  <c r="M731" i="18"/>
  <c r="M732" i="18"/>
  <c r="M733" i="18"/>
  <c r="M734" i="18"/>
  <c r="M735" i="18"/>
  <c r="M736" i="18"/>
  <c r="M737" i="18"/>
  <c r="M738" i="18"/>
  <c r="M739" i="18"/>
  <c r="M740" i="18"/>
  <c r="M741" i="18"/>
  <c r="M742" i="18"/>
  <c r="M743" i="18"/>
  <c r="M744" i="18"/>
  <c r="M745" i="18"/>
  <c r="M746" i="18"/>
  <c r="M747" i="18"/>
  <c r="M748" i="18"/>
  <c r="M749" i="18"/>
  <c r="M750" i="18"/>
  <c r="M751" i="18"/>
  <c r="M752" i="18"/>
  <c r="M753" i="18"/>
  <c r="M754" i="18"/>
  <c r="M755" i="18"/>
  <c r="M756" i="18"/>
  <c r="M757" i="18"/>
  <c r="M758" i="18"/>
  <c r="M759" i="18"/>
  <c r="M760" i="18"/>
  <c r="M761" i="18"/>
  <c r="M762" i="18"/>
  <c r="M763" i="18"/>
  <c r="M764" i="18"/>
  <c r="M765" i="18"/>
  <c r="M766" i="18"/>
  <c r="M767" i="18"/>
  <c r="M768" i="18"/>
  <c r="M769" i="18"/>
  <c r="M770" i="18"/>
  <c r="M771" i="18"/>
  <c r="M772" i="18"/>
  <c r="M773" i="18"/>
  <c r="M774" i="18"/>
  <c r="M775" i="18"/>
  <c r="M776" i="18"/>
  <c r="M777" i="18"/>
  <c r="M778" i="18"/>
  <c r="M779" i="18"/>
  <c r="M780" i="18"/>
  <c r="M781" i="18"/>
  <c r="M782" i="18"/>
  <c r="M783" i="18"/>
  <c r="M784" i="18"/>
  <c r="M785" i="18"/>
  <c r="M786" i="18"/>
  <c r="M787" i="18"/>
  <c r="M788" i="18"/>
  <c r="M789" i="18"/>
  <c r="M790" i="18"/>
  <c r="M791" i="18"/>
  <c r="M792" i="18"/>
  <c r="M793" i="18"/>
  <c r="M794" i="18"/>
  <c r="M795" i="18"/>
  <c r="M796" i="18"/>
  <c r="M797" i="18"/>
  <c r="M798" i="18"/>
  <c r="M799" i="18"/>
  <c r="M800" i="18"/>
  <c r="M801" i="18"/>
  <c r="M802" i="18"/>
  <c r="M803" i="18"/>
  <c r="M804" i="18"/>
  <c r="M805" i="18"/>
  <c r="M806" i="18"/>
  <c r="M807" i="18"/>
  <c r="M808" i="18"/>
  <c r="M809" i="18"/>
  <c r="M810" i="18"/>
  <c r="M811" i="18"/>
  <c r="M812" i="18"/>
  <c r="M813" i="18"/>
  <c r="M814" i="18"/>
  <c r="M815" i="18"/>
  <c r="M816" i="18"/>
  <c r="M817" i="18"/>
  <c r="M818" i="18"/>
  <c r="M819" i="18"/>
  <c r="M820" i="18"/>
  <c r="M821" i="18"/>
  <c r="M822" i="18"/>
  <c r="M823" i="18"/>
  <c r="M824" i="18"/>
  <c r="M825" i="18"/>
  <c r="M826" i="18"/>
  <c r="M827" i="18"/>
  <c r="M828" i="18"/>
  <c r="M829" i="18"/>
  <c r="M830" i="18"/>
  <c r="M831" i="18"/>
  <c r="M832" i="18"/>
  <c r="M833" i="18"/>
  <c r="M834" i="18"/>
  <c r="M835" i="18"/>
  <c r="M836" i="18"/>
  <c r="M837" i="18"/>
  <c r="M838" i="18"/>
  <c r="M839" i="18"/>
  <c r="M840" i="18"/>
  <c r="M841" i="18"/>
  <c r="M842" i="18"/>
  <c r="M843" i="18"/>
  <c r="M844" i="18"/>
  <c r="M845" i="18"/>
  <c r="M846" i="18"/>
  <c r="M847" i="18"/>
  <c r="M848" i="18"/>
  <c r="M849" i="18"/>
  <c r="M850" i="18"/>
  <c r="M851" i="18"/>
  <c r="N2" i="18" a="1"/>
  <c r="N2" i="18"/>
  <c r="N3" i="18" a="1"/>
  <c r="N3" i="18" s="1"/>
  <c r="N4" i="18" a="1"/>
  <c r="N4" i="18"/>
  <c r="N5" i="18" a="1"/>
  <c r="N5" i="18" s="1"/>
  <c r="N6" i="18" a="1"/>
  <c r="N6" i="18"/>
  <c r="N7" i="18" a="1"/>
  <c r="N7" i="18" s="1"/>
  <c r="N8" i="18" a="1"/>
  <c r="N8" i="18"/>
  <c r="N9" i="18" a="1"/>
  <c r="N9" i="18" s="1"/>
  <c r="N10" i="18" a="1"/>
  <c r="N10" i="18"/>
  <c r="N11" i="18" a="1"/>
  <c r="N11" i="18" s="1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 s="1"/>
  <c r="N18" i="18" a="1"/>
  <c r="N18" i="18"/>
  <c r="N19" i="18" a="1"/>
  <c r="N19" i="18"/>
  <c r="N20" i="18" a="1"/>
  <c r="N20" i="18"/>
  <c r="N21" i="18" a="1"/>
  <c r="N21" i="18"/>
  <c r="N22" i="18" a="1"/>
  <c r="N22" i="18"/>
  <c r="N23" i="18" a="1"/>
  <c r="N23" i="18"/>
  <c r="N24" i="18" a="1"/>
  <c r="N24" i="18"/>
  <c r="N25" i="18" a="1"/>
  <c r="N25" i="18"/>
  <c r="N26" i="18" a="1"/>
  <c r="N26" i="18"/>
  <c r="N27" i="18" a="1"/>
  <c r="N27" i="18"/>
  <c r="N28" i="18" a="1"/>
  <c r="N28" i="18"/>
  <c r="N29" i="18" a="1"/>
  <c r="N29" i="18"/>
  <c r="N30" i="18" a="1"/>
  <c r="N30" i="18"/>
  <c r="N31" i="18" a="1"/>
  <c r="N31" i="18"/>
  <c r="N32" i="18" a="1"/>
  <c r="N32" i="18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/>
  <c r="N51" i="18" a="1"/>
  <c r="N51" i="18" s="1"/>
  <c r="N52" i="18" a="1"/>
  <c r="N52" i="18"/>
  <c r="N53" i="18" a="1"/>
  <c r="N53" i="18" s="1"/>
  <c r="N54" i="18" a="1"/>
  <c r="N54" i="18"/>
  <c r="N55" i="18" a="1"/>
  <c r="N55" i="18" s="1"/>
  <c r="N56" i="18" a="1"/>
  <c r="N56" i="18"/>
  <c r="N57" i="18" a="1"/>
  <c r="N57" i="18" s="1"/>
  <c r="N58" i="18" a="1"/>
  <c r="N58" i="18"/>
  <c r="N59" i="18" a="1"/>
  <c r="N59" i="18" s="1"/>
  <c r="N60" i="18" a="1"/>
  <c r="N60" i="18" s="1"/>
  <c r="N61" i="18" a="1"/>
  <c r="N61" i="18" s="1"/>
  <c r="N62" i="18" a="1"/>
  <c r="N62" i="18"/>
  <c r="N63" i="18" a="1"/>
  <c r="N63" i="18" s="1"/>
  <c r="N64" i="18" a="1"/>
  <c r="N64" i="18"/>
  <c r="N65" i="18" a="1"/>
  <c r="N65" i="18" s="1"/>
  <c r="N66" i="18" a="1"/>
  <c r="N66" i="18"/>
  <c r="N67" i="18" a="1"/>
  <c r="N67" i="18" s="1"/>
  <c r="N68" i="18" a="1"/>
  <c r="N68" i="18"/>
  <c r="N69" i="18" a="1"/>
  <c r="N69" i="18" s="1"/>
  <c r="N70" i="18" a="1"/>
  <c r="N70" i="18"/>
  <c r="N71" i="18" a="1"/>
  <c r="N71" i="18" s="1"/>
  <c r="N72" i="18" a="1"/>
  <c r="N72" i="18" s="1"/>
  <c r="N73" i="18" a="1"/>
  <c r="N73" i="18" s="1"/>
  <c r="N74" i="18" a="1"/>
  <c r="N74" i="18"/>
  <c r="N75" i="18" a="1"/>
  <c r="N75" i="18" s="1"/>
  <c r="N76" i="18" a="1"/>
  <c r="N76" i="18"/>
  <c r="N77" i="18" a="1"/>
  <c r="N77" i="18" s="1"/>
  <c r="N78" i="18" a="1"/>
  <c r="N78" i="18"/>
  <c r="N79" i="18" a="1"/>
  <c r="N79" i="18" s="1"/>
  <c r="N80" i="18" a="1"/>
  <c r="N80" i="18"/>
  <c r="N81" i="18" a="1"/>
  <c r="N81" i="18" s="1"/>
  <c r="N82" i="18" a="1"/>
  <c r="N82" i="18"/>
  <c r="N83" i="18" a="1"/>
  <c r="N83" i="18" s="1"/>
  <c r="N84" i="18" a="1"/>
  <c r="N84" i="18"/>
  <c r="N85" i="18" a="1"/>
  <c r="N85" i="18" s="1"/>
  <c r="N86" i="18" a="1"/>
  <c r="N86" i="18" s="1"/>
  <c r="N87" i="18" a="1"/>
  <c r="N87" i="18" s="1"/>
  <c r="N88" i="18" a="1"/>
  <c r="N88" i="18"/>
  <c r="N89" i="18" a="1"/>
  <c r="N89" i="18" s="1"/>
  <c r="N90" i="18" a="1"/>
  <c r="N90" i="18"/>
  <c r="N91" i="18" a="1"/>
  <c r="N91" i="18" s="1"/>
  <c r="N92" i="18" a="1"/>
  <c r="N92" i="18"/>
  <c r="N93" i="18" a="1"/>
  <c r="N93" i="18" s="1"/>
  <c r="N94" i="18" a="1"/>
  <c r="N94" i="18"/>
  <c r="N95" i="18" a="1"/>
  <c r="N95" i="18" s="1"/>
  <c r="N96" i="18" a="1"/>
  <c r="N96" i="18"/>
  <c r="N97" i="18" a="1"/>
  <c r="N97" i="18" s="1"/>
  <c r="N98" i="18" a="1"/>
  <c r="N98" i="18" s="1"/>
  <c r="N99" i="18" a="1"/>
  <c r="N99" i="18" s="1"/>
  <c r="N100" i="18" a="1"/>
  <c r="N100" i="18"/>
  <c r="N101" i="18" a="1"/>
  <c r="N101" i="18" s="1"/>
  <c r="N102" i="18" a="1"/>
  <c r="N102" i="18"/>
  <c r="N103" i="18" a="1"/>
  <c r="N103" i="18" s="1"/>
  <c r="N104" i="18" a="1"/>
  <c r="N104" i="18"/>
  <c r="N105" i="18" a="1"/>
  <c r="N105" i="18" s="1"/>
  <c r="N106" i="18" a="1"/>
  <c r="N106" i="18"/>
  <c r="N107" i="18" a="1"/>
  <c r="N107" i="18" s="1"/>
  <c r="N108" i="18" a="1"/>
  <c r="N108" i="18" s="1"/>
  <c r="N109" i="18" a="1"/>
  <c r="N109" i="18"/>
  <c r="N110" i="18" a="1"/>
  <c r="N110" i="18" s="1"/>
  <c r="N111" i="18" a="1"/>
  <c r="N111" i="18"/>
  <c r="N112" i="18" a="1"/>
  <c r="N112" i="18" s="1"/>
  <c r="N113" i="18" a="1"/>
  <c r="N113" i="18"/>
  <c r="N114" i="18" a="1"/>
  <c r="N114" i="18" s="1"/>
  <c r="N115" i="18" a="1"/>
  <c r="N115" i="18"/>
  <c r="N116" i="18" a="1"/>
  <c r="N116" i="18" s="1"/>
  <c r="N117" i="18" a="1"/>
  <c r="N117" i="18"/>
  <c r="N118" i="18" a="1"/>
  <c r="N118" i="18" s="1"/>
  <c r="N119" i="18" a="1"/>
  <c r="N119" i="18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/>
  <c r="N132" i="18" a="1"/>
  <c r="N132" i="18" s="1"/>
  <c r="N133" i="18" a="1"/>
  <c r="N133" i="18" s="1"/>
  <c r="N134" i="18" a="1"/>
  <c r="N134" i="18"/>
  <c r="N135" i="18" a="1"/>
  <c r="N135" i="18" s="1"/>
  <c r="N136" i="18" a="1"/>
  <c r="N136" i="18"/>
  <c r="N137" i="18" a="1"/>
  <c r="N137" i="18" s="1"/>
  <c r="N138" i="18" a="1"/>
  <c r="N138" i="18"/>
  <c r="N139" i="18" a="1"/>
  <c r="N139" i="18" s="1"/>
  <c r="N140" i="18" a="1"/>
  <c r="N140" i="18"/>
  <c r="N141" i="18" a="1"/>
  <c r="N141" i="18" s="1"/>
  <c r="N142" i="18" a="1"/>
  <c r="N142" i="18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/>
  <c r="N153" i="18" a="1"/>
  <c r="N153" i="18" s="1"/>
  <c r="N154" i="18" a="1"/>
  <c r="N154" i="18" s="1"/>
  <c r="N155" i="18" a="1"/>
  <c r="N155" i="18"/>
  <c r="N156" i="18" a="1"/>
  <c r="N156" i="18" s="1"/>
  <c r="N157" i="18" a="1"/>
  <c r="N157" i="18"/>
  <c r="N158" i="18" a="1"/>
  <c r="N158" i="18" s="1"/>
  <c r="N159" i="18" a="1"/>
  <c r="N159" i="18"/>
  <c r="N160" i="18" a="1"/>
  <c r="N160" i="18" s="1"/>
  <c r="N161" i="18" a="1"/>
  <c r="N161" i="18"/>
  <c r="N162" i="18" a="1"/>
  <c r="N162" i="18" s="1"/>
  <c r="N163" i="18" a="1"/>
  <c r="N163" i="18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/>
  <c r="N177" i="18" a="1"/>
  <c r="N177" i="18" s="1"/>
  <c r="N178" i="18" a="1"/>
  <c r="N178" i="18"/>
  <c r="N179" i="18" a="1"/>
  <c r="N179" i="18" s="1"/>
  <c r="N180" i="18" a="1"/>
  <c r="N180" i="18"/>
  <c r="N181" i="18" a="1"/>
  <c r="N181" i="18" s="1"/>
  <c r="N182" i="18" a="1"/>
  <c r="N182" i="18"/>
  <c r="N183" i="18" a="1"/>
  <c r="N183" i="18" s="1"/>
  <c r="N184" i="18" a="1"/>
  <c r="N184" i="18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/>
  <c r="N200" i="18" a="1"/>
  <c r="N200" i="18" s="1"/>
  <c r="N201" i="18" a="1"/>
  <c r="N201" i="18"/>
  <c r="N202" i="18" a="1"/>
  <c r="N202" i="18" s="1"/>
  <c r="N203" i="18" a="1"/>
  <c r="N203" i="18"/>
  <c r="N204" i="18" a="1"/>
  <c r="N204" i="18" s="1"/>
  <c r="N205" i="18" a="1"/>
  <c r="N205" i="18"/>
  <c r="N206" i="18" a="1"/>
  <c r="N206" i="18" s="1"/>
  <c r="N207" i="18" a="1"/>
  <c r="N207" i="18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/>
  <c r="N221" i="18" a="1"/>
  <c r="N221" i="18" s="1"/>
  <c r="N222" i="18" a="1"/>
  <c r="N222" i="18"/>
  <c r="N223" i="18" a="1"/>
  <c r="N223" i="18" s="1"/>
  <c r="N224" i="18" a="1"/>
  <c r="N224" i="18"/>
  <c r="N225" i="18" a="1"/>
  <c r="N225" i="18" s="1"/>
  <c r="N226" i="18" a="1"/>
  <c r="N226" i="18"/>
  <c r="N227" i="18" a="1"/>
  <c r="N227" i="18" s="1"/>
  <c r="N228" i="18" a="1"/>
  <c r="N228" i="18"/>
  <c r="N229" i="18" a="1"/>
  <c r="N229" i="18" s="1"/>
  <c r="N230" i="18" a="1"/>
  <c r="N230" i="18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/>
  <c r="N244" i="18" a="1"/>
  <c r="N244" i="18" s="1"/>
  <c r="N245" i="18" a="1"/>
  <c r="N245" i="18"/>
  <c r="N246" i="18" a="1"/>
  <c r="N246" i="18" s="1"/>
  <c r="N247" i="18" a="1"/>
  <c r="N247" i="18"/>
  <c r="N248" i="18" a="1"/>
  <c r="N248" i="18" s="1"/>
  <c r="N249" i="18" a="1"/>
  <c r="N249" i="18"/>
  <c r="N250" i="18" a="1"/>
  <c r="N250" i="18" s="1"/>
  <c r="N251" i="18" a="1"/>
  <c r="N251" i="18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/>
  <c r="N265" i="18" a="1"/>
  <c r="N265" i="18" s="1"/>
  <c r="N266" i="18" a="1"/>
  <c r="N266" i="18"/>
  <c r="N267" i="18" a="1"/>
  <c r="N267" i="18" s="1"/>
  <c r="N268" i="18" a="1"/>
  <c r="N268" i="18"/>
  <c r="N269" i="18" a="1"/>
  <c r="N269" i="18" s="1"/>
  <c r="N270" i="18" a="1"/>
  <c r="N270" i="18"/>
  <c r="N271" i="18" a="1"/>
  <c r="N271" i="18" s="1"/>
  <c r="N272" i="18" a="1"/>
  <c r="N272" i="18"/>
  <c r="N273" i="18" a="1"/>
  <c r="N273" i="18" s="1"/>
  <c r="N274" i="18" a="1"/>
  <c r="N274" i="18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/>
  <c r="N288" i="18" a="1"/>
  <c r="N288" i="18" s="1"/>
  <c r="N289" i="18" a="1"/>
  <c r="N289" i="18"/>
  <c r="N290" i="18" a="1"/>
  <c r="N290" i="18" s="1"/>
  <c r="N291" i="18" a="1"/>
  <c r="N291" i="18"/>
  <c r="N292" i="18" a="1"/>
  <c r="N292" i="18" s="1"/>
  <c r="N293" i="18" a="1"/>
  <c r="N293" i="18"/>
  <c r="N294" i="18" a="1"/>
  <c r="N294" i="18" s="1"/>
  <c r="N295" i="18" a="1"/>
  <c r="N295" i="18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/>
  <c r="N309" i="18" a="1"/>
  <c r="N309" i="18" s="1"/>
  <c r="N310" i="18" a="1"/>
  <c r="N310" i="18"/>
  <c r="N311" i="18" a="1"/>
  <c r="N311" i="18" s="1"/>
  <c r="N312" i="18" a="1"/>
  <c r="N312" i="18"/>
  <c r="N313" i="18" a="1"/>
  <c r="N313" i="18" s="1"/>
  <c r="N314" i="18" a="1"/>
  <c r="N314" i="18"/>
  <c r="N315" i="18" a="1"/>
  <c r="N315" i="18" s="1"/>
  <c r="N316" i="18" a="1"/>
  <c r="N316" i="18"/>
  <c r="N317" i="18" a="1"/>
  <c r="N317" i="18" s="1"/>
  <c r="N318" i="18" a="1"/>
  <c r="N318" i="18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/>
  <c r="N328" i="18" a="1"/>
  <c r="N328" i="18" s="1"/>
  <c r="N329" i="18" a="1"/>
  <c r="N329" i="18" s="1"/>
  <c r="N330" i="18" a="1"/>
  <c r="N330" i="18" s="1"/>
  <c r="N331" i="18" a="1"/>
  <c r="N331" i="18"/>
  <c r="N332" i="18" a="1"/>
  <c r="N332" i="18" s="1"/>
  <c r="N333" i="18" a="1"/>
  <c r="N333" i="18"/>
  <c r="N334" i="18" a="1"/>
  <c r="N334" i="18" s="1"/>
  <c r="N335" i="18" a="1"/>
  <c r="N335" i="18"/>
  <c r="N336" i="18" a="1"/>
  <c r="N336" i="18" s="1"/>
  <c r="N337" i="18" a="1"/>
  <c r="N337" i="18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/>
  <c r="N343" i="18" a="1"/>
  <c r="N343" i="18" s="1"/>
  <c r="N344" i="18" a="1"/>
  <c r="N344" i="18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/>
  <c r="N351" i="18" a="1"/>
  <c r="N351" i="18" s="1"/>
  <c r="N352" i="18" a="1"/>
  <c r="N352" i="18"/>
  <c r="N353" i="18" a="1"/>
  <c r="N353" i="18" s="1"/>
  <c r="N354" i="18" a="1"/>
  <c r="N354" i="18"/>
  <c r="N355" i="18" a="1"/>
  <c r="N355" i="18" s="1"/>
  <c r="N356" i="18" a="1"/>
  <c r="N356" i="18"/>
  <c r="N357" i="18" a="1"/>
  <c r="N357" i="18" s="1"/>
  <c r="N358" i="18" a="1"/>
  <c r="N358" i="18"/>
  <c r="N359" i="18" a="1"/>
  <c r="N359" i="18" s="1"/>
  <c r="N360" i="18" a="1"/>
  <c r="N360" i="18"/>
  <c r="N361" i="18" a="1"/>
  <c r="N361" i="18" s="1"/>
  <c r="N362" i="18" a="1"/>
  <c r="N362" i="18" s="1"/>
  <c r="N363" i="18" a="1"/>
  <c r="N363" i="18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/>
  <c r="N370" i="18" a="1"/>
  <c r="N370" i="18" s="1"/>
  <c r="N371" i="18" a="1"/>
  <c r="N371" i="18"/>
  <c r="N372" i="18" a="1"/>
  <c r="N372" i="18" s="1"/>
  <c r="N373" i="18" a="1"/>
  <c r="N373" i="18" s="1"/>
  <c r="N374" i="18" a="1"/>
  <c r="N374" i="18" s="1"/>
  <c r="N375" i="18" a="1"/>
  <c r="N375" i="18"/>
  <c r="N376" i="18" a="1"/>
  <c r="N376" i="18" s="1"/>
  <c r="N377" i="18" a="1"/>
  <c r="N377" i="18"/>
  <c r="N378" i="18" a="1"/>
  <c r="N378" i="18" s="1"/>
  <c r="N379" i="18" a="1"/>
  <c r="N379" i="18"/>
  <c r="N380" i="18" a="1"/>
  <c r="N380" i="18" s="1"/>
  <c r="N381" i="18" a="1"/>
  <c r="N381" i="18"/>
  <c r="N382" i="18" a="1"/>
  <c r="N382" i="18" s="1"/>
  <c r="N383" i="18" a="1"/>
  <c r="N383" i="18"/>
  <c r="N384" i="18" a="1"/>
  <c r="N384" i="18" s="1"/>
  <c r="N385" i="18" a="1"/>
  <c r="N385" i="18" s="1"/>
  <c r="N386" i="18" a="1"/>
  <c r="N386" i="18"/>
  <c r="N387" i="18" a="1"/>
  <c r="N387" i="18" s="1"/>
  <c r="N388" i="18" a="1"/>
  <c r="N388" i="18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/>
  <c r="N395" i="18" a="1"/>
  <c r="N395" i="18" s="1"/>
  <c r="N396" i="18" a="1"/>
  <c r="N396" i="18"/>
  <c r="N397" i="18" a="1"/>
  <c r="N397" i="18" s="1"/>
  <c r="N398" i="18" a="1"/>
  <c r="N398" i="18"/>
  <c r="N399" i="18" a="1"/>
  <c r="N399" i="18" s="1"/>
  <c r="N400" i="18" a="1"/>
  <c r="N400" i="18"/>
  <c r="N401" i="18" a="1"/>
  <c r="N401" i="18" s="1"/>
  <c r="N402" i="18" a="1"/>
  <c r="N402" i="18"/>
  <c r="N403" i="18" a="1"/>
  <c r="N403" i="18" s="1"/>
  <c r="N404" i="18" a="1"/>
  <c r="N404" i="18"/>
  <c r="N405" i="18" a="1"/>
  <c r="N405" i="18" s="1"/>
  <c r="N406" i="18" a="1"/>
  <c r="N406" i="18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/>
  <c r="N414" i="18" a="1"/>
  <c r="N414" i="18" s="1"/>
  <c r="N415" i="18" a="1"/>
  <c r="N415" i="18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/>
  <c r="N422" i="18" a="1"/>
  <c r="N422" i="18" s="1"/>
  <c r="N423" i="18" a="1"/>
  <c r="N423" i="18"/>
  <c r="N424" i="18" a="1"/>
  <c r="N424" i="18" s="1"/>
  <c r="N425" i="18" a="1"/>
  <c r="N425" i="18"/>
  <c r="N426" i="18" a="1"/>
  <c r="N426" i="18" s="1"/>
  <c r="N427" i="18" a="1"/>
  <c r="N427" i="18"/>
  <c r="N428" i="18" a="1"/>
  <c r="N428" i="18" s="1"/>
  <c r="N429" i="18" a="1"/>
  <c r="N429" i="18"/>
  <c r="N430" i="18" a="1"/>
  <c r="N430" i="18" s="1"/>
  <c r="N431" i="18" a="1"/>
  <c r="N431" i="18" s="1"/>
  <c r="N432" i="18" a="1"/>
  <c r="N432" i="18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/>
  <c r="N441" i="18" a="1"/>
  <c r="N441" i="18" s="1"/>
  <c r="N442" i="18" a="1"/>
  <c r="N442" i="18"/>
  <c r="N443" i="18" a="1"/>
  <c r="N443" i="18" s="1"/>
  <c r="N444" i="18" a="1"/>
  <c r="N444" i="18"/>
  <c r="N445" i="18" a="1"/>
  <c r="N445" i="18"/>
  <c r="N446" i="18" a="1"/>
  <c r="N446" i="18" s="1"/>
  <c r="N447" i="18" a="1"/>
  <c r="N447" i="18"/>
  <c r="N448" i="18" a="1"/>
  <c r="N448" i="18" s="1"/>
  <c r="N449" i="18" a="1"/>
  <c r="N449" i="18"/>
  <c r="N450" i="18" a="1"/>
  <c r="N450" i="18" s="1"/>
  <c r="N451" i="18" a="1"/>
  <c r="N451" i="18"/>
  <c r="N452" i="18" a="1"/>
  <c r="N452" i="18" s="1"/>
  <c r="N453" i="18" a="1"/>
  <c r="N453" i="18" s="1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/>
  <c r="N464" i="18" a="1"/>
  <c r="N464" i="18" s="1"/>
  <c r="N465" i="18" a="1"/>
  <c r="N465" i="18"/>
  <c r="N466" i="18" a="1"/>
  <c r="N466" i="18" s="1"/>
  <c r="N467" i="18" a="1"/>
  <c r="N467" i="18" s="1"/>
  <c r="N468" i="18" a="1"/>
  <c r="N468" i="18"/>
  <c r="N469" i="18" a="1"/>
  <c r="N469" i="18" s="1"/>
  <c r="N470" i="18" a="1"/>
  <c r="N470" i="18"/>
  <c r="N471" i="18" a="1"/>
  <c r="N471" i="18" s="1"/>
  <c r="N472" i="18" a="1"/>
  <c r="N472" i="18"/>
  <c r="N473" i="18" a="1"/>
  <c r="N473" i="18" s="1"/>
  <c r="N474" i="18" a="1"/>
  <c r="N474" i="18"/>
  <c r="N475" i="18" a="1"/>
  <c r="N475" i="18" s="1"/>
  <c r="N476" i="18" a="1"/>
  <c r="N476" i="18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 s="1"/>
  <c r="N485" i="18" a="1"/>
  <c r="N485" i="18" s="1"/>
  <c r="N486" i="18" a="1"/>
  <c r="N486" i="18"/>
  <c r="N487" i="18" a="1"/>
  <c r="N487" i="18" s="1"/>
  <c r="N488" i="18" a="1"/>
  <c r="N488" i="18"/>
  <c r="N489" i="18" a="1"/>
  <c r="N489" i="18" s="1"/>
  <c r="N490" i="18" a="1"/>
  <c r="N490" i="18"/>
  <c r="N491" i="18" a="1"/>
  <c r="N491" i="18" s="1"/>
  <c r="N492" i="18" a="1"/>
  <c r="N492" i="18" s="1"/>
  <c r="N493" i="18" a="1"/>
  <c r="N493" i="18"/>
  <c r="N494" i="18" a="1"/>
  <c r="N494" i="18" s="1"/>
  <c r="N495" i="18" a="1"/>
  <c r="N495" i="18"/>
  <c r="N496" i="18" a="1"/>
  <c r="N496" i="18" s="1"/>
  <c r="N497" i="18" a="1"/>
  <c r="N497" i="18"/>
  <c r="N498" i="18" a="1"/>
  <c r="N498" i="18" s="1"/>
  <c r="N499" i="18" a="1"/>
  <c r="N499" i="18"/>
  <c r="N500" i="18" a="1"/>
  <c r="N500" i="18" s="1"/>
  <c r="N501" i="18" a="1"/>
  <c r="N501" i="18"/>
  <c r="N502" i="18" a="1"/>
  <c r="N502" i="18" s="1"/>
  <c r="N503" i="18" a="1"/>
  <c r="N503" i="18" s="1"/>
  <c r="N504" i="18" a="1"/>
  <c r="N504" i="18" s="1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 s="1"/>
  <c r="N513" i="18" a="1"/>
  <c r="N513" i="18"/>
  <c r="N514" i="18" a="1"/>
  <c r="N514" i="18" s="1"/>
  <c r="N515" i="18" a="1"/>
  <c r="N515" i="18" s="1"/>
  <c r="N516" i="18" a="1"/>
  <c r="N516" i="18"/>
  <c r="N517" i="18" a="1"/>
  <c r="N517" i="18" s="1"/>
  <c r="N518" i="18" a="1"/>
  <c r="N518" i="18"/>
  <c r="N519" i="18" a="1"/>
  <c r="N519" i="18" s="1"/>
  <c r="N520" i="18" a="1"/>
  <c r="N520" i="18"/>
  <c r="N521" i="18" a="1"/>
  <c r="N521" i="18" s="1"/>
  <c r="N522" i="18" a="1"/>
  <c r="N522" i="18"/>
  <c r="N523" i="18" a="1"/>
  <c r="N523" i="18" s="1"/>
  <c r="N524" i="18" a="1"/>
  <c r="N524" i="18"/>
  <c r="N525" i="18" a="1"/>
  <c r="N525" i="18" s="1"/>
  <c r="N526" i="18" a="1"/>
  <c r="N526" i="18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 s="1"/>
  <c r="N535" i="18" a="1"/>
  <c r="N535" i="18" s="1"/>
  <c r="N536" i="18" a="1"/>
  <c r="N536" i="18" s="1"/>
  <c r="N537" i="18" a="1"/>
  <c r="N537" i="18" s="1"/>
  <c r="N538" i="18" a="1"/>
  <c r="N538" i="18"/>
  <c r="N539" i="18" a="1"/>
  <c r="N539" i="18" s="1"/>
  <c r="N540" i="18" a="1"/>
  <c r="N540" i="18" s="1"/>
  <c r="N541" i="18" a="1"/>
  <c r="N541" i="18"/>
  <c r="N542" i="18" a="1"/>
  <c r="N542" i="18" s="1"/>
  <c r="N543" i="18" a="1"/>
  <c r="N543" i="18"/>
  <c r="N544" i="18" a="1"/>
  <c r="N544" i="18" s="1"/>
  <c r="N545" i="18" a="1"/>
  <c r="N545" i="18"/>
  <c r="N546" i="18" a="1"/>
  <c r="N546" i="18" s="1"/>
  <c r="N547" i="18" a="1"/>
  <c r="N547" i="18"/>
  <c r="N548" i="18" a="1"/>
  <c r="N548" i="18" s="1"/>
  <c r="N549" i="18" a="1"/>
  <c r="N549" i="18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 s="1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 s="1"/>
  <c r="N564" i="18" a="1"/>
  <c r="N564" i="18"/>
  <c r="N565" i="18" a="1"/>
  <c r="N565" i="18" s="1"/>
  <c r="N566" i="18" a="1"/>
  <c r="N566" i="18"/>
  <c r="N567" i="18" a="1"/>
  <c r="N567" i="18" s="1"/>
  <c r="N568" i="18" a="1"/>
  <c r="N568" i="18"/>
  <c r="N569" i="18" a="1"/>
  <c r="N569" i="18" s="1"/>
  <c r="N570" i="18" a="1"/>
  <c r="N570" i="18"/>
  <c r="N571" i="18" a="1"/>
  <c r="N571" i="18" s="1"/>
  <c r="N572" i="18" a="1"/>
  <c r="N572" i="18"/>
  <c r="N573" i="18" a="1"/>
  <c r="N573" i="18" s="1"/>
  <c r="N574" i="18" a="1"/>
  <c r="N574" i="18"/>
  <c r="N575" i="18" a="1"/>
  <c r="N575" i="18" s="1"/>
  <c r="N576" i="18" a="1"/>
  <c r="N576" i="18" s="1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 s="1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/>
  <c r="N590" i="18" a="1"/>
  <c r="N590" i="18" s="1"/>
  <c r="N591" i="18" a="1"/>
  <c r="N591" i="18"/>
  <c r="N592" i="18" a="1"/>
  <c r="N592" i="18" s="1"/>
  <c r="N593" i="18" a="1"/>
  <c r="N593" i="18"/>
  <c r="N594" i="18" a="1"/>
  <c r="N594" i="18" s="1"/>
  <c r="N595" i="18" a="1"/>
  <c r="N595" i="18"/>
  <c r="N596" i="18" a="1"/>
  <c r="N596" i="18" s="1"/>
  <c r="N597" i="18" a="1"/>
  <c r="N597" i="18"/>
  <c r="N598" i="18" a="1"/>
  <c r="N598" i="18" s="1"/>
  <c r="N599" i="18" a="1"/>
  <c r="N599" i="18" s="1"/>
  <c r="N600" i="18" a="1"/>
  <c r="N600" i="18" s="1"/>
  <c r="N601" i="18" a="1"/>
  <c r="N601" i="18" s="1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 s="1"/>
  <c r="N610" i="18" a="1"/>
  <c r="N610" i="18"/>
  <c r="N611" i="18" a="1"/>
  <c r="N611" i="18" s="1"/>
  <c r="N612" i="18" a="1"/>
  <c r="N612" i="18"/>
  <c r="N613" i="18" a="1"/>
  <c r="N613" i="18" s="1"/>
  <c r="N614" i="18" a="1"/>
  <c r="N614" i="18"/>
  <c r="N615" i="18" a="1"/>
  <c r="N615" i="18" s="1"/>
  <c r="N616" i="18" a="1"/>
  <c r="N616" i="18"/>
  <c r="N617" i="18" a="1"/>
  <c r="N617" i="18" s="1"/>
  <c r="N618" i="18" a="1"/>
  <c r="N618" i="18"/>
  <c r="N619" i="18" a="1"/>
  <c r="N619" i="18" s="1"/>
  <c r="N620" i="18" a="1"/>
  <c r="N620" i="18"/>
  <c r="N621" i="18" a="1"/>
  <c r="N621" i="18" s="1"/>
  <c r="N622" i="18" a="1"/>
  <c r="N622" i="18" s="1"/>
  <c r="N623" i="18" a="1"/>
  <c r="N623" i="18" s="1"/>
  <c r="N624" i="18" a="1"/>
  <c r="N624" i="18" s="1"/>
  <c r="N625" i="18" a="1"/>
  <c r="N625" i="18" s="1"/>
  <c r="N626" i="18" a="1"/>
  <c r="N626" i="18" s="1"/>
  <c r="N627" i="18" a="1"/>
  <c r="N627" i="18" s="1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 s="1"/>
  <c r="N634" i="18" a="1"/>
  <c r="N634" i="18" s="1"/>
  <c r="N635" i="18" a="1"/>
  <c r="N635" i="18"/>
  <c r="N636" i="18" a="1"/>
  <c r="N636" i="18" s="1"/>
  <c r="N637" i="18" a="1"/>
  <c r="N637" i="18"/>
  <c r="N638" i="18" a="1"/>
  <c r="N638" i="18" s="1"/>
  <c r="N639" i="18" a="1"/>
  <c r="N639" i="18"/>
  <c r="N640" i="18" a="1"/>
  <c r="N640" i="18" s="1"/>
  <c r="N641" i="18" a="1"/>
  <c r="N641" i="18"/>
  <c r="N642" i="18" a="1"/>
  <c r="N642" i="18" s="1"/>
  <c r="N643" i="18" a="1"/>
  <c r="N643" i="18"/>
  <c r="N644" i="18" a="1"/>
  <c r="N644" i="18" s="1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N652" i="18" a="1"/>
  <c r="N652" i="18" s="1"/>
  <c r="N653" i="18" a="1"/>
  <c r="N653" i="18" s="1"/>
  <c r="N654" i="18" a="1"/>
  <c r="N654" i="18" s="1"/>
  <c r="N655" i="18" a="1"/>
  <c r="N655" i="18" s="1"/>
  <c r="N656" i="18" a="1"/>
  <c r="N656" i="18" s="1"/>
  <c r="N657" i="18" a="1"/>
  <c r="N657" i="18" s="1"/>
  <c r="N658" i="18" a="1"/>
  <c r="N658" i="18"/>
  <c r="N659" i="18" a="1"/>
  <c r="N659" i="18" s="1"/>
  <c r="N660" i="18" a="1"/>
  <c r="N660" i="18"/>
  <c r="N661" i="18" a="1"/>
  <c r="N661" i="18" s="1"/>
  <c r="N662" i="18" a="1"/>
  <c r="N662" i="18"/>
  <c r="N663" i="18" a="1"/>
  <c r="N663" i="18" s="1"/>
  <c r="N664" i="18" a="1"/>
  <c r="N664" i="18"/>
  <c r="N665" i="18" a="1"/>
  <c r="N665" i="18" s="1"/>
  <c r="N666" i="18" a="1"/>
  <c r="N666" i="18"/>
  <c r="N667" i="18" a="1"/>
  <c r="N667" i="18" s="1"/>
  <c r="N668" i="18" a="1"/>
  <c r="N668" i="18" s="1"/>
  <c r="N669" i="18" a="1"/>
  <c r="N669" i="18" s="1"/>
  <c r="N670" i="18" a="1"/>
  <c r="N670" i="18" s="1"/>
  <c r="N671" i="18" a="1"/>
  <c r="N671" i="18" s="1"/>
  <c r="N672" i="18" a="1"/>
  <c r="N672" i="18" s="1"/>
  <c r="N673" i="18" a="1"/>
  <c r="N673" i="18" s="1"/>
  <c r="N674" i="18" a="1"/>
  <c r="N674" i="18" s="1"/>
  <c r="N675" i="18" a="1"/>
  <c r="N675" i="18" s="1"/>
  <c r="N676" i="18" a="1"/>
  <c r="N676" i="18" s="1"/>
  <c r="N677" i="18" a="1"/>
  <c r="N677" i="18" s="1"/>
  <c r="N678" i="18" a="1"/>
  <c r="N678" i="18" s="1"/>
  <c r="N679" i="18" a="1"/>
  <c r="N679" i="18"/>
  <c r="N680" i="18" a="1"/>
  <c r="N680" i="18" s="1"/>
  <c r="N681" i="18" a="1"/>
  <c r="N681" i="18"/>
  <c r="N682" i="18" a="1"/>
  <c r="N682" i="18" s="1"/>
  <c r="N683" i="18" a="1"/>
  <c r="N683" i="18"/>
  <c r="N684" i="18" a="1"/>
  <c r="N684" i="18" s="1"/>
  <c r="N685" i="18" a="1"/>
  <c r="N685" i="18"/>
  <c r="N686" i="18" a="1"/>
  <c r="N686" i="18" s="1"/>
  <c r="N687" i="18" a="1"/>
  <c r="N687" i="18"/>
  <c r="N688" i="18" a="1"/>
  <c r="N688" i="18" s="1"/>
  <c r="N689" i="18" a="1"/>
  <c r="N689" i="18" s="1"/>
  <c r="N690" i="18" a="1"/>
  <c r="N690" i="18" s="1"/>
  <c r="N691" i="18" a="1"/>
  <c r="N691" i="18" s="1"/>
  <c r="N692" i="18" a="1"/>
  <c r="N692" i="18" s="1"/>
  <c r="N693" i="18" a="1"/>
  <c r="N693" i="18" s="1"/>
  <c r="N694" i="18" a="1"/>
  <c r="N694" i="18" s="1"/>
  <c r="N695" i="18" a="1"/>
  <c r="N695" i="18" s="1"/>
  <c r="N696" i="18" a="1"/>
  <c r="N696" i="18" s="1"/>
  <c r="N697" i="18" a="1"/>
  <c r="N697" i="18" s="1"/>
  <c r="N698" i="18" a="1"/>
  <c r="N698" i="18" s="1"/>
  <c r="N699" i="18" a="1"/>
  <c r="N699" i="18" s="1"/>
  <c r="N700" i="18" a="1"/>
  <c r="N700" i="18" s="1"/>
  <c r="N701" i="18" a="1"/>
  <c r="N701" i="18" s="1"/>
  <c r="N702" i="18" a="1"/>
  <c r="N702" i="18"/>
  <c r="N703" i="18" a="1"/>
  <c r="N703" i="18" s="1"/>
  <c r="N704" i="18" a="1"/>
  <c r="N704" i="18"/>
  <c r="N705" i="18" a="1"/>
  <c r="N705" i="18" s="1"/>
  <c r="N706" i="18" a="1"/>
  <c r="N706" i="18"/>
  <c r="N707" i="18" a="1"/>
  <c r="N707" i="18" s="1"/>
  <c r="N708" i="18" a="1"/>
  <c r="N708" i="18"/>
  <c r="N709" i="18" a="1"/>
  <c r="N709" i="18" s="1"/>
  <c r="N710" i="18" a="1"/>
  <c r="N710" i="18"/>
  <c r="N711" i="18" a="1"/>
  <c r="N711" i="18" s="1"/>
  <c r="N712" i="18" a="1"/>
  <c r="N712" i="18"/>
  <c r="N713" i="18" a="1"/>
  <c r="N713" i="18" s="1"/>
  <c r="N714" i="18" a="1"/>
  <c r="N714" i="18" s="1"/>
  <c r="N715" i="18" a="1"/>
  <c r="N715" i="18" s="1"/>
  <c r="N716" i="18" a="1"/>
  <c r="N716" i="18" s="1"/>
  <c r="N717" i="18" a="1"/>
  <c r="N717" i="18" s="1"/>
  <c r="N718" i="18" a="1"/>
  <c r="N718" i="18" s="1"/>
  <c r="N719" i="18" a="1"/>
  <c r="N719" i="18" s="1"/>
  <c r="N720" i="18" a="1"/>
  <c r="N720" i="18" s="1"/>
  <c r="N721" i="18" a="1"/>
  <c r="N721" i="18" s="1"/>
  <c r="N722" i="18" a="1"/>
  <c r="N722" i="18" s="1"/>
  <c r="N723" i="18" a="1"/>
  <c r="N723" i="18" s="1"/>
  <c r="N724" i="18" a="1"/>
  <c r="N724" i="18" s="1"/>
  <c r="N725" i="18" a="1"/>
  <c r="N725" i="18" s="1"/>
  <c r="N726" i="18" a="1"/>
  <c r="N726" i="18" s="1"/>
  <c r="N727" i="18" a="1"/>
  <c r="N727" i="18"/>
  <c r="N728" i="18" a="1"/>
  <c r="N728" i="18" s="1"/>
  <c r="N729" i="18" a="1"/>
  <c r="N729" i="18"/>
  <c r="N730" i="18" a="1"/>
  <c r="N730" i="18" s="1"/>
  <c r="N731" i="18" a="1"/>
  <c r="N731" i="18"/>
  <c r="N732" i="18" a="1"/>
  <c r="N732" i="18" s="1"/>
  <c r="N733" i="18" a="1"/>
  <c r="N733" i="18"/>
  <c r="N734" i="18" a="1"/>
  <c r="N734" i="18" s="1"/>
  <c r="N735" i="18" a="1"/>
  <c r="N735" i="18" s="1"/>
  <c r="N736" i="18" a="1"/>
  <c r="N736" i="18" s="1"/>
  <c r="N737" i="18" a="1"/>
  <c r="N737" i="18" s="1"/>
  <c r="N738" i="18" a="1"/>
  <c r="N738" i="18" s="1"/>
  <c r="N739" i="18" a="1"/>
  <c r="N739" i="18" s="1"/>
  <c r="N740" i="18" a="1"/>
  <c r="N740" i="18" s="1"/>
  <c r="N741" i="18" a="1"/>
  <c r="N741" i="18" s="1"/>
  <c r="N742" i="18" a="1"/>
  <c r="N742" i="18" s="1"/>
  <c r="N743" i="18" a="1"/>
  <c r="N743" i="18" s="1"/>
  <c r="N744" i="18" a="1"/>
  <c r="N744" i="18"/>
  <c r="N745" i="18" a="1"/>
  <c r="N745" i="18" s="1"/>
  <c r="N746" i="18" a="1"/>
  <c r="N746" i="18"/>
  <c r="N747" i="18" a="1"/>
  <c r="N747" i="18" s="1"/>
  <c r="N748" i="18" a="1"/>
  <c r="N748" i="18"/>
  <c r="N749" i="18" a="1"/>
  <c r="N749" i="18" s="1"/>
  <c r="N750" i="18" a="1"/>
  <c r="N750" i="18"/>
  <c r="N751" i="18" a="1"/>
  <c r="N751" i="18" s="1"/>
  <c r="N752" i="18" a="1"/>
  <c r="N752" i="18"/>
  <c r="N753" i="18" a="1"/>
  <c r="N753" i="18" s="1"/>
  <c r="N754" i="18" a="1"/>
  <c r="N754" i="18"/>
  <c r="N755" i="18" a="1"/>
  <c r="N755" i="18" s="1"/>
  <c r="N756" i="18" a="1"/>
  <c r="N756" i="18"/>
  <c r="N757" i="18" a="1"/>
  <c r="N757" i="18" s="1"/>
  <c r="N758" i="18" a="1"/>
  <c r="N758" i="18"/>
  <c r="N759" i="18" a="1"/>
  <c r="N759" i="18" s="1"/>
  <c r="N760" i="18" a="1"/>
  <c r="N760" i="18" s="1"/>
  <c r="N761" i="18" a="1"/>
  <c r="N761" i="18"/>
  <c r="N762" i="18" a="1"/>
  <c r="N762" i="18" s="1"/>
  <c r="N763" i="18" a="1"/>
  <c r="N763" i="18" s="1"/>
  <c r="N764" i="18" a="1"/>
  <c r="N764" i="18" s="1"/>
  <c r="N765" i="18" a="1"/>
  <c r="N765" i="18"/>
  <c r="N766" i="18" a="1"/>
  <c r="N766" i="18" s="1"/>
  <c r="N767" i="18" a="1"/>
  <c r="N767" i="18" s="1"/>
  <c r="N768" i="18" a="1"/>
  <c r="N768" i="18" s="1"/>
  <c r="N769" i="18" a="1"/>
  <c r="N769" i="18" s="1"/>
  <c r="N770" i="18" a="1"/>
  <c r="N770" i="18" s="1"/>
  <c r="N771" i="18" a="1"/>
  <c r="N771" i="18"/>
  <c r="N772" i="18" a="1"/>
  <c r="N772" i="18" s="1"/>
  <c r="N773" i="18" a="1"/>
  <c r="N773" i="18"/>
  <c r="N774" i="18" a="1"/>
  <c r="N774" i="18" s="1"/>
  <c r="N775" i="18" a="1"/>
  <c r="N775" i="18"/>
  <c r="N776" i="18" a="1"/>
  <c r="N776" i="18" s="1"/>
  <c r="N777" i="18" a="1"/>
  <c r="N777" i="18"/>
  <c r="N778" i="18" a="1"/>
  <c r="N778" i="18" s="1"/>
  <c r="N779" i="18" a="1"/>
  <c r="N779" i="18"/>
  <c r="N780" i="18" a="1"/>
  <c r="N780" i="18" s="1"/>
  <c r="N781" i="18" a="1"/>
  <c r="N781" i="18"/>
  <c r="N782" i="18" a="1"/>
  <c r="N782" i="18" s="1"/>
  <c r="N783" i="18" a="1"/>
  <c r="N783" i="18" s="1"/>
  <c r="N784" i="18" a="1"/>
  <c r="N784" i="18" s="1"/>
  <c r="N785" i="18" a="1"/>
  <c r="N785" i="18" s="1"/>
  <c r="N786" i="18" a="1"/>
  <c r="N786" i="18"/>
  <c r="N787" i="18" a="1"/>
  <c r="N787" i="18" s="1"/>
  <c r="N788" i="18" a="1"/>
  <c r="N788" i="18"/>
  <c r="N789" i="18" a="1"/>
  <c r="N789" i="18" s="1"/>
  <c r="N790" i="18" a="1"/>
  <c r="N790" i="18"/>
  <c r="N791" i="18" a="1"/>
  <c r="N791" i="18" s="1"/>
  <c r="N792" i="18" a="1"/>
  <c r="N792" i="18" s="1"/>
  <c r="N793" i="18" a="1"/>
  <c r="N793" i="18" s="1"/>
  <c r="N794" i="18" a="1"/>
  <c r="N794" i="18"/>
  <c r="N795" i="18" a="1"/>
  <c r="N795" i="18" s="1"/>
  <c r="N796" i="18" a="1"/>
  <c r="N796" i="18"/>
  <c r="N797" i="18" a="1"/>
  <c r="N797" i="18" s="1"/>
  <c r="N798" i="18" a="1"/>
  <c r="N798" i="18"/>
  <c r="N799" i="18" a="1"/>
  <c r="N799" i="18" s="1"/>
  <c r="N800" i="18" a="1"/>
  <c r="N800" i="18"/>
  <c r="N801" i="18" a="1"/>
  <c r="N801" i="18" s="1"/>
  <c r="N802" i="18" a="1"/>
  <c r="N802" i="18"/>
  <c r="N803" i="18" a="1"/>
  <c r="N803" i="18" s="1"/>
  <c r="N804" i="18" a="1"/>
  <c r="N804" i="18"/>
  <c r="N805" i="18" a="1"/>
  <c r="N805" i="18" s="1"/>
  <c r="N806" i="18" a="1"/>
  <c r="N806" i="18"/>
  <c r="N807" i="18" a="1"/>
  <c r="N807" i="18" s="1"/>
  <c r="N808" i="18" a="1"/>
  <c r="N808" i="18" s="1"/>
  <c r="N809" i="18" a="1"/>
  <c r="N809" i="18"/>
  <c r="N810" i="18" a="1"/>
  <c r="N810" i="18" s="1"/>
  <c r="N811" i="18" a="1"/>
  <c r="N811" i="18" s="1"/>
  <c r="N812" i="18" a="1"/>
  <c r="N812" i="18" s="1"/>
  <c r="N813" i="18" a="1"/>
  <c r="N813" i="18"/>
  <c r="N814" i="18" a="1"/>
  <c r="N814" i="18" s="1"/>
  <c r="N815" i="18" a="1"/>
  <c r="N815" i="18"/>
  <c r="N816" i="18" a="1"/>
  <c r="N816" i="18" s="1"/>
  <c r="N817" i="18" a="1"/>
  <c r="N817" i="18"/>
  <c r="N818" i="18" a="1"/>
  <c r="N818" i="18" s="1"/>
  <c r="N819" i="18" a="1"/>
  <c r="N819" i="18" s="1"/>
  <c r="N820" i="18" a="1"/>
  <c r="N820" i="18" s="1"/>
  <c r="N821" i="18" a="1"/>
  <c r="N821" i="18"/>
  <c r="N822" i="18" a="1"/>
  <c r="N822" i="18" s="1"/>
  <c r="N823" i="18" a="1"/>
  <c r="N823" i="18"/>
  <c r="N824" i="18" a="1"/>
  <c r="N824" i="18" s="1"/>
  <c r="N825" i="18" a="1"/>
  <c r="N825" i="18"/>
  <c r="N826" i="18" a="1"/>
  <c r="N826" i="18" s="1"/>
  <c r="N827" i="18" a="1"/>
  <c r="N827" i="18"/>
  <c r="N828" i="18" a="1"/>
  <c r="N828" i="18"/>
  <c r="N829" i="18" a="1"/>
  <c r="N829" i="18"/>
  <c r="N830" i="18" a="1"/>
  <c r="N830" i="18"/>
  <c r="N831" i="18" a="1"/>
  <c r="N831" i="18" s="1"/>
  <c r="N832" i="18" a="1"/>
  <c r="N832" i="18" s="1"/>
  <c r="N833" i="18" a="1"/>
  <c r="N833" i="18" s="1"/>
  <c r="N834" i="18" a="1"/>
  <c r="N834" i="18"/>
  <c r="N835" i="18" a="1"/>
  <c r="N835" i="18" s="1"/>
  <c r="N836" i="18" a="1"/>
  <c r="N836" i="18"/>
  <c r="N837" i="18" a="1"/>
  <c r="N837" i="18" s="1"/>
  <c r="N838" i="18" a="1"/>
  <c r="N838" i="18"/>
  <c r="N839" i="18" a="1"/>
  <c r="N839" i="18" s="1"/>
  <c r="N840" i="18" a="1"/>
  <c r="N840" i="18" s="1"/>
  <c r="N841" i="18" a="1"/>
  <c r="N841" i="18"/>
  <c r="N842" i="18" a="1"/>
  <c r="N842" i="18" s="1"/>
  <c r="N843" i="18" a="1"/>
  <c r="N843" i="18" s="1"/>
  <c r="N844" i="18" a="1"/>
  <c r="N844" i="18"/>
  <c r="N845" i="18" a="1"/>
  <c r="N845" i="18"/>
  <c r="N846" i="18" a="1"/>
  <c r="N846" i="18"/>
  <c r="N847" i="18" a="1"/>
  <c r="N847" i="18"/>
  <c r="N848" i="18" a="1"/>
  <c r="N848" i="18"/>
  <c r="N849" i="18" a="1"/>
  <c r="N849" i="18"/>
  <c r="N850" i="18" a="1"/>
  <c r="N850" i="18"/>
  <c r="N851" i="18" a="1"/>
  <c r="N851" i="18"/>
  <c r="O24" i="18" a="1"/>
  <c r="O24" i="18" s="1"/>
  <c r="O58" i="18" a="1"/>
  <c r="O58" i="18" s="1"/>
  <c r="O74" i="18" a="1"/>
  <c r="O74" i="18" s="1"/>
  <c r="O84" i="18" a="1"/>
  <c r="O84" i="18" s="1"/>
  <c r="O90" i="18" a="1"/>
  <c r="O90" i="18" s="1"/>
  <c r="O95" i="18" a="1"/>
  <c r="O95" i="18" s="1"/>
  <c r="O100" i="18" a="1"/>
  <c r="O100" i="18" s="1"/>
  <c r="O106" i="18" a="1"/>
  <c r="O106" i="18" s="1"/>
  <c r="O111" i="18" a="1"/>
  <c r="O111" i="18" s="1"/>
  <c r="O116" i="18" a="1"/>
  <c r="O116" i="18" s="1"/>
  <c r="O121" i="18" a="1"/>
  <c r="O121" i="18" s="1"/>
  <c r="O125" i="18" a="1"/>
  <c r="O125" i="18" s="1"/>
  <c r="O129" i="18" a="1"/>
  <c r="O129" i="18" s="1"/>
  <c r="O133" i="18" a="1"/>
  <c r="O133" i="18" s="1"/>
  <c r="O137" i="18" a="1"/>
  <c r="O137" i="18" s="1"/>
  <c r="O141" i="18" a="1"/>
  <c r="O141" i="18" s="1"/>
  <c r="O145" i="18" a="1"/>
  <c r="O145" i="18" s="1"/>
  <c r="O149" i="18" a="1"/>
  <c r="O149" i="18" s="1"/>
  <c r="O153" i="18" a="1"/>
  <c r="O153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/>
  <c r="O335" i="18" a="1"/>
  <c r="O335" i="18" s="1"/>
  <c r="O336" i="18" a="1"/>
  <c r="O336" i="18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/>
  <c r="O351" i="18" a="1"/>
  <c r="O351" i="18" s="1"/>
  <c r="O352" i="18" a="1"/>
  <c r="O352" i="18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/>
  <c r="O367" i="18" a="1"/>
  <c r="O367" i="18" s="1"/>
  <c r="O368" i="18" a="1"/>
  <c r="O368" i="18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/>
  <c r="O383" i="18" a="1"/>
  <c r="O383" i="18" s="1"/>
  <c r="O384" i="18" a="1"/>
  <c r="O384" i="18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/>
  <c r="O399" i="18" a="1"/>
  <c r="O399" i="18" s="1"/>
  <c r="O400" i="18" a="1"/>
  <c r="O400" i="18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/>
  <c r="O415" i="18" a="1"/>
  <c r="O415" i="18" s="1"/>
  <c r="O416" i="18" a="1"/>
  <c r="O416" i="18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/>
  <c r="O431" i="18" a="1"/>
  <c r="O431" i="18" s="1"/>
  <c r="O432" i="18" a="1"/>
  <c r="O432" i="18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 s="1"/>
  <c r="O448" i="18" a="1"/>
  <c r="O448" i="18" s="1"/>
  <c r="O449" i="18" a="1"/>
  <c r="O449" i="18" s="1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/>
  <c r="O457" i="18" a="1"/>
  <c r="O457" i="18" s="1"/>
  <c r="O458" i="18" a="1"/>
  <c r="O458" i="18" s="1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 s="1"/>
  <c r="O464" i="18" a="1"/>
  <c r="O464" i="18" s="1"/>
  <c r="O465" i="18" a="1"/>
  <c r="O465" i="18" s="1"/>
  <c r="O466" i="18" a="1"/>
  <c r="O466" i="18" s="1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/>
  <c r="O473" i="18" a="1"/>
  <c r="O473" i="18" s="1"/>
  <c r="O474" i="18" a="1"/>
  <c r="O474" i="18" s="1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 s="1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/>
  <c r="O487" i="18" a="1"/>
  <c r="O487" i="18" s="1"/>
  <c r="O488" i="18" a="1"/>
  <c r="O488" i="18" s="1"/>
  <c r="O489" i="18" a="1"/>
  <c r="O489" i="18" s="1"/>
  <c r="O490" i="18" a="1"/>
  <c r="O490" i="18" s="1"/>
  <c r="O491" i="18" a="1"/>
  <c r="O491" i="18" s="1"/>
  <c r="O492" i="18" a="1"/>
  <c r="O492" i="18" s="1"/>
  <c r="O493" i="18" a="1"/>
  <c r="O493" i="18" s="1"/>
  <c r="O494" i="18" a="1"/>
  <c r="O494" i="18"/>
  <c r="O495" i="18" a="1"/>
  <c r="O495" i="18" s="1"/>
  <c r="O496" i="18" a="1"/>
  <c r="O496" i="18" s="1"/>
  <c r="O497" i="18" a="1"/>
  <c r="O497" i="18" s="1"/>
  <c r="O498" i="18" a="1"/>
  <c r="O498" i="18" s="1"/>
  <c r="O499" i="18" a="1"/>
  <c r="O499" i="18" s="1"/>
  <c r="O500" i="18" a="1"/>
  <c r="O500" i="18" s="1"/>
  <c r="O501" i="18" a="1"/>
  <c r="O501" i="18" s="1"/>
  <c r="O502" i="18" a="1"/>
  <c r="O502" i="18"/>
  <c r="O503" i="18" a="1"/>
  <c r="O503" i="18" s="1"/>
  <c r="O504" i="18" a="1"/>
  <c r="O504" i="18" s="1"/>
  <c r="O505" i="18" a="1"/>
  <c r="O505" i="18" s="1"/>
  <c r="O506" i="18" a="1"/>
  <c r="O506" i="18" s="1"/>
  <c r="O507" i="18" a="1"/>
  <c r="O507" i="18" s="1"/>
  <c r="O508" i="18" a="1"/>
  <c r="O508" i="18" s="1"/>
  <c r="O509" i="18" a="1"/>
  <c r="O509" i="18" s="1"/>
  <c r="O510" i="18" a="1"/>
  <c r="O510" i="18" s="1"/>
  <c r="O511" i="18" a="1"/>
  <c r="O511" i="18" s="1"/>
  <c r="O512" i="18" a="1"/>
  <c r="O512" i="18" s="1"/>
  <c r="O513" i="18" a="1"/>
  <c r="O513" i="18" s="1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/>
  <c r="O519" i="18" a="1"/>
  <c r="O519" i="18" s="1"/>
  <c r="O520" i="18" a="1"/>
  <c r="O520" i="18" s="1"/>
  <c r="O521" i="18" a="1"/>
  <c r="O521" i="18" s="1"/>
  <c r="O522" i="18" a="1"/>
  <c r="O522" i="18" s="1"/>
  <c r="O523" i="18" a="1"/>
  <c r="O523" i="18" s="1"/>
  <c r="O524" i="18" a="1"/>
  <c r="O524" i="18" s="1"/>
  <c r="O525" i="18" a="1"/>
  <c r="O525" i="18" s="1"/>
  <c r="O526" i="18" a="1"/>
  <c r="O526" i="18"/>
  <c r="O527" i="18" a="1"/>
  <c r="O527" i="18" s="1"/>
  <c r="O528" i="18" a="1"/>
  <c r="O528" i="18" s="1"/>
  <c r="O529" i="18" a="1"/>
  <c r="O529" i="18" s="1"/>
  <c r="O530" i="18" a="1"/>
  <c r="O530" i="18" s="1"/>
  <c r="O531" i="18" a="1"/>
  <c r="O531" i="18" s="1"/>
  <c r="O532" i="18" a="1"/>
  <c r="O532" i="18" s="1"/>
  <c r="O533" i="18" a="1"/>
  <c r="O533" i="18" s="1"/>
  <c r="O534" i="18" a="1"/>
  <c r="O534" i="18"/>
  <c r="O535" i="18" a="1"/>
  <c r="O535" i="18" s="1"/>
  <c r="O536" i="18" a="1"/>
  <c r="O536" i="18" s="1"/>
  <c r="O537" i="18" a="1"/>
  <c r="O537" i="18" s="1"/>
  <c r="O538" i="18" a="1"/>
  <c r="O538" i="18" s="1"/>
  <c r="O539" i="18" a="1"/>
  <c r="O539" i="18" s="1"/>
  <c r="O540" i="18" a="1"/>
  <c r="O540" i="18" s="1"/>
  <c r="O541" i="18" a="1"/>
  <c r="O541" i="18" s="1"/>
  <c r="O542" i="18" a="1"/>
  <c r="O542" i="18" s="1"/>
  <c r="O543" i="18" a="1"/>
  <c r="O543" i="18" s="1"/>
  <c r="O544" i="18" a="1"/>
  <c r="O544" i="18" s="1"/>
  <c r="O545" i="18" a="1"/>
  <c r="O545" i="18" s="1"/>
  <c r="O546" i="18" a="1"/>
  <c r="O546" i="18" s="1"/>
  <c r="O547" i="18" a="1"/>
  <c r="O547" i="18" s="1"/>
  <c r="O548" i="18" a="1"/>
  <c r="O548" i="18" s="1"/>
  <c r="O549" i="18" a="1"/>
  <c r="O549" i="18" s="1"/>
  <c r="O550" i="18" a="1"/>
  <c r="O550" i="18"/>
  <c r="O551" i="18" a="1"/>
  <c r="O551" i="18" s="1"/>
  <c r="O552" i="18" a="1"/>
  <c r="O552" i="18" s="1"/>
  <c r="O553" i="18" a="1"/>
  <c r="O553" i="18" s="1"/>
  <c r="O554" i="18" a="1"/>
  <c r="O554" i="18" s="1"/>
  <c r="O555" i="18" a="1"/>
  <c r="O555" i="18" s="1"/>
  <c r="O556" i="18" a="1"/>
  <c r="O556" i="18" s="1"/>
  <c r="O557" i="18" a="1"/>
  <c r="O557" i="18" s="1"/>
  <c r="O558" i="18" a="1"/>
  <c r="O558" i="18"/>
  <c r="O559" i="18" a="1"/>
  <c r="O559" i="18" s="1"/>
  <c r="O560" i="18" a="1"/>
  <c r="O560" i="18" s="1"/>
  <c r="O561" i="18" a="1"/>
  <c r="O561" i="18" s="1"/>
  <c r="O562" i="18" a="1"/>
  <c r="O562" i="18" s="1"/>
  <c r="O563" i="18" a="1"/>
  <c r="O563" i="18" s="1"/>
  <c r="O564" i="18" a="1"/>
  <c r="O564" i="18" s="1"/>
  <c r="O565" i="18" a="1"/>
  <c r="O565" i="18" s="1"/>
  <c r="O566" i="18" a="1"/>
  <c r="O566" i="18"/>
  <c r="O567" i="18" a="1"/>
  <c r="O567" i="18" s="1"/>
  <c r="O568" i="18" a="1"/>
  <c r="O568" i="18" s="1"/>
  <c r="O569" i="18" a="1"/>
  <c r="O569" i="18" s="1"/>
  <c r="O570" i="18" a="1"/>
  <c r="O570" i="18" s="1"/>
  <c r="O571" i="18" a="1"/>
  <c r="O571" i="18" s="1"/>
  <c r="O572" i="18" a="1"/>
  <c r="O572" i="18" s="1"/>
  <c r="O573" i="18" a="1"/>
  <c r="O573" i="18" s="1"/>
  <c r="O574" i="18" a="1"/>
  <c r="O574" i="18" s="1"/>
  <c r="O575" i="18" a="1"/>
  <c r="O575" i="18" s="1"/>
  <c r="O576" i="18" a="1"/>
  <c r="O576" i="18" s="1"/>
  <c r="O577" i="18" a="1"/>
  <c r="O577" i="18" s="1"/>
  <c r="O578" i="18" a="1"/>
  <c r="O578" i="18" s="1"/>
  <c r="O579" i="18" a="1"/>
  <c r="O579" i="18" s="1"/>
  <c r="O580" i="18" a="1"/>
  <c r="O580" i="18" s="1"/>
  <c r="O581" i="18" a="1"/>
  <c r="O581" i="18" s="1"/>
  <c r="O582" i="18" a="1"/>
  <c r="O582" i="18" s="1"/>
  <c r="O583" i="18" a="1"/>
  <c r="O583" i="18" s="1"/>
  <c r="O584" i="18" a="1"/>
  <c r="O584" i="18" s="1"/>
  <c r="O585" i="18" a="1"/>
  <c r="O585" i="18" s="1"/>
  <c r="O586" i="18" a="1"/>
  <c r="O586" i="18" s="1"/>
  <c r="O587" i="18" a="1"/>
  <c r="O587" i="18" s="1"/>
  <c r="O588" i="18" a="1"/>
  <c r="O588" i="18" s="1"/>
  <c r="O589" i="18" a="1"/>
  <c r="O589" i="18" s="1"/>
  <c r="O590" i="18" a="1"/>
  <c r="O590" i="18"/>
  <c r="O591" i="18" a="1"/>
  <c r="O591" i="18" s="1"/>
  <c r="O592" i="18" a="1"/>
  <c r="O592" i="18" s="1"/>
  <c r="O593" i="18" a="1"/>
  <c r="O593" i="18" s="1"/>
  <c r="O594" i="18" a="1"/>
  <c r="O594" i="18" s="1"/>
  <c r="O595" i="18" a="1"/>
  <c r="O595" i="18" s="1"/>
  <c r="O596" i="18" a="1"/>
  <c r="O596" i="18" s="1"/>
  <c r="O597" i="18" a="1"/>
  <c r="O597" i="18" s="1"/>
  <c r="O598" i="18" a="1"/>
  <c r="O598" i="18" s="1"/>
  <c r="O599" i="18" a="1"/>
  <c r="O599" i="18" s="1"/>
  <c r="O600" i="18" a="1"/>
  <c r="O600" i="18" s="1"/>
  <c r="O601" i="18" a="1"/>
  <c r="O601" i="18" s="1"/>
  <c r="O602" i="18" a="1"/>
  <c r="O602" i="18" s="1"/>
  <c r="O603" i="18" a="1"/>
  <c r="O603" i="18" s="1"/>
  <c r="O604" i="18" a="1"/>
  <c r="O604" i="18" s="1"/>
  <c r="O605" i="18" a="1"/>
  <c r="O605" i="18" s="1"/>
  <c r="O606" i="18" a="1"/>
  <c r="O606" i="18" s="1"/>
  <c r="O607" i="18" a="1"/>
  <c r="O607" i="18" s="1"/>
  <c r="O608" i="18" a="1"/>
  <c r="O608" i="18" s="1"/>
  <c r="O609" i="18" a="1"/>
  <c r="O609" i="18" s="1"/>
  <c r="O610" i="18" a="1"/>
  <c r="O610" i="18" s="1"/>
  <c r="O611" i="18" a="1"/>
  <c r="O611" i="18" s="1"/>
  <c r="O612" i="18" a="1"/>
  <c r="O612" i="18" s="1"/>
  <c r="O613" i="18" a="1"/>
  <c r="O613" i="18" s="1"/>
  <c r="O614" i="18" a="1"/>
  <c r="O614" i="18"/>
  <c r="O615" i="18" a="1"/>
  <c r="O615" i="18" s="1"/>
  <c r="O616" i="18" a="1"/>
  <c r="O616" i="18" s="1"/>
  <c r="O617" i="18" a="1"/>
  <c r="O617" i="18" s="1"/>
  <c r="O618" i="18" a="1"/>
  <c r="O618" i="18" s="1"/>
  <c r="O619" i="18" a="1"/>
  <c r="O619" i="18" s="1"/>
  <c r="O620" i="18" a="1"/>
  <c r="O620" i="18" s="1"/>
  <c r="O621" i="18" a="1"/>
  <c r="O621" i="18" s="1"/>
  <c r="O622" i="18" a="1"/>
  <c r="O622" i="18" s="1"/>
  <c r="O623" i="18" a="1"/>
  <c r="O623" i="18" s="1"/>
  <c r="O624" i="18" a="1"/>
  <c r="O624" i="18" s="1"/>
  <c r="O625" i="18" a="1"/>
  <c r="O625" i="18" s="1"/>
  <c r="O626" i="18" a="1"/>
  <c r="O626" i="18" s="1"/>
  <c r="O627" i="18" a="1"/>
  <c r="O627" i="18" s="1"/>
  <c r="O628" i="18" a="1"/>
  <c r="O628" i="18"/>
  <c r="O629" i="18" a="1"/>
  <c r="O629" i="18" s="1"/>
  <c r="O630" i="18" a="1"/>
  <c r="O630" i="18"/>
  <c r="O631" i="18" a="1"/>
  <c r="O631" i="18" s="1"/>
  <c r="O632" i="18" a="1"/>
  <c r="O632" i="18" s="1"/>
  <c r="O633" i="18" a="1"/>
  <c r="O633" i="18" s="1"/>
  <c r="O634" i="18" a="1"/>
  <c r="O634" i="18" s="1"/>
  <c r="O635" i="18" a="1"/>
  <c r="O635" i="18" s="1"/>
  <c r="O636" i="18" a="1"/>
  <c r="O636" i="18" s="1"/>
  <c r="O637" i="18" a="1"/>
  <c r="O637" i="18" s="1"/>
  <c r="O638" i="18" a="1"/>
  <c r="O638" i="18" s="1"/>
  <c r="O639" i="18" a="1"/>
  <c r="O639" i="18" s="1"/>
  <c r="O640" i="18" a="1"/>
  <c r="O640" i="18" s="1"/>
  <c r="O641" i="18" a="1"/>
  <c r="O641" i="18" s="1"/>
  <c r="O642" i="18" a="1"/>
  <c r="O642" i="18" s="1"/>
  <c r="O643" i="18" a="1"/>
  <c r="O643" i="18" s="1"/>
  <c r="O644" i="18" a="1"/>
  <c r="O644" i="18"/>
  <c r="O645" i="18" a="1"/>
  <c r="O645" i="18" s="1"/>
  <c r="O646" i="18" a="1"/>
  <c r="O646" i="18"/>
  <c r="O647" i="18" a="1"/>
  <c r="O647" i="18" s="1"/>
  <c r="O648" i="18" a="1"/>
  <c r="O648" i="18" s="1"/>
  <c r="O649" i="18" a="1"/>
  <c r="O649" i="18" s="1"/>
  <c r="O650" i="18" a="1"/>
  <c r="O650" i="18" s="1"/>
  <c r="O651" i="18" a="1"/>
  <c r="O651" i="18" s="1"/>
  <c r="O652" i="18" a="1"/>
  <c r="O652" i="18" s="1"/>
  <c r="O653" i="18" a="1"/>
  <c r="O653" i="18" s="1"/>
  <c r="O654" i="18" a="1"/>
  <c r="O654" i="18" s="1"/>
  <c r="O655" i="18" a="1"/>
  <c r="O655" i="18" s="1"/>
  <c r="O656" i="18" a="1"/>
  <c r="O656" i="18" s="1"/>
  <c r="O657" i="18" a="1"/>
  <c r="O657" i="18" s="1"/>
  <c r="O658" i="18" a="1"/>
  <c r="O658" i="18" s="1"/>
  <c r="O659" i="18" a="1"/>
  <c r="O659" i="18" s="1"/>
  <c r="O660" i="18" a="1"/>
  <c r="O660" i="18"/>
  <c r="O661" i="18" a="1"/>
  <c r="O661" i="18" s="1"/>
  <c r="O662" i="18" a="1"/>
  <c r="O662" i="18"/>
  <c r="O663" i="18" a="1"/>
  <c r="O663" i="18" s="1"/>
  <c r="O664" i="18" a="1"/>
  <c r="O664" i="18" s="1"/>
  <c r="O665" i="18" a="1"/>
  <c r="O665" i="18" s="1"/>
  <c r="O666" i="18" a="1"/>
  <c r="O666" i="18" s="1"/>
  <c r="O667" i="18" a="1"/>
  <c r="O667" i="18" s="1"/>
  <c r="O668" i="18" a="1"/>
  <c r="O668" i="18" s="1"/>
  <c r="O669" i="18" a="1"/>
  <c r="O669" i="18" s="1"/>
  <c r="O670" i="18" a="1"/>
  <c r="O670" i="18" s="1"/>
  <c r="O671" i="18" a="1"/>
  <c r="O671" i="18" s="1"/>
  <c r="O672" i="18" a="1"/>
  <c r="O672" i="18" s="1"/>
  <c r="O673" i="18" a="1"/>
  <c r="O673" i="18" s="1"/>
  <c r="O674" i="18" a="1"/>
  <c r="O674" i="18" s="1"/>
  <c r="O675" i="18" a="1"/>
  <c r="O675" i="18" s="1"/>
  <c r="O676" i="18" a="1"/>
  <c r="O676" i="18"/>
  <c r="O677" i="18" a="1"/>
  <c r="O677" i="18" s="1"/>
  <c r="O678" i="18" a="1"/>
  <c r="O678" i="18"/>
  <c r="O679" i="18" a="1"/>
  <c r="O679" i="18" s="1"/>
  <c r="O680" i="18" a="1"/>
  <c r="O680" i="18" s="1"/>
  <c r="O681" i="18" a="1"/>
  <c r="O681" i="18" s="1"/>
  <c r="O682" i="18" a="1"/>
  <c r="O682" i="18" s="1"/>
  <c r="O683" i="18" a="1"/>
  <c r="O683" i="18" s="1"/>
  <c r="O684" i="18" a="1"/>
  <c r="O684" i="18" s="1"/>
  <c r="O685" i="18" a="1"/>
  <c r="O685" i="18" s="1"/>
  <c r="O686" i="18" a="1"/>
  <c r="O686" i="18" s="1"/>
  <c r="O687" i="18" a="1"/>
  <c r="O687" i="18" s="1"/>
  <c r="O688" i="18" a="1"/>
  <c r="O688" i="18" s="1"/>
  <c r="O689" i="18" a="1"/>
  <c r="O689" i="18" s="1"/>
  <c r="O690" i="18" a="1"/>
  <c r="O690" i="18" s="1"/>
  <c r="O691" i="18" a="1"/>
  <c r="O691" i="18" s="1"/>
  <c r="O692" i="18" a="1"/>
  <c r="O692" i="18"/>
  <c r="O693" i="18" a="1"/>
  <c r="O693" i="18" s="1"/>
  <c r="O694" i="18" a="1"/>
  <c r="O694" i="18"/>
  <c r="O695" i="18" a="1"/>
  <c r="O695" i="18" s="1"/>
  <c r="O696" i="18" a="1"/>
  <c r="O696" i="18" s="1"/>
  <c r="O697" i="18" a="1"/>
  <c r="O697" i="18" s="1"/>
  <c r="O698" i="18" a="1"/>
  <c r="O698" i="18" s="1"/>
  <c r="O699" i="18" a="1"/>
  <c r="O699" i="18" s="1"/>
  <c r="O700" i="18" a="1"/>
  <c r="O700" i="18" s="1"/>
  <c r="O701" i="18" a="1"/>
  <c r="O701" i="18" s="1"/>
  <c r="O702" i="18" a="1"/>
  <c r="O702" i="18" s="1"/>
  <c r="O703" i="18" a="1"/>
  <c r="O703" i="18" s="1"/>
  <c r="O704" i="18" a="1"/>
  <c r="O704" i="18" s="1"/>
  <c r="O705" i="18" a="1"/>
  <c r="O705" i="18" s="1"/>
  <c r="O706" i="18" a="1"/>
  <c r="O706" i="18" s="1"/>
  <c r="O707" i="18" a="1"/>
  <c r="O707" i="18" s="1"/>
  <c r="O708" i="18" a="1"/>
  <c r="O708" i="18"/>
  <c r="O709" i="18" a="1"/>
  <c r="O709" i="18" s="1"/>
  <c r="O710" i="18" a="1"/>
  <c r="O710" i="18"/>
  <c r="O711" i="18" a="1"/>
  <c r="O711" i="18" s="1"/>
  <c r="O712" i="18" a="1"/>
  <c r="O712" i="18" s="1"/>
  <c r="O713" i="18" a="1"/>
  <c r="O713" i="18" s="1"/>
  <c r="O714" i="18" a="1"/>
  <c r="O714" i="18" s="1"/>
  <c r="O715" i="18" a="1"/>
  <c r="O715" i="18" s="1"/>
  <c r="O716" i="18" a="1"/>
  <c r="O716" i="18" s="1"/>
  <c r="O717" i="18" a="1"/>
  <c r="O717" i="18" s="1"/>
  <c r="O718" i="18" a="1"/>
  <c r="O718" i="18" s="1"/>
  <c r="O719" i="18" a="1"/>
  <c r="O719" i="18" s="1"/>
  <c r="O720" i="18" a="1"/>
  <c r="O720" i="18" s="1"/>
  <c r="O721" i="18" a="1"/>
  <c r="O721" i="18" s="1"/>
  <c r="O722" i="18" a="1"/>
  <c r="O722" i="18" s="1"/>
  <c r="O723" i="18" a="1"/>
  <c r="O723" i="18" s="1"/>
  <c r="O724" i="18" a="1"/>
  <c r="O724" i="18"/>
  <c r="O725" i="18" a="1"/>
  <c r="O725" i="18" s="1"/>
  <c r="O726" i="18" a="1"/>
  <c r="O726" i="18"/>
  <c r="O727" i="18" a="1"/>
  <c r="O727" i="18" s="1"/>
  <c r="O728" i="18" a="1"/>
  <c r="O728" i="18" s="1"/>
  <c r="O729" i="18" a="1"/>
  <c r="O729" i="18" s="1"/>
  <c r="O730" i="18" a="1"/>
  <c r="O730" i="18" s="1"/>
  <c r="O731" i="18" a="1"/>
  <c r="O731" i="18" s="1"/>
  <c r="O732" i="18" a="1"/>
  <c r="O732" i="18" s="1"/>
  <c r="O733" i="18" a="1"/>
  <c r="O733" i="18" s="1"/>
  <c r="O734" i="18" a="1"/>
  <c r="O734" i="18" s="1"/>
  <c r="O735" i="18" a="1"/>
  <c r="O735" i="18" s="1"/>
  <c r="O736" i="18" a="1"/>
  <c r="O736" i="18" s="1"/>
  <c r="O737" i="18" a="1"/>
  <c r="O737" i="18" s="1"/>
  <c r="O738" i="18" a="1"/>
  <c r="O738" i="18" s="1"/>
  <c r="O739" i="18" a="1"/>
  <c r="O739" i="18" s="1"/>
  <c r="O740" i="18" a="1"/>
  <c r="O740" i="18"/>
  <c r="O741" i="18" a="1"/>
  <c r="O741" i="18" s="1"/>
  <c r="O742" i="18" a="1"/>
  <c r="O742" i="18"/>
  <c r="O743" i="18" a="1"/>
  <c r="O743" i="18" s="1"/>
  <c r="O744" i="18" a="1"/>
  <c r="O744" i="18" s="1"/>
  <c r="O745" i="18" a="1"/>
  <c r="O745" i="18"/>
  <c r="O746" i="18" a="1"/>
  <c r="O746" i="18" s="1"/>
  <c r="O747" i="18" a="1"/>
  <c r="O747" i="18" s="1"/>
  <c r="O748" i="18" a="1"/>
  <c r="O748" i="18" s="1"/>
  <c r="O749" i="18" a="1"/>
  <c r="O749" i="18" s="1"/>
  <c r="O750" i="18" a="1"/>
  <c r="O750" i="18" s="1"/>
  <c r="O751" i="18" a="1"/>
  <c r="O751" i="18" s="1"/>
  <c r="O752" i="18" a="1"/>
  <c r="O752" i="18" s="1"/>
  <c r="O753" i="18" a="1"/>
  <c r="O753" i="18" s="1"/>
  <c r="O754" i="18" a="1"/>
  <c r="O754" i="18" s="1"/>
  <c r="O755" i="18" a="1"/>
  <c r="O755" i="18" s="1"/>
  <c r="O756" i="18" a="1"/>
  <c r="O756" i="18" s="1"/>
  <c r="O757" i="18" a="1"/>
  <c r="O757" i="18" s="1"/>
  <c r="O758" i="18" a="1"/>
  <c r="O758" i="18" s="1"/>
  <c r="O759" i="18" a="1"/>
  <c r="O759" i="18" s="1"/>
  <c r="O760" i="18" a="1"/>
  <c r="O760" i="18" s="1"/>
  <c r="O761" i="18" a="1"/>
  <c r="O761" i="18" s="1"/>
  <c r="O762" i="18" a="1"/>
  <c r="O762" i="18" s="1"/>
  <c r="O763" i="18" a="1"/>
  <c r="O763" i="18" s="1"/>
  <c r="O764" i="18" a="1"/>
  <c r="O764" i="18" s="1"/>
  <c r="O765" i="18" a="1"/>
  <c r="O765" i="18" s="1"/>
  <c r="O766" i="18" a="1"/>
  <c r="O766" i="18" s="1"/>
  <c r="O767" i="18" a="1"/>
  <c r="O767" i="18" s="1"/>
  <c r="O768" i="18" a="1"/>
  <c r="O768" i="18" s="1"/>
  <c r="O769" i="18" a="1"/>
  <c r="O769" i="18" s="1"/>
  <c r="O770" i="18" a="1"/>
  <c r="O770" i="18" s="1"/>
  <c r="O771" i="18" a="1"/>
  <c r="O771" i="18" s="1"/>
  <c r="O772" i="18" a="1"/>
  <c r="O772" i="18" s="1"/>
  <c r="O773" i="18" a="1"/>
  <c r="O773" i="18" s="1"/>
  <c r="O774" i="18" a="1"/>
  <c r="O774" i="18" s="1"/>
  <c r="O775" i="18" a="1"/>
  <c r="O775" i="18" s="1"/>
  <c r="O776" i="18" a="1"/>
  <c r="O776" i="18" s="1"/>
  <c r="O777" i="18" a="1"/>
  <c r="O777" i="18" s="1"/>
  <c r="O778" i="18" a="1"/>
  <c r="O778" i="18" s="1"/>
  <c r="O779" i="18" a="1"/>
  <c r="O779" i="18" s="1"/>
  <c r="O780" i="18" a="1"/>
  <c r="O780" i="18" s="1"/>
  <c r="O781" i="18" a="1"/>
  <c r="O781" i="18" s="1"/>
  <c r="O782" i="18" a="1"/>
  <c r="O782" i="18" s="1"/>
  <c r="O783" i="18" a="1"/>
  <c r="O783" i="18" s="1"/>
  <c r="O784" i="18" a="1"/>
  <c r="O784" i="18" s="1"/>
  <c r="O785" i="18" a="1"/>
  <c r="O785" i="18" s="1"/>
  <c r="O786" i="18" a="1"/>
  <c r="O786" i="18" s="1"/>
  <c r="O787" i="18" a="1"/>
  <c r="O787" i="18" s="1"/>
  <c r="O788" i="18" a="1"/>
  <c r="O788" i="18" s="1"/>
  <c r="O789" i="18" a="1"/>
  <c r="O789" i="18" s="1"/>
  <c r="O790" i="18" a="1"/>
  <c r="O790" i="18" s="1"/>
  <c r="O791" i="18" a="1"/>
  <c r="O791" i="18" s="1"/>
  <c r="O792" i="18" a="1"/>
  <c r="O792" i="18" s="1"/>
  <c r="O793" i="18" a="1"/>
  <c r="O793" i="18" s="1"/>
  <c r="O794" i="18" a="1"/>
  <c r="O794" i="18" s="1"/>
  <c r="O795" i="18" a="1"/>
  <c r="O795" i="18" s="1"/>
  <c r="O796" i="18" a="1"/>
  <c r="O796" i="18" s="1"/>
  <c r="O797" i="18" a="1"/>
  <c r="O797" i="18" s="1"/>
  <c r="O798" i="18" a="1"/>
  <c r="O798" i="18" s="1"/>
  <c r="O799" i="18" a="1"/>
  <c r="O799" i="18" s="1"/>
  <c r="O800" i="18" a="1"/>
  <c r="O800" i="18" s="1"/>
  <c r="O801" i="18" a="1"/>
  <c r="O801" i="18" s="1"/>
  <c r="O802" i="18" a="1"/>
  <c r="O802" i="18" s="1"/>
  <c r="O803" i="18" a="1"/>
  <c r="O803" i="18" s="1"/>
  <c r="O804" i="18" a="1"/>
  <c r="O804" i="18" s="1"/>
  <c r="O805" i="18" a="1"/>
  <c r="O805" i="18" s="1"/>
  <c r="O806" i="18" a="1"/>
  <c r="O806" i="18" s="1"/>
  <c r="O807" i="18" a="1"/>
  <c r="O807" i="18" s="1"/>
  <c r="O808" i="18" a="1"/>
  <c r="O808" i="18" s="1"/>
  <c r="O809" i="18" a="1"/>
  <c r="O809" i="18" s="1"/>
  <c r="O810" i="18" a="1"/>
  <c r="O810" i="18" s="1"/>
  <c r="O811" i="18" a="1"/>
  <c r="O811" i="18" s="1"/>
  <c r="O812" i="18" a="1"/>
  <c r="O812" i="18" s="1"/>
  <c r="O813" i="18" a="1"/>
  <c r="O813" i="18" s="1"/>
  <c r="O814" i="18" a="1"/>
  <c r="O814" i="18" s="1"/>
  <c r="O815" i="18" a="1"/>
  <c r="O815" i="18" s="1"/>
  <c r="O816" i="18" a="1"/>
  <c r="O816" i="18" s="1"/>
  <c r="O817" i="18" a="1"/>
  <c r="O817" i="18" s="1"/>
  <c r="O818" i="18" a="1"/>
  <c r="O818" i="18" s="1"/>
  <c r="O819" i="18" a="1"/>
  <c r="O819" i="18" s="1"/>
  <c r="O820" i="18" a="1"/>
  <c r="O820" i="18" s="1"/>
  <c r="O821" i="18" a="1"/>
  <c r="O821" i="18" s="1"/>
  <c r="O822" i="18" a="1"/>
  <c r="O822" i="18" s="1"/>
  <c r="O823" i="18" a="1"/>
  <c r="O823" i="18" s="1"/>
  <c r="O824" i="18" a="1"/>
  <c r="O824" i="18" s="1"/>
  <c r="O825" i="18" a="1"/>
  <c r="O825" i="18" s="1"/>
  <c r="O826" i="18" a="1"/>
  <c r="O826" i="18" s="1"/>
  <c r="O827" i="18" a="1"/>
  <c r="O827" i="18" s="1"/>
  <c r="O828" i="18" a="1"/>
  <c r="O828" i="18" s="1"/>
  <c r="O829" i="18" a="1"/>
  <c r="O829" i="18" s="1"/>
  <c r="O830" i="18" a="1"/>
  <c r="O830" i="18" s="1"/>
  <c r="O831" i="18" a="1"/>
  <c r="O831" i="18" s="1"/>
  <c r="O832" i="18" a="1"/>
  <c r="O832" i="18" s="1"/>
  <c r="O833" i="18" a="1"/>
  <c r="O833" i="18" s="1"/>
  <c r="O834" i="18" a="1"/>
  <c r="O834" i="18" s="1"/>
  <c r="O835" i="18" a="1"/>
  <c r="O835" i="18" s="1"/>
  <c r="O836" i="18" a="1"/>
  <c r="O836" i="18" s="1"/>
  <c r="O837" i="18" a="1"/>
  <c r="O837" i="18" s="1"/>
  <c r="O838" i="18" a="1"/>
  <c r="O838" i="18" s="1"/>
  <c r="O839" i="18" a="1"/>
  <c r="O839" i="18" s="1"/>
  <c r="O840" i="18" a="1"/>
  <c r="O840" i="18" s="1"/>
  <c r="O841" i="18" a="1"/>
  <c r="O841" i="18" s="1"/>
  <c r="O842" i="18" a="1"/>
  <c r="O842" i="18" s="1"/>
  <c r="O843" i="18" a="1"/>
  <c r="O843" i="18" s="1"/>
  <c r="O844" i="18" a="1"/>
  <c r="O844" i="18" s="1"/>
  <c r="O845" i="18" a="1"/>
  <c r="O845" i="18" s="1"/>
  <c r="O846" i="18" a="1"/>
  <c r="O846" i="18" s="1"/>
  <c r="O847" i="18" a="1"/>
  <c r="O847" i="18" s="1"/>
  <c r="O848" i="18" a="1"/>
  <c r="O848" i="18" s="1"/>
  <c r="O849" i="18" a="1"/>
  <c r="O849" i="18" s="1"/>
  <c r="O850" i="18" a="1"/>
  <c r="O850" i="18" s="1"/>
  <c r="O851" i="18" a="1"/>
  <c r="O85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/>
  <c r="P186" i="18" a="1"/>
  <c r="P186" i="18" s="1"/>
  <c r="P187" i="18" a="1"/>
  <c r="P187" i="18" s="1"/>
  <c r="P188" i="18" a="1"/>
  <c r="P188" i="18" s="1"/>
  <c r="P189" i="18" a="1"/>
  <c r="P189" i="18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/>
  <c r="P202" i="18" a="1"/>
  <c r="P202" i="18" s="1"/>
  <c r="P203" i="18" a="1"/>
  <c r="P203" i="18" s="1"/>
  <c r="P204" i="18" a="1"/>
  <c r="P204" i="18" s="1"/>
  <c r="P205" i="18" a="1"/>
  <c r="P205" i="18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/>
  <c r="P218" i="18" a="1"/>
  <c r="P218" i="18" s="1"/>
  <c r="P219" i="18" a="1"/>
  <c r="P219" i="18" s="1"/>
  <c r="P220" i="18" a="1"/>
  <c r="P220" i="18" s="1"/>
  <c r="P221" i="18" a="1"/>
  <c r="P221" i="18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/>
  <c r="P234" i="18" a="1"/>
  <c r="P234" i="18" s="1"/>
  <c r="P235" i="18" a="1"/>
  <c r="P235" i="18" s="1"/>
  <c r="P236" i="18" a="1"/>
  <c r="P236" i="18" s="1"/>
  <c r="P237" i="18" a="1"/>
  <c r="P237" i="18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/>
  <c r="P250" i="18" a="1"/>
  <c r="P250" i="18" s="1"/>
  <c r="P251" i="18" a="1"/>
  <c r="P251" i="18" s="1"/>
  <c r="P252" i="18" a="1"/>
  <c r="P252" i="18" s="1"/>
  <c r="P253" i="18" a="1"/>
  <c r="P253" i="18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/>
  <c r="P266" i="18" a="1"/>
  <c r="P266" i="18" s="1"/>
  <c r="P267" i="18" a="1"/>
  <c r="P267" i="18" s="1"/>
  <c r="P268" i="18" a="1"/>
  <c r="P268" i="18" s="1"/>
  <c r="P269" i="18" a="1"/>
  <c r="P269" i="18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/>
  <c r="P282" i="18" a="1"/>
  <c r="P282" i="18" s="1"/>
  <c r="P283" i="18" a="1"/>
  <c r="P283" i="18" s="1"/>
  <c r="P284" i="18" a="1"/>
  <c r="P284" i="18" s="1"/>
  <c r="P285" i="18" a="1"/>
  <c r="P285" i="18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 s="1"/>
  <c r="P315" i="18" a="1"/>
  <c r="P315" i="18"/>
  <c r="P316" i="18" a="1"/>
  <c r="P316" i="18" s="1"/>
  <c r="P317" i="18" a="1"/>
  <c r="P317" i="18"/>
  <c r="P318" i="18" a="1"/>
  <c r="P318" i="18" s="1"/>
  <c r="P319" i="18" a="1"/>
  <c r="P319" i="18" s="1"/>
  <c r="P320" i="18" a="1"/>
  <c r="P320" i="18" s="1"/>
  <c r="P321" i="18" a="1"/>
  <c r="P321" i="18"/>
  <c r="P322" i="18" a="1"/>
  <c r="P322" i="18" s="1"/>
  <c r="P323" i="18" a="1"/>
  <c r="P323" i="18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 s="1"/>
  <c r="P329" i="18" a="1"/>
  <c r="P329" i="18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/>
  <c r="P342" i="18" a="1"/>
  <c r="P342" i="18" s="1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/>
  <c r="P348" i="18" a="1"/>
  <c r="P348" i="18" s="1"/>
  <c r="P349" i="18" a="1"/>
  <c r="P349" i="18"/>
  <c r="P350" i="18" a="1"/>
  <c r="P350" i="18" s="1"/>
  <c r="P351" i="18" a="1"/>
  <c r="P351" i="18" s="1"/>
  <c r="P352" i="18" a="1"/>
  <c r="P352" i="18" s="1"/>
  <c r="P353" i="18" a="1"/>
  <c r="P353" i="18"/>
  <c r="P354" i="18" a="1"/>
  <c r="P354" i="18" s="1"/>
  <c r="P355" i="18" a="1"/>
  <c r="P355" i="18"/>
  <c r="P356" i="18" a="1"/>
  <c r="P356" i="18" s="1"/>
  <c r="P357" i="18" a="1"/>
  <c r="P357" i="18" s="1"/>
  <c r="P358" i="18" a="1"/>
  <c r="P358" i="18"/>
  <c r="P359" i="18" a="1"/>
  <c r="P359" i="18" s="1"/>
  <c r="P360" i="18" a="1"/>
  <c r="P360" i="18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 s="1"/>
  <c r="P442" i="18" a="1"/>
  <c r="P442" i="18" s="1"/>
  <c r="P443" i="18" a="1"/>
  <c r="P443" i="18" s="1"/>
  <c r="P444" i="18" a="1"/>
  <c r="P444" i="18" s="1"/>
  <c r="P445" i="18" a="1"/>
  <c r="P445" i="18" s="1"/>
  <c r="P446" i="18" a="1"/>
  <c r="P446" i="18" s="1"/>
  <c r="P447" i="18" a="1"/>
  <c r="P447" i="18" s="1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 s="1"/>
  <c r="P453" i="18" a="1"/>
  <c r="P453" i="18" s="1"/>
  <c r="P454" i="18" a="1"/>
  <c r="P454" i="18" s="1"/>
  <c r="P455" i="18" a="1"/>
  <c r="P455" i="18" s="1"/>
  <c r="P456" i="18" a="1"/>
  <c r="P456" i="18" s="1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 s="1"/>
  <c r="P463" i="18" a="1"/>
  <c r="P463" i="18" s="1"/>
  <c r="P464" i="18" a="1"/>
  <c r="P464" i="18" s="1"/>
  <c r="P465" i="18" a="1"/>
  <c r="P465" i="18" s="1"/>
  <c r="P466" i="18" a="1"/>
  <c r="P466" i="18" s="1"/>
  <c r="P467" i="18" a="1"/>
  <c r="P467" i="18" s="1"/>
  <c r="P468" i="18" a="1"/>
  <c r="P468" i="18" s="1"/>
  <c r="P469" i="18" a="1"/>
  <c r="P469" i="18" s="1"/>
  <c r="P470" i="18" a="1"/>
  <c r="P470" i="18" s="1"/>
  <c r="P471" i="18" a="1"/>
  <c r="P471" i="18" s="1"/>
  <c r="P472" i="18" a="1"/>
  <c r="P472" i="18" s="1"/>
  <c r="P473" i="18" a="1"/>
  <c r="P473" i="18" s="1"/>
  <c r="P474" i="18" a="1"/>
  <c r="P474" i="18" s="1"/>
  <c r="P475" i="18" a="1"/>
  <c r="P475" i="18" s="1"/>
  <c r="P476" i="18" a="1"/>
  <c r="P476" i="18" s="1"/>
  <c r="P477" i="18" a="1"/>
  <c r="P477" i="18" s="1"/>
  <c r="P478" i="18" a="1"/>
  <c r="P478" i="18" s="1"/>
  <c r="P479" i="18" a="1"/>
  <c r="P479" i="18" s="1"/>
  <c r="P480" i="18" a="1"/>
  <c r="P480" i="18" s="1"/>
  <c r="P481" i="18" a="1"/>
  <c r="P481" i="18" s="1"/>
  <c r="P482" i="18" a="1"/>
  <c r="P482" i="18" s="1"/>
  <c r="P483" i="18" a="1"/>
  <c r="P483" i="18" s="1"/>
  <c r="P484" i="18" a="1"/>
  <c r="P484" i="18" s="1"/>
  <c r="P485" i="18" a="1"/>
  <c r="P485" i="18" s="1"/>
  <c r="P486" i="18" a="1"/>
  <c r="P486" i="18" s="1"/>
  <c r="P487" i="18" a="1"/>
  <c r="P487" i="18" s="1"/>
  <c r="P488" i="18" a="1"/>
  <c r="P488" i="18" s="1"/>
  <c r="P489" i="18" a="1"/>
  <c r="P489" i="18" s="1"/>
  <c r="P490" i="18" a="1"/>
  <c r="P490" i="18" s="1"/>
  <c r="P491" i="18" a="1"/>
  <c r="P491" i="18" s="1"/>
  <c r="P492" i="18" a="1"/>
  <c r="P492" i="18" s="1"/>
  <c r="P493" i="18" a="1"/>
  <c r="P493" i="18" s="1"/>
  <c r="P494" i="18" a="1"/>
  <c r="P494" i="18" s="1"/>
  <c r="P495" i="18" a="1"/>
  <c r="P495" i="18" s="1"/>
  <c r="P496" i="18" a="1"/>
  <c r="P496" i="18" s="1"/>
  <c r="P497" i="18" a="1"/>
  <c r="P497" i="18" s="1"/>
  <c r="P498" i="18" a="1"/>
  <c r="P498" i="18" s="1"/>
  <c r="P499" i="18" a="1"/>
  <c r="P499" i="18" s="1"/>
  <c r="P500" i="18" a="1"/>
  <c r="P500" i="18" s="1"/>
  <c r="P501" i="18" a="1"/>
  <c r="P501" i="18" s="1"/>
  <c r="P502" i="18" a="1"/>
  <c r="P502" i="18" s="1"/>
  <c r="P503" i="18" a="1"/>
  <c r="P503" i="18" s="1"/>
  <c r="P504" i="18" a="1"/>
  <c r="P504" i="18" s="1"/>
  <c r="P505" i="18" a="1"/>
  <c r="P505" i="18" s="1"/>
  <c r="P506" i="18" a="1"/>
  <c r="P506" i="18" s="1"/>
  <c r="P507" i="18" a="1"/>
  <c r="P507" i="18" s="1"/>
  <c r="P508" i="18" a="1"/>
  <c r="P508" i="18" s="1"/>
  <c r="P509" i="18" a="1"/>
  <c r="P509" i="18" s="1"/>
  <c r="P510" i="18" a="1"/>
  <c r="P510" i="18" s="1"/>
  <c r="P511" i="18" a="1"/>
  <c r="P511" i="18" s="1"/>
  <c r="P512" i="18" a="1"/>
  <c r="P512" i="18" s="1"/>
  <c r="P513" i="18" a="1"/>
  <c r="P513" i="18" s="1"/>
  <c r="P514" i="18" a="1"/>
  <c r="P514" i="18" s="1"/>
  <c r="P515" i="18" a="1"/>
  <c r="P515" i="18" s="1"/>
  <c r="P516" i="18" a="1"/>
  <c r="P516" i="18" s="1"/>
  <c r="P517" i="18" a="1"/>
  <c r="P517" i="18" s="1"/>
  <c r="P518" i="18" a="1"/>
  <c r="P518" i="18" s="1"/>
  <c r="P519" i="18" a="1"/>
  <c r="P519" i="18" s="1"/>
  <c r="P520" i="18" a="1"/>
  <c r="P520" i="18" s="1"/>
  <c r="P521" i="18" a="1"/>
  <c r="P521" i="18" s="1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 s="1"/>
  <c r="P527" i="18" a="1"/>
  <c r="P527" i="18" s="1"/>
  <c r="P528" i="18" a="1"/>
  <c r="P528" i="18" s="1"/>
  <c r="P529" i="18" a="1"/>
  <c r="P529" i="18" s="1"/>
  <c r="P530" i="18" a="1"/>
  <c r="P530" i="18" s="1"/>
  <c r="P531" i="18" a="1"/>
  <c r="P531" i="18" s="1"/>
  <c r="P532" i="18" a="1"/>
  <c r="P532" i="18" s="1"/>
  <c r="P533" i="18" a="1"/>
  <c r="P533" i="18" s="1"/>
  <c r="P534" i="18" a="1"/>
  <c r="P534" i="18" s="1"/>
  <c r="P535" i="18" a="1"/>
  <c r="P535" i="18" s="1"/>
  <c r="P536" i="18" a="1"/>
  <c r="P536" i="18" s="1"/>
  <c r="P537" i="18" a="1"/>
  <c r="P537" i="18" s="1"/>
  <c r="P538" i="18" a="1"/>
  <c r="P538" i="18" s="1"/>
  <c r="P539" i="18" a="1"/>
  <c r="P539" i="18" s="1"/>
  <c r="P540" i="18" a="1"/>
  <c r="P540" i="18" s="1"/>
  <c r="P541" i="18" a="1"/>
  <c r="P541" i="18" s="1"/>
  <c r="P542" i="18" a="1"/>
  <c r="P542" i="18" s="1"/>
  <c r="P543" i="18" a="1"/>
  <c r="P543" i="18" s="1"/>
  <c r="P544" i="18" a="1"/>
  <c r="P544" i="18" s="1"/>
  <c r="P545" i="18" a="1"/>
  <c r="P545" i="18" s="1"/>
  <c r="P546" i="18" a="1"/>
  <c r="P546" i="18" s="1"/>
  <c r="P547" i="18" a="1"/>
  <c r="P547" i="18" s="1"/>
  <c r="P548" i="18" a="1"/>
  <c r="P548" i="18" s="1"/>
  <c r="P549" i="18" a="1"/>
  <c r="P549" i="18" s="1"/>
  <c r="P550" i="18" a="1"/>
  <c r="P550" i="18" s="1"/>
  <c r="P551" i="18" a="1"/>
  <c r="P551" i="18" s="1"/>
  <c r="P552" i="18" a="1"/>
  <c r="P552" i="18" s="1"/>
  <c r="P553" i="18" a="1"/>
  <c r="P553" i="18" s="1"/>
  <c r="P554" i="18" a="1"/>
  <c r="P554" i="18" s="1"/>
  <c r="P555" i="18" a="1"/>
  <c r="P555" i="18" s="1"/>
  <c r="P556" i="18" a="1"/>
  <c r="P556" i="18" s="1"/>
  <c r="P557" i="18" a="1"/>
  <c r="P557" i="18" s="1"/>
  <c r="P558" i="18" a="1"/>
  <c r="P558" i="18" s="1"/>
  <c r="P559" i="18" a="1"/>
  <c r="P559" i="18" s="1"/>
  <c r="P560" i="18" a="1"/>
  <c r="P560" i="18" s="1"/>
  <c r="P561" i="18" a="1"/>
  <c r="P561" i="18" s="1"/>
  <c r="P562" i="18" a="1"/>
  <c r="P562" i="18" s="1"/>
  <c r="P563" i="18" a="1"/>
  <c r="P563" i="18" s="1"/>
  <c r="P564" i="18" a="1"/>
  <c r="P564" i="18" s="1"/>
  <c r="P565" i="18" a="1"/>
  <c r="P565" i="18" s="1"/>
  <c r="P566" i="18" a="1"/>
  <c r="P566" i="18" s="1"/>
  <c r="P567" i="18" a="1"/>
  <c r="P567" i="18" s="1"/>
  <c r="P568" i="18" a="1"/>
  <c r="P568" i="18" s="1"/>
  <c r="P569" i="18" a="1"/>
  <c r="P569" i="18" s="1"/>
  <c r="P570" i="18" a="1"/>
  <c r="P570" i="18" s="1"/>
  <c r="P571" i="18" a="1"/>
  <c r="P571" i="18" s="1"/>
  <c r="P572" i="18" a="1"/>
  <c r="P572" i="18" s="1"/>
  <c r="P573" i="18" a="1"/>
  <c r="P573" i="18" s="1"/>
  <c r="P574" i="18" a="1"/>
  <c r="P574" i="18" s="1"/>
  <c r="P575" i="18" a="1"/>
  <c r="P575" i="18" s="1"/>
  <c r="P576" i="18" a="1"/>
  <c r="P576" i="18" s="1"/>
  <c r="P577" i="18" a="1"/>
  <c r="P577" i="18" s="1"/>
  <c r="P578" i="18" a="1"/>
  <c r="P578" i="18" s="1"/>
  <c r="P579" i="18" a="1"/>
  <c r="P579" i="18" s="1"/>
  <c r="P580" i="18" a="1"/>
  <c r="P580" i="18" s="1"/>
  <c r="P581" i="18" a="1"/>
  <c r="P581" i="18" s="1"/>
  <c r="P582" i="18" a="1"/>
  <c r="P582" i="18" s="1"/>
  <c r="P583" i="18" a="1"/>
  <c r="P583" i="18" s="1"/>
  <c r="P584" i="18" a="1"/>
  <c r="P584" i="18" s="1"/>
  <c r="P585" i="18" a="1"/>
  <c r="P585" i="18" s="1"/>
  <c r="P586" i="18" a="1"/>
  <c r="P586" i="18" s="1"/>
  <c r="P587" i="18" a="1"/>
  <c r="P587" i="18" s="1"/>
  <c r="P588" i="18" a="1"/>
  <c r="P588" i="18" s="1"/>
  <c r="P589" i="18" a="1"/>
  <c r="P589" i="18" s="1"/>
  <c r="P590" i="18" a="1"/>
  <c r="P590" i="18" s="1"/>
  <c r="P591" i="18" a="1"/>
  <c r="P591" i="18" s="1"/>
  <c r="P592" i="18" a="1"/>
  <c r="P592" i="18" s="1"/>
  <c r="P593" i="18" a="1"/>
  <c r="P593" i="18" s="1"/>
  <c r="P594" i="18" a="1"/>
  <c r="P594" i="18" s="1"/>
  <c r="P595" i="18" a="1"/>
  <c r="P595" i="18" s="1"/>
  <c r="P596" i="18" a="1"/>
  <c r="P596" i="18" s="1"/>
  <c r="P597" i="18" a="1"/>
  <c r="P597" i="18" s="1"/>
  <c r="P598" i="18" a="1"/>
  <c r="P598" i="18" s="1"/>
  <c r="P599" i="18" a="1"/>
  <c r="P599" i="18" s="1"/>
  <c r="P600" i="18" a="1"/>
  <c r="P600" i="18" s="1"/>
  <c r="P601" i="18" a="1"/>
  <c r="P601" i="18" s="1"/>
  <c r="P602" i="18" a="1"/>
  <c r="P602" i="18" s="1"/>
  <c r="P603" i="18" a="1"/>
  <c r="P603" i="18" s="1"/>
  <c r="P604" i="18" a="1"/>
  <c r="P604" i="18" s="1"/>
  <c r="P605" i="18" a="1"/>
  <c r="P605" i="18" s="1"/>
  <c r="P606" i="18" a="1"/>
  <c r="P606" i="18" s="1"/>
  <c r="P607" i="18" a="1"/>
  <c r="P607" i="18" s="1"/>
  <c r="P608" i="18" a="1"/>
  <c r="P608" i="18" s="1"/>
  <c r="P609" i="18" a="1"/>
  <c r="P609" i="18" s="1"/>
  <c r="P610" i="18" a="1"/>
  <c r="P610" i="18" s="1"/>
  <c r="P611" i="18" a="1"/>
  <c r="P611" i="18" s="1"/>
  <c r="P612" i="18" a="1"/>
  <c r="P612" i="18" s="1"/>
  <c r="P613" i="18" a="1"/>
  <c r="P613" i="18" s="1"/>
  <c r="P614" i="18" a="1"/>
  <c r="P614" i="18" s="1"/>
  <c r="P615" i="18" a="1"/>
  <c r="P615" i="18" s="1"/>
  <c r="P616" i="18" a="1"/>
  <c r="P616" i="18" s="1"/>
  <c r="P617" i="18" a="1"/>
  <c r="P617" i="18" s="1"/>
  <c r="P618" i="18" a="1"/>
  <c r="P618" i="18" s="1"/>
  <c r="P619" i="18" a="1"/>
  <c r="P619" i="18" s="1"/>
  <c r="P620" i="18" a="1"/>
  <c r="P620" i="18" s="1"/>
  <c r="P621" i="18" a="1"/>
  <c r="P621" i="18" s="1"/>
  <c r="P622" i="18" a="1"/>
  <c r="P622" i="18" s="1"/>
  <c r="P623" i="18" a="1"/>
  <c r="P623" i="18" s="1"/>
  <c r="P624" i="18" a="1"/>
  <c r="P624" i="18" s="1"/>
  <c r="P625" i="18" a="1"/>
  <c r="P625" i="18" s="1"/>
  <c r="P626" i="18" a="1"/>
  <c r="P626" i="18" s="1"/>
  <c r="P627" i="18" a="1"/>
  <c r="P627" i="18" s="1"/>
  <c r="P628" i="18" a="1"/>
  <c r="P628" i="18" s="1"/>
  <c r="P629" i="18" a="1"/>
  <c r="P629" i="18" s="1"/>
  <c r="P630" i="18" a="1"/>
  <c r="P630" i="18" s="1"/>
  <c r="P631" i="18" a="1"/>
  <c r="P631" i="18" s="1"/>
  <c r="P632" i="18" a="1"/>
  <c r="P632" i="18" s="1"/>
  <c r="P633" i="18" a="1"/>
  <c r="P633" i="18" s="1"/>
  <c r="P634" i="18" a="1"/>
  <c r="P634" i="18" s="1"/>
  <c r="P635" i="18" a="1"/>
  <c r="P635" i="18" s="1"/>
  <c r="P636" i="18" a="1"/>
  <c r="P636" i="18" s="1"/>
  <c r="P637" i="18" a="1"/>
  <c r="P637" i="18" s="1"/>
  <c r="P638" i="18" a="1"/>
  <c r="P638" i="18" s="1"/>
  <c r="P639" i="18" a="1"/>
  <c r="P639" i="18" s="1"/>
  <c r="P640" i="18" a="1"/>
  <c r="P640" i="18" s="1"/>
  <c r="P641" i="18" a="1"/>
  <c r="P641" i="18" s="1"/>
  <c r="P642" i="18" a="1"/>
  <c r="P642" i="18" s="1"/>
  <c r="P643" i="18" a="1"/>
  <c r="P643" i="18" s="1"/>
  <c r="P644" i="18" a="1"/>
  <c r="P644" i="18" s="1"/>
  <c r="P645" i="18" a="1"/>
  <c r="P645" i="18" s="1"/>
  <c r="P646" i="18" a="1"/>
  <c r="P646" i="18" s="1"/>
  <c r="P647" i="18" a="1"/>
  <c r="P647" i="18" s="1"/>
  <c r="P648" i="18" a="1"/>
  <c r="P648" i="18" s="1"/>
  <c r="P649" i="18" a="1"/>
  <c r="P649" i="18" s="1"/>
  <c r="P650" i="18" a="1"/>
  <c r="P650" i="18" s="1"/>
  <c r="P651" i="18" a="1"/>
  <c r="P651" i="18" s="1"/>
  <c r="P652" i="18" a="1"/>
  <c r="P652" i="18" s="1"/>
  <c r="P653" i="18" a="1"/>
  <c r="P653" i="18" s="1"/>
  <c r="P654" i="18" a="1"/>
  <c r="P654" i="18" s="1"/>
  <c r="P655" i="18" a="1"/>
  <c r="P655" i="18" s="1"/>
  <c r="P656" i="18" a="1"/>
  <c r="P656" i="18" s="1"/>
  <c r="P657" i="18" a="1"/>
  <c r="P657" i="18" s="1"/>
  <c r="P658" i="18" a="1"/>
  <c r="P658" i="18" s="1"/>
  <c r="P659" i="18" a="1"/>
  <c r="P659" i="18" s="1"/>
  <c r="P660" i="18" a="1"/>
  <c r="P660" i="18" s="1"/>
  <c r="P661" i="18" a="1"/>
  <c r="P661" i="18" s="1"/>
  <c r="P662" i="18" a="1"/>
  <c r="P662" i="18" s="1"/>
  <c r="P663" i="18" a="1"/>
  <c r="P663" i="18" s="1"/>
  <c r="P664" i="18" a="1"/>
  <c r="P664" i="18" s="1"/>
  <c r="P665" i="18" a="1"/>
  <c r="P665" i="18" s="1"/>
  <c r="P666" i="18" a="1"/>
  <c r="P666" i="18" s="1"/>
  <c r="P667" i="18" a="1"/>
  <c r="P667" i="18" s="1"/>
  <c r="P668" i="18" a="1"/>
  <c r="P668" i="18" s="1"/>
  <c r="P669" i="18" a="1"/>
  <c r="P669" i="18" s="1"/>
  <c r="P670" i="18" a="1"/>
  <c r="P670" i="18" s="1"/>
  <c r="P671" i="18" a="1"/>
  <c r="P671" i="18" s="1"/>
  <c r="P672" i="18" a="1"/>
  <c r="P672" i="18" s="1"/>
  <c r="P673" i="18" a="1"/>
  <c r="P673" i="18" s="1"/>
  <c r="P674" i="18" a="1"/>
  <c r="P674" i="18" s="1"/>
  <c r="P675" i="18" a="1"/>
  <c r="P675" i="18" s="1"/>
  <c r="P676" i="18" a="1"/>
  <c r="P676" i="18"/>
  <c r="P677" i="18" a="1"/>
  <c r="P677" i="18" s="1"/>
  <c r="P678" i="18" a="1"/>
  <c r="P678" i="18" s="1"/>
  <c r="P679" i="18" a="1"/>
  <c r="P679" i="18" s="1"/>
  <c r="P680" i="18" a="1"/>
  <c r="P680" i="18"/>
  <c r="P681" i="18" a="1"/>
  <c r="P681" i="18" s="1"/>
  <c r="P682" i="18" a="1"/>
  <c r="P682" i="18" s="1"/>
  <c r="P683" i="18" a="1"/>
  <c r="P683" i="18" s="1"/>
  <c r="P684" i="18" a="1"/>
  <c r="P684" i="18" s="1"/>
  <c r="P685" i="18" a="1"/>
  <c r="P685" i="18" s="1"/>
  <c r="P686" i="18" a="1"/>
  <c r="P686" i="18" s="1"/>
  <c r="P687" i="18" a="1"/>
  <c r="P687" i="18" s="1"/>
  <c r="P688" i="18" a="1"/>
  <c r="P688" i="18" s="1"/>
  <c r="P689" i="18" a="1"/>
  <c r="P689" i="18" s="1"/>
  <c r="P690" i="18" a="1"/>
  <c r="P690" i="18" s="1"/>
  <c r="P691" i="18" a="1"/>
  <c r="P691" i="18" s="1"/>
  <c r="P692" i="18" a="1"/>
  <c r="P692" i="18"/>
  <c r="P693" i="18" a="1"/>
  <c r="P693" i="18" s="1"/>
  <c r="P694" i="18" a="1"/>
  <c r="P694" i="18" s="1"/>
  <c r="P695" i="18" a="1"/>
  <c r="P695" i="18" s="1"/>
  <c r="P696" i="18" a="1"/>
  <c r="P696" i="18"/>
  <c r="P697" i="18" a="1"/>
  <c r="P697" i="18" s="1"/>
  <c r="P698" i="18" a="1"/>
  <c r="P698" i="18" s="1"/>
  <c r="P699" i="18" a="1"/>
  <c r="P699" i="18" s="1"/>
  <c r="P700" i="18" a="1"/>
  <c r="P700" i="18" s="1"/>
  <c r="P701" i="18" a="1"/>
  <c r="P701" i="18" s="1"/>
  <c r="P702" i="18" a="1"/>
  <c r="P702" i="18" s="1"/>
  <c r="P703" i="18" a="1"/>
  <c r="P703" i="18" s="1"/>
  <c r="P704" i="18" a="1"/>
  <c r="P704" i="18" s="1"/>
  <c r="P705" i="18" a="1"/>
  <c r="P705" i="18" s="1"/>
  <c r="P706" i="18" a="1"/>
  <c r="P706" i="18" s="1"/>
  <c r="P707" i="18" a="1"/>
  <c r="P707" i="18" s="1"/>
  <c r="P708" i="18" a="1"/>
  <c r="P708" i="18"/>
  <c r="P709" i="18" a="1"/>
  <c r="P709" i="18" s="1"/>
  <c r="P710" i="18" a="1"/>
  <c r="P710" i="18" s="1"/>
  <c r="P711" i="18" a="1"/>
  <c r="P711" i="18" s="1"/>
  <c r="P712" i="18" a="1"/>
  <c r="P712" i="18" s="1"/>
  <c r="P713" i="18" a="1"/>
  <c r="P713" i="18" s="1"/>
  <c r="P714" i="18" a="1"/>
  <c r="P714" i="18" s="1"/>
  <c r="P715" i="18" a="1"/>
  <c r="P715" i="18" s="1"/>
  <c r="P716" i="18" a="1"/>
  <c r="P716" i="18" s="1"/>
  <c r="P717" i="18" a="1"/>
  <c r="P717" i="18" s="1"/>
  <c r="P718" i="18" a="1"/>
  <c r="P718" i="18" s="1"/>
  <c r="P719" i="18" a="1"/>
  <c r="P719" i="18" s="1"/>
  <c r="P720" i="18" a="1"/>
  <c r="P720" i="18" s="1"/>
  <c r="P721" i="18" a="1"/>
  <c r="P721" i="18" s="1"/>
  <c r="P722" i="18" a="1"/>
  <c r="P722" i="18" s="1"/>
  <c r="P723" i="18" a="1"/>
  <c r="P723" i="18" s="1"/>
  <c r="P724" i="18" a="1"/>
  <c r="P724" i="18"/>
  <c r="P725" i="18" a="1"/>
  <c r="P725" i="18" s="1"/>
  <c r="P726" i="18" a="1"/>
  <c r="P726" i="18" s="1"/>
  <c r="P727" i="18" a="1"/>
  <c r="P727" i="18" s="1"/>
  <c r="P728" i="18" a="1"/>
  <c r="P728" i="18"/>
  <c r="P729" i="18" a="1"/>
  <c r="P729" i="18" s="1"/>
  <c r="P730" i="18" a="1"/>
  <c r="P730" i="18" s="1"/>
  <c r="P731" i="18" a="1"/>
  <c r="P731" i="18" s="1"/>
  <c r="P732" i="18" a="1"/>
  <c r="P732" i="18" s="1"/>
  <c r="P733" i="18" a="1"/>
  <c r="P733" i="18" s="1"/>
  <c r="P734" i="18" a="1"/>
  <c r="P734" i="18" s="1"/>
  <c r="P735" i="18" a="1"/>
  <c r="P735" i="18" s="1"/>
  <c r="P736" i="18" a="1"/>
  <c r="P736" i="18" s="1"/>
  <c r="P737" i="18" a="1"/>
  <c r="P737" i="18" s="1"/>
  <c r="P738" i="18" a="1"/>
  <c r="P738" i="18" s="1"/>
  <c r="P739" i="18" a="1"/>
  <c r="P739" i="18" s="1"/>
  <c r="P740" i="18" a="1"/>
  <c r="P740" i="18" s="1"/>
  <c r="P741" i="18" a="1"/>
  <c r="P741" i="18" s="1"/>
  <c r="P742" i="18" a="1"/>
  <c r="P742" i="18" s="1"/>
  <c r="P743" i="18" a="1"/>
  <c r="P743" i="18" s="1"/>
  <c r="P744" i="18" a="1"/>
  <c r="P744" i="18"/>
  <c r="P745" i="18" a="1"/>
  <c r="P745" i="18" s="1"/>
  <c r="P746" i="18" a="1"/>
  <c r="P746" i="18" s="1"/>
  <c r="P747" i="18" a="1"/>
  <c r="P747" i="18" s="1"/>
  <c r="P748" i="18" a="1"/>
  <c r="P748" i="18" s="1"/>
  <c r="P749" i="18" a="1"/>
  <c r="P749" i="18" s="1"/>
  <c r="P750" i="18" a="1"/>
  <c r="P750" i="18" s="1"/>
  <c r="P751" i="18" a="1"/>
  <c r="P751" i="18" s="1"/>
  <c r="P752" i="18" a="1"/>
  <c r="P752" i="18" s="1"/>
  <c r="P753" i="18" a="1"/>
  <c r="P753" i="18" s="1"/>
  <c r="P754" i="18" a="1"/>
  <c r="P754" i="18" s="1"/>
  <c r="P755" i="18" a="1"/>
  <c r="P755" i="18" s="1"/>
  <c r="P756" i="18" a="1"/>
  <c r="P756" i="18" s="1"/>
  <c r="P757" i="18" a="1"/>
  <c r="P757" i="18" s="1"/>
  <c r="P758" i="18" a="1"/>
  <c r="P758" i="18" s="1"/>
  <c r="P759" i="18" a="1"/>
  <c r="P759" i="18" s="1"/>
  <c r="P760" i="18" a="1"/>
  <c r="P760" i="18"/>
  <c r="P761" i="18" a="1"/>
  <c r="P761" i="18" s="1"/>
  <c r="P762" i="18" a="1"/>
  <c r="P762" i="18" s="1"/>
  <c r="P763" i="18" a="1"/>
  <c r="P763" i="18" s="1"/>
  <c r="P764" i="18" a="1"/>
  <c r="P764" i="18" s="1"/>
  <c r="P765" i="18" a="1"/>
  <c r="P765" i="18" s="1"/>
  <c r="P766" i="18" a="1"/>
  <c r="P766" i="18" s="1"/>
  <c r="P767" i="18" a="1"/>
  <c r="P767" i="18" s="1"/>
  <c r="P768" i="18" a="1"/>
  <c r="P768" i="18" s="1"/>
  <c r="P769" i="18" a="1"/>
  <c r="P769" i="18" s="1"/>
  <c r="P770" i="18" a="1"/>
  <c r="P770" i="18" s="1"/>
  <c r="P771" i="18" a="1"/>
  <c r="P771" i="18" s="1"/>
  <c r="P772" i="18" a="1"/>
  <c r="P772" i="18" s="1"/>
  <c r="P773" i="18" a="1"/>
  <c r="P773" i="18" s="1"/>
  <c r="P774" i="18" a="1"/>
  <c r="P774" i="18" s="1"/>
  <c r="P775" i="18" a="1"/>
  <c r="P775" i="18" s="1"/>
  <c r="P776" i="18" a="1"/>
  <c r="P776" i="18"/>
  <c r="P777" i="18" a="1"/>
  <c r="P777" i="18" s="1"/>
  <c r="P778" i="18" a="1"/>
  <c r="P778" i="18" s="1"/>
  <c r="P779" i="18" a="1"/>
  <c r="P779" i="18" s="1"/>
  <c r="P780" i="18" a="1"/>
  <c r="P780" i="18" s="1"/>
  <c r="P781" i="18" a="1"/>
  <c r="P781" i="18" s="1"/>
  <c r="P782" i="18" a="1"/>
  <c r="P782" i="18" s="1"/>
  <c r="P783" i="18" a="1"/>
  <c r="P783" i="18" s="1"/>
  <c r="P784" i="18" a="1"/>
  <c r="P784" i="18" s="1"/>
  <c r="P785" i="18" a="1"/>
  <c r="P785" i="18" s="1"/>
  <c r="P786" i="18" a="1"/>
  <c r="P786" i="18" s="1"/>
  <c r="P787" i="18" a="1"/>
  <c r="P787" i="18" s="1"/>
  <c r="P788" i="18" a="1"/>
  <c r="P788" i="18"/>
  <c r="P789" i="18" a="1"/>
  <c r="P789" i="18" s="1"/>
  <c r="P790" i="18" a="1"/>
  <c r="P790" i="18" s="1"/>
  <c r="P791" i="18" a="1"/>
  <c r="P791" i="18" s="1"/>
  <c r="P792" i="18" a="1"/>
  <c r="P792" i="18"/>
  <c r="P793" i="18" a="1"/>
  <c r="P793" i="18" s="1"/>
  <c r="P794" i="18" a="1"/>
  <c r="P794" i="18" s="1"/>
  <c r="P795" i="18" a="1"/>
  <c r="P795" i="18" s="1"/>
  <c r="P796" i="18" a="1"/>
  <c r="P796" i="18" s="1"/>
  <c r="P797" i="18" a="1"/>
  <c r="P797" i="18" s="1"/>
  <c r="P798" i="18" a="1"/>
  <c r="P798" i="18" s="1"/>
  <c r="P799" i="18" a="1"/>
  <c r="P799" i="18" s="1"/>
  <c r="P800" i="18" a="1"/>
  <c r="P800" i="18" s="1"/>
  <c r="P801" i="18" a="1"/>
  <c r="P801" i="18" s="1"/>
  <c r="P802" i="18" a="1"/>
  <c r="P802" i="18" s="1"/>
  <c r="P803" i="18" a="1"/>
  <c r="P803" i="18" s="1"/>
  <c r="P804" i="18" a="1"/>
  <c r="P804" i="18"/>
  <c r="P805" i="18" a="1"/>
  <c r="P805" i="18" s="1"/>
  <c r="P806" i="18" a="1"/>
  <c r="P806" i="18" s="1"/>
  <c r="P807" i="18" a="1"/>
  <c r="P807" i="18" s="1"/>
  <c r="P808" i="18" a="1"/>
  <c r="P808" i="18"/>
  <c r="P809" i="18" a="1"/>
  <c r="P809" i="18" s="1"/>
  <c r="P810" i="18" a="1"/>
  <c r="P810" i="18" s="1"/>
  <c r="P811" i="18" a="1"/>
  <c r="P811" i="18" s="1"/>
  <c r="P812" i="18" a="1"/>
  <c r="P812" i="18" s="1"/>
  <c r="P813" i="18" a="1"/>
  <c r="P813" i="18" s="1"/>
  <c r="P814" i="18" a="1"/>
  <c r="P814" i="18" s="1"/>
  <c r="P815" i="18" a="1"/>
  <c r="P815" i="18" s="1"/>
  <c r="P816" i="18" a="1"/>
  <c r="P816" i="18" s="1"/>
  <c r="P817" i="18" a="1"/>
  <c r="P817" i="18" s="1"/>
  <c r="P818" i="18" a="1"/>
  <c r="P818" i="18" s="1"/>
  <c r="R818" i="18" s="1"/>
  <c r="P819" i="18" a="1"/>
  <c r="P819" i="18" s="1"/>
  <c r="P820" i="18" a="1"/>
  <c r="P820" i="18"/>
  <c r="P821" i="18" a="1"/>
  <c r="P821" i="18" s="1"/>
  <c r="P822" i="18" a="1"/>
  <c r="P822" i="18" s="1"/>
  <c r="P823" i="18" a="1"/>
  <c r="P823" i="18" s="1"/>
  <c r="P824" i="18" a="1"/>
  <c r="P824" i="18"/>
  <c r="P825" i="18" a="1"/>
  <c r="P825" i="18" s="1"/>
  <c r="P826" i="18" a="1"/>
  <c r="P826" i="18" s="1"/>
  <c r="P827" i="18" a="1"/>
  <c r="P827" i="18" s="1"/>
  <c r="P828" i="18" a="1"/>
  <c r="P828" i="18" s="1"/>
  <c r="P829" i="18" a="1"/>
  <c r="P829" i="18" s="1"/>
  <c r="P830" i="18" a="1"/>
  <c r="P830" i="18" s="1"/>
  <c r="P831" i="18" a="1"/>
  <c r="P831" i="18" s="1"/>
  <c r="P832" i="18" a="1"/>
  <c r="P832" i="18" s="1"/>
  <c r="P833" i="18" a="1"/>
  <c r="P833" i="18" s="1"/>
  <c r="P834" i="18" a="1"/>
  <c r="P834" i="18" s="1"/>
  <c r="P835" i="18" a="1"/>
  <c r="P835" i="18" s="1"/>
  <c r="P836" i="18" a="1"/>
  <c r="P836" i="18"/>
  <c r="P837" i="18" a="1"/>
  <c r="P837" i="18" s="1"/>
  <c r="P838" i="18" a="1"/>
  <c r="P838" i="18" s="1"/>
  <c r="P839" i="18" a="1"/>
  <c r="P839" i="18" s="1"/>
  <c r="P840" i="18" a="1"/>
  <c r="P840" i="18" s="1"/>
  <c r="R840" i="18" s="1"/>
  <c r="U840" i="18" s="1"/>
  <c r="P841" i="18" a="1"/>
  <c r="P841" i="18" s="1"/>
  <c r="P842" i="18" a="1"/>
  <c r="P842" i="18" s="1"/>
  <c r="P843" i="18" a="1"/>
  <c r="P843" i="18" s="1"/>
  <c r="P844" i="18" a="1"/>
  <c r="P844" i="18" s="1"/>
  <c r="P845" i="18" a="1"/>
  <c r="P845" i="18" s="1"/>
  <c r="P846" i="18" a="1"/>
  <c r="P846" i="18" s="1"/>
  <c r="R846" i="18" s="1"/>
  <c r="P847" i="18" a="1"/>
  <c r="P847" i="18" s="1"/>
  <c r="P848" i="18" a="1"/>
  <c r="P848" i="18" s="1"/>
  <c r="P849" i="18" a="1"/>
  <c r="P849" i="18" s="1"/>
  <c r="P850" i="18" a="1"/>
  <c r="P850" i="18" s="1"/>
  <c r="R850" i="18" s="1"/>
  <c r="P851" i="18" a="1"/>
  <c r="P851" i="18" s="1"/>
  <c r="Q2" i="18" a="1"/>
  <c r="Q2" i="18"/>
  <c r="R2" i="18" s="1"/>
  <c r="Q3" i="18" a="1"/>
  <c r="Q3" i="18" s="1"/>
  <c r="R3" i="18" s="1"/>
  <c r="U3" i="18" s="1"/>
  <c r="Q4" i="18" a="1"/>
  <c r="Q4" i="18" s="1"/>
  <c r="R4" i="18" s="1"/>
  <c r="Q5" i="18" a="1"/>
  <c r="Q5" i="18" s="1"/>
  <c r="R5" i="18" s="1"/>
  <c r="Q6" i="18" a="1"/>
  <c r="Q6" i="18"/>
  <c r="R6" i="18" s="1"/>
  <c r="Q7" i="18" a="1"/>
  <c r="Q7" i="18" s="1"/>
  <c r="Q8" i="18" a="1"/>
  <c r="Q8" i="18" s="1"/>
  <c r="R8" i="18" s="1"/>
  <c r="Q9" i="18" a="1"/>
  <c r="Q9" i="18" s="1"/>
  <c r="R9" i="18" s="1"/>
  <c r="Q10" i="18" a="1"/>
  <c r="Q10" i="18" s="1"/>
  <c r="R10" i="18" s="1"/>
  <c r="Q11" i="18" a="1"/>
  <c r="Q11" i="18" s="1"/>
  <c r="Q12" i="18" a="1"/>
  <c r="Q12" i="18" s="1"/>
  <c r="R12" i="18" s="1"/>
  <c r="Q13" i="18" a="1"/>
  <c r="Q13" i="18" s="1"/>
  <c r="R13" i="18" s="1"/>
  <c r="Q14" i="18" a="1"/>
  <c r="Q14" i="18" s="1"/>
  <c r="R14" i="18" s="1"/>
  <c r="Q15" i="18" a="1"/>
  <c r="Q15" i="18" s="1"/>
  <c r="Q16" i="18" a="1"/>
  <c r="Q16" i="18" s="1"/>
  <c r="R16" i="18" s="1"/>
  <c r="Q17" i="18" a="1"/>
  <c r="Q17" i="18" s="1"/>
  <c r="Q18" i="18" a="1"/>
  <c r="Q18" i="18"/>
  <c r="R18" i="18" s="1"/>
  <c r="Q19" i="18" a="1"/>
  <c r="Q19" i="18" s="1"/>
  <c r="R19" i="18" s="1"/>
  <c r="Q20" i="18" a="1"/>
  <c r="Q20" i="18" s="1"/>
  <c r="R20" i="18" s="1"/>
  <c r="Q21" i="18" a="1"/>
  <c r="Q21" i="18" s="1"/>
  <c r="R21" i="18" s="1"/>
  <c r="Q22" i="18" a="1"/>
  <c r="Q22" i="18" s="1"/>
  <c r="R22" i="18" s="1"/>
  <c r="U22" i="18" s="1"/>
  <c r="Q23" i="18" a="1"/>
  <c r="Q23" i="18" s="1"/>
  <c r="Q24" i="18" a="1"/>
  <c r="Q24" i="18" s="1"/>
  <c r="R24" i="18" s="1"/>
  <c r="Q25" i="18" a="1"/>
  <c r="Q25" i="18" s="1"/>
  <c r="Q26" i="18" a="1"/>
  <c r="Q26" i="18" s="1"/>
  <c r="R26" i="18" s="1"/>
  <c r="Q27" i="18" a="1"/>
  <c r="Q27" i="18" s="1"/>
  <c r="Q28" i="18" a="1"/>
  <c r="Q28" i="18" s="1"/>
  <c r="R28" i="18" s="1"/>
  <c r="Q29" i="18" a="1"/>
  <c r="Q29" i="18" s="1"/>
  <c r="R29" i="18" s="1"/>
  <c r="Q30" i="18" a="1"/>
  <c r="Q30" i="18" s="1"/>
  <c r="R30" i="18" s="1"/>
  <c r="Q31" i="18" a="1"/>
  <c r="Q31" i="18" s="1"/>
  <c r="R31" i="18" s="1"/>
  <c r="Q32" i="18" a="1"/>
  <c r="Q32" i="18" s="1"/>
  <c r="R32" i="18" s="1"/>
  <c r="Q33" i="18" a="1"/>
  <c r="Q33" i="18" s="1"/>
  <c r="Q34" i="18" a="1"/>
  <c r="Q34" i="18"/>
  <c r="R34" i="18" s="1"/>
  <c r="Q35" i="18" a="1"/>
  <c r="Q35" i="18" s="1"/>
  <c r="R35" i="18" s="1"/>
  <c r="U35" i="18" s="1"/>
  <c r="Q36" i="18" a="1"/>
  <c r="Q36" i="18" s="1"/>
  <c r="R36" i="18" s="1"/>
  <c r="Q37" i="18" a="1"/>
  <c r="Q37" i="18" s="1"/>
  <c r="R37" i="18" s="1"/>
  <c r="Q38" i="18" a="1"/>
  <c r="Q38" i="18"/>
  <c r="R38" i="18" s="1"/>
  <c r="Q39" i="18" a="1"/>
  <c r="Q39" i="18" s="1"/>
  <c r="Q40" i="18" a="1"/>
  <c r="Q40" i="18" s="1"/>
  <c r="R40" i="18" s="1"/>
  <c r="Q41" i="18" a="1"/>
  <c r="Q41" i="18" s="1"/>
  <c r="R41" i="18" s="1"/>
  <c r="Q42" i="18" a="1"/>
  <c r="Q42" i="18" s="1"/>
  <c r="R42" i="18" s="1"/>
  <c r="Q43" i="18" a="1"/>
  <c r="Q43" i="18" s="1"/>
  <c r="Q44" i="18" a="1"/>
  <c r="Q44" i="18" s="1"/>
  <c r="R44" i="18" s="1"/>
  <c r="Q45" i="18" a="1"/>
  <c r="Q45" i="18" s="1"/>
  <c r="R45" i="18" s="1"/>
  <c r="Q46" i="18" a="1"/>
  <c r="Q46" i="18" s="1"/>
  <c r="R46" i="18" s="1"/>
  <c r="Q47" i="18" a="1"/>
  <c r="Q47" i="18" s="1"/>
  <c r="R47" i="18" s="1"/>
  <c r="U47" i="18" s="1"/>
  <c r="Q48" i="18" a="1"/>
  <c r="Q48" i="18" s="1"/>
  <c r="R48" i="18" s="1"/>
  <c r="Q49" i="18" a="1"/>
  <c r="Q49" i="18" s="1"/>
  <c r="Q50" i="18" a="1"/>
  <c r="Q50" i="18"/>
  <c r="R50" i="18" s="1"/>
  <c r="Q51" i="18" a="1"/>
  <c r="Q51" i="18" s="1"/>
  <c r="R51" i="18" s="1"/>
  <c r="Q52" i="18" a="1"/>
  <c r="Q52" i="18" s="1"/>
  <c r="R52" i="18" s="1"/>
  <c r="Q53" i="18" a="1"/>
  <c r="Q53" i="18" s="1"/>
  <c r="R53" i="18" s="1"/>
  <c r="Q54" i="18" a="1"/>
  <c r="Q54" i="18" s="1"/>
  <c r="R54" i="18" s="1"/>
  <c r="U54" i="18" s="1"/>
  <c r="Q55" i="18" a="1"/>
  <c r="Q55" i="18" s="1"/>
  <c r="Q56" i="18" a="1"/>
  <c r="Q56" i="18" s="1"/>
  <c r="R56" i="18" s="1"/>
  <c r="Q57" i="18" a="1"/>
  <c r="Q57" i="18" s="1"/>
  <c r="Q58" i="18" a="1"/>
  <c r="Q58" i="18" s="1"/>
  <c r="R58" i="18" s="1"/>
  <c r="Q59" i="18" a="1"/>
  <c r="Q59" i="18" s="1"/>
  <c r="Q60" i="18" a="1"/>
  <c r="Q60" i="18" s="1"/>
  <c r="R60" i="18" s="1"/>
  <c r="Q61" i="18" a="1"/>
  <c r="Q61" i="18" s="1"/>
  <c r="R61" i="18" s="1"/>
  <c r="Q62" i="18" a="1"/>
  <c r="Q62" i="18" s="1"/>
  <c r="R62" i="18" s="1"/>
  <c r="Q63" i="18" a="1"/>
  <c r="Q63" i="18" s="1"/>
  <c r="R63" i="18" s="1"/>
  <c r="Q64" i="18" a="1"/>
  <c r="Q64" i="18" s="1"/>
  <c r="R64" i="18" s="1"/>
  <c r="Q65" i="18" a="1"/>
  <c r="Q65" i="18" s="1"/>
  <c r="Q66" i="18" a="1"/>
  <c r="Q66" i="18"/>
  <c r="R66" i="18" s="1"/>
  <c r="Q67" i="18" a="1"/>
  <c r="Q67" i="18" s="1"/>
  <c r="Q68" i="18" a="1"/>
  <c r="Q68" i="18" s="1"/>
  <c r="R68" i="18" s="1"/>
  <c r="Q69" i="18" a="1"/>
  <c r="Q69" i="18" s="1"/>
  <c r="R69" i="18" s="1"/>
  <c r="Q70" i="18" a="1"/>
  <c r="Q70" i="18"/>
  <c r="R70" i="18" s="1"/>
  <c r="Q71" i="18" a="1"/>
  <c r="Q71" i="18" s="1"/>
  <c r="Q72" i="18" a="1"/>
  <c r="Q72" i="18" s="1"/>
  <c r="R72" i="18" s="1"/>
  <c r="Q73" i="18" a="1"/>
  <c r="Q73" i="18" s="1"/>
  <c r="R73" i="18" s="1"/>
  <c r="Q74" i="18" a="1"/>
  <c r="Q74" i="18" s="1"/>
  <c r="R74" i="18" s="1"/>
  <c r="Q75" i="18" a="1"/>
  <c r="Q75" i="18"/>
  <c r="Q76" i="18" a="1"/>
  <c r="Q76" i="18" s="1"/>
  <c r="R76" i="18" s="1"/>
  <c r="Q77" i="18" a="1"/>
  <c r="Q77" i="18"/>
  <c r="R77" i="18" s="1"/>
  <c r="U77" i="18" s="1"/>
  <c r="Q78" i="18" a="1"/>
  <c r="Q78" i="18" s="1"/>
  <c r="R78" i="18" s="1"/>
  <c r="Q79" i="18" a="1"/>
  <c r="Q79" i="18"/>
  <c r="Q80" i="18" a="1"/>
  <c r="Q80" i="18" s="1"/>
  <c r="R80" i="18" s="1"/>
  <c r="Q81" i="18" a="1"/>
  <c r="Q81" i="18"/>
  <c r="R81" i="18" s="1"/>
  <c r="Q82" i="18" a="1"/>
  <c r="Q82" i="18" s="1"/>
  <c r="R82" i="18" s="1"/>
  <c r="Q83" i="18" a="1"/>
  <c r="Q83" i="18"/>
  <c r="Q84" i="18" a="1"/>
  <c r="Q84" i="18" s="1"/>
  <c r="R84" i="18" s="1"/>
  <c r="Q85" i="18" a="1"/>
  <c r="Q85" i="18"/>
  <c r="R85" i="18" s="1"/>
  <c r="U85" i="18" s="1"/>
  <c r="Q86" i="18" a="1"/>
  <c r="Q86" i="18" s="1"/>
  <c r="R86" i="18" s="1"/>
  <c r="Q87" i="18" a="1"/>
  <c r="Q87" i="18"/>
  <c r="R87" i="18" s="1"/>
  <c r="U87" i="18" s="1"/>
  <c r="Q88" i="18" a="1"/>
  <c r="Q88" i="18" s="1"/>
  <c r="R88" i="18" s="1"/>
  <c r="Q89" i="18" a="1"/>
  <c r="Q89" i="18"/>
  <c r="R89" i="18" s="1"/>
  <c r="Q90" i="18" a="1"/>
  <c r="Q90" i="18" s="1"/>
  <c r="R90" i="18" s="1"/>
  <c r="Q91" i="18" a="1"/>
  <c r="Q91" i="18"/>
  <c r="Q92" i="18" a="1"/>
  <c r="Q92" i="18" s="1"/>
  <c r="R92" i="18" s="1"/>
  <c r="Q93" i="18" a="1"/>
  <c r="Q93" i="18"/>
  <c r="Q94" i="18" a="1"/>
  <c r="Q94" i="18" s="1"/>
  <c r="R94" i="18" s="1"/>
  <c r="Q95" i="18" a="1"/>
  <c r="Q95" i="18"/>
  <c r="R95" i="18" s="1"/>
  <c r="U95" i="18" s="1"/>
  <c r="Q96" i="18" a="1"/>
  <c r="Q96" i="18" s="1"/>
  <c r="R96" i="18" s="1"/>
  <c r="Q97" i="18" a="1"/>
  <c r="Q97" i="18"/>
  <c r="R97" i="18" s="1"/>
  <c r="Q98" i="18" a="1"/>
  <c r="Q98" i="18" s="1"/>
  <c r="R98" i="18" s="1"/>
  <c r="Q99" i="18" a="1"/>
  <c r="Q99" i="18"/>
  <c r="Q100" i="18" a="1"/>
  <c r="Q100" i="18" s="1"/>
  <c r="R100" i="18" s="1"/>
  <c r="Q101" i="18" a="1"/>
  <c r="Q101" i="18"/>
  <c r="Q102" i="18" a="1"/>
  <c r="Q102" i="18" s="1"/>
  <c r="R102" i="18" s="1"/>
  <c r="Q103" i="18" a="1"/>
  <c r="Q103" i="18"/>
  <c r="R103" i="18" s="1"/>
  <c r="U103" i="18" s="1"/>
  <c r="Q104" i="18" a="1"/>
  <c r="Q104" i="18" s="1"/>
  <c r="R104" i="18" s="1"/>
  <c r="Q105" i="18" a="1"/>
  <c r="Q105" i="18"/>
  <c r="R105" i="18" s="1"/>
  <c r="Q106" i="18" a="1"/>
  <c r="Q106" i="18" s="1"/>
  <c r="R106" i="18" s="1"/>
  <c r="Q107" i="18" a="1"/>
  <c r="Q107" i="18"/>
  <c r="Q108" i="18" a="1"/>
  <c r="Q108" i="18" s="1"/>
  <c r="R108" i="18" s="1"/>
  <c r="Q109" i="18" a="1"/>
  <c r="Q109" i="18"/>
  <c r="R109" i="18" s="1"/>
  <c r="U109" i="18" s="1"/>
  <c r="Q110" i="18" a="1"/>
  <c r="Q110" i="18" s="1"/>
  <c r="R110" i="18" s="1"/>
  <c r="Q111" i="18" a="1"/>
  <c r="Q111" i="18"/>
  <c r="Q112" i="18" a="1"/>
  <c r="Q112" i="18" s="1"/>
  <c r="R112" i="18" s="1"/>
  <c r="Q113" i="18" a="1"/>
  <c r="Q113" i="18"/>
  <c r="R113" i="18" s="1"/>
  <c r="Q114" i="18" a="1"/>
  <c r="Q114" i="18" s="1"/>
  <c r="R114" i="18" s="1"/>
  <c r="Q115" i="18" a="1"/>
  <c r="Q115" i="18"/>
  <c r="Q116" i="18" a="1"/>
  <c r="Q116" i="18" s="1"/>
  <c r="R116" i="18" s="1"/>
  <c r="Q117" i="18" a="1"/>
  <c r="Q117" i="18"/>
  <c r="R117" i="18" s="1"/>
  <c r="U117" i="18" s="1"/>
  <c r="Q118" i="18" a="1"/>
  <c r="Q118" i="18" s="1"/>
  <c r="R118" i="18" s="1"/>
  <c r="Q119" i="18" a="1"/>
  <c r="Q119" i="18"/>
  <c r="R119" i="18" s="1"/>
  <c r="U119" i="18" s="1"/>
  <c r="Q120" i="18" a="1"/>
  <c r="Q120" i="18" s="1"/>
  <c r="R120" i="18" s="1"/>
  <c r="Q121" i="18" a="1"/>
  <c r="Q121" i="18"/>
  <c r="R121" i="18" s="1"/>
  <c r="Q122" i="18" a="1"/>
  <c r="Q122" i="18" s="1"/>
  <c r="R122" i="18" s="1"/>
  <c r="Q123" i="18" a="1"/>
  <c r="Q123" i="18"/>
  <c r="Q124" i="18" a="1"/>
  <c r="Q124" i="18" s="1"/>
  <c r="R124" i="18" s="1"/>
  <c r="Q125" i="18" a="1"/>
  <c r="Q125" i="18"/>
  <c r="Q126" i="18" a="1"/>
  <c r="Q126" i="18" s="1"/>
  <c r="R126" i="18" s="1"/>
  <c r="Q127" i="18" a="1"/>
  <c r="Q127" i="18"/>
  <c r="R127" i="18" s="1"/>
  <c r="U127" i="18" s="1"/>
  <c r="Q128" i="18" a="1"/>
  <c r="Q128" i="18" s="1"/>
  <c r="R128" i="18" s="1"/>
  <c r="Q129" i="18" a="1"/>
  <c r="Q129" i="18"/>
  <c r="R129" i="18" s="1"/>
  <c r="Q130" i="18" a="1"/>
  <c r="Q130" i="18" s="1"/>
  <c r="R130" i="18" s="1"/>
  <c r="Q131" i="18" a="1"/>
  <c r="Q131" i="18"/>
  <c r="Q132" i="18" a="1"/>
  <c r="Q132" i="18" s="1"/>
  <c r="R132" i="18" s="1"/>
  <c r="Q133" i="18" a="1"/>
  <c r="Q133" i="18"/>
  <c r="Q134" i="18" a="1"/>
  <c r="Q134" i="18" s="1"/>
  <c r="R134" i="18" s="1"/>
  <c r="Q135" i="18" a="1"/>
  <c r="Q135" i="18"/>
  <c r="R135" i="18" s="1"/>
  <c r="U135" i="18" s="1"/>
  <c r="Q136" i="18" a="1"/>
  <c r="Q136" i="18" s="1"/>
  <c r="R136" i="18" s="1"/>
  <c r="Q137" i="18" a="1"/>
  <c r="Q137" i="18"/>
  <c r="R137" i="18" s="1"/>
  <c r="Q138" i="18" a="1"/>
  <c r="Q138" i="18" s="1"/>
  <c r="R138" i="18" s="1"/>
  <c r="Q139" i="18" a="1"/>
  <c r="Q139" i="18"/>
  <c r="Q140" i="18" a="1"/>
  <c r="Q140" i="18" s="1"/>
  <c r="R140" i="18" s="1"/>
  <c r="Q141" i="18" a="1"/>
  <c r="Q141" i="18"/>
  <c r="R141" i="18" s="1"/>
  <c r="U141" i="18" s="1"/>
  <c r="Q142" i="18" a="1"/>
  <c r="Q142" i="18" s="1"/>
  <c r="R142" i="18" s="1"/>
  <c r="Q143" i="18" a="1"/>
  <c r="Q143" i="18"/>
  <c r="Q144" i="18" a="1"/>
  <c r="Q144" i="18" s="1"/>
  <c r="R144" i="18" s="1"/>
  <c r="Q145" i="18" a="1"/>
  <c r="Q145" i="18"/>
  <c r="R145" i="18" s="1"/>
  <c r="Q146" i="18" a="1"/>
  <c r="Q146" i="18" s="1"/>
  <c r="R146" i="18" s="1"/>
  <c r="Q147" i="18" a="1"/>
  <c r="Q147" i="18"/>
  <c r="Q148" i="18" a="1"/>
  <c r="Q148" i="18" s="1"/>
  <c r="R148" i="18" s="1"/>
  <c r="Q149" i="18" a="1"/>
  <c r="Q149" i="18"/>
  <c r="R149" i="18" s="1"/>
  <c r="U149" i="18" s="1"/>
  <c r="Q150" i="18" a="1"/>
  <c r="Q150" i="18" s="1"/>
  <c r="R150" i="18" s="1"/>
  <c r="Q151" i="18" a="1"/>
  <c r="Q151" i="18"/>
  <c r="R151" i="18" s="1"/>
  <c r="U151" i="18" s="1"/>
  <c r="Q152" i="18" a="1"/>
  <c r="Q152" i="18" s="1"/>
  <c r="R152" i="18" s="1"/>
  <c r="Q153" i="18" a="1"/>
  <c r="Q153" i="18"/>
  <c r="R153" i="18" s="1"/>
  <c r="Q154" i="18" a="1"/>
  <c r="Q154" i="18" s="1"/>
  <c r="R154" i="18" s="1"/>
  <c r="Q155" i="18" a="1"/>
  <c r="Q155" i="18"/>
  <c r="Q156" i="18" a="1"/>
  <c r="Q156" i="18" s="1"/>
  <c r="R156" i="18" s="1"/>
  <c r="Q157" i="18" a="1"/>
  <c r="Q157" i="18"/>
  <c r="Q158" i="18" a="1"/>
  <c r="Q158" i="18" s="1"/>
  <c r="R158" i="18" s="1"/>
  <c r="Q159" i="18" a="1"/>
  <c r="Q159" i="18"/>
  <c r="R159" i="18" s="1"/>
  <c r="U159" i="18" s="1"/>
  <c r="Q160" i="18" a="1"/>
  <c r="Q160" i="18" s="1"/>
  <c r="R160" i="18" s="1"/>
  <c r="Q161" i="18" a="1"/>
  <c r="Q161" i="18"/>
  <c r="R161" i="18" s="1"/>
  <c r="Q162" i="18" a="1"/>
  <c r="Q162" i="18" s="1"/>
  <c r="R162" i="18" s="1"/>
  <c r="Q163" i="18" a="1"/>
  <c r="Q163" i="18"/>
  <c r="Q164" i="18" a="1"/>
  <c r="Q164" i="18" s="1"/>
  <c r="R164" i="18" s="1"/>
  <c r="Q165" i="18" a="1"/>
  <c r="Q165" i="18"/>
  <c r="Q166" i="18" a="1"/>
  <c r="Q166" i="18" s="1"/>
  <c r="R166" i="18" s="1"/>
  <c r="Q167" i="18" a="1"/>
  <c r="Q167" i="18"/>
  <c r="R167" i="18" s="1"/>
  <c r="U167" i="18" s="1"/>
  <c r="Q168" i="18" a="1"/>
  <c r="Q168" i="18" s="1"/>
  <c r="R168" i="18" s="1"/>
  <c r="Q169" i="18" a="1"/>
  <c r="Q169" i="18"/>
  <c r="R169" i="18" s="1"/>
  <c r="Q170" i="18" a="1"/>
  <c r="Q170" i="18" s="1"/>
  <c r="R170" i="18" s="1"/>
  <c r="Q171" i="18" a="1"/>
  <c r="Q171" i="18"/>
  <c r="Q172" i="18" a="1"/>
  <c r="Q172" i="18" s="1"/>
  <c r="R172" i="18" s="1"/>
  <c r="Q173" i="18" a="1"/>
  <c r="Q173" i="18"/>
  <c r="R173" i="18" s="1"/>
  <c r="U173" i="18" s="1"/>
  <c r="Q174" i="18" a="1"/>
  <c r="Q174" i="18" s="1"/>
  <c r="R174" i="18" s="1"/>
  <c r="Q175" i="18" a="1"/>
  <c r="Q175" i="18"/>
  <c r="Q176" i="18" a="1"/>
  <c r="Q176" i="18" s="1"/>
  <c r="R176" i="18" s="1"/>
  <c r="Q177" i="18" a="1"/>
  <c r="Q177" i="18"/>
  <c r="R177" i="18" s="1"/>
  <c r="Q178" i="18" a="1"/>
  <c r="Q178" i="18" s="1"/>
  <c r="R178" i="18" s="1"/>
  <c r="Q179" i="18" a="1"/>
  <c r="Q179" i="18"/>
  <c r="Q180" i="18" a="1"/>
  <c r="Q180" i="18" s="1"/>
  <c r="R180" i="18" s="1"/>
  <c r="Q181" i="18" a="1"/>
  <c r="Q181" i="18"/>
  <c r="R181" i="18" s="1"/>
  <c r="U181" i="18" s="1"/>
  <c r="Q182" i="18" a="1"/>
  <c r="Q182" i="18" s="1"/>
  <c r="R182" i="18" s="1"/>
  <c r="Q183" i="18" a="1"/>
  <c r="Q183" i="18"/>
  <c r="R183" i="18" s="1"/>
  <c r="U183" i="18" s="1"/>
  <c r="Q184" i="18" a="1"/>
  <c r="Q184" i="18" s="1"/>
  <c r="R184" i="18" s="1"/>
  <c r="Q185" i="18" a="1"/>
  <c r="Q185" i="18"/>
  <c r="R185" i="18" s="1"/>
  <c r="Q186" i="18" a="1"/>
  <c r="Q186" i="18" s="1"/>
  <c r="R186" i="18" s="1"/>
  <c r="Q187" i="18" a="1"/>
  <c r="Q187" i="18"/>
  <c r="Q188" i="18" a="1"/>
  <c r="Q188" i="18" s="1"/>
  <c r="R188" i="18" s="1"/>
  <c r="Q189" i="18" a="1"/>
  <c r="Q189" i="18"/>
  <c r="Q190" i="18" a="1"/>
  <c r="Q190" i="18" s="1"/>
  <c r="R190" i="18" s="1"/>
  <c r="Q191" i="18" a="1"/>
  <c r="Q191" i="18"/>
  <c r="R191" i="18" s="1"/>
  <c r="U191" i="18" s="1"/>
  <c r="Q192" i="18" a="1"/>
  <c r="Q192" i="18" s="1"/>
  <c r="R192" i="18" s="1"/>
  <c r="Q193" i="18" a="1"/>
  <c r="Q193" i="18"/>
  <c r="R193" i="18" s="1"/>
  <c r="Q194" i="18" a="1"/>
  <c r="Q194" i="18" s="1"/>
  <c r="R194" i="18" s="1"/>
  <c r="Q195" i="18" a="1"/>
  <c r="Q195" i="18"/>
  <c r="Q196" i="18" a="1"/>
  <c r="Q196" i="18" s="1"/>
  <c r="R196" i="18" s="1"/>
  <c r="Q197" i="18" a="1"/>
  <c r="Q197" i="18"/>
  <c r="Q198" i="18" a="1"/>
  <c r="Q198" i="18" s="1"/>
  <c r="R198" i="18" s="1"/>
  <c r="Q199" i="18" a="1"/>
  <c r="Q199" i="18"/>
  <c r="R199" i="18" s="1"/>
  <c r="U199" i="18" s="1"/>
  <c r="Q200" i="18" a="1"/>
  <c r="Q200" i="18" s="1"/>
  <c r="R200" i="18" s="1"/>
  <c r="Q201" i="18" a="1"/>
  <c r="Q201" i="18"/>
  <c r="R201" i="18" s="1"/>
  <c r="Q202" i="18" a="1"/>
  <c r="Q202" i="18" s="1"/>
  <c r="R202" i="18" s="1"/>
  <c r="Q203" i="18" a="1"/>
  <c r="Q203" i="18"/>
  <c r="Q204" i="18" a="1"/>
  <c r="Q204" i="18" s="1"/>
  <c r="R204" i="18" s="1"/>
  <c r="Q205" i="18" a="1"/>
  <c r="Q205" i="18"/>
  <c r="R205" i="18" s="1"/>
  <c r="U205" i="18" s="1"/>
  <c r="Q206" i="18" a="1"/>
  <c r="Q206" i="18"/>
  <c r="R206" i="18" s="1"/>
  <c r="Q207" i="18" a="1"/>
  <c r="Q207" i="18"/>
  <c r="Q208" i="18" a="1"/>
  <c r="Q208" i="18"/>
  <c r="R208" i="18" s="1"/>
  <c r="Q209" i="18" a="1"/>
  <c r="Q209" i="18"/>
  <c r="R209" i="18" s="1"/>
  <c r="Q210" i="18" a="1"/>
  <c r="Q210" i="18"/>
  <c r="R210" i="18" s="1"/>
  <c r="Q211" i="18" a="1"/>
  <c r="Q211" i="18"/>
  <c r="Q212" i="18" a="1"/>
  <c r="Q212" i="18"/>
  <c r="R212" i="18" s="1"/>
  <c r="Q213" i="18" a="1"/>
  <c r="Q213" i="18"/>
  <c r="R213" i="18" s="1"/>
  <c r="U213" i="18" s="1"/>
  <c r="Q214" i="18" a="1"/>
  <c r="Q214" i="18"/>
  <c r="R214" i="18" s="1"/>
  <c r="Q215" i="18" a="1"/>
  <c r="Q215" i="18"/>
  <c r="R215" i="18" s="1"/>
  <c r="U215" i="18" s="1"/>
  <c r="Q216" i="18" a="1"/>
  <c r="Q216" i="18"/>
  <c r="R216" i="18" s="1"/>
  <c r="Q217" i="18" a="1"/>
  <c r="Q217" i="18"/>
  <c r="R217" i="18" s="1"/>
  <c r="Q218" i="18" a="1"/>
  <c r="Q218" i="18"/>
  <c r="R218" i="18" s="1"/>
  <c r="Q219" i="18" a="1"/>
  <c r="Q219" i="18"/>
  <c r="Q220" i="18" a="1"/>
  <c r="Q220" i="18"/>
  <c r="R220" i="18" s="1"/>
  <c r="Q221" i="18" a="1"/>
  <c r="Q221" i="18"/>
  <c r="Q222" i="18" a="1"/>
  <c r="Q222" i="18"/>
  <c r="R222" i="18" s="1"/>
  <c r="Q223" i="18" a="1"/>
  <c r="Q223" i="18"/>
  <c r="R223" i="18" s="1"/>
  <c r="U223" i="18" s="1"/>
  <c r="Q224" i="18" a="1"/>
  <c r="Q224" i="18"/>
  <c r="R224" i="18" s="1"/>
  <c r="Q225" i="18" a="1"/>
  <c r="Q225" i="18"/>
  <c r="R225" i="18" s="1"/>
  <c r="Q226" i="18" a="1"/>
  <c r="Q226" i="18"/>
  <c r="R226" i="18" s="1"/>
  <c r="Q227" i="18" a="1"/>
  <c r="Q227" i="18"/>
  <c r="R227" i="18" s="1"/>
  <c r="U227" i="18" s="1"/>
  <c r="Q228" i="18" a="1"/>
  <c r="Q228" i="18"/>
  <c r="R228" i="18" s="1"/>
  <c r="Q229" i="18" a="1"/>
  <c r="Q229" i="18"/>
  <c r="Q230" i="18" a="1"/>
  <c r="Q230" i="18"/>
  <c r="R230" i="18" s="1"/>
  <c r="Q231" i="18" a="1"/>
  <c r="Q231" i="18"/>
  <c r="Q232" i="18" a="1"/>
  <c r="Q232" i="18"/>
  <c r="R232" i="18" s="1"/>
  <c r="Q233" i="18" a="1"/>
  <c r="Q233" i="18"/>
  <c r="R233" i="18" s="1"/>
  <c r="U233" i="18" s="1"/>
  <c r="Q234" i="18" a="1"/>
  <c r="Q234" i="18"/>
  <c r="R234" i="18" s="1"/>
  <c r="Q235" i="18" a="1"/>
  <c r="Q235" i="18"/>
  <c r="R235" i="18" s="1"/>
  <c r="U235" i="18" s="1"/>
  <c r="Q236" i="18" a="1"/>
  <c r="Q236" i="18"/>
  <c r="R236" i="18" s="1"/>
  <c r="Q237" i="18" a="1"/>
  <c r="Q237" i="18"/>
  <c r="Q238" i="18" a="1"/>
  <c r="Q238" i="18"/>
  <c r="R238" i="18" s="1"/>
  <c r="Q239" i="18" a="1"/>
  <c r="Q239" i="18"/>
  <c r="Q240" i="18" a="1"/>
  <c r="Q240" i="18"/>
  <c r="R240" i="18" s="1"/>
  <c r="Q241" i="18" a="1"/>
  <c r="Q241" i="18"/>
  <c r="R241" i="18" s="1"/>
  <c r="U241" i="18" s="1"/>
  <c r="Q242" i="18" a="1"/>
  <c r="Q242" i="18"/>
  <c r="R242" i="18" s="1"/>
  <c r="Q243" i="18" a="1"/>
  <c r="Q243" i="18"/>
  <c r="R243" i="18" s="1"/>
  <c r="U243" i="18" s="1"/>
  <c r="Q244" i="18" a="1"/>
  <c r="Q244" i="18"/>
  <c r="R244" i="18" s="1"/>
  <c r="Q245" i="18" a="1"/>
  <c r="Q245" i="18"/>
  <c r="Q246" i="18" a="1"/>
  <c r="Q246" i="18"/>
  <c r="R246" i="18" s="1"/>
  <c r="Q247" i="18" a="1"/>
  <c r="Q247" i="18"/>
  <c r="Q248" i="18" a="1"/>
  <c r="Q248" i="18"/>
  <c r="Q249" i="18" a="1"/>
  <c r="Q249" i="18"/>
  <c r="R249" i="18" s="1"/>
  <c r="U249" i="18" s="1"/>
  <c r="Q250" i="18" a="1"/>
  <c r="Q250" i="18"/>
  <c r="R250" i="18" s="1"/>
  <c r="Q251" i="18" a="1"/>
  <c r="Q251" i="18"/>
  <c r="Q252" i="18" a="1"/>
  <c r="Q252" i="18"/>
  <c r="Q253" i="18" a="1"/>
  <c r="Q253" i="18"/>
  <c r="R253" i="18" s="1"/>
  <c r="U253" i="18" s="1"/>
  <c r="Q254" i="18" a="1"/>
  <c r="Q254" i="18"/>
  <c r="R254" i="18" s="1"/>
  <c r="Q255" i="18" a="1"/>
  <c r="Q255" i="18"/>
  <c r="R255" i="18" s="1"/>
  <c r="U255" i="18" s="1"/>
  <c r="Q256" i="18" a="1"/>
  <c r="Q256" i="18"/>
  <c r="Q257" i="18" a="1"/>
  <c r="Q257" i="18"/>
  <c r="Q258" i="18" a="1"/>
  <c r="Q258" i="18"/>
  <c r="R258" i="18" s="1"/>
  <c r="Q259" i="18" a="1"/>
  <c r="Q259" i="18"/>
  <c r="R259" i="18" s="1"/>
  <c r="U259" i="18" s="1"/>
  <c r="Q260" i="18" a="1"/>
  <c r="Q260" i="18"/>
  <c r="Q261" i="18" a="1"/>
  <c r="Q261" i="18"/>
  <c r="Q262" i="18" a="1"/>
  <c r="Q262" i="18"/>
  <c r="R262" i="18" s="1"/>
  <c r="Q263" i="18" a="1"/>
  <c r="Q263" i="18"/>
  <c r="Q264" i="18" a="1"/>
  <c r="Q264" i="18"/>
  <c r="Q265" i="18" a="1"/>
  <c r="Q265" i="18"/>
  <c r="R265" i="18" s="1"/>
  <c r="U265" i="18" s="1"/>
  <c r="Q266" i="18" a="1"/>
  <c r="Q266" i="18"/>
  <c r="R266" i="18" s="1"/>
  <c r="Q267" i="18" a="1"/>
  <c r="Q267" i="18"/>
  <c r="Q268" i="18" a="1"/>
  <c r="Q268" i="18"/>
  <c r="Q269" i="18" a="1"/>
  <c r="Q269" i="18"/>
  <c r="R269" i="18" s="1"/>
  <c r="U269" i="18" s="1"/>
  <c r="Q270" i="18" a="1"/>
  <c r="Q270" i="18"/>
  <c r="R270" i="18" s="1"/>
  <c r="Q271" i="18" a="1"/>
  <c r="Q271" i="18"/>
  <c r="R271" i="18" s="1"/>
  <c r="U271" i="18" s="1"/>
  <c r="Q272" i="18" a="1"/>
  <c r="Q272" i="18"/>
  <c r="Q273" i="18" a="1"/>
  <c r="Q273" i="18"/>
  <c r="Q274" i="18" a="1"/>
  <c r="Q274" i="18"/>
  <c r="R274" i="18" s="1"/>
  <c r="Q275" i="18" a="1"/>
  <c r="Q275" i="18"/>
  <c r="R275" i="18" s="1"/>
  <c r="U275" i="18" s="1"/>
  <c r="Q276" i="18" a="1"/>
  <c r="Q276" i="18"/>
  <c r="Q277" i="18" a="1"/>
  <c r="Q277" i="18"/>
  <c r="Q278" i="18" a="1"/>
  <c r="Q278" i="18"/>
  <c r="R278" i="18" s="1"/>
  <c r="Q279" i="18" a="1"/>
  <c r="Q279" i="18"/>
  <c r="Q280" i="18" a="1"/>
  <c r="Q280" i="18"/>
  <c r="R280" i="18" s="1"/>
  <c r="U280" i="18" s="1"/>
  <c r="Q281" i="18" a="1"/>
  <c r="Q281" i="18"/>
  <c r="R281" i="18" s="1"/>
  <c r="U281" i="18" s="1"/>
  <c r="Q282" i="18" a="1"/>
  <c r="Q282" i="18"/>
  <c r="R282" i="18" s="1"/>
  <c r="Q283" i="18" a="1"/>
  <c r="Q283" i="18"/>
  <c r="Q284" i="18" a="1"/>
  <c r="Q284" i="18"/>
  <c r="Q285" i="18" a="1"/>
  <c r="Q285" i="18"/>
  <c r="R285" i="18" s="1"/>
  <c r="U285" i="18" s="1"/>
  <c r="Q286" i="18" a="1"/>
  <c r="Q286" i="18"/>
  <c r="R286" i="18" s="1"/>
  <c r="Q287" i="18" a="1"/>
  <c r="Q287" i="18"/>
  <c r="R287" i="18" s="1"/>
  <c r="U287" i="18" s="1"/>
  <c r="Q288" i="18" a="1"/>
  <c r="Q288" i="18"/>
  <c r="Q289" i="18" a="1"/>
  <c r="Q289" i="18"/>
  <c r="Q290" i="18" a="1"/>
  <c r="Q290" i="18"/>
  <c r="R290" i="18" s="1"/>
  <c r="Q291" i="18" a="1"/>
  <c r="Q291" i="18"/>
  <c r="R291" i="18" s="1"/>
  <c r="U291" i="18" s="1"/>
  <c r="Q292" i="18" a="1"/>
  <c r="Q292" i="18"/>
  <c r="Q293" i="18" a="1"/>
  <c r="Q293" i="18"/>
  <c r="Q294" i="18" a="1"/>
  <c r="Q294" i="18"/>
  <c r="R294" i="18" s="1"/>
  <c r="Q295" i="18" a="1"/>
  <c r="Q295" i="18"/>
  <c r="Q296" i="18" a="1"/>
  <c r="Q296" i="18"/>
  <c r="R296" i="18" s="1"/>
  <c r="U296" i="18" s="1"/>
  <c r="Q297" i="18" a="1"/>
  <c r="Q297" i="18"/>
  <c r="R297" i="18" s="1"/>
  <c r="U297" i="18" s="1"/>
  <c r="Q298" i="18" a="1"/>
  <c r="Q298" i="18"/>
  <c r="R298" i="18" s="1"/>
  <c r="Q299" i="18" a="1"/>
  <c r="Q299" i="18"/>
  <c r="Q300" i="18" a="1"/>
  <c r="Q300" i="18"/>
  <c r="Q301" i="18" a="1"/>
  <c r="Q301" i="18"/>
  <c r="R301" i="18" s="1"/>
  <c r="U301" i="18" s="1"/>
  <c r="Q302" i="18" a="1"/>
  <c r="Q302" i="18"/>
  <c r="Q303" i="18" a="1"/>
  <c r="Q303" i="18"/>
  <c r="Q304" i="18" a="1"/>
  <c r="Q304" i="18"/>
  <c r="Q305" i="18" a="1"/>
  <c r="Q305" i="18"/>
  <c r="R305" i="18" s="1"/>
  <c r="U305" i="18" s="1"/>
  <c r="Q306" i="18" a="1"/>
  <c r="Q306" i="18"/>
  <c r="Q307" i="18" a="1"/>
  <c r="Q307" i="18"/>
  <c r="Q308" i="18" a="1"/>
  <c r="Q308" i="18"/>
  <c r="Q309" i="18" a="1"/>
  <c r="Q309" i="18"/>
  <c r="R309" i="18" s="1"/>
  <c r="U309" i="18" s="1"/>
  <c r="Q310" i="18" a="1"/>
  <c r="Q310" i="18"/>
  <c r="Q311" i="18" a="1"/>
  <c r="Q311" i="18"/>
  <c r="Q312" i="18" a="1"/>
  <c r="Q312" i="18"/>
  <c r="Q313" i="18" a="1"/>
  <c r="Q313" i="18"/>
  <c r="R313" i="18" s="1"/>
  <c r="U313" i="18" s="1"/>
  <c r="Q314" i="18" a="1"/>
  <c r="Q314" i="18"/>
  <c r="Q315" i="18" a="1"/>
  <c r="Q315" i="18"/>
  <c r="Q316" i="18" a="1"/>
  <c r="Q316" i="18"/>
  <c r="Q317" i="18" a="1"/>
  <c r="Q317" i="18"/>
  <c r="R317" i="18" s="1"/>
  <c r="U317" i="18" s="1"/>
  <c r="Q318" i="18" a="1"/>
  <c r="Q318" i="18"/>
  <c r="Q319" i="18" a="1"/>
  <c r="Q319" i="18"/>
  <c r="Q320" i="18" a="1"/>
  <c r="Q320" i="18"/>
  <c r="Q321" i="18" a="1"/>
  <c r="Q321" i="18"/>
  <c r="R321" i="18" s="1"/>
  <c r="U321" i="18" s="1"/>
  <c r="Q322" i="18" a="1"/>
  <c r="Q322" i="18"/>
  <c r="Q323" i="18" a="1"/>
  <c r="Q323" i="18"/>
  <c r="Q324" i="18" a="1"/>
  <c r="Q324" i="18"/>
  <c r="Q325" i="18" a="1"/>
  <c r="Q325" i="18"/>
  <c r="R325" i="18" s="1"/>
  <c r="U325" i="18" s="1"/>
  <c r="Q326" i="18" a="1"/>
  <c r="Q326" i="18"/>
  <c r="Q327" i="18" a="1"/>
  <c r="Q327" i="18"/>
  <c r="Q328" i="18" a="1"/>
  <c r="Q328" i="18"/>
  <c r="Q329" i="18" a="1"/>
  <c r="Q329" i="18"/>
  <c r="R329" i="18" s="1"/>
  <c r="U329" i="18" s="1"/>
  <c r="Q330" i="18" a="1"/>
  <c r="Q330" i="18"/>
  <c r="Q331" i="18" a="1"/>
  <c r="Q331" i="18"/>
  <c r="Q332" i="18" a="1"/>
  <c r="Q332" i="18"/>
  <c r="Q333" i="18" a="1"/>
  <c r="Q333" i="18"/>
  <c r="R333" i="18" s="1"/>
  <c r="U333" i="18" s="1"/>
  <c r="Q334" i="18" a="1"/>
  <c r="Q334" i="18"/>
  <c r="Q335" i="18" a="1"/>
  <c r="Q335" i="18"/>
  <c r="Q336" i="18" a="1"/>
  <c r="Q336" i="18"/>
  <c r="Q337" i="18" a="1"/>
  <c r="Q337" i="18"/>
  <c r="R337" i="18" s="1"/>
  <c r="U337" i="18" s="1"/>
  <c r="Q338" i="18" a="1"/>
  <c r="Q338" i="18"/>
  <c r="Q339" i="18" a="1"/>
  <c r="Q339" i="18"/>
  <c r="Q340" i="18" a="1"/>
  <c r="Q340" i="18"/>
  <c r="Q341" i="18" a="1"/>
  <c r="Q341" i="18"/>
  <c r="R341" i="18" s="1"/>
  <c r="U341" i="18" s="1"/>
  <c r="Q342" i="18" a="1"/>
  <c r="Q342" i="18"/>
  <c r="Q343" i="18" a="1"/>
  <c r="Q343" i="18"/>
  <c r="Q344" i="18" a="1"/>
  <c r="Q344" i="18"/>
  <c r="Q345" i="18" a="1"/>
  <c r="Q345" i="18"/>
  <c r="R345" i="18" s="1"/>
  <c r="U345" i="18" s="1"/>
  <c r="Q346" i="18" a="1"/>
  <c r="Q346" i="18"/>
  <c r="Q347" i="18" a="1"/>
  <c r="Q347" i="18"/>
  <c r="Q348" i="18" a="1"/>
  <c r="Q348" i="18"/>
  <c r="Q349" i="18" a="1"/>
  <c r="Q349" i="18"/>
  <c r="R349" i="18" s="1"/>
  <c r="U349" i="18" s="1"/>
  <c r="Q350" i="18" a="1"/>
  <c r="Q350" i="18"/>
  <c r="Q351" i="18" a="1"/>
  <c r="Q351" i="18"/>
  <c r="Q352" i="18" a="1"/>
  <c r="Q352" i="18"/>
  <c r="Q353" i="18" a="1"/>
  <c r="Q353" i="18"/>
  <c r="R353" i="18" s="1"/>
  <c r="U353" i="18" s="1"/>
  <c r="Q354" i="18" a="1"/>
  <c r="Q354" i="18"/>
  <c r="Q355" i="18" a="1"/>
  <c r="Q355" i="18"/>
  <c r="Q356" i="18" a="1"/>
  <c r="Q356" i="18"/>
  <c r="Q357" i="18" a="1"/>
  <c r="Q357" i="18"/>
  <c r="R357" i="18" s="1"/>
  <c r="U357" i="18" s="1"/>
  <c r="Q358" i="18" a="1"/>
  <c r="Q358" i="18"/>
  <c r="Q359" i="18" a="1"/>
  <c r="Q359" i="18"/>
  <c r="Q360" i="18" a="1"/>
  <c r="Q360" i="18"/>
  <c r="Q361" i="18" a="1"/>
  <c r="Q361" i="18"/>
  <c r="R361" i="18" s="1"/>
  <c r="U361" i="18" s="1"/>
  <c r="Q362" i="18" a="1"/>
  <c r="Q362" i="18"/>
  <c r="Q363" i="18" a="1"/>
  <c r="Q363" i="18"/>
  <c r="Q364" i="18" a="1"/>
  <c r="Q364" i="18"/>
  <c r="Q365" i="18" a="1"/>
  <c r="Q365" i="18"/>
  <c r="R365" i="18" s="1"/>
  <c r="U365" i="18" s="1"/>
  <c r="Q366" i="18" a="1"/>
  <c r="Q366" i="18"/>
  <c r="Q367" i="18" a="1"/>
  <c r="Q367" i="18"/>
  <c r="Q368" i="18" a="1"/>
  <c r="Q368" i="18"/>
  <c r="Q369" i="18" a="1"/>
  <c r="Q369" i="18"/>
  <c r="R369" i="18" s="1"/>
  <c r="U369" i="18" s="1"/>
  <c r="Q370" i="18" a="1"/>
  <c r="Q370" i="18"/>
  <c r="Q371" i="18" a="1"/>
  <c r="Q371" i="18"/>
  <c r="Q372" i="18" a="1"/>
  <c r="Q372" i="18"/>
  <c r="Q373" i="18" a="1"/>
  <c r="Q373" i="18"/>
  <c r="R373" i="18" s="1"/>
  <c r="U373" i="18" s="1"/>
  <c r="Q374" i="18" a="1"/>
  <c r="Q374" i="18"/>
  <c r="Q375" i="18" a="1"/>
  <c r="Q375" i="18"/>
  <c r="Q376" i="18" a="1"/>
  <c r="Q376" i="18"/>
  <c r="Q377" i="18" a="1"/>
  <c r="Q377" i="18"/>
  <c r="R377" i="18" s="1"/>
  <c r="U377" i="18" s="1"/>
  <c r="Q378" i="18" a="1"/>
  <c r="Q378" i="18"/>
  <c r="Q379" i="18" a="1"/>
  <c r="Q379" i="18"/>
  <c r="Q380" i="18" a="1"/>
  <c r="Q380" i="18"/>
  <c r="Q381" i="18" a="1"/>
  <c r="Q381" i="18"/>
  <c r="R381" i="18" s="1"/>
  <c r="U381" i="18" s="1"/>
  <c r="Q382" i="18" a="1"/>
  <c r="Q382" i="18"/>
  <c r="Q383" i="18" a="1"/>
  <c r="Q383" i="18"/>
  <c r="Q384" i="18" a="1"/>
  <c r="Q384" i="18"/>
  <c r="Q385" i="18" a="1"/>
  <c r="Q385" i="18"/>
  <c r="R385" i="18" s="1"/>
  <c r="U385" i="18" s="1"/>
  <c r="Q386" i="18" a="1"/>
  <c r="Q386" i="18"/>
  <c r="Q387" i="18" a="1"/>
  <c r="Q387" i="18"/>
  <c r="Q388" i="18" a="1"/>
  <c r="Q388" i="18"/>
  <c r="Q389" i="18" a="1"/>
  <c r="Q389" i="18"/>
  <c r="R389" i="18" s="1"/>
  <c r="U389" i="18" s="1"/>
  <c r="Q390" i="18" a="1"/>
  <c r="Q390" i="18"/>
  <c r="Q391" i="18" a="1"/>
  <c r="Q391" i="18"/>
  <c r="Q392" i="18" a="1"/>
  <c r="Q392" i="18"/>
  <c r="Q393" i="18" a="1"/>
  <c r="Q393" i="18"/>
  <c r="R393" i="18" s="1"/>
  <c r="U393" i="18" s="1"/>
  <c r="Q394" i="18" a="1"/>
  <c r="Q394" i="18"/>
  <c r="Q395" i="18" a="1"/>
  <c r="Q395" i="18"/>
  <c r="Q396" i="18" a="1"/>
  <c r="Q396" i="18"/>
  <c r="Q397" i="18" a="1"/>
  <c r="Q397" i="18"/>
  <c r="R397" i="18" s="1"/>
  <c r="U397" i="18" s="1"/>
  <c r="Q398" i="18" a="1"/>
  <c r="Q398" i="18"/>
  <c r="Q399" i="18" a="1"/>
  <c r="Q399" i="18"/>
  <c r="Q400" i="18" a="1"/>
  <c r="Q400" i="18"/>
  <c r="Q401" i="18" a="1"/>
  <c r="Q401" i="18"/>
  <c r="R401" i="18" s="1"/>
  <c r="U401" i="18" s="1"/>
  <c r="Q402" i="18" a="1"/>
  <c r="Q402" i="18"/>
  <c r="Q403" i="18" a="1"/>
  <c r="Q403" i="18"/>
  <c r="Q404" i="18" a="1"/>
  <c r="Q404" i="18"/>
  <c r="Q405" i="18" a="1"/>
  <c r="Q405" i="18"/>
  <c r="R405" i="18" s="1"/>
  <c r="U405" i="18" s="1"/>
  <c r="Q406" i="18" a="1"/>
  <c r="Q406" i="18"/>
  <c r="Q407" i="18" a="1"/>
  <c r="Q407" i="18"/>
  <c r="Q408" i="18" a="1"/>
  <c r="Q408" i="18"/>
  <c r="Q409" i="18" a="1"/>
  <c r="Q409" i="18"/>
  <c r="R409" i="18" s="1"/>
  <c r="U409" i="18" s="1"/>
  <c r="Q410" i="18" a="1"/>
  <c r="Q410" i="18"/>
  <c r="Q411" i="18" a="1"/>
  <c r="Q411" i="18"/>
  <c r="Q412" i="18" a="1"/>
  <c r="Q412" i="18"/>
  <c r="Q413" i="18" a="1"/>
  <c r="Q413" i="18"/>
  <c r="R413" i="18" s="1"/>
  <c r="U413" i="18" s="1"/>
  <c r="Q414" i="18" a="1"/>
  <c r="Q414" i="18"/>
  <c r="Q415" i="18" a="1"/>
  <c r="Q415" i="18"/>
  <c r="Q416" i="18" a="1"/>
  <c r="Q416" i="18"/>
  <c r="Q417" i="18" a="1"/>
  <c r="Q417" i="18"/>
  <c r="R417" i="18" s="1"/>
  <c r="U417" i="18" s="1"/>
  <c r="Q418" i="18" a="1"/>
  <c r="Q418" i="18"/>
  <c r="Q419" i="18" a="1"/>
  <c r="Q419" i="18"/>
  <c r="Q420" i="18" a="1"/>
  <c r="Q420" i="18"/>
  <c r="Q421" i="18" a="1"/>
  <c r="Q421" i="18"/>
  <c r="R421" i="18" s="1"/>
  <c r="U421" i="18" s="1"/>
  <c r="Q422" i="18" a="1"/>
  <c r="Q422" i="18"/>
  <c r="Q423" i="18" a="1"/>
  <c r="Q423" i="18"/>
  <c r="Q424" i="18" a="1"/>
  <c r="Q424" i="18"/>
  <c r="Q425" i="18" a="1"/>
  <c r="Q425" i="18"/>
  <c r="R425" i="18" s="1"/>
  <c r="U425" i="18" s="1"/>
  <c r="Q426" i="18" a="1"/>
  <c r="Q426" i="18"/>
  <c r="Q427" i="18" a="1"/>
  <c r="Q427" i="18"/>
  <c r="Q428" i="18" a="1"/>
  <c r="Q428" i="18"/>
  <c r="Q429" i="18" a="1"/>
  <c r="Q429" i="18"/>
  <c r="R429" i="18" s="1"/>
  <c r="U429" i="18" s="1"/>
  <c r="Q430" i="18" a="1"/>
  <c r="Q430" i="18"/>
  <c r="Q431" i="18" a="1"/>
  <c r="Q431" i="18"/>
  <c r="Q432" i="18" a="1"/>
  <c r="Q432" i="18"/>
  <c r="Q433" i="18" a="1"/>
  <c r="Q433" i="18"/>
  <c r="R433" i="18" s="1"/>
  <c r="U433" i="18" s="1"/>
  <c r="Q434" i="18" a="1"/>
  <c r="Q434" i="18"/>
  <c r="Q435" i="18" a="1"/>
  <c r="Q435" i="18"/>
  <c r="Q436" i="18" a="1"/>
  <c r="Q436" i="18"/>
  <c r="Q437" i="18" a="1"/>
  <c r="Q437" i="18"/>
  <c r="R437" i="18" s="1"/>
  <c r="U437" i="18" s="1"/>
  <c r="Q438" i="18" a="1"/>
  <c r="Q438" i="18"/>
  <c r="Q439" i="18" a="1"/>
  <c r="Q439" i="18"/>
  <c r="Q440" i="18" a="1"/>
  <c r="Q440" i="18"/>
  <c r="Q441" i="18" a="1"/>
  <c r="Q441" i="18"/>
  <c r="R441" i="18" s="1"/>
  <c r="U441" i="18" s="1"/>
  <c r="Q442" i="18" a="1"/>
  <c r="Q442" i="18"/>
  <c r="Q443" i="18" a="1"/>
  <c r="Q443" i="18"/>
  <c r="Q444" i="18" a="1"/>
  <c r="Q444" i="18"/>
  <c r="Q445" i="18" a="1"/>
  <c r="Q445" i="18"/>
  <c r="R445" i="18" s="1"/>
  <c r="U445" i="18" s="1"/>
  <c r="Q446" i="18" a="1"/>
  <c r="Q446" i="18"/>
  <c r="Q447" i="18" a="1"/>
  <c r="Q447" i="18"/>
  <c r="Q448" i="18" a="1"/>
  <c r="Q448" i="18"/>
  <c r="Q449" i="18" a="1"/>
  <c r="Q449" i="18"/>
  <c r="R449" i="18" s="1"/>
  <c r="U449" i="18" s="1"/>
  <c r="Q450" i="18" a="1"/>
  <c r="Q450" i="18"/>
  <c r="Q451" i="18" a="1"/>
  <c r="Q451" i="18"/>
  <c r="Q452" i="18" a="1"/>
  <c r="Q452" i="18"/>
  <c r="Q453" i="18" a="1"/>
  <c r="Q453" i="18"/>
  <c r="R453" i="18" s="1"/>
  <c r="U453" i="18" s="1"/>
  <c r="Q454" i="18" a="1"/>
  <c r="Q454" i="18"/>
  <c r="Q455" i="18" a="1"/>
  <c r="Q455" i="18"/>
  <c r="Q456" i="18" a="1"/>
  <c r="Q456" i="18"/>
  <c r="Q457" i="18" a="1"/>
  <c r="Q457" i="18"/>
  <c r="R457" i="18" s="1"/>
  <c r="U457" i="18" s="1"/>
  <c r="Q458" i="18" a="1"/>
  <c r="Q458" i="18"/>
  <c r="Q459" i="18" a="1"/>
  <c r="Q459" i="18"/>
  <c r="Q460" i="18" a="1"/>
  <c r="Q460" i="18"/>
  <c r="Q461" i="18" a="1"/>
  <c r="Q461" i="18"/>
  <c r="R461" i="18" s="1"/>
  <c r="U461" i="18" s="1"/>
  <c r="Q462" i="18" a="1"/>
  <c r="Q462" i="18"/>
  <c r="Q463" i="18" a="1"/>
  <c r="Q463" i="18"/>
  <c r="Q464" i="18" a="1"/>
  <c r="Q464" i="18"/>
  <c r="Q465" i="18" a="1"/>
  <c r="Q465" i="18"/>
  <c r="R465" i="18" s="1"/>
  <c r="U465" i="18" s="1"/>
  <c r="Q466" i="18" a="1"/>
  <c r="Q466" i="18"/>
  <c r="Q467" i="18" a="1"/>
  <c r="Q467" i="18"/>
  <c r="Q468" i="18" a="1"/>
  <c r="Q468" i="18"/>
  <c r="Q469" i="18" a="1"/>
  <c r="Q469" i="18"/>
  <c r="R469" i="18" s="1"/>
  <c r="U469" i="18" s="1"/>
  <c r="Q470" i="18" a="1"/>
  <c r="Q470" i="18"/>
  <c r="Q471" i="18" a="1"/>
  <c r="Q471" i="18"/>
  <c r="Q472" i="18" a="1"/>
  <c r="Q472" i="18"/>
  <c r="Q473" i="18" a="1"/>
  <c r="Q473" i="18"/>
  <c r="R473" i="18" s="1"/>
  <c r="U473" i="18" s="1"/>
  <c r="Q474" i="18" a="1"/>
  <c r="Q474" i="18"/>
  <c r="Q475" i="18" a="1"/>
  <c r="Q475" i="18"/>
  <c r="Q476" i="18" a="1"/>
  <c r="Q476" i="18"/>
  <c r="Q477" i="18" a="1"/>
  <c r="Q477" i="18"/>
  <c r="R477" i="18" s="1"/>
  <c r="U477" i="18" s="1"/>
  <c r="Q478" i="18" a="1"/>
  <c r="Q478" i="18"/>
  <c r="Q479" i="18" a="1"/>
  <c r="Q479" i="18"/>
  <c r="Q480" i="18" a="1"/>
  <c r="Q480" i="18"/>
  <c r="Q481" i="18" a="1"/>
  <c r="Q481" i="18"/>
  <c r="R481" i="18" s="1"/>
  <c r="U481" i="18" s="1"/>
  <c r="Q482" i="18" a="1"/>
  <c r="Q482" i="18"/>
  <c r="Q483" i="18" a="1"/>
  <c r="Q483" i="18"/>
  <c r="Q484" i="18" a="1"/>
  <c r="Q484" i="18"/>
  <c r="Q485" i="18" a="1"/>
  <c r="Q485" i="18"/>
  <c r="R485" i="18" s="1"/>
  <c r="U485" i="18" s="1"/>
  <c r="Q486" i="18" a="1"/>
  <c r="Q486" i="18"/>
  <c r="Q487" i="18" a="1"/>
  <c r="Q487" i="18"/>
  <c r="Q488" i="18" a="1"/>
  <c r="Q488" i="18"/>
  <c r="Q489" i="18" a="1"/>
  <c r="Q489" i="18"/>
  <c r="R489" i="18" s="1"/>
  <c r="U489" i="18" s="1"/>
  <c r="Q490" i="18" a="1"/>
  <c r="Q490" i="18"/>
  <c r="Q491" i="18" a="1"/>
  <c r="Q491" i="18"/>
  <c r="Q492" i="18" a="1"/>
  <c r="Q492" i="18"/>
  <c r="Q493" i="18" a="1"/>
  <c r="Q493" i="18"/>
  <c r="R493" i="18" s="1"/>
  <c r="U493" i="18" s="1"/>
  <c r="Q494" i="18" a="1"/>
  <c r="Q494" i="18"/>
  <c r="Q495" i="18" a="1"/>
  <c r="Q495" i="18"/>
  <c r="Q496" i="18" a="1"/>
  <c r="Q496" i="18"/>
  <c r="Q497" i="18" a="1"/>
  <c r="Q497" i="18"/>
  <c r="R497" i="18" s="1"/>
  <c r="U497" i="18" s="1"/>
  <c r="Q498" i="18" a="1"/>
  <c r="Q498" i="18"/>
  <c r="Q499" i="18" a="1"/>
  <c r="Q499" i="18"/>
  <c r="Q500" i="18" a="1"/>
  <c r="Q500" i="18"/>
  <c r="Q501" i="18" a="1"/>
  <c r="Q501" i="18"/>
  <c r="R501" i="18" s="1"/>
  <c r="U501" i="18" s="1"/>
  <c r="Q502" i="18" a="1"/>
  <c r="Q502" i="18"/>
  <c r="Q503" i="18" a="1"/>
  <c r="Q503" i="18"/>
  <c r="Q504" i="18" a="1"/>
  <c r="Q504" i="18"/>
  <c r="Q505" i="18" a="1"/>
  <c r="Q505" i="18"/>
  <c r="R505" i="18" s="1"/>
  <c r="U505" i="18" s="1"/>
  <c r="Q506" i="18" a="1"/>
  <c r="Q506" i="18"/>
  <c r="Q507" i="18" a="1"/>
  <c r="Q507" i="18"/>
  <c r="Q508" i="18" a="1"/>
  <c r="Q508" i="18"/>
  <c r="Q509" i="18" a="1"/>
  <c r="Q509" i="18"/>
  <c r="R509" i="18" s="1"/>
  <c r="U509" i="18" s="1"/>
  <c r="Q510" i="18" a="1"/>
  <c r="Q510" i="18"/>
  <c r="Q511" i="18" a="1"/>
  <c r="Q511" i="18"/>
  <c r="Q512" i="18" a="1"/>
  <c r="Q512" i="18"/>
  <c r="Q513" i="18" a="1"/>
  <c r="Q513" i="18"/>
  <c r="R513" i="18" s="1"/>
  <c r="U513" i="18" s="1"/>
  <c r="Q514" i="18" a="1"/>
  <c r="Q514" i="18"/>
  <c r="Q515" i="18" a="1"/>
  <c r="Q515" i="18"/>
  <c r="Q516" i="18" a="1"/>
  <c r="Q516" i="18"/>
  <c r="Q517" i="18" a="1"/>
  <c r="Q517" i="18"/>
  <c r="R517" i="18" s="1"/>
  <c r="U517" i="18" s="1"/>
  <c r="Q518" i="18" a="1"/>
  <c r="Q518" i="18"/>
  <c r="Q519" i="18" a="1"/>
  <c r="Q519" i="18"/>
  <c r="Q520" i="18" a="1"/>
  <c r="Q520" i="18"/>
  <c r="Q521" i="18" a="1"/>
  <c r="Q521" i="18"/>
  <c r="R521" i="18" s="1"/>
  <c r="U521" i="18" s="1"/>
  <c r="Q522" i="18" a="1"/>
  <c r="Q522" i="18"/>
  <c r="Q523" i="18" a="1"/>
  <c r="Q523" i="18"/>
  <c r="Q524" i="18" a="1"/>
  <c r="Q524" i="18"/>
  <c r="Q525" i="18" a="1"/>
  <c r="Q525" i="18"/>
  <c r="R525" i="18" s="1"/>
  <c r="U525" i="18" s="1"/>
  <c r="Q526" i="18" a="1"/>
  <c r="Q526" i="18"/>
  <c r="Q527" i="18" a="1"/>
  <c r="Q527" i="18"/>
  <c r="Q528" i="18" a="1"/>
  <c r="Q528" i="18"/>
  <c r="Q529" i="18" a="1"/>
  <c r="Q529" i="18"/>
  <c r="R529" i="18" s="1"/>
  <c r="U529" i="18" s="1"/>
  <c r="Q530" i="18" a="1"/>
  <c r="Q530" i="18"/>
  <c r="Q531" i="18" a="1"/>
  <c r="Q531" i="18"/>
  <c r="Q532" i="18" a="1"/>
  <c r="Q532" i="18"/>
  <c r="Q533" i="18" a="1"/>
  <c r="Q533" i="18"/>
  <c r="R533" i="18" s="1"/>
  <c r="U533" i="18" s="1"/>
  <c r="Q534" i="18" a="1"/>
  <c r="Q534" i="18"/>
  <c r="Q535" i="18" a="1"/>
  <c r="Q535" i="18"/>
  <c r="Q536" i="18" a="1"/>
  <c r="Q536" i="18"/>
  <c r="Q537" i="18" a="1"/>
  <c r="Q537" i="18"/>
  <c r="Q538" i="18" a="1"/>
  <c r="Q538" i="18"/>
  <c r="Q539" i="18" a="1"/>
  <c r="Q539" i="18"/>
  <c r="Q540" i="18" a="1"/>
  <c r="Q540" i="18"/>
  <c r="Q541" i="18" a="1"/>
  <c r="Q541" i="18"/>
  <c r="Q542" i="18" a="1"/>
  <c r="Q542" i="18"/>
  <c r="Q543" i="18" a="1"/>
  <c r="Q543" i="18"/>
  <c r="Q544" i="18" a="1"/>
  <c r="Q544" i="18"/>
  <c r="Q545" i="18" a="1"/>
  <c r="Q545" i="18"/>
  <c r="Q546" i="18" a="1"/>
  <c r="Q546" i="18"/>
  <c r="Q547" i="18" a="1"/>
  <c r="Q547" i="18"/>
  <c r="Q548" i="18" a="1"/>
  <c r="Q548" i="18"/>
  <c r="Q549" i="18" a="1"/>
  <c r="Q549" i="18"/>
  <c r="Q550" i="18" a="1"/>
  <c r="Q550" i="18"/>
  <c r="Q551" i="18" a="1"/>
  <c r="Q551" i="18"/>
  <c r="Q552" i="18" a="1"/>
  <c r="Q552" i="18"/>
  <c r="Q553" i="18" a="1"/>
  <c r="Q553" i="18"/>
  <c r="Q554" i="18" a="1"/>
  <c r="Q554" i="18"/>
  <c r="Q555" i="18" a="1"/>
  <c r="Q555" i="18"/>
  <c r="Q556" i="18" a="1"/>
  <c r="Q556" i="18"/>
  <c r="Q557" i="18" a="1"/>
  <c r="Q557" i="18"/>
  <c r="Q558" i="18" a="1"/>
  <c r="Q558" i="18"/>
  <c r="Q559" i="18" a="1"/>
  <c r="Q559" i="18"/>
  <c r="Q560" i="18" a="1"/>
  <c r="Q560" i="18"/>
  <c r="Q561" i="18" a="1"/>
  <c r="Q561" i="18"/>
  <c r="Q562" i="18" a="1"/>
  <c r="Q562" i="18"/>
  <c r="Q563" i="18" a="1"/>
  <c r="Q563" i="18"/>
  <c r="Q564" i="18" a="1"/>
  <c r="Q564" i="18"/>
  <c r="Q565" i="18" a="1"/>
  <c r="Q565" i="18"/>
  <c r="Q566" i="18" a="1"/>
  <c r="Q566" i="18"/>
  <c r="Q567" i="18" a="1"/>
  <c r="Q567" i="18"/>
  <c r="Q568" i="18" a="1"/>
  <c r="Q568" i="18"/>
  <c r="Q569" i="18" a="1"/>
  <c r="Q569" i="18"/>
  <c r="Q570" i="18" a="1"/>
  <c r="Q570" i="18"/>
  <c r="Q571" i="18" a="1"/>
  <c r="Q571" i="18"/>
  <c r="Q572" i="18" a="1"/>
  <c r="Q572" i="18"/>
  <c r="Q573" i="18" a="1"/>
  <c r="Q573" i="18"/>
  <c r="Q574" i="18" a="1"/>
  <c r="Q574" i="18"/>
  <c r="Q575" i="18" a="1"/>
  <c r="Q575" i="18"/>
  <c r="Q576" i="18" a="1"/>
  <c r="Q576" i="18"/>
  <c r="Q577" i="18" a="1"/>
  <c r="Q577" i="18"/>
  <c r="Q578" i="18" a="1"/>
  <c r="Q578" i="18"/>
  <c r="Q579" i="18" a="1"/>
  <c r="Q579" i="18"/>
  <c r="Q580" i="18" a="1"/>
  <c r="Q580" i="18"/>
  <c r="Q581" i="18" a="1"/>
  <c r="Q581" i="18"/>
  <c r="Q582" i="18" a="1"/>
  <c r="Q582" i="18"/>
  <c r="Q583" i="18" a="1"/>
  <c r="Q583" i="18"/>
  <c r="Q584" i="18" a="1"/>
  <c r="Q584" i="18"/>
  <c r="Q585" i="18" a="1"/>
  <c r="Q585" i="18"/>
  <c r="Q586" i="18" a="1"/>
  <c r="Q586" i="18"/>
  <c r="Q587" i="18" a="1"/>
  <c r="Q587" i="18"/>
  <c r="Q588" i="18" a="1"/>
  <c r="Q588" i="18"/>
  <c r="Q589" i="18" a="1"/>
  <c r="Q589" i="18"/>
  <c r="Q590" i="18" a="1"/>
  <c r="Q590" i="18"/>
  <c r="Q591" i="18" a="1"/>
  <c r="Q591" i="18"/>
  <c r="Q592" i="18" a="1"/>
  <c r="Q592" i="18"/>
  <c r="Q593" i="18" a="1"/>
  <c r="Q593" i="18"/>
  <c r="Q594" i="18" a="1"/>
  <c r="Q594" i="18"/>
  <c r="Q595" i="18" a="1"/>
  <c r="Q595" i="18"/>
  <c r="Q596" i="18" a="1"/>
  <c r="Q596" i="18"/>
  <c r="Q597" i="18" a="1"/>
  <c r="Q597" i="18"/>
  <c r="Q598" i="18" a="1"/>
  <c r="Q598" i="18"/>
  <c r="Q599" i="18" a="1"/>
  <c r="Q599" i="18"/>
  <c r="Q600" i="18" a="1"/>
  <c r="Q600" i="18"/>
  <c r="Q601" i="18" a="1"/>
  <c r="Q601" i="18"/>
  <c r="Q602" i="18" a="1"/>
  <c r="Q602" i="18"/>
  <c r="Q603" i="18" a="1"/>
  <c r="Q603" i="18"/>
  <c r="Q604" i="18" a="1"/>
  <c r="Q604" i="18"/>
  <c r="Q605" i="18" a="1"/>
  <c r="Q605" i="18"/>
  <c r="Q606" i="18" a="1"/>
  <c r="Q606" i="18"/>
  <c r="Q607" i="18" a="1"/>
  <c r="Q607" i="18"/>
  <c r="Q608" i="18" a="1"/>
  <c r="Q608" i="18"/>
  <c r="Q609" i="18" a="1"/>
  <c r="Q609" i="18"/>
  <c r="Q610" i="18" a="1"/>
  <c r="Q610" i="18"/>
  <c r="Q611" i="18" a="1"/>
  <c r="Q611" i="18"/>
  <c r="Q612" i="18" a="1"/>
  <c r="Q612" i="18"/>
  <c r="Q613" i="18" a="1"/>
  <c r="Q613" i="18"/>
  <c r="Q614" i="18" a="1"/>
  <c r="Q614" i="18"/>
  <c r="Q615" i="18" a="1"/>
  <c r="Q615" i="18"/>
  <c r="Q616" i="18" a="1"/>
  <c r="Q616" i="18"/>
  <c r="Q617" i="18" a="1"/>
  <c r="Q617" i="18"/>
  <c r="Q618" i="18" a="1"/>
  <c r="Q618" i="18"/>
  <c r="Q619" i="18" a="1"/>
  <c r="Q619" i="18"/>
  <c r="Q620" i="18" a="1"/>
  <c r="Q620" i="18"/>
  <c r="Q621" i="18" a="1"/>
  <c r="Q621" i="18"/>
  <c r="Q622" i="18" a="1"/>
  <c r="Q622" i="18"/>
  <c r="Q623" i="18" a="1"/>
  <c r="Q623" i="18"/>
  <c r="Q624" i="18" a="1"/>
  <c r="Q624" i="18"/>
  <c r="Q625" i="18" a="1"/>
  <c r="Q625" i="18"/>
  <c r="Q626" i="18" a="1"/>
  <c r="Q626" i="18"/>
  <c r="Q627" i="18" a="1"/>
  <c r="Q627" i="18"/>
  <c r="Q628" i="18" a="1"/>
  <c r="Q628" i="18"/>
  <c r="Q629" i="18" a="1"/>
  <c r="Q629" i="18"/>
  <c r="Q630" i="18" a="1"/>
  <c r="Q630" i="18"/>
  <c r="Q631" i="18" a="1"/>
  <c r="Q631" i="18"/>
  <c r="Q632" i="18" a="1"/>
  <c r="Q632" i="18"/>
  <c r="Q633" i="18" a="1"/>
  <c r="Q633" i="18"/>
  <c r="Q634" i="18" a="1"/>
  <c r="Q634" i="18"/>
  <c r="Q635" i="18" a="1"/>
  <c r="Q635" i="18"/>
  <c r="Q636" i="18" a="1"/>
  <c r="Q636" i="18"/>
  <c r="Q637" i="18" a="1"/>
  <c r="Q637" i="18"/>
  <c r="Q638" i="18" a="1"/>
  <c r="Q638" i="18"/>
  <c r="Q639" i="18" a="1"/>
  <c r="Q639" i="18"/>
  <c r="Q640" i="18" a="1"/>
  <c r="Q640" i="18"/>
  <c r="Q641" i="18" a="1"/>
  <c r="Q641" i="18"/>
  <c r="Q642" i="18" a="1"/>
  <c r="Q642" i="18"/>
  <c r="Q643" i="18" a="1"/>
  <c r="Q643" i="18"/>
  <c r="Q644" i="18" a="1"/>
  <c r="Q644" i="18"/>
  <c r="Q645" i="18" a="1"/>
  <c r="Q645" i="18"/>
  <c r="Q646" i="18" a="1"/>
  <c r="Q646" i="18"/>
  <c r="Q647" i="18" a="1"/>
  <c r="Q647" i="18"/>
  <c r="Q648" i="18" a="1"/>
  <c r="Q648" i="18"/>
  <c r="Q649" i="18" a="1"/>
  <c r="Q649" i="18"/>
  <c r="Q650" i="18" a="1"/>
  <c r="Q650" i="18"/>
  <c r="Q651" i="18" a="1"/>
  <c r="Q651" i="18"/>
  <c r="Q652" i="18" a="1"/>
  <c r="Q652" i="18"/>
  <c r="Q653" i="18" a="1"/>
  <c r="Q653" i="18"/>
  <c r="Q654" i="18" a="1"/>
  <c r="Q654" i="18"/>
  <c r="Q655" i="18" a="1"/>
  <c r="Q655" i="18"/>
  <c r="Q656" i="18" a="1"/>
  <c r="Q656" i="18"/>
  <c r="Q657" i="18" a="1"/>
  <c r="Q657" i="18"/>
  <c r="Q658" i="18" a="1"/>
  <c r="Q658" i="18"/>
  <c r="Q659" i="18" a="1"/>
  <c r="Q659" i="18"/>
  <c r="Q660" i="18" a="1"/>
  <c r="Q660" i="18"/>
  <c r="Q661" i="18" a="1"/>
  <c r="Q661" i="18"/>
  <c r="Q662" i="18" a="1"/>
  <c r="Q662" i="18"/>
  <c r="Q663" i="18" a="1"/>
  <c r="Q663" i="18"/>
  <c r="Q664" i="18" a="1"/>
  <c r="Q664" i="18"/>
  <c r="Q665" i="18" a="1"/>
  <c r="Q665" i="18"/>
  <c r="Q666" i="18" a="1"/>
  <c r="Q666" i="18"/>
  <c r="Q667" i="18" a="1"/>
  <c r="Q667" i="18"/>
  <c r="Q668" i="18" a="1"/>
  <c r="Q668" i="18"/>
  <c r="Q669" i="18" a="1"/>
  <c r="Q669" i="18"/>
  <c r="Q670" i="18" a="1"/>
  <c r="Q670" i="18"/>
  <c r="Q671" i="18" a="1"/>
  <c r="Q671" i="18"/>
  <c r="Q672" i="18" a="1"/>
  <c r="Q672" i="18"/>
  <c r="Q673" i="18" a="1"/>
  <c r="Q673" i="18"/>
  <c r="Q674" i="18" a="1"/>
  <c r="Q674" i="18"/>
  <c r="Q675" i="18" a="1"/>
  <c r="Q675" i="18"/>
  <c r="Q676" i="18" a="1"/>
  <c r="Q676" i="18"/>
  <c r="Q677" i="18" a="1"/>
  <c r="Q677" i="18"/>
  <c r="Q678" i="18" a="1"/>
  <c r="Q678" i="18"/>
  <c r="Q679" i="18" a="1"/>
  <c r="Q679" i="18"/>
  <c r="Q680" i="18" a="1"/>
  <c r="Q680" i="18"/>
  <c r="Q681" i="18" a="1"/>
  <c r="Q681" i="18"/>
  <c r="Q682" i="18" a="1"/>
  <c r="Q682" i="18"/>
  <c r="Q683" i="18" a="1"/>
  <c r="Q683" i="18"/>
  <c r="Q684" i="18" a="1"/>
  <c r="Q684" i="18"/>
  <c r="Q685" i="18" a="1"/>
  <c r="Q685" i="18"/>
  <c r="Q686" i="18" a="1"/>
  <c r="Q686" i="18"/>
  <c r="Q687" i="18" a="1"/>
  <c r="Q687" i="18"/>
  <c r="Q688" i="18" a="1"/>
  <c r="Q688" i="18"/>
  <c r="Q689" i="18" a="1"/>
  <c r="Q689" i="18"/>
  <c r="Q690" i="18" a="1"/>
  <c r="Q690" i="18"/>
  <c r="Q691" i="18" a="1"/>
  <c r="Q691" i="18"/>
  <c r="Q692" i="18" a="1"/>
  <c r="Q692" i="18"/>
  <c r="Q693" i="18" a="1"/>
  <c r="Q693" i="18"/>
  <c r="Q694" i="18" a="1"/>
  <c r="Q694" i="18"/>
  <c r="Q695" i="18" a="1"/>
  <c r="Q695" i="18"/>
  <c r="Q696" i="18" a="1"/>
  <c r="Q696" i="18"/>
  <c r="Q697" i="18" a="1"/>
  <c r="Q697" i="18"/>
  <c r="Q698" i="18" a="1"/>
  <c r="Q698" i="18"/>
  <c r="Q699" i="18" a="1"/>
  <c r="Q699" i="18"/>
  <c r="Q700" i="18" a="1"/>
  <c r="Q700" i="18"/>
  <c r="Q701" i="18" a="1"/>
  <c r="Q701" i="18"/>
  <c r="Q702" i="18" a="1"/>
  <c r="Q702" i="18"/>
  <c r="Q703" i="18" a="1"/>
  <c r="Q703" i="18"/>
  <c r="Q704" i="18" a="1"/>
  <c r="Q704" i="18"/>
  <c r="Q705" i="18" a="1"/>
  <c r="Q705" i="18"/>
  <c r="Q706" i="18" a="1"/>
  <c r="Q706" i="18"/>
  <c r="Q707" i="18" a="1"/>
  <c r="Q707" i="18"/>
  <c r="Q708" i="18" a="1"/>
  <c r="Q708" i="18"/>
  <c r="Q709" i="18" a="1"/>
  <c r="Q709" i="18"/>
  <c r="Q710" i="18" a="1"/>
  <c r="Q710" i="18"/>
  <c r="Q711" i="18" a="1"/>
  <c r="Q711" i="18"/>
  <c r="Q712" i="18" a="1"/>
  <c r="Q712" i="18"/>
  <c r="Q713" i="18" a="1"/>
  <c r="Q713" i="18"/>
  <c r="Q714" i="18" a="1"/>
  <c r="Q714" i="18"/>
  <c r="Q715" i="18" a="1"/>
  <c r="Q715" i="18"/>
  <c r="Q716" i="18" a="1"/>
  <c r="Q716" i="18"/>
  <c r="Q717" i="18" a="1"/>
  <c r="Q717" i="18"/>
  <c r="Q718" i="18" a="1"/>
  <c r="Q718" i="18"/>
  <c r="Q719" i="18" a="1"/>
  <c r="Q719" i="18"/>
  <c r="Q720" i="18" a="1"/>
  <c r="Q720" i="18"/>
  <c r="Q721" i="18" a="1"/>
  <c r="Q721" i="18"/>
  <c r="Q722" i="18" a="1"/>
  <c r="Q722" i="18"/>
  <c r="Q723" i="18" a="1"/>
  <c r="Q723" i="18"/>
  <c r="Q724" i="18" a="1"/>
  <c r="Q724" i="18"/>
  <c r="Q725" i="18" a="1"/>
  <c r="Q725" i="18"/>
  <c r="Q726" i="18" a="1"/>
  <c r="Q726" i="18"/>
  <c r="Q727" i="18" a="1"/>
  <c r="Q727" i="18"/>
  <c r="Q728" i="18" a="1"/>
  <c r="Q728" i="18"/>
  <c r="Q729" i="18" a="1"/>
  <c r="Q729" i="18"/>
  <c r="Q730" i="18" a="1"/>
  <c r="Q730" i="18"/>
  <c r="Q731" i="18" a="1"/>
  <c r="Q731" i="18"/>
  <c r="Q732" i="18" a="1"/>
  <c r="Q732" i="18"/>
  <c r="Q733" i="18" a="1"/>
  <c r="Q733" i="18"/>
  <c r="Q734" i="18" a="1"/>
  <c r="Q734" i="18"/>
  <c r="Q735" i="18" a="1"/>
  <c r="Q735" i="18"/>
  <c r="Q736" i="18" a="1"/>
  <c r="Q736" i="18"/>
  <c r="Q737" i="18" a="1"/>
  <c r="Q737" i="18"/>
  <c r="Q738" i="18" a="1"/>
  <c r="Q738" i="18"/>
  <c r="Q739" i="18" a="1"/>
  <c r="Q739" i="18"/>
  <c r="Q740" i="18" a="1"/>
  <c r="Q740" i="18"/>
  <c r="Q741" i="18" a="1"/>
  <c r="Q741" i="18"/>
  <c r="Q742" i="18" a="1"/>
  <c r="Q742" i="18"/>
  <c r="Q743" i="18" a="1"/>
  <c r="Q743" i="18"/>
  <c r="Q744" i="18" a="1"/>
  <c r="Q744" i="18"/>
  <c r="Q745" i="18" a="1"/>
  <c r="Q745" i="18"/>
  <c r="Q746" i="18" a="1"/>
  <c r="Q746" i="18"/>
  <c r="Q747" i="18" a="1"/>
  <c r="Q747" i="18"/>
  <c r="Q748" i="18" a="1"/>
  <c r="Q748" i="18"/>
  <c r="Q749" i="18" a="1"/>
  <c r="Q749" i="18"/>
  <c r="Q750" i="18" a="1"/>
  <c r="Q750" i="18"/>
  <c r="Q751" i="18" a="1"/>
  <c r="Q751" i="18"/>
  <c r="Q752" i="18" a="1"/>
  <c r="Q752" i="18"/>
  <c r="Q753" i="18" a="1"/>
  <c r="Q753" i="18"/>
  <c r="Q754" i="18" a="1"/>
  <c r="Q754" i="18"/>
  <c r="Q755" i="18" a="1"/>
  <c r="Q755" i="18"/>
  <c r="Q756" i="18" a="1"/>
  <c r="Q756" i="18"/>
  <c r="Q757" i="18" a="1"/>
  <c r="Q757" i="18"/>
  <c r="Q758" i="18" a="1"/>
  <c r="Q758" i="18"/>
  <c r="Q759" i="18" a="1"/>
  <c r="Q759" i="18"/>
  <c r="Q760" i="18" a="1"/>
  <c r="Q760" i="18"/>
  <c r="Q761" i="18" a="1"/>
  <c r="Q761" i="18"/>
  <c r="Q762" i="18" a="1"/>
  <c r="Q762" i="18"/>
  <c r="Q763" i="18" a="1"/>
  <c r="Q763" i="18"/>
  <c r="Q764" i="18" a="1"/>
  <c r="Q764" i="18"/>
  <c r="Q765" i="18" a="1"/>
  <c r="Q765" i="18"/>
  <c r="Q766" i="18" a="1"/>
  <c r="Q766" i="18"/>
  <c r="Q767" i="18" a="1"/>
  <c r="Q767" i="18"/>
  <c r="Q768" i="18" a="1"/>
  <c r="Q768" i="18"/>
  <c r="Q769" i="18" a="1"/>
  <c r="Q769" i="18"/>
  <c r="Q770" i="18" a="1"/>
  <c r="Q770" i="18"/>
  <c r="Q771" i="18" a="1"/>
  <c r="Q771" i="18"/>
  <c r="Q772" i="18" a="1"/>
  <c r="Q772" i="18"/>
  <c r="Q773" i="18" a="1"/>
  <c r="Q773" i="18"/>
  <c r="Q774" i="18" a="1"/>
  <c r="Q774" i="18"/>
  <c r="Q775" i="18" a="1"/>
  <c r="Q775" i="18"/>
  <c r="Q776" i="18" a="1"/>
  <c r="Q776" i="18"/>
  <c r="Q777" i="18" a="1"/>
  <c r="Q777" i="18"/>
  <c r="Q778" i="18" a="1"/>
  <c r="Q778" i="18"/>
  <c r="Q779" i="18" a="1"/>
  <c r="Q779" i="18"/>
  <c r="Q780" i="18" a="1"/>
  <c r="Q780" i="18"/>
  <c r="Q781" i="18" a="1"/>
  <c r="Q781" i="18"/>
  <c r="Q782" i="18" a="1"/>
  <c r="Q782" i="18"/>
  <c r="Q783" i="18" a="1"/>
  <c r="Q783" i="18"/>
  <c r="Q784" i="18" a="1"/>
  <c r="Q784" i="18"/>
  <c r="Q785" i="18" a="1"/>
  <c r="Q785" i="18"/>
  <c r="Q786" i="18" a="1"/>
  <c r="Q786" i="18"/>
  <c r="Q787" i="18" a="1"/>
  <c r="Q787" i="18"/>
  <c r="Q788" i="18" a="1"/>
  <c r="Q788" i="18"/>
  <c r="Q789" i="18" a="1"/>
  <c r="Q789" i="18"/>
  <c r="Q790" i="18" a="1"/>
  <c r="Q790" i="18"/>
  <c r="Q791" i="18" a="1"/>
  <c r="Q791" i="18"/>
  <c r="Q792" i="18" a="1"/>
  <c r="Q792" i="18"/>
  <c r="Q793" i="18" a="1"/>
  <c r="Q793" i="18"/>
  <c r="Q794" i="18" a="1"/>
  <c r="Q794" i="18"/>
  <c r="Q795" i="18" a="1"/>
  <c r="Q795" i="18"/>
  <c r="Q796" i="18" a="1"/>
  <c r="Q796" i="18"/>
  <c r="Q797" i="18" a="1"/>
  <c r="Q797" i="18"/>
  <c r="Q798" i="18" a="1"/>
  <c r="Q798" i="18"/>
  <c r="Q799" i="18" a="1"/>
  <c r="Q799" i="18"/>
  <c r="Q800" i="18" a="1"/>
  <c r="Q800" i="18"/>
  <c r="Q801" i="18" a="1"/>
  <c r="Q801" i="18"/>
  <c r="Q802" i="18" a="1"/>
  <c r="Q802" i="18"/>
  <c r="Q803" i="18" a="1"/>
  <c r="Q803" i="18"/>
  <c r="Q804" i="18" a="1"/>
  <c r="Q804" i="18"/>
  <c r="Q805" i="18" a="1"/>
  <c r="Q805" i="18"/>
  <c r="Q806" i="18" a="1"/>
  <c r="Q806" i="18"/>
  <c r="Q807" i="18" a="1"/>
  <c r="Q807" i="18"/>
  <c r="Q808" i="18" a="1"/>
  <c r="Q808" i="18"/>
  <c r="Q809" i="18" a="1"/>
  <c r="Q809" i="18"/>
  <c r="Q810" i="18" a="1"/>
  <c r="Q810" i="18"/>
  <c r="Q811" i="18" a="1"/>
  <c r="Q811" i="18"/>
  <c r="Q812" i="18" a="1"/>
  <c r="Q812" i="18"/>
  <c r="Q813" i="18" a="1"/>
  <c r="Q813" i="18"/>
  <c r="Q814" i="18" a="1"/>
  <c r="Q814" i="18"/>
  <c r="Q815" i="18" a="1"/>
  <c r="Q815" i="18"/>
  <c r="Q816" i="18" a="1"/>
  <c r="Q816" i="18"/>
  <c r="Q817" i="18" a="1"/>
  <c r="Q817" i="18"/>
  <c r="Q818" i="18" a="1"/>
  <c r="Q818" i="18"/>
  <c r="Q819" i="18" a="1"/>
  <c r="Q819" i="18"/>
  <c r="Q820" i="18" a="1"/>
  <c r="Q820" i="18"/>
  <c r="Q821" i="18" a="1"/>
  <c r="Q821" i="18"/>
  <c r="Q822" i="18" a="1"/>
  <c r="Q822" i="18"/>
  <c r="Q823" i="18" a="1"/>
  <c r="Q823" i="18"/>
  <c r="Q824" i="18" a="1"/>
  <c r="Q824" i="18"/>
  <c r="Q825" i="18" a="1"/>
  <c r="Q825" i="18"/>
  <c r="Q826" i="18" a="1"/>
  <c r="Q826" i="18"/>
  <c r="Q827" i="18" a="1"/>
  <c r="Q827" i="18"/>
  <c r="Q828" i="18" a="1"/>
  <c r="Q828" i="18"/>
  <c r="Q829" i="18" a="1"/>
  <c r="Q829" i="18"/>
  <c r="Q830" i="18" a="1"/>
  <c r="Q830" i="18"/>
  <c r="Q831" i="18" a="1"/>
  <c r="Q831" i="18"/>
  <c r="Q832" i="18" a="1"/>
  <c r="Q832" i="18"/>
  <c r="Q833" i="18" a="1"/>
  <c r="Q833" i="18"/>
  <c r="Q834" i="18" a="1"/>
  <c r="Q834" i="18"/>
  <c r="Q835" i="18" a="1"/>
  <c r="Q835" i="18"/>
  <c r="Q836" i="18" a="1"/>
  <c r="Q836" i="18"/>
  <c r="Q837" i="18" a="1"/>
  <c r="Q837" i="18"/>
  <c r="Q838" i="18" a="1"/>
  <c r="Q838" i="18"/>
  <c r="Q839" i="18" a="1"/>
  <c r="Q839" i="18"/>
  <c r="Q840" i="18" a="1"/>
  <c r="Q840" i="18"/>
  <c r="Q841" i="18" a="1"/>
  <c r="Q841" i="18"/>
  <c r="Q842" i="18" a="1"/>
  <c r="Q842" i="18"/>
  <c r="Q843" i="18" a="1"/>
  <c r="Q843" i="18"/>
  <c r="Q844" i="18" a="1"/>
  <c r="Q844" i="18"/>
  <c r="Q845" i="18" a="1"/>
  <c r="Q845" i="18"/>
  <c r="Q846" i="18" a="1"/>
  <c r="Q846" i="18"/>
  <c r="Q847" i="18" a="1"/>
  <c r="Q847" i="18"/>
  <c r="Q848" i="18" a="1"/>
  <c r="Q848" i="18"/>
  <c r="Q849" i="18" a="1"/>
  <c r="Q849" i="18"/>
  <c r="Q850" i="18" a="1"/>
  <c r="Q850" i="18"/>
  <c r="Q851" i="18" a="1"/>
  <c r="Q851" i="18"/>
  <c r="R7" i="18"/>
  <c r="R11" i="18"/>
  <c r="R15" i="18"/>
  <c r="R17" i="18"/>
  <c r="R23" i="18"/>
  <c r="R25" i="18"/>
  <c r="R27" i="18"/>
  <c r="R33" i="18"/>
  <c r="R39" i="18"/>
  <c r="R43" i="18"/>
  <c r="R49" i="18"/>
  <c r="R55" i="18"/>
  <c r="R57" i="18"/>
  <c r="R59" i="18"/>
  <c r="R65" i="18"/>
  <c r="R67" i="18"/>
  <c r="R71" i="18"/>
  <c r="R75" i="18"/>
  <c r="R79" i="18"/>
  <c r="R83" i="18"/>
  <c r="R91" i="18"/>
  <c r="R93" i="18"/>
  <c r="R99" i="18"/>
  <c r="R101" i="18"/>
  <c r="R107" i="18"/>
  <c r="R111" i="18"/>
  <c r="R115" i="18"/>
  <c r="R123" i="18"/>
  <c r="R125" i="18"/>
  <c r="R131" i="18"/>
  <c r="R133" i="18"/>
  <c r="R139" i="18"/>
  <c r="R143" i="18"/>
  <c r="R147" i="18"/>
  <c r="R155" i="18"/>
  <c r="R157" i="18"/>
  <c r="R163" i="18"/>
  <c r="R165" i="18"/>
  <c r="R171" i="18"/>
  <c r="R175" i="18"/>
  <c r="R179" i="18"/>
  <c r="R187" i="18"/>
  <c r="R189" i="18"/>
  <c r="R195" i="18"/>
  <c r="R197" i="18"/>
  <c r="R203" i="18"/>
  <c r="R207" i="18"/>
  <c r="R211" i="18"/>
  <c r="R219" i="18"/>
  <c r="R221" i="18"/>
  <c r="R229" i="18"/>
  <c r="R231" i="18"/>
  <c r="R237" i="18"/>
  <c r="R239" i="18"/>
  <c r="R245" i="18"/>
  <c r="R247" i="18"/>
  <c r="R248" i="18"/>
  <c r="R251" i="18"/>
  <c r="R252" i="18"/>
  <c r="R256" i="18"/>
  <c r="R257" i="18"/>
  <c r="R260" i="18"/>
  <c r="R261" i="18"/>
  <c r="R263" i="18"/>
  <c r="R264" i="18"/>
  <c r="R267" i="18"/>
  <c r="R268" i="18"/>
  <c r="R272" i="18"/>
  <c r="R273" i="18"/>
  <c r="R276" i="18"/>
  <c r="R277" i="18"/>
  <c r="R279" i="18"/>
  <c r="R283" i="18"/>
  <c r="R284" i="18"/>
  <c r="R288" i="18"/>
  <c r="R289" i="18"/>
  <c r="R292" i="18"/>
  <c r="R293" i="18"/>
  <c r="R295" i="18"/>
  <c r="R299" i="18"/>
  <c r="R300" i="18"/>
  <c r="R302" i="18"/>
  <c r="R303" i="18"/>
  <c r="R304" i="18"/>
  <c r="R306" i="18"/>
  <c r="R307" i="18"/>
  <c r="R308" i="18"/>
  <c r="R310" i="18"/>
  <c r="R311" i="18"/>
  <c r="R312" i="18"/>
  <c r="R314" i="18"/>
  <c r="R315" i="18"/>
  <c r="R316" i="18"/>
  <c r="R318" i="18"/>
  <c r="R319" i="18"/>
  <c r="R320" i="18"/>
  <c r="R322" i="18"/>
  <c r="R323" i="18"/>
  <c r="R324" i="18"/>
  <c r="R326" i="18"/>
  <c r="R327" i="18"/>
  <c r="R328" i="18"/>
  <c r="R330" i="18"/>
  <c r="R331" i="18"/>
  <c r="R332" i="18"/>
  <c r="R334" i="18"/>
  <c r="R335" i="18"/>
  <c r="R336" i="18"/>
  <c r="R338" i="18"/>
  <c r="R339" i="18"/>
  <c r="R340" i="18"/>
  <c r="R342" i="18"/>
  <c r="R343" i="18"/>
  <c r="R344" i="18"/>
  <c r="R346" i="18"/>
  <c r="R347" i="18"/>
  <c r="R348" i="18"/>
  <c r="R350" i="18"/>
  <c r="R351" i="18"/>
  <c r="R352" i="18"/>
  <c r="R354" i="18"/>
  <c r="R355" i="18"/>
  <c r="R356" i="18"/>
  <c r="R358" i="18"/>
  <c r="R359" i="18"/>
  <c r="R360" i="18"/>
  <c r="R362" i="18"/>
  <c r="R363" i="18"/>
  <c r="R364" i="18"/>
  <c r="R366" i="18"/>
  <c r="R367" i="18"/>
  <c r="R368" i="18"/>
  <c r="R370" i="18"/>
  <c r="R371" i="18"/>
  <c r="R372" i="18"/>
  <c r="R374" i="18"/>
  <c r="R375" i="18"/>
  <c r="R376" i="18"/>
  <c r="R378" i="18"/>
  <c r="R379" i="18"/>
  <c r="R380" i="18"/>
  <c r="R382" i="18"/>
  <c r="R383" i="18"/>
  <c r="R384" i="18"/>
  <c r="R386" i="18"/>
  <c r="R387" i="18"/>
  <c r="R388" i="18"/>
  <c r="R390" i="18"/>
  <c r="R391" i="18"/>
  <c r="R392" i="18"/>
  <c r="R394" i="18"/>
  <c r="R395" i="18"/>
  <c r="R396" i="18"/>
  <c r="R398" i="18"/>
  <c r="R399" i="18"/>
  <c r="R400" i="18"/>
  <c r="R402" i="18"/>
  <c r="R403" i="18"/>
  <c r="R404" i="18"/>
  <c r="R406" i="18"/>
  <c r="R407" i="18"/>
  <c r="R408" i="18"/>
  <c r="R410" i="18"/>
  <c r="R411" i="18"/>
  <c r="R412" i="18"/>
  <c r="R414" i="18"/>
  <c r="R415" i="18"/>
  <c r="R416" i="18"/>
  <c r="R418" i="18"/>
  <c r="R419" i="18"/>
  <c r="R420" i="18"/>
  <c r="R422" i="18"/>
  <c r="R423" i="18"/>
  <c r="R424" i="18"/>
  <c r="R426" i="18"/>
  <c r="R427" i="18"/>
  <c r="R428" i="18"/>
  <c r="R430" i="18"/>
  <c r="R431" i="18"/>
  <c r="R432" i="18"/>
  <c r="R434" i="18"/>
  <c r="R435" i="18"/>
  <c r="R436" i="18"/>
  <c r="R438" i="18"/>
  <c r="R439" i="18"/>
  <c r="R440" i="18"/>
  <c r="R442" i="18"/>
  <c r="R443" i="18"/>
  <c r="R444" i="18"/>
  <c r="R446" i="18"/>
  <c r="R447" i="18"/>
  <c r="R448" i="18"/>
  <c r="R450" i="18"/>
  <c r="R451" i="18"/>
  <c r="R452" i="18"/>
  <c r="R454" i="18"/>
  <c r="R455" i="18"/>
  <c r="R456" i="18"/>
  <c r="R458" i="18"/>
  <c r="R459" i="18"/>
  <c r="R460" i="18"/>
  <c r="R462" i="18"/>
  <c r="R463" i="18"/>
  <c r="R464" i="18"/>
  <c r="R466" i="18"/>
  <c r="R467" i="18"/>
  <c r="R468" i="18"/>
  <c r="R470" i="18"/>
  <c r="R471" i="18"/>
  <c r="R472" i="18"/>
  <c r="R474" i="18"/>
  <c r="R475" i="18"/>
  <c r="R476" i="18"/>
  <c r="R478" i="18"/>
  <c r="R479" i="18"/>
  <c r="R480" i="18"/>
  <c r="R482" i="18"/>
  <c r="R483" i="18"/>
  <c r="R484" i="18"/>
  <c r="R486" i="18"/>
  <c r="R487" i="18"/>
  <c r="R488" i="18"/>
  <c r="R490" i="18"/>
  <c r="R491" i="18"/>
  <c r="R492" i="18"/>
  <c r="R494" i="18"/>
  <c r="R495" i="18"/>
  <c r="R496" i="18"/>
  <c r="R498" i="18"/>
  <c r="R499" i="18"/>
  <c r="R500" i="18"/>
  <c r="R502" i="18"/>
  <c r="R503" i="18"/>
  <c r="R504" i="18"/>
  <c r="R506" i="18"/>
  <c r="R507" i="18"/>
  <c r="R508" i="18"/>
  <c r="R510" i="18"/>
  <c r="R511" i="18"/>
  <c r="R512" i="18"/>
  <c r="R514" i="18"/>
  <c r="R515" i="18"/>
  <c r="R516" i="18"/>
  <c r="R518" i="18"/>
  <c r="R519" i="18"/>
  <c r="R520" i="18"/>
  <c r="R522" i="18"/>
  <c r="R523" i="18"/>
  <c r="R524" i="18"/>
  <c r="R526" i="18"/>
  <c r="R527" i="18"/>
  <c r="R528" i="18"/>
  <c r="R530" i="18"/>
  <c r="R531" i="18"/>
  <c r="R532" i="18"/>
  <c r="R534" i="18"/>
  <c r="R535" i="18"/>
  <c r="R536" i="18"/>
  <c r="R537" i="18"/>
  <c r="R538" i="18"/>
  <c r="R539" i="18"/>
  <c r="R540" i="18"/>
  <c r="R541" i="18"/>
  <c r="R542" i="18"/>
  <c r="R543" i="18"/>
  <c r="R544" i="18"/>
  <c r="R545" i="18"/>
  <c r="R546" i="18"/>
  <c r="R547" i="18"/>
  <c r="R548" i="18"/>
  <c r="R549" i="18"/>
  <c r="R550" i="18"/>
  <c r="R551" i="18"/>
  <c r="R552" i="18"/>
  <c r="R553" i="18"/>
  <c r="R554" i="18"/>
  <c r="R555" i="18"/>
  <c r="R556" i="18"/>
  <c r="R557" i="18"/>
  <c r="R558" i="18"/>
  <c r="R559" i="18"/>
  <c r="R560" i="18"/>
  <c r="R561" i="18"/>
  <c r="R562" i="18"/>
  <c r="R563" i="18"/>
  <c r="R564" i="18"/>
  <c r="R565" i="18"/>
  <c r="R566" i="18"/>
  <c r="R567" i="18"/>
  <c r="R568" i="18"/>
  <c r="R569" i="18"/>
  <c r="R570" i="18"/>
  <c r="R571" i="18"/>
  <c r="R572" i="18"/>
  <c r="R573" i="18"/>
  <c r="R574" i="18"/>
  <c r="R575" i="18"/>
  <c r="R576" i="18"/>
  <c r="R577" i="18"/>
  <c r="R578" i="18"/>
  <c r="R579" i="18"/>
  <c r="R580" i="18"/>
  <c r="R581" i="18"/>
  <c r="R582" i="18"/>
  <c r="R583" i="18"/>
  <c r="R584" i="18"/>
  <c r="R585" i="18"/>
  <c r="R586" i="18"/>
  <c r="R587" i="18"/>
  <c r="R588" i="18"/>
  <c r="R589" i="18"/>
  <c r="R590" i="18"/>
  <c r="R591" i="18"/>
  <c r="R592" i="18"/>
  <c r="R593" i="18"/>
  <c r="R594" i="18"/>
  <c r="R595" i="18"/>
  <c r="R596" i="18"/>
  <c r="R597" i="18"/>
  <c r="R598" i="18"/>
  <c r="R599" i="18"/>
  <c r="R600" i="18"/>
  <c r="R601" i="18"/>
  <c r="R602" i="18"/>
  <c r="R603" i="18"/>
  <c r="R604" i="18"/>
  <c r="R605" i="18"/>
  <c r="R606" i="18"/>
  <c r="R607" i="18"/>
  <c r="R608" i="18"/>
  <c r="R609" i="18"/>
  <c r="R610" i="18"/>
  <c r="R611" i="18"/>
  <c r="R612" i="18"/>
  <c r="R613" i="18"/>
  <c r="R614" i="18"/>
  <c r="R615" i="18"/>
  <c r="R616" i="18"/>
  <c r="R617" i="18"/>
  <c r="R618" i="18"/>
  <c r="R619" i="18"/>
  <c r="R620" i="18"/>
  <c r="R621" i="18"/>
  <c r="R622" i="18"/>
  <c r="R623" i="18"/>
  <c r="R624" i="18"/>
  <c r="R625" i="18"/>
  <c r="R626" i="18"/>
  <c r="R627" i="18"/>
  <c r="R628" i="18"/>
  <c r="R629" i="18"/>
  <c r="R630" i="18"/>
  <c r="R631" i="18"/>
  <c r="R632" i="18"/>
  <c r="R633" i="18"/>
  <c r="R634" i="18"/>
  <c r="R635" i="18"/>
  <c r="R636" i="18"/>
  <c r="R637" i="18"/>
  <c r="R638" i="18"/>
  <c r="R639" i="18"/>
  <c r="R640" i="18"/>
  <c r="R641" i="18"/>
  <c r="R642" i="18"/>
  <c r="R643" i="18"/>
  <c r="R644" i="18"/>
  <c r="R645" i="18"/>
  <c r="R646" i="18"/>
  <c r="R647" i="18"/>
  <c r="R648" i="18"/>
  <c r="R649" i="18"/>
  <c r="R650" i="18"/>
  <c r="R651" i="18"/>
  <c r="R652" i="18"/>
  <c r="R653" i="18"/>
  <c r="R654" i="18"/>
  <c r="R655" i="18"/>
  <c r="R656" i="18"/>
  <c r="R657" i="18"/>
  <c r="R658" i="18"/>
  <c r="R659" i="18"/>
  <c r="R660" i="18"/>
  <c r="R661" i="18"/>
  <c r="R662" i="18"/>
  <c r="R663" i="18"/>
  <c r="R664" i="18"/>
  <c r="R665" i="18"/>
  <c r="R667" i="18"/>
  <c r="R668" i="18"/>
  <c r="R669" i="18"/>
  <c r="R671" i="18"/>
  <c r="R672" i="18"/>
  <c r="R673" i="18"/>
  <c r="R675" i="18"/>
  <c r="R676" i="18"/>
  <c r="R677" i="18"/>
  <c r="R679" i="18"/>
  <c r="R680" i="18"/>
  <c r="R681" i="18"/>
  <c r="R683" i="18"/>
  <c r="R684" i="18"/>
  <c r="R685" i="18"/>
  <c r="R687" i="18"/>
  <c r="R688" i="18"/>
  <c r="R689" i="18"/>
  <c r="R691" i="18"/>
  <c r="R692" i="18"/>
  <c r="R693" i="18"/>
  <c r="R695" i="18"/>
  <c r="R696" i="18"/>
  <c r="R697" i="18"/>
  <c r="R699" i="18"/>
  <c r="R700" i="18"/>
  <c r="R701" i="18"/>
  <c r="R703" i="18"/>
  <c r="R704" i="18"/>
  <c r="R705" i="18"/>
  <c r="R707" i="18"/>
  <c r="R708" i="18"/>
  <c r="R709" i="18"/>
  <c r="R711" i="18"/>
  <c r="R712" i="18"/>
  <c r="R713" i="18"/>
  <c r="R715" i="18"/>
  <c r="R716" i="18"/>
  <c r="R717" i="18"/>
  <c r="R719" i="18"/>
  <c r="R720" i="18"/>
  <c r="R721" i="18"/>
  <c r="R723" i="18"/>
  <c r="R724" i="18"/>
  <c r="R725" i="18"/>
  <c r="R727" i="18"/>
  <c r="R728" i="18"/>
  <c r="R729" i="18"/>
  <c r="R731" i="18"/>
  <c r="R732" i="18"/>
  <c r="R733" i="18"/>
  <c r="R735" i="18"/>
  <c r="R736" i="18"/>
  <c r="R737" i="18"/>
  <c r="R739" i="18"/>
  <c r="R740" i="18"/>
  <c r="R741" i="18"/>
  <c r="R743" i="18"/>
  <c r="R744" i="18"/>
  <c r="R745" i="18"/>
  <c r="R747" i="18"/>
  <c r="R748" i="18"/>
  <c r="R749" i="18"/>
  <c r="R751" i="18"/>
  <c r="R752" i="18"/>
  <c r="R753" i="18"/>
  <c r="R755" i="18"/>
  <c r="R756" i="18"/>
  <c r="R757" i="18"/>
  <c r="R759" i="18"/>
  <c r="R760" i="18"/>
  <c r="R761" i="18"/>
  <c r="R763" i="18"/>
  <c r="R764" i="18"/>
  <c r="R765" i="18"/>
  <c r="R767" i="18"/>
  <c r="R768" i="18"/>
  <c r="R769" i="18"/>
  <c r="R771" i="18"/>
  <c r="R772" i="18"/>
  <c r="R773" i="18"/>
  <c r="R775" i="18"/>
  <c r="R776" i="18"/>
  <c r="R777" i="18"/>
  <c r="R779" i="18"/>
  <c r="R780" i="18"/>
  <c r="R781" i="18"/>
  <c r="R783" i="18"/>
  <c r="R784" i="18"/>
  <c r="R785" i="18"/>
  <c r="R787" i="18"/>
  <c r="R788" i="18"/>
  <c r="R789" i="18"/>
  <c r="R791" i="18"/>
  <c r="R792" i="18"/>
  <c r="R793" i="18"/>
  <c r="R795" i="18"/>
  <c r="R796" i="18"/>
  <c r="R797" i="18"/>
  <c r="R799" i="18"/>
  <c r="R800" i="18"/>
  <c r="R801" i="18"/>
  <c r="R803" i="18"/>
  <c r="R804" i="18"/>
  <c r="R805" i="18"/>
  <c r="R807" i="18"/>
  <c r="R808" i="18"/>
  <c r="R809" i="18"/>
  <c r="R811" i="18"/>
  <c r="R812" i="18"/>
  <c r="R813" i="18"/>
  <c r="R815" i="18"/>
  <c r="R816" i="18"/>
  <c r="R817" i="18"/>
  <c r="R819" i="18"/>
  <c r="R820" i="18"/>
  <c r="R821" i="18"/>
  <c r="R823" i="18"/>
  <c r="R824" i="18"/>
  <c r="R825" i="18"/>
  <c r="R827" i="18"/>
  <c r="R828" i="18"/>
  <c r="R829" i="18"/>
  <c r="R831" i="18"/>
  <c r="R832" i="18"/>
  <c r="R833" i="18"/>
  <c r="R835" i="18"/>
  <c r="R836" i="18"/>
  <c r="R837" i="18"/>
  <c r="R839" i="18"/>
  <c r="R841" i="18"/>
  <c r="R843" i="18"/>
  <c r="R844" i="18"/>
  <c r="R845" i="18"/>
  <c r="R847" i="18"/>
  <c r="R848" i="18"/>
  <c r="R849" i="18"/>
  <c r="R851" i="18"/>
  <c r="S2" i="18" a="1"/>
  <c r="S2" i="18"/>
  <c r="S3" i="18" a="1"/>
  <c r="S3" i="18" s="1"/>
  <c r="S4" i="18" a="1"/>
  <c r="S4" i="18"/>
  <c r="S5" i="18" a="1"/>
  <c r="S5" i="18" s="1"/>
  <c r="S6" i="18" a="1"/>
  <c r="S6" i="18" s="1"/>
  <c r="S7" i="18" a="1"/>
  <c r="S7" i="18" s="1"/>
  <c r="S8" i="18" a="1"/>
  <c r="S8" i="18" s="1"/>
  <c r="S9" i="18" a="1"/>
  <c r="S9" i="18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/>
  <c r="S188" i="18" a="1"/>
  <c r="S188" i="18" s="1"/>
  <c r="S189" i="18" a="1"/>
  <c r="S189" i="18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/>
  <c r="S204" i="18" a="1"/>
  <c r="S204" i="18" s="1"/>
  <c r="S205" i="18" a="1"/>
  <c r="S205" i="18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/>
  <c r="S220" i="18" a="1"/>
  <c r="S220" i="18" s="1"/>
  <c r="S221" i="18" a="1"/>
  <c r="S221" i="18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/>
  <c r="S236" i="18" a="1"/>
  <c r="S236" i="18" s="1"/>
  <c r="S237" i="18" a="1"/>
  <c r="S237" i="18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/>
  <c r="S252" i="18" a="1"/>
  <c r="S252" i="18" s="1"/>
  <c r="S253" i="18" a="1"/>
  <c r="S253" i="18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/>
  <c r="S268" i="18" a="1"/>
  <c r="S268" i="18" s="1"/>
  <c r="S269" i="18" a="1"/>
  <c r="S269" i="18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 s="1"/>
  <c r="S283" i="18" a="1"/>
  <c r="S283" i="18"/>
  <c r="S284" i="18" a="1"/>
  <c r="S284" i="18" s="1"/>
  <c r="S285" i="18" a="1"/>
  <c r="S285" i="18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/>
  <c r="S300" i="18" a="1"/>
  <c r="S300" i="18" s="1"/>
  <c r="S301" i="18" a="1"/>
  <c r="S301" i="18"/>
  <c r="S302" i="18" a="1"/>
  <c r="S302" i="18" s="1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/>
  <c r="S316" i="18" a="1"/>
  <c r="S316" i="18" s="1"/>
  <c r="S317" i="18" a="1"/>
  <c r="S317" i="18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/>
  <c r="S332" i="18" a="1"/>
  <c r="S332" i="18" s="1"/>
  <c r="S333" i="18" a="1"/>
  <c r="S333" i="18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/>
  <c r="S348" i="18" a="1"/>
  <c r="S348" i="18" s="1"/>
  <c r="S349" i="18" a="1"/>
  <c r="S349" i="18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/>
  <c r="S364" i="18" a="1"/>
  <c r="S364" i="18" s="1"/>
  <c r="S365" i="18" a="1"/>
  <c r="S365" i="18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 s="1"/>
  <c r="S379" i="18" a="1"/>
  <c r="S379" i="18"/>
  <c r="S380" i="18" a="1"/>
  <c r="S380" i="18" s="1"/>
  <c r="S381" i="18" a="1"/>
  <c r="S381" i="18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/>
  <c r="S396" i="18" a="1"/>
  <c r="S396" i="18" s="1"/>
  <c r="S397" i="18" a="1"/>
  <c r="S397" i="18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 s="1"/>
  <c r="S411" i="18" a="1"/>
  <c r="S411" i="18"/>
  <c r="S412" i="18" a="1"/>
  <c r="S412" i="18" s="1"/>
  <c r="S413" i="18" a="1"/>
  <c r="S413" i="18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/>
  <c r="S428" i="18" a="1"/>
  <c r="S428" i="18" s="1"/>
  <c r="S429" i="18" a="1"/>
  <c r="S429" i="18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S442" i="18" a="1"/>
  <c r="S442" i="18" s="1"/>
  <c r="S443" i="18" a="1"/>
  <c r="S443" i="18"/>
  <c r="S444" i="18" a="1"/>
  <c r="S444" i="18" s="1"/>
  <c r="S445" i="18" a="1"/>
  <c r="S445" i="18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 s="1"/>
  <c r="S458" i="18" a="1"/>
  <c r="S458" i="18" s="1"/>
  <c r="S459" i="18" a="1"/>
  <c r="S459" i="18"/>
  <c r="S460" i="18" a="1"/>
  <c r="S460" i="18" s="1"/>
  <c r="S461" i="18" a="1"/>
  <c r="S461" i="18"/>
  <c r="S462" i="18" a="1"/>
  <c r="S462" i="18" s="1"/>
  <c r="S463" i="18" a="1"/>
  <c r="S463" i="18" s="1"/>
  <c r="S464" i="18" a="1"/>
  <c r="S464" i="18" s="1"/>
  <c r="S465" i="18" a="1"/>
  <c r="S465" i="18" s="1"/>
  <c r="S466" i="18" a="1"/>
  <c r="S466" i="18" s="1"/>
  <c r="S467" i="18" a="1"/>
  <c r="S467" i="18" s="1"/>
  <c r="S468" i="18" a="1"/>
  <c r="S468" i="18" s="1"/>
  <c r="S469" i="18" a="1"/>
  <c r="S469" i="18" s="1"/>
  <c r="S470" i="18" a="1"/>
  <c r="S470" i="18" s="1"/>
  <c r="S471" i="18" a="1"/>
  <c r="S471" i="18" s="1"/>
  <c r="S472" i="18" a="1"/>
  <c r="S472" i="18" s="1"/>
  <c r="S473" i="18" a="1"/>
  <c r="S473" i="18" s="1"/>
  <c r="S474" i="18" a="1"/>
  <c r="S474" i="18" s="1"/>
  <c r="S475" i="18" a="1"/>
  <c r="S475" i="18"/>
  <c r="S476" i="18" a="1"/>
  <c r="S476" i="18" s="1"/>
  <c r="S477" i="18" a="1"/>
  <c r="S477" i="18"/>
  <c r="S478" i="18" a="1"/>
  <c r="S478" i="18" s="1"/>
  <c r="S479" i="18" a="1"/>
  <c r="S479" i="18" s="1"/>
  <c r="S480" i="18" a="1"/>
  <c r="S480" i="18" s="1"/>
  <c r="S481" i="18" a="1"/>
  <c r="S481" i="18" s="1"/>
  <c r="S482" i="18" a="1"/>
  <c r="S482" i="18" s="1"/>
  <c r="S483" i="18" a="1"/>
  <c r="S483" i="18" s="1"/>
  <c r="S484" i="18" a="1"/>
  <c r="S484" i="18" s="1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/>
  <c r="S492" i="18" a="1"/>
  <c r="S492" i="18" s="1"/>
  <c r="S493" i="18" a="1"/>
  <c r="S493" i="18"/>
  <c r="S494" i="18" a="1"/>
  <c r="S494" i="18" s="1"/>
  <c r="S495" i="18" a="1"/>
  <c r="S495" i="18" s="1"/>
  <c r="S496" i="18" a="1"/>
  <c r="S496" i="18" s="1"/>
  <c r="S497" i="18" a="1"/>
  <c r="S497" i="18" s="1"/>
  <c r="S498" i="18" a="1"/>
  <c r="S498" i="18" s="1"/>
  <c r="S499" i="18" a="1"/>
  <c r="S499" i="18" s="1"/>
  <c r="S500" i="18" a="1"/>
  <c r="S500" i="18" s="1"/>
  <c r="S501" i="18" a="1"/>
  <c r="S501" i="18" s="1"/>
  <c r="S502" i="18" a="1"/>
  <c r="S502" i="18" s="1"/>
  <c r="S503" i="18" a="1"/>
  <c r="S503" i="18" s="1"/>
  <c r="S504" i="18" a="1"/>
  <c r="S504" i="18" s="1"/>
  <c r="S505" i="18" a="1"/>
  <c r="S505" i="18" s="1"/>
  <c r="S506" i="18" a="1"/>
  <c r="S506" i="18" s="1"/>
  <c r="S507" i="18" a="1"/>
  <c r="S507" i="18"/>
  <c r="S508" i="18" a="1"/>
  <c r="S508" i="18" s="1"/>
  <c r="S509" i="18" a="1"/>
  <c r="S509" i="18"/>
  <c r="S510" i="18" a="1"/>
  <c r="S510" i="18" s="1"/>
  <c r="S511" i="18" a="1"/>
  <c r="S511" i="18" s="1"/>
  <c r="S512" i="18" a="1"/>
  <c r="S512" i="18" s="1"/>
  <c r="S513" i="18" a="1"/>
  <c r="S513" i="18" s="1"/>
  <c r="S514" i="18" a="1"/>
  <c r="S514" i="18" s="1"/>
  <c r="S515" i="18" a="1"/>
  <c r="S515" i="18" s="1"/>
  <c r="S516" i="18" a="1"/>
  <c r="S516" i="18"/>
  <c r="S517" i="18" a="1"/>
  <c r="S517" i="18" s="1"/>
  <c r="S518" i="18" a="1"/>
  <c r="S518" i="18"/>
  <c r="S519" i="18" a="1"/>
  <c r="S519" i="18" s="1"/>
  <c r="S520" i="18" a="1"/>
  <c r="S520" i="18" s="1"/>
  <c r="S521" i="18" a="1"/>
  <c r="S521" i="18" s="1"/>
  <c r="S522" i="18" a="1"/>
  <c r="S522" i="18" s="1"/>
  <c r="S523" i="18" a="1"/>
  <c r="S523" i="18" s="1"/>
  <c r="S524" i="18" a="1"/>
  <c r="S524" i="18" s="1"/>
  <c r="S525" i="18" a="1"/>
  <c r="S525" i="18" s="1"/>
  <c r="S526" i="18" a="1"/>
  <c r="S526" i="18" s="1"/>
  <c r="S527" i="18" a="1"/>
  <c r="S527" i="18" s="1"/>
  <c r="S528" i="18" a="1"/>
  <c r="S528" i="18" s="1"/>
  <c r="S529" i="18" a="1"/>
  <c r="S529" i="18" s="1"/>
  <c r="S530" i="18" a="1"/>
  <c r="S530" i="18" s="1"/>
  <c r="S531" i="18" a="1"/>
  <c r="S531" i="18" s="1"/>
  <c r="S532" i="18" a="1"/>
  <c r="S532" i="18" s="1"/>
  <c r="S533" i="18" a="1"/>
  <c r="S533" i="18" s="1"/>
  <c r="S534" i="18" a="1"/>
  <c r="S534" i="18" s="1"/>
  <c r="S535" i="18" a="1"/>
  <c r="S535" i="18" s="1"/>
  <c r="S536" i="18" a="1"/>
  <c r="S536" i="18" s="1"/>
  <c r="S537" i="18" a="1"/>
  <c r="S537" i="18" s="1"/>
  <c r="S538" i="18" a="1"/>
  <c r="S538" i="18" s="1"/>
  <c r="S539" i="18" a="1"/>
  <c r="S539" i="18" s="1"/>
  <c r="S540" i="18" a="1"/>
  <c r="S540" i="18" s="1"/>
  <c r="S541" i="18" a="1"/>
  <c r="S541" i="18" s="1"/>
  <c r="S542" i="18" a="1"/>
  <c r="S542" i="18" s="1"/>
  <c r="S543" i="18" a="1"/>
  <c r="S543" i="18" s="1"/>
  <c r="S544" i="18" a="1"/>
  <c r="S544" i="18" s="1"/>
  <c r="S545" i="18" a="1"/>
  <c r="S545" i="18" s="1"/>
  <c r="S546" i="18" a="1"/>
  <c r="S546" i="18" s="1"/>
  <c r="S547" i="18" a="1"/>
  <c r="S547" i="18" s="1"/>
  <c r="S548" i="18" a="1"/>
  <c r="S548" i="18" s="1"/>
  <c r="S549" i="18" a="1"/>
  <c r="S549" i="18" s="1"/>
  <c r="S550" i="18" a="1"/>
  <c r="S550" i="18" s="1"/>
  <c r="S551" i="18" a="1"/>
  <c r="S551" i="18" s="1"/>
  <c r="S552" i="18" a="1"/>
  <c r="S552" i="18" s="1"/>
  <c r="S553" i="18" a="1"/>
  <c r="S553" i="18" s="1"/>
  <c r="S554" i="18" a="1"/>
  <c r="S554" i="18" s="1"/>
  <c r="S555" i="18" a="1"/>
  <c r="S555" i="18" s="1"/>
  <c r="S556" i="18" a="1"/>
  <c r="S556" i="18" s="1"/>
  <c r="S557" i="18" a="1"/>
  <c r="S557" i="18" s="1"/>
  <c r="S558" i="18" a="1"/>
  <c r="S558" i="18" s="1"/>
  <c r="S559" i="18" a="1"/>
  <c r="S559" i="18" s="1"/>
  <c r="S560" i="18" a="1"/>
  <c r="S560" i="18" s="1"/>
  <c r="S561" i="18" a="1"/>
  <c r="S561" i="18" s="1"/>
  <c r="S562" i="18" a="1"/>
  <c r="S562" i="18" s="1"/>
  <c r="S563" i="18" a="1"/>
  <c r="S563" i="18" s="1"/>
  <c r="S564" i="18" a="1"/>
  <c r="S564" i="18" s="1"/>
  <c r="S565" i="18" a="1"/>
  <c r="S565" i="18" s="1"/>
  <c r="S566" i="18" a="1"/>
  <c r="S566" i="18" s="1"/>
  <c r="S567" i="18" a="1"/>
  <c r="S567" i="18" s="1"/>
  <c r="S568" i="18" a="1"/>
  <c r="S568" i="18" s="1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 s="1"/>
  <c r="S574" i="18" a="1"/>
  <c r="S574" i="18" s="1"/>
  <c r="S575" i="18" a="1"/>
  <c r="S575" i="18" s="1"/>
  <c r="S576" i="18" a="1"/>
  <c r="S576" i="18" s="1"/>
  <c r="S577" i="18" a="1"/>
  <c r="S577" i="18" s="1"/>
  <c r="S578" i="18" a="1"/>
  <c r="S578" i="18" s="1"/>
  <c r="S579" i="18" a="1"/>
  <c r="S579" i="18" s="1"/>
  <c r="S580" i="18" a="1"/>
  <c r="S580" i="18" s="1"/>
  <c r="S581" i="18" a="1"/>
  <c r="S581" i="18" s="1"/>
  <c r="S582" i="18" a="1"/>
  <c r="S582" i="18" s="1"/>
  <c r="S583" i="18" a="1"/>
  <c r="S583" i="18" s="1"/>
  <c r="S584" i="18" a="1"/>
  <c r="S584" i="18" s="1"/>
  <c r="S585" i="18" a="1"/>
  <c r="S585" i="18" s="1"/>
  <c r="S586" i="18" a="1"/>
  <c r="S586" i="18" s="1"/>
  <c r="S587" i="18" a="1"/>
  <c r="S587" i="18" s="1"/>
  <c r="S588" i="18" a="1"/>
  <c r="S588" i="18" s="1"/>
  <c r="S589" i="18" a="1"/>
  <c r="S589" i="18" s="1"/>
  <c r="S590" i="18" a="1"/>
  <c r="S590" i="18" s="1"/>
  <c r="S591" i="18" a="1"/>
  <c r="S591" i="18" s="1"/>
  <c r="S592" i="18" a="1"/>
  <c r="S592" i="18" s="1"/>
  <c r="S593" i="18" a="1"/>
  <c r="S593" i="18" s="1"/>
  <c r="S594" i="18" a="1"/>
  <c r="S594" i="18" s="1"/>
  <c r="S595" i="18" a="1"/>
  <c r="S595" i="18" s="1"/>
  <c r="S596" i="18" a="1"/>
  <c r="S596" i="18" s="1"/>
  <c r="S597" i="18" a="1"/>
  <c r="S597" i="18" s="1"/>
  <c r="S598" i="18" a="1"/>
  <c r="S598" i="18" s="1"/>
  <c r="S599" i="18" a="1"/>
  <c r="S599" i="18" s="1"/>
  <c r="S600" i="18" a="1"/>
  <c r="S600" i="18" s="1"/>
  <c r="S601" i="18" a="1"/>
  <c r="S601" i="18" s="1"/>
  <c r="S602" i="18" a="1"/>
  <c r="S602" i="18" s="1"/>
  <c r="S603" i="18" a="1"/>
  <c r="S603" i="18" s="1"/>
  <c r="S604" i="18" a="1"/>
  <c r="S604" i="18" s="1"/>
  <c r="S605" i="18" a="1"/>
  <c r="S605" i="18" s="1"/>
  <c r="S606" i="18" a="1"/>
  <c r="S606" i="18" s="1"/>
  <c r="S607" i="18" a="1"/>
  <c r="S607" i="18" s="1"/>
  <c r="S608" i="18" a="1"/>
  <c r="S608" i="18" s="1"/>
  <c r="S609" i="18" a="1"/>
  <c r="S609" i="18" s="1"/>
  <c r="S610" i="18" a="1"/>
  <c r="S610" i="18" s="1"/>
  <c r="S611" i="18" a="1"/>
  <c r="S611" i="18" s="1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 s="1"/>
  <c r="S617" i="18" a="1"/>
  <c r="S617" i="18" s="1"/>
  <c r="S618" i="18" a="1"/>
  <c r="S618" i="18" s="1"/>
  <c r="S619" i="18" a="1"/>
  <c r="S619" i="18" s="1"/>
  <c r="S620" i="18" a="1"/>
  <c r="S620" i="18" s="1"/>
  <c r="S621" i="18" a="1"/>
  <c r="S621" i="18" s="1"/>
  <c r="S622" i="18" a="1"/>
  <c r="S622" i="18" s="1"/>
  <c r="S623" i="18" a="1"/>
  <c r="S623" i="18" s="1"/>
  <c r="S624" i="18" a="1"/>
  <c r="S624" i="18" s="1"/>
  <c r="S625" i="18" a="1"/>
  <c r="S625" i="18" s="1"/>
  <c r="S626" i="18" a="1"/>
  <c r="S626" i="18" s="1"/>
  <c r="S627" i="18" a="1"/>
  <c r="S627" i="18" s="1"/>
  <c r="S628" i="18" a="1"/>
  <c r="S628" i="18" s="1"/>
  <c r="S629" i="18" a="1"/>
  <c r="S629" i="18" s="1"/>
  <c r="S630" i="18" a="1"/>
  <c r="S630" i="18" s="1"/>
  <c r="S631" i="18" a="1"/>
  <c r="S631" i="18" s="1"/>
  <c r="S632" i="18" a="1"/>
  <c r="S632" i="18" s="1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 s="1"/>
  <c r="S638" i="18" a="1"/>
  <c r="S638" i="18" s="1"/>
  <c r="S639" i="18" a="1"/>
  <c r="S639" i="18" s="1"/>
  <c r="S640" i="18" a="1"/>
  <c r="S640" i="18" s="1"/>
  <c r="S641" i="18" a="1"/>
  <c r="S641" i="18" s="1"/>
  <c r="S642" i="18" a="1"/>
  <c r="S642" i="18" s="1"/>
  <c r="S643" i="18" a="1"/>
  <c r="S643" i="18" s="1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 s="1"/>
  <c r="S649" i="18" a="1"/>
  <c r="S649" i="18" s="1"/>
  <c r="S650" i="18" a="1"/>
  <c r="S650" i="18" s="1"/>
  <c r="S651" i="18" a="1"/>
  <c r="S651" i="18" s="1"/>
  <c r="S652" i="18" a="1"/>
  <c r="S652" i="18" s="1"/>
  <c r="S653" i="18" a="1"/>
  <c r="S653" i="18" s="1"/>
  <c r="S654" i="18" a="1"/>
  <c r="S654" i="18" s="1"/>
  <c r="S655" i="18" a="1"/>
  <c r="S655" i="18" s="1"/>
  <c r="S656" i="18" a="1"/>
  <c r="S656" i="18" s="1"/>
  <c r="S657" i="18" a="1"/>
  <c r="S657" i="18" s="1"/>
  <c r="S658" i="18" a="1"/>
  <c r="S658" i="18" s="1"/>
  <c r="S659" i="18" a="1"/>
  <c r="S659" i="18" s="1"/>
  <c r="S660" i="18" a="1"/>
  <c r="S660" i="18" s="1"/>
  <c r="S661" i="18" a="1"/>
  <c r="S661" i="18" s="1"/>
  <c r="S662" i="18" a="1"/>
  <c r="S662" i="18" s="1"/>
  <c r="S663" i="18" a="1"/>
  <c r="S663" i="18" s="1"/>
  <c r="S664" i="18" a="1"/>
  <c r="S664" i="18" s="1"/>
  <c r="S665" i="18" a="1"/>
  <c r="S665" i="18" s="1"/>
  <c r="S666" i="18" a="1"/>
  <c r="S666" i="18" s="1"/>
  <c r="S667" i="18" a="1"/>
  <c r="S667" i="18" s="1"/>
  <c r="S668" i="18" a="1"/>
  <c r="S668" i="18" s="1"/>
  <c r="S669" i="18" a="1"/>
  <c r="S669" i="18" s="1"/>
  <c r="S670" i="18" a="1"/>
  <c r="S670" i="18" s="1"/>
  <c r="S671" i="18" a="1"/>
  <c r="S671" i="18" s="1"/>
  <c r="S672" i="18" a="1"/>
  <c r="S672" i="18" s="1"/>
  <c r="S673" i="18" a="1"/>
  <c r="S673" i="18" s="1"/>
  <c r="S674" i="18" a="1"/>
  <c r="S674" i="18" s="1"/>
  <c r="S675" i="18" a="1"/>
  <c r="S675" i="18" s="1"/>
  <c r="S676" i="18" a="1"/>
  <c r="S676" i="18" s="1"/>
  <c r="S677" i="18" a="1"/>
  <c r="S677" i="18" s="1"/>
  <c r="S678" i="18" a="1"/>
  <c r="S678" i="18" s="1"/>
  <c r="S679" i="18" a="1"/>
  <c r="S679" i="18" s="1"/>
  <c r="S680" i="18" a="1"/>
  <c r="S680" i="18" s="1"/>
  <c r="S681" i="18" a="1"/>
  <c r="S681" i="18" s="1"/>
  <c r="S682" i="18" a="1"/>
  <c r="S682" i="18" s="1"/>
  <c r="S683" i="18" a="1"/>
  <c r="S683" i="18" s="1"/>
  <c r="S684" i="18" a="1"/>
  <c r="S684" i="18" s="1"/>
  <c r="S685" i="18" a="1"/>
  <c r="S685" i="18" s="1"/>
  <c r="S686" i="18" a="1"/>
  <c r="S686" i="18" s="1"/>
  <c r="S687" i="18" a="1"/>
  <c r="S687" i="18" s="1"/>
  <c r="S688" i="18" a="1"/>
  <c r="S688" i="18" s="1"/>
  <c r="S689" i="18" a="1"/>
  <c r="S689" i="18" s="1"/>
  <c r="S690" i="18" a="1"/>
  <c r="S690" i="18" s="1"/>
  <c r="S691" i="18" a="1"/>
  <c r="S691" i="18" s="1"/>
  <c r="S692" i="18" a="1"/>
  <c r="S692" i="18" s="1"/>
  <c r="S693" i="18" a="1"/>
  <c r="S693" i="18" s="1"/>
  <c r="S694" i="18" a="1"/>
  <c r="S694" i="18" s="1"/>
  <c r="S695" i="18" a="1"/>
  <c r="S695" i="18" s="1"/>
  <c r="S696" i="18" a="1"/>
  <c r="S696" i="18" s="1"/>
  <c r="S697" i="18" a="1"/>
  <c r="S697" i="18" s="1"/>
  <c r="S698" i="18" a="1"/>
  <c r="S698" i="18" s="1"/>
  <c r="S699" i="18" a="1"/>
  <c r="S699" i="18" s="1"/>
  <c r="S700" i="18" a="1"/>
  <c r="S700" i="18" s="1"/>
  <c r="S701" i="18" a="1"/>
  <c r="S701" i="18" s="1"/>
  <c r="S702" i="18" a="1"/>
  <c r="S702" i="18" s="1"/>
  <c r="S703" i="18" a="1"/>
  <c r="S703" i="18" s="1"/>
  <c r="S704" i="18" a="1"/>
  <c r="S704" i="18" s="1"/>
  <c r="S705" i="18" a="1"/>
  <c r="S705" i="18" s="1"/>
  <c r="S706" i="18" a="1"/>
  <c r="S706" i="18" s="1"/>
  <c r="S707" i="18" a="1"/>
  <c r="S707" i="18" s="1"/>
  <c r="S708" i="18" a="1"/>
  <c r="S708" i="18" s="1"/>
  <c r="S709" i="18" a="1"/>
  <c r="S709" i="18" s="1"/>
  <c r="S710" i="18" a="1"/>
  <c r="S710" i="18" s="1"/>
  <c r="S711" i="18" a="1"/>
  <c r="S711" i="18" s="1"/>
  <c r="S712" i="18" a="1"/>
  <c r="S712" i="18" s="1"/>
  <c r="S713" i="18" a="1"/>
  <c r="S713" i="18" s="1"/>
  <c r="S714" i="18" a="1"/>
  <c r="S714" i="18" s="1"/>
  <c r="S715" i="18" a="1"/>
  <c r="S715" i="18" s="1"/>
  <c r="S716" i="18" a="1"/>
  <c r="S716" i="18" s="1"/>
  <c r="S717" i="18" a="1"/>
  <c r="S717" i="18" s="1"/>
  <c r="S718" i="18" a="1"/>
  <c r="S718" i="18" s="1"/>
  <c r="S719" i="18" a="1"/>
  <c r="S719" i="18" s="1"/>
  <c r="S720" i="18" a="1"/>
  <c r="S720" i="18" s="1"/>
  <c r="S721" i="18" a="1"/>
  <c r="S721" i="18" s="1"/>
  <c r="S722" i="18" a="1"/>
  <c r="S722" i="18" s="1"/>
  <c r="S723" i="18" a="1"/>
  <c r="S723" i="18" s="1"/>
  <c r="S724" i="18" a="1"/>
  <c r="S724" i="18" s="1"/>
  <c r="S725" i="18" a="1"/>
  <c r="S725" i="18" s="1"/>
  <c r="S726" i="18" a="1"/>
  <c r="S726" i="18"/>
  <c r="S727" i="18" a="1"/>
  <c r="S727" i="18" s="1"/>
  <c r="S728" i="18" a="1"/>
  <c r="S728" i="18" s="1"/>
  <c r="S729" i="18" a="1"/>
  <c r="S729" i="18" s="1"/>
  <c r="S730" i="18" a="1"/>
  <c r="S730" i="18"/>
  <c r="S731" i="18" a="1"/>
  <c r="S731" i="18" s="1"/>
  <c r="S732" i="18" a="1"/>
  <c r="S732" i="18" s="1"/>
  <c r="S733" i="18" a="1"/>
  <c r="S733" i="18" s="1"/>
  <c r="S734" i="18" a="1"/>
  <c r="S734" i="18" s="1"/>
  <c r="S735" i="18" a="1"/>
  <c r="S735" i="18" s="1"/>
  <c r="S736" i="18" a="1"/>
  <c r="S736" i="18" s="1"/>
  <c r="S737" i="18" a="1"/>
  <c r="S737" i="18" s="1"/>
  <c r="S738" i="18" a="1"/>
  <c r="S738" i="18"/>
  <c r="S739" i="18" a="1"/>
  <c r="S739" i="18" s="1"/>
  <c r="S740" i="18" a="1"/>
  <c r="S740" i="18" s="1"/>
  <c r="S741" i="18" a="1"/>
  <c r="S741" i="18" s="1"/>
  <c r="S742" i="18" a="1"/>
  <c r="S742" i="18"/>
  <c r="S743" i="18" a="1"/>
  <c r="S743" i="18" s="1"/>
  <c r="S744" i="18" a="1"/>
  <c r="S744" i="18" s="1"/>
  <c r="S745" i="18" a="1"/>
  <c r="S745" i="18" s="1"/>
  <c r="S746" i="18" a="1"/>
  <c r="S746" i="18"/>
  <c r="S747" i="18" a="1"/>
  <c r="S747" i="18" s="1"/>
  <c r="S748" i="18" a="1"/>
  <c r="S748" i="18" s="1"/>
  <c r="S749" i="18" a="1"/>
  <c r="S749" i="18" s="1"/>
  <c r="S750" i="18" a="1"/>
  <c r="S750" i="18" s="1"/>
  <c r="S751" i="18" a="1"/>
  <c r="S751" i="18" s="1"/>
  <c r="S752" i="18" a="1"/>
  <c r="S752" i="18" s="1"/>
  <c r="S753" i="18" a="1"/>
  <c r="S753" i="18" s="1"/>
  <c r="S754" i="18" a="1"/>
  <c r="S754" i="18" s="1"/>
  <c r="S755" i="18" a="1"/>
  <c r="S755" i="18" s="1"/>
  <c r="S756" i="18" a="1"/>
  <c r="S756" i="18" s="1"/>
  <c r="S757" i="18" a="1"/>
  <c r="S757" i="18" s="1"/>
  <c r="S758" i="18" a="1"/>
  <c r="S758" i="18"/>
  <c r="S759" i="18" a="1"/>
  <c r="S759" i="18" s="1"/>
  <c r="S760" i="18" a="1"/>
  <c r="S760" i="18" s="1"/>
  <c r="S761" i="18" a="1"/>
  <c r="S761" i="18" s="1"/>
  <c r="S762" i="18" a="1"/>
  <c r="S762" i="18" s="1"/>
  <c r="S763" i="18" a="1"/>
  <c r="S763" i="18" s="1"/>
  <c r="S764" i="18" a="1"/>
  <c r="S764" i="18" s="1"/>
  <c r="S765" i="18" a="1"/>
  <c r="S765" i="18" s="1"/>
  <c r="S766" i="18" a="1"/>
  <c r="S766" i="18"/>
  <c r="S767" i="18" a="1"/>
  <c r="S767" i="18" s="1"/>
  <c r="S768" i="18" a="1"/>
  <c r="S768" i="18" s="1"/>
  <c r="S769" i="18" a="1"/>
  <c r="S769" i="18" s="1"/>
  <c r="S770" i="18" a="1"/>
  <c r="S770" i="18" s="1"/>
  <c r="S771" i="18" a="1"/>
  <c r="S771" i="18" s="1"/>
  <c r="S772" i="18" a="1"/>
  <c r="S772" i="18" s="1"/>
  <c r="S773" i="18" a="1"/>
  <c r="S773" i="18"/>
  <c r="S774" i="18" a="1"/>
  <c r="S774" i="18" s="1"/>
  <c r="S775" i="18" a="1"/>
  <c r="S775" i="18" s="1"/>
  <c r="S776" i="18" a="1"/>
  <c r="S776" i="18" s="1"/>
  <c r="S777" i="18" a="1"/>
  <c r="S777" i="18" s="1"/>
  <c r="S778" i="18" a="1"/>
  <c r="S778" i="18" s="1"/>
  <c r="S779" i="18" a="1"/>
  <c r="S779" i="18" s="1"/>
  <c r="S780" i="18" a="1"/>
  <c r="S780" i="18" s="1"/>
  <c r="S781" i="18" a="1"/>
  <c r="S781" i="18" s="1"/>
  <c r="S782" i="18" a="1"/>
  <c r="S782" i="18" s="1"/>
  <c r="S783" i="18" a="1"/>
  <c r="S783" i="18" s="1"/>
  <c r="S784" i="18" a="1"/>
  <c r="S784" i="18" s="1"/>
  <c r="S785" i="18" a="1"/>
  <c r="S785" i="18" s="1"/>
  <c r="S786" i="18" a="1"/>
  <c r="S786" i="18" s="1"/>
  <c r="S787" i="18" a="1"/>
  <c r="S787" i="18" s="1"/>
  <c r="S788" i="18" a="1"/>
  <c r="S788" i="18" s="1"/>
  <c r="S789" i="18" a="1"/>
  <c r="S789" i="18" s="1"/>
  <c r="S790" i="18" a="1"/>
  <c r="S790" i="18" s="1"/>
  <c r="S791" i="18" a="1"/>
  <c r="S791" i="18" s="1"/>
  <c r="S792" i="18" a="1"/>
  <c r="S792" i="18" s="1"/>
  <c r="S793" i="18" a="1"/>
  <c r="S793" i="18" s="1"/>
  <c r="S794" i="18" a="1"/>
  <c r="S794" i="18" s="1"/>
  <c r="S795" i="18" a="1"/>
  <c r="S795" i="18" s="1"/>
  <c r="S796" i="18" a="1"/>
  <c r="S796" i="18" s="1"/>
  <c r="S797" i="18" a="1"/>
  <c r="S797" i="18" s="1"/>
  <c r="S798" i="18" a="1"/>
  <c r="S798" i="18" s="1"/>
  <c r="S799" i="18" a="1"/>
  <c r="S799" i="18" s="1"/>
  <c r="S800" i="18" a="1"/>
  <c r="S800" i="18" s="1"/>
  <c r="S801" i="18" a="1"/>
  <c r="S801" i="18" s="1"/>
  <c r="S802" i="18" a="1"/>
  <c r="S802" i="18" s="1"/>
  <c r="S803" i="18" a="1"/>
  <c r="S803" i="18" s="1"/>
  <c r="S804" i="18" a="1"/>
  <c r="S804" i="18" s="1"/>
  <c r="S805" i="18" a="1"/>
  <c r="S805" i="18" s="1"/>
  <c r="S806" i="18" a="1"/>
  <c r="S806" i="18" s="1"/>
  <c r="S807" i="18" a="1"/>
  <c r="S807" i="18" s="1"/>
  <c r="S808" i="18" a="1"/>
  <c r="S808" i="18" s="1"/>
  <c r="S809" i="18" a="1"/>
  <c r="S809" i="18" s="1"/>
  <c r="S810" i="18" a="1"/>
  <c r="S810" i="18" s="1"/>
  <c r="S811" i="18" a="1"/>
  <c r="S811" i="18" s="1"/>
  <c r="S812" i="18" a="1"/>
  <c r="S812" i="18" s="1"/>
  <c r="S813" i="18" a="1"/>
  <c r="S813" i="18" s="1"/>
  <c r="S814" i="18" a="1"/>
  <c r="S814" i="18" s="1"/>
  <c r="S815" i="18" a="1"/>
  <c r="S815" i="18" s="1"/>
  <c r="S816" i="18" a="1"/>
  <c r="S816" i="18" s="1"/>
  <c r="S817" i="18" a="1"/>
  <c r="S817" i="18" s="1"/>
  <c r="S818" i="18" a="1"/>
  <c r="S818" i="18" s="1"/>
  <c r="S819" i="18" a="1"/>
  <c r="S819" i="18" s="1"/>
  <c r="S820" i="18" a="1"/>
  <c r="S820" i="18" s="1"/>
  <c r="S821" i="18" a="1"/>
  <c r="S821" i="18" s="1"/>
  <c r="S822" i="18" a="1"/>
  <c r="S822" i="18" s="1"/>
  <c r="S823" i="18" a="1"/>
  <c r="S823" i="18" s="1"/>
  <c r="S824" i="18" a="1"/>
  <c r="S824" i="18" s="1"/>
  <c r="S825" i="18" a="1"/>
  <c r="S825" i="18" s="1"/>
  <c r="S826" i="18" a="1"/>
  <c r="S826" i="18" s="1"/>
  <c r="S827" i="18" a="1"/>
  <c r="S827" i="18" s="1"/>
  <c r="S828" i="18" a="1"/>
  <c r="S828" i="18" s="1"/>
  <c r="S829" i="18" a="1"/>
  <c r="S829" i="18" s="1"/>
  <c r="S830" i="18" a="1"/>
  <c r="S830" i="18" s="1"/>
  <c r="S831" i="18" a="1"/>
  <c r="S831" i="18" s="1"/>
  <c r="S832" i="18" a="1"/>
  <c r="S832" i="18" s="1"/>
  <c r="S833" i="18" a="1"/>
  <c r="S833" i="18" s="1"/>
  <c r="S834" i="18" a="1"/>
  <c r="S834" i="18" s="1"/>
  <c r="S835" i="18" a="1"/>
  <c r="S835" i="18" s="1"/>
  <c r="S836" i="18" a="1"/>
  <c r="S836" i="18" s="1"/>
  <c r="S837" i="18" a="1"/>
  <c r="S837" i="18" s="1"/>
  <c r="S838" i="18" a="1"/>
  <c r="S838" i="18" s="1"/>
  <c r="S839" i="18" a="1"/>
  <c r="S839" i="18" s="1"/>
  <c r="S840" i="18" a="1"/>
  <c r="S840" i="18" s="1"/>
  <c r="S841" i="18" a="1"/>
  <c r="S841" i="18" s="1"/>
  <c r="S842" i="18" a="1"/>
  <c r="S842" i="18" s="1"/>
  <c r="S843" i="18" a="1"/>
  <c r="S843" i="18" s="1"/>
  <c r="S844" i="18" a="1"/>
  <c r="S844" i="18" s="1"/>
  <c r="S845" i="18" a="1"/>
  <c r="S845" i="18" s="1"/>
  <c r="S846" i="18" a="1"/>
  <c r="S846" i="18" s="1"/>
  <c r="S847" i="18" a="1"/>
  <c r="S847" i="18" s="1"/>
  <c r="S848" i="18" a="1"/>
  <c r="S848" i="18" s="1"/>
  <c r="S849" i="18" a="1"/>
  <c r="S849" i="18" s="1"/>
  <c r="S850" i="18" a="1"/>
  <c r="S850" i="18" s="1"/>
  <c r="S851" i="18" a="1"/>
  <c r="S8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 s="1"/>
  <c r="T458" i="18" a="1"/>
  <c r="T458" i="18" s="1"/>
  <c r="T459" i="18" a="1"/>
  <c r="T459" i="18" s="1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 s="1"/>
  <c r="T470" i="18" a="1"/>
  <c r="T470" i="18" s="1"/>
  <c r="T471" i="18" a="1"/>
  <c r="T471" i="18" s="1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 s="1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 s="1"/>
  <c r="T488" i="18" a="1"/>
  <c r="T488" i="18" s="1"/>
  <c r="T489" i="18" a="1"/>
  <c r="T489" i="18" s="1"/>
  <c r="T490" i="18" a="1"/>
  <c r="T490" i="18" s="1"/>
  <c r="T491" i="18" a="1"/>
  <c r="T491" i="18" s="1"/>
  <c r="T492" i="18" a="1"/>
  <c r="T492" i="18" s="1"/>
  <c r="T493" i="18" a="1"/>
  <c r="T493" i="18" s="1"/>
  <c r="T494" i="18" a="1"/>
  <c r="T494" i="18" s="1"/>
  <c r="T495" i="18" a="1"/>
  <c r="T495" i="18" s="1"/>
  <c r="T496" i="18" a="1"/>
  <c r="T496" i="18" s="1"/>
  <c r="T497" i="18" a="1"/>
  <c r="T497" i="18" s="1"/>
  <c r="T498" i="18" a="1"/>
  <c r="T498" i="18" s="1"/>
  <c r="T499" i="18" a="1"/>
  <c r="T499" i="18" s="1"/>
  <c r="T500" i="18" a="1"/>
  <c r="T500" i="18" s="1"/>
  <c r="T501" i="18" a="1"/>
  <c r="T501" i="18" s="1"/>
  <c r="T502" i="18" a="1"/>
  <c r="T502" i="18" s="1"/>
  <c r="T503" i="18" a="1"/>
  <c r="T503" i="18" s="1"/>
  <c r="T504" i="18" a="1"/>
  <c r="T504" i="18" s="1"/>
  <c r="T505" i="18" a="1"/>
  <c r="T505" i="18" s="1"/>
  <c r="T506" i="18" a="1"/>
  <c r="T506" i="18" s="1"/>
  <c r="T507" i="18" a="1"/>
  <c r="T507" i="18" s="1"/>
  <c r="T508" i="18" a="1"/>
  <c r="T508" i="18" s="1"/>
  <c r="T509" i="18" a="1"/>
  <c r="T509" i="18" s="1"/>
  <c r="T510" i="18" a="1"/>
  <c r="T510" i="18" s="1"/>
  <c r="T511" i="18" a="1"/>
  <c r="T511" i="18" s="1"/>
  <c r="T512" i="18" a="1"/>
  <c r="T512" i="18" s="1"/>
  <c r="T513" i="18" a="1"/>
  <c r="T513" i="18" s="1"/>
  <c r="T514" i="18" a="1"/>
  <c r="T514" i="18" s="1"/>
  <c r="T515" i="18" a="1"/>
  <c r="T515" i="18" s="1"/>
  <c r="T516" i="18" a="1"/>
  <c r="T516" i="18" s="1"/>
  <c r="T517" i="18" a="1"/>
  <c r="T517" i="18" s="1"/>
  <c r="T518" i="18" a="1"/>
  <c r="T518" i="18" s="1"/>
  <c r="T519" i="18" a="1"/>
  <c r="T519" i="18" s="1"/>
  <c r="T520" i="18" a="1"/>
  <c r="T520" i="18" s="1"/>
  <c r="T521" i="18" a="1"/>
  <c r="T521" i="18" s="1"/>
  <c r="T522" i="18" a="1"/>
  <c r="T522" i="18" s="1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 s="1"/>
  <c r="T528" i="18" a="1"/>
  <c r="T528" i="18" s="1"/>
  <c r="T529" i="18" a="1"/>
  <c r="T529" i="18" s="1"/>
  <c r="T530" i="18" a="1"/>
  <c r="T530" i="18" s="1"/>
  <c r="T531" i="18" a="1"/>
  <c r="T531" i="18" s="1"/>
  <c r="T532" i="18" a="1"/>
  <c r="T532" i="18" s="1"/>
  <c r="T533" i="18" a="1"/>
  <c r="T533" i="18" s="1"/>
  <c r="T534" i="18" a="1"/>
  <c r="T534" i="18" s="1"/>
  <c r="T535" i="18" a="1"/>
  <c r="T535" i="18" s="1"/>
  <c r="T536" i="18" a="1"/>
  <c r="T536" i="18" s="1"/>
  <c r="T537" i="18" a="1"/>
  <c r="T537" i="18" s="1"/>
  <c r="T538" i="18" a="1"/>
  <c r="T538" i="18" s="1"/>
  <c r="T539" i="18" a="1"/>
  <c r="T539" i="18" s="1"/>
  <c r="T540" i="18" a="1"/>
  <c r="T540" i="18" s="1"/>
  <c r="T541" i="18" a="1"/>
  <c r="T541" i="18" s="1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 s="1"/>
  <c r="T553" i="18" a="1"/>
  <c r="T553" i="18" s="1"/>
  <c r="T554" i="18" a="1"/>
  <c r="T554" i="18" s="1"/>
  <c r="T555" i="18" a="1"/>
  <c r="T555" i="18" s="1"/>
  <c r="T556" i="18" a="1"/>
  <c r="T556" i="18" s="1"/>
  <c r="T557" i="18" a="1"/>
  <c r="T557" i="18" s="1"/>
  <c r="T558" i="18" a="1"/>
  <c r="T558" i="18" s="1"/>
  <c r="T559" i="18" a="1"/>
  <c r="T559" i="18" s="1"/>
  <c r="T560" i="18" a="1"/>
  <c r="T560" i="18" s="1"/>
  <c r="T561" i="18" a="1"/>
  <c r="T561" i="18"/>
  <c r="T562" i="18" a="1"/>
  <c r="T562" i="18" s="1"/>
  <c r="T563" i="18" a="1"/>
  <c r="T563" i="18"/>
  <c r="T564" i="18" a="1"/>
  <c r="T564" i="18" s="1"/>
  <c r="T565" i="18" a="1"/>
  <c r="T565" i="18" s="1"/>
  <c r="T566" i="18" a="1"/>
  <c r="T566" i="18" s="1"/>
  <c r="T567" i="18" a="1"/>
  <c r="T567" i="18" s="1"/>
  <c r="T568" i="18" a="1"/>
  <c r="T568" i="18" s="1"/>
  <c r="T569" i="18" a="1"/>
  <c r="T569" i="18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 s="1"/>
  <c r="T576" i="18" a="1"/>
  <c r="T576" i="18" s="1"/>
  <c r="T577" i="18" a="1"/>
  <c r="T577" i="18"/>
  <c r="T578" i="18" a="1"/>
  <c r="T578" i="18" s="1"/>
  <c r="T579" i="18" a="1"/>
  <c r="T579" i="18"/>
  <c r="T580" i="18" a="1"/>
  <c r="T580" i="18" s="1"/>
  <c r="T581" i="18" a="1"/>
  <c r="T581" i="18" s="1"/>
  <c r="T582" i="18" a="1"/>
  <c r="T582" i="18" s="1"/>
  <c r="T583" i="18" a="1"/>
  <c r="T583" i="18" s="1"/>
  <c r="T584" i="18" a="1"/>
  <c r="T584" i="18" s="1"/>
  <c r="T585" i="18" a="1"/>
  <c r="T585" i="18"/>
  <c r="T586" i="18" a="1"/>
  <c r="T586" i="18" s="1"/>
  <c r="T587" i="18" a="1"/>
  <c r="T587" i="18" s="1"/>
  <c r="T588" i="18" a="1"/>
  <c r="T588" i="18" s="1"/>
  <c r="T589" i="18" a="1"/>
  <c r="T589" i="18" s="1"/>
  <c r="T590" i="18" a="1"/>
  <c r="T590" i="18" s="1"/>
  <c r="T591" i="18" a="1"/>
  <c r="T591" i="18" s="1"/>
  <c r="T592" i="18" a="1"/>
  <c r="T592" i="18" s="1"/>
  <c r="T593" i="18" a="1"/>
  <c r="T593" i="18"/>
  <c r="T594" i="18" a="1"/>
  <c r="T594" i="18" s="1"/>
  <c r="T595" i="18" a="1"/>
  <c r="T595" i="18"/>
  <c r="T596" i="18" a="1"/>
  <c r="T596" i="18" s="1"/>
  <c r="T597" i="18" a="1"/>
  <c r="T597" i="18"/>
  <c r="T598" i="18" a="1"/>
  <c r="T598" i="18"/>
  <c r="T599" i="18" a="1"/>
  <c r="T599" i="18" s="1"/>
  <c r="T600" i="18" a="1"/>
  <c r="T600" i="18"/>
  <c r="T601" i="18" a="1"/>
  <c r="T601" i="18" s="1"/>
  <c r="T602" i="18" a="1"/>
  <c r="T602" i="18"/>
  <c r="T603" i="18" a="1"/>
  <c r="T603" i="18" s="1"/>
  <c r="T604" i="18" a="1"/>
  <c r="T604" i="18" s="1"/>
  <c r="T605" i="18" a="1"/>
  <c r="T605" i="18" s="1"/>
  <c r="T606" i="18" a="1"/>
  <c r="T606" i="18" s="1"/>
  <c r="T607" i="18" a="1"/>
  <c r="T607" i="18" s="1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 s="1"/>
  <c r="T615" i="18" a="1"/>
  <c r="T615" i="18" s="1"/>
  <c r="T616" i="18" a="1"/>
  <c r="T616" i="18" s="1"/>
  <c r="T617" i="18" a="1"/>
  <c r="T617" i="18" s="1"/>
  <c r="T618" i="18" a="1"/>
  <c r="T618" i="18" s="1"/>
  <c r="T619" i="18" a="1"/>
  <c r="T619" i="18" s="1"/>
  <c r="T620" i="18" a="1"/>
  <c r="T620" i="18" s="1"/>
  <c r="T621" i="18" a="1"/>
  <c r="T621" i="18" s="1"/>
  <c r="T622" i="18" a="1"/>
  <c r="T622" i="18" s="1"/>
  <c r="T623" i="18" a="1"/>
  <c r="T623" i="18" s="1"/>
  <c r="T624" i="18" a="1"/>
  <c r="T624" i="18" s="1"/>
  <c r="T625" i="18" a="1"/>
  <c r="T625" i="18" s="1"/>
  <c r="T626" i="18" a="1"/>
  <c r="T626" i="18" s="1"/>
  <c r="T627" i="18" a="1"/>
  <c r="T627" i="18" s="1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 s="1"/>
  <c r="T638" i="18" a="1"/>
  <c r="T638" i="18" s="1"/>
  <c r="T639" i="18" a="1"/>
  <c r="T639" i="18" s="1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 s="1"/>
  <c r="T648" i="18" a="1"/>
  <c r="T648" i="18" s="1"/>
  <c r="T649" i="18" a="1"/>
  <c r="T649" i="18" s="1"/>
  <c r="T650" i="18" a="1"/>
  <c r="T650" i="18" s="1"/>
  <c r="T651" i="18" a="1"/>
  <c r="T651" i="18" s="1"/>
  <c r="T652" i="18" a="1"/>
  <c r="T652" i="18" s="1"/>
  <c r="T653" i="18" a="1"/>
  <c r="T653" i="18" s="1"/>
  <c r="T654" i="18" a="1"/>
  <c r="T654" i="18" s="1"/>
  <c r="T655" i="18" a="1"/>
  <c r="T655" i="18" s="1"/>
  <c r="T656" i="18" a="1"/>
  <c r="T656" i="18" s="1"/>
  <c r="T657" i="18" a="1"/>
  <c r="T657" i="18" s="1"/>
  <c r="T658" i="18" a="1"/>
  <c r="T658" i="18" s="1"/>
  <c r="T659" i="18" a="1"/>
  <c r="T659" i="18" s="1"/>
  <c r="T660" i="18" a="1"/>
  <c r="T660" i="18" s="1"/>
  <c r="T661" i="18" a="1"/>
  <c r="T661" i="18" s="1"/>
  <c r="T662" i="18" a="1"/>
  <c r="T662" i="18" s="1"/>
  <c r="T663" i="18" a="1"/>
  <c r="T663" i="18" s="1"/>
  <c r="T664" i="18" a="1"/>
  <c r="T664" i="18" s="1"/>
  <c r="T665" i="18" a="1"/>
  <c r="T665" i="18" s="1"/>
  <c r="T666" i="18" a="1"/>
  <c r="T666" i="18" s="1"/>
  <c r="T667" i="18" a="1"/>
  <c r="T667" i="18" s="1"/>
  <c r="T668" i="18" a="1"/>
  <c r="T668" i="18" s="1"/>
  <c r="T669" i="18" a="1"/>
  <c r="T669" i="18" s="1"/>
  <c r="T670" i="18" a="1"/>
  <c r="T670" i="18" s="1"/>
  <c r="T671" i="18" a="1"/>
  <c r="T671" i="18" s="1"/>
  <c r="T672" i="18" a="1"/>
  <c r="T672" i="18" s="1"/>
  <c r="T673" i="18" a="1"/>
  <c r="T673" i="18" s="1"/>
  <c r="T674" i="18" a="1"/>
  <c r="T674" i="18" s="1"/>
  <c r="T675" i="18" a="1"/>
  <c r="T675" i="18" s="1"/>
  <c r="T676" i="18" a="1"/>
  <c r="T676" i="18" s="1"/>
  <c r="T677" i="18" a="1"/>
  <c r="T677" i="18" s="1"/>
  <c r="T678" i="18" a="1"/>
  <c r="T678" i="18" s="1"/>
  <c r="T679" i="18" a="1"/>
  <c r="T679" i="18" s="1"/>
  <c r="T680" i="18" a="1"/>
  <c r="T680" i="18" s="1"/>
  <c r="T681" i="18" a="1"/>
  <c r="T681" i="18" s="1"/>
  <c r="T682" i="18" a="1"/>
  <c r="T682" i="18" s="1"/>
  <c r="T683" i="18" a="1"/>
  <c r="T683" i="18" s="1"/>
  <c r="T684" i="18" a="1"/>
  <c r="T684" i="18" s="1"/>
  <c r="T685" i="18" a="1"/>
  <c r="T685" i="18" s="1"/>
  <c r="T686" i="18" a="1"/>
  <c r="T686" i="18" s="1"/>
  <c r="T687" i="18" a="1"/>
  <c r="T687" i="18" s="1"/>
  <c r="T688" i="18" a="1"/>
  <c r="T688" i="18" s="1"/>
  <c r="T689" i="18" a="1"/>
  <c r="T689" i="18" s="1"/>
  <c r="T690" i="18" a="1"/>
  <c r="T690" i="18" s="1"/>
  <c r="T691" i="18" a="1"/>
  <c r="T691" i="18" s="1"/>
  <c r="T692" i="18" a="1"/>
  <c r="T692" i="18" s="1"/>
  <c r="T693" i="18" a="1"/>
  <c r="T693" i="18" s="1"/>
  <c r="T694" i="18" a="1"/>
  <c r="T694" i="18" s="1"/>
  <c r="T695" i="18" a="1"/>
  <c r="T695" i="18" s="1"/>
  <c r="T696" i="18" a="1"/>
  <c r="T696" i="18" s="1"/>
  <c r="T697" i="18" a="1"/>
  <c r="T697" i="18" s="1"/>
  <c r="T698" i="18" a="1"/>
  <c r="T698" i="18" s="1"/>
  <c r="T699" i="18" a="1"/>
  <c r="T699" i="18" s="1"/>
  <c r="T700" i="18" a="1"/>
  <c r="T700" i="18" s="1"/>
  <c r="T701" i="18" a="1"/>
  <c r="T701" i="18" s="1"/>
  <c r="T702" i="18" a="1"/>
  <c r="T702" i="18" s="1"/>
  <c r="T703" i="18" a="1"/>
  <c r="T703" i="18" s="1"/>
  <c r="T704" i="18" a="1"/>
  <c r="T704" i="18" s="1"/>
  <c r="T705" i="18" a="1"/>
  <c r="T705" i="18" s="1"/>
  <c r="T706" i="18" a="1"/>
  <c r="T706" i="18" s="1"/>
  <c r="T707" i="18" a="1"/>
  <c r="T707" i="18" s="1"/>
  <c r="T708" i="18" a="1"/>
  <c r="T708" i="18" s="1"/>
  <c r="T709" i="18" a="1"/>
  <c r="T709" i="18" s="1"/>
  <c r="T710" i="18" a="1"/>
  <c r="T710" i="18" s="1"/>
  <c r="T711" i="18" a="1"/>
  <c r="T711" i="18" s="1"/>
  <c r="T712" i="18" a="1"/>
  <c r="T712" i="18" s="1"/>
  <c r="T713" i="18" a="1"/>
  <c r="T713" i="18" s="1"/>
  <c r="T714" i="18" a="1"/>
  <c r="T714" i="18" s="1"/>
  <c r="T715" i="18" a="1"/>
  <c r="T715" i="18" s="1"/>
  <c r="T716" i="18" a="1"/>
  <c r="T716" i="18" s="1"/>
  <c r="T717" i="18" a="1"/>
  <c r="T717" i="18" s="1"/>
  <c r="T718" i="18" a="1"/>
  <c r="T718" i="18" s="1"/>
  <c r="T719" i="18" a="1"/>
  <c r="T719" i="18" s="1"/>
  <c r="T720" i="18" a="1"/>
  <c r="T720" i="18" s="1"/>
  <c r="T721" i="18" a="1"/>
  <c r="T721" i="18" s="1"/>
  <c r="T722" i="18" a="1"/>
  <c r="T722" i="18" s="1"/>
  <c r="T723" i="18" a="1"/>
  <c r="T723" i="18" s="1"/>
  <c r="T724" i="18" a="1"/>
  <c r="T724" i="18" s="1"/>
  <c r="T725" i="18" a="1"/>
  <c r="T725" i="18" s="1"/>
  <c r="T726" i="18" a="1"/>
  <c r="T726" i="18" s="1"/>
  <c r="T727" i="18" a="1"/>
  <c r="T727" i="18" s="1"/>
  <c r="T728" i="18" a="1"/>
  <c r="T728" i="18" s="1"/>
  <c r="T729" i="18" a="1"/>
  <c r="T729" i="18" s="1"/>
  <c r="T730" i="18" a="1"/>
  <c r="T730" i="18" s="1"/>
  <c r="T731" i="18" a="1"/>
  <c r="T731" i="18" s="1"/>
  <c r="T732" i="18" a="1"/>
  <c r="T732" i="18" s="1"/>
  <c r="T733" i="18" a="1"/>
  <c r="T733" i="18" s="1"/>
  <c r="T734" i="18" a="1"/>
  <c r="T734" i="18" s="1"/>
  <c r="T735" i="18" a="1"/>
  <c r="T735" i="18" s="1"/>
  <c r="T736" i="18" a="1"/>
  <c r="T736" i="18" s="1"/>
  <c r="T737" i="18" a="1"/>
  <c r="T737" i="18" s="1"/>
  <c r="T738" i="18" a="1"/>
  <c r="T738" i="18" s="1"/>
  <c r="T739" i="18" a="1"/>
  <c r="T739" i="18" s="1"/>
  <c r="T740" i="18" a="1"/>
  <c r="T740" i="18" s="1"/>
  <c r="T741" i="18" a="1"/>
  <c r="T741" i="18" s="1"/>
  <c r="T742" i="18" a="1"/>
  <c r="T742" i="18" s="1"/>
  <c r="T743" i="18" a="1"/>
  <c r="T743" i="18" s="1"/>
  <c r="T744" i="18" a="1"/>
  <c r="T744" i="18" s="1"/>
  <c r="T745" i="18" a="1"/>
  <c r="T745" i="18" s="1"/>
  <c r="T746" i="18" a="1"/>
  <c r="T746" i="18" s="1"/>
  <c r="T747" i="18" a="1"/>
  <c r="T747" i="18" s="1"/>
  <c r="T748" i="18" a="1"/>
  <c r="T748" i="18" s="1"/>
  <c r="T749" i="18" a="1"/>
  <c r="T749" i="18" s="1"/>
  <c r="T750" i="18" a="1"/>
  <c r="T750" i="18" s="1"/>
  <c r="T751" i="18" a="1"/>
  <c r="T751" i="18" s="1"/>
  <c r="T752" i="18" a="1"/>
  <c r="T752" i="18" s="1"/>
  <c r="T753" i="18" a="1"/>
  <c r="T753" i="18" s="1"/>
  <c r="T754" i="18" a="1"/>
  <c r="T754" i="18" s="1"/>
  <c r="T755" i="18" a="1"/>
  <c r="T755" i="18" s="1"/>
  <c r="T756" i="18" a="1"/>
  <c r="T756" i="18" s="1"/>
  <c r="T757" i="18" a="1"/>
  <c r="T757" i="18" s="1"/>
  <c r="T758" i="18" a="1"/>
  <c r="T758" i="18" s="1"/>
  <c r="T759" i="18" a="1"/>
  <c r="T759" i="18" s="1"/>
  <c r="T760" i="18" a="1"/>
  <c r="T760" i="18" s="1"/>
  <c r="T761" i="18" a="1"/>
  <c r="T761" i="18" s="1"/>
  <c r="T762" i="18" a="1"/>
  <c r="T762" i="18" s="1"/>
  <c r="T763" i="18" a="1"/>
  <c r="T763" i="18" s="1"/>
  <c r="T764" i="18" a="1"/>
  <c r="T764" i="18" s="1"/>
  <c r="T765" i="18" a="1"/>
  <c r="T765" i="18" s="1"/>
  <c r="T766" i="18" a="1"/>
  <c r="T766" i="18" s="1"/>
  <c r="T767" i="18" a="1"/>
  <c r="T767" i="18" s="1"/>
  <c r="T768" i="18" a="1"/>
  <c r="T768" i="18" s="1"/>
  <c r="T769" i="18" a="1"/>
  <c r="T769" i="18" s="1"/>
  <c r="T770" i="18" a="1"/>
  <c r="T770" i="18" s="1"/>
  <c r="T771" i="18" a="1"/>
  <c r="T771" i="18" s="1"/>
  <c r="T772" i="18" a="1"/>
  <c r="T772" i="18" s="1"/>
  <c r="T773" i="18" a="1"/>
  <c r="T773" i="18" s="1"/>
  <c r="T774" i="18" a="1"/>
  <c r="T774" i="18" s="1"/>
  <c r="T775" i="18" a="1"/>
  <c r="T775" i="18" s="1"/>
  <c r="T776" i="18" a="1"/>
  <c r="T776" i="18" s="1"/>
  <c r="T777" i="18" a="1"/>
  <c r="T777" i="18" s="1"/>
  <c r="T778" i="18" a="1"/>
  <c r="T778" i="18" s="1"/>
  <c r="T779" i="18" a="1"/>
  <c r="T779" i="18" s="1"/>
  <c r="T780" i="18" a="1"/>
  <c r="T780" i="18" s="1"/>
  <c r="T781" i="18" a="1"/>
  <c r="T781" i="18" s="1"/>
  <c r="T782" i="18" a="1"/>
  <c r="T782" i="18" s="1"/>
  <c r="T783" i="18" a="1"/>
  <c r="T783" i="18" s="1"/>
  <c r="T784" i="18" a="1"/>
  <c r="T784" i="18" s="1"/>
  <c r="T785" i="18" a="1"/>
  <c r="T785" i="18" s="1"/>
  <c r="T786" i="18" a="1"/>
  <c r="T786" i="18" s="1"/>
  <c r="T787" i="18" a="1"/>
  <c r="T787" i="18" s="1"/>
  <c r="T788" i="18" a="1"/>
  <c r="T788" i="18" s="1"/>
  <c r="T789" i="18" a="1"/>
  <c r="T789" i="18" s="1"/>
  <c r="T790" i="18" a="1"/>
  <c r="T790" i="18" s="1"/>
  <c r="T791" i="18" a="1"/>
  <c r="T791" i="18" s="1"/>
  <c r="T792" i="18" a="1"/>
  <c r="T792" i="18" s="1"/>
  <c r="T793" i="18" a="1"/>
  <c r="T793" i="18" s="1"/>
  <c r="T794" i="18" a="1"/>
  <c r="T794" i="18" s="1"/>
  <c r="T795" i="18" a="1"/>
  <c r="T795" i="18" s="1"/>
  <c r="T796" i="18" a="1"/>
  <c r="T796" i="18" s="1"/>
  <c r="T797" i="18" a="1"/>
  <c r="T797" i="18" s="1"/>
  <c r="T798" i="18" a="1"/>
  <c r="T798" i="18" s="1"/>
  <c r="T799" i="18" a="1"/>
  <c r="T799" i="18" s="1"/>
  <c r="T800" i="18" a="1"/>
  <c r="T800" i="18" s="1"/>
  <c r="T801" i="18" a="1"/>
  <c r="T801" i="18" s="1"/>
  <c r="T802" i="18" a="1"/>
  <c r="T802" i="18" s="1"/>
  <c r="T803" i="18" a="1"/>
  <c r="T803" i="18" s="1"/>
  <c r="T804" i="18" a="1"/>
  <c r="T804" i="18" s="1"/>
  <c r="T805" i="18" a="1"/>
  <c r="T805" i="18" s="1"/>
  <c r="T806" i="18" a="1"/>
  <c r="T806" i="18" s="1"/>
  <c r="T807" i="18" a="1"/>
  <c r="T807" i="18" s="1"/>
  <c r="T808" i="18" a="1"/>
  <c r="T808" i="18" s="1"/>
  <c r="T809" i="18" a="1"/>
  <c r="T809" i="18" s="1"/>
  <c r="T810" i="18" a="1"/>
  <c r="T810" i="18" s="1"/>
  <c r="T811" i="18" a="1"/>
  <c r="T811" i="18" s="1"/>
  <c r="T812" i="18" a="1"/>
  <c r="T812" i="18" s="1"/>
  <c r="T813" i="18" a="1"/>
  <c r="T813" i="18" s="1"/>
  <c r="T814" i="18" a="1"/>
  <c r="T814" i="18" s="1"/>
  <c r="T815" i="18" a="1"/>
  <c r="T815" i="18" s="1"/>
  <c r="T816" i="18" a="1"/>
  <c r="T816" i="18" s="1"/>
  <c r="T817" i="18" a="1"/>
  <c r="T817" i="18" s="1"/>
  <c r="T818" i="18" a="1"/>
  <c r="T818" i="18" s="1"/>
  <c r="T819" i="18" a="1"/>
  <c r="T819" i="18" s="1"/>
  <c r="T820" i="18" a="1"/>
  <c r="T820" i="18" s="1"/>
  <c r="T821" i="18" a="1"/>
  <c r="T821" i="18" s="1"/>
  <c r="T822" i="18" a="1"/>
  <c r="T822" i="18" s="1"/>
  <c r="T823" i="18" a="1"/>
  <c r="T823" i="18" s="1"/>
  <c r="T824" i="18" a="1"/>
  <c r="T824" i="18" s="1"/>
  <c r="T825" i="18" a="1"/>
  <c r="T825" i="18" s="1"/>
  <c r="T826" i="18" a="1"/>
  <c r="T826" i="18" s="1"/>
  <c r="T827" i="18" a="1"/>
  <c r="T827" i="18" s="1"/>
  <c r="T828" i="18" a="1"/>
  <c r="T828" i="18" s="1"/>
  <c r="T829" i="18" a="1"/>
  <c r="T829" i="18" s="1"/>
  <c r="T830" i="18" a="1"/>
  <c r="T830" i="18" s="1"/>
  <c r="T831" i="18" a="1"/>
  <c r="T831" i="18" s="1"/>
  <c r="T832" i="18" a="1"/>
  <c r="T832" i="18" s="1"/>
  <c r="T833" i="18" a="1"/>
  <c r="T833" i="18" s="1"/>
  <c r="T834" i="18" a="1"/>
  <c r="T834" i="18" s="1"/>
  <c r="T835" i="18" a="1"/>
  <c r="T835" i="18" s="1"/>
  <c r="T836" i="18" a="1"/>
  <c r="T836" i="18" s="1"/>
  <c r="T837" i="18" a="1"/>
  <c r="T837" i="18" s="1"/>
  <c r="T838" i="18" a="1"/>
  <c r="T838" i="18" s="1"/>
  <c r="T839" i="18" a="1"/>
  <c r="T839" i="18" s="1"/>
  <c r="T840" i="18" a="1"/>
  <c r="T840" i="18" s="1"/>
  <c r="T841" i="18" a="1"/>
  <c r="T841" i="18" s="1"/>
  <c r="T842" i="18" a="1"/>
  <c r="T842" i="18" s="1"/>
  <c r="T843" i="18" a="1"/>
  <c r="T843" i="18" s="1"/>
  <c r="T844" i="18" a="1"/>
  <c r="T844" i="18" s="1"/>
  <c r="T845" i="18" a="1"/>
  <c r="T845" i="18" s="1"/>
  <c r="T846" i="18" a="1"/>
  <c r="T846" i="18" s="1"/>
  <c r="T847" i="18" a="1"/>
  <c r="T847" i="18" s="1"/>
  <c r="T848" i="18" a="1"/>
  <c r="T848" i="18" s="1"/>
  <c r="T849" i="18" a="1"/>
  <c r="T849" i="18" s="1"/>
  <c r="T850" i="18" a="1"/>
  <c r="T850" i="18" s="1"/>
  <c r="T851" i="18" a="1"/>
  <c r="T851" i="18" s="1"/>
  <c r="U2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6" i="18"/>
  <c r="U37" i="18"/>
  <c r="U38" i="18"/>
  <c r="U39" i="18"/>
  <c r="U40" i="18"/>
  <c r="U41" i="18"/>
  <c r="U42" i="18"/>
  <c r="U43" i="18"/>
  <c r="U44" i="18"/>
  <c r="U45" i="18"/>
  <c r="U46" i="18"/>
  <c r="U48" i="18"/>
  <c r="U49" i="18"/>
  <c r="U50" i="18"/>
  <c r="U51" i="18"/>
  <c r="U52" i="18"/>
  <c r="U53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8" i="18"/>
  <c r="U79" i="18"/>
  <c r="U80" i="18"/>
  <c r="U81" i="18"/>
  <c r="U82" i="18"/>
  <c r="U83" i="18"/>
  <c r="U84" i="18"/>
  <c r="U86" i="18"/>
  <c r="U88" i="18"/>
  <c r="U89" i="18"/>
  <c r="U90" i="18"/>
  <c r="U91" i="18"/>
  <c r="U92" i="18"/>
  <c r="U93" i="18"/>
  <c r="U94" i="18"/>
  <c r="U96" i="18"/>
  <c r="U97" i="18"/>
  <c r="U98" i="18"/>
  <c r="U99" i="18"/>
  <c r="U100" i="18"/>
  <c r="U101" i="18"/>
  <c r="U102" i="18"/>
  <c r="U104" i="18"/>
  <c r="U105" i="18"/>
  <c r="U106" i="18"/>
  <c r="U107" i="18"/>
  <c r="U108" i="18"/>
  <c r="U110" i="18"/>
  <c r="U111" i="18"/>
  <c r="U112" i="18"/>
  <c r="U113" i="18"/>
  <c r="U114" i="18"/>
  <c r="U115" i="18"/>
  <c r="U116" i="18"/>
  <c r="U118" i="18"/>
  <c r="U120" i="18"/>
  <c r="U121" i="18"/>
  <c r="U122" i="18"/>
  <c r="U123" i="18"/>
  <c r="U124" i="18"/>
  <c r="U125" i="18"/>
  <c r="U126" i="18"/>
  <c r="U128" i="18"/>
  <c r="U129" i="18"/>
  <c r="U130" i="18"/>
  <c r="U131" i="18"/>
  <c r="U132" i="18"/>
  <c r="U133" i="18"/>
  <c r="U134" i="18"/>
  <c r="U136" i="18"/>
  <c r="U137" i="18"/>
  <c r="U138" i="18"/>
  <c r="U139" i="18"/>
  <c r="U140" i="18"/>
  <c r="U142" i="18"/>
  <c r="U143" i="18"/>
  <c r="U144" i="18"/>
  <c r="U145" i="18"/>
  <c r="U146" i="18"/>
  <c r="U147" i="18"/>
  <c r="U148" i="18"/>
  <c r="U150" i="18"/>
  <c r="U152" i="18"/>
  <c r="U153" i="18"/>
  <c r="U154" i="18"/>
  <c r="U155" i="18"/>
  <c r="U156" i="18"/>
  <c r="U157" i="18"/>
  <c r="U158" i="18"/>
  <c r="U160" i="18"/>
  <c r="U161" i="18"/>
  <c r="U162" i="18"/>
  <c r="U163" i="18"/>
  <c r="U164" i="18"/>
  <c r="U165" i="18"/>
  <c r="U166" i="18"/>
  <c r="U168" i="18"/>
  <c r="U169" i="18"/>
  <c r="U170" i="18"/>
  <c r="U171" i="18"/>
  <c r="U172" i="18"/>
  <c r="U174" i="18"/>
  <c r="U175" i="18"/>
  <c r="U176" i="18"/>
  <c r="U177" i="18"/>
  <c r="U178" i="18"/>
  <c r="U179" i="18"/>
  <c r="U180" i="18"/>
  <c r="U182" i="18"/>
  <c r="U184" i="18"/>
  <c r="U185" i="18"/>
  <c r="U186" i="18"/>
  <c r="U187" i="18"/>
  <c r="U188" i="18"/>
  <c r="U189" i="18"/>
  <c r="U190" i="18"/>
  <c r="U192" i="18"/>
  <c r="U193" i="18"/>
  <c r="U194" i="18"/>
  <c r="U195" i="18"/>
  <c r="U196" i="18"/>
  <c r="U197" i="18"/>
  <c r="U198" i="18"/>
  <c r="U200" i="18"/>
  <c r="U201" i="18"/>
  <c r="U202" i="18"/>
  <c r="U203" i="18"/>
  <c r="U204" i="18"/>
  <c r="U206" i="18"/>
  <c r="U207" i="18"/>
  <c r="U208" i="18"/>
  <c r="U209" i="18"/>
  <c r="U210" i="18"/>
  <c r="U211" i="18"/>
  <c r="U212" i="18"/>
  <c r="U214" i="18"/>
  <c r="U216" i="18"/>
  <c r="U217" i="18"/>
  <c r="U218" i="18"/>
  <c r="U219" i="18"/>
  <c r="U220" i="18"/>
  <c r="U221" i="18"/>
  <c r="U222" i="18"/>
  <c r="U224" i="18"/>
  <c r="U225" i="18"/>
  <c r="U226" i="18"/>
  <c r="U228" i="18"/>
  <c r="U229" i="18"/>
  <c r="U230" i="18"/>
  <c r="U231" i="18"/>
  <c r="U232" i="18"/>
  <c r="U234" i="18"/>
  <c r="U236" i="18"/>
  <c r="U237" i="18"/>
  <c r="U238" i="18"/>
  <c r="U239" i="18"/>
  <c r="U240" i="18"/>
  <c r="U242" i="18"/>
  <c r="U244" i="18"/>
  <c r="U245" i="18"/>
  <c r="U246" i="18"/>
  <c r="U247" i="18"/>
  <c r="U248" i="18"/>
  <c r="U250" i="18"/>
  <c r="U251" i="18"/>
  <c r="U252" i="18"/>
  <c r="U254" i="18"/>
  <c r="U256" i="18"/>
  <c r="U257" i="18"/>
  <c r="U258" i="18"/>
  <c r="U260" i="18"/>
  <c r="U261" i="18"/>
  <c r="U262" i="18"/>
  <c r="U263" i="18"/>
  <c r="U264" i="18"/>
  <c r="U266" i="18"/>
  <c r="U267" i="18"/>
  <c r="U268" i="18"/>
  <c r="U270" i="18"/>
  <c r="U272" i="18"/>
  <c r="U273" i="18"/>
  <c r="U274" i="18"/>
  <c r="U276" i="18"/>
  <c r="U277" i="18"/>
  <c r="U278" i="18"/>
  <c r="U279" i="18"/>
  <c r="U282" i="18"/>
  <c r="U283" i="18"/>
  <c r="U284" i="18"/>
  <c r="U286" i="18"/>
  <c r="U288" i="18"/>
  <c r="U289" i="18"/>
  <c r="U290" i="18"/>
  <c r="U292" i="18"/>
  <c r="U293" i="18"/>
  <c r="U294" i="18"/>
  <c r="U295" i="18"/>
  <c r="U298" i="18"/>
  <c r="U299" i="18"/>
  <c r="U300" i="18"/>
  <c r="U302" i="18"/>
  <c r="U303" i="18"/>
  <c r="U304" i="18"/>
  <c r="U306" i="18"/>
  <c r="U307" i="18"/>
  <c r="U308" i="18"/>
  <c r="U310" i="18"/>
  <c r="U311" i="18"/>
  <c r="U312" i="18"/>
  <c r="U314" i="18"/>
  <c r="U315" i="18"/>
  <c r="U316" i="18"/>
  <c r="U318" i="18"/>
  <c r="U319" i="18"/>
  <c r="U320" i="18"/>
  <c r="U322" i="18"/>
  <c r="U323" i="18"/>
  <c r="U324" i="18"/>
  <c r="U326" i="18"/>
  <c r="U327" i="18"/>
  <c r="U328" i="18"/>
  <c r="U330" i="18"/>
  <c r="U331" i="18"/>
  <c r="U332" i="18"/>
  <c r="U334" i="18"/>
  <c r="U335" i="18"/>
  <c r="U336" i="18"/>
  <c r="U338" i="18"/>
  <c r="U339" i="18"/>
  <c r="U340" i="18"/>
  <c r="U342" i="18"/>
  <c r="U343" i="18"/>
  <c r="U344" i="18"/>
  <c r="U346" i="18"/>
  <c r="U347" i="18"/>
  <c r="U348" i="18"/>
  <c r="U350" i="18"/>
  <c r="U351" i="18"/>
  <c r="U352" i="18"/>
  <c r="U354" i="18"/>
  <c r="U355" i="18"/>
  <c r="U356" i="18"/>
  <c r="U358" i="18"/>
  <c r="U359" i="18"/>
  <c r="U360" i="18"/>
  <c r="U362" i="18"/>
  <c r="U363" i="18"/>
  <c r="U364" i="18"/>
  <c r="U366" i="18"/>
  <c r="U367" i="18"/>
  <c r="U368" i="18"/>
  <c r="U370" i="18"/>
  <c r="U371" i="18"/>
  <c r="U372" i="18"/>
  <c r="U374" i="18"/>
  <c r="U375" i="18"/>
  <c r="U376" i="18"/>
  <c r="U378" i="18"/>
  <c r="U379" i="18"/>
  <c r="U380" i="18"/>
  <c r="U382" i="18"/>
  <c r="U383" i="18"/>
  <c r="U384" i="18"/>
  <c r="U386" i="18"/>
  <c r="U387" i="18"/>
  <c r="U388" i="18"/>
  <c r="U390" i="18"/>
  <c r="U391" i="18"/>
  <c r="U392" i="18"/>
  <c r="U394" i="18"/>
  <c r="U395" i="18"/>
  <c r="U396" i="18"/>
  <c r="U398" i="18"/>
  <c r="U399" i="18"/>
  <c r="U400" i="18"/>
  <c r="U402" i="18"/>
  <c r="U403" i="18"/>
  <c r="U404" i="18"/>
  <c r="U406" i="18"/>
  <c r="U407" i="18"/>
  <c r="U408" i="18"/>
  <c r="U410" i="18"/>
  <c r="U411" i="18"/>
  <c r="U412" i="18"/>
  <c r="U414" i="18"/>
  <c r="U415" i="18"/>
  <c r="U416" i="18"/>
  <c r="U418" i="18"/>
  <c r="U419" i="18"/>
  <c r="U420" i="18"/>
  <c r="U422" i="18"/>
  <c r="U423" i="18"/>
  <c r="U424" i="18"/>
  <c r="U426" i="18"/>
  <c r="U427" i="18"/>
  <c r="U428" i="18"/>
  <c r="U430" i="18"/>
  <c r="U431" i="18"/>
  <c r="U432" i="18"/>
  <c r="U434" i="18"/>
  <c r="U435" i="18"/>
  <c r="U436" i="18"/>
  <c r="U438" i="18"/>
  <c r="U439" i="18"/>
  <c r="U440" i="18"/>
  <c r="U442" i="18"/>
  <c r="U443" i="18"/>
  <c r="U444" i="18"/>
  <c r="U446" i="18"/>
  <c r="U447" i="18"/>
  <c r="U448" i="18"/>
  <c r="U450" i="18"/>
  <c r="U451" i="18"/>
  <c r="U452" i="18"/>
  <c r="U454" i="18"/>
  <c r="U455" i="18"/>
  <c r="U456" i="18"/>
  <c r="U458" i="18"/>
  <c r="U459" i="18"/>
  <c r="U460" i="18"/>
  <c r="U462" i="18"/>
  <c r="U463" i="18"/>
  <c r="U464" i="18"/>
  <c r="U466" i="18"/>
  <c r="U467" i="18"/>
  <c r="U468" i="18"/>
  <c r="U470" i="18"/>
  <c r="U471" i="18"/>
  <c r="U472" i="18"/>
  <c r="U474" i="18"/>
  <c r="U475" i="18"/>
  <c r="U476" i="18"/>
  <c r="U478" i="18"/>
  <c r="U479" i="18"/>
  <c r="U480" i="18"/>
  <c r="U482" i="18"/>
  <c r="U483" i="18"/>
  <c r="U484" i="18"/>
  <c r="U486" i="18"/>
  <c r="U487" i="18"/>
  <c r="U488" i="18"/>
  <c r="U490" i="18"/>
  <c r="U491" i="18"/>
  <c r="U492" i="18"/>
  <c r="U494" i="18"/>
  <c r="U495" i="18"/>
  <c r="U496" i="18"/>
  <c r="U498" i="18"/>
  <c r="U499" i="18"/>
  <c r="U500" i="18"/>
  <c r="U502" i="18"/>
  <c r="U503" i="18"/>
  <c r="U504" i="18"/>
  <c r="U506" i="18"/>
  <c r="U507" i="18"/>
  <c r="U508" i="18"/>
  <c r="U510" i="18"/>
  <c r="U511" i="18"/>
  <c r="U512" i="18"/>
  <c r="U514" i="18"/>
  <c r="U515" i="18"/>
  <c r="U516" i="18"/>
  <c r="U518" i="18"/>
  <c r="U519" i="18"/>
  <c r="U520" i="18"/>
  <c r="U522" i="18"/>
  <c r="U523" i="18"/>
  <c r="U524" i="18"/>
  <c r="U526" i="18"/>
  <c r="U527" i="18"/>
  <c r="U528" i="18"/>
  <c r="U530" i="18"/>
  <c r="U531" i="18"/>
  <c r="U532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1" i="18"/>
  <c r="U562" i="18"/>
  <c r="U563" i="18"/>
  <c r="U564" i="18"/>
  <c r="U565" i="18"/>
  <c r="U566" i="18"/>
  <c r="U567" i="18"/>
  <c r="U568" i="18"/>
  <c r="U569" i="18"/>
  <c r="U570" i="18"/>
  <c r="U571" i="18"/>
  <c r="U572" i="18"/>
  <c r="U573" i="18"/>
  <c r="U574" i="18"/>
  <c r="U575" i="18"/>
  <c r="U576" i="18"/>
  <c r="U577" i="18"/>
  <c r="U578" i="18"/>
  <c r="U579" i="18"/>
  <c r="U580" i="18"/>
  <c r="U581" i="18"/>
  <c r="U582" i="18"/>
  <c r="U583" i="18"/>
  <c r="U584" i="18"/>
  <c r="U585" i="18"/>
  <c r="U586" i="18"/>
  <c r="U587" i="18"/>
  <c r="U588" i="18"/>
  <c r="U589" i="18"/>
  <c r="U590" i="18"/>
  <c r="U591" i="18"/>
  <c r="U592" i="18"/>
  <c r="U593" i="18"/>
  <c r="U594" i="18"/>
  <c r="U595" i="18"/>
  <c r="U596" i="18"/>
  <c r="U597" i="18"/>
  <c r="U598" i="18"/>
  <c r="U599" i="18"/>
  <c r="U600" i="18"/>
  <c r="U601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4" i="18"/>
  <c r="U615" i="18"/>
  <c r="U616" i="18"/>
  <c r="U617" i="18"/>
  <c r="U618" i="18"/>
  <c r="U619" i="18"/>
  <c r="U620" i="18"/>
  <c r="U621" i="18"/>
  <c r="U622" i="18"/>
  <c r="U623" i="18"/>
  <c r="U624" i="18"/>
  <c r="U625" i="18"/>
  <c r="U626" i="18"/>
  <c r="U627" i="18"/>
  <c r="U628" i="18"/>
  <c r="U629" i="18"/>
  <c r="U630" i="18"/>
  <c r="U631" i="18"/>
  <c r="U632" i="18"/>
  <c r="U633" i="18"/>
  <c r="U634" i="18"/>
  <c r="U635" i="18"/>
  <c r="U636" i="18"/>
  <c r="U637" i="18"/>
  <c r="U638" i="18"/>
  <c r="U639" i="18"/>
  <c r="U640" i="18"/>
  <c r="U641" i="18"/>
  <c r="U642" i="18"/>
  <c r="U643" i="18"/>
  <c r="U644" i="18"/>
  <c r="U645" i="18"/>
  <c r="U646" i="18"/>
  <c r="U647" i="18"/>
  <c r="U648" i="18"/>
  <c r="U649" i="18"/>
  <c r="U650" i="18"/>
  <c r="U651" i="18"/>
  <c r="U652" i="18"/>
  <c r="U653" i="18"/>
  <c r="U654" i="18"/>
  <c r="U655" i="18"/>
  <c r="U656" i="18"/>
  <c r="U657" i="18"/>
  <c r="U658" i="18"/>
  <c r="U659" i="18"/>
  <c r="U660" i="18"/>
  <c r="U661" i="18"/>
  <c r="U662" i="18"/>
  <c r="U663" i="18"/>
  <c r="U664" i="18"/>
  <c r="U665" i="18"/>
  <c r="U667" i="18"/>
  <c r="U668" i="18"/>
  <c r="U669" i="18"/>
  <c r="U671" i="18"/>
  <c r="U672" i="18"/>
  <c r="U673" i="18"/>
  <c r="U675" i="18"/>
  <c r="U676" i="18"/>
  <c r="U677" i="18"/>
  <c r="U679" i="18"/>
  <c r="U680" i="18"/>
  <c r="U681" i="18"/>
  <c r="U683" i="18"/>
  <c r="U684" i="18"/>
  <c r="U685" i="18"/>
  <c r="U687" i="18"/>
  <c r="U688" i="18"/>
  <c r="U689" i="18"/>
  <c r="U691" i="18"/>
  <c r="U692" i="18"/>
  <c r="U693" i="18"/>
  <c r="U695" i="18"/>
  <c r="U696" i="18"/>
  <c r="U697" i="18"/>
  <c r="U699" i="18"/>
  <c r="U700" i="18"/>
  <c r="U701" i="18"/>
  <c r="U703" i="18"/>
  <c r="U704" i="18"/>
  <c r="U705" i="18"/>
  <c r="U707" i="18"/>
  <c r="U708" i="18"/>
  <c r="U709" i="18"/>
  <c r="U711" i="18"/>
  <c r="U712" i="18"/>
  <c r="U713" i="18"/>
  <c r="U715" i="18"/>
  <c r="U716" i="18"/>
  <c r="U717" i="18"/>
  <c r="U719" i="18"/>
  <c r="U720" i="18"/>
  <c r="U721" i="18"/>
  <c r="U723" i="18"/>
  <c r="U724" i="18"/>
  <c r="U725" i="18"/>
  <c r="U727" i="18"/>
  <c r="U728" i="18"/>
  <c r="U729" i="18"/>
  <c r="U731" i="18"/>
  <c r="U732" i="18"/>
  <c r="U733" i="18"/>
  <c r="U735" i="18"/>
  <c r="U736" i="18"/>
  <c r="U737" i="18"/>
  <c r="U739" i="18"/>
  <c r="U740" i="18"/>
  <c r="U741" i="18"/>
  <c r="U743" i="18"/>
  <c r="U744" i="18"/>
  <c r="U745" i="18"/>
  <c r="U747" i="18"/>
  <c r="U748" i="18"/>
  <c r="U749" i="18"/>
  <c r="U751" i="18"/>
  <c r="U752" i="18"/>
  <c r="U753" i="18"/>
  <c r="U755" i="18"/>
  <c r="U756" i="18"/>
  <c r="U757" i="18"/>
  <c r="U759" i="18"/>
  <c r="U760" i="18"/>
  <c r="U761" i="18"/>
  <c r="U763" i="18"/>
  <c r="U764" i="18"/>
  <c r="U765" i="18"/>
  <c r="U767" i="18"/>
  <c r="U768" i="18"/>
  <c r="U769" i="18"/>
  <c r="U771" i="18"/>
  <c r="U772" i="18"/>
  <c r="U773" i="18"/>
  <c r="U775" i="18"/>
  <c r="U776" i="18"/>
  <c r="U777" i="18"/>
  <c r="U779" i="18"/>
  <c r="U780" i="18"/>
  <c r="U781" i="18"/>
  <c r="U783" i="18"/>
  <c r="U784" i="18"/>
  <c r="U785" i="18"/>
  <c r="U787" i="18"/>
  <c r="U788" i="18"/>
  <c r="U789" i="18"/>
  <c r="U791" i="18"/>
  <c r="U792" i="18"/>
  <c r="U793" i="18"/>
  <c r="U795" i="18"/>
  <c r="U796" i="18"/>
  <c r="U797" i="18"/>
  <c r="U799" i="18"/>
  <c r="U800" i="18"/>
  <c r="U801" i="18"/>
  <c r="U803" i="18"/>
  <c r="U804" i="18"/>
  <c r="U805" i="18"/>
  <c r="U807" i="18"/>
  <c r="U808" i="18"/>
  <c r="U809" i="18"/>
  <c r="U811" i="18"/>
  <c r="U812" i="18"/>
  <c r="U813" i="18"/>
  <c r="U815" i="18"/>
  <c r="U816" i="18"/>
  <c r="U817" i="18"/>
  <c r="U818" i="18"/>
  <c r="U819" i="18"/>
  <c r="U820" i="18"/>
  <c r="U821" i="18"/>
  <c r="U823" i="18"/>
  <c r="U824" i="18"/>
  <c r="U825" i="18"/>
  <c r="U827" i="18"/>
  <c r="U828" i="18"/>
  <c r="U829" i="18"/>
  <c r="U831" i="18"/>
  <c r="U832" i="18"/>
  <c r="U833" i="18"/>
  <c r="U835" i="18"/>
  <c r="U836" i="18"/>
  <c r="U837" i="18"/>
  <c r="U839" i="18"/>
  <c r="U841" i="18"/>
  <c r="U843" i="18"/>
  <c r="U844" i="18"/>
  <c r="U845" i="18"/>
  <c r="U846" i="18"/>
  <c r="U847" i="18"/>
  <c r="U848" i="18"/>
  <c r="U849" i="18"/>
  <c r="U850" i="18"/>
  <c r="U851" i="18"/>
  <c r="L2" i="17"/>
  <c r="L12" i="17"/>
  <c r="L22" i="17"/>
  <c r="L32" i="17"/>
  <c r="L33" i="17"/>
  <c r="L34" i="17"/>
  <c r="L35" i="17"/>
  <c r="L36" i="17"/>
  <c r="L37" i="17"/>
  <c r="L92" i="17"/>
  <c r="L102" i="17"/>
  <c r="L112" i="17"/>
  <c r="L122" i="17"/>
  <c r="L123" i="17"/>
  <c r="L142" i="17"/>
  <c r="L143" i="17"/>
  <c r="L162" i="17"/>
  <c r="L163" i="17"/>
  <c r="L182" i="17"/>
  <c r="L183" i="17"/>
  <c r="L202" i="17"/>
  <c r="L203" i="17"/>
  <c r="L222" i="17"/>
  <c r="L223" i="17"/>
  <c r="L242" i="17"/>
  <c r="L243" i="17"/>
  <c r="L262" i="17"/>
  <c r="L263" i="17"/>
  <c r="L282" i="17"/>
  <c r="L283" i="17"/>
  <c r="L302" i="17"/>
  <c r="L303" i="17"/>
  <c r="L342" i="17"/>
  <c r="L352" i="17"/>
  <c r="L362" i="17"/>
  <c r="L372" i="17"/>
  <c r="N372" i="17" s="1" a="1"/>
  <c r="N372" i="17" s="1"/>
  <c r="L382" i="17"/>
  <c r="L392" i="17"/>
  <c r="L402" i="17"/>
  <c r="L412" i="17"/>
  <c r="N412" i="17" s="1" a="1"/>
  <c r="N412" i="17" s="1"/>
  <c r="L422" i="17"/>
  <c r="L432" i="17"/>
  <c r="L442" i="17"/>
  <c r="L452" i="17"/>
  <c r="N452" i="17" s="1" a="1"/>
  <c r="N452" i="17" s="1"/>
  <c r="L453" i="17"/>
  <c r="L454" i="17"/>
  <c r="L455" i="17"/>
  <c r="L456" i="17"/>
  <c r="N456" i="17" s="1" a="1"/>
  <c r="N456" i="17" s="1"/>
  <c r="L457" i="17"/>
  <c r="L322" i="17"/>
  <c r="L323" i="17"/>
  <c r="L3" i="17"/>
  <c r="L13" i="17"/>
  <c r="L23" i="17"/>
  <c r="L38" i="17"/>
  <c r="L39" i="17"/>
  <c r="N39" i="17" s="1" a="1"/>
  <c r="N39" i="17" s="1"/>
  <c r="L40" i="17"/>
  <c r="L41" i="17"/>
  <c r="L42" i="17"/>
  <c r="L43" i="17"/>
  <c r="N43" i="17" s="1" a="1"/>
  <c r="N43" i="17" s="1"/>
  <c r="L93" i="17"/>
  <c r="L103" i="17"/>
  <c r="L113" i="17"/>
  <c r="L124" i="17"/>
  <c r="L125" i="17"/>
  <c r="L144" i="17"/>
  <c r="L145" i="17"/>
  <c r="L164" i="17"/>
  <c r="L165" i="17"/>
  <c r="L184" i="17"/>
  <c r="L185" i="17"/>
  <c r="L204" i="17"/>
  <c r="L205" i="17"/>
  <c r="L224" i="17"/>
  <c r="L225" i="17"/>
  <c r="L244" i="17"/>
  <c r="L245" i="17"/>
  <c r="L264" i="17"/>
  <c r="L265" i="17"/>
  <c r="L284" i="17"/>
  <c r="L285" i="17"/>
  <c r="L304" i="17"/>
  <c r="L305" i="17"/>
  <c r="L343" i="17"/>
  <c r="L353" i="17"/>
  <c r="L363" i="17"/>
  <c r="L373" i="17"/>
  <c r="L383" i="17"/>
  <c r="L393" i="17"/>
  <c r="L403" i="17"/>
  <c r="L413" i="17"/>
  <c r="L423" i="17"/>
  <c r="L433" i="17"/>
  <c r="L443" i="17"/>
  <c r="L458" i="17"/>
  <c r="L459" i="17"/>
  <c r="L460" i="17"/>
  <c r="L461" i="17"/>
  <c r="L462" i="17"/>
  <c r="L463" i="17"/>
  <c r="L324" i="17"/>
  <c r="L325" i="17"/>
  <c r="L4" i="17"/>
  <c r="L14" i="17"/>
  <c r="L24" i="17"/>
  <c r="L44" i="17"/>
  <c r="L45" i="17"/>
  <c r="L46" i="17"/>
  <c r="L47" i="17"/>
  <c r="L48" i="17"/>
  <c r="L49" i="17"/>
  <c r="L94" i="17"/>
  <c r="L104" i="17"/>
  <c r="L114" i="17"/>
  <c r="L126" i="17"/>
  <c r="L127" i="17"/>
  <c r="L146" i="17"/>
  <c r="L147" i="17"/>
  <c r="L166" i="17"/>
  <c r="L167" i="17"/>
  <c r="L186" i="17"/>
  <c r="L187" i="17"/>
  <c r="L206" i="17"/>
  <c r="L207" i="17"/>
  <c r="L226" i="17"/>
  <c r="L227" i="17"/>
  <c r="L246" i="17"/>
  <c r="L247" i="17"/>
  <c r="L266" i="17"/>
  <c r="L267" i="17"/>
  <c r="L286" i="17"/>
  <c r="L287" i="17"/>
  <c r="L306" i="17"/>
  <c r="L307" i="17"/>
  <c r="L344" i="17"/>
  <c r="L354" i="17"/>
  <c r="L364" i="17"/>
  <c r="L374" i="17"/>
  <c r="L384" i="17"/>
  <c r="L394" i="17"/>
  <c r="L404" i="17"/>
  <c r="L414" i="17"/>
  <c r="L424" i="17"/>
  <c r="L434" i="17"/>
  <c r="L444" i="17"/>
  <c r="L464" i="17"/>
  <c r="L465" i="17"/>
  <c r="L466" i="17"/>
  <c r="L467" i="17"/>
  <c r="L468" i="17"/>
  <c r="L469" i="17"/>
  <c r="L326" i="17"/>
  <c r="L327" i="17"/>
  <c r="L5" i="17"/>
  <c r="L15" i="17"/>
  <c r="L25" i="17"/>
  <c r="L50" i="17"/>
  <c r="L51" i="17"/>
  <c r="L52" i="17"/>
  <c r="L53" i="17"/>
  <c r="L54" i="17"/>
  <c r="L55" i="17"/>
  <c r="L95" i="17"/>
  <c r="L105" i="17"/>
  <c r="L115" i="17"/>
  <c r="L128" i="17"/>
  <c r="L129" i="17"/>
  <c r="L148" i="17"/>
  <c r="L149" i="17"/>
  <c r="L168" i="17"/>
  <c r="L169" i="17"/>
  <c r="L188" i="17"/>
  <c r="L189" i="17"/>
  <c r="L208" i="17"/>
  <c r="L209" i="17"/>
  <c r="L228" i="17"/>
  <c r="L229" i="17"/>
  <c r="L248" i="17"/>
  <c r="L249" i="17"/>
  <c r="L268" i="17"/>
  <c r="L269" i="17"/>
  <c r="L288" i="17"/>
  <c r="L289" i="17"/>
  <c r="L308" i="17"/>
  <c r="L309" i="17"/>
  <c r="L345" i="17"/>
  <c r="L355" i="17"/>
  <c r="L365" i="17"/>
  <c r="L375" i="17"/>
  <c r="L385" i="17"/>
  <c r="L395" i="17"/>
  <c r="L405" i="17"/>
  <c r="L415" i="17"/>
  <c r="L425" i="17"/>
  <c r="L435" i="17"/>
  <c r="L445" i="17"/>
  <c r="L470" i="17"/>
  <c r="L471" i="17"/>
  <c r="L472" i="17"/>
  <c r="L473" i="17"/>
  <c r="L474" i="17"/>
  <c r="L475" i="17"/>
  <c r="L328" i="17"/>
  <c r="L329" i="17"/>
  <c r="L6" i="17"/>
  <c r="L16" i="17"/>
  <c r="L26" i="17"/>
  <c r="L56" i="17"/>
  <c r="L57" i="17"/>
  <c r="L58" i="17"/>
  <c r="L59" i="17"/>
  <c r="L60" i="17"/>
  <c r="L61" i="17"/>
  <c r="L96" i="17"/>
  <c r="L106" i="17"/>
  <c r="L116" i="17"/>
  <c r="L130" i="17"/>
  <c r="L131" i="17"/>
  <c r="L150" i="17"/>
  <c r="L151" i="17"/>
  <c r="L170" i="17"/>
  <c r="L171" i="17"/>
  <c r="L190" i="17"/>
  <c r="L191" i="17"/>
  <c r="L210" i="17"/>
  <c r="L211" i="17"/>
  <c r="L230" i="17"/>
  <c r="L231" i="17"/>
  <c r="L250" i="17"/>
  <c r="L251" i="17"/>
  <c r="L270" i="17"/>
  <c r="L271" i="17"/>
  <c r="L290" i="17"/>
  <c r="L291" i="17"/>
  <c r="L310" i="17"/>
  <c r="L311" i="17"/>
  <c r="L346" i="17"/>
  <c r="L356" i="17"/>
  <c r="L366" i="17"/>
  <c r="L376" i="17"/>
  <c r="L386" i="17"/>
  <c r="L396" i="17"/>
  <c r="L406" i="17"/>
  <c r="L416" i="17"/>
  <c r="L426" i="17"/>
  <c r="L436" i="17"/>
  <c r="L446" i="17"/>
  <c r="L476" i="17"/>
  <c r="L477" i="17"/>
  <c r="L478" i="17"/>
  <c r="L479" i="17"/>
  <c r="L480" i="17"/>
  <c r="L481" i="17"/>
  <c r="L330" i="17"/>
  <c r="L331" i="17"/>
  <c r="L7" i="17"/>
  <c r="N322" i="17" s="1" a="1"/>
  <c r="N322" i="17" s="1"/>
  <c r="L17" i="17"/>
  <c r="L27" i="17"/>
  <c r="L62" i="17"/>
  <c r="L63" i="17"/>
  <c r="L64" i="17"/>
  <c r="L65" i="17"/>
  <c r="L66" i="17"/>
  <c r="L67" i="17"/>
  <c r="L97" i="17"/>
  <c r="L107" i="17"/>
  <c r="L117" i="17"/>
  <c r="L132" i="17"/>
  <c r="L133" i="17"/>
  <c r="L152" i="17"/>
  <c r="L153" i="17"/>
  <c r="L172" i="17"/>
  <c r="L173" i="17"/>
  <c r="L192" i="17"/>
  <c r="L193" i="17"/>
  <c r="L212" i="17"/>
  <c r="L213" i="17"/>
  <c r="L232" i="17"/>
  <c r="L233" i="17"/>
  <c r="L252" i="17"/>
  <c r="L253" i="17"/>
  <c r="L272" i="17"/>
  <c r="L273" i="17"/>
  <c r="L292" i="17"/>
  <c r="L293" i="17"/>
  <c r="L312" i="17"/>
  <c r="L313" i="17"/>
  <c r="L347" i="17"/>
  <c r="L357" i="17"/>
  <c r="L367" i="17"/>
  <c r="L377" i="17"/>
  <c r="L387" i="17"/>
  <c r="L397" i="17"/>
  <c r="L407" i="17"/>
  <c r="L417" i="17"/>
  <c r="L427" i="17"/>
  <c r="L437" i="17"/>
  <c r="L447" i="17"/>
  <c r="L482" i="17"/>
  <c r="L483" i="17"/>
  <c r="L484" i="17"/>
  <c r="L485" i="17"/>
  <c r="L486" i="17"/>
  <c r="L487" i="17"/>
  <c r="L332" i="17"/>
  <c r="L333" i="17"/>
  <c r="L8" i="17"/>
  <c r="L18" i="17"/>
  <c r="L28" i="17"/>
  <c r="L68" i="17"/>
  <c r="L69" i="17"/>
  <c r="L70" i="17"/>
  <c r="L71" i="17"/>
  <c r="L72" i="17"/>
  <c r="L73" i="17"/>
  <c r="L98" i="17"/>
  <c r="L108" i="17"/>
  <c r="L118" i="17"/>
  <c r="L134" i="17"/>
  <c r="L135" i="17"/>
  <c r="L154" i="17"/>
  <c r="L155" i="17"/>
  <c r="L174" i="17"/>
  <c r="L175" i="17"/>
  <c r="L194" i="17"/>
  <c r="L195" i="17"/>
  <c r="L214" i="17"/>
  <c r="L215" i="17"/>
  <c r="L234" i="17"/>
  <c r="L235" i="17"/>
  <c r="L254" i="17"/>
  <c r="L255" i="17"/>
  <c r="L274" i="17"/>
  <c r="L275" i="17"/>
  <c r="L294" i="17"/>
  <c r="L295" i="17"/>
  <c r="L314" i="17"/>
  <c r="L315" i="17"/>
  <c r="L348" i="17"/>
  <c r="L358" i="17"/>
  <c r="L368" i="17"/>
  <c r="L378" i="17"/>
  <c r="L388" i="17"/>
  <c r="L398" i="17"/>
  <c r="L408" i="17"/>
  <c r="L418" i="17"/>
  <c r="L428" i="17"/>
  <c r="L438" i="17"/>
  <c r="L448" i="17"/>
  <c r="L488" i="17"/>
  <c r="L489" i="17"/>
  <c r="L490" i="17"/>
  <c r="L491" i="17"/>
  <c r="L492" i="17"/>
  <c r="L493" i="17"/>
  <c r="L334" i="17"/>
  <c r="L335" i="17"/>
  <c r="L9" i="17"/>
  <c r="L19" i="17"/>
  <c r="L29" i="17"/>
  <c r="L74" i="17"/>
  <c r="L75" i="17"/>
  <c r="L76" i="17"/>
  <c r="L77" i="17"/>
  <c r="L78" i="17"/>
  <c r="L79" i="17"/>
  <c r="L99" i="17"/>
  <c r="L109" i="17"/>
  <c r="L119" i="17"/>
  <c r="L136" i="17"/>
  <c r="L137" i="17"/>
  <c r="L156" i="17"/>
  <c r="L157" i="17"/>
  <c r="L176" i="17"/>
  <c r="L177" i="17"/>
  <c r="L196" i="17"/>
  <c r="L197" i="17"/>
  <c r="L216" i="17"/>
  <c r="L217" i="17"/>
  <c r="L236" i="17"/>
  <c r="L237" i="17"/>
  <c r="L256" i="17"/>
  <c r="L257" i="17"/>
  <c r="L276" i="17"/>
  <c r="L277" i="17"/>
  <c r="L296" i="17"/>
  <c r="L297" i="17"/>
  <c r="L316" i="17"/>
  <c r="L317" i="17"/>
  <c r="L349" i="17"/>
  <c r="L359" i="17"/>
  <c r="L369" i="17"/>
  <c r="L379" i="17"/>
  <c r="L389" i="17"/>
  <c r="L399" i="17"/>
  <c r="L409" i="17"/>
  <c r="L419" i="17"/>
  <c r="L429" i="17"/>
  <c r="L439" i="17"/>
  <c r="L449" i="17"/>
  <c r="L494" i="17"/>
  <c r="L495" i="17"/>
  <c r="L496" i="17"/>
  <c r="L497" i="17"/>
  <c r="L498" i="17"/>
  <c r="L499" i="17"/>
  <c r="L336" i="17"/>
  <c r="L337" i="17"/>
  <c r="L10" i="17"/>
  <c r="L20" i="17"/>
  <c r="L30" i="17"/>
  <c r="L80" i="17"/>
  <c r="L81" i="17"/>
  <c r="L82" i="17"/>
  <c r="L83" i="17"/>
  <c r="L84" i="17"/>
  <c r="L85" i="17"/>
  <c r="L100" i="17"/>
  <c r="L110" i="17"/>
  <c r="L120" i="17"/>
  <c r="L138" i="17"/>
  <c r="L139" i="17"/>
  <c r="L158" i="17"/>
  <c r="L159" i="17"/>
  <c r="L178" i="17"/>
  <c r="L179" i="17"/>
  <c r="L198" i="17"/>
  <c r="L199" i="17"/>
  <c r="L218" i="17"/>
  <c r="L219" i="17"/>
  <c r="L238" i="17"/>
  <c r="L239" i="17"/>
  <c r="L258" i="17"/>
  <c r="L259" i="17"/>
  <c r="L278" i="17"/>
  <c r="L279" i="17"/>
  <c r="L298" i="17"/>
  <c r="L299" i="17"/>
  <c r="L318" i="17"/>
  <c r="L319" i="17"/>
  <c r="L350" i="17"/>
  <c r="L360" i="17"/>
  <c r="L370" i="17"/>
  <c r="L380" i="17"/>
  <c r="L390" i="17"/>
  <c r="L400" i="17"/>
  <c r="L410" i="17"/>
  <c r="L420" i="17"/>
  <c r="L430" i="17"/>
  <c r="L440" i="17"/>
  <c r="L450" i="17"/>
  <c r="L500" i="17"/>
  <c r="L501" i="17"/>
  <c r="L502" i="17"/>
  <c r="L503" i="17"/>
  <c r="L504" i="17"/>
  <c r="L505" i="17"/>
  <c r="L338" i="17"/>
  <c r="L339" i="17"/>
  <c r="L11" i="17"/>
  <c r="L21" i="17"/>
  <c r="L31" i="17"/>
  <c r="L86" i="17"/>
  <c r="L87" i="17"/>
  <c r="L88" i="17"/>
  <c r="L89" i="17"/>
  <c r="L90" i="17"/>
  <c r="L91" i="17"/>
  <c r="L101" i="17"/>
  <c r="L111" i="17"/>
  <c r="L121" i="17"/>
  <c r="L140" i="17"/>
  <c r="L141" i="17"/>
  <c r="L160" i="17"/>
  <c r="L161" i="17"/>
  <c r="L180" i="17"/>
  <c r="L181" i="17"/>
  <c r="L200" i="17"/>
  <c r="L201" i="17"/>
  <c r="L220" i="17"/>
  <c r="L221" i="17"/>
  <c r="L240" i="17"/>
  <c r="L241" i="17"/>
  <c r="L260" i="17"/>
  <c r="L261" i="17"/>
  <c r="L280" i="17"/>
  <c r="L281" i="17"/>
  <c r="L300" i="17"/>
  <c r="L301" i="17"/>
  <c r="L320" i="17"/>
  <c r="L321" i="17"/>
  <c r="L351" i="17"/>
  <c r="L361" i="17"/>
  <c r="L371" i="17"/>
  <c r="L381" i="17"/>
  <c r="L391" i="17"/>
  <c r="L401" i="17"/>
  <c r="L411" i="17"/>
  <c r="L421" i="17"/>
  <c r="L431" i="17"/>
  <c r="L441" i="17"/>
  <c r="L451" i="17"/>
  <c r="L506" i="17"/>
  <c r="L507" i="17"/>
  <c r="L508" i="17"/>
  <c r="L509" i="17"/>
  <c r="L510" i="17"/>
  <c r="L511" i="17"/>
  <c r="L340" i="17"/>
  <c r="L341" i="17"/>
  <c r="M2" i="17" a="1"/>
  <c r="M2" i="17" s="1"/>
  <c r="M12" i="17" a="1"/>
  <c r="M12" i="17" s="1"/>
  <c r="M22" i="17" a="1"/>
  <c r="M22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92" i="17" a="1"/>
  <c r="M92" i="17" s="1"/>
  <c r="M102" i="17" a="1"/>
  <c r="M102" i="17" s="1"/>
  <c r="M112" i="17" a="1"/>
  <c r="M112" i="17"/>
  <c r="M122" i="17" a="1"/>
  <c r="M122" i="17" s="1"/>
  <c r="M123" i="17" a="1"/>
  <c r="M123" i="17" s="1"/>
  <c r="M142" i="17" a="1"/>
  <c r="M142" i="17" s="1"/>
  <c r="M143" i="17" a="1"/>
  <c r="M143" i="17" s="1"/>
  <c r="M162" i="17" a="1"/>
  <c r="M162" i="17" s="1"/>
  <c r="M163" i="17" a="1"/>
  <c r="M163" i="17" s="1"/>
  <c r="M182" i="17" a="1"/>
  <c r="M182" i="17" s="1"/>
  <c r="M183" i="17" a="1"/>
  <c r="M183" i="17" s="1"/>
  <c r="M202" i="17" a="1"/>
  <c r="M202" i="17" s="1"/>
  <c r="M203" i="17" a="1"/>
  <c r="M203" i="17" s="1"/>
  <c r="M222" i="17" a="1"/>
  <c r="M222" i="17" s="1"/>
  <c r="M223" i="17" a="1"/>
  <c r="M223" i="17" s="1"/>
  <c r="M242" i="17" a="1"/>
  <c r="M242" i="17" s="1"/>
  <c r="M243" i="17" a="1"/>
  <c r="M243" i="17" s="1"/>
  <c r="M262" i="17" a="1"/>
  <c r="M262" i="17" s="1"/>
  <c r="M263" i="17" a="1"/>
  <c r="M263" i="17" s="1"/>
  <c r="M282" i="17" a="1"/>
  <c r="M282" i="17" s="1"/>
  <c r="M283" i="17" a="1"/>
  <c r="M283" i="17" s="1"/>
  <c r="M302" i="17" a="1"/>
  <c r="M302" i="17" s="1"/>
  <c r="M303" i="17" a="1"/>
  <c r="M303" i="17"/>
  <c r="M342" i="17" a="1"/>
  <c r="M342" i="17" s="1"/>
  <c r="M352" i="17" a="1"/>
  <c r="M352" i="17" s="1"/>
  <c r="M362" i="17" a="1"/>
  <c r="M362" i="17" s="1"/>
  <c r="M372" i="17" a="1"/>
  <c r="M372" i="17" s="1"/>
  <c r="M382" i="17" a="1"/>
  <c r="M382" i="17" s="1"/>
  <c r="M392" i="17" a="1"/>
  <c r="M392" i="17" s="1"/>
  <c r="M402" i="17" a="1"/>
  <c r="M402" i="17" s="1"/>
  <c r="M412" i="17" a="1"/>
  <c r="M412" i="17" s="1"/>
  <c r="M422" i="17" a="1"/>
  <c r="M422" i="17" s="1"/>
  <c r="M432" i="17" a="1"/>
  <c r="M432" i="17" s="1"/>
  <c r="M442" i="17" a="1"/>
  <c r="M442" i="17" s="1"/>
  <c r="M452" i="17" a="1"/>
  <c r="M452" i="17" s="1"/>
  <c r="M453" i="17" a="1"/>
  <c r="M453" i="17" s="1"/>
  <c r="M454" i="17" a="1"/>
  <c r="M454" i="17" s="1"/>
  <c r="M455" i="17" a="1"/>
  <c r="M455" i="17" s="1"/>
  <c r="M456" i="17" a="1"/>
  <c r="M456" i="17" s="1"/>
  <c r="M457" i="17" a="1"/>
  <c r="M457" i="17" s="1"/>
  <c r="M322" i="17" a="1"/>
  <c r="M322" i="17" s="1"/>
  <c r="M323" i="17" a="1"/>
  <c r="M323" i="17" s="1"/>
  <c r="M3" i="17" a="1"/>
  <c r="M3" i="17" s="1"/>
  <c r="M13" i="17" a="1"/>
  <c r="M13" i="17" s="1"/>
  <c r="M23" i="17" a="1"/>
  <c r="M2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93" i="17" a="1"/>
  <c r="M93" i="17" s="1"/>
  <c r="M103" i="17" a="1"/>
  <c r="M103" i="17" s="1"/>
  <c r="M113" i="17" a="1"/>
  <c r="M113" i="17" s="1"/>
  <c r="M124" i="17" a="1"/>
  <c r="M124" i="17" s="1"/>
  <c r="M125" i="17" a="1"/>
  <c r="M125" i="17" s="1"/>
  <c r="M144" i="17" a="1"/>
  <c r="M144" i="17"/>
  <c r="M145" i="17" a="1"/>
  <c r="M145" i="17" s="1"/>
  <c r="M164" i="17" a="1"/>
  <c r="M164" i="17" s="1"/>
  <c r="M165" i="17" a="1"/>
  <c r="M165" i="17" s="1"/>
  <c r="M184" i="17" a="1"/>
  <c r="M184" i="17" s="1"/>
  <c r="M185" i="17" a="1"/>
  <c r="M185" i="17" s="1"/>
  <c r="M204" i="17" a="1"/>
  <c r="M204" i="17" s="1"/>
  <c r="M205" i="17" a="1"/>
  <c r="M205" i="17" s="1"/>
  <c r="M224" i="17" a="1"/>
  <c r="M224" i="17" s="1"/>
  <c r="M225" i="17" a="1"/>
  <c r="M225" i="17" s="1"/>
  <c r="M244" i="17" a="1"/>
  <c r="M244" i="17" s="1"/>
  <c r="M245" i="17" a="1"/>
  <c r="M245" i="17" s="1"/>
  <c r="M264" i="17" a="1"/>
  <c r="M264" i="17" s="1"/>
  <c r="M265" i="17" a="1"/>
  <c r="M265" i="17" s="1"/>
  <c r="M284" i="17" a="1"/>
  <c r="M284" i="17" s="1"/>
  <c r="M285" i="17" a="1"/>
  <c r="M285" i="17" s="1"/>
  <c r="M304" i="17" a="1"/>
  <c r="M304" i="17" s="1"/>
  <c r="M305" i="17" a="1"/>
  <c r="M305" i="17" s="1"/>
  <c r="M343" i="17" a="1"/>
  <c r="M343" i="17" s="1"/>
  <c r="M353" i="17" a="1"/>
  <c r="M353" i="17" s="1"/>
  <c r="M363" i="17" a="1"/>
  <c r="M363" i="17" s="1"/>
  <c r="M373" i="17" a="1"/>
  <c r="M373" i="17" s="1"/>
  <c r="M383" i="17" a="1"/>
  <c r="M383" i="17" s="1"/>
  <c r="M393" i="17" a="1"/>
  <c r="M393" i="17"/>
  <c r="M403" i="17" a="1"/>
  <c r="M403" i="17" s="1"/>
  <c r="M413" i="17" a="1"/>
  <c r="M413" i="17" s="1"/>
  <c r="M423" i="17" a="1"/>
  <c r="M423" i="17" s="1"/>
  <c r="M433" i="17" a="1"/>
  <c r="M433" i="17" s="1"/>
  <c r="M443" i="17" a="1"/>
  <c r="M443" i="17" s="1"/>
  <c r="M458" i="17" a="1"/>
  <c r="M458" i="17" s="1"/>
  <c r="M459" i="17" a="1"/>
  <c r="M459" i="17" s="1"/>
  <c r="M460" i="17" a="1"/>
  <c r="M460" i="17"/>
  <c r="M461" i="17" a="1"/>
  <c r="M461" i="17" s="1"/>
  <c r="M462" i="17" a="1"/>
  <c r="M462" i="17" s="1"/>
  <c r="M463" i="17" a="1"/>
  <c r="M463" i="17" s="1"/>
  <c r="M324" i="17" a="1"/>
  <c r="M324" i="17" s="1"/>
  <c r="M325" i="17" a="1"/>
  <c r="M325" i="17" s="1"/>
  <c r="M4" i="17" a="1"/>
  <c r="M4" i="17" s="1"/>
  <c r="M14" i="17" a="1"/>
  <c r="M14" i="17" s="1"/>
  <c r="M24" i="17" a="1"/>
  <c r="M24" i="17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94" i="17" a="1"/>
  <c r="M94" i="17" s="1"/>
  <c r="M104" i="17" a="1"/>
  <c r="M104" i="17" s="1"/>
  <c r="M114" i="17" a="1"/>
  <c r="M114" i="17" s="1"/>
  <c r="M126" i="17" a="1"/>
  <c r="M126" i="17" s="1"/>
  <c r="M127" i="17" a="1"/>
  <c r="M127" i="17"/>
  <c r="M146" i="17" a="1"/>
  <c r="M146" i="17" s="1"/>
  <c r="M147" i="17" a="1"/>
  <c r="M147" i="17" s="1"/>
  <c r="M166" i="17" a="1"/>
  <c r="M166" i="17" s="1"/>
  <c r="M167" i="17" a="1"/>
  <c r="M167" i="17" s="1"/>
  <c r="M186" i="17" a="1"/>
  <c r="M186" i="17" s="1"/>
  <c r="M187" i="17" a="1"/>
  <c r="M187" i="17" s="1"/>
  <c r="M206" i="17" a="1"/>
  <c r="M206" i="17" s="1"/>
  <c r="M207" i="17" a="1"/>
  <c r="M207" i="17" s="1"/>
  <c r="M226" i="17" a="1"/>
  <c r="M226" i="17" s="1"/>
  <c r="M227" i="17" a="1"/>
  <c r="M227" i="17" s="1"/>
  <c r="M246" i="17" a="1"/>
  <c r="M246" i="17" s="1"/>
  <c r="M247" i="17" a="1"/>
  <c r="M247" i="17" s="1"/>
  <c r="M266" i="17" a="1"/>
  <c r="M266" i="17" s="1"/>
  <c r="M267" i="17" a="1"/>
  <c r="M267" i="17" s="1"/>
  <c r="M286" i="17" a="1"/>
  <c r="M286" i="17" s="1"/>
  <c r="M287" i="17" a="1"/>
  <c r="M287" i="17" s="1"/>
  <c r="M306" i="17" a="1"/>
  <c r="M306" i="17" s="1"/>
  <c r="M307" i="17" a="1"/>
  <c r="M307" i="17" s="1"/>
  <c r="M344" i="17" a="1"/>
  <c r="M344" i="17" s="1"/>
  <c r="M354" i="17" a="1"/>
  <c r="M354" i="17" s="1"/>
  <c r="M364" i="17" a="1"/>
  <c r="M364" i="17" s="1"/>
  <c r="M374" i="17" a="1"/>
  <c r="M374" i="17" s="1"/>
  <c r="M384" i="17" a="1"/>
  <c r="M384" i="17" s="1"/>
  <c r="M394" i="17" a="1"/>
  <c r="M394" i="17" s="1"/>
  <c r="M404" i="17" a="1"/>
  <c r="M404" i="17" s="1"/>
  <c r="M414" i="17" a="1"/>
  <c r="M414" i="17"/>
  <c r="M424" i="17" a="1"/>
  <c r="M424" i="17" s="1"/>
  <c r="M434" i="17" a="1"/>
  <c r="M434" i="17" s="1"/>
  <c r="M444" i="17" a="1"/>
  <c r="M444" i="17" s="1"/>
  <c r="M464" i="17" a="1"/>
  <c r="M464" i="17" s="1"/>
  <c r="M465" i="17" a="1"/>
  <c r="M465" i="17" s="1"/>
  <c r="M466" i="17" a="1"/>
  <c r="M466" i="17"/>
  <c r="M467" i="17" a="1"/>
  <c r="M467" i="17" s="1"/>
  <c r="M468" i="17" a="1"/>
  <c r="M468" i="17" s="1"/>
  <c r="M469" i="17" a="1"/>
  <c r="M469" i="17" s="1"/>
  <c r="M326" i="17" a="1"/>
  <c r="M326" i="17" s="1"/>
  <c r="M327" i="17" a="1"/>
  <c r="M327" i="17" s="1"/>
  <c r="M5" i="17" a="1"/>
  <c r="M5" i="17" s="1"/>
  <c r="M15" i="17" a="1"/>
  <c r="M15" i="17" s="1"/>
  <c r="M25" i="17" a="1"/>
  <c r="M25" i="17" s="1"/>
  <c r="M50" i="17" a="1"/>
  <c r="M50" i="17" s="1"/>
  <c r="M51" i="17" a="1"/>
  <c r="M51" i="17" s="1"/>
  <c r="M52" i="17" a="1"/>
  <c r="M52" i="17"/>
  <c r="M53" i="17" a="1"/>
  <c r="M53" i="17" s="1"/>
  <c r="M54" i="17" a="1"/>
  <c r="M54" i="17" s="1"/>
  <c r="M55" i="17" a="1"/>
  <c r="M55" i="17" s="1"/>
  <c r="M95" i="17" a="1"/>
  <c r="M95" i="17" s="1"/>
  <c r="M105" i="17" a="1"/>
  <c r="M105" i="17" s="1"/>
  <c r="M115" i="17" a="1"/>
  <c r="M115" i="17" s="1"/>
  <c r="M128" i="17" a="1"/>
  <c r="M128" i="17" s="1"/>
  <c r="M129" i="17" a="1"/>
  <c r="M129" i="17" s="1"/>
  <c r="M148" i="17" a="1"/>
  <c r="M148" i="17" s="1"/>
  <c r="M149" i="17" a="1"/>
  <c r="M149" i="17"/>
  <c r="M168" i="17" a="1"/>
  <c r="M168" i="17" s="1"/>
  <c r="M169" i="17" a="1"/>
  <c r="M169" i="17" s="1"/>
  <c r="M188" i="17" a="1"/>
  <c r="M188" i="17"/>
  <c r="M189" i="17" a="1"/>
  <c r="M189" i="17" s="1"/>
  <c r="M208" i="17" a="1"/>
  <c r="M208" i="17" s="1"/>
  <c r="M209" i="17" a="1"/>
  <c r="M209" i="17" s="1"/>
  <c r="M228" i="17" a="1"/>
  <c r="M228" i="17" s="1"/>
  <c r="M229" i="17" a="1"/>
  <c r="M229" i="17" s="1"/>
  <c r="M248" i="17" a="1"/>
  <c r="M248" i="17" s="1"/>
  <c r="M249" i="17" a="1"/>
  <c r="M249" i="17" s="1"/>
  <c r="M268" i="17" a="1"/>
  <c r="M268" i="17" s="1"/>
  <c r="M269" i="17" a="1"/>
  <c r="M269" i="17" s="1"/>
  <c r="M288" i="17" a="1"/>
  <c r="M288" i="17" s="1"/>
  <c r="M289" i="17" a="1"/>
  <c r="M289" i="17" s="1"/>
  <c r="M308" i="17" a="1"/>
  <c r="M308" i="17" s="1"/>
  <c r="M309" i="17" a="1"/>
  <c r="M309" i="17" s="1"/>
  <c r="M345" i="17" a="1"/>
  <c r="M345" i="17" s="1"/>
  <c r="M355" i="17" a="1"/>
  <c r="M355" i="17"/>
  <c r="M365" i="17" a="1"/>
  <c r="M365" i="17" s="1"/>
  <c r="M375" i="17" a="1"/>
  <c r="M375" i="17" s="1"/>
  <c r="M385" i="17" a="1"/>
  <c r="M385" i="17" s="1"/>
  <c r="M395" i="17" a="1"/>
  <c r="M395" i="17" s="1"/>
  <c r="M405" i="17" a="1"/>
  <c r="M405" i="17" s="1"/>
  <c r="M415" i="17" a="1"/>
  <c r="M415" i="17" s="1"/>
  <c r="M425" i="17" a="1"/>
  <c r="M425" i="17" s="1"/>
  <c r="M435" i="17" a="1"/>
  <c r="M435" i="17" s="1"/>
  <c r="M445" i="17" a="1"/>
  <c r="M445" i="17" s="1"/>
  <c r="M470" i="17" a="1"/>
  <c r="M470" i="17" s="1"/>
  <c r="M471" i="17" a="1"/>
  <c r="M471" i="17" s="1"/>
  <c r="M472" i="17" a="1"/>
  <c r="M472" i="17" s="1"/>
  <c r="M473" i="17" a="1"/>
  <c r="M473" i="17" s="1"/>
  <c r="M474" i="17" a="1"/>
  <c r="M474" i="17" s="1"/>
  <c r="M475" i="17" a="1"/>
  <c r="M475" i="17" s="1"/>
  <c r="M328" i="17" a="1"/>
  <c r="M328" i="17" s="1"/>
  <c r="M329" i="17" a="1"/>
  <c r="M329" i="17" s="1"/>
  <c r="M6" i="17" a="1"/>
  <c r="M6" i="17" s="1"/>
  <c r="M16" i="17" a="1"/>
  <c r="M16" i="17" s="1"/>
  <c r="M26" i="17" a="1"/>
  <c r="M26" i="17" s="1"/>
  <c r="M56" i="17" a="1"/>
  <c r="M56" i="17" s="1"/>
  <c r="M57" i="17" a="1"/>
  <c r="M57" i="17" s="1"/>
  <c r="M58" i="17" a="1"/>
  <c r="M58" i="17"/>
  <c r="M59" i="17" a="1"/>
  <c r="M59" i="17" s="1"/>
  <c r="M60" i="17" a="1"/>
  <c r="M60" i="17" s="1"/>
  <c r="M61" i="17" a="1"/>
  <c r="M61" i="17" s="1"/>
  <c r="M96" i="17" a="1"/>
  <c r="M96" i="17" s="1"/>
  <c r="M106" i="17" a="1"/>
  <c r="M106" i="17" s="1"/>
  <c r="M116" i="17" a="1"/>
  <c r="M116" i="17" s="1"/>
  <c r="M130" i="17" a="1"/>
  <c r="M130" i="17" s="1"/>
  <c r="M131" i="17" a="1"/>
  <c r="M131" i="17" s="1"/>
  <c r="M150" i="17" a="1"/>
  <c r="M150" i="17" s="1"/>
  <c r="M151" i="17" a="1"/>
  <c r="M151" i="17" s="1"/>
  <c r="M170" i="17" a="1"/>
  <c r="M170" i="17" s="1"/>
  <c r="M171" i="17" a="1"/>
  <c r="M171" i="17" s="1"/>
  <c r="M190" i="17" a="1"/>
  <c r="M190" i="17" s="1"/>
  <c r="M191" i="17" a="1"/>
  <c r="M191" i="17" s="1"/>
  <c r="M210" i="17" a="1"/>
  <c r="M210" i="17"/>
  <c r="M211" i="17" a="1"/>
  <c r="M211" i="17" s="1"/>
  <c r="M230" i="17" a="1"/>
  <c r="M230" i="17" s="1"/>
  <c r="M231" i="17" a="1"/>
  <c r="M231" i="17" s="1"/>
  <c r="M250" i="17" a="1"/>
  <c r="M250" i="17" s="1"/>
  <c r="M251" i="17" a="1"/>
  <c r="M251" i="17" s="1"/>
  <c r="M270" i="17" a="1"/>
  <c r="M270" i="17" s="1"/>
  <c r="M271" i="17" a="1"/>
  <c r="M271" i="17" s="1"/>
  <c r="M290" i="17" a="1"/>
  <c r="M290" i="17" s="1"/>
  <c r="M291" i="17" a="1"/>
  <c r="M291" i="17" s="1"/>
  <c r="M310" i="17" a="1"/>
  <c r="M310" i="17" s="1"/>
  <c r="M311" i="17" a="1"/>
  <c r="M311" i="17" s="1"/>
  <c r="M346" i="17" a="1"/>
  <c r="M346" i="17" s="1"/>
  <c r="M356" i="17" a="1"/>
  <c r="M356" i="17" s="1"/>
  <c r="M366" i="17" a="1"/>
  <c r="M366" i="17" s="1"/>
  <c r="M376" i="17" a="1"/>
  <c r="M376" i="17"/>
  <c r="M386" i="17" a="1"/>
  <c r="M386" i="17" s="1"/>
  <c r="M396" i="17" a="1"/>
  <c r="M396" i="17" s="1"/>
  <c r="M406" i="17" a="1"/>
  <c r="M406" i="17" s="1"/>
  <c r="M416" i="17" a="1"/>
  <c r="M416" i="17" s="1"/>
  <c r="M426" i="17" a="1"/>
  <c r="M426" i="17" s="1"/>
  <c r="M436" i="17" a="1"/>
  <c r="M436" i="17" s="1"/>
  <c r="M446" i="17" a="1"/>
  <c r="M446" i="17" s="1"/>
  <c r="M476" i="17" a="1"/>
  <c r="M476" i="17"/>
  <c r="M477" i="17" a="1"/>
  <c r="M477" i="17" s="1"/>
  <c r="M478" i="17" a="1"/>
  <c r="M478" i="17" s="1"/>
  <c r="M479" i="17" a="1"/>
  <c r="M479" i="17" s="1"/>
  <c r="M480" i="17" a="1"/>
  <c r="M480" i="17" s="1"/>
  <c r="M481" i="17" a="1"/>
  <c r="M481" i="17" s="1"/>
  <c r="M330" i="17" a="1"/>
  <c r="M330" i="17" s="1"/>
  <c r="M331" i="17" a="1"/>
  <c r="M331" i="17" s="1"/>
  <c r="M7" i="17" a="1"/>
  <c r="M7" i="17"/>
  <c r="M17" i="17" a="1"/>
  <c r="M17" i="17" s="1"/>
  <c r="M27" i="17" a="1"/>
  <c r="M27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/>
  <c r="M97" i="17" a="1"/>
  <c r="M97" i="17" s="1"/>
  <c r="M107" i="17" a="1"/>
  <c r="M107" i="17" s="1"/>
  <c r="M117" i="17" a="1"/>
  <c r="M117" i="17" s="1"/>
  <c r="M132" i="17" a="1"/>
  <c r="M132" i="17" s="1"/>
  <c r="M133" i="17" a="1"/>
  <c r="M133" i="17" s="1"/>
  <c r="M152" i="17" a="1"/>
  <c r="M152" i="17" s="1"/>
  <c r="M153" i="17" a="1"/>
  <c r="M153" i="17" s="1"/>
  <c r="M172" i="17" a="1"/>
  <c r="M172" i="17" s="1"/>
  <c r="M173" i="17" a="1"/>
  <c r="M173" i="17" s="1"/>
  <c r="M192" i="17" a="1"/>
  <c r="M192" i="17" s="1"/>
  <c r="M193" i="17" a="1"/>
  <c r="M193" i="17" s="1"/>
  <c r="M212" i="17" a="1"/>
  <c r="M212" i="17" s="1"/>
  <c r="M213" i="17" a="1"/>
  <c r="M213" i="17" s="1"/>
  <c r="M232" i="17" a="1"/>
  <c r="M232" i="17" s="1"/>
  <c r="M233" i="17" a="1"/>
  <c r="M233" i="17" s="1"/>
  <c r="M252" i="17" a="1"/>
  <c r="M252" i="17" s="1"/>
  <c r="M253" i="17" a="1"/>
  <c r="M253" i="17" s="1"/>
  <c r="M272" i="17" a="1"/>
  <c r="M272" i="17" s="1"/>
  <c r="M273" i="17" a="1"/>
  <c r="M273" i="17" s="1"/>
  <c r="M292" i="17" a="1"/>
  <c r="M292" i="17" s="1"/>
  <c r="M293" i="17" a="1"/>
  <c r="M293" i="17"/>
  <c r="M312" i="17" a="1"/>
  <c r="M312" i="17" s="1"/>
  <c r="M313" i="17" a="1"/>
  <c r="M313" i="17" s="1"/>
  <c r="M347" i="17" a="1"/>
  <c r="M347" i="17" s="1"/>
  <c r="M357" i="17" a="1"/>
  <c r="M357" i="17" s="1"/>
  <c r="M367" i="17" a="1"/>
  <c r="M367" i="17" s="1"/>
  <c r="M377" i="17" a="1"/>
  <c r="M377" i="17"/>
  <c r="M387" i="17" a="1"/>
  <c r="M387" i="17" s="1"/>
  <c r="M397" i="17" a="1"/>
  <c r="M397" i="17" s="1"/>
  <c r="M407" i="17" a="1"/>
  <c r="M407" i="17" s="1"/>
  <c r="M417" i="17" a="1"/>
  <c r="M417" i="17" s="1"/>
  <c r="M427" i="17" a="1"/>
  <c r="M427" i="17" s="1"/>
  <c r="M437" i="17" a="1"/>
  <c r="M437" i="17" s="1"/>
  <c r="M447" i="17" a="1"/>
  <c r="M447" i="17" s="1"/>
  <c r="M482" i="17" a="1"/>
  <c r="M482" i="17" s="1"/>
  <c r="M483" i="17" a="1"/>
  <c r="M483" i="17" s="1"/>
  <c r="M484" i="17" a="1"/>
  <c r="M484" i="17" s="1"/>
  <c r="M485" i="17" a="1"/>
  <c r="M485" i="17" s="1"/>
  <c r="M486" i="17" a="1"/>
  <c r="M486" i="17" s="1"/>
  <c r="M487" i="17" a="1"/>
  <c r="M487" i="17" s="1"/>
  <c r="M332" i="17" a="1"/>
  <c r="M332" i="17" s="1"/>
  <c r="M333" i="17" a="1"/>
  <c r="M333" i="17" s="1"/>
  <c r="M8" i="17" a="1"/>
  <c r="M8" i="17" s="1"/>
  <c r="M18" i="17" a="1"/>
  <c r="M18" i="17" s="1"/>
  <c r="M28" i="17" a="1"/>
  <c r="M28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98" i="17" a="1"/>
  <c r="M98" i="17" s="1"/>
  <c r="M108" i="17" a="1"/>
  <c r="M108" i="17" s="1"/>
  <c r="M118" i="17" a="1"/>
  <c r="M118" i="17" s="1"/>
  <c r="M134" i="17" a="1"/>
  <c r="M134" i="17" s="1"/>
  <c r="M135" i="17" a="1"/>
  <c r="M135" i="17" s="1"/>
  <c r="M154" i="17" a="1"/>
  <c r="M154" i="17" s="1"/>
  <c r="M155" i="17" a="1"/>
  <c r="M155" i="17" s="1"/>
  <c r="M174" i="17" a="1"/>
  <c r="M174" i="17" s="1"/>
  <c r="M175" i="17" a="1"/>
  <c r="M175" i="17" s="1"/>
  <c r="M194" i="17" a="1"/>
  <c r="M194" i="17" s="1"/>
  <c r="M195" i="17" a="1"/>
  <c r="M195" i="17" s="1"/>
  <c r="M214" i="17" a="1"/>
  <c r="M214" i="17"/>
  <c r="M215" i="17" a="1"/>
  <c r="M215" i="17" s="1"/>
  <c r="M234" i="17" a="1"/>
  <c r="M234" i="17" s="1"/>
  <c r="M235" i="17" a="1"/>
  <c r="M235" i="17" s="1"/>
  <c r="M254" i="17" a="1"/>
  <c r="M254" i="17" s="1"/>
  <c r="M255" i="17" a="1"/>
  <c r="M255" i="17" s="1"/>
  <c r="M274" i="17" a="1"/>
  <c r="M274" i="17" s="1"/>
  <c r="M275" i="17" a="1"/>
  <c r="M275" i="17" s="1"/>
  <c r="M294" i="17" a="1"/>
  <c r="M294" i="17" s="1"/>
  <c r="M295" i="17" a="1"/>
  <c r="M295" i="17" s="1"/>
  <c r="M314" i="17" a="1"/>
  <c r="M314" i="17" s="1"/>
  <c r="M315" i="17" a="1"/>
  <c r="M315" i="17" s="1"/>
  <c r="M348" i="17" a="1"/>
  <c r="M348" i="17" s="1"/>
  <c r="M358" i="17" a="1"/>
  <c r="M358" i="17" s="1"/>
  <c r="M368" i="17" a="1"/>
  <c r="M368" i="17"/>
  <c r="M378" i="17" a="1"/>
  <c r="M378" i="17" s="1"/>
  <c r="M388" i="17" a="1"/>
  <c r="M388" i="17" s="1"/>
  <c r="M398" i="17" a="1"/>
  <c r="M398" i="17" s="1"/>
  <c r="M408" i="17" a="1"/>
  <c r="M408" i="17" s="1"/>
  <c r="M418" i="17" a="1"/>
  <c r="M418" i="17" s="1"/>
  <c r="M428" i="17" a="1"/>
  <c r="M428" i="17" s="1"/>
  <c r="M438" i="17" a="1"/>
  <c r="M438" i="17" s="1"/>
  <c r="M448" i="17" a="1"/>
  <c r="M448" i="17" s="1"/>
  <c r="M488" i="17" a="1"/>
  <c r="M488" i="17" s="1"/>
  <c r="M489" i="17" a="1"/>
  <c r="M489" i="17" s="1"/>
  <c r="M490" i="17" a="1"/>
  <c r="M490" i="17" s="1"/>
  <c r="M491" i="17" a="1"/>
  <c r="M491" i="17" s="1"/>
  <c r="M492" i="17" a="1"/>
  <c r="M492" i="17" s="1"/>
  <c r="M493" i="17" a="1"/>
  <c r="M493" i="17" s="1"/>
  <c r="M334" i="17" a="1"/>
  <c r="M334" i="17"/>
  <c r="M335" i="17" a="1"/>
  <c r="M335" i="17" s="1"/>
  <c r="M9" i="17" a="1"/>
  <c r="M9" i="17" s="1"/>
  <c r="M19" i="17" a="1"/>
  <c r="M19" i="17" s="1"/>
  <c r="M29" i="17" a="1"/>
  <c r="M29" i="17" s="1"/>
  <c r="M74" i="17" a="1"/>
  <c r="M74" i="17" s="1"/>
  <c r="M75" i="17" a="1"/>
  <c r="M75" i="17" s="1"/>
  <c r="M76" i="17" a="1"/>
  <c r="M76" i="17" s="1"/>
  <c r="M77" i="17" a="1"/>
  <c r="M77" i="17"/>
  <c r="M78" i="17" a="1"/>
  <c r="M78" i="17" s="1"/>
  <c r="M79" i="17" a="1"/>
  <c r="M79" i="17" s="1"/>
  <c r="M99" i="17" a="1"/>
  <c r="M99" i="17" s="1"/>
  <c r="M109" i="17" a="1"/>
  <c r="M109" i="17" s="1"/>
  <c r="M119" i="17" a="1"/>
  <c r="M119" i="17" s="1"/>
  <c r="M136" i="17" a="1"/>
  <c r="M136" i="17" s="1"/>
  <c r="M137" i="17" a="1"/>
  <c r="M137" i="17" s="1"/>
  <c r="M156" i="17" a="1"/>
  <c r="M156" i="17" s="1"/>
  <c r="M157" i="17" a="1"/>
  <c r="M157" i="17" s="1"/>
  <c r="M176" i="17" a="1"/>
  <c r="M176" i="17" s="1"/>
  <c r="M177" i="17" a="1"/>
  <c r="M177" i="17"/>
  <c r="M196" i="17" a="1"/>
  <c r="M196" i="17" s="1"/>
  <c r="M197" i="17" a="1"/>
  <c r="M197" i="17" s="1"/>
  <c r="M216" i="17" a="1"/>
  <c r="M216" i="17" s="1"/>
  <c r="M217" i="17" a="1"/>
  <c r="M217" i="17" s="1"/>
  <c r="M236" i="17" a="1"/>
  <c r="M236" i="17" s="1"/>
  <c r="M237" i="17" a="1"/>
  <c r="M237" i="17" s="1"/>
  <c r="M256" i="17" a="1"/>
  <c r="M256" i="17" s="1"/>
  <c r="M257" i="17" a="1"/>
  <c r="M257" i="17"/>
  <c r="M276" i="17" a="1"/>
  <c r="M276" i="17" s="1"/>
  <c r="M277" i="17" a="1"/>
  <c r="M277" i="17" s="1"/>
  <c r="M296" i="17" a="1"/>
  <c r="M296" i="17" s="1"/>
  <c r="M297" i="17" a="1"/>
  <c r="M297" i="17" s="1"/>
  <c r="M316" i="17" a="1"/>
  <c r="M316" i="17" s="1"/>
  <c r="M317" i="17" a="1"/>
  <c r="M317" i="17" s="1"/>
  <c r="M349" i="17" a="1"/>
  <c r="M349" i="17" s="1"/>
  <c r="M359" i="17" a="1"/>
  <c r="M359" i="17" s="1"/>
  <c r="M369" i="17" a="1"/>
  <c r="M369" i="17" s="1"/>
  <c r="M379" i="17" a="1"/>
  <c r="M379" i="17" s="1"/>
  <c r="M389" i="17" a="1"/>
  <c r="M389" i="17" s="1"/>
  <c r="M399" i="17" a="1"/>
  <c r="M399" i="17" s="1"/>
  <c r="M409" i="17" a="1"/>
  <c r="M409" i="17" s="1"/>
  <c r="M419" i="17" a="1"/>
  <c r="M419" i="17" s="1"/>
  <c r="M429" i="17" a="1"/>
  <c r="M429" i="17" s="1"/>
  <c r="M439" i="17" a="1"/>
  <c r="M439" i="17" s="1"/>
  <c r="M449" i="17" a="1"/>
  <c r="M449" i="17" s="1"/>
  <c r="M494" i="17" a="1"/>
  <c r="M494" i="17" s="1"/>
  <c r="M495" i="17" a="1"/>
  <c r="M495" i="17" s="1"/>
  <c r="M496" i="17" a="1"/>
  <c r="M496" i="17" s="1"/>
  <c r="M497" i="17" a="1"/>
  <c r="M497" i="17" s="1"/>
  <c r="M498" i="17" a="1"/>
  <c r="M498" i="17" s="1"/>
  <c r="M499" i="17" a="1"/>
  <c r="M499" i="17" s="1"/>
  <c r="M336" i="17" a="1"/>
  <c r="M336" i="17" s="1"/>
  <c r="M337" i="17" a="1"/>
  <c r="M337" i="17" s="1"/>
  <c r="M10" i="17" a="1"/>
  <c r="M10" i="17" s="1"/>
  <c r="M20" i="17" a="1"/>
  <c r="M20" i="17" s="1"/>
  <c r="M30" i="17" a="1"/>
  <c r="M30" i="17" s="1"/>
  <c r="M80" i="17" a="1"/>
  <c r="M80" i="17" s="1"/>
  <c r="M81" i="17" a="1"/>
  <c r="M81" i="17" s="1"/>
  <c r="M82" i="17" a="1"/>
  <c r="M82" i="17" s="1"/>
  <c r="M83" i="17" a="1"/>
  <c r="M83" i="17"/>
  <c r="M84" i="17" a="1"/>
  <c r="M84" i="17" s="1"/>
  <c r="M85" i="17" a="1"/>
  <c r="M85" i="17" s="1"/>
  <c r="M100" i="17" a="1"/>
  <c r="M100" i="17" s="1"/>
  <c r="M110" i="17" a="1"/>
  <c r="M110" i="17" s="1"/>
  <c r="M120" i="17" a="1"/>
  <c r="M120" i="17" s="1"/>
  <c r="M138" i="17" a="1"/>
  <c r="M138" i="17" s="1"/>
  <c r="M139" i="17" a="1"/>
  <c r="M139" i="17" s="1"/>
  <c r="M158" i="17" a="1"/>
  <c r="M158" i="17" s="1"/>
  <c r="M159" i="17" a="1"/>
  <c r="M159" i="17" s="1"/>
  <c r="M178" i="17" a="1"/>
  <c r="M178" i="17" s="1"/>
  <c r="M179" i="17" a="1"/>
  <c r="M179" i="17" s="1"/>
  <c r="M198" i="17" a="1"/>
  <c r="M198" i="17" s="1"/>
  <c r="M199" i="17" a="1"/>
  <c r="M199" i="17" s="1"/>
  <c r="M218" i="17" a="1"/>
  <c r="M218" i="17"/>
  <c r="M219" i="17" a="1"/>
  <c r="M219" i="17" s="1"/>
  <c r="M238" i="17" a="1"/>
  <c r="M238" i="17"/>
  <c r="M239" i="17" a="1"/>
  <c r="M239" i="17" s="1"/>
  <c r="M258" i="17" a="1"/>
  <c r="M258" i="17" s="1"/>
  <c r="M259" i="17" a="1"/>
  <c r="M259" i="17" s="1"/>
  <c r="M278" i="17" a="1"/>
  <c r="M278" i="17" s="1"/>
  <c r="M279" i="17" a="1"/>
  <c r="M279" i="17" s="1"/>
  <c r="M298" i="17" a="1"/>
  <c r="M298" i="17" s="1"/>
  <c r="M299" i="17" a="1"/>
  <c r="M299" i="17" s="1"/>
  <c r="M318" i="17" a="1"/>
  <c r="M318" i="17" s="1"/>
  <c r="M319" i="17" a="1"/>
  <c r="M319" i="17" s="1"/>
  <c r="M350" i="17" a="1"/>
  <c r="M350" i="17" s="1"/>
  <c r="M360" i="17" a="1"/>
  <c r="M360" i="17" s="1"/>
  <c r="M370" i="17" a="1"/>
  <c r="M370" i="17" s="1"/>
  <c r="M380" i="17" a="1"/>
  <c r="M380" i="17" s="1"/>
  <c r="M390" i="17" a="1"/>
  <c r="M390" i="17"/>
  <c r="M400" i="17" a="1"/>
  <c r="M400" i="17" s="1"/>
  <c r="M410" i="17" a="1"/>
  <c r="M410" i="17"/>
  <c r="M420" i="17" a="1"/>
  <c r="M420" i="17" s="1"/>
  <c r="M430" i="17" a="1"/>
  <c r="M430" i="17" s="1"/>
  <c r="M440" i="17" a="1"/>
  <c r="M440" i="17" s="1"/>
  <c r="M450" i="17" a="1"/>
  <c r="M450" i="17" s="1"/>
  <c r="M500" i="17" a="1"/>
  <c r="M500" i="17" s="1"/>
  <c r="M501" i="17" a="1"/>
  <c r="M501" i="17" s="1"/>
  <c r="M502" i="17" a="1"/>
  <c r="M502" i="17" s="1"/>
  <c r="M503" i="17" a="1"/>
  <c r="M503" i="17" s="1"/>
  <c r="M504" i="17" a="1"/>
  <c r="M504" i="17" s="1"/>
  <c r="M505" i="17" a="1"/>
  <c r="M505" i="17" s="1"/>
  <c r="M338" i="17" a="1"/>
  <c r="M338" i="17" s="1"/>
  <c r="M339" i="17" a="1"/>
  <c r="M339" i="17" s="1"/>
  <c r="M11" i="17" a="1"/>
  <c r="M11" i="17" s="1"/>
  <c r="M21" i="17" a="1"/>
  <c r="M21" i="17" s="1"/>
  <c r="M31" i="17" a="1"/>
  <c r="M31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01" i="17" a="1"/>
  <c r="M101" i="17" s="1"/>
  <c r="M111" i="17" a="1"/>
  <c r="M111" i="17" s="1"/>
  <c r="M121" i="17" a="1"/>
  <c r="M121" i="17" s="1"/>
  <c r="M140" i="17" a="1"/>
  <c r="M140" i="17" s="1"/>
  <c r="M141" i="17" a="1"/>
  <c r="M141" i="17" s="1"/>
  <c r="M160" i="17" a="1"/>
  <c r="M160" i="17" s="1"/>
  <c r="M161" i="17" a="1"/>
  <c r="M161" i="17" s="1"/>
  <c r="M180" i="17" a="1"/>
  <c r="M180" i="17"/>
  <c r="M181" i="17" a="1"/>
  <c r="M181" i="17" s="1"/>
  <c r="M200" i="17" a="1"/>
  <c r="M200" i="17"/>
  <c r="M201" i="17" a="1"/>
  <c r="M201" i="17" s="1"/>
  <c r="M220" i="17" a="1"/>
  <c r="M220" i="17"/>
  <c r="M221" i="17" a="1"/>
  <c r="M221" i="17" s="1"/>
  <c r="M240" i="17" a="1"/>
  <c r="M240" i="17" s="1"/>
  <c r="M241" i="17" a="1"/>
  <c r="M241" i="17" s="1"/>
  <c r="M260" i="17" a="1"/>
  <c r="M260" i="17" s="1"/>
  <c r="M261" i="17" a="1"/>
  <c r="M261" i="17" s="1"/>
  <c r="M280" i="17" a="1"/>
  <c r="M280" i="17" s="1"/>
  <c r="M281" i="17" a="1"/>
  <c r="M281" i="17" s="1"/>
  <c r="M300" i="17" a="1"/>
  <c r="M300" i="17" s="1"/>
  <c r="M301" i="17" a="1"/>
  <c r="M301" i="17" s="1"/>
  <c r="M320" i="17" a="1"/>
  <c r="M320" i="17" s="1"/>
  <c r="M321" i="17" a="1"/>
  <c r="M321" i="17" s="1"/>
  <c r="M351" i="17" a="1"/>
  <c r="M351" i="17" s="1"/>
  <c r="M361" i="17" a="1"/>
  <c r="M361" i="17" s="1"/>
  <c r="M371" i="17" a="1"/>
  <c r="M371" i="17" s="1"/>
  <c r="M381" i="17" a="1"/>
  <c r="M381" i="17"/>
  <c r="M391" i="17" a="1"/>
  <c r="M391" i="17" s="1"/>
  <c r="M401" i="17" a="1"/>
  <c r="M401" i="17" s="1"/>
  <c r="M411" i="17" a="1"/>
  <c r="M411" i="17" s="1"/>
  <c r="M421" i="17" a="1"/>
  <c r="M421" i="17" s="1"/>
  <c r="M431" i="17" a="1"/>
  <c r="M431" i="17" s="1"/>
  <c r="M441" i="17" a="1"/>
  <c r="M441" i="17" s="1"/>
  <c r="M451" i="17" a="1"/>
  <c r="M451" i="17" s="1"/>
  <c r="M506" i="17" a="1"/>
  <c r="M506" i="17"/>
  <c r="M507" i="17" a="1"/>
  <c r="M507" i="17" s="1"/>
  <c r="M508" i="17" a="1"/>
  <c r="M508" i="17" s="1"/>
  <c r="M509" i="17" a="1"/>
  <c r="M509" i="17" s="1"/>
  <c r="M510" i="17" a="1"/>
  <c r="M510" i="17" s="1"/>
  <c r="M511" i="17" a="1"/>
  <c r="M511" i="17" s="1"/>
  <c r="M340" i="17" a="1"/>
  <c r="M340" i="17" s="1"/>
  <c r="M341" i="17" a="1"/>
  <c r="M341" i="17" s="1"/>
  <c r="N35" i="17" a="1"/>
  <c r="N35" i="17" s="1"/>
  <c r="N203" i="17" a="1"/>
  <c r="N203" i="17" s="1"/>
  <c r="N262" i="17" a="1"/>
  <c r="N262" i="17" s="1"/>
  <c r="N342" i="17" a="1"/>
  <c r="N342" i="17" s="1"/>
  <c r="N382" i="17" a="1"/>
  <c r="N382" i="17" s="1"/>
  <c r="N422" i="17" a="1"/>
  <c r="N422" i="17" s="1"/>
  <c r="N453" i="17" a="1"/>
  <c r="N453" i="17" s="1"/>
  <c r="N457" i="17" a="1"/>
  <c r="N457" i="17" s="1"/>
  <c r="N13" i="17" a="1"/>
  <c r="N13" i="17" s="1"/>
  <c r="N23" i="17" a="1"/>
  <c r="N23" i="17" s="1"/>
  <c r="N38" i="17" a="1"/>
  <c r="N38" i="17" s="1"/>
  <c r="N40" i="17" a="1"/>
  <c r="N40" i="17" s="1"/>
  <c r="N41" i="17" a="1"/>
  <c r="N41" i="17" s="1"/>
  <c r="N42" i="17" a="1"/>
  <c r="N42" i="17" s="1"/>
  <c r="N93" i="17" a="1"/>
  <c r="N93" i="17" s="1"/>
  <c r="N103" i="17" a="1"/>
  <c r="N103" i="17" s="1"/>
  <c r="N113" i="17" a="1"/>
  <c r="N113" i="17" s="1"/>
  <c r="N125" i="17" a="1"/>
  <c r="N125" i="17" s="1"/>
  <c r="N144" i="17" a="1"/>
  <c r="N144" i="17" s="1"/>
  <c r="N145" i="17" a="1"/>
  <c r="N145" i="17" s="1"/>
  <c r="N164" i="17" a="1"/>
  <c r="N164" i="17" s="1"/>
  <c r="N165" i="17" a="1"/>
  <c r="N165" i="17" s="1"/>
  <c r="N184" i="17" a="1"/>
  <c r="N184" i="17" s="1"/>
  <c r="N185" i="17" a="1"/>
  <c r="N185" i="17" s="1"/>
  <c r="N204" i="17" a="1"/>
  <c r="N204" i="17" s="1"/>
  <c r="N205" i="17" a="1"/>
  <c r="N205" i="17" s="1"/>
  <c r="N224" i="17" a="1"/>
  <c r="N224" i="17" s="1"/>
  <c r="N225" i="17" a="1"/>
  <c r="N225" i="17" s="1"/>
  <c r="N244" i="17" a="1"/>
  <c r="N244" i="17" s="1"/>
  <c r="N245" i="17" a="1"/>
  <c r="N245" i="17" s="1"/>
  <c r="N264" i="17" a="1"/>
  <c r="N264" i="17" s="1"/>
  <c r="N265" i="17" a="1"/>
  <c r="N265" i="17" s="1"/>
  <c r="N284" i="17" a="1"/>
  <c r="N284" i="17" s="1"/>
  <c r="N285" i="17" a="1"/>
  <c r="N285" i="17" s="1"/>
  <c r="N304" i="17" a="1"/>
  <c r="N304" i="17" s="1"/>
  <c r="N305" i="17" a="1"/>
  <c r="N305" i="17" s="1"/>
  <c r="N343" i="17" a="1"/>
  <c r="N343" i="17" s="1"/>
  <c r="N353" i="17" a="1"/>
  <c r="N353" i="17" s="1"/>
  <c r="N363" i="17" a="1"/>
  <c r="N363" i="17" s="1"/>
  <c r="N373" i="17" a="1"/>
  <c r="N373" i="17" s="1"/>
  <c r="N383" i="17" a="1"/>
  <c r="N383" i="17" s="1"/>
  <c r="N393" i="17" a="1"/>
  <c r="N393" i="17" s="1"/>
  <c r="N403" i="17" a="1"/>
  <c r="N403" i="17" s="1"/>
  <c r="N413" i="17" a="1"/>
  <c r="N413" i="17" s="1"/>
  <c r="N423" i="17" a="1"/>
  <c r="N423" i="17" s="1"/>
  <c r="N433" i="17" a="1"/>
  <c r="N433" i="17" s="1"/>
  <c r="N443" i="17" a="1"/>
  <c r="N443" i="17" s="1"/>
  <c r="N458" i="17" a="1"/>
  <c r="N458" i="17" s="1"/>
  <c r="N459" i="17" a="1"/>
  <c r="N459" i="17" s="1"/>
  <c r="N460" i="17" a="1"/>
  <c r="N460" i="17" s="1"/>
  <c r="N461" i="17" a="1"/>
  <c r="N461" i="17" s="1"/>
  <c r="N462" i="17" a="1"/>
  <c r="N462" i="17" s="1"/>
  <c r="N463" i="17" a="1"/>
  <c r="N463" i="17" s="1"/>
  <c r="N324" i="17" a="1"/>
  <c r="N324" i="17" s="1"/>
  <c r="N325" i="17" a="1"/>
  <c r="N325" i="17" s="1"/>
  <c r="N4" i="17" a="1"/>
  <c r="N4" i="17" s="1"/>
  <c r="N14" i="17" a="1"/>
  <c r="N14" i="17" s="1"/>
  <c r="N24" i="17" a="1"/>
  <c r="N24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94" i="17" a="1"/>
  <c r="N94" i="17" s="1"/>
  <c r="N104" i="17" a="1"/>
  <c r="N104" i="17" s="1"/>
  <c r="N114" i="17" a="1"/>
  <c r="N114" i="17" s="1"/>
  <c r="N126" i="17" a="1"/>
  <c r="N126" i="17" s="1"/>
  <c r="N127" i="17" a="1"/>
  <c r="N127" i="17" s="1"/>
  <c r="N146" i="17" a="1"/>
  <c r="N146" i="17" s="1"/>
  <c r="N147" i="17" a="1"/>
  <c r="N147" i="17" s="1"/>
  <c r="N166" i="17" a="1"/>
  <c r="N166" i="17" s="1"/>
  <c r="N167" i="17" a="1"/>
  <c r="N167" i="17" s="1"/>
  <c r="N186" i="17" a="1"/>
  <c r="N186" i="17" s="1"/>
  <c r="N187" i="17" a="1"/>
  <c r="N187" i="17" s="1"/>
  <c r="N206" i="17" a="1"/>
  <c r="N206" i="17" s="1"/>
  <c r="N207" i="17" a="1"/>
  <c r="N207" i="17" s="1"/>
  <c r="N226" i="17" a="1"/>
  <c r="N226" i="17" s="1"/>
  <c r="N227" i="17" a="1"/>
  <c r="N227" i="17" s="1"/>
  <c r="N246" i="17" a="1"/>
  <c r="N246" i="17" s="1"/>
  <c r="N247" i="17" a="1"/>
  <c r="N247" i="17" s="1"/>
  <c r="N266" i="17" a="1"/>
  <c r="N266" i="17" s="1"/>
  <c r="N267" i="17" a="1"/>
  <c r="N267" i="17" s="1"/>
  <c r="N286" i="17" a="1"/>
  <c r="N286" i="17" s="1"/>
  <c r="N287" i="17" a="1"/>
  <c r="N287" i="17" s="1"/>
  <c r="N306" i="17" a="1"/>
  <c r="N306" i="17" s="1"/>
  <c r="N307" i="17" a="1"/>
  <c r="N307" i="17" s="1"/>
  <c r="N344" i="17" a="1"/>
  <c r="N344" i="17" s="1"/>
  <c r="N354" i="17" a="1"/>
  <c r="N354" i="17" s="1"/>
  <c r="N364" i="17" a="1"/>
  <c r="N364" i="17" s="1"/>
  <c r="N374" i="17" a="1"/>
  <c r="N374" i="17" s="1"/>
  <c r="N384" i="17" a="1"/>
  <c r="N384" i="17" s="1"/>
  <c r="N394" i="17" a="1"/>
  <c r="N394" i="17" s="1"/>
  <c r="N404" i="17" a="1"/>
  <c r="N404" i="17" s="1"/>
  <c r="N414" i="17" a="1"/>
  <c r="N414" i="17" s="1"/>
  <c r="N424" i="17" a="1"/>
  <c r="N424" i="17" s="1"/>
  <c r="N434" i="17" a="1"/>
  <c r="N434" i="17" s="1"/>
  <c r="N444" i="17" a="1"/>
  <c r="N444" i="17" s="1"/>
  <c r="N464" i="17" a="1"/>
  <c r="N464" i="17" s="1"/>
  <c r="N465" i="17" a="1"/>
  <c r="N465" i="17" s="1"/>
  <c r="N466" i="17" a="1"/>
  <c r="N466" i="17" s="1"/>
  <c r="N467" i="17" a="1"/>
  <c r="N467" i="17" s="1"/>
  <c r="N468" i="17" a="1"/>
  <c r="N468" i="17" s="1"/>
  <c r="N469" i="17" a="1"/>
  <c r="N469" i="17" s="1"/>
  <c r="N326" i="17" a="1"/>
  <c r="N326" i="17" s="1"/>
  <c r="N327" i="17" a="1"/>
  <c r="N327" i="17" s="1"/>
  <c r="N5" i="17" a="1"/>
  <c r="N5" i="17" s="1"/>
  <c r="N15" i="17" a="1"/>
  <c r="N15" i="17" s="1"/>
  <c r="N25" i="17" a="1"/>
  <c r="N25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95" i="17" a="1"/>
  <c r="N95" i="17" s="1"/>
  <c r="N105" i="17" a="1"/>
  <c r="N105" i="17" s="1"/>
  <c r="N115" i="17" a="1"/>
  <c r="N115" i="17" s="1"/>
  <c r="N128" i="17" a="1"/>
  <c r="N128" i="17" s="1"/>
  <c r="N129" i="17" a="1"/>
  <c r="N129" i="17" s="1"/>
  <c r="N148" i="17" a="1"/>
  <c r="N148" i="17" s="1"/>
  <c r="N149" i="17" a="1"/>
  <c r="N149" i="17" s="1"/>
  <c r="N168" i="17" a="1"/>
  <c r="N168" i="17" s="1"/>
  <c r="N169" i="17" a="1"/>
  <c r="N169" i="17" s="1"/>
  <c r="N188" i="17" a="1"/>
  <c r="N188" i="17" s="1"/>
  <c r="N189" i="17" a="1"/>
  <c r="N189" i="17" s="1"/>
  <c r="N208" i="17" a="1"/>
  <c r="N208" i="17" s="1"/>
  <c r="N209" i="17" a="1"/>
  <c r="N209" i="17" s="1"/>
  <c r="N228" i="17" a="1"/>
  <c r="N228" i="17" s="1"/>
  <c r="N229" i="17" a="1"/>
  <c r="N229" i="17" s="1"/>
  <c r="N248" i="17" a="1"/>
  <c r="N248" i="17" s="1"/>
  <c r="N249" i="17" a="1"/>
  <c r="N249" i="17" s="1"/>
  <c r="N268" i="17" a="1"/>
  <c r="N268" i="17" s="1"/>
  <c r="N269" i="17" a="1"/>
  <c r="N269" i="17" s="1"/>
  <c r="N288" i="17" a="1"/>
  <c r="N288" i="17" s="1"/>
  <c r="N289" i="17" a="1"/>
  <c r="N289" i="17" s="1"/>
  <c r="N308" i="17" a="1"/>
  <c r="N308" i="17" s="1"/>
  <c r="N309" i="17" a="1"/>
  <c r="N309" i="17" s="1"/>
  <c r="N345" i="17" a="1"/>
  <c r="N345" i="17" s="1"/>
  <c r="N355" i="17" a="1"/>
  <c r="N355" i="17" s="1"/>
  <c r="N365" i="17" a="1"/>
  <c r="N365" i="17" s="1"/>
  <c r="N375" i="17" a="1"/>
  <c r="N375" i="17" s="1"/>
  <c r="N385" i="17" a="1"/>
  <c r="N385" i="17" s="1"/>
  <c r="N395" i="17" a="1"/>
  <c r="N395" i="17" s="1"/>
  <c r="N405" i="17" a="1"/>
  <c r="N405" i="17" s="1"/>
  <c r="N415" i="17" a="1"/>
  <c r="N415" i="17" s="1"/>
  <c r="N425" i="17" a="1"/>
  <c r="N425" i="17" s="1"/>
  <c r="N435" i="17" a="1"/>
  <c r="N435" i="17" s="1"/>
  <c r="N445" i="17" a="1"/>
  <c r="N445" i="17" s="1"/>
  <c r="N470" i="17" a="1"/>
  <c r="N470" i="17" s="1"/>
  <c r="N471" i="17" a="1"/>
  <c r="N471" i="17" s="1"/>
  <c r="N472" i="17" a="1"/>
  <c r="N472" i="17" s="1"/>
  <c r="N473" i="17" a="1"/>
  <c r="N473" i="17" s="1"/>
  <c r="N474" i="17" a="1"/>
  <c r="N474" i="17" s="1"/>
  <c r="N475" i="17" a="1"/>
  <c r="N475" i="17" s="1"/>
  <c r="N328" i="17" a="1"/>
  <c r="N328" i="17" s="1"/>
  <c r="N329" i="17" a="1"/>
  <c r="N329" i="17" s="1"/>
  <c r="N6" i="17" a="1"/>
  <c r="N6" i="17" s="1"/>
  <c r="N16" i="17" a="1"/>
  <c r="N16" i="17" s="1"/>
  <c r="N26" i="17" a="1"/>
  <c r="N26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96" i="17" a="1"/>
  <c r="N96" i="17" s="1"/>
  <c r="N106" i="17" a="1"/>
  <c r="N106" i="17" s="1"/>
  <c r="N116" i="17" a="1"/>
  <c r="N116" i="17" s="1"/>
  <c r="N130" i="17" a="1"/>
  <c r="N130" i="17" s="1"/>
  <c r="N131" i="17" a="1"/>
  <c r="N131" i="17" s="1"/>
  <c r="N150" i="17" a="1"/>
  <c r="N150" i="17" s="1"/>
  <c r="N151" i="17" a="1"/>
  <c r="N151" i="17" s="1"/>
  <c r="N170" i="17" a="1"/>
  <c r="N170" i="17" s="1"/>
  <c r="N171" i="17" a="1"/>
  <c r="N171" i="17" s="1"/>
  <c r="N190" i="17" a="1"/>
  <c r="N190" i="17" s="1"/>
  <c r="N191" i="17" a="1"/>
  <c r="N191" i="17" s="1"/>
  <c r="N210" i="17" a="1"/>
  <c r="N210" i="17" s="1"/>
  <c r="N211" i="17" a="1"/>
  <c r="N211" i="17" s="1"/>
  <c r="N230" i="17" a="1"/>
  <c r="N230" i="17" s="1"/>
  <c r="N231" i="17" a="1"/>
  <c r="N231" i="17" s="1"/>
  <c r="N250" i="17" a="1"/>
  <c r="N250" i="17" s="1"/>
  <c r="N251" i="17" a="1"/>
  <c r="N251" i="17" s="1"/>
  <c r="N270" i="17" a="1"/>
  <c r="N270" i="17" s="1"/>
  <c r="N271" i="17" a="1"/>
  <c r="N271" i="17" s="1"/>
  <c r="N290" i="17" a="1"/>
  <c r="N290" i="17" s="1"/>
  <c r="N291" i="17" a="1"/>
  <c r="N291" i="17" s="1"/>
  <c r="N310" i="17" a="1"/>
  <c r="N310" i="17" s="1"/>
  <c r="N311" i="17" a="1"/>
  <c r="N311" i="17" s="1"/>
  <c r="N346" i="17" a="1"/>
  <c r="N346" i="17" s="1"/>
  <c r="N356" i="17" a="1"/>
  <c r="N356" i="17" s="1"/>
  <c r="N366" i="17" a="1"/>
  <c r="N366" i="17" s="1"/>
  <c r="N376" i="17" a="1"/>
  <c r="N376" i="17" s="1"/>
  <c r="N386" i="17" a="1"/>
  <c r="N386" i="17" s="1"/>
  <c r="N396" i="17" a="1"/>
  <c r="N396" i="17" s="1"/>
  <c r="N406" i="17" a="1"/>
  <c r="N406" i="17" s="1"/>
  <c r="N416" i="17" a="1"/>
  <c r="N416" i="17" s="1"/>
  <c r="N426" i="17" a="1"/>
  <c r="N426" i="17" s="1"/>
  <c r="N436" i="17" a="1"/>
  <c r="N436" i="17" s="1"/>
  <c r="N446" i="17" a="1"/>
  <c r="N446" i="17" s="1"/>
  <c r="N476" i="17" a="1"/>
  <c r="N476" i="17" s="1"/>
  <c r="N477" i="17" a="1"/>
  <c r="N477" i="17" s="1"/>
  <c r="N478" i="17" a="1"/>
  <c r="N478" i="17" s="1"/>
  <c r="N479" i="17" a="1"/>
  <c r="N479" i="17" s="1"/>
  <c r="N480" i="17" a="1"/>
  <c r="N480" i="17" s="1"/>
  <c r="N481" i="17" a="1"/>
  <c r="N481" i="17" s="1"/>
  <c r="N330" i="17" a="1"/>
  <c r="N330" i="17" s="1"/>
  <c r="N331" i="17" a="1"/>
  <c r="N331" i="17" s="1"/>
  <c r="N7" i="17" a="1"/>
  <c r="N7" i="17" s="1"/>
  <c r="N17" i="17" a="1"/>
  <c r="N17" i="17" s="1"/>
  <c r="N27" i="17" a="1"/>
  <c r="N27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97" i="17" a="1"/>
  <c r="N97" i="17" s="1"/>
  <c r="N107" i="17" a="1"/>
  <c r="N107" i="17" s="1"/>
  <c r="N117" i="17" a="1"/>
  <c r="N117" i="17" s="1"/>
  <c r="N132" i="17" a="1"/>
  <c r="N132" i="17" s="1"/>
  <c r="N133" i="17" a="1"/>
  <c r="N133" i="17" s="1"/>
  <c r="N152" i="17" a="1"/>
  <c r="N152" i="17" s="1"/>
  <c r="N153" i="17" a="1"/>
  <c r="N153" i="17" s="1"/>
  <c r="N172" i="17" a="1"/>
  <c r="N172" i="17" s="1"/>
  <c r="N173" i="17" a="1"/>
  <c r="N173" i="17" s="1"/>
  <c r="N192" i="17" a="1"/>
  <c r="N192" i="17" s="1"/>
  <c r="N193" i="17" a="1"/>
  <c r="N193" i="17" s="1"/>
  <c r="N212" i="17" a="1"/>
  <c r="N212" i="17" s="1"/>
  <c r="N213" i="17" a="1"/>
  <c r="N213" i="17" s="1"/>
  <c r="N232" i="17" a="1"/>
  <c r="N232" i="17" s="1"/>
  <c r="N233" i="17" a="1"/>
  <c r="N233" i="17" s="1"/>
  <c r="N252" i="17" a="1"/>
  <c r="N252" i="17" s="1"/>
  <c r="N253" i="17" a="1"/>
  <c r="N253" i="17" s="1"/>
  <c r="N272" i="17" a="1"/>
  <c r="N272" i="17" s="1"/>
  <c r="N273" i="17" a="1"/>
  <c r="N273" i="17" s="1"/>
  <c r="N292" i="17" a="1"/>
  <c r="N292" i="17" s="1"/>
  <c r="N293" i="17" a="1"/>
  <c r="N293" i="17" s="1"/>
  <c r="N312" i="17" a="1"/>
  <c r="N312" i="17" s="1"/>
  <c r="N313" i="17" a="1"/>
  <c r="N313" i="17" s="1"/>
  <c r="N347" i="17" a="1"/>
  <c r="N347" i="17" s="1"/>
  <c r="N357" i="17" a="1"/>
  <c r="N357" i="17" s="1"/>
  <c r="N367" i="17" a="1"/>
  <c r="N367" i="17" s="1"/>
  <c r="N377" i="17" a="1"/>
  <c r="N377" i="17" s="1"/>
  <c r="N387" i="17" a="1"/>
  <c r="N387" i="17" s="1"/>
  <c r="N397" i="17" a="1"/>
  <c r="N397" i="17" s="1"/>
  <c r="N407" i="17" a="1"/>
  <c r="N407" i="17" s="1"/>
  <c r="N417" i="17" a="1"/>
  <c r="N417" i="17" s="1"/>
  <c r="N427" i="17" a="1"/>
  <c r="N427" i="17" s="1"/>
  <c r="N437" i="17" a="1"/>
  <c r="N437" i="17" s="1"/>
  <c r="N447" i="17" a="1"/>
  <c r="N447" i="17" s="1"/>
  <c r="N482" i="17" a="1"/>
  <c r="N482" i="17" s="1"/>
  <c r="N483" i="17" a="1"/>
  <c r="N483" i="17" s="1"/>
  <c r="N484" i="17" a="1"/>
  <c r="N484" i="17" s="1"/>
  <c r="N485" i="17" a="1"/>
  <c r="N485" i="17" s="1"/>
  <c r="N486" i="17" a="1"/>
  <c r="N486" i="17" s="1"/>
  <c r="N487" i="17" a="1"/>
  <c r="N487" i="17" s="1"/>
  <c r="N332" i="17" a="1"/>
  <c r="N332" i="17" s="1"/>
  <c r="N333" i="17" a="1"/>
  <c r="N333" i="17" s="1"/>
  <c r="N8" i="17" a="1"/>
  <c r="N8" i="17"/>
  <c r="N18" i="17" a="1"/>
  <c r="N18" i="17" s="1"/>
  <c r="N28" i="17" a="1"/>
  <c r="N28" i="17" s="1"/>
  <c r="N68" i="17" a="1"/>
  <c r="N68" i="17" s="1"/>
  <c r="N69" i="17" a="1"/>
  <c r="N69" i="17" s="1"/>
  <c r="N70" i="17" a="1"/>
  <c r="N70" i="17" s="1"/>
  <c r="N71" i="17" a="1"/>
  <c r="N71" i="17"/>
  <c r="N72" i="17" a="1"/>
  <c r="N72" i="17" s="1"/>
  <c r="N73" i="17" a="1"/>
  <c r="N73" i="17" s="1"/>
  <c r="N98" i="17" a="1"/>
  <c r="N98" i="17" s="1"/>
  <c r="N108" i="17" a="1"/>
  <c r="N108" i="17" s="1"/>
  <c r="N118" i="17" a="1"/>
  <c r="N118" i="17" s="1"/>
  <c r="N134" i="17" a="1"/>
  <c r="N134" i="17" s="1"/>
  <c r="N135" i="17" a="1"/>
  <c r="N135" i="17" s="1"/>
  <c r="N154" i="17" a="1"/>
  <c r="N154" i="17" s="1"/>
  <c r="N155" i="17" a="1"/>
  <c r="N155" i="17" s="1"/>
  <c r="N174" i="17" a="1"/>
  <c r="N174" i="17" s="1"/>
  <c r="N175" i="17" a="1"/>
  <c r="N175" i="17" s="1"/>
  <c r="N194" i="17" a="1"/>
  <c r="N194" i="17" s="1"/>
  <c r="N195" i="17" a="1"/>
  <c r="N195" i="17" s="1"/>
  <c r="N214" i="17" a="1"/>
  <c r="N214" i="17" s="1"/>
  <c r="N215" i="17" a="1"/>
  <c r="N215" i="17" s="1"/>
  <c r="N234" i="17" a="1"/>
  <c r="N234" i="17" s="1"/>
  <c r="N235" i="17" a="1"/>
  <c r="N235" i="17" s="1"/>
  <c r="N254" i="17" a="1"/>
  <c r="N254" i="17" s="1"/>
  <c r="N255" i="17" a="1"/>
  <c r="N255" i="17" s="1"/>
  <c r="N274" i="17" a="1"/>
  <c r="N274" i="17" s="1"/>
  <c r="N275" i="17" a="1"/>
  <c r="N275" i="17" s="1"/>
  <c r="N294" i="17" a="1"/>
  <c r="N294" i="17" s="1"/>
  <c r="N295" i="17" a="1"/>
  <c r="N295" i="17" s="1"/>
  <c r="N314" i="17" a="1"/>
  <c r="N314" i="17" s="1"/>
  <c r="N315" i="17" a="1"/>
  <c r="N315" i="17" s="1"/>
  <c r="N348" i="17" a="1"/>
  <c r="N348" i="17" s="1"/>
  <c r="N358" i="17" a="1"/>
  <c r="N358" i="17" s="1"/>
  <c r="N368" i="17" a="1"/>
  <c r="N368" i="17" s="1"/>
  <c r="N378" i="17" a="1"/>
  <c r="N378" i="17" s="1"/>
  <c r="N388" i="17" a="1"/>
  <c r="N388" i="17" s="1"/>
  <c r="N398" i="17" a="1"/>
  <c r="N398" i="17" s="1"/>
  <c r="N408" i="17" a="1"/>
  <c r="N408" i="17" s="1"/>
  <c r="N418" i="17" a="1"/>
  <c r="N418" i="17" s="1"/>
  <c r="N428" i="17" a="1"/>
  <c r="N428" i="17" s="1"/>
  <c r="N438" i="17" a="1"/>
  <c r="N438" i="17" s="1"/>
  <c r="N448" i="17" a="1"/>
  <c r="N448" i="17" s="1"/>
  <c r="N488" i="17" a="1"/>
  <c r="N488" i="17" s="1"/>
  <c r="N489" i="17" a="1"/>
  <c r="N489" i="17" s="1"/>
  <c r="N490" i="17" a="1"/>
  <c r="N490" i="17" s="1"/>
  <c r="N491" i="17" a="1"/>
  <c r="N491" i="17" s="1"/>
  <c r="N492" i="17" a="1"/>
  <c r="N492" i="17" s="1"/>
  <c r="N493" i="17" a="1"/>
  <c r="N493" i="17" s="1"/>
  <c r="N334" i="17" a="1"/>
  <c r="N334" i="17" s="1"/>
  <c r="N335" i="17" a="1"/>
  <c r="N335" i="17" s="1"/>
  <c r="N9" i="17" a="1"/>
  <c r="N9" i="17" s="1"/>
  <c r="N19" i="17" a="1"/>
  <c r="N19" i="17" s="1"/>
  <c r="N29" i="17" a="1"/>
  <c r="N29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99" i="17" a="1"/>
  <c r="N99" i="17" s="1"/>
  <c r="N109" i="17" a="1"/>
  <c r="N109" i="17" s="1"/>
  <c r="N119" i="17" a="1"/>
  <c r="N119" i="17" s="1"/>
  <c r="N136" i="17" a="1"/>
  <c r="N136" i="17" s="1"/>
  <c r="N137" i="17" a="1"/>
  <c r="N137" i="17" s="1"/>
  <c r="N156" i="17" a="1"/>
  <c r="N156" i="17" s="1"/>
  <c r="N157" i="17" a="1"/>
  <c r="N157" i="17" s="1"/>
  <c r="N176" i="17" a="1"/>
  <c r="N176" i="17" s="1"/>
  <c r="N177" i="17" a="1"/>
  <c r="N177" i="17" s="1"/>
  <c r="N196" i="17" a="1"/>
  <c r="N196" i="17" s="1"/>
  <c r="N197" i="17" a="1"/>
  <c r="N197" i="17" s="1"/>
  <c r="N216" i="17" a="1"/>
  <c r="N216" i="17" s="1"/>
  <c r="N217" i="17" a="1"/>
  <c r="N217" i="17" s="1"/>
  <c r="N236" i="17" a="1"/>
  <c r="N236" i="17" s="1"/>
  <c r="N237" i="17" a="1"/>
  <c r="N237" i="17" s="1"/>
  <c r="N256" i="17" a="1"/>
  <c r="N256" i="17" s="1"/>
  <c r="N257" i="17" a="1"/>
  <c r="N257" i="17" s="1"/>
  <c r="N276" i="17" a="1"/>
  <c r="N276" i="17" s="1"/>
  <c r="N277" i="17" a="1"/>
  <c r="N277" i="17" s="1"/>
  <c r="N296" i="17" a="1"/>
  <c r="N296" i="17" s="1"/>
  <c r="N297" i="17" a="1"/>
  <c r="N297" i="17" s="1"/>
  <c r="N316" i="17" a="1"/>
  <c r="N316" i="17" s="1"/>
  <c r="N317" i="17" a="1"/>
  <c r="N317" i="17" s="1"/>
  <c r="N349" i="17" a="1"/>
  <c r="N349" i="17" s="1"/>
  <c r="N359" i="17" a="1"/>
  <c r="N359" i="17" s="1"/>
  <c r="N369" i="17" a="1"/>
  <c r="N369" i="17" s="1"/>
  <c r="N379" i="17" a="1"/>
  <c r="N379" i="17" s="1"/>
  <c r="N389" i="17" a="1"/>
  <c r="N389" i="17" s="1"/>
  <c r="N399" i="17" a="1"/>
  <c r="N399" i="17" s="1"/>
  <c r="N409" i="17" a="1"/>
  <c r="N409" i="17" s="1"/>
  <c r="N419" i="17" a="1"/>
  <c r="N419" i="17" s="1"/>
  <c r="N429" i="17" a="1"/>
  <c r="N429" i="17" s="1"/>
  <c r="N439" i="17" a="1"/>
  <c r="N439" i="17" s="1"/>
  <c r="N449" i="17" a="1"/>
  <c r="N449" i="17" s="1"/>
  <c r="N494" i="17" a="1"/>
  <c r="N494" i="17" s="1"/>
  <c r="N495" i="17" a="1"/>
  <c r="N495" i="17" s="1"/>
  <c r="N496" i="17" a="1"/>
  <c r="N496" i="17" s="1"/>
  <c r="N497" i="17" a="1"/>
  <c r="N497" i="17" s="1"/>
  <c r="N498" i="17" a="1"/>
  <c r="N498" i="17" s="1"/>
  <c r="N499" i="17" a="1"/>
  <c r="N499" i="17" s="1"/>
  <c r="N336" i="17" a="1"/>
  <c r="N336" i="17" s="1"/>
  <c r="N337" i="17" a="1"/>
  <c r="N337" i="17" s="1"/>
  <c r="N10" i="17" a="1"/>
  <c r="N10" i="17" s="1"/>
  <c r="N20" i="17" a="1"/>
  <c r="N20" i="17" s="1"/>
  <c r="N30" i="17" a="1"/>
  <c r="N30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100" i="17" a="1"/>
  <c r="N100" i="17" s="1"/>
  <c r="N110" i="17" a="1"/>
  <c r="N110" i="17" s="1"/>
  <c r="N120" i="17" a="1"/>
  <c r="N120" i="17" s="1"/>
  <c r="N138" i="17" a="1"/>
  <c r="N138" i="17" s="1"/>
  <c r="N139" i="17" a="1"/>
  <c r="N139" i="17" s="1"/>
  <c r="N158" i="17" a="1"/>
  <c r="N158" i="17" s="1"/>
  <c r="N159" i="17" a="1"/>
  <c r="N159" i="17" s="1"/>
  <c r="N178" i="17" a="1"/>
  <c r="N178" i="17" s="1"/>
  <c r="N179" i="17" a="1"/>
  <c r="N179" i="17" s="1"/>
  <c r="N198" i="17" a="1"/>
  <c r="N198" i="17" s="1"/>
  <c r="N199" i="17" a="1"/>
  <c r="N199" i="17" s="1"/>
  <c r="N218" i="17" a="1"/>
  <c r="N218" i="17" s="1"/>
  <c r="N219" i="17" a="1"/>
  <c r="N219" i="17" s="1"/>
  <c r="N238" i="17" a="1"/>
  <c r="N238" i="17" s="1"/>
  <c r="N239" i="17" a="1"/>
  <c r="N239" i="17" s="1"/>
  <c r="N258" i="17" a="1"/>
  <c r="N258" i="17" s="1"/>
  <c r="N259" i="17" a="1"/>
  <c r="N259" i="17" s="1"/>
  <c r="N278" i="17" a="1"/>
  <c r="N278" i="17" s="1"/>
  <c r="N279" i="17" a="1"/>
  <c r="N279" i="17" s="1"/>
  <c r="N298" i="17" a="1"/>
  <c r="N298" i="17" s="1"/>
  <c r="N299" i="17" a="1"/>
  <c r="N299" i="17" s="1"/>
  <c r="N318" i="17" a="1"/>
  <c r="N318" i="17" s="1"/>
  <c r="N319" i="17" a="1"/>
  <c r="N319" i="17" s="1"/>
  <c r="N350" i="17" a="1"/>
  <c r="N350" i="17" s="1"/>
  <c r="N360" i="17" a="1"/>
  <c r="N360" i="17" s="1"/>
  <c r="N370" i="17" a="1"/>
  <c r="N370" i="17" s="1"/>
  <c r="N380" i="17" a="1"/>
  <c r="N380" i="17" s="1"/>
  <c r="N390" i="17" a="1"/>
  <c r="N390" i="17" s="1"/>
  <c r="N400" i="17" a="1"/>
  <c r="N400" i="17" s="1"/>
  <c r="N410" i="17" a="1"/>
  <c r="N410" i="17" s="1"/>
  <c r="N420" i="17" a="1"/>
  <c r="N420" i="17" s="1"/>
  <c r="N430" i="17" a="1"/>
  <c r="N430" i="17" s="1"/>
  <c r="N440" i="17" a="1"/>
  <c r="N440" i="17" s="1"/>
  <c r="N450" i="17" a="1"/>
  <c r="N450" i="17" s="1"/>
  <c r="N500" i="17" a="1"/>
  <c r="N500" i="17" s="1"/>
  <c r="N501" i="17" a="1"/>
  <c r="N501" i="17" s="1"/>
  <c r="N502" i="17" a="1"/>
  <c r="N502" i="17" s="1"/>
  <c r="N503" i="17" a="1"/>
  <c r="N503" i="17" s="1"/>
  <c r="N504" i="17" a="1"/>
  <c r="N504" i="17" s="1"/>
  <c r="N505" i="17" a="1"/>
  <c r="N505" i="17" s="1"/>
  <c r="N338" i="17" a="1"/>
  <c r="N338" i="17" s="1"/>
  <c r="N339" i="17" a="1"/>
  <c r="N339" i="17" s="1"/>
  <c r="N11" i="17" a="1"/>
  <c r="N11" i="17" s="1"/>
  <c r="N21" i="17" a="1"/>
  <c r="N21" i="17" s="1"/>
  <c r="N31" i="17" a="1"/>
  <c r="N31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101" i="17" a="1"/>
  <c r="N101" i="17" s="1"/>
  <c r="N111" i="17" a="1"/>
  <c r="N111" i="17" s="1"/>
  <c r="N121" i="17" a="1"/>
  <c r="N121" i="17" s="1"/>
  <c r="N140" i="17" a="1"/>
  <c r="N140" i="17" s="1"/>
  <c r="N141" i="17" a="1"/>
  <c r="N141" i="17" s="1"/>
  <c r="N160" i="17" a="1"/>
  <c r="N160" i="17" s="1"/>
  <c r="N161" i="17" a="1"/>
  <c r="N161" i="17" s="1"/>
  <c r="N180" i="17" a="1"/>
  <c r="N180" i="17" s="1"/>
  <c r="N181" i="17" a="1"/>
  <c r="N181" i="17" s="1"/>
  <c r="N200" i="17" a="1"/>
  <c r="N200" i="17" s="1"/>
  <c r="N201" i="17" a="1"/>
  <c r="N201" i="17" s="1"/>
  <c r="N220" i="17" a="1"/>
  <c r="N220" i="17" s="1"/>
  <c r="N221" i="17" a="1"/>
  <c r="N221" i="17" s="1"/>
  <c r="N240" i="17" a="1"/>
  <c r="N240" i="17" s="1"/>
  <c r="N241" i="17" a="1"/>
  <c r="N241" i="17" s="1"/>
  <c r="N260" i="17" a="1"/>
  <c r="N260" i="17" s="1"/>
  <c r="N261" i="17" a="1"/>
  <c r="N261" i="17" s="1"/>
  <c r="N280" i="17" a="1"/>
  <c r="N280" i="17" s="1"/>
  <c r="N281" i="17" a="1"/>
  <c r="N281" i="17" s="1"/>
  <c r="N300" i="17" a="1"/>
  <c r="N300" i="17" s="1"/>
  <c r="N301" i="17" a="1"/>
  <c r="N301" i="17" s="1"/>
  <c r="N320" i="17" a="1"/>
  <c r="N320" i="17" s="1"/>
  <c r="N321" i="17" a="1"/>
  <c r="N321" i="17" s="1"/>
  <c r="N351" i="17" a="1"/>
  <c r="N351" i="17" s="1"/>
  <c r="N361" i="17" a="1"/>
  <c r="N361" i="17" s="1"/>
  <c r="N371" i="17" a="1"/>
  <c r="N371" i="17" s="1"/>
  <c r="N381" i="17" a="1"/>
  <c r="N381" i="17" s="1"/>
  <c r="N391" i="17" a="1"/>
  <c r="N391" i="17" s="1"/>
  <c r="N401" i="17" a="1"/>
  <c r="N401" i="17" s="1"/>
  <c r="N411" i="17" a="1"/>
  <c r="N411" i="17" s="1"/>
  <c r="N421" i="17" a="1"/>
  <c r="N421" i="17" s="1"/>
  <c r="N431" i="17" a="1"/>
  <c r="N431" i="17" s="1"/>
  <c r="N441" i="17" a="1"/>
  <c r="N441" i="17" s="1"/>
  <c r="N451" i="17" a="1"/>
  <c r="N451" i="17" s="1"/>
  <c r="N506" i="17" a="1"/>
  <c r="N506" i="17" s="1"/>
  <c r="N507" i="17" a="1"/>
  <c r="N507" i="17" s="1"/>
  <c r="N508" i="17" a="1"/>
  <c r="N508" i="17" s="1"/>
  <c r="N509" i="17" a="1"/>
  <c r="N509" i="17" s="1"/>
  <c r="N510" i="17" a="1"/>
  <c r="N510" i="17" s="1"/>
  <c r="N511" i="17" a="1"/>
  <c r="N511" i="17" s="1"/>
  <c r="N340" i="17" a="1"/>
  <c r="N340" i="17" s="1"/>
  <c r="N341" i="17" a="1"/>
  <c r="N341" i="17" s="1"/>
  <c r="O2" i="17" a="1"/>
  <c r="O2" i="17" s="1"/>
  <c r="O12" i="17" a="1"/>
  <c r="O12" i="17" s="1"/>
  <c r="O22" i="17" a="1"/>
  <c r="O22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92" i="17" a="1"/>
  <c r="O92" i="17" s="1"/>
  <c r="O102" i="17" a="1"/>
  <c r="O102" i="17" s="1"/>
  <c r="O112" i="17" a="1"/>
  <c r="O112" i="17" s="1"/>
  <c r="O122" i="17" a="1"/>
  <c r="O122" i="17" s="1"/>
  <c r="O123" i="17" a="1"/>
  <c r="O123" i="17" s="1"/>
  <c r="O142" i="17" a="1"/>
  <c r="O142" i="17" s="1"/>
  <c r="O143" i="17" a="1"/>
  <c r="O143" i="17" s="1"/>
  <c r="O162" i="17" a="1"/>
  <c r="O162" i="17" s="1"/>
  <c r="O163" i="17" a="1"/>
  <c r="O163" i="17" s="1"/>
  <c r="O182" i="17" a="1"/>
  <c r="O182" i="17" s="1"/>
  <c r="O183" i="17" a="1"/>
  <c r="O183" i="17" s="1"/>
  <c r="O202" i="17" a="1"/>
  <c r="O202" i="17" s="1"/>
  <c r="O203" i="17" a="1"/>
  <c r="O203" i="17" s="1"/>
  <c r="O222" i="17" a="1"/>
  <c r="O222" i="17" s="1"/>
  <c r="O223" i="17" a="1"/>
  <c r="O223" i="17" s="1"/>
  <c r="O242" i="17" a="1"/>
  <c r="O242" i="17" s="1"/>
  <c r="O243" i="17" a="1"/>
  <c r="O243" i="17" s="1"/>
  <c r="O262" i="17" a="1"/>
  <c r="O262" i="17" s="1"/>
  <c r="O263" i="17" a="1"/>
  <c r="O263" i="17" s="1"/>
  <c r="O282" i="17" a="1"/>
  <c r="O282" i="17" s="1"/>
  <c r="O283" i="17" a="1"/>
  <c r="O283" i="17" s="1"/>
  <c r="O302" i="17" a="1"/>
  <c r="O302" i="17" s="1"/>
  <c r="O303" i="17" a="1"/>
  <c r="O303" i="17" s="1"/>
  <c r="O342" i="17" a="1"/>
  <c r="O342" i="17" s="1"/>
  <c r="O352" i="17" a="1"/>
  <c r="O352" i="17" s="1"/>
  <c r="O362" i="17" a="1"/>
  <c r="O362" i="17" s="1"/>
  <c r="O372" i="17" a="1"/>
  <c r="O372" i="17" s="1"/>
  <c r="O382" i="17" a="1"/>
  <c r="O382" i="17" s="1"/>
  <c r="O392" i="17" a="1"/>
  <c r="O392" i="17" s="1"/>
  <c r="O402" i="17" a="1"/>
  <c r="O402" i="17" s="1"/>
  <c r="O412" i="17" a="1"/>
  <c r="O412" i="17" s="1"/>
  <c r="O422" i="17" a="1"/>
  <c r="O422" i="17" s="1"/>
  <c r="O432" i="17" a="1"/>
  <c r="O432" i="17" s="1"/>
  <c r="O442" i="17" a="1"/>
  <c r="O442" i="17" s="1"/>
  <c r="O452" i="17" a="1"/>
  <c r="O452" i="17" s="1"/>
  <c r="O453" i="17" a="1"/>
  <c r="O453" i="17" s="1"/>
  <c r="O454" i="17" a="1"/>
  <c r="O454" i="17" s="1"/>
  <c r="O455" i="17" a="1"/>
  <c r="O455" i="17" s="1"/>
  <c r="O456" i="17" a="1"/>
  <c r="O456" i="17" s="1"/>
  <c r="O457" i="17" a="1"/>
  <c r="O457" i="17" s="1"/>
  <c r="O322" i="17" a="1"/>
  <c r="O322" i="17" s="1"/>
  <c r="O323" i="17" a="1"/>
  <c r="O323" i="17" s="1"/>
  <c r="O3" i="17" a="1"/>
  <c r="O3" i="17" s="1"/>
  <c r="O13" i="17" a="1"/>
  <c r="O13" i="17" s="1"/>
  <c r="O23" i="17" a="1"/>
  <c r="O23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93" i="17" a="1"/>
  <c r="O93" i="17" s="1"/>
  <c r="O103" i="17" a="1"/>
  <c r="O103" i="17" s="1"/>
  <c r="O113" i="17" a="1"/>
  <c r="O113" i="17" s="1"/>
  <c r="O124" i="17" a="1"/>
  <c r="O124" i="17" s="1"/>
  <c r="O125" i="17" a="1"/>
  <c r="O125" i="17" s="1"/>
  <c r="O144" i="17" a="1"/>
  <c r="O144" i="17" s="1"/>
  <c r="O145" i="17" a="1"/>
  <c r="O145" i="17" s="1"/>
  <c r="O164" i="17" a="1"/>
  <c r="O164" i="17" s="1"/>
  <c r="O165" i="17" a="1"/>
  <c r="O165" i="17" s="1"/>
  <c r="O184" i="17" a="1"/>
  <c r="O184" i="17" s="1"/>
  <c r="O185" i="17" a="1"/>
  <c r="O185" i="17" s="1"/>
  <c r="O204" i="17" a="1"/>
  <c r="O204" i="17" s="1"/>
  <c r="O205" i="17" a="1"/>
  <c r="O205" i="17" s="1"/>
  <c r="O224" i="17" a="1"/>
  <c r="O224" i="17" s="1"/>
  <c r="O225" i="17" a="1"/>
  <c r="O225" i="17" s="1"/>
  <c r="O244" i="17" a="1"/>
  <c r="O244" i="17" s="1"/>
  <c r="O245" i="17" a="1"/>
  <c r="O245" i="17" s="1"/>
  <c r="O264" i="17" a="1"/>
  <c r="O264" i="17" s="1"/>
  <c r="O265" i="17" a="1"/>
  <c r="O265" i="17" s="1"/>
  <c r="O284" i="17" a="1"/>
  <c r="O284" i="17" s="1"/>
  <c r="O285" i="17" a="1"/>
  <c r="O285" i="17" s="1"/>
  <c r="O304" i="17" a="1"/>
  <c r="O304" i="17" s="1"/>
  <c r="O305" i="17" a="1"/>
  <c r="O305" i="17" s="1"/>
  <c r="O343" i="17" a="1"/>
  <c r="O343" i="17" s="1"/>
  <c r="O353" i="17" a="1"/>
  <c r="O353" i="17" s="1"/>
  <c r="O363" i="17" a="1"/>
  <c r="O363" i="17" s="1"/>
  <c r="O373" i="17" a="1"/>
  <c r="O373" i="17" s="1"/>
  <c r="O383" i="17" a="1"/>
  <c r="O383" i="17" s="1"/>
  <c r="O393" i="17" a="1"/>
  <c r="O393" i="17" s="1"/>
  <c r="O403" i="17" a="1"/>
  <c r="O403" i="17" s="1"/>
  <c r="O413" i="17" a="1"/>
  <c r="O413" i="17" s="1"/>
  <c r="O423" i="17" a="1"/>
  <c r="O423" i="17" s="1"/>
  <c r="O433" i="17" a="1"/>
  <c r="O433" i="17" s="1"/>
  <c r="O443" i="17" a="1"/>
  <c r="O443" i="17" s="1"/>
  <c r="O458" i="17" a="1"/>
  <c r="O458" i="17" s="1"/>
  <c r="O459" i="17" a="1"/>
  <c r="O459" i="17" s="1"/>
  <c r="O460" i="17" a="1"/>
  <c r="O460" i="17" s="1"/>
  <c r="O461" i="17" a="1"/>
  <c r="O461" i="17" s="1"/>
  <c r="O462" i="17" a="1"/>
  <c r="O462" i="17" s="1"/>
  <c r="O463" i="17" a="1"/>
  <c r="O463" i="17" s="1"/>
  <c r="O324" i="17" a="1"/>
  <c r="O324" i="17" s="1"/>
  <c r="O325" i="17" a="1"/>
  <c r="O325" i="17" s="1"/>
  <c r="O4" i="17" a="1"/>
  <c r="O4" i="17" s="1"/>
  <c r="O14" i="17" a="1"/>
  <c r="O14" i="17" s="1"/>
  <c r="O24" i="17" a="1"/>
  <c r="O24" i="17" s="1"/>
  <c r="O44" i="17" a="1"/>
  <c r="O44" i="17" s="1"/>
  <c r="O45" i="17" a="1"/>
  <c r="O45" i="17" s="1"/>
  <c r="O46" i="17" a="1"/>
  <c r="O46" i="17" s="1"/>
  <c r="O47" i="17" a="1"/>
  <c r="O47" i="17"/>
  <c r="O48" i="17" a="1"/>
  <c r="O48" i="17" s="1"/>
  <c r="O49" i="17" a="1"/>
  <c r="O49" i="17"/>
  <c r="O94" i="17" a="1"/>
  <c r="O94" i="17" s="1"/>
  <c r="O104" i="17" a="1"/>
  <c r="O104" i="17" s="1"/>
  <c r="O114" i="17" a="1"/>
  <c r="O114" i="17" s="1"/>
  <c r="O126" i="17" a="1"/>
  <c r="O126" i="17" s="1"/>
  <c r="O127" i="17" a="1"/>
  <c r="O127" i="17" s="1"/>
  <c r="O146" i="17" a="1"/>
  <c r="O146" i="17" s="1"/>
  <c r="O147" i="17" a="1"/>
  <c r="O147" i="17" s="1"/>
  <c r="O166" i="17" a="1"/>
  <c r="O166" i="17" s="1"/>
  <c r="O167" i="17" a="1"/>
  <c r="O167" i="17" s="1"/>
  <c r="O186" i="17" a="1"/>
  <c r="O186" i="17" s="1"/>
  <c r="O187" i="17" a="1"/>
  <c r="O187" i="17" s="1"/>
  <c r="O206" i="17" a="1"/>
  <c r="O206" i="17" s="1"/>
  <c r="O207" i="17" a="1"/>
  <c r="O207" i="17" s="1"/>
  <c r="O226" i="17" a="1"/>
  <c r="O226" i="17" s="1"/>
  <c r="O227" i="17" a="1"/>
  <c r="O227" i="17" s="1"/>
  <c r="O246" i="17" a="1"/>
  <c r="O246" i="17" s="1"/>
  <c r="O247" i="17" a="1"/>
  <c r="O247" i="17" s="1"/>
  <c r="O266" i="17" a="1"/>
  <c r="O266" i="17" s="1"/>
  <c r="O267" i="17" a="1"/>
  <c r="O267" i="17" s="1"/>
  <c r="O286" i="17" a="1"/>
  <c r="O286" i="17" s="1"/>
  <c r="O287" i="17" a="1"/>
  <c r="O287" i="17" s="1"/>
  <c r="O306" i="17" a="1"/>
  <c r="O306" i="17" s="1"/>
  <c r="O307" i="17" a="1"/>
  <c r="O307" i="17" s="1"/>
  <c r="O344" i="17" a="1"/>
  <c r="O344" i="17" s="1"/>
  <c r="O354" i="17" a="1"/>
  <c r="O354" i="17" s="1"/>
  <c r="O364" i="17" a="1"/>
  <c r="O364" i="17" s="1"/>
  <c r="O374" i="17" a="1"/>
  <c r="O374" i="17" s="1"/>
  <c r="O384" i="17" a="1"/>
  <c r="O384" i="17" s="1"/>
  <c r="O394" i="17" a="1"/>
  <c r="O394" i="17" s="1"/>
  <c r="O404" i="17" a="1"/>
  <c r="O404" i="17"/>
  <c r="O414" i="17" a="1"/>
  <c r="O414" i="17" s="1"/>
  <c r="O424" i="17" a="1"/>
  <c r="O424" i="17"/>
  <c r="O434" i="17" a="1"/>
  <c r="O434" i="17" s="1"/>
  <c r="O444" i="17" a="1"/>
  <c r="O444" i="17" s="1"/>
  <c r="O464" i="17" a="1"/>
  <c r="O464" i="17" s="1"/>
  <c r="O465" i="17" a="1"/>
  <c r="O465" i="17" s="1"/>
  <c r="O466" i="17" a="1"/>
  <c r="O466" i="17" s="1"/>
  <c r="O467" i="17" a="1"/>
  <c r="O467" i="17" s="1"/>
  <c r="O468" i="17" a="1"/>
  <c r="O468" i="17" s="1"/>
  <c r="O469" i="17" a="1"/>
  <c r="O469" i="17" s="1"/>
  <c r="O326" i="17" a="1"/>
  <c r="O326" i="17" s="1"/>
  <c r="O327" i="17" a="1"/>
  <c r="O327" i="17" s="1"/>
  <c r="O5" i="17" a="1"/>
  <c r="O5" i="17" s="1"/>
  <c r="O15" i="17" a="1"/>
  <c r="O15" i="17" s="1"/>
  <c r="O25" i="17" a="1"/>
  <c r="O25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95" i="17" a="1"/>
  <c r="O95" i="17" s="1"/>
  <c r="O105" i="17" a="1"/>
  <c r="O105" i="17" s="1"/>
  <c r="O115" i="17" a="1"/>
  <c r="O115" i="17" s="1"/>
  <c r="O128" i="17" a="1"/>
  <c r="O128" i="17" s="1"/>
  <c r="O129" i="17" a="1"/>
  <c r="O129" i="17" s="1"/>
  <c r="O148" i="17" a="1"/>
  <c r="O148" i="17" s="1"/>
  <c r="O149" i="17" a="1"/>
  <c r="O149" i="17" s="1"/>
  <c r="O168" i="17" a="1"/>
  <c r="O168" i="17" s="1"/>
  <c r="O169" i="17" a="1"/>
  <c r="O169" i="17" s="1"/>
  <c r="O188" i="17" a="1"/>
  <c r="O188" i="17" s="1"/>
  <c r="O189" i="17" a="1"/>
  <c r="O189" i="17" s="1"/>
  <c r="O208" i="17" a="1"/>
  <c r="O208" i="17" s="1"/>
  <c r="O209" i="17" a="1"/>
  <c r="O209" i="17" s="1"/>
  <c r="O228" i="17" a="1"/>
  <c r="O228" i="17" s="1"/>
  <c r="O229" i="17" a="1"/>
  <c r="O229" i="17" s="1"/>
  <c r="O248" i="17" a="1"/>
  <c r="O248" i="17" s="1"/>
  <c r="O249" i="17" a="1"/>
  <c r="O249" i="17" s="1"/>
  <c r="O268" i="17" a="1"/>
  <c r="O268" i="17" s="1"/>
  <c r="O269" i="17" a="1"/>
  <c r="O269" i="17" s="1"/>
  <c r="O288" i="17" a="1"/>
  <c r="O288" i="17" s="1"/>
  <c r="O289" i="17" a="1"/>
  <c r="O289" i="17" s="1"/>
  <c r="O308" i="17" a="1"/>
  <c r="O308" i="17" s="1"/>
  <c r="O309" i="17" a="1"/>
  <c r="O309" i="17" s="1"/>
  <c r="O345" i="17" a="1"/>
  <c r="O345" i="17" s="1"/>
  <c r="O355" i="17" a="1"/>
  <c r="O355" i="17" s="1"/>
  <c r="O365" i="17" a="1"/>
  <c r="O365" i="17" s="1"/>
  <c r="O375" i="17" a="1"/>
  <c r="O375" i="17" s="1"/>
  <c r="O385" i="17" a="1"/>
  <c r="O385" i="17" s="1"/>
  <c r="O395" i="17" a="1"/>
  <c r="O395" i="17" s="1"/>
  <c r="O405" i="17" a="1"/>
  <c r="O405" i="17" s="1"/>
  <c r="O415" i="17" a="1"/>
  <c r="O415" i="17" s="1"/>
  <c r="O425" i="17" a="1"/>
  <c r="O425" i="17" s="1"/>
  <c r="O435" i="17" a="1"/>
  <c r="O435" i="17" s="1"/>
  <c r="O445" i="17" a="1"/>
  <c r="O445" i="17" s="1"/>
  <c r="O470" i="17" a="1"/>
  <c r="O470" i="17" s="1"/>
  <c r="O471" i="17" a="1"/>
  <c r="O471" i="17" s="1"/>
  <c r="O472" i="17" a="1"/>
  <c r="O472" i="17" s="1"/>
  <c r="O473" i="17" a="1"/>
  <c r="O473" i="17" s="1"/>
  <c r="O474" i="17" a="1"/>
  <c r="O474" i="17" s="1"/>
  <c r="O475" i="17" a="1"/>
  <c r="O475" i="17" s="1"/>
  <c r="O328" i="17" a="1"/>
  <c r="O328" i="17" s="1"/>
  <c r="O329" i="17" a="1"/>
  <c r="O329" i="17" s="1"/>
  <c r="O6" i="17" a="1"/>
  <c r="O6" i="17" s="1"/>
  <c r="O16" i="17" a="1"/>
  <c r="O16" i="17" s="1"/>
  <c r="O26" i="17" a="1"/>
  <c r="O26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96" i="17" a="1"/>
  <c r="O96" i="17" s="1"/>
  <c r="O106" i="17" a="1"/>
  <c r="O106" i="17" s="1"/>
  <c r="O116" i="17" a="1"/>
  <c r="O116" i="17" s="1"/>
  <c r="O130" i="17" a="1"/>
  <c r="O130" i="17" s="1"/>
  <c r="O131" i="17" a="1"/>
  <c r="O131" i="17" s="1"/>
  <c r="O150" i="17" a="1"/>
  <c r="O150" i="17" s="1"/>
  <c r="O151" i="17" a="1"/>
  <c r="O151" i="17" s="1"/>
  <c r="O170" i="17" a="1"/>
  <c r="O170" i="17" s="1"/>
  <c r="O171" i="17" a="1"/>
  <c r="O171" i="17" s="1"/>
  <c r="O190" i="17" a="1"/>
  <c r="O190" i="17" s="1"/>
  <c r="O191" i="17" a="1"/>
  <c r="O191" i="17" s="1"/>
  <c r="O210" i="17" a="1"/>
  <c r="O210" i="17" s="1"/>
  <c r="O211" i="17" a="1"/>
  <c r="O211" i="17" s="1"/>
  <c r="O230" i="17" a="1"/>
  <c r="O230" i="17" s="1"/>
  <c r="O231" i="17" a="1"/>
  <c r="O231" i="17" s="1"/>
  <c r="O250" i="17" a="1"/>
  <c r="O250" i="17" s="1"/>
  <c r="O251" i="17" a="1"/>
  <c r="O251" i="17" s="1"/>
  <c r="O270" i="17" a="1"/>
  <c r="O270" i="17" s="1"/>
  <c r="O271" i="17" a="1"/>
  <c r="O271" i="17" s="1"/>
  <c r="O290" i="17" a="1"/>
  <c r="O290" i="17" s="1"/>
  <c r="O291" i="17" a="1"/>
  <c r="O291" i="17" s="1"/>
  <c r="O310" i="17" a="1"/>
  <c r="O310" i="17" s="1"/>
  <c r="O311" i="17" a="1"/>
  <c r="O311" i="17" s="1"/>
  <c r="O346" i="17" a="1"/>
  <c r="O346" i="17" s="1"/>
  <c r="O356" i="17" a="1"/>
  <c r="O356" i="17" s="1"/>
  <c r="O366" i="17" a="1"/>
  <c r="O366" i="17" s="1"/>
  <c r="O376" i="17" a="1"/>
  <c r="O376" i="17" s="1"/>
  <c r="O386" i="17" a="1"/>
  <c r="O386" i="17" s="1"/>
  <c r="O396" i="17" a="1"/>
  <c r="O396" i="17" s="1"/>
  <c r="O406" i="17" a="1"/>
  <c r="O406" i="17" s="1"/>
  <c r="O416" i="17" a="1"/>
  <c r="O416" i="17" s="1"/>
  <c r="O426" i="17" a="1"/>
  <c r="O426" i="17" s="1"/>
  <c r="O436" i="17" a="1"/>
  <c r="O436" i="17" s="1"/>
  <c r="O446" i="17" a="1"/>
  <c r="O446" i="17" s="1"/>
  <c r="O476" i="17" a="1"/>
  <c r="O476" i="17" s="1"/>
  <c r="O477" i="17" a="1"/>
  <c r="O477" i="17" s="1"/>
  <c r="O478" i="17" a="1"/>
  <c r="O478" i="17" s="1"/>
  <c r="O479" i="17" a="1"/>
  <c r="O479" i="17" s="1"/>
  <c r="O480" i="17" a="1"/>
  <c r="O480" i="17" s="1"/>
  <c r="O481" i="17" a="1"/>
  <c r="O481" i="17" s="1"/>
  <c r="O330" i="17" a="1"/>
  <c r="O330" i="17" s="1"/>
  <c r="O331" i="17" a="1"/>
  <c r="O331" i="17" s="1"/>
  <c r="O7" i="17" a="1"/>
  <c r="O7" i="17" s="1"/>
  <c r="O17" i="17" a="1"/>
  <c r="O17" i="17" s="1"/>
  <c r="O27" i="17" a="1"/>
  <c r="O27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97" i="17" a="1"/>
  <c r="O97" i="17" s="1"/>
  <c r="O107" i="17" a="1"/>
  <c r="O107" i="17" s="1"/>
  <c r="O117" i="17" a="1"/>
  <c r="O117" i="17" s="1"/>
  <c r="O132" i="17" a="1"/>
  <c r="O132" i="17" s="1"/>
  <c r="O133" i="17" a="1"/>
  <c r="O133" i="17" s="1"/>
  <c r="O152" i="17" a="1"/>
  <c r="O152" i="17" s="1"/>
  <c r="O153" i="17" a="1"/>
  <c r="O153" i="17" s="1"/>
  <c r="O172" i="17" a="1"/>
  <c r="O172" i="17" s="1"/>
  <c r="O173" i="17" a="1"/>
  <c r="O173" i="17" s="1"/>
  <c r="O192" i="17" a="1"/>
  <c r="O192" i="17" s="1"/>
  <c r="O193" i="17" a="1"/>
  <c r="O193" i="17" s="1"/>
  <c r="O212" i="17" a="1"/>
  <c r="O212" i="17" s="1"/>
  <c r="O213" i="17" a="1"/>
  <c r="O213" i="17" s="1"/>
  <c r="O232" i="17" a="1"/>
  <c r="O232" i="17" s="1"/>
  <c r="O233" i="17" a="1"/>
  <c r="O233" i="17" s="1"/>
  <c r="O252" i="17" a="1"/>
  <c r="O252" i="17" s="1"/>
  <c r="O253" i="17" a="1"/>
  <c r="O253" i="17" s="1"/>
  <c r="O272" i="17" a="1"/>
  <c r="O272" i="17" s="1"/>
  <c r="O273" i="17" a="1"/>
  <c r="O273" i="17" s="1"/>
  <c r="O292" i="17" a="1"/>
  <c r="O292" i="17" s="1"/>
  <c r="O293" i="17" a="1"/>
  <c r="O293" i="17" s="1"/>
  <c r="O312" i="17" a="1"/>
  <c r="O312" i="17" s="1"/>
  <c r="O313" i="17" a="1"/>
  <c r="O313" i="17" s="1"/>
  <c r="O347" i="17" a="1"/>
  <c r="O347" i="17" s="1"/>
  <c r="O357" i="17" a="1"/>
  <c r="O357" i="17" s="1"/>
  <c r="O367" i="17" a="1"/>
  <c r="O367" i="17" s="1"/>
  <c r="O377" i="17" a="1"/>
  <c r="O377" i="17" s="1"/>
  <c r="O387" i="17" a="1"/>
  <c r="O387" i="17" s="1"/>
  <c r="O397" i="17" a="1"/>
  <c r="O397" i="17" s="1"/>
  <c r="O407" i="17" a="1"/>
  <c r="O407" i="17" s="1"/>
  <c r="O417" i="17" a="1"/>
  <c r="O417" i="17" s="1"/>
  <c r="O427" i="17" a="1"/>
  <c r="O427" i="17" s="1"/>
  <c r="O437" i="17" a="1"/>
  <c r="O437" i="17" s="1"/>
  <c r="O447" i="17" a="1"/>
  <c r="O447" i="17" s="1"/>
  <c r="O482" i="17" a="1"/>
  <c r="O482" i="17" s="1"/>
  <c r="O483" i="17" a="1"/>
  <c r="O483" i="17" s="1"/>
  <c r="O484" i="17" a="1"/>
  <c r="O484" i="17" s="1"/>
  <c r="O485" i="17" a="1"/>
  <c r="O485" i="17" s="1"/>
  <c r="O486" i="17" a="1"/>
  <c r="O486" i="17" s="1"/>
  <c r="O487" i="17" a="1"/>
  <c r="O487" i="17" s="1"/>
  <c r="O332" i="17" a="1"/>
  <c r="O332" i="17" s="1"/>
  <c r="O333" i="17" a="1"/>
  <c r="O333" i="17" s="1"/>
  <c r="O8" i="17" a="1"/>
  <c r="O8" i="17" s="1"/>
  <c r="O18" i="17" a="1"/>
  <c r="O18" i="17" s="1"/>
  <c r="O28" i="17" a="1"/>
  <c r="O28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98" i="17" a="1"/>
  <c r="O98" i="17" s="1"/>
  <c r="O108" i="17" a="1"/>
  <c r="O108" i="17" s="1"/>
  <c r="O118" i="17" a="1"/>
  <c r="O118" i="17" s="1"/>
  <c r="O134" i="17" a="1"/>
  <c r="O134" i="17" s="1"/>
  <c r="O135" i="17" a="1"/>
  <c r="O135" i="17" s="1"/>
  <c r="O154" i="17" a="1"/>
  <c r="O154" i="17" s="1"/>
  <c r="O155" i="17" a="1"/>
  <c r="O155" i="17" s="1"/>
  <c r="O174" i="17" a="1"/>
  <c r="O174" i="17" s="1"/>
  <c r="O175" i="17" a="1"/>
  <c r="O175" i="17" s="1"/>
  <c r="O194" i="17" a="1"/>
  <c r="O194" i="17" s="1"/>
  <c r="O195" i="17" a="1"/>
  <c r="O195" i="17" s="1"/>
  <c r="O214" i="17" a="1"/>
  <c r="O214" i="17" s="1"/>
  <c r="O215" i="17" a="1"/>
  <c r="O215" i="17" s="1"/>
  <c r="O234" i="17" a="1"/>
  <c r="O234" i="17" s="1"/>
  <c r="O235" i="17" a="1"/>
  <c r="O235" i="17" s="1"/>
  <c r="O254" i="17" a="1"/>
  <c r="O254" i="17" s="1"/>
  <c r="O255" i="17" a="1"/>
  <c r="O255" i="17" s="1"/>
  <c r="O274" i="17" a="1"/>
  <c r="O274" i="17" s="1"/>
  <c r="O275" i="17" a="1"/>
  <c r="O275" i="17" s="1"/>
  <c r="O294" i="17" a="1"/>
  <c r="O294" i="17" s="1"/>
  <c r="O295" i="17" a="1"/>
  <c r="O295" i="17" s="1"/>
  <c r="O314" i="17" a="1"/>
  <c r="O314" i="17" s="1"/>
  <c r="O315" i="17" a="1"/>
  <c r="O315" i="17" s="1"/>
  <c r="O348" i="17" a="1"/>
  <c r="O348" i="17" s="1"/>
  <c r="O358" i="17" a="1"/>
  <c r="O358" i="17" s="1"/>
  <c r="O368" i="17" a="1"/>
  <c r="O368" i="17" s="1"/>
  <c r="O378" i="17" a="1"/>
  <c r="O378" i="17" s="1"/>
  <c r="O388" i="17" a="1"/>
  <c r="O388" i="17" s="1"/>
  <c r="O398" i="17" a="1"/>
  <c r="O398" i="17" s="1"/>
  <c r="O408" i="17" a="1"/>
  <c r="O408" i="17" s="1"/>
  <c r="O418" i="17" a="1"/>
  <c r="O418" i="17" s="1"/>
  <c r="O428" i="17" a="1"/>
  <c r="O428" i="17" s="1"/>
  <c r="O438" i="17" a="1"/>
  <c r="O438" i="17" s="1"/>
  <c r="O448" i="17" a="1"/>
  <c r="O448" i="17" s="1"/>
  <c r="O488" i="17" a="1"/>
  <c r="O488" i="17" s="1"/>
  <c r="O489" i="17" a="1"/>
  <c r="O489" i="17" s="1"/>
  <c r="O490" i="17" a="1"/>
  <c r="O490" i="17" s="1"/>
  <c r="O491" i="17" a="1"/>
  <c r="O491" i="17" s="1"/>
  <c r="O492" i="17" a="1"/>
  <c r="O492" i="17" s="1"/>
  <c r="O493" i="17" a="1"/>
  <c r="O493" i="17" s="1"/>
  <c r="O334" i="17" a="1"/>
  <c r="O334" i="17" s="1"/>
  <c r="O335" i="17" a="1"/>
  <c r="O335" i="17" s="1"/>
  <c r="O9" i="17" a="1"/>
  <c r="O9" i="17" s="1"/>
  <c r="O19" i="17" a="1"/>
  <c r="O19" i="17" s="1"/>
  <c r="O29" i="17" a="1"/>
  <c r="O29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99" i="17" a="1"/>
  <c r="O99" i="17" s="1"/>
  <c r="O109" i="17" a="1"/>
  <c r="O109" i="17" s="1"/>
  <c r="O119" i="17" a="1"/>
  <c r="O119" i="17" s="1"/>
  <c r="O136" i="17" a="1"/>
  <c r="O136" i="17" s="1"/>
  <c r="O137" i="17" a="1"/>
  <c r="O137" i="17" s="1"/>
  <c r="O156" i="17" a="1"/>
  <c r="O156" i="17" s="1"/>
  <c r="O157" i="17" a="1"/>
  <c r="O157" i="17" s="1"/>
  <c r="O176" i="17" a="1"/>
  <c r="O176" i="17" s="1"/>
  <c r="O177" i="17" a="1"/>
  <c r="O177" i="17" s="1"/>
  <c r="O196" i="17" a="1"/>
  <c r="O196" i="17" s="1"/>
  <c r="O197" i="17" a="1"/>
  <c r="O197" i="17" s="1"/>
  <c r="O216" i="17" a="1"/>
  <c r="O216" i="17" s="1"/>
  <c r="O217" i="17" a="1"/>
  <c r="O217" i="17" s="1"/>
  <c r="O236" i="17" a="1"/>
  <c r="O236" i="17" s="1"/>
  <c r="O237" i="17" a="1"/>
  <c r="O237" i="17" s="1"/>
  <c r="O256" i="17" a="1"/>
  <c r="O256" i="17" s="1"/>
  <c r="O257" i="17" a="1"/>
  <c r="O257" i="17" s="1"/>
  <c r="O276" i="17" a="1"/>
  <c r="O276" i="17" s="1"/>
  <c r="O277" i="17" a="1"/>
  <c r="O277" i="17" s="1"/>
  <c r="O296" i="17" a="1"/>
  <c r="O296" i="17" s="1"/>
  <c r="O297" i="17" a="1"/>
  <c r="O297" i="17" s="1"/>
  <c r="O316" i="17" a="1"/>
  <c r="O316" i="17" s="1"/>
  <c r="O317" i="17" a="1"/>
  <c r="O317" i="17" s="1"/>
  <c r="O349" i="17" a="1"/>
  <c r="O349" i="17" s="1"/>
  <c r="O359" i="17" a="1"/>
  <c r="O359" i="17" s="1"/>
  <c r="O369" i="17" a="1"/>
  <c r="O369" i="17" s="1"/>
  <c r="O379" i="17" a="1"/>
  <c r="O379" i="17" s="1"/>
  <c r="O389" i="17" a="1"/>
  <c r="O389" i="17" s="1"/>
  <c r="O399" i="17" a="1"/>
  <c r="O399" i="17" s="1"/>
  <c r="O409" i="17" a="1"/>
  <c r="O409" i="17" s="1"/>
  <c r="O419" i="17" a="1"/>
  <c r="O419" i="17" s="1"/>
  <c r="O429" i="17" a="1"/>
  <c r="O429" i="17" s="1"/>
  <c r="O439" i="17" a="1"/>
  <c r="O439" i="17" s="1"/>
  <c r="O449" i="17" a="1"/>
  <c r="O449" i="17" s="1"/>
  <c r="O494" i="17" a="1"/>
  <c r="O494" i="17" s="1"/>
  <c r="O495" i="17" a="1"/>
  <c r="O495" i="17" s="1"/>
  <c r="O496" i="17" a="1"/>
  <c r="O496" i="17" s="1"/>
  <c r="O497" i="17" a="1"/>
  <c r="O497" i="17" s="1"/>
  <c r="O498" i="17" a="1"/>
  <c r="O498" i="17" s="1"/>
  <c r="O499" i="17" a="1"/>
  <c r="O499" i="17" s="1"/>
  <c r="O336" i="17" a="1"/>
  <c r="O336" i="17" s="1"/>
  <c r="O337" i="17" a="1"/>
  <c r="O337" i="17" s="1"/>
  <c r="O10" i="17" a="1"/>
  <c r="O10" i="17" s="1"/>
  <c r="O20" i="17" a="1"/>
  <c r="O20" i="17" s="1"/>
  <c r="O30" i="17" a="1"/>
  <c r="O30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100" i="17" a="1"/>
  <c r="O100" i="17" s="1"/>
  <c r="O110" i="17" a="1"/>
  <c r="O110" i="17" s="1"/>
  <c r="O120" i="17" a="1"/>
  <c r="O120" i="17" s="1"/>
  <c r="O138" i="17" a="1"/>
  <c r="O138" i="17" s="1"/>
  <c r="O139" i="17" a="1"/>
  <c r="O139" i="17" s="1"/>
  <c r="O158" i="17" a="1"/>
  <c r="O158" i="17" s="1"/>
  <c r="O159" i="17" a="1"/>
  <c r="O159" i="17" s="1"/>
  <c r="O178" i="17" a="1"/>
  <c r="O178" i="17" s="1"/>
  <c r="O179" i="17" a="1"/>
  <c r="O179" i="17" s="1"/>
  <c r="O198" i="17" a="1"/>
  <c r="O198" i="17" s="1"/>
  <c r="O199" i="17" a="1"/>
  <c r="O199" i="17" s="1"/>
  <c r="O218" i="17" a="1"/>
  <c r="O218" i="17" s="1"/>
  <c r="O219" i="17" a="1"/>
  <c r="O219" i="17" s="1"/>
  <c r="O238" i="17" a="1"/>
  <c r="O238" i="17" s="1"/>
  <c r="O239" i="17" a="1"/>
  <c r="O239" i="17" s="1"/>
  <c r="O258" i="17" a="1"/>
  <c r="O258" i="17" s="1"/>
  <c r="O259" i="17" a="1"/>
  <c r="O259" i="17" s="1"/>
  <c r="O278" i="17" a="1"/>
  <c r="O278" i="17" s="1"/>
  <c r="O279" i="17" a="1"/>
  <c r="O279" i="17" s="1"/>
  <c r="O298" i="17" a="1"/>
  <c r="O298" i="17" s="1"/>
  <c r="O299" i="17" a="1"/>
  <c r="O299" i="17" s="1"/>
  <c r="O318" i="17" a="1"/>
  <c r="O318" i="17" s="1"/>
  <c r="O319" i="17" a="1"/>
  <c r="O319" i="17" s="1"/>
  <c r="O350" i="17" a="1"/>
  <c r="O350" i="17" s="1"/>
  <c r="O360" i="17" a="1"/>
  <c r="O360" i="17" s="1"/>
  <c r="O370" i="17" a="1"/>
  <c r="O370" i="17" s="1"/>
  <c r="O380" i="17" a="1"/>
  <c r="O380" i="17" s="1"/>
  <c r="O390" i="17" a="1"/>
  <c r="O390" i="17" s="1"/>
  <c r="O400" i="17" a="1"/>
  <c r="O400" i="17" s="1"/>
  <c r="O410" i="17" a="1"/>
  <c r="O410" i="17" s="1"/>
  <c r="O420" i="17" a="1"/>
  <c r="O420" i="17" s="1"/>
  <c r="O430" i="17" a="1"/>
  <c r="O430" i="17" s="1"/>
  <c r="O440" i="17" a="1"/>
  <c r="O440" i="17" s="1"/>
  <c r="O450" i="17" a="1"/>
  <c r="O450" i="17" s="1"/>
  <c r="O500" i="17" a="1"/>
  <c r="O500" i="17" s="1"/>
  <c r="O501" i="17" a="1"/>
  <c r="O501" i="17" s="1"/>
  <c r="O502" i="17" a="1"/>
  <c r="O502" i="17" s="1"/>
  <c r="O503" i="17" a="1"/>
  <c r="O503" i="17" s="1"/>
  <c r="O504" i="17" a="1"/>
  <c r="O504" i="17" s="1"/>
  <c r="O505" i="17" a="1"/>
  <c r="O505" i="17" s="1"/>
  <c r="O338" i="17" a="1"/>
  <c r="O338" i="17" s="1"/>
  <c r="O339" i="17" a="1"/>
  <c r="O339" i="17" s="1"/>
  <c r="O11" i="17" a="1"/>
  <c r="O11" i="17" s="1"/>
  <c r="O21" i="17" a="1"/>
  <c r="O21" i="17" s="1"/>
  <c r="O31" i="17" a="1"/>
  <c r="O31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101" i="17" a="1"/>
  <c r="O101" i="17" s="1"/>
  <c r="O111" i="17" a="1"/>
  <c r="O111" i="17" s="1"/>
  <c r="O121" i="17" a="1"/>
  <c r="O121" i="17" s="1"/>
  <c r="O140" i="17" a="1"/>
  <c r="O140" i="17" s="1"/>
  <c r="O141" i="17" a="1"/>
  <c r="O141" i="17" s="1"/>
  <c r="O160" i="17" a="1"/>
  <c r="O160" i="17" s="1"/>
  <c r="O161" i="17" a="1"/>
  <c r="O161" i="17" s="1"/>
  <c r="O180" i="17" a="1"/>
  <c r="O180" i="17" s="1"/>
  <c r="O181" i="17" a="1"/>
  <c r="O181" i="17" s="1"/>
  <c r="O200" i="17" a="1"/>
  <c r="O200" i="17" s="1"/>
  <c r="O201" i="17" a="1"/>
  <c r="O201" i="17" s="1"/>
  <c r="O220" i="17" a="1"/>
  <c r="O220" i="17" s="1"/>
  <c r="O221" i="17" a="1"/>
  <c r="O221" i="17" s="1"/>
  <c r="O240" i="17" a="1"/>
  <c r="O240" i="17" s="1"/>
  <c r="O241" i="17" a="1"/>
  <c r="O241" i="17" s="1"/>
  <c r="O260" i="17" a="1"/>
  <c r="O260" i="17" s="1"/>
  <c r="O261" i="17" a="1"/>
  <c r="O261" i="17" s="1"/>
  <c r="O280" i="17" a="1"/>
  <c r="O280" i="17" s="1"/>
  <c r="O281" i="17" a="1"/>
  <c r="O281" i="17" s="1"/>
  <c r="O300" i="17" a="1"/>
  <c r="O300" i="17" s="1"/>
  <c r="O301" i="17" a="1"/>
  <c r="O301" i="17" s="1"/>
  <c r="O320" i="17" a="1"/>
  <c r="O320" i="17" s="1"/>
  <c r="O321" i="17" a="1"/>
  <c r="O321" i="17" s="1"/>
  <c r="O351" i="17" a="1"/>
  <c r="O351" i="17" s="1"/>
  <c r="O361" i="17" a="1"/>
  <c r="O361" i="17" s="1"/>
  <c r="O371" i="17" a="1"/>
  <c r="O371" i="17" s="1"/>
  <c r="O381" i="17" a="1"/>
  <c r="O381" i="17" s="1"/>
  <c r="O391" i="17" a="1"/>
  <c r="O391" i="17" s="1"/>
  <c r="O401" i="17" a="1"/>
  <c r="O401" i="17" s="1"/>
  <c r="O411" i="17" a="1"/>
  <c r="O411" i="17" s="1"/>
  <c r="O421" i="17" a="1"/>
  <c r="O421" i="17" s="1"/>
  <c r="O431" i="17" a="1"/>
  <c r="O431" i="17" s="1"/>
  <c r="O441" i="17" a="1"/>
  <c r="O441" i="17" s="1"/>
  <c r="O451" i="17" a="1"/>
  <c r="O451" i="17" s="1"/>
  <c r="O506" i="17" a="1"/>
  <c r="O506" i="17" s="1"/>
  <c r="O507" i="17" a="1"/>
  <c r="O507" i="17" s="1"/>
  <c r="O508" i="17" a="1"/>
  <c r="O508" i="17" s="1"/>
  <c r="O509" i="17" a="1"/>
  <c r="O509" i="17" s="1"/>
  <c r="O510" i="17" a="1"/>
  <c r="O510" i="17" s="1"/>
  <c r="O511" i="17" a="1"/>
  <c r="O511" i="17" s="1"/>
  <c r="O340" i="17" a="1"/>
  <c r="O340" i="17" s="1"/>
  <c r="O341" i="17" a="1"/>
  <c r="O341" i="17" s="1"/>
  <c r="P2" i="17" a="1"/>
  <c r="P2" i="17" s="1"/>
  <c r="P12" i="17" a="1"/>
  <c r="P12" i="17" s="1"/>
  <c r="P22" i="17" a="1"/>
  <c r="P22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92" i="17" a="1"/>
  <c r="P92" i="17" s="1"/>
  <c r="P102" i="17" a="1"/>
  <c r="P102" i="17" s="1"/>
  <c r="P112" i="17" a="1"/>
  <c r="P112" i="17" s="1"/>
  <c r="P122" i="17" a="1"/>
  <c r="P122" i="17" s="1"/>
  <c r="P123" i="17" a="1"/>
  <c r="P123" i="17" s="1"/>
  <c r="P142" i="17" a="1"/>
  <c r="P142" i="17" s="1"/>
  <c r="P143" i="17" a="1"/>
  <c r="P143" i="17" s="1"/>
  <c r="P162" i="17" a="1"/>
  <c r="P162" i="17" s="1"/>
  <c r="P163" i="17" a="1"/>
  <c r="P163" i="17" s="1"/>
  <c r="P182" i="17" a="1"/>
  <c r="P182" i="17" s="1"/>
  <c r="P183" i="17" a="1"/>
  <c r="P183" i="17" s="1"/>
  <c r="P202" i="17" a="1"/>
  <c r="P202" i="17" s="1"/>
  <c r="P203" i="17" a="1"/>
  <c r="P203" i="17" s="1"/>
  <c r="P222" i="17" a="1"/>
  <c r="P222" i="17" s="1"/>
  <c r="P223" i="17" a="1"/>
  <c r="P223" i="17" s="1"/>
  <c r="P242" i="17" a="1"/>
  <c r="P242" i="17" s="1"/>
  <c r="P243" i="17" a="1"/>
  <c r="P243" i="17" s="1"/>
  <c r="P262" i="17" a="1"/>
  <c r="P262" i="17" s="1"/>
  <c r="P263" i="17" a="1"/>
  <c r="P263" i="17" s="1"/>
  <c r="P282" i="17" a="1"/>
  <c r="P282" i="17" s="1"/>
  <c r="P283" i="17" a="1"/>
  <c r="P283" i="17" s="1"/>
  <c r="P302" i="17" a="1"/>
  <c r="P302" i="17" s="1"/>
  <c r="P303" i="17" a="1"/>
  <c r="P303" i="17" s="1"/>
  <c r="P342" i="17" a="1"/>
  <c r="P342" i="17" s="1"/>
  <c r="P352" i="17" a="1"/>
  <c r="P352" i="17" s="1"/>
  <c r="P362" i="17" a="1"/>
  <c r="P362" i="17" s="1"/>
  <c r="P372" i="17" a="1"/>
  <c r="P372" i="17" s="1"/>
  <c r="P382" i="17" a="1"/>
  <c r="P382" i="17" s="1"/>
  <c r="P392" i="17" a="1"/>
  <c r="P392" i="17" s="1"/>
  <c r="P402" i="17" a="1"/>
  <c r="P402" i="17" s="1"/>
  <c r="P412" i="17" a="1"/>
  <c r="P412" i="17" s="1"/>
  <c r="P422" i="17" a="1"/>
  <c r="P422" i="17" s="1"/>
  <c r="P432" i="17" a="1"/>
  <c r="P432" i="17" s="1"/>
  <c r="P442" i="17" a="1"/>
  <c r="P442" i="17" s="1"/>
  <c r="P452" i="17" a="1"/>
  <c r="P452" i="17" s="1"/>
  <c r="P453" i="17" a="1"/>
  <c r="P453" i="17" s="1"/>
  <c r="P454" i="17" a="1"/>
  <c r="P454" i="17" s="1"/>
  <c r="P455" i="17" a="1"/>
  <c r="P455" i="17" s="1"/>
  <c r="P456" i="17" a="1"/>
  <c r="P456" i="17" s="1"/>
  <c r="P457" i="17" a="1"/>
  <c r="P457" i="17" s="1"/>
  <c r="P322" i="17" a="1"/>
  <c r="P322" i="17" s="1"/>
  <c r="P323" i="17" a="1"/>
  <c r="P323" i="17" s="1"/>
  <c r="P3" i="17" a="1"/>
  <c r="P3" i="17" s="1"/>
  <c r="P13" i="17" a="1"/>
  <c r="P13" i="17" s="1"/>
  <c r="P23" i="17" a="1"/>
  <c r="P23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93" i="17" a="1"/>
  <c r="P93" i="17" s="1"/>
  <c r="P103" i="17" a="1"/>
  <c r="P103" i="17" s="1"/>
  <c r="P113" i="17" a="1"/>
  <c r="P113" i="17" s="1"/>
  <c r="P124" i="17" a="1"/>
  <c r="P124" i="17" s="1"/>
  <c r="P125" i="17" a="1"/>
  <c r="P125" i="17" s="1"/>
  <c r="P144" i="17" a="1"/>
  <c r="P144" i="17" s="1"/>
  <c r="P145" i="17" a="1"/>
  <c r="P145" i="17" s="1"/>
  <c r="P164" i="17" a="1"/>
  <c r="P164" i="17" s="1"/>
  <c r="P165" i="17" a="1"/>
  <c r="P165" i="17" s="1"/>
  <c r="P184" i="17" a="1"/>
  <c r="P184" i="17" s="1"/>
  <c r="P185" i="17" a="1"/>
  <c r="P185" i="17" s="1"/>
  <c r="P204" i="17" a="1"/>
  <c r="P204" i="17" s="1"/>
  <c r="P205" i="17" a="1"/>
  <c r="P205" i="17" s="1"/>
  <c r="P224" i="17" a="1"/>
  <c r="P224" i="17" s="1"/>
  <c r="P225" i="17" a="1"/>
  <c r="P225" i="17" s="1"/>
  <c r="P244" i="17" a="1"/>
  <c r="P244" i="17" s="1"/>
  <c r="P245" i="17" a="1"/>
  <c r="P245" i="17" s="1"/>
  <c r="P264" i="17" a="1"/>
  <c r="P264" i="17" s="1"/>
  <c r="P265" i="17" a="1"/>
  <c r="P265" i="17" s="1"/>
  <c r="P284" i="17" a="1"/>
  <c r="P284" i="17" s="1"/>
  <c r="P285" i="17" a="1"/>
  <c r="P285" i="17" s="1"/>
  <c r="P304" i="17" a="1"/>
  <c r="P304" i="17" s="1"/>
  <c r="P305" i="17" a="1"/>
  <c r="P305" i="17" s="1"/>
  <c r="P343" i="17" a="1"/>
  <c r="P343" i="17" s="1"/>
  <c r="P353" i="17" a="1"/>
  <c r="P353" i="17" s="1"/>
  <c r="P363" i="17" a="1"/>
  <c r="P363" i="17" s="1"/>
  <c r="P373" i="17" a="1"/>
  <c r="P373" i="17" s="1"/>
  <c r="P383" i="17" a="1"/>
  <c r="P383" i="17" s="1"/>
  <c r="P393" i="17" a="1"/>
  <c r="P393" i="17" s="1"/>
  <c r="P403" i="17" a="1"/>
  <c r="P403" i="17" s="1"/>
  <c r="P413" i="17" a="1"/>
  <c r="P413" i="17" s="1"/>
  <c r="P423" i="17" a="1"/>
  <c r="P423" i="17" s="1"/>
  <c r="P433" i="17" a="1"/>
  <c r="P433" i="17" s="1"/>
  <c r="P443" i="17" a="1"/>
  <c r="P443" i="17" s="1"/>
  <c r="P458" i="17" a="1"/>
  <c r="P458" i="17" s="1"/>
  <c r="P459" i="17" a="1"/>
  <c r="P459" i="17" s="1"/>
  <c r="P460" i="17" a="1"/>
  <c r="P460" i="17" s="1"/>
  <c r="P461" i="17" a="1"/>
  <c r="P461" i="17" s="1"/>
  <c r="P462" i="17" a="1"/>
  <c r="P462" i="17" s="1"/>
  <c r="P463" i="17" a="1"/>
  <c r="P463" i="17" s="1"/>
  <c r="P324" i="17" a="1"/>
  <c r="P324" i="17" s="1"/>
  <c r="P325" i="17" a="1"/>
  <c r="P325" i="17" s="1"/>
  <c r="P4" i="17" a="1"/>
  <c r="P4" i="17" s="1"/>
  <c r="P14" i="17" a="1"/>
  <c r="P14" i="17" s="1"/>
  <c r="P24" i="17" a="1"/>
  <c r="P24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94" i="17" a="1"/>
  <c r="P94" i="17" s="1"/>
  <c r="P104" i="17" a="1"/>
  <c r="P104" i="17" s="1"/>
  <c r="P114" i="17" a="1"/>
  <c r="P114" i="17" s="1"/>
  <c r="P126" i="17" a="1"/>
  <c r="P126" i="17" s="1"/>
  <c r="P127" i="17" a="1"/>
  <c r="P127" i="17" s="1"/>
  <c r="P146" i="17" a="1"/>
  <c r="P146" i="17" s="1"/>
  <c r="P147" i="17" a="1"/>
  <c r="P147" i="17" s="1"/>
  <c r="P166" i="17" a="1"/>
  <c r="P166" i="17" s="1"/>
  <c r="P167" i="17" a="1"/>
  <c r="P167" i="17" s="1"/>
  <c r="P186" i="17" a="1"/>
  <c r="P186" i="17" s="1"/>
  <c r="P187" i="17" a="1"/>
  <c r="P187" i="17" s="1"/>
  <c r="P206" i="17" a="1"/>
  <c r="P206" i="17" s="1"/>
  <c r="P207" i="17" a="1"/>
  <c r="P207" i="17" s="1"/>
  <c r="P226" i="17" a="1"/>
  <c r="P226" i="17" s="1"/>
  <c r="P227" i="17" a="1"/>
  <c r="P227" i="17" s="1"/>
  <c r="P246" i="17" a="1"/>
  <c r="P246" i="17" s="1"/>
  <c r="P247" i="17" a="1"/>
  <c r="P247" i="17" s="1"/>
  <c r="P266" i="17" a="1"/>
  <c r="P266" i="17" s="1"/>
  <c r="P267" i="17" a="1"/>
  <c r="P267" i="17" s="1"/>
  <c r="P286" i="17" a="1"/>
  <c r="P286" i="17" s="1"/>
  <c r="P287" i="17" a="1"/>
  <c r="P287" i="17" s="1"/>
  <c r="P306" i="17" a="1"/>
  <c r="P306" i="17" s="1"/>
  <c r="P307" i="17" a="1"/>
  <c r="P307" i="17" s="1"/>
  <c r="P344" i="17" a="1"/>
  <c r="P344" i="17" s="1"/>
  <c r="P354" i="17" a="1"/>
  <c r="P354" i="17" s="1"/>
  <c r="P364" i="17" a="1"/>
  <c r="P364" i="17" s="1"/>
  <c r="P374" i="17" a="1"/>
  <c r="P374" i="17" s="1"/>
  <c r="P384" i="17" a="1"/>
  <c r="P384" i="17" s="1"/>
  <c r="P394" i="17" a="1"/>
  <c r="P394" i="17" s="1"/>
  <c r="P404" i="17" a="1"/>
  <c r="P404" i="17" s="1"/>
  <c r="P414" i="17" a="1"/>
  <c r="P414" i="17" s="1"/>
  <c r="P424" i="17" a="1"/>
  <c r="P424" i="17" s="1"/>
  <c r="P434" i="17" a="1"/>
  <c r="P434" i="17" s="1"/>
  <c r="P444" i="17" a="1"/>
  <c r="P444" i="17" s="1"/>
  <c r="P464" i="17" a="1"/>
  <c r="P464" i="17" s="1"/>
  <c r="P465" i="17" a="1"/>
  <c r="P465" i="17" s="1"/>
  <c r="P466" i="17" a="1"/>
  <c r="P466" i="17" s="1"/>
  <c r="P467" i="17" a="1"/>
  <c r="P467" i="17" s="1"/>
  <c r="P468" i="17" a="1"/>
  <c r="P468" i="17" s="1"/>
  <c r="P469" i="17" a="1"/>
  <c r="P469" i="17" s="1"/>
  <c r="P326" i="17" a="1"/>
  <c r="P326" i="17" s="1"/>
  <c r="P327" i="17" a="1"/>
  <c r="P327" i="17"/>
  <c r="P5" i="17" a="1"/>
  <c r="P5" i="17" s="1"/>
  <c r="P15" i="17" a="1"/>
  <c r="P15" i="17" s="1"/>
  <c r="P25" i="17" a="1"/>
  <c r="P25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/>
  <c r="P55" i="17" a="1"/>
  <c r="P55" i="17" s="1"/>
  <c r="P95" i="17" a="1"/>
  <c r="P95" i="17" s="1"/>
  <c r="P105" i="17" a="1"/>
  <c r="P105" i="17"/>
  <c r="P115" i="17" a="1"/>
  <c r="P115" i="17"/>
  <c r="P128" i="17" a="1"/>
  <c r="P128" i="17"/>
  <c r="P129" i="17" a="1"/>
  <c r="P129" i="17"/>
  <c r="P148" i="17" a="1"/>
  <c r="P148" i="17"/>
  <c r="P149" i="17" a="1"/>
  <c r="P149" i="17"/>
  <c r="P168" i="17" a="1"/>
  <c r="P168" i="17"/>
  <c r="P169" i="17" a="1"/>
  <c r="P169" i="17"/>
  <c r="P188" i="17" a="1"/>
  <c r="P188" i="17"/>
  <c r="P189" i="17" a="1"/>
  <c r="P189" i="17" s="1"/>
  <c r="P208" i="17" a="1"/>
  <c r="P208" i="17" s="1"/>
  <c r="P209" i="17" a="1"/>
  <c r="P209" i="17" s="1"/>
  <c r="P228" i="17" a="1"/>
  <c r="P228" i="17" s="1"/>
  <c r="P229" i="17" a="1"/>
  <c r="P229" i="17"/>
  <c r="P248" i="17" a="1"/>
  <c r="P248" i="17" s="1"/>
  <c r="P249" i="17" a="1"/>
  <c r="P249" i="17" s="1"/>
  <c r="P268" i="17" a="1"/>
  <c r="P268" i="17" s="1"/>
  <c r="P269" i="17" a="1"/>
  <c r="P269" i="17" s="1"/>
  <c r="P288" i="17" a="1"/>
  <c r="P288" i="17" s="1"/>
  <c r="P289" i="17" a="1"/>
  <c r="P289" i="17" s="1"/>
  <c r="P308" i="17" a="1"/>
  <c r="P308" i="17" s="1"/>
  <c r="P309" i="17" a="1"/>
  <c r="P309" i="17" s="1"/>
  <c r="P345" i="17" a="1"/>
  <c r="P345" i="17" s="1"/>
  <c r="P355" i="17" a="1"/>
  <c r="P355" i="17" s="1"/>
  <c r="P365" i="17" a="1"/>
  <c r="P365" i="17" s="1"/>
  <c r="P375" i="17" a="1"/>
  <c r="P375" i="17"/>
  <c r="P385" i="17" a="1"/>
  <c r="P385" i="17" s="1"/>
  <c r="P395" i="17" a="1"/>
  <c r="P395" i="17" s="1"/>
  <c r="P405" i="17" a="1"/>
  <c r="P405" i="17" s="1"/>
  <c r="P415" i="17" a="1"/>
  <c r="P415" i="17" s="1"/>
  <c r="P425" i="17" a="1"/>
  <c r="P425" i="17" s="1"/>
  <c r="P435" i="17" a="1"/>
  <c r="P435" i="17"/>
  <c r="P445" i="17" a="1"/>
  <c r="P445" i="17" s="1"/>
  <c r="P470" i="17" a="1"/>
  <c r="P470" i="17" s="1"/>
  <c r="P471" i="17" a="1"/>
  <c r="P471" i="17"/>
  <c r="P472" i="17" a="1"/>
  <c r="P472" i="17" s="1"/>
  <c r="P473" i="17" a="1"/>
  <c r="P473" i="17"/>
  <c r="P474" i="17" a="1"/>
  <c r="P474" i="17" s="1"/>
  <c r="P475" i="17" a="1"/>
  <c r="P475" i="17" s="1"/>
  <c r="P328" i="17" a="1"/>
  <c r="P328" i="17" s="1"/>
  <c r="P329" i="17" a="1"/>
  <c r="P329" i="17" s="1"/>
  <c r="P6" i="17" a="1"/>
  <c r="P6" i="17" s="1"/>
  <c r="P16" i="17" a="1"/>
  <c r="P16" i="17"/>
  <c r="P26" i="17" a="1"/>
  <c r="P26" i="17" s="1"/>
  <c r="P56" i="17" a="1"/>
  <c r="P56" i="17" s="1"/>
  <c r="P57" i="17" a="1"/>
  <c r="P57" i="17" s="1"/>
  <c r="P58" i="17" a="1"/>
  <c r="P58" i="17"/>
  <c r="P59" i="17" a="1"/>
  <c r="P59" i="17"/>
  <c r="P60" i="17" a="1"/>
  <c r="P60" i="17"/>
  <c r="P61" i="17" a="1"/>
  <c r="P61" i="17"/>
  <c r="P96" i="17" a="1"/>
  <c r="P96" i="17"/>
  <c r="P106" i="17" a="1"/>
  <c r="P106" i="17"/>
  <c r="P116" i="17" a="1"/>
  <c r="P116" i="17"/>
  <c r="P130" i="17" a="1"/>
  <c r="P130" i="17"/>
  <c r="P131" i="17" a="1"/>
  <c r="P131" i="17"/>
  <c r="P150" i="17" a="1"/>
  <c r="P150" i="17"/>
  <c r="P151" i="17" a="1"/>
  <c r="P151" i="17"/>
  <c r="P170" i="17" a="1"/>
  <c r="P170" i="17" s="1"/>
  <c r="P171" i="17" a="1"/>
  <c r="P171" i="17" s="1"/>
  <c r="P190" i="17" a="1"/>
  <c r="P190" i="17"/>
  <c r="P191" i="17" a="1"/>
  <c r="P191" i="17" s="1"/>
  <c r="P210" i="17" a="1"/>
  <c r="P210" i="17" s="1"/>
  <c r="P211" i="17" a="1"/>
  <c r="P211" i="17" s="1"/>
  <c r="P230" i="17" a="1"/>
  <c r="P230" i="17" s="1"/>
  <c r="P231" i="17" a="1"/>
  <c r="P231" i="17" s="1"/>
  <c r="P250" i="17" a="1"/>
  <c r="P250" i="17" s="1"/>
  <c r="P251" i="17" a="1"/>
  <c r="P251" i="17" s="1"/>
  <c r="P270" i="17" a="1"/>
  <c r="P270" i="17" s="1"/>
  <c r="P271" i="17" a="1"/>
  <c r="P271" i="17" s="1"/>
  <c r="P290" i="17" a="1"/>
  <c r="P290" i="17" s="1"/>
  <c r="P291" i="17" a="1"/>
  <c r="P291" i="17" s="1"/>
  <c r="P310" i="17" a="1"/>
  <c r="P310" i="17" s="1"/>
  <c r="P311" i="17" a="1"/>
  <c r="P311" i="17"/>
  <c r="P346" i="17" a="1"/>
  <c r="P346" i="17" s="1"/>
  <c r="P356" i="17" a="1"/>
  <c r="P356" i="17" s="1"/>
  <c r="P366" i="17" a="1"/>
  <c r="P366" i="17" s="1"/>
  <c r="P376" i="17" a="1"/>
  <c r="P376" i="17" s="1"/>
  <c r="P386" i="17" a="1"/>
  <c r="P386" i="17" s="1"/>
  <c r="P396" i="17" a="1"/>
  <c r="P396" i="17" s="1"/>
  <c r="P406" i="17" a="1"/>
  <c r="P406" i="17" s="1"/>
  <c r="P416" i="17" a="1"/>
  <c r="P416" i="17"/>
  <c r="P426" i="17" a="1"/>
  <c r="P426" i="17" s="1"/>
  <c r="P436" i="17" a="1"/>
  <c r="P436" i="17" s="1"/>
  <c r="P446" i="17" a="1"/>
  <c r="P446" i="17" s="1"/>
  <c r="P476" i="17" a="1"/>
  <c r="P476" i="17" s="1"/>
  <c r="P477" i="17" a="1"/>
  <c r="P477" i="17" s="1"/>
  <c r="P478" i="17" a="1"/>
  <c r="P478" i="17"/>
  <c r="P479" i="17" a="1"/>
  <c r="P479" i="17" s="1"/>
  <c r="P480" i="17" a="1"/>
  <c r="P480" i="17"/>
  <c r="P481" i="17" a="1"/>
  <c r="P481" i="17" s="1"/>
  <c r="P330" i="17" a="1"/>
  <c r="P330" i="17" s="1"/>
  <c r="P331" i="17" a="1"/>
  <c r="P331" i="17" s="1"/>
  <c r="P7" i="17" a="1"/>
  <c r="P7" i="17"/>
  <c r="P17" i="17" a="1"/>
  <c r="P17" i="17" s="1"/>
  <c r="P27" i="17" a="1"/>
  <c r="P27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/>
  <c r="P97" i="17" a="1"/>
  <c r="P97" i="17" s="1"/>
  <c r="P107" i="17" a="1"/>
  <c r="P107" i="17" s="1"/>
  <c r="P117" i="17" a="1"/>
  <c r="P117" i="17" s="1"/>
  <c r="P132" i="17" a="1"/>
  <c r="P132" i="17" s="1"/>
  <c r="P133" i="17" a="1"/>
  <c r="P133" i="17" s="1"/>
  <c r="P152" i="17" a="1"/>
  <c r="P152" i="17" s="1"/>
  <c r="P153" i="17" a="1"/>
  <c r="P153" i="17"/>
  <c r="P172" i="17" a="1"/>
  <c r="P172" i="17" s="1"/>
  <c r="P173" i="17" a="1"/>
  <c r="P173" i="17" s="1"/>
  <c r="P192" i="17" a="1"/>
  <c r="P192" i="17" s="1"/>
  <c r="P193" i="17" a="1"/>
  <c r="P193" i="17" s="1"/>
  <c r="P212" i="17" a="1"/>
  <c r="P212" i="17" s="1"/>
  <c r="P213" i="17" a="1"/>
  <c r="P213" i="17"/>
  <c r="P232" i="17" a="1"/>
  <c r="P232" i="17" s="1"/>
  <c r="P233" i="17" a="1"/>
  <c r="P233" i="17" s="1"/>
  <c r="P252" i="17" a="1"/>
  <c r="P252" i="17"/>
  <c r="P253" i="17" a="1"/>
  <c r="P253" i="17" s="1"/>
  <c r="P272" i="17" a="1"/>
  <c r="P272" i="17"/>
  <c r="P273" i="17" a="1"/>
  <c r="P273" i="17" s="1"/>
  <c r="P292" i="17" a="1"/>
  <c r="P292" i="17"/>
  <c r="P293" i="17" a="1"/>
  <c r="P293" i="17" s="1"/>
  <c r="P312" i="17" a="1"/>
  <c r="P312" i="17"/>
  <c r="P313" i="17" a="1"/>
  <c r="P313" i="17" s="1"/>
  <c r="P347" i="17" a="1"/>
  <c r="P347" i="17"/>
  <c r="P357" i="17" a="1"/>
  <c r="P357" i="17" s="1"/>
  <c r="P367" i="17" a="1"/>
  <c r="P367" i="17"/>
  <c r="P377" i="17" a="1"/>
  <c r="P377" i="17" s="1"/>
  <c r="P387" i="17" a="1"/>
  <c r="P387" i="17" s="1"/>
  <c r="P397" i="17" a="1"/>
  <c r="P397" i="17" s="1"/>
  <c r="P407" i="17" a="1"/>
  <c r="P407" i="17" s="1"/>
  <c r="P417" i="17" a="1"/>
  <c r="P417" i="17" s="1"/>
  <c r="P427" i="17" a="1"/>
  <c r="P427" i="17" s="1"/>
  <c r="P437" i="17" a="1"/>
  <c r="P437" i="17" s="1"/>
  <c r="P447" i="17" a="1"/>
  <c r="P447" i="17" s="1"/>
  <c r="P482" i="17" a="1"/>
  <c r="P482" i="17" s="1"/>
  <c r="P483" i="17" a="1"/>
  <c r="P483" i="17" s="1"/>
  <c r="P484" i="17" a="1"/>
  <c r="P484" i="17" s="1"/>
  <c r="P485" i="17" a="1"/>
  <c r="P485" i="17"/>
  <c r="P486" i="17" a="1"/>
  <c r="P486" i="17" s="1"/>
  <c r="P487" i="17" a="1"/>
  <c r="P487" i="17" s="1"/>
  <c r="P332" i="17" a="1"/>
  <c r="P332" i="17" s="1"/>
  <c r="P333" i="17" a="1"/>
  <c r="P333" i="17" s="1"/>
  <c r="P8" i="17" a="1"/>
  <c r="P8" i="17"/>
  <c r="P18" i="17" a="1"/>
  <c r="P18" i="17" s="1"/>
  <c r="P28" i="17" a="1"/>
  <c r="P28" i="17"/>
  <c r="P68" i="17" a="1"/>
  <c r="P68" i="17" s="1"/>
  <c r="P69" i="17" a="1"/>
  <c r="P69" i="17"/>
  <c r="P70" i="17" a="1"/>
  <c r="P70" i="17" s="1"/>
  <c r="P71" i="17" a="1"/>
  <c r="P71" i="17"/>
  <c r="P72" i="17" a="1"/>
  <c r="P72" i="17" s="1"/>
  <c r="P73" i="17" a="1"/>
  <c r="P73" i="17"/>
  <c r="P98" i="17" a="1"/>
  <c r="P98" i="17" s="1"/>
  <c r="P108" i="17" a="1"/>
  <c r="P108" i="17" s="1"/>
  <c r="P118" i="17" a="1"/>
  <c r="P118" i="17" s="1"/>
  <c r="P134" i="17" a="1"/>
  <c r="P134" i="17" s="1"/>
  <c r="P135" i="17" a="1"/>
  <c r="P135" i="17" s="1"/>
  <c r="P154" i="17" a="1"/>
  <c r="P154" i="17"/>
  <c r="P155" i="17" a="1"/>
  <c r="P155" i="17" s="1"/>
  <c r="P174" i="17" a="1"/>
  <c r="P174" i="17"/>
  <c r="P175" i="17" a="1"/>
  <c r="P175" i="17" s="1"/>
  <c r="P194" i="17" a="1"/>
  <c r="P194" i="17" s="1"/>
  <c r="P195" i="17" a="1"/>
  <c r="P195" i="17" s="1"/>
  <c r="P214" i="17" a="1"/>
  <c r="P214" i="17"/>
  <c r="P215" i="17" a="1"/>
  <c r="P215" i="17" s="1"/>
  <c r="P234" i="17" a="1"/>
  <c r="P234" i="17" s="1"/>
  <c r="P235" i="17" a="1"/>
  <c r="P235" i="17"/>
  <c r="P254" i="17" a="1"/>
  <c r="P254" i="17" s="1"/>
  <c r="P255" i="17" a="1"/>
  <c r="P255" i="17"/>
  <c r="P274" i="17" a="1"/>
  <c r="P274" i="17" s="1"/>
  <c r="P275" i="17" a="1"/>
  <c r="P275" i="17" s="1"/>
  <c r="P294" i="17" a="1"/>
  <c r="P294" i="17" s="1"/>
  <c r="P295" i="17" a="1"/>
  <c r="P295" i="17" s="1"/>
  <c r="P314" i="17" a="1"/>
  <c r="P314" i="17" s="1"/>
  <c r="P315" i="17" a="1"/>
  <c r="P315" i="17"/>
  <c r="P348" i="17" a="1"/>
  <c r="P348" i="17" s="1"/>
  <c r="P358" i="17" a="1"/>
  <c r="P358" i="17"/>
  <c r="P368" i="17" a="1"/>
  <c r="P368" i="17" s="1"/>
  <c r="P378" i="17" a="1"/>
  <c r="P378" i="17"/>
  <c r="P388" i="17" a="1"/>
  <c r="P388" i="17" s="1"/>
  <c r="P398" i="17" a="1"/>
  <c r="P398" i="17" s="1"/>
  <c r="P408" i="17" a="1"/>
  <c r="P408" i="17" s="1"/>
  <c r="P418" i="17" a="1"/>
  <c r="P418" i="17" s="1"/>
  <c r="P428" i="17" a="1"/>
  <c r="P428" i="17" s="1"/>
  <c r="P438" i="17" a="1"/>
  <c r="P438" i="17"/>
  <c r="P448" i="17" a="1"/>
  <c r="P448" i="17" s="1"/>
  <c r="P488" i="17" a="1"/>
  <c r="P488" i="17" s="1"/>
  <c r="P489" i="17" a="1"/>
  <c r="P489" i="17" s="1"/>
  <c r="P490" i="17" a="1"/>
  <c r="P490" i="17" s="1"/>
  <c r="P491" i="17" a="1"/>
  <c r="P491" i="17" s="1"/>
  <c r="P492" i="17" a="1"/>
  <c r="P492" i="17" s="1"/>
  <c r="P493" i="17" a="1"/>
  <c r="P493" i="17" s="1"/>
  <c r="P334" i="17" a="1"/>
  <c r="P334" i="17"/>
  <c r="P335" i="17" a="1"/>
  <c r="P335" i="17" s="1"/>
  <c r="P9" i="17" a="1"/>
  <c r="P9" i="17" s="1"/>
  <c r="P19" i="17" a="1"/>
  <c r="P19" i="17" s="1"/>
  <c r="P29" i="17" a="1"/>
  <c r="P29" i="17" s="1"/>
  <c r="P74" i="17" a="1"/>
  <c r="P74" i="17" s="1"/>
  <c r="P75" i="17" a="1"/>
  <c r="P75" i="17" s="1"/>
  <c r="P76" i="17" a="1"/>
  <c r="P76" i="17" s="1"/>
  <c r="P77" i="17" a="1"/>
  <c r="P77" i="17"/>
  <c r="P78" i="17" a="1"/>
  <c r="P78" i="17" s="1"/>
  <c r="P79" i="17" a="1"/>
  <c r="P79" i="17" s="1"/>
  <c r="P99" i="17" a="1"/>
  <c r="P99" i="17" s="1"/>
  <c r="P109" i="17" a="1"/>
  <c r="P109" i="17" s="1"/>
  <c r="P119" i="17" a="1"/>
  <c r="P119" i="17" s="1"/>
  <c r="P136" i="17" a="1"/>
  <c r="P136" i="17" s="1"/>
  <c r="P137" i="17" a="1"/>
  <c r="P137" i="17"/>
  <c r="P156" i="17" a="1"/>
  <c r="P156" i="17" s="1"/>
  <c r="P157" i="17" a="1"/>
  <c r="P157" i="17" s="1"/>
  <c r="P176" i="17" a="1"/>
  <c r="P176" i="17" s="1"/>
  <c r="P177" i="17" a="1"/>
  <c r="P177" i="17" s="1"/>
  <c r="P196" i="17" a="1"/>
  <c r="P196" i="17" s="1"/>
  <c r="P197" i="17" a="1"/>
  <c r="P197" i="17" s="1"/>
  <c r="P216" i="17" a="1"/>
  <c r="P216" i="17" s="1"/>
  <c r="P217" i="17" a="1"/>
  <c r="P217" i="17"/>
  <c r="P236" i="17" a="1"/>
  <c r="P236" i="17" s="1"/>
  <c r="P237" i="17" a="1"/>
  <c r="P237" i="17" s="1"/>
  <c r="P256" i="17" a="1"/>
  <c r="P256" i="17" s="1"/>
  <c r="P257" i="17" a="1"/>
  <c r="P257" i="17"/>
  <c r="P276" i="17" a="1"/>
  <c r="P276" i="17" s="1"/>
  <c r="P277" i="17" a="1"/>
  <c r="P277" i="17" s="1"/>
  <c r="P296" i="17" a="1"/>
  <c r="P296" i="17" s="1"/>
  <c r="P297" i="17" a="1"/>
  <c r="P297" i="17"/>
  <c r="P316" i="17" a="1"/>
  <c r="P316" i="17" s="1"/>
  <c r="P317" i="17" a="1"/>
  <c r="P317" i="17" s="1"/>
  <c r="P349" i="17" a="1"/>
  <c r="P349" i="17"/>
  <c r="P359" i="17" a="1"/>
  <c r="P359" i="17" s="1"/>
  <c r="P369" i="17" a="1"/>
  <c r="P369" i="17" s="1"/>
  <c r="P379" i="17" a="1"/>
  <c r="P379" i="17" s="1"/>
  <c r="P389" i="17" a="1"/>
  <c r="P389" i="17" s="1"/>
  <c r="P399" i="17" a="1"/>
  <c r="P399" i="17" s="1"/>
  <c r="P409" i="17" a="1"/>
  <c r="P409" i="17" s="1"/>
  <c r="P419" i="17" a="1"/>
  <c r="P419" i="17" s="1"/>
  <c r="P429" i="17" a="1"/>
  <c r="P429" i="17" s="1"/>
  <c r="P439" i="17" a="1"/>
  <c r="P439" i="17" s="1"/>
  <c r="P449" i="17" a="1"/>
  <c r="P449" i="17" s="1"/>
  <c r="P494" i="17" a="1"/>
  <c r="P494" i="17" s="1"/>
  <c r="P495" i="17" a="1"/>
  <c r="P495" i="17"/>
  <c r="P496" i="17" a="1"/>
  <c r="P496" i="17" s="1"/>
  <c r="P497" i="17" a="1"/>
  <c r="P497" i="17" s="1"/>
  <c r="P498" i="17" a="1"/>
  <c r="P498" i="17" s="1"/>
  <c r="P499" i="17" a="1"/>
  <c r="P499" i="17" s="1"/>
  <c r="P336" i="17" a="1"/>
  <c r="P336" i="17"/>
  <c r="P337" i="17" a="1"/>
  <c r="P337" i="17" s="1"/>
  <c r="P10" i="17" a="1"/>
  <c r="P10" i="17"/>
  <c r="P20" i="17" a="1"/>
  <c r="P20" i="17" s="1"/>
  <c r="P30" i="17" a="1"/>
  <c r="P30" i="17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00" i="17" a="1"/>
  <c r="P100" i="17" s="1"/>
  <c r="P110" i="17" a="1"/>
  <c r="P110" i="17" s="1"/>
  <c r="P120" i="17" a="1"/>
  <c r="P120" i="17" s="1"/>
  <c r="P138" i="17" a="1"/>
  <c r="P138" i="17" s="1"/>
  <c r="P139" i="17" a="1"/>
  <c r="P139" i="17" s="1"/>
  <c r="P158" i="17" a="1"/>
  <c r="P158" i="17" s="1"/>
  <c r="P159" i="17" a="1"/>
  <c r="P159" i="17" s="1"/>
  <c r="P178" i="17" a="1"/>
  <c r="P178" i="17" s="1"/>
  <c r="P179" i="17" a="1"/>
  <c r="P179" i="17" s="1"/>
  <c r="P198" i="17" a="1"/>
  <c r="P198" i="17" s="1"/>
  <c r="P199" i="17" a="1"/>
  <c r="P199" i="17" s="1"/>
  <c r="P218" i="17" a="1"/>
  <c r="P218" i="17"/>
  <c r="P219" i="17" a="1"/>
  <c r="P219" i="17" s="1"/>
  <c r="P238" i="17" a="1"/>
  <c r="P238" i="17" s="1"/>
  <c r="P239" i="17" a="1"/>
  <c r="P239" i="17" s="1"/>
  <c r="P258" i="17" a="1"/>
  <c r="P258" i="17" s="1"/>
  <c r="P259" i="17" a="1"/>
  <c r="P259" i="17" s="1"/>
  <c r="P278" i="17" a="1"/>
  <c r="P278" i="17" s="1"/>
  <c r="P279" i="17" a="1"/>
  <c r="P279" i="17" s="1"/>
  <c r="P298" i="17" a="1"/>
  <c r="P298" i="17"/>
  <c r="P299" i="17" a="1"/>
  <c r="P299" i="17" s="1"/>
  <c r="P318" i="17" a="1"/>
  <c r="P318" i="17" s="1"/>
  <c r="P319" i="17" a="1"/>
  <c r="P319" i="17"/>
  <c r="P350" i="17" a="1"/>
  <c r="P350" i="17" s="1"/>
  <c r="P360" i="17" a="1"/>
  <c r="P360" i="17" s="1"/>
  <c r="P370" i="17" a="1"/>
  <c r="P370" i="17" s="1"/>
  <c r="P380" i="17" a="1"/>
  <c r="P380" i="17" s="1"/>
  <c r="P390" i="17" a="1"/>
  <c r="P390" i="17" s="1"/>
  <c r="P400" i="17" a="1"/>
  <c r="P400" i="17" s="1"/>
  <c r="P410" i="17" a="1"/>
  <c r="P410" i="17" s="1"/>
  <c r="P420" i="17" a="1"/>
  <c r="P420" i="17"/>
  <c r="P430" i="17" a="1"/>
  <c r="P430" i="17" s="1"/>
  <c r="P440" i="17" a="1"/>
  <c r="P440" i="17" s="1"/>
  <c r="P450" i="17" a="1"/>
  <c r="P450" i="17" s="1"/>
  <c r="P500" i="17" a="1"/>
  <c r="P500" i="17" s="1"/>
  <c r="P501" i="17" a="1"/>
  <c r="P501" i="17" s="1"/>
  <c r="P502" i="17" a="1"/>
  <c r="P502" i="17" s="1"/>
  <c r="P503" i="17" a="1"/>
  <c r="P503" i="17" s="1"/>
  <c r="P504" i="17" a="1"/>
  <c r="P504" i="17"/>
  <c r="P505" i="17" a="1"/>
  <c r="P505" i="17" s="1"/>
  <c r="P338" i="17" a="1"/>
  <c r="P338" i="17" s="1"/>
  <c r="P339" i="17" a="1"/>
  <c r="P339" i="17" s="1"/>
  <c r="P11" i="17" a="1"/>
  <c r="P11" i="17" s="1"/>
  <c r="P21" i="17" a="1"/>
  <c r="P21" i="17" s="1"/>
  <c r="P31" i="17" a="1"/>
  <c r="P31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/>
  <c r="P91" i="17" a="1"/>
  <c r="P91" i="17" s="1"/>
  <c r="P101" i="17" a="1"/>
  <c r="P101" i="17" s="1"/>
  <c r="P111" i="17" a="1"/>
  <c r="P111" i="17" s="1"/>
  <c r="P121" i="17" a="1"/>
  <c r="P121" i="17" s="1"/>
  <c r="P140" i="17" a="1"/>
  <c r="P140" i="17" s="1"/>
  <c r="P141" i="17" a="1"/>
  <c r="P141" i="17" s="1"/>
  <c r="P160" i="17" a="1"/>
  <c r="P160" i="17" s="1"/>
  <c r="P161" i="17" a="1"/>
  <c r="P161" i="17"/>
  <c r="P180" i="17" a="1"/>
  <c r="P180" i="17" s="1"/>
  <c r="P181" i="17" a="1"/>
  <c r="P181" i="17" s="1"/>
  <c r="P200" i="17" a="1"/>
  <c r="P200" i="17" s="1"/>
  <c r="P201" i="17" a="1"/>
  <c r="P201" i="17" s="1"/>
  <c r="P220" i="17" a="1"/>
  <c r="P220" i="17" s="1"/>
  <c r="P221" i="17" a="1"/>
  <c r="P221" i="17"/>
  <c r="P240" i="17" a="1"/>
  <c r="P240" i="17" s="1"/>
  <c r="P241" i="17" a="1"/>
  <c r="P241" i="17" s="1"/>
  <c r="P260" i="17" a="1"/>
  <c r="P260" i="17" s="1"/>
  <c r="P261" i="17" a="1"/>
  <c r="P261" i="17" s="1"/>
  <c r="P280" i="17" a="1"/>
  <c r="P280" i="17" s="1"/>
  <c r="P281" i="17" a="1"/>
  <c r="P281" i="17" s="1"/>
  <c r="P300" i="17" a="1"/>
  <c r="P300" i="17" s="1"/>
  <c r="P301" i="17" a="1"/>
  <c r="P301" i="17" s="1"/>
  <c r="P320" i="17" a="1"/>
  <c r="P320" i="17" s="1"/>
  <c r="P321" i="17" a="1"/>
  <c r="P321" i="17" s="1"/>
  <c r="P351" i="17" a="1"/>
  <c r="P351" i="17"/>
  <c r="P361" i="17" a="1"/>
  <c r="P361" i="17" s="1"/>
  <c r="P371" i="17" a="1"/>
  <c r="P371" i="17" s="1"/>
  <c r="P381" i="17" a="1"/>
  <c r="P381" i="17" s="1"/>
  <c r="P391" i="17" a="1"/>
  <c r="P391" i="17" s="1"/>
  <c r="P401" i="17" a="1"/>
  <c r="P401" i="17" s="1"/>
  <c r="P411" i="17" a="1"/>
  <c r="P411" i="17" s="1"/>
  <c r="P421" i="17" a="1"/>
  <c r="P421" i="17" s="1"/>
  <c r="P431" i="17" a="1"/>
  <c r="P431" i="17"/>
  <c r="P441" i="17" a="1"/>
  <c r="P441" i="17" s="1"/>
  <c r="P451" i="17" a="1"/>
  <c r="P451" i="17" s="1"/>
  <c r="P506" i="17" a="1"/>
  <c r="P506" i="17" s="1"/>
  <c r="P507" i="17" a="1"/>
  <c r="P507" i="17" s="1"/>
  <c r="P508" i="17" a="1"/>
  <c r="P508" i="17" s="1"/>
  <c r="P509" i="17" a="1"/>
  <c r="P509" i="17" s="1"/>
  <c r="P510" i="17" a="1"/>
  <c r="P510" i="17" s="1"/>
  <c r="P511" i="17" a="1"/>
  <c r="P511" i="17"/>
  <c r="P340" i="17" a="1"/>
  <c r="P340" i="17" s="1"/>
  <c r="P341" i="17" a="1"/>
  <c r="P341" i="17" s="1"/>
  <c r="R2" i="17" a="1"/>
  <c r="R2" i="17" s="1"/>
  <c r="R12" i="17" a="1"/>
  <c r="R12" i="17" s="1"/>
  <c r="R22" i="17" a="1"/>
  <c r="R22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92" i="17" a="1"/>
  <c r="R92" i="17" s="1"/>
  <c r="R102" i="17" a="1"/>
  <c r="R102" i="17" s="1"/>
  <c r="R112" i="17" a="1"/>
  <c r="R112" i="17" s="1"/>
  <c r="R122" i="17" a="1"/>
  <c r="R122" i="17" s="1"/>
  <c r="R123" i="17" a="1"/>
  <c r="R123" i="17" s="1"/>
  <c r="R142" i="17" a="1"/>
  <c r="R142" i="17" s="1"/>
  <c r="R143" i="17" a="1"/>
  <c r="R143" i="17" s="1"/>
  <c r="R162" i="17" a="1"/>
  <c r="R162" i="17" s="1"/>
  <c r="R163" i="17" a="1"/>
  <c r="R163" i="17" s="1"/>
  <c r="R182" i="17" a="1"/>
  <c r="R182" i="17" s="1"/>
  <c r="R183" i="17" a="1"/>
  <c r="R183" i="17" s="1"/>
  <c r="R202" i="17" a="1"/>
  <c r="R202" i="17" s="1"/>
  <c r="R203" i="17" a="1"/>
  <c r="R203" i="17" s="1"/>
  <c r="R222" i="17" a="1"/>
  <c r="R222" i="17" s="1"/>
  <c r="R223" i="17" a="1"/>
  <c r="R223" i="17" s="1"/>
  <c r="R242" i="17" a="1"/>
  <c r="R242" i="17" s="1"/>
  <c r="R243" i="17" a="1"/>
  <c r="R243" i="17" s="1"/>
  <c r="R262" i="17" a="1"/>
  <c r="R262" i="17" s="1"/>
  <c r="R263" i="17" a="1"/>
  <c r="R263" i="17" s="1"/>
  <c r="R282" i="17" a="1"/>
  <c r="R282" i="17" s="1"/>
  <c r="R283" i="17" a="1"/>
  <c r="R283" i="17" s="1"/>
  <c r="R302" i="17" a="1"/>
  <c r="R302" i="17" s="1"/>
  <c r="R303" i="17" a="1"/>
  <c r="R303" i="17" s="1"/>
  <c r="R342" i="17" a="1"/>
  <c r="R342" i="17" s="1"/>
  <c r="R352" i="17" a="1"/>
  <c r="R352" i="17" s="1"/>
  <c r="R362" i="17" a="1"/>
  <c r="R362" i="17" s="1"/>
  <c r="R372" i="17" a="1"/>
  <c r="R372" i="17" s="1"/>
  <c r="R382" i="17" a="1"/>
  <c r="R382" i="17" s="1"/>
  <c r="R392" i="17" a="1"/>
  <c r="R392" i="17" s="1"/>
  <c r="R402" i="17" a="1"/>
  <c r="R402" i="17" s="1"/>
  <c r="R412" i="17" a="1"/>
  <c r="R412" i="17" s="1"/>
  <c r="R422" i="17" a="1"/>
  <c r="R422" i="17" s="1"/>
  <c r="R432" i="17" a="1"/>
  <c r="R432" i="17" s="1"/>
  <c r="R442" i="17" a="1"/>
  <c r="R442" i="17" s="1"/>
  <c r="R452" i="17" a="1"/>
  <c r="R452" i="17" s="1"/>
  <c r="R453" i="17" a="1"/>
  <c r="R453" i="17" s="1"/>
  <c r="R454" i="17" a="1"/>
  <c r="R454" i="17" s="1"/>
  <c r="R455" i="17" a="1"/>
  <c r="R455" i="17" s="1"/>
  <c r="R456" i="17" a="1"/>
  <c r="R456" i="17" s="1"/>
  <c r="R457" i="17" a="1"/>
  <c r="R457" i="17" s="1"/>
  <c r="R322" i="17" a="1"/>
  <c r="R322" i="17" s="1"/>
  <c r="R323" i="17" a="1"/>
  <c r="R323" i="17" s="1"/>
  <c r="R3" i="17" a="1"/>
  <c r="R3" i="17" s="1"/>
  <c r="R13" i="17" a="1"/>
  <c r="R13" i="17" s="1"/>
  <c r="R23" i="17" a="1"/>
  <c r="R23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93" i="17" a="1"/>
  <c r="R93" i="17" s="1"/>
  <c r="R103" i="17" a="1"/>
  <c r="R103" i="17" s="1"/>
  <c r="R113" i="17" a="1"/>
  <c r="R113" i="17" s="1"/>
  <c r="R124" i="17" a="1"/>
  <c r="R124" i="17" s="1"/>
  <c r="R125" i="17" a="1"/>
  <c r="R125" i="17" s="1"/>
  <c r="R144" i="17" a="1"/>
  <c r="R144" i="17" s="1"/>
  <c r="R145" i="17" a="1"/>
  <c r="R145" i="17" s="1"/>
  <c r="R164" i="17" a="1"/>
  <c r="R164" i="17" s="1"/>
  <c r="R165" i="17" a="1"/>
  <c r="R165" i="17" s="1"/>
  <c r="R184" i="17" a="1"/>
  <c r="R184" i="17" s="1"/>
  <c r="R185" i="17" a="1"/>
  <c r="R185" i="17" s="1"/>
  <c r="R204" i="17" a="1"/>
  <c r="R204" i="17" s="1"/>
  <c r="R205" i="17" a="1"/>
  <c r="R205" i="17" s="1"/>
  <c r="R224" i="17" a="1"/>
  <c r="R224" i="17" s="1"/>
  <c r="R225" i="17" a="1"/>
  <c r="R225" i="17" s="1"/>
  <c r="R244" i="17" a="1"/>
  <c r="R244" i="17" s="1"/>
  <c r="R245" i="17" a="1"/>
  <c r="R245" i="17" s="1"/>
  <c r="R264" i="17" a="1"/>
  <c r="R264" i="17" s="1"/>
  <c r="R265" i="17" a="1"/>
  <c r="R265" i="17" s="1"/>
  <c r="R284" i="17" a="1"/>
  <c r="R284" i="17" s="1"/>
  <c r="R285" i="17" a="1"/>
  <c r="R285" i="17" s="1"/>
  <c r="R304" i="17" a="1"/>
  <c r="R304" i="17" s="1"/>
  <c r="R305" i="17" a="1"/>
  <c r="R305" i="17" s="1"/>
  <c r="R343" i="17" a="1"/>
  <c r="R343" i="17" s="1"/>
  <c r="R353" i="17" a="1"/>
  <c r="R353" i="17" s="1"/>
  <c r="R363" i="17" a="1"/>
  <c r="R363" i="17" s="1"/>
  <c r="R373" i="17" a="1"/>
  <c r="R373" i="17" s="1"/>
  <c r="R383" i="17" a="1"/>
  <c r="R383" i="17" s="1"/>
  <c r="R393" i="17" a="1"/>
  <c r="R393" i="17" s="1"/>
  <c r="R403" i="17" a="1"/>
  <c r="R403" i="17" s="1"/>
  <c r="R413" i="17" a="1"/>
  <c r="R413" i="17" s="1"/>
  <c r="R423" i="17" a="1"/>
  <c r="R423" i="17" s="1"/>
  <c r="R433" i="17" a="1"/>
  <c r="R433" i="17" s="1"/>
  <c r="R443" i="17" a="1"/>
  <c r="R443" i="17" s="1"/>
  <c r="R458" i="17" a="1"/>
  <c r="R458" i="17" s="1"/>
  <c r="R459" i="17" a="1"/>
  <c r="R459" i="17" s="1"/>
  <c r="R460" i="17" a="1"/>
  <c r="R460" i="17" s="1"/>
  <c r="R461" i="17" a="1"/>
  <c r="R461" i="17" s="1"/>
  <c r="R462" i="17" a="1"/>
  <c r="R462" i="17" s="1"/>
  <c r="R463" i="17" a="1"/>
  <c r="R463" i="17" s="1"/>
  <c r="R324" i="17" a="1"/>
  <c r="R324" i="17" s="1"/>
  <c r="R325" i="17" a="1"/>
  <c r="R325" i="17" s="1"/>
  <c r="R4" i="17" a="1"/>
  <c r="R4" i="17" s="1"/>
  <c r="R14" i="17" a="1"/>
  <c r="R14" i="17" s="1"/>
  <c r="R24" i="17" a="1"/>
  <c r="R24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94" i="17" a="1"/>
  <c r="R94" i="17" s="1"/>
  <c r="R104" i="17" a="1"/>
  <c r="R104" i="17" s="1"/>
  <c r="R114" i="17" a="1"/>
  <c r="R114" i="17" s="1"/>
  <c r="R126" i="17" a="1"/>
  <c r="R126" i="17" s="1"/>
  <c r="R127" i="17" a="1"/>
  <c r="R127" i="17" s="1"/>
  <c r="R146" i="17" a="1"/>
  <c r="R146" i="17" s="1"/>
  <c r="R147" i="17" a="1"/>
  <c r="R147" i="17" s="1"/>
  <c r="R166" i="17" a="1"/>
  <c r="R166" i="17" s="1"/>
  <c r="R167" i="17" a="1"/>
  <c r="R167" i="17" s="1"/>
  <c r="R186" i="17" a="1"/>
  <c r="R186" i="17" s="1"/>
  <c r="R187" i="17" a="1"/>
  <c r="R187" i="17" s="1"/>
  <c r="R206" i="17" a="1"/>
  <c r="R206" i="17" s="1"/>
  <c r="R207" i="17" a="1"/>
  <c r="R207" i="17" s="1"/>
  <c r="R226" i="17" a="1"/>
  <c r="R226" i="17" s="1"/>
  <c r="R227" i="17" a="1"/>
  <c r="R227" i="17" s="1"/>
  <c r="R246" i="17" a="1"/>
  <c r="R246" i="17" s="1"/>
  <c r="R247" i="17" a="1"/>
  <c r="R247" i="17" s="1"/>
  <c r="R266" i="17" a="1"/>
  <c r="R266" i="17" s="1"/>
  <c r="R267" i="17" a="1"/>
  <c r="R267" i="17" s="1"/>
  <c r="R286" i="17" a="1"/>
  <c r="R286" i="17" s="1"/>
  <c r="R287" i="17" a="1"/>
  <c r="R287" i="17" s="1"/>
  <c r="R306" i="17" a="1"/>
  <c r="R306" i="17" s="1"/>
  <c r="R307" i="17" a="1"/>
  <c r="R307" i="17" s="1"/>
  <c r="R344" i="17" a="1"/>
  <c r="R344" i="17" s="1"/>
  <c r="R354" i="17" a="1"/>
  <c r="R354" i="17" s="1"/>
  <c r="R364" i="17" a="1"/>
  <c r="R364" i="17" s="1"/>
  <c r="R374" i="17" a="1"/>
  <c r="R374" i="17" s="1"/>
  <c r="R384" i="17" a="1"/>
  <c r="R384" i="17" s="1"/>
  <c r="R394" i="17" a="1"/>
  <c r="R394" i="17" s="1"/>
  <c r="R404" i="17" a="1"/>
  <c r="R404" i="17" s="1"/>
  <c r="R414" i="17" a="1"/>
  <c r="R414" i="17" s="1"/>
  <c r="R424" i="17" a="1"/>
  <c r="R424" i="17" s="1"/>
  <c r="R434" i="17" a="1"/>
  <c r="R434" i="17" s="1"/>
  <c r="R444" i="17" a="1"/>
  <c r="R444" i="17" s="1"/>
  <c r="R464" i="17" a="1"/>
  <c r="R464" i="17" s="1"/>
  <c r="R465" i="17" a="1"/>
  <c r="R465" i="17" s="1"/>
  <c r="R466" i="17" a="1"/>
  <c r="R466" i="17" s="1"/>
  <c r="R467" i="17" a="1"/>
  <c r="R467" i="17" s="1"/>
  <c r="R468" i="17" a="1"/>
  <c r="R468" i="17" s="1"/>
  <c r="R469" i="17" a="1"/>
  <c r="R469" i="17" s="1"/>
  <c r="R326" i="17" a="1"/>
  <c r="R326" i="17" s="1"/>
  <c r="R327" i="17" a="1"/>
  <c r="R327" i="17" s="1"/>
  <c r="R5" i="17" a="1"/>
  <c r="R5" i="17" s="1"/>
  <c r="R15" i="17" a="1"/>
  <c r="R15" i="17" s="1"/>
  <c r="R25" i="17" a="1"/>
  <c r="R25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95" i="17" a="1"/>
  <c r="R95" i="17" s="1"/>
  <c r="R105" i="17" a="1"/>
  <c r="R105" i="17" s="1"/>
  <c r="R115" i="17" a="1"/>
  <c r="R115" i="17" s="1"/>
  <c r="R128" i="17" a="1"/>
  <c r="R128" i="17" s="1"/>
  <c r="R129" i="17" a="1"/>
  <c r="R129" i="17" s="1"/>
  <c r="R148" i="17" a="1"/>
  <c r="R148" i="17" s="1"/>
  <c r="R149" i="17" a="1"/>
  <c r="R149" i="17" s="1"/>
  <c r="R168" i="17" a="1"/>
  <c r="R168" i="17" s="1"/>
  <c r="R169" i="17" a="1"/>
  <c r="R169" i="17" s="1"/>
  <c r="R188" i="17" a="1"/>
  <c r="R188" i="17" s="1"/>
  <c r="R189" i="17" a="1"/>
  <c r="R189" i="17" s="1"/>
  <c r="R208" i="17" a="1"/>
  <c r="R208" i="17" s="1"/>
  <c r="R209" i="17" a="1"/>
  <c r="R209" i="17" s="1"/>
  <c r="R228" i="17" a="1"/>
  <c r="R228" i="17" s="1"/>
  <c r="R229" i="17" a="1"/>
  <c r="R229" i="17" s="1"/>
  <c r="R248" i="17" a="1"/>
  <c r="R248" i="17" s="1"/>
  <c r="R249" i="17" a="1"/>
  <c r="R249" i="17" s="1"/>
  <c r="R268" i="17" a="1"/>
  <c r="R268" i="17" s="1"/>
  <c r="R269" i="17" a="1"/>
  <c r="R269" i="17" s="1"/>
  <c r="R288" i="17" a="1"/>
  <c r="R288" i="17" s="1"/>
  <c r="R289" i="17" a="1"/>
  <c r="R289" i="17" s="1"/>
  <c r="R308" i="17" a="1"/>
  <c r="R308" i="17" s="1"/>
  <c r="R309" i="17" a="1"/>
  <c r="R309" i="17" s="1"/>
  <c r="R345" i="17" a="1"/>
  <c r="R345" i="17" s="1"/>
  <c r="R355" i="17" a="1"/>
  <c r="R355" i="17" s="1"/>
  <c r="R365" i="17" a="1"/>
  <c r="R365" i="17" s="1"/>
  <c r="R375" i="17" a="1"/>
  <c r="R375" i="17"/>
  <c r="R385" i="17" a="1"/>
  <c r="R385" i="17" s="1"/>
  <c r="R395" i="17" a="1"/>
  <c r="R395" i="17" s="1"/>
  <c r="R405" i="17" a="1"/>
  <c r="R405" i="17" s="1"/>
  <c r="R415" i="17" a="1"/>
  <c r="R415" i="17" s="1"/>
  <c r="R425" i="17" a="1"/>
  <c r="R425" i="17" s="1"/>
  <c r="R435" i="17" a="1"/>
  <c r="R435" i="17" s="1"/>
  <c r="R445" i="17" a="1"/>
  <c r="R445" i="17" s="1"/>
  <c r="R470" i="17" a="1"/>
  <c r="R470" i="17" s="1"/>
  <c r="R471" i="17" a="1"/>
  <c r="R471" i="17" s="1"/>
  <c r="R472" i="17" a="1"/>
  <c r="R472" i="17" s="1"/>
  <c r="R473" i="17" a="1"/>
  <c r="R473" i="17" s="1"/>
  <c r="R474" i="17" a="1"/>
  <c r="R474" i="17" s="1"/>
  <c r="R475" i="17" a="1"/>
  <c r="R475" i="17" s="1"/>
  <c r="R328" i="17" a="1"/>
  <c r="R328" i="17" s="1"/>
  <c r="R329" i="17" a="1"/>
  <c r="R329" i="17" s="1"/>
  <c r="R6" i="17" a="1"/>
  <c r="R6" i="17" s="1"/>
  <c r="R16" i="17" a="1"/>
  <c r="R16" i="17" s="1"/>
  <c r="R26" i="17" a="1"/>
  <c r="R26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96" i="17" a="1"/>
  <c r="R96" i="17" s="1"/>
  <c r="R106" i="17" a="1"/>
  <c r="R106" i="17" s="1"/>
  <c r="R116" i="17" a="1"/>
  <c r="R116" i="17" s="1"/>
  <c r="R130" i="17" a="1"/>
  <c r="R130" i="17" s="1"/>
  <c r="R131" i="17" a="1"/>
  <c r="R131" i="17" s="1"/>
  <c r="R150" i="17" a="1"/>
  <c r="R150" i="17" s="1"/>
  <c r="R151" i="17" a="1"/>
  <c r="R151" i="17" s="1"/>
  <c r="R170" i="17" a="1"/>
  <c r="R170" i="17"/>
  <c r="R171" i="17" a="1"/>
  <c r="R171" i="17" s="1"/>
  <c r="R190" i="17" a="1"/>
  <c r="R190" i="17" s="1"/>
  <c r="R191" i="17" a="1"/>
  <c r="R191" i="17" s="1"/>
  <c r="R210" i="17" a="1"/>
  <c r="R210" i="17" s="1"/>
  <c r="R211" i="17" a="1"/>
  <c r="R211" i="17" s="1"/>
  <c r="R230" i="17" a="1"/>
  <c r="R230" i="17" s="1"/>
  <c r="R231" i="17" a="1"/>
  <c r="R231" i="17" s="1"/>
  <c r="R250" i="17" a="1"/>
  <c r="R250" i="17" s="1"/>
  <c r="R251" i="17" a="1"/>
  <c r="R251" i="17" s="1"/>
  <c r="R270" i="17" a="1"/>
  <c r="R270" i="17" s="1"/>
  <c r="R271" i="17" a="1"/>
  <c r="R271" i="17" s="1"/>
  <c r="R290" i="17" a="1"/>
  <c r="R290" i="17" s="1"/>
  <c r="R291" i="17" a="1"/>
  <c r="R291" i="17" s="1"/>
  <c r="R310" i="17" a="1"/>
  <c r="R310" i="17" s="1"/>
  <c r="R311" i="17" a="1"/>
  <c r="R311" i="17" s="1"/>
  <c r="R346" i="17" a="1"/>
  <c r="R346" i="17" s="1"/>
  <c r="R356" i="17" a="1"/>
  <c r="R356" i="17" s="1"/>
  <c r="R366" i="17" a="1"/>
  <c r="R366" i="17" s="1"/>
  <c r="R376" i="17" a="1"/>
  <c r="R376" i="17" s="1"/>
  <c r="R386" i="17" a="1"/>
  <c r="R386" i="17" s="1"/>
  <c r="R396" i="17" a="1"/>
  <c r="R396" i="17" s="1"/>
  <c r="R406" i="17" a="1"/>
  <c r="R406" i="17" s="1"/>
  <c r="R416" i="17" a="1"/>
  <c r="R416" i="17" s="1"/>
  <c r="R426" i="17" a="1"/>
  <c r="R426" i="17" s="1"/>
  <c r="R436" i="17" a="1"/>
  <c r="R436" i="17" s="1"/>
  <c r="R446" i="17" a="1"/>
  <c r="R446" i="17" s="1"/>
  <c r="R476" i="17" a="1"/>
  <c r="R476" i="17" s="1"/>
  <c r="R477" i="17" a="1"/>
  <c r="R477" i="17" s="1"/>
  <c r="R478" i="17" a="1"/>
  <c r="R478" i="17" s="1"/>
  <c r="R479" i="17" a="1"/>
  <c r="R479" i="17" s="1"/>
  <c r="R480" i="17" a="1"/>
  <c r="R480" i="17" s="1"/>
  <c r="R481" i="17" a="1"/>
  <c r="R481" i="17"/>
  <c r="R330" i="17" a="1"/>
  <c r="R330" i="17" s="1"/>
  <c r="R331" i="17" a="1"/>
  <c r="R331" i="17" s="1"/>
  <c r="R7" i="17" a="1"/>
  <c r="R7" i="17" s="1"/>
  <c r="R17" i="17" a="1"/>
  <c r="R17" i="17" s="1"/>
  <c r="R27" i="17" a="1"/>
  <c r="R27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97" i="17" a="1"/>
  <c r="R97" i="17" s="1"/>
  <c r="R107" i="17" a="1"/>
  <c r="R107" i="17" s="1"/>
  <c r="R117" i="17" a="1"/>
  <c r="R117" i="17" s="1"/>
  <c r="R132" i="17" a="1"/>
  <c r="R132" i="17" s="1"/>
  <c r="R133" i="17" a="1"/>
  <c r="R133" i="17" s="1"/>
  <c r="R152" i="17" a="1"/>
  <c r="R152" i="17" s="1"/>
  <c r="R153" i="17" a="1"/>
  <c r="R153" i="17" s="1"/>
  <c r="R172" i="17" a="1"/>
  <c r="R172" i="17" s="1"/>
  <c r="R173" i="17" a="1"/>
  <c r="R173" i="17" s="1"/>
  <c r="R192" i="17" a="1"/>
  <c r="R192" i="17" s="1"/>
  <c r="R193" i="17" a="1"/>
  <c r="R193" i="17" s="1"/>
  <c r="R212" i="17" a="1"/>
  <c r="R212" i="17" s="1"/>
  <c r="R213" i="17" a="1"/>
  <c r="R213" i="17"/>
  <c r="R232" i="17" a="1"/>
  <c r="R232" i="17" s="1"/>
  <c r="R233" i="17" a="1"/>
  <c r="R233" i="17" s="1"/>
  <c r="R252" i="17" a="1"/>
  <c r="R252" i="17" s="1"/>
  <c r="R253" i="17" a="1"/>
  <c r="R253" i="17" s="1"/>
  <c r="R272" i="17" a="1"/>
  <c r="R272" i="17" s="1"/>
  <c r="R273" i="17" a="1"/>
  <c r="R273" i="17" s="1"/>
  <c r="R292" i="17" a="1"/>
  <c r="R292" i="17" s="1"/>
  <c r="R293" i="17" a="1"/>
  <c r="R293" i="17" s="1"/>
  <c r="R312" i="17" a="1"/>
  <c r="R312" i="17" s="1"/>
  <c r="R313" i="17" a="1"/>
  <c r="R313" i="17" s="1"/>
  <c r="R347" i="17" a="1"/>
  <c r="R347" i="17" s="1"/>
  <c r="R357" i="17" a="1"/>
  <c r="R357" i="17" s="1"/>
  <c r="R367" i="17" a="1"/>
  <c r="R367" i="17" s="1"/>
  <c r="R377" i="17" a="1"/>
  <c r="R377" i="17" s="1"/>
  <c r="R387" i="17" a="1"/>
  <c r="R387" i="17" s="1"/>
  <c r="R397" i="17" a="1"/>
  <c r="R397" i="17" s="1"/>
  <c r="R407" i="17" a="1"/>
  <c r="R407" i="17" s="1"/>
  <c r="R417" i="17" a="1"/>
  <c r="R417" i="17" s="1"/>
  <c r="R427" i="17" a="1"/>
  <c r="R427" i="17" s="1"/>
  <c r="R437" i="17" a="1"/>
  <c r="R437" i="17" s="1"/>
  <c r="R447" i="17" a="1"/>
  <c r="R447" i="17" s="1"/>
  <c r="R482" i="17" a="1"/>
  <c r="R482" i="17" s="1"/>
  <c r="R483" i="17" a="1"/>
  <c r="R483" i="17" s="1"/>
  <c r="R484" i="17" a="1"/>
  <c r="R484" i="17"/>
  <c r="R485" i="17" a="1"/>
  <c r="R485" i="17" s="1"/>
  <c r="R486" i="17" a="1"/>
  <c r="R486" i="17" s="1"/>
  <c r="R487" i="17" a="1"/>
  <c r="R487" i="17" s="1"/>
  <c r="R332" i="17" a="1"/>
  <c r="R332" i="17" s="1"/>
  <c r="R333" i="17" a="1"/>
  <c r="R333" i="17" s="1"/>
  <c r="R8" i="17" a="1"/>
  <c r="R8" i="17" s="1"/>
  <c r="R18" i="17" a="1"/>
  <c r="R18" i="17" s="1"/>
  <c r="R28" i="17" a="1"/>
  <c r="R28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98" i="17" a="1"/>
  <c r="R98" i="17" s="1"/>
  <c r="R108" i="17" a="1"/>
  <c r="R108" i="17" s="1"/>
  <c r="R118" i="17" a="1"/>
  <c r="R118" i="17" s="1"/>
  <c r="R134" i="17" a="1"/>
  <c r="R134" i="17" s="1"/>
  <c r="R135" i="17" a="1"/>
  <c r="R135" i="17" s="1"/>
  <c r="R154" i="17" a="1"/>
  <c r="R154" i="17"/>
  <c r="R155" i="17" a="1"/>
  <c r="R155" i="17" s="1"/>
  <c r="R174" i="17" a="1"/>
  <c r="R174" i="17" s="1"/>
  <c r="R175" i="17" a="1"/>
  <c r="R175" i="17" s="1"/>
  <c r="R194" i="17" a="1"/>
  <c r="R194" i="17" s="1"/>
  <c r="R195" i="17" a="1"/>
  <c r="R195" i="17" s="1"/>
  <c r="R214" i="17" a="1"/>
  <c r="R214" i="17" s="1"/>
  <c r="R215" i="17" a="1"/>
  <c r="R215" i="17" s="1"/>
  <c r="R234" i="17" a="1"/>
  <c r="R234" i="17" s="1"/>
  <c r="R235" i="17" a="1"/>
  <c r="R235" i="17" s="1"/>
  <c r="R254" i="17" a="1"/>
  <c r="R254" i="17" s="1"/>
  <c r="R255" i="17" a="1"/>
  <c r="R255" i="17" s="1"/>
  <c r="R274" i="17" a="1"/>
  <c r="R274" i="17" s="1"/>
  <c r="R275" i="17" a="1"/>
  <c r="R275" i="17" s="1"/>
  <c r="R294" i="17" a="1"/>
  <c r="R294" i="17" s="1"/>
  <c r="R295" i="17" a="1"/>
  <c r="R295" i="17" s="1"/>
  <c r="R314" i="17" a="1"/>
  <c r="R314" i="17" s="1"/>
  <c r="R315" i="17" a="1"/>
  <c r="R315" i="17" s="1"/>
  <c r="R348" i="17" a="1"/>
  <c r="R348" i="17" s="1"/>
  <c r="R358" i="17" a="1"/>
  <c r="R358" i="17" s="1"/>
  <c r="R368" i="17" a="1"/>
  <c r="R368" i="17"/>
  <c r="R378" i="17" a="1"/>
  <c r="R378" i="17" s="1"/>
  <c r="R388" i="17" a="1"/>
  <c r="R388" i="17" s="1"/>
  <c r="R398" i="17" a="1"/>
  <c r="R398" i="17" s="1"/>
  <c r="R408" i="17" a="1"/>
  <c r="R408" i="17" s="1"/>
  <c r="R418" i="17" a="1"/>
  <c r="R418" i="17" s="1"/>
  <c r="R428" i="17" a="1"/>
  <c r="R428" i="17" s="1"/>
  <c r="R438" i="17" a="1"/>
  <c r="R438" i="17" s="1"/>
  <c r="R448" i="17" a="1"/>
  <c r="R448" i="17" s="1"/>
  <c r="R488" i="17" a="1"/>
  <c r="R488" i="17" s="1"/>
  <c r="R489" i="17" a="1"/>
  <c r="R489" i="17" s="1"/>
  <c r="R490" i="17" a="1"/>
  <c r="R490" i="17" s="1"/>
  <c r="R491" i="17" a="1"/>
  <c r="R491" i="17" s="1"/>
  <c r="R492" i="17" a="1"/>
  <c r="R492" i="17" s="1"/>
  <c r="R493" i="17" a="1"/>
  <c r="R493" i="17" s="1"/>
  <c r="R334" i="17" a="1"/>
  <c r="R334" i="17" s="1"/>
  <c r="R335" i="17" a="1"/>
  <c r="R335" i="17" s="1"/>
  <c r="R9" i="17" a="1"/>
  <c r="R9" i="17" s="1"/>
  <c r="R19" i="17" a="1"/>
  <c r="R19" i="17" s="1"/>
  <c r="R29" i="17" a="1"/>
  <c r="R29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/>
  <c r="R79" i="17" a="1"/>
  <c r="R79" i="17" s="1"/>
  <c r="R99" i="17" a="1"/>
  <c r="R99" i="17" s="1"/>
  <c r="R109" i="17" a="1"/>
  <c r="R109" i="17" s="1"/>
  <c r="R119" i="17" a="1"/>
  <c r="R119" i="17" s="1"/>
  <c r="R136" i="17" a="1"/>
  <c r="R136" i="17" s="1"/>
  <c r="R137" i="17" a="1"/>
  <c r="R137" i="17" s="1"/>
  <c r="R156" i="17" a="1"/>
  <c r="R156" i="17" s="1"/>
  <c r="R157" i="17" a="1"/>
  <c r="R157" i="17" s="1"/>
  <c r="R176" i="17" a="1"/>
  <c r="R176" i="17" s="1"/>
  <c r="R177" i="17" a="1"/>
  <c r="R177" i="17" s="1"/>
  <c r="R196" i="17" a="1"/>
  <c r="R196" i="17" s="1"/>
  <c r="R197" i="17" a="1"/>
  <c r="R197" i="17" s="1"/>
  <c r="R216" i="17" a="1"/>
  <c r="R216" i="17" s="1"/>
  <c r="R217" i="17" a="1"/>
  <c r="R217" i="17" s="1"/>
  <c r="R236" i="17" a="1"/>
  <c r="R236" i="17" s="1"/>
  <c r="R237" i="17" a="1"/>
  <c r="R237" i="17" s="1"/>
  <c r="R256" i="17" a="1"/>
  <c r="R256" i="17" s="1"/>
  <c r="R257" i="17" a="1"/>
  <c r="R257" i="17" s="1"/>
  <c r="R276" i="17" a="1"/>
  <c r="R276" i="17" s="1"/>
  <c r="R277" i="17" a="1"/>
  <c r="R277" i="17" s="1"/>
  <c r="R296" i="17" a="1"/>
  <c r="R296" i="17" s="1"/>
  <c r="R297" i="17" a="1"/>
  <c r="R297" i="17" s="1"/>
  <c r="R316" i="17" a="1"/>
  <c r="R316" i="17" s="1"/>
  <c r="R317" i="17" a="1"/>
  <c r="R317" i="17" s="1"/>
  <c r="R349" i="17" a="1"/>
  <c r="R349" i="17" s="1"/>
  <c r="R359" i="17" a="1"/>
  <c r="R359" i="17" s="1"/>
  <c r="R369" i="17" a="1"/>
  <c r="R369" i="17" s="1"/>
  <c r="R379" i="17" a="1"/>
  <c r="R379" i="17" s="1"/>
  <c r="R389" i="17" a="1"/>
  <c r="R389" i="17" s="1"/>
  <c r="R399" i="17" a="1"/>
  <c r="R399" i="17" s="1"/>
  <c r="R409" i="17" a="1"/>
  <c r="R409" i="17" s="1"/>
  <c r="R419" i="17" a="1"/>
  <c r="R419" i="17" s="1"/>
  <c r="R429" i="17" a="1"/>
  <c r="R429" i="17" s="1"/>
  <c r="R439" i="17" a="1"/>
  <c r="R439" i="17" s="1"/>
  <c r="R449" i="17" a="1"/>
  <c r="R449" i="17" s="1"/>
  <c r="R494" i="17" a="1"/>
  <c r="R494" i="17" s="1"/>
  <c r="R495" i="17" a="1"/>
  <c r="R495" i="17" s="1"/>
  <c r="R496" i="17" a="1"/>
  <c r="R496" i="17" s="1"/>
  <c r="R497" i="17" a="1"/>
  <c r="R497" i="17" s="1"/>
  <c r="R498" i="17" a="1"/>
  <c r="R498" i="17" s="1"/>
  <c r="R499" i="17" a="1"/>
  <c r="R499" i="17" s="1"/>
  <c r="R336" i="17" a="1"/>
  <c r="R336" i="17" s="1"/>
  <c r="R337" i="17" a="1"/>
  <c r="R337" i="17" s="1"/>
  <c r="R10" i="17" a="1"/>
  <c r="R10" i="17" s="1"/>
  <c r="R20" i="17" a="1"/>
  <c r="R20" i="17" s="1"/>
  <c r="R30" i="17" a="1"/>
  <c r="R30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00" i="17" a="1"/>
  <c r="R100" i="17" s="1"/>
  <c r="R110" i="17" a="1"/>
  <c r="R110" i="17" s="1"/>
  <c r="R120" i="17" a="1"/>
  <c r="R120" i="17" s="1"/>
  <c r="R138" i="17" a="1"/>
  <c r="R138" i="17" s="1"/>
  <c r="R139" i="17" a="1"/>
  <c r="R139" i="17" s="1"/>
  <c r="R158" i="17" a="1"/>
  <c r="R158" i="17" s="1"/>
  <c r="R159" i="17" a="1"/>
  <c r="R159" i="17" s="1"/>
  <c r="R178" i="17" a="1"/>
  <c r="R178" i="17" s="1"/>
  <c r="R179" i="17" a="1"/>
  <c r="R179" i="17" s="1"/>
  <c r="R198" i="17" a="1"/>
  <c r="R198" i="17" s="1"/>
  <c r="R199" i="17" a="1"/>
  <c r="R199" i="17" s="1"/>
  <c r="R218" i="17" a="1"/>
  <c r="R218" i="17" s="1"/>
  <c r="R219" i="17" a="1"/>
  <c r="R219" i="17" s="1"/>
  <c r="R238" i="17" a="1"/>
  <c r="R238" i="17" s="1"/>
  <c r="R239" i="17" a="1"/>
  <c r="R239" i="17" s="1"/>
  <c r="R258" i="17" a="1"/>
  <c r="R258" i="17" s="1"/>
  <c r="R259" i="17" a="1"/>
  <c r="R259" i="17" s="1"/>
  <c r="R278" i="17" a="1"/>
  <c r="R278" i="17" s="1"/>
  <c r="R279" i="17" a="1"/>
  <c r="R279" i="17" s="1"/>
  <c r="R298" i="17" a="1"/>
  <c r="R298" i="17" s="1"/>
  <c r="R299" i="17" a="1"/>
  <c r="R299" i="17" s="1"/>
  <c r="R318" i="17" a="1"/>
  <c r="R318" i="17" s="1"/>
  <c r="R319" i="17" a="1"/>
  <c r="R319" i="17" s="1"/>
  <c r="R350" i="17" a="1"/>
  <c r="R350" i="17" s="1"/>
  <c r="R360" i="17" a="1"/>
  <c r="R360" i="17" s="1"/>
  <c r="R370" i="17" a="1"/>
  <c r="R370" i="17" s="1"/>
  <c r="R380" i="17" a="1"/>
  <c r="R380" i="17" s="1"/>
  <c r="R390" i="17" a="1"/>
  <c r="R390" i="17" s="1"/>
  <c r="R400" i="17" a="1"/>
  <c r="R400" i="17" s="1"/>
  <c r="R410" i="17" a="1"/>
  <c r="R410" i="17" s="1"/>
  <c r="R420" i="17" a="1"/>
  <c r="R420" i="17" s="1"/>
  <c r="R430" i="17" a="1"/>
  <c r="R430" i="17" s="1"/>
  <c r="R440" i="17" a="1"/>
  <c r="R440" i="17" s="1"/>
  <c r="R450" i="17" a="1"/>
  <c r="R450" i="17" s="1"/>
  <c r="R500" i="17" a="1"/>
  <c r="R500" i="17" s="1"/>
  <c r="R501" i="17" a="1"/>
  <c r="R501" i="17" s="1"/>
  <c r="R502" i="17" a="1"/>
  <c r="R502" i="17" s="1"/>
  <c r="R503" i="17" a="1"/>
  <c r="R503" i="17" s="1"/>
  <c r="R504" i="17" a="1"/>
  <c r="R504" i="17" s="1"/>
  <c r="R505" i="17" a="1"/>
  <c r="R505" i="17" s="1"/>
  <c r="R338" i="17" a="1"/>
  <c r="R338" i="17" s="1"/>
  <c r="R339" i="17" a="1"/>
  <c r="R339" i="17" s="1"/>
  <c r="R11" i="17" a="1"/>
  <c r="R11" i="17" s="1"/>
  <c r="R21" i="17" a="1"/>
  <c r="R21" i="17" s="1"/>
  <c r="R31" i="17" a="1"/>
  <c r="R31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01" i="17" a="1"/>
  <c r="R101" i="17" s="1"/>
  <c r="R111" i="17" a="1"/>
  <c r="R111" i="17" s="1"/>
  <c r="R121" i="17" a="1"/>
  <c r="R121" i="17" s="1"/>
  <c r="R140" i="17" a="1"/>
  <c r="R140" i="17" s="1"/>
  <c r="R141" i="17" a="1"/>
  <c r="R141" i="17" s="1"/>
  <c r="R160" i="17" a="1"/>
  <c r="R160" i="17" s="1"/>
  <c r="R161" i="17" a="1"/>
  <c r="R161" i="17" s="1"/>
  <c r="R180" i="17" a="1"/>
  <c r="R180" i="17" s="1"/>
  <c r="R181" i="17" a="1"/>
  <c r="R181" i="17" s="1"/>
  <c r="R200" i="17" a="1"/>
  <c r="R200" i="17" s="1"/>
  <c r="R201" i="17" a="1"/>
  <c r="R201" i="17" s="1"/>
  <c r="R220" i="17" a="1"/>
  <c r="R220" i="17" s="1"/>
  <c r="R221" i="17" a="1"/>
  <c r="R221" i="17" s="1"/>
  <c r="R240" i="17" a="1"/>
  <c r="R240" i="17" s="1"/>
  <c r="R241" i="17" a="1"/>
  <c r="R241" i="17" s="1"/>
  <c r="R260" i="17" a="1"/>
  <c r="R260" i="17" s="1"/>
  <c r="R261" i="17" a="1"/>
  <c r="R261" i="17" s="1"/>
  <c r="R280" i="17" a="1"/>
  <c r="R280" i="17" s="1"/>
  <c r="R281" i="17" a="1"/>
  <c r="R281" i="17" s="1"/>
  <c r="R300" i="17" a="1"/>
  <c r="R300" i="17" s="1"/>
  <c r="R301" i="17" a="1"/>
  <c r="R301" i="17" s="1"/>
  <c r="R320" i="17" a="1"/>
  <c r="R320" i="17" s="1"/>
  <c r="R321" i="17" a="1"/>
  <c r="R321" i="17" s="1"/>
  <c r="R351" i="17" a="1"/>
  <c r="R351" i="17" s="1"/>
  <c r="R361" i="17" a="1"/>
  <c r="R361" i="17" s="1"/>
  <c r="R371" i="17" a="1"/>
  <c r="R371" i="17" s="1"/>
  <c r="R381" i="17" a="1"/>
  <c r="R381" i="17" s="1"/>
  <c r="R391" i="17" a="1"/>
  <c r="R391" i="17" s="1"/>
  <c r="R401" i="17" a="1"/>
  <c r="R401" i="17" s="1"/>
  <c r="R411" i="17" a="1"/>
  <c r="R411" i="17" s="1"/>
  <c r="R421" i="17" a="1"/>
  <c r="R421" i="17" s="1"/>
  <c r="R431" i="17" a="1"/>
  <c r="R431" i="17" s="1"/>
  <c r="R441" i="17" a="1"/>
  <c r="R441" i="17" s="1"/>
  <c r="R451" i="17" a="1"/>
  <c r="R451" i="17" s="1"/>
  <c r="R506" i="17" a="1"/>
  <c r="R506" i="17" s="1"/>
  <c r="R507" i="17" a="1"/>
  <c r="R507" i="17" s="1"/>
  <c r="R508" i="17" a="1"/>
  <c r="R508" i="17" s="1"/>
  <c r="R509" i="17" a="1"/>
  <c r="R509" i="17" s="1"/>
  <c r="R510" i="17" a="1"/>
  <c r="R510" i="17" s="1"/>
  <c r="R511" i="17" a="1"/>
  <c r="R511" i="17" s="1"/>
  <c r="R340" i="17" a="1"/>
  <c r="R340" i="17" s="1"/>
  <c r="R341" i="17" a="1"/>
  <c r="R341" i="17" s="1"/>
  <c r="S2" i="17" a="1"/>
  <c r="S2" i="17" s="1"/>
  <c r="S12" i="17" a="1"/>
  <c r="S12" i="17" s="1"/>
  <c r="S22" i="17" a="1"/>
  <c r="S22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92" i="17" a="1"/>
  <c r="S92" i="17" s="1"/>
  <c r="S102" i="17" a="1"/>
  <c r="S102" i="17" s="1"/>
  <c r="S112" i="17" a="1"/>
  <c r="S112" i="17" s="1"/>
  <c r="S122" i="17" a="1"/>
  <c r="S122" i="17" s="1"/>
  <c r="S123" i="17" a="1"/>
  <c r="S123" i="17" s="1"/>
  <c r="S142" i="17" a="1"/>
  <c r="S142" i="17" s="1"/>
  <c r="S143" i="17" a="1"/>
  <c r="S143" i="17" s="1"/>
  <c r="S162" i="17" a="1"/>
  <c r="S162" i="17" s="1"/>
  <c r="S163" i="17" a="1"/>
  <c r="S163" i="17" s="1"/>
  <c r="S182" i="17" a="1"/>
  <c r="S182" i="17" s="1"/>
  <c r="S183" i="17" a="1"/>
  <c r="S183" i="17" s="1"/>
  <c r="S202" i="17" a="1"/>
  <c r="S202" i="17" s="1"/>
  <c r="S203" i="17" a="1"/>
  <c r="S203" i="17" s="1"/>
  <c r="S222" i="17" a="1"/>
  <c r="S222" i="17" s="1"/>
  <c r="S223" i="17" a="1"/>
  <c r="S223" i="17" s="1"/>
  <c r="S242" i="17" a="1"/>
  <c r="S242" i="17" s="1"/>
  <c r="S243" i="17" a="1"/>
  <c r="S243" i="17" s="1"/>
  <c r="S262" i="17" a="1"/>
  <c r="S262" i="17" s="1"/>
  <c r="S263" i="17" a="1"/>
  <c r="S263" i="17" s="1"/>
  <c r="S282" i="17" a="1"/>
  <c r="S282" i="17" s="1"/>
  <c r="S283" i="17" a="1"/>
  <c r="S283" i="17" s="1"/>
  <c r="S302" i="17" a="1"/>
  <c r="S302" i="17" s="1"/>
  <c r="S303" i="17" a="1"/>
  <c r="S303" i="17" s="1"/>
  <c r="S342" i="17" a="1"/>
  <c r="S342" i="17" s="1"/>
  <c r="S352" i="17" a="1"/>
  <c r="S352" i="17" s="1"/>
  <c r="S362" i="17" a="1"/>
  <c r="S362" i="17" s="1"/>
  <c r="S372" i="17" a="1"/>
  <c r="S372" i="17" s="1"/>
  <c r="S382" i="17" a="1"/>
  <c r="S382" i="17" s="1"/>
  <c r="S392" i="17" a="1"/>
  <c r="S392" i="17" s="1"/>
  <c r="S402" i="17" a="1"/>
  <c r="S402" i="17" s="1"/>
  <c r="S412" i="17" a="1"/>
  <c r="S412" i="17" s="1"/>
  <c r="S422" i="17" a="1"/>
  <c r="S422" i="17" s="1"/>
  <c r="S432" i="17" a="1"/>
  <c r="S432" i="17" s="1"/>
  <c r="S442" i="17" a="1"/>
  <c r="S442" i="17" s="1"/>
  <c r="S452" i="17" a="1"/>
  <c r="S452" i="17" s="1"/>
  <c r="S453" i="17" a="1"/>
  <c r="S453" i="17" s="1"/>
  <c r="S454" i="17" a="1"/>
  <c r="S454" i="17" s="1"/>
  <c r="S455" i="17" a="1"/>
  <c r="S455" i="17" s="1"/>
  <c r="S456" i="17" a="1"/>
  <c r="S456" i="17" s="1"/>
  <c r="S457" i="17" a="1"/>
  <c r="S457" i="17" s="1"/>
  <c r="S322" i="17" a="1"/>
  <c r="S322" i="17" s="1"/>
  <c r="S323" i="17" a="1"/>
  <c r="S323" i="17" s="1"/>
  <c r="S3" i="17" a="1"/>
  <c r="S3" i="17" s="1"/>
  <c r="S13" i="17" a="1"/>
  <c r="S13" i="17" s="1"/>
  <c r="S23" i="17" a="1"/>
  <c r="S23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93" i="17" a="1"/>
  <c r="S93" i="17" s="1"/>
  <c r="S103" i="17" a="1"/>
  <c r="S103" i="17" s="1"/>
  <c r="S113" i="17" a="1"/>
  <c r="S113" i="17" s="1"/>
  <c r="S124" i="17" a="1"/>
  <c r="S124" i="17" s="1"/>
  <c r="S125" i="17" a="1"/>
  <c r="S125" i="17" s="1"/>
  <c r="S144" i="17" a="1"/>
  <c r="S144" i="17" s="1"/>
  <c r="S145" i="17" a="1"/>
  <c r="S145" i="17" s="1"/>
  <c r="S164" i="17" a="1"/>
  <c r="S164" i="17" s="1"/>
  <c r="S165" i="17" a="1"/>
  <c r="S165" i="17" s="1"/>
  <c r="S184" i="17" a="1"/>
  <c r="S184" i="17" s="1"/>
  <c r="S185" i="17" a="1"/>
  <c r="S185" i="17" s="1"/>
  <c r="S204" i="17" a="1"/>
  <c r="S204" i="17" s="1"/>
  <c r="S205" i="17" a="1"/>
  <c r="S205" i="17" s="1"/>
  <c r="S224" i="17" a="1"/>
  <c r="S224" i="17" s="1"/>
  <c r="S225" i="17" a="1"/>
  <c r="S225" i="17" s="1"/>
  <c r="S244" i="17" a="1"/>
  <c r="S244" i="17" s="1"/>
  <c r="S245" i="17" a="1"/>
  <c r="S245" i="17" s="1"/>
  <c r="S264" i="17" a="1"/>
  <c r="S264" i="17" s="1"/>
  <c r="S265" i="17" a="1"/>
  <c r="S265" i="17" s="1"/>
  <c r="S284" i="17" a="1"/>
  <c r="S284" i="17" s="1"/>
  <c r="S285" i="17" a="1"/>
  <c r="S285" i="17" s="1"/>
  <c r="S304" i="17" a="1"/>
  <c r="S304" i="17" s="1"/>
  <c r="S305" i="17" a="1"/>
  <c r="S305" i="17" s="1"/>
  <c r="S343" i="17" a="1"/>
  <c r="S343" i="17" s="1"/>
  <c r="S353" i="17" a="1"/>
  <c r="S353" i="17" s="1"/>
  <c r="S363" i="17" a="1"/>
  <c r="S363" i="17" s="1"/>
  <c r="S373" i="17" a="1"/>
  <c r="S373" i="17" s="1"/>
  <c r="S383" i="17" a="1"/>
  <c r="S383" i="17" s="1"/>
  <c r="S393" i="17" a="1"/>
  <c r="S393" i="17" s="1"/>
  <c r="S403" i="17" a="1"/>
  <c r="S403" i="17" s="1"/>
  <c r="S413" i="17" a="1"/>
  <c r="S413" i="17" s="1"/>
  <c r="S423" i="17" a="1"/>
  <c r="S423" i="17" s="1"/>
  <c r="S433" i="17" a="1"/>
  <c r="S433" i="17" s="1"/>
  <c r="S443" i="17" a="1"/>
  <c r="S443" i="17" s="1"/>
  <c r="S458" i="17" a="1"/>
  <c r="S458" i="17" s="1"/>
  <c r="S459" i="17" a="1"/>
  <c r="S459" i="17" s="1"/>
  <c r="S460" i="17" a="1"/>
  <c r="S460" i="17" s="1"/>
  <c r="S461" i="17" a="1"/>
  <c r="S461" i="17" s="1"/>
  <c r="S462" i="17" a="1"/>
  <c r="S462" i="17" s="1"/>
  <c r="S463" i="17" a="1"/>
  <c r="S463" i="17" s="1"/>
  <c r="S324" i="17" a="1"/>
  <c r="S324" i="17" s="1"/>
  <c r="S325" i="17" a="1"/>
  <c r="S325" i="17" s="1"/>
  <c r="S4" i="17" a="1"/>
  <c r="S4" i="17" s="1"/>
  <c r="S14" i="17" a="1"/>
  <c r="S14" i="17" s="1"/>
  <c r="S24" i="17" a="1"/>
  <c r="S24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94" i="17" a="1"/>
  <c r="S94" i="17" s="1"/>
  <c r="S104" i="17" a="1"/>
  <c r="S104" i="17" s="1"/>
  <c r="S114" i="17" a="1"/>
  <c r="S114" i="17" s="1"/>
  <c r="S126" i="17" a="1"/>
  <c r="S126" i="17" s="1"/>
  <c r="S127" i="17" a="1"/>
  <c r="S127" i="17" s="1"/>
  <c r="S146" i="17" a="1"/>
  <c r="S146" i="17" s="1"/>
  <c r="S147" i="17" a="1"/>
  <c r="S147" i="17" s="1"/>
  <c r="S166" i="17" a="1"/>
  <c r="S166" i="17" s="1"/>
  <c r="S167" i="17" a="1"/>
  <c r="S167" i="17" s="1"/>
  <c r="S186" i="17" a="1"/>
  <c r="S186" i="17" s="1"/>
  <c r="S187" i="17" a="1"/>
  <c r="S187" i="17" s="1"/>
  <c r="S206" i="17" a="1"/>
  <c r="S206" i="17" s="1"/>
  <c r="S207" i="17" a="1"/>
  <c r="S207" i="17" s="1"/>
  <c r="S226" i="17" a="1"/>
  <c r="S226" i="17" s="1"/>
  <c r="S227" i="17" a="1"/>
  <c r="S227" i="17" s="1"/>
  <c r="S246" i="17" a="1"/>
  <c r="S246" i="17" s="1"/>
  <c r="S247" i="17" a="1"/>
  <c r="S247" i="17" s="1"/>
  <c r="S266" i="17" a="1"/>
  <c r="S266" i="17" s="1"/>
  <c r="S267" i="17" a="1"/>
  <c r="S267" i="17" s="1"/>
  <c r="S286" i="17" a="1"/>
  <c r="S286" i="17" s="1"/>
  <c r="S287" i="17" a="1"/>
  <c r="S287" i="17" s="1"/>
  <c r="S306" i="17" a="1"/>
  <c r="S306" i="17" s="1"/>
  <c r="S307" i="17" a="1"/>
  <c r="S307" i="17" s="1"/>
  <c r="S344" i="17" a="1"/>
  <c r="S344" i="17" s="1"/>
  <c r="S354" i="17" a="1"/>
  <c r="S354" i="17" s="1"/>
  <c r="S364" i="17" a="1"/>
  <c r="S364" i="17" s="1"/>
  <c r="S374" i="17" a="1"/>
  <c r="S374" i="17" s="1"/>
  <c r="S384" i="17" a="1"/>
  <c r="S384" i="17" s="1"/>
  <c r="S394" i="17" a="1"/>
  <c r="S394" i="17" s="1"/>
  <c r="S404" i="17" a="1"/>
  <c r="S404" i="17" s="1"/>
  <c r="S414" i="17" a="1"/>
  <c r="S414" i="17" s="1"/>
  <c r="S424" i="17" a="1"/>
  <c r="S424" i="17" s="1"/>
  <c r="S434" i="17" a="1"/>
  <c r="S434" i="17" s="1"/>
  <c r="S444" i="17" a="1"/>
  <c r="S444" i="17" s="1"/>
  <c r="S464" i="17" a="1"/>
  <c r="S464" i="17" s="1"/>
  <c r="S465" i="17" a="1"/>
  <c r="S465" i="17" s="1"/>
  <c r="S466" i="17" a="1"/>
  <c r="S466" i="17" s="1"/>
  <c r="S467" i="17" a="1"/>
  <c r="S467" i="17" s="1"/>
  <c r="S468" i="17" a="1"/>
  <c r="S468" i="17" s="1"/>
  <c r="S469" i="17" a="1"/>
  <c r="S469" i="17" s="1"/>
  <c r="S326" i="17" a="1"/>
  <c r="S326" i="17" s="1"/>
  <c r="S327" i="17" a="1"/>
  <c r="S327" i="17" s="1"/>
  <c r="S5" i="17" a="1"/>
  <c r="S5" i="17" s="1"/>
  <c r="S15" i="17" a="1"/>
  <c r="S15" i="17" s="1"/>
  <c r="S25" i="17" a="1"/>
  <c r="S25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95" i="17" a="1"/>
  <c r="S95" i="17" s="1"/>
  <c r="S105" i="17" a="1"/>
  <c r="S105" i="17" s="1"/>
  <c r="S115" i="17" a="1"/>
  <c r="S115" i="17" s="1"/>
  <c r="S128" i="17" a="1"/>
  <c r="S128" i="17" s="1"/>
  <c r="S129" i="17" a="1"/>
  <c r="S129" i="17" s="1"/>
  <c r="S148" i="17" a="1"/>
  <c r="S148" i="17" s="1"/>
  <c r="S149" i="17" a="1"/>
  <c r="S149" i="17" s="1"/>
  <c r="S168" i="17" a="1"/>
  <c r="S168" i="17" s="1"/>
  <c r="S169" i="17" a="1"/>
  <c r="S169" i="17" s="1"/>
  <c r="S188" i="17" a="1"/>
  <c r="S188" i="17" s="1"/>
  <c r="S189" i="17" a="1"/>
  <c r="S189" i="17" s="1"/>
  <c r="S208" i="17" a="1"/>
  <c r="S208" i="17" s="1"/>
  <c r="S209" i="17" a="1"/>
  <c r="S209" i="17" s="1"/>
  <c r="S228" i="17" a="1"/>
  <c r="S228" i="17" s="1"/>
  <c r="S229" i="17" a="1"/>
  <c r="S229" i="17" s="1"/>
  <c r="S248" i="17" a="1"/>
  <c r="S248" i="17" s="1"/>
  <c r="S249" i="17" a="1"/>
  <c r="S249" i="17" s="1"/>
  <c r="S268" i="17" a="1"/>
  <c r="S268" i="17" s="1"/>
  <c r="S269" i="17" a="1"/>
  <c r="S269" i="17" s="1"/>
  <c r="S288" i="17" a="1"/>
  <c r="S288" i="17" s="1"/>
  <c r="S289" i="17" a="1"/>
  <c r="S289" i="17" s="1"/>
  <c r="S308" i="17" a="1"/>
  <c r="S308" i="17" s="1"/>
  <c r="S309" i="17" a="1"/>
  <c r="S309" i="17" s="1"/>
  <c r="S345" i="17" a="1"/>
  <c r="S345" i="17" s="1"/>
  <c r="S355" i="17" a="1"/>
  <c r="S355" i="17" s="1"/>
  <c r="S365" i="17" a="1"/>
  <c r="S365" i="17" s="1"/>
  <c r="S375" i="17" a="1"/>
  <c r="S375" i="17" s="1"/>
  <c r="S385" i="17" a="1"/>
  <c r="S385" i="17" s="1"/>
  <c r="S395" i="17" a="1"/>
  <c r="S395" i="17" s="1"/>
  <c r="S405" i="17" a="1"/>
  <c r="S405" i="17" s="1"/>
  <c r="S415" i="17" a="1"/>
  <c r="S415" i="17" s="1"/>
  <c r="S425" i="17" a="1"/>
  <c r="S425" i="17" s="1"/>
  <c r="S435" i="17" a="1"/>
  <c r="S435" i="17" s="1"/>
  <c r="S445" i="17" a="1"/>
  <c r="S445" i="17" s="1"/>
  <c r="S470" i="17" a="1"/>
  <c r="S470" i="17" s="1"/>
  <c r="S471" i="17" a="1"/>
  <c r="S471" i="17" s="1"/>
  <c r="S472" i="17" a="1"/>
  <c r="S472" i="17" s="1"/>
  <c r="S473" i="17" a="1"/>
  <c r="S473" i="17" s="1"/>
  <c r="S474" i="17" a="1"/>
  <c r="S474" i="17" s="1"/>
  <c r="S475" i="17" a="1"/>
  <c r="S475" i="17" s="1"/>
  <c r="S328" i="17" a="1"/>
  <c r="S328" i="17" s="1"/>
  <c r="S329" i="17" a="1"/>
  <c r="S329" i="17" s="1"/>
  <c r="S6" i="17" a="1"/>
  <c r="S6" i="17" s="1"/>
  <c r="S16" i="17" a="1"/>
  <c r="S16" i="17" s="1"/>
  <c r="S26" i="17" a="1"/>
  <c r="S26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96" i="17" a="1"/>
  <c r="S96" i="17" s="1"/>
  <c r="S106" i="17" a="1"/>
  <c r="S106" i="17" s="1"/>
  <c r="S116" i="17" a="1"/>
  <c r="S116" i="17" s="1"/>
  <c r="S130" i="17" a="1"/>
  <c r="S130" i="17" s="1"/>
  <c r="S131" i="17" a="1"/>
  <c r="S131" i="17" s="1"/>
  <c r="S150" i="17" a="1"/>
  <c r="S150" i="17" s="1"/>
  <c r="S151" i="17" a="1"/>
  <c r="S151" i="17" s="1"/>
  <c r="S170" i="17" a="1"/>
  <c r="S170" i="17" s="1"/>
  <c r="S171" i="17" a="1"/>
  <c r="S171" i="17" s="1"/>
  <c r="S190" i="17" a="1"/>
  <c r="S190" i="17" s="1"/>
  <c r="S191" i="17" a="1"/>
  <c r="S191" i="17" s="1"/>
  <c r="S210" i="17" a="1"/>
  <c r="S210" i="17" s="1"/>
  <c r="S211" i="17" a="1"/>
  <c r="S211" i="17" s="1"/>
  <c r="S230" i="17" a="1"/>
  <c r="S230" i="17" s="1"/>
  <c r="S231" i="17" a="1"/>
  <c r="S231" i="17" s="1"/>
  <c r="S250" i="17" a="1"/>
  <c r="S250" i="17" s="1"/>
  <c r="S251" i="17" a="1"/>
  <c r="S251" i="17" s="1"/>
  <c r="S270" i="17" a="1"/>
  <c r="S270" i="17" s="1"/>
  <c r="S271" i="17" a="1"/>
  <c r="S271" i="17" s="1"/>
  <c r="S290" i="17" a="1"/>
  <c r="S290" i="17" s="1"/>
  <c r="S291" i="17" a="1"/>
  <c r="S291" i="17" s="1"/>
  <c r="S310" i="17" a="1"/>
  <c r="S310" i="17" s="1"/>
  <c r="S311" i="17" a="1"/>
  <c r="S311" i="17" s="1"/>
  <c r="S346" i="17" a="1"/>
  <c r="S346" i="17" s="1"/>
  <c r="S356" i="17" a="1"/>
  <c r="S356" i="17" s="1"/>
  <c r="S366" i="17" a="1"/>
  <c r="S366" i="17" s="1"/>
  <c r="S376" i="17" a="1"/>
  <c r="S376" i="17" s="1"/>
  <c r="S386" i="17" a="1"/>
  <c r="S386" i="17" s="1"/>
  <c r="S396" i="17" a="1"/>
  <c r="S396" i="17" s="1"/>
  <c r="S406" i="17" a="1"/>
  <c r="S406" i="17" s="1"/>
  <c r="S416" i="17" a="1"/>
  <c r="S416" i="17" s="1"/>
  <c r="S426" i="17" a="1"/>
  <c r="S426" i="17" s="1"/>
  <c r="S436" i="17" a="1"/>
  <c r="S436" i="17" s="1"/>
  <c r="S446" i="17" a="1"/>
  <c r="S446" i="17" s="1"/>
  <c r="S476" i="17" a="1"/>
  <c r="S476" i="17" s="1"/>
  <c r="S477" i="17" a="1"/>
  <c r="S477" i="17" s="1"/>
  <c r="S478" i="17" a="1"/>
  <c r="S478" i="17" s="1"/>
  <c r="S479" i="17" a="1"/>
  <c r="S479" i="17" s="1"/>
  <c r="S480" i="17" a="1"/>
  <c r="S480" i="17" s="1"/>
  <c r="S481" i="17" a="1"/>
  <c r="S481" i="17" s="1"/>
  <c r="S330" i="17" a="1"/>
  <c r="S330" i="17" s="1"/>
  <c r="S331" i="17" a="1"/>
  <c r="S331" i="17" s="1"/>
  <c r="S7" i="17" a="1"/>
  <c r="S7" i="17" s="1"/>
  <c r="S17" i="17" a="1"/>
  <c r="S17" i="17" s="1"/>
  <c r="S27" i="17" a="1"/>
  <c r="S27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97" i="17" a="1"/>
  <c r="S97" i="17" s="1"/>
  <c r="S107" i="17" a="1"/>
  <c r="S107" i="17" s="1"/>
  <c r="S117" i="17" a="1"/>
  <c r="S117" i="17" s="1"/>
  <c r="S132" i="17" a="1"/>
  <c r="S132" i="17" s="1"/>
  <c r="S133" i="17" a="1"/>
  <c r="S133" i="17" s="1"/>
  <c r="S152" i="17" a="1"/>
  <c r="S152" i="17" s="1"/>
  <c r="S153" i="17" a="1"/>
  <c r="S153" i="17" s="1"/>
  <c r="S172" i="17" a="1"/>
  <c r="S172" i="17" s="1"/>
  <c r="S173" i="17" a="1"/>
  <c r="S173" i="17" s="1"/>
  <c r="S192" i="17" a="1"/>
  <c r="S192" i="17" s="1"/>
  <c r="S193" i="17" a="1"/>
  <c r="S193" i="17" s="1"/>
  <c r="S212" i="17" a="1"/>
  <c r="S212" i="17" s="1"/>
  <c r="S213" i="17" a="1"/>
  <c r="S213" i="17" s="1"/>
  <c r="S232" i="17" a="1"/>
  <c r="S232" i="17" s="1"/>
  <c r="S233" i="17" a="1"/>
  <c r="S233" i="17" s="1"/>
  <c r="S252" i="17" a="1"/>
  <c r="S252" i="17" s="1"/>
  <c r="S253" i="17" a="1"/>
  <c r="S253" i="17" s="1"/>
  <c r="S272" i="17" a="1"/>
  <c r="S272" i="17" s="1"/>
  <c r="S273" i="17" a="1"/>
  <c r="S273" i="17" s="1"/>
  <c r="S292" i="17" a="1"/>
  <c r="S292" i="17" s="1"/>
  <c r="S293" i="17" a="1"/>
  <c r="S293" i="17" s="1"/>
  <c r="S312" i="17" a="1"/>
  <c r="S312" i="17" s="1"/>
  <c r="S313" i="17" a="1"/>
  <c r="S313" i="17" s="1"/>
  <c r="S347" i="17" a="1"/>
  <c r="S347" i="17" s="1"/>
  <c r="S357" i="17" a="1"/>
  <c r="S357" i="17" s="1"/>
  <c r="S367" i="17" a="1"/>
  <c r="S367" i="17" s="1"/>
  <c r="S377" i="17" a="1"/>
  <c r="S377" i="17" s="1"/>
  <c r="S387" i="17" a="1"/>
  <c r="S387" i="17" s="1"/>
  <c r="S397" i="17" a="1"/>
  <c r="S397" i="17" s="1"/>
  <c r="S407" i="17" a="1"/>
  <c r="S407" i="17" s="1"/>
  <c r="S417" i="17" a="1"/>
  <c r="S417" i="17" s="1"/>
  <c r="S427" i="17" a="1"/>
  <c r="S427" i="17" s="1"/>
  <c r="S437" i="17" a="1"/>
  <c r="S437" i="17" s="1"/>
  <c r="S447" i="17" a="1"/>
  <c r="S447" i="17" s="1"/>
  <c r="S482" i="17" a="1"/>
  <c r="S482" i="17" s="1"/>
  <c r="S483" i="17" a="1"/>
  <c r="S483" i="17" s="1"/>
  <c r="S484" i="17" a="1"/>
  <c r="S484" i="17" s="1"/>
  <c r="S485" i="17" a="1"/>
  <c r="S485" i="17" s="1"/>
  <c r="S486" i="17" a="1"/>
  <c r="S486" i="17" s="1"/>
  <c r="S487" i="17" a="1"/>
  <c r="S487" i="17" s="1"/>
  <c r="S332" i="17" a="1"/>
  <c r="S332" i="17" s="1"/>
  <c r="S333" i="17" a="1"/>
  <c r="S333" i="17" s="1"/>
  <c r="S8" i="17" a="1"/>
  <c r="S8" i="17" s="1"/>
  <c r="S18" i="17" a="1"/>
  <c r="S18" i="17" s="1"/>
  <c r="S28" i="17" a="1"/>
  <c r="S28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98" i="17" a="1"/>
  <c r="S98" i="17" s="1"/>
  <c r="S108" i="17" a="1"/>
  <c r="S108" i="17" s="1"/>
  <c r="S118" i="17" a="1"/>
  <c r="S118" i="17" s="1"/>
  <c r="S134" i="17" a="1"/>
  <c r="S134" i="17" s="1"/>
  <c r="S135" i="17" a="1"/>
  <c r="S135" i="17" s="1"/>
  <c r="S154" i="17" a="1"/>
  <c r="S154" i="17" s="1"/>
  <c r="S155" i="17" a="1"/>
  <c r="S155" i="17" s="1"/>
  <c r="S174" i="17" a="1"/>
  <c r="S174" i="17" s="1"/>
  <c r="S175" i="17" a="1"/>
  <c r="S175" i="17" s="1"/>
  <c r="S194" i="17" a="1"/>
  <c r="S194" i="17" s="1"/>
  <c r="S195" i="17" a="1"/>
  <c r="S195" i="17" s="1"/>
  <c r="S214" i="17" a="1"/>
  <c r="S214" i="17" s="1"/>
  <c r="S215" i="17" a="1"/>
  <c r="S215" i="17" s="1"/>
  <c r="S234" i="17" a="1"/>
  <c r="S234" i="17" s="1"/>
  <c r="S235" i="17" a="1"/>
  <c r="S235" i="17" s="1"/>
  <c r="S254" i="17" a="1"/>
  <c r="S254" i="17" s="1"/>
  <c r="S255" i="17" a="1"/>
  <c r="S255" i="17" s="1"/>
  <c r="S274" i="17" a="1"/>
  <c r="S274" i="17" s="1"/>
  <c r="S275" i="17" a="1"/>
  <c r="S275" i="17" s="1"/>
  <c r="S294" i="17" a="1"/>
  <c r="S294" i="17" s="1"/>
  <c r="S295" i="17" a="1"/>
  <c r="S295" i="17" s="1"/>
  <c r="S314" i="17" a="1"/>
  <c r="S314" i="17" s="1"/>
  <c r="S315" i="17" a="1"/>
  <c r="S315" i="17" s="1"/>
  <c r="S348" i="17" a="1"/>
  <c r="S348" i="17" s="1"/>
  <c r="S358" i="17" a="1"/>
  <c r="S358" i="17" s="1"/>
  <c r="S368" i="17" a="1"/>
  <c r="S368" i="17" s="1"/>
  <c r="S378" i="17" a="1"/>
  <c r="S378" i="17" s="1"/>
  <c r="S388" i="17" a="1"/>
  <c r="S388" i="17" s="1"/>
  <c r="S398" i="17" a="1"/>
  <c r="S398" i="17" s="1"/>
  <c r="S408" i="17" a="1"/>
  <c r="S408" i="17" s="1"/>
  <c r="S418" i="17" a="1"/>
  <c r="S418" i="17" s="1"/>
  <c r="S428" i="17" a="1"/>
  <c r="S428" i="17" s="1"/>
  <c r="S438" i="17" a="1"/>
  <c r="S438" i="17" s="1"/>
  <c r="S448" i="17" a="1"/>
  <c r="S448" i="17" s="1"/>
  <c r="S488" i="17" a="1"/>
  <c r="S488" i="17" s="1"/>
  <c r="S489" i="17" a="1"/>
  <c r="S489" i="17" s="1"/>
  <c r="S490" i="17" a="1"/>
  <c r="S490" i="17" s="1"/>
  <c r="S491" i="17" a="1"/>
  <c r="S491" i="17" s="1"/>
  <c r="S492" i="17" a="1"/>
  <c r="S492" i="17" s="1"/>
  <c r="S493" i="17" a="1"/>
  <c r="S493" i="17" s="1"/>
  <c r="S334" i="17" a="1"/>
  <c r="S334" i="17" s="1"/>
  <c r="S335" i="17" a="1"/>
  <c r="S335" i="17" s="1"/>
  <c r="S9" i="17" a="1"/>
  <c r="S9" i="17" s="1"/>
  <c r="S19" i="17" a="1"/>
  <c r="S19" i="17" s="1"/>
  <c r="S29" i="17" a="1"/>
  <c r="S29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99" i="17" a="1"/>
  <c r="S99" i="17" s="1"/>
  <c r="S109" i="17" a="1"/>
  <c r="S109" i="17" s="1"/>
  <c r="S119" i="17" a="1"/>
  <c r="S119" i="17" s="1"/>
  <c r="S136" i="17" a="1"/>
  <c r="S136" i="17" s="1"/>
  <c r="S137" i="17" a="1"/>
  <c r="S137" i="17" s="1"/>
  <c r="S156" i="17" a="1"/>
  <c r="S156" i="17" s="1"/>
  <c r="S157" i="17" a="1"/>
  <c r="S157" i="17" s="1"/>
  <c r="S176" i="17" a="1"/>
  <c r="S176" i="17" s="1"/>
  <c r="S177" i="17" a="1"/>
  <c r="S177" i="17" s="1"/>
  <c r="S196" i="17" a="1"/>
  <c r="S196" i="17" s="1"/>
  <c r="S197" i="17" a="1"/>
  <c r="S197" i="17" s="1"/>
  <c r="S216" i="17" a="1"/>
  <c r="S216" i="17" s="1"/>
  <c r="S217" i="17" a="1"/>
  <c r="S217" i="17" s="1"/>
  <c r="S236" i="17" a="1"/>
  <c r="S236" i="17" s="1"/>
  <c r="S237" i="17" a="1"/>
  <c r="S237" i="17" s="1"/>
  <c r="S256" i="17" a="1"/>
  <c r="S256" i="17" s="1"/>
  <c r="S257" i="17" a="1"/>
  <c r="S257" i="17" s="1"/>
  <c r="S276" i="17" a="1"/>
  <c r="S276" i="17" s="1"/>
  <c r="S277" i="17" a="1"/>
  <c r="S277" i="17" s="1"/>
  <c r="S296" i="17" a="1"/>
  <c r="S296" i="17" s="1"/>
  <c r="S297" i="17" a="1"/>
  <c r="S297" i="17" s="1"/>
  <c r="S316" i="17" a="1"/>
  <c r="S316" i="17" s="1"/>
  <c r="S317" i="17" a="1"/>
  <c r="S317" i="17" s="1"/>
  <c r="S349" i="17" a="1"/>
  <c r="S349" i="17" s="1"/>
  <c r="S359" i="17" a="1"/>
  <c r="S359" i="17" s="1"/>
  <c r="S369" i="17" a="1"/>
  <c r="S369" i="17" s="1"/>
  <c r="S379" i="17" a="1"/>
  <c r="S379" i="17" s="1"/>
  <c r="S389" i="17" a="1"/>
  <c r="S389" i="17" s="1"/>
  <c r="S399" i="17" a="1"/>
  <c r="S399" i="17" s="1"/>
  <c r="S409" i="17" a="1"/>
  <c r="S409" i="17" s="1"/>
  <c r="S419" i="17" a="1"/>
  <c r="S419" i="17" s="1"/>
  <c r="S429" i="17" a="1"/>
  <c r="S429" i="17" s="1"/>
  <c r="S439" i="17" a="1"/>
  <c r="S439" i="17" s="1"/>
  <c r="S449" i="17" a="1"/>
  <c r="S449" i="17" s="1"/>
  <c r="S494" i="17" a="1"/>
  <c r="S494" i="17" s="1"/>
  <c r="S495" i="17" a="1"/>
  <c r="S495" i="17" s="1"/>
  <c r="S496" i="17" a="1"/>
  <c r="S496" i="17" s="1"/>
  <c r="S497" i="17" a="1"/>
  <c r="S497" i="17" s="1"/>
  <c r="S498" i="17" a="1"/>
  <c r="S498" i="17" s="1"/>
  <c r="S499" i="17" a="1"/>
  <c r="S499" i="17" s="1"/>
  <c r="S336" i="17" a="1"/>
  <c r="S336" i="17" s="1"/>
  <c r="S337" i="17" a="1"/>
  <c r="S337" i="17" s="1"/>
  <c r="S10" i="17" a="1"/>
  <c r="S10" i="17" s="1"/>
  <c r="S20" i="17" a="1"/>
  <c r="S20" i="17" s="1"/>
  <c r="S30" i="17" a="1"/>
  <c r="S30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00" i="17" a="1"/>
  <c r="S100" i="17" s="1"/>
  <c r="S110" i="17" a="1"/>
  <c r="S110" i="17" s="1"/>
  <c r="S120" i="17" a="1"/>
  <c r="S120" i="17" s="1"/>
  <c r="S138" i="17" a="1"/>
  <c r="S138" i="17" s="1"/>
  <c r="S139" i="17" a="1"/>
  <c r="S139" i="17" s="1"/>
  <c r="S158" i="17" a="1"/>
  <c r="S158" i="17" s="1"/>
  <c r="S159" i="17" a="1"/>
  <c r="S159" i="17" s="1"/>
  <c r="S178" i="17" a="1"/>
  <c r="S178" i="17" s="1"/>
  <c r="S179" i="17" a="1"/>
  <c r="S179" i="17" s="1"/>
  <c r="S198" i="17" a="1"/>
  <c r="S198" i="17" s="1"/>
  <c r="S199" i="17" a="1"/>
  <c r="S199" i="17" s="1"/>
  <c r="S218" i="17" a="1"/>
  <c r="S218" i="17" s="1"/>
  <c r="S219" i="17" a="1"/>
  <c r="S219" i="17" s="1"/>
  <c r="S238" i="17" a="1"/>
  <c r="S238" i="17" s="1"/>
  <c r="S239" i="17" a="1"/>
  <c r="S239" i="17" s="1"/>
  <c r="S258" i="17" a="1"/>
  <c r="S258" i="17" s="1"/>
  <c r="S259" i="17" a="1"/>
  <c r="S259" i="17" s="1"/>
  <c r="S278" i="17" a="1"/>
  <c r="S278" i="17" s="1"/>
  <c r="S279" i="17" a="1"/>
  <c r="S279" i="17" s="1"/>
  <c r="S298" i="17" a="1"/>
  <c r="S298" i="17" s="1"/>
  <c r="S299" i="17" a="1"/>
  <c r="S299" i="17" s="1"/>
  <c r="S318" i="17" a="1"/>
  <c r="S318" i="17" s="1"/>
  <c r="S319" i="17" a="1"/>
  <c r="S319" i="17" s="1"/>
  <c r="S350" i="17" a="1"/>
  <c r="S350" i="17" s="1"/>
  <c r="S360" i="17" a="1"/>
  <c r="S360" i="17" s="1"/>
  <c r="S370" i="17" a="1"/>
  <c r="S370" i="17" s="1"/>
  <c r="S380" i="17" a="1"/>
  <c r="S380" i="17" s="1"/>
  <c r="S390" i="17" a="1"/>
  <c r="S390" i="17" s="1"/>
  <c r="S400" i="17" a="1"/>
  <c r="S400" i="17" s="1"/>
  <c r="S410" i="17" a="1"/>
  <c r="S410" i="17" s="1"/>
  <c r="S420" i="17" a="1"/>
  <c r="S420" i="17" s="1"/>
  <c r="S430" i="17" a="1"/>
  <c r="S430" i="17" s="1"/>
  <c r="S440" i="17" a="1"/>
  <c r="S440" i="17" s="1"/>
  <c r="S450" i="17" a="1"/>
  <c r="S450" i="17" s="1"/>
  <c r="S500" i="17" a="1"/>
  <c r="S500" i="17" s="1"/>
  <c r="S501" i="17" a="1"/>
  <c r="S501" i="17" s="1"/>
  <c r="S502" i="17" a="1"/>
  <c r="S502" i="17" s="1"/>
  <c r="S503" i="17" a="1"/>
  <c r="S503" i="17" s="1"/>
  <c r="S504" i="17" a="1"/>
  <c r="S504" i="17" s="1"/>
  <c r="S505" i="17" a="1"/>
  <c r="S505" i="17" s="1"/>
  <c r="S338" i="17" a="1"/>
  <c r="S338" i="17" s="1"/>
  <c r="S339" i="17" a="1"/>
  <c r="S339" i="17" s="1"/>
  <c r="S11" i="17" a="1"/>
  <c r="S11" i="17" s="1"/>
  <c r="S21" i="17" a="1"/>
  <c r="S21" i="17" s="1"/>
  <c r="S31" i="17" a="1"/>
  <c r="S31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01" i="17" a="1"/>
  <c r="S101" i="17" s="1"/>
  <c r="S111" i="17" a="1"/>
  <c r="S111" i="17" s="1"/>
  <c r="S121" i="17" a="1"/>
  <c r="S121" i="17" s="1"/>
  <c r="S140" i="17" a="1"/>
  <c r="S140" i="17" s="1"/>
  <c r="S141" i="17" a="1"/>
  <c r="S141" i="17" s="1"/>
  <c r="S160" i="17" a="1"/>
  <c r="S160" i="17" s="1"/>
  <c r="S161" i="17" a="1"/>
  <c r="S161" i="17" s="1"/>
  <c r="S180" i="17" a="1"/>
  <c r="S180" i="17" s="1"/>
  <c r="S181" i="17" a="1"/>
  <c r="S181" i="17" s="1"/>
  <c r="S200" i="17" a="1"/>
  <c r="S200" i="17" s="1"/>
  <c r="S201" i="17" a="1"/>
  <c r="S201" i="17" s="1"/>
  <c r="S220" i="17" a="1"/>
  <c r="S220" i="17" s="1"/>
  <c r="S221" i="17" a="1"/>
  <c r="S221" i="17" s="1"/>
  <c r="S240" i="17" a="1"/>
  <c r="S240" i="17" s="1"/>
  <c r="S241" i="17" a="1"/>
  <c r="S241" i="17" s="1"/>
  <c r="S260" i="17" a="1"/>
  <c r="S260" i="17" s="1"/>
  <c r="S261" i="17" a="1"/>
  <c r="S261" i="17" s="1"/>
  <c r="S280" i="17" a="1"/>
  <c r="S280" i="17" s="1"/>
  <c r="S281" i="17" a="1"/>
  <c r="S281" i="17" s="1"/>
  <c r="S300" i="17" a="1"/>
  <c r="S300" i="17" s="1"/>
  <c r="S301" i="17" a="1"/>
  <c r="S301" i="17" s="1"/>
  <c r="S320" i="17" a="1"/>
  <c r="S320" i="17" s="1"/>
  <c r="S321" i="17" a="1"/>
  <c r="S321" i="17" s="1"/>
  <c r="S351" i="17" a="1"/>
  <c r="S351" i="17" s="1"/>
  <c r="S361" i="17" a="1"/>
  <c r="S361" i="17" s="1"/>
  <c r="S371" i="17" a="1"/>
  <c r="S371" i="17" s="1"/>
  <c r="S381" i="17" a="1"/>
  <c r="S381" i="17" s="1"/>
  <c r="S391" i="17" a="1"/>
  <c r="S391" i="17" s="1"/>
  <c r="S401" i="17" a="1"/>
  <c r="S401" i="17" s="1"/>
  <c r="S411" i="17" a="1"/>
  <c r="S411" i="17" s="1"/>
  <c r="S421" i="17" a="1"/>
  <c r="S421" i="17" s="1"/>
  <c r="S431" i="17" a="1"/>
  <c r="S431" i="17" s="1"/>
  <c r="S441" i="17" a="1"/>
  <c r="S441" i="17" s="1"/>
  <c r="S451" i="17" a="1"/>
  <c r="S451" i="17" s="1"/>
  <c r="S506" i="17" a="1"/>
  <c r="S506" i="17" s="1"/>
  <c r="S507" i="17" a="1"/>
  <c r="S507" i="17" s="1"/>
  <c r="S508" i="17" a="1"/>
  <c r="S508" i="17" s="1"/>
  <c r="S509" i="17" a="1"/>
  <c r="S509" i="17" s="1"/>
  <c r="S510" i="17" a="1"/>
  <c r="S510" i="17" s="1"/>
  <c r="S511" i="17" a="1"/>
  <c r="S511" i="17" s="1"/>
  <c r="S340" i="17" a="1"/>
  <c r="S340" i="17" s="1"/>
  <c r="S341" i="17" a="1"/>
  <c r="S341" i="17" s="1"/>
  <c r="T2" i="17" a="1"/>
  <c r="T2" i="17" s="1"/>
  <c r="T12" i="17" a="1"/>
  <c r="T12" i="17" s="1"/>
  <c r="T22" i="17" a="1"/>
  <c r="T22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92" i="17" a="1"/>
  <c r="T92" i="17" s="1"/>
  <c r="T102" i="17" a="1"/>
  <c r="T102" i="17" s="1"/>
  <c r="T112" i="17" a="1"/>
  <c r="T112" i="17" s="1"/>
  <c r="T122" i="17" a="1"/>
  <c r="T122" i="17" s="1"/>
  <c r="T123" i="17" a="1"/>
  <c r="T123" i="17" s="1"/>
  <c r="T142" i="17" a="1"/>
  <c r="T142" i="17" s="1"/>
  <c r="T143" i="17" a="1"/>
  <c r="T143" i="17" s="1"/>
  <c r="T162" i="17" a="1"/>
  <c r="T162" i="17" s="1"/>
  <c r="T163" i="17" a="1"/>
  <c r="T163" i="17" s="1"/>
  <c r="T182" i="17" a="1"/>
  <c r="T182" i="17" s="1"/>
  <c r="T183" i="17" a="1"/>
  <c r="T183" i="17" s="1"/>
  <c r="T202" i="17" a="1"/>
  <c r="T202" i="17" s="1"/>
  <c r="T203" i="17" a="1"/>
  <c r="T203" i="17" s="1"/>
  <c r="T222" i="17" a="1"/>
  <c r="T222" i="17" s="1"/>
  <c r="T223" i="17" a="1"/>
  <c r="T223" i="17" s="1"/>
  <c r="T242" i="17" a="1"/>
  <c r="T242" i="17" s="1"/>
  <c r="T243" i="17" a="1"/>
  <c r="T243" i="17"/>
  <c r="T262" i="17" a="1"/>
  <c r="T262" i="17" s="1"/>
  <c r="T263" i="17" a="1"/>
  <c r="T263" i="17" s="1"/>
  <c r="T282" i="17" a="1"/>
  <c r="T282" i="17" s="1"/>
  <c r="T283" i="17" a="1"/>
  <c r="T283" i="17" s="1"/>
  <c r="T302" i="17" a="1"/>
  <c r="T302" i="17" s="1"/>
  <c r="T303" i="17" a="1"/>
  <c r="T303" i="17" s="1"/>
  <c r="T342" i="17" a="1"/>
  <c r="T342" i="17" s="1"/>
  <c r="T352" i="17" a="1"/>
  <c r="T352" i="17" s="1"/>
  <c r="T362" i="17" a="1"/>
  <c r="T362" i="17" s="1"/>
  <c r="T372" i="17" a="1"/>
  <c r="T372" i="17" s="1"/>
  <c r="T382" i="17" a="1"/>
  <c r="T382" i="17" s="1"/>
  <c r="T392" i="17" a="1"/>
  <c r="T392" i="17" s="1"/>
  <c r="T402" i="17" a="1"/>
  <c r="T402" i="17" s="1"/>
  <c r="T412" i="17" a="1"/>
  <c r="T412" i="17" s="1"/>
  <c r="T422" i="17" a="1"/>
  <c r="T422" i="17" s="1"/>
  <c r="T432" i="17" a="1"/>
  <c r="T432" i="17" s="1"/>
  <c r="T442" i="17" a="1"/>
  <c r="T442" i="17" s="1"/>
  <c r="T452" i="17" a="1"/>
  <c r="T452" i="17" s="1"/>
  <c r="T453" i="17" a="1"/>
  <c r="T453" i="17" s="1"/>
  <c r="T454" i="17" a="1"/>
  <c r="T454" i="17" s="1"/>
  <c r="T455" i="17" a="1"/>
  <c r="T455" i="17" s="1"/>
  <c r="T456" i="17" a="1"/>
  <c r="T456" i="17" s="1"/>
  <c r="T457" i="17" a="1"/>
  <c r="T457" i="17" s="1"/>
  <c r="T322" i="17" a="1"/>
  <c r="T322" i="17" s="1"/>
  <c r="T323" i="17" a="1"/>
  <c r="T323" i="17" s="1"/>
  <c r="T3" i="17" a="1"/>
  <c r="T3" i="17" s="1"/>
  <c r="T13" i="17" a="1"/>
  <c r="T13" i="17" s="1"/>
  <c r="T23" i="17" a="1"/>
  <c r="T23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93" i="17" a="1"/>
  <c r="T93" i="17" s="1"/>
  <c r="T103" i="17" a="1"/>
  <c r="T103" i="17" s="1"/>
  <c r="T113" i="17" a="1"/>
  <c r="T113" i="17" s="1"/>
  <c r="T124" i="17" a="1"/>
  <c r="T124" i="17" s="1"/>
  <c r="T125" i="17" a="1"/>
  <c r="T125" i="17" s="1"/>
  <c r="T144" i="17" a="1"/>
  <c r="T144" i="17" s="1"/>
  <c r="T145" i="17" a="1"/>
  <c r="T145" i="17" s="1"/>
  <c r="T164" i="17" a="1"/>
  <c r="T164" i="17" s="1"/>
  <c r="T165" i="17" a="1"/>
  <c r="T165" i="17" s="1"/>
  <c r="T184" i="17" a="1"/>
  <c r="T184" i="17" s="1"/>
  <c r="T185" i="17" a="1"/>
  <c r="T185" i="17" s="1"/>
  <c r="T204" i="17" a="1"/>
  <c r="T204" i="17" s="1"/>
  <c r="T205" i="17" a="1"/>
  <c r="T205" i="17" s="1"/>
  <c r="T224" i="17" a="1"/>
  <c r="T224" i="17" s="1"/>
  <c r="T225" i="17" a="1"/>
  <c r="T225" i="17" s="1"/>
  <c r="T244" i="17" a="1"/>
  <c r="T244" i="17" s="1"/>
  <c r="T245" i="17" a="1"/>
  <c r="T245" i="17" s="1"/>
  <c r="T264" i="17" a="1"/>
  <c r="T264" i="17" s="1"/>
  <c r="T265" i="17" a="1"/>
  <c r="T265" i="17" s="1"/>
  <c r="T284" i="17" a="1"/>
  <c r="T284" i="17" s="1"/>
  <c r="T285" i="17" a="1"/>
  <c r="T285" i="17" s="1"/>
  <c r="T304" i="17" a="1"/>
  <c r="T304" i="17" s="1"/>
  <c r="T305" i="17" a="1"/>
  <c r="T305" i="17" s="1"/>
  <c r="T343" i="17" a="1"/>
  <c r="T343" i="17" s="1"/>
  <c r="T353" i="17" a="1"/>
  <c r="T353" i="17" s="1"/>
  <c r="T363" i="17" a="1"/>
  <c r="T363" i="17" s="1"/>
  <c r="T373" i="17" a="1"/>
  <c r="T373" i="17" s="1"/>
  <c r="T383" i="17" a="1"/>
  <c r="T383" i="17" s="1"/>
  <c r="T393" i="17" a="1"/>
  <c r="T393" i="17" s="1"/>
  <c r="T403" i="17" a="1"/>
  <c r="T403" i="17" s="1"/>
  <c r="T413" i="17" a="1"/>
  <c r="T413" i="17" s="1"/>
  <c r="T423" i="17" a="1"/>
  <c r="T423" i="17" s="1"/>
  <c r="T433" i="17" a="1"/>
  <c r="T433" i="17" s="1"/>
  <c r="T443" i="17" a="1"/>
  <c r="T443" i="17" s="1"/>
  <c r="T458" i="17" a="1"/>
  <c r="T458" i="17" s="1"/>
  <c r="T459" i="17" a="1"/>
  <c r="T459" i="17" s="1"/>
  <c r="T460" i="17" a="1"/>
  <c r="T460" i="17" s="1"/>
  <c r="T461" i="17" a="1"/>
  <c r="T461" i="17" s="1"/>
  <c r="T462" i="17" a="1"/>
  <c r="T462" i="17" s="1"/>
  <c r="T463" i="17" a="1"/>
  <c r="T463" i="17" s="1"/>
  <c r="T324" i="17" a="1"/>
  <c r="T324" i="17" s="1"/>
  <c r="T325" i="17" a="1"/>
  <c r="T325" i="17" s="1"/>
  <c r="T4" i="17" a="1"/>
  <c r="T4" i="17" s="1"/>
  <c r="T14" i="17" a="1"/>
  <c r="T14" i="17" s="1"/>
  <c r="T24" i="17" a="1"/>
  <c r="T24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94" i="17" a="1"/>
  <c r="T94" i="17" s="1"/>
  <c r="T104" i="17" a="1"/>
  <c r="T104" i="17" s="1"/>
  <c r="T114" i="17" a="1"/>
  <c r="T114" i="17" s="1"/>
  <c r="T126" i="17" a="1"/>
  <c r="T126" i="17" s="1"/>
  <c r="T127" i="17" a="1"/>
  <c r="T127" i="17" s="1"/>
  <c r="T146" i="17" a="1"/>
  <c r="T146" i="17" s="1"/>
  <c r="T147" i="17" a="1"/>
  <c r="T147" i="17" s="1"/>
  <c r="T166" i="17" a="1"/>
  <c r="T166" i="17" s="1"/>
  <c r="T167" i="17" a="1"/>
  <c r="T167" i="17" s="1"/>
  <c r="T186" i="17" a="1"/>
  <c r="T186" i="17" s="1"/>
  <c r="T187" i="17" a="1"/>
  <c r="T187" i="17" s="1"/>
  <c r="T206" i="17" a="1"/>
  <c r="T206" i="17" s="1"/>
  <c r="T207" i="17" a="1"/>
  <c r="T207" i="17" s="1"/>
  <c r="T226" i="17" a="1"/>
  <c r="T226" i="17" s="1"/>
  <c r="T227" i="17" a="1"/>
  <c r="T227" i="17" s="1"/>
  <c r="T246" i="17" a="1"/>
  <c r="T246" i="17" s="1"/>
  <c r="T247" i="17" a="1"/>
  <c r="T247" i="17" s="1"/>
  <c r="T266" i="17" a="1"/>
  <c r="T266" i="17" s="1"/>
  <c r="T267" i="17" a="1"/>
  <c r="T267" i="17" s="1"/>
  <c r="T286" i="17" a="1"/>
  <c r="T286" i="17" s="1"/>
  <c r="T287" i="17" a="1"/>
  <c r="T287" i="17" s="1"/>
  <c r="T306" i="17" a="1"/>
  <c r="T306" i="17" s="1"/>
  <c r="T307" i="17" a="1"/>
  <c r="T307" i="17" s="1"/>
  <c r="T344" i="17" a="1"/>
  <c r="T344" i="17" s="1"/>
  <c r="T354" i="17" a="1"/>
  <c r="T354" i="17" s="1"/>
  <c r="T364" i="17" a="1"/>
  <c r="T364" i="17" s="1"/>
  <c r="T374" i="17" a="1"/>
  <c r="T374" i="17" s="1"/>
  <c r="T384" i="17" a="1"/>
  <c r="T384" i="17" s="1"/>
  <c r="T394" i="17" a="1"/>
  <c r="T394" i="17" s="1"/>
  <c r="T404" i="17" a="1"/>
  <c r="T404" i="17" s="1"/>
  <c r="T414" i="17" a="1"/>
  <c r="T414" i="17" s="1"/>
  <c r="T424" i="17" a="1"/>
  <c r="T424" i="17" s="1"/>
  <c r="T434" i="17" a="1"/>
  <c r="T434" i="17" s="1"/>
  <c r="T444" i="17" a="1"/>
  <c r="T444" i="17" s="1"/>
  <c r="T464" i="17" a="1"/>
  <c r="T464" i="17" s="1"/>
  <c r="T465" i="17" a="1"/>
  <c r="T465" i="17" s="1"/>
  <c r="T466" i="17" a="1"/>
  <c r="T466" i="17" s="1"/>
  <c r="T467" i="17" a="1"/>
  <c r="T467" i="17" s="1"/>
  <c r="T468" i="17" a="1"/>
  <c r="T468" i="17" s="1"/>
  <c r="T469" i="17" a="1"/>
  <c r="T469" i="17" s="1"/>
  <c r="T326" i="17" a="1"/>
  <c r="T326" i="17" s="1"/>
  <c r="T327" i="17" a="1"/>
  <c r="T327" i="17" s="1"/>
  <c r="T5" i="17" a="1"/>
  <c r="T5" i="17" s="1"/>
  <c r="T15" i="17" a="1"/>
  <c r="T15" i="17" s="1"/>
  <c r="T25" i="17" a="1"/>
  <c r="T25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95" i="17" a="1"/>
  <c r="T95" i="17" s="1"/>
  <c r="T105" i="17" a="1"/>
  <c r="T105" i="17" s="1"/>
  <c r="T115" i="17" a="1"/>
  <c r="T115" i="17" s="1"/>
  <c r="T128" i="17" a="1"/>
  <c r="T128" i="17" s="1"/>
  <c r="T129" i="17" a="1"/>
  <c r="T129" i="17" s="1"/>
  <c r="T148" i="17" a="1"/>
  <c r="T148" i="17" s="1"/>
  <c r="T149" i="17" a="1"/>
  <c r="T149" i="17" s="1"/>
  <c r="T168" i="17" a="1"/>
  <c r="T168" i="17" s="1"/>
  <c r="T169" i="17" a="1"/>
  <c r="T169" i="17" s="1"/>
  <c r="T188" i="17" a="1"/>
  <c r="T188" i="17" s="1"/>
  <c r="T189" i="17" a="1"/>
  <c r="T189" i="17" s="1"/>
  <c r="T208" i="17" a="1"/>
  <c r="T208" i="17" s="1"/>
  <c r="T209" i="17" a="1"/>
  <c r="T209" i="17" s="1"/>
  <c r="T228" i="17" a="1"/>
  <c r="T228" i="17" s="1"/>
  <c r="T229" i="17" a="1"/>
  <c r="T229" i="17" s="1"/>
  <c r="T248" i="17" a="1"/>
  <c r="T248" i="17" s="1"/>
  <c r="T249" i="17" a="1"/>
  <c r="T249" i="17" s="1"/>
  <c r="T268" i="17" a="1"/>
  <c r="T268" i="17" s="1"/>
  <c r="T269" i="17" a="1"/>
  <c r="T269" i="17" s="1"/>
  <c r="T288" i="17" a="1"/>
  <c r="T288" i="17" s="1"/>
  <c r="T289" i="17" a="1"/>
  <c r="T289" i="17" s="1"/>
  <c r="T308" i="17" a="1"/>
  <c r="T308" i="17" s="1"/>
  <c r="T309" i="17" a="1"/>
  <c r="T309" i="17" s="1"/>
  <c r="T345" i="17" a="1"/>
  <c r="T345" i="17" s="1"/>
  <c r="T355" i="17" a="1"/>
  <c r="T355" i="17" s="1"/>
  <c r="T365" i="17" a="1"/>
  <c r="T365" i="17" s="1"/>
  <c r="T375" i="17" a="1"/>
  <c r="T375" i="17" s="1"/>
  <c r="T385" i="17" a="1"/>
  <c r="T385" i="17" s="1"/>
  <c r="T395" i="17" a="1"/>
  <c r="T395" i="17" s="1"/>
  <c r="T405" i="17" a="1"/>
  <c r="T405" i="17" s="1"/>
  <c r="T415" i="17" a="1"/>
  <c r="T415" i="17" s="1"/>
  <c r="T425" i="17" a="1"/>
  <c r="T425" i="17" s="1"/>
  <c r="T435" i="17" a="1"/>
  <c r="T435" i="17" s="1"/>
  <c r="T445" i="17" a="1"/>
  <c r="T445" i="17" s="1"/>
  <c r="T470" i="17" a="1"/>
  <c r="T470" i="17" s="1"/>
  <c r="T471" i="17" a="1"/>
  <c r="T471" i="17" s="1"/>
  <c r="T472" i="17" a="1"/>
  <c r="T472" i="17" s="1"/>
  <c r="T473" i="17" a="1"/>
  <c r="T473" i="17" s="1"/>
  <c r="T474" i="17" a="1"/>
  <c r="T474" i="17" s="1"/>
  <c r="T475" i="17" a="1"/>
  <c r="T475" i="17" s="1"/>
  <c r="T328" i="17" a="1"/>
  <c r="T328" i="17" s="1"/>
  <c r="T329" i="17" a="1"/>
  <c r="T329" i="17" s="1"/>
  <c r="T6" i="17" a="1"/>
  <c r="T6" i="17" s="1"/>
  <c r="T16" i="17" a="1"/>
  <c r="T16" i="17" s="1"/>
  <c r="T26" i="17" a="1"/>
  <c r="T26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96" i="17" a="1"/>
  <c r="T96" i="17" s="1"/>
  <c r="T106" i="17" a="1"/>
  <c r="T106" i="17" s="1"/>
  <c r="T116" i="17" a="1"/>
  <c r="T116" i="17" s="1"/>
  <c r="T130" i="17" a="1"/>
  <c r="T130" i="17" s="1"/>
  <c r="T131" i="17" a="1"/>
  <c r="T131" i="17" s="1"/>
  <c r="T150" i="17" a="1"/>
  <c r="T150" i="17" s="1"/>
  <c r="T151" i="17" a="1"/>
  <c r="T151" i="17" s="1"/>
  <c r="T170" i="17" a="1"/>
  <c r="T170" i="17" s="1"/>
  <c r="T171" i="17" a="1"/>
  <c r="T171" i="17" s="1"/>
  <c r="T190" i="17" a="1"/>
  <c r="T190" i="17" s="1"/>
  <c r="T191" i="17" a="1"/>
  <c r="T191" i="17" s="1"/>
  <c r="T210" i="17" a="1"/>
  <c r="T210" i="17" s="1"/>
  <c r="T211" i="17" a="1"/>
  <c r="T211" i="17" s="1"/>
  <c r="T230" i="17" a="1"/>
  <c r="T230" i="17" s="1"/>
  <c r="T231" i="17" a="1"/>
  <c r="T231" i="17" s="1"/>
  <c r="T250" i="17" a="1"/>
  <c r="T250" i="17" s="1"/>
  <c r="T251" i="17" a="1"/>
  <c r="T251" i="17" s="1"/>
  <c r="T270" i="17" a="1"/>
  <c r="T270" i="17" s="1"/>
  <c r="T271" i="17" a="1"/>
  <c r="T271" i="17" s="1"/>
  <c r="T290" i="17" a="1"/>
  <c r="T290" i="17" s="1"/>
  <c r="T291" i="17" a="1"/>
  <c r="T291" i="17" s="1"/>
  <c r="T310" i="17" a="1"/>
  <c r="T310" i="17" s="1"/>
  <c r="T311" i="17" a="1"/>
  <c r="T311" i="17" s="1"/>
  <c r="T346" i="17" a="1"/>
  <c r="T346" i="17" s="1"/>
  <c r="T356" i="17" a="1"/>
  <c r="T356" i="17" s="1"/>
  <c r="T366" i="17" a="1"/>
  <c r="T366" i="17" s="1"/>
  <c r="T376" i="17" a="1"/>
  <c r="T376" i="17" s="1"/>
  <c r="T386" i="17" a="1"/>
  <c r="T386" i="17" s="1"/>
  <c r="T396" i="17" a="1"/>
  <c r="T396" i="17" s="1"/>
  <c r="T406" i="17" a="1"/>
  <c r="T406" i="17" s="1"/>
  <c r="T416" i="17" a="1"/>
  <c r="T416" i="17" s="1"/>
  <c r="T426" i="17" a="1"/>
  <c r="T426" i="17" s="1"/>
  <c r="T436" i="17" a="1"/>
  <c r="T436" i="17" s="1"/>
  <c r="T446" i="17" a="1"/>
  <c r="T446" i="17" s="1"/>
  <c r="T476" i="17" a="1"/>
  <c r="T476" i="17" s="1"/>
  <c r="T477" i="17" a="1"/>
  <c r="T477" i="17" s="1"/>
  <c r="T478" i="17" a="1"/>
  <c r="T478" i="17" s="1"/>
  <c r="T479" i="17" a="1"/>
  <c r="T479" i="17" s="1"/>
  <c r="T480" i="17" a="1"/>
  <c r="T480" i="17" s="1"/>
  <c r="T481" i="17" a="1"/>
  <c r="T481" i="17" s="1"/>
  <c r="T330" i="17" a="1"/>
  <c r="T330" i="17" s="1"/>
  <c r="T331" i="17" a="1"/>
  <c r="T331" i="17" s="1"/>
  <c r="T7" i="17" a="1"/>
  <c r="T7" i="17" s="1"/>
  <c r="T17" i="17" a="1"/>
  <c r="T17" i="17" s="1"/>
  <c r="T27" i="17" a="1"/>
  <c r="T27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97" i="17" a="1"/>
  <c r="T97" i="17" s="1"/>
  <c r="T107" i="17" a="1"/>
  <c r="T107" i="17" s="1"/>
  <c r="T117" i="17" a="1"/>
  <c r="T117" i="17" s="1"/>
  <c r="T132" i="17" a="1"/>
  <c r="T132" i="17" s="1"/>
  <c r="T133" i="17" a="1"/>
  <c r="T133" i="17" s="1"/>
  <c r="T152" i="17" a="1"/>
  <c r="T152" i="17" s="1"/>
  <c r="T153" i="17" a="1"/>
  <c r="T153" i="17" s="1"/>
  <c r="T172" i="17" a="1"/>
  <c r="T172" i="17" s="1"/>
  <c r="T173" i="17" a="1"/>
  <c r="T173" i="17" s="1"/>
  <c r="T192" i="17" a="1"/>
  <c r="T192" i="17" s="1"/>
  <c r="T193" i="17" a="1"/>
  <c r="T193" i="17" s="1"/>
  <c r="T212" i="17" a="1"/>
  <c r="T212" i="17" s="1"/>
  <c r="T213" i="17" a="1"/>
  <c r="T213" i="17" s="1"/>
  <c r="T232" i="17" a="1"/>
  <c r="T232" i="17" s="1"/>
  <c r="T233" i="17" a="1"/>
  <c r="T233" i="17" s="1"/>
  <c r="T252" i="17" a="1"/>
  <c r="T252" i="17" s="1"/>
  <c r="T253" i="17" a="1"/>
  <c r="T253" i="17" s="1"/>
  <c r="T272" i="17" a="1"/>
  <c r="T272" i="17" s="1"/>
  <c r="T273" i="17" a="1"/>
  <c r="T273" i="17" s="1"/>
  <c r="T292" i="17" a="1"/>
  <c r="T292" i="17" s="1"/>
  <c r="T293" i="17" a="1"/>
  <c r="T293" i="17" s="1"/>
  <c r="T312" i="17" a="1"/>
  <c r="T312" i="17" s="1"/>
  <c r="T313" i="17" a="1"/>
  <c r="T313" i="17" s="1"/>
  <c r="T347" i="17" a="1"/>
  <c r="T347" i="17" s="1"/>
  <c r="T357" i="17" a="1"/>
  <c r="T357" i="17" s="1"/>
  <c r="T367" i="17" a="1"/>
  <c r="T367" i="17" s="1"/>
  <c r="T377" i="17" a="1"/>
  <c r="T377" i="17" s="1"/>
  <c r="T387" i="17" a="1"/>
  <c r="T387" i="17" s="1"/>
  <c r="T397" i="17" a="1"/>
  <c r="T397" i="17" s="1"/>
  <c r="T407" i="17" a="1"/>
  <c r="T407" i="17" s="1"/>
  <c r="T417" i="17" a="1"/>
  <c r="T417" i="17" s="1"/>
  <c r="T427" i="17" a="1"/>
  <c r="T427" i="17" s="1"/>
  <c r="T437" i="17" a="1"/>
  <c r="T437" i="17" s="1"/>
  <c r="T447" i="17" a="1"/>
  <c r="T447" i="17" s="1"/>
  <c r="T482" i="17" a="1"/>
  <c r="T482" i="17" s="1"/>
  <c r="T483" i="17" a="1"/>
  <c r="T483" i="17" s="1"/>
  <c r="T484" i="17" a="1"/>
  <c r="T484" i="17" s="1"/>
  <c r="T485" i="17" a="1"/>
  <c r="T485" i="17" s="1"/>
  <c r="T486" i="17" a="1"/>
  <c r="T486" i="17" s="1"/>
  <c r="T487" i="17" a="1"/>
  <c r="T487" i="17" s="1"/>
  <c r="T332" i="17" a="1"/>
  <c r="T332" i="17" s="1"/>
  <c r="T333" i="17" a="1"/>
  <c r="T333" i="17" s="1"/>
  <c r="T8" i="17" a="1"/>
  <c r="T8" i="17"/>
  <c r="T18" i="17" a="1"/>
  <c r="T18" i="17" s="1"/>
  <c r="T28" i="17" a="1"/>
  <c r="T28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98" i="17" a="1"/>
  <c r="T98" i="17" s="1"/>
  <c r="T108" i="17" a="1"/>
  <c r="T108" i="17" s="1"/>
  <c r="T118" i="17" a="1"/>
  <c r="T118" i="17" s="1"/>
  <c r="T134" i="17" a="1"/>
  <c r="T134" i="17" s="1"/>
  <c r="T135" i="17" a="1"/>
  <c r="T135" i="17" s="1"/>
  <c r="T154" i="17" a="1"/>
  <c r="T154" i="17" s="1"/>
  <c r="T155" i="17" a="1"/>
  <c r="T155" i="17" s="1"/>
  <c r="T174" i="17" a="1"/>
  <c r="T174" i="17" s="1"/>
  <c r="T175" i="17" a="1"/>
  <c r="T175" i="17" s="1"/>
  <c r="T194" i="17" a="1"/>
  <c r="T194" i="17" s="1"/>
  <c r="T195" i="17" a="1"/>
  <c r="T195" i="17" s="1"/>
  <c r="T214" i="17" a="1"/>
  <c r="T214" i="17" s="1"/>
  <c r="T215" i="17" a="1"/>
  <c r="T215" i="17" s="1"/>
  <c r="T234" i="17" a="1"/>
  <c r="T234" i="17" s="1"/>
  <c r="T235" i="17" a="1"/>
  <c r="T235" i="17" s="1"/>
  <c r="T254" i="17" a="1"/>
  <c r="T254" i="17" s="1"/>
  <c r="T255" i="17" a="1"/>
  <c r="T255" i="17" s="1"/>
  <c r="T274" i="17" a="1"/>
  <c r="T274" i="17" s="1"/>
  <c r="T275" i="17" a="1"/>
  <c r="T275" i="17" s="1"/>
  <c r="T294" i="17" a="1"/>
  <c r="T294" i="17" s="1"/>
  <c r="T295" i="17" a="1"/>
  <c r="T295" i="17" s="1"/>
  <c r="T314" i="17" a="1"/>
  <c r="T314" i="17" s="1"/>
  <c r="T315" i="17" a="1"/>
  <c r="T315" i="17" s="1"/>
  <c r="T348" i="17" a="1"/>
  <c r="T348" i="17" s="1"/>
  <c r="T358" i="17" a="1"/>
  <c r="T358" i="17" s="1"/>
  <c r="T368" i="17" a="1"/>
  <c r="T368" i="17" s="1"/>
  <c r="T378" i="17" a="1"/>
  <c r="T378" i="17" s="1"/>
  <c r="T388" i="17" a="1"/>
  <c r="T388" i="17" s="1"/>
  <c r="T398" i="17" a="1"/>
  <c r="T398" i="17" s="1"/>
  <c r="T408" i="17" a="1"/>
  <c r="T408" i="17" s="1"/>
  <c r="T418" i="17" a="1"/>
  <c r="T418" i="17" s="1"/>
  <c r="T428" i="17" a="1"/>
  <c r="T428" i="17" s="1"/>
  <c r="T438" i="17" a="1"/>
  <c r="T438" i="17" s="1"/>
  <c r="T448" i="17" a="1"/>
  <c r="T448" i="17" s="1"/>
  <c r="T488" i="17" a="1"/>
  <c r="T488" i="17" s="1"/>
  <c r="T489" i="17" a="1"/>
  <c r="T489" i="17" s="1"/>
  <c r="T490" i="17" a="1"/>
  <c r="T490" i="17" s="1"/>
  <c r="T491" i="17" a="1"/>
  <c r="T491" i="17" s="1"/>
  <c r="T492" i="17" a="1"/>
  <c r="T492" i="17" s="1"/>
  <c r="T493" i="17" a="1"/>
  <c r="T493" i="17" s="1"/>
  <c r="T334" i="17" a="1"/>
  <c r="T334" i="17" s="1"/>
  <c r="T335" i="17" a="1"/>
  <c r="T335" i="17" s="1"/>
  <c r="T9" i="17" a="1"/>
  <c r="T9" i="17" s="1"/>
  <c r="T19" i="17" a="1"/>
  <c r="T19" i="17" s="1"/>
  <c r="T29" i="17" a="1"/>
  <c r="T29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99" i="17" a="1"/>
  <c r="T99" i="17" s="1"/>
  <c r="T109" i="17" a="1"/>
  <c r="T109" i="17" s="1"/>
  <c r="T119" i="17" a="1"/>
  <c r="T119" i="17" s="1"/>
  <c r="T136" i="17" a="1"/>
  <c r="T136" i="17" s="1"/>
  <c r="T137" i="17" a="1"/>
  <c r="T137" i="17"/>
  <c r="T156" i="17" a="1"/>
  <c r="T156" i="17" s="1"/>
  <c r="T157" i="17" a="1"/>
  <c r="T157" i="17" s="1"/>
  <c r="T176" i="17" a="1"/>
  <c r="T176" i="17" s="1"/>
  <c r="T177" i="17" a="1"/>
  <c r="T177" i="17" s="1"/>
  <c r="T196" i="17" a="1"/>
  <c r="T196" i="17" s="1"/>
  <c r="T197" i="17" a="1"/>
  <c r="T197" i="17" s="1"/>
  <c r="T216" i="17" a="1"/>
  <c r="T216" i="17" s="1"/>
  <c r="T217" i="17" a="1"/>
  <c r="T217" i="17" s="1"/>
  <c r="T236" i="17" a="1"/>
  <c r="T236" i="17" s="1"/>
  <c r="T237" i="17" a="1"/>
  <c r="T237" i="17" s="1"/>
  <c r="T256" i="17" a="1"/>
  <c r="T256" i="17" s="1"/>
  <c r="T257" i="17" a="1"/>
  <c r="T257" i="17" s="1"/>
  <c r="T276" i="17" a="1"/>
  <c r="T276" i="17" s="1"/>
  <c r="T277" i="17" a="1"/>
  <c r="T277" i="17" s="1"/>
  <c r="T296" i="17" a="1"/>
  <c r="T296" i="17" s="1"/>
  <c r="T297" i="17" a="1"/>
  <c r="T297" i="17" s="1"/>
  <c r="T316" i="17" a="1"/>
  <c r="T316" i="17" s="1"/>
  <c r="T317" i="17" a="1"/>
  <c r="T317" i="17" s="1"/>
  <c r="T349" i="17" a="1"/>
  <c r="T349" i="17" s="1"/>
  <c r="T359" i="17" a="1"/>
  <c r="T359" i="17" s="1"/>
  <c r="T369" i="17" a="1"/>
  <c r="T369" i="17" s="1"/>
  <c r="T379" i="17" a="1"/>
  <c r="T379" i="17" s="1"/>
  <c r="T389" i="17" a="1"/>
  <c r="T389" i="17" s="1"/>
  <c r="T399" i="17" a="1"/>
  <c r="T399" i="17" s="1"/>
  <c r="T409" i="17" a="1"/>
  <c r="T409" i="17" s="1"/>
  <c r="T419" i="17" a="1"/>
  <c r="T419" i="17" s="1"/>
  <c r="T429" i="17" a="1"/>
  <c r="T429" i="17" s="1"/>
  <c r="T439" i="17" a="1"/>
  <c r="T439" i="17" s="1"/>
  <c r="T449" i="17" a="1"/>
  <c r="T449" i="17" s="1"/>
  <c r="T494" i="17" a="1"/>
  <c r="T494" i="17" s="1"/>
  <c r="T495" i="17" a="1"/>
  <c r="T495" i="17" s="1"/>
  <c r="T496" i="17" a="1"/>
  <c r="T496" i="17" s="1"/>
  <c r="T497" i="17" a="1"/>
  <c r="T497" i="17" s="1"/>
  <c r="T498" i="17" a="1"/>
  <c r="T498" i="17" s="1"/>
  <c r="T499" i="17" a="1"/>
  <c r="T499" i="17" s="1"/>
  <c r="T336" i="17" a="1"/>
  <c r="T336" i="17" s="1"/>
  <c r="T337" i="17" a="1"/>
  <c r="T337" i="17" s="1"/>
  <c r="T10" i="17" a="1"/>
  <c r="T10" i="17" s="1"/>
  <c r="T20" i="17" a="1"/>
  <c r="T20" i="17" s="1"/>
  <c r="T30" i="17" a="1"/>
  <c r="T30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00" i="17" a="1"/>
  <c r="T100" i="17" s="1"/>
  <c r="T110" i="17" a="1"/>
  <c r="T110" i="17" s="1"/>
  <c r="T120" i="17" a="1"/>
  <c r="T120" i="17" s="1"/>
  <c r="T138" i="17" a="1"/>
  <c r="T138" i="17" s="1"/>
  <c r="T139" i="17" a="1"/>
  <c r="T139" i="17" s="1"/>
  <c r="T158" i="17" a="1"/>
  <c r="T158" i="17" s="1"/>
  <c r="T159" i="17" a="1"/>
  <c r="T159" i="17" s="1"/>
  <c r="T178" i="17" a="1"/>
  <c r="T178" i="17" s="1"/>
  <c r="T179" i="17" a="1"/>
  <c r="T179" i="17" s="1"/>
  <c r="T198" i="17" a="1"/>
  <c r="T198" i="17" s="1"/>
  <c r="T199" i="17" a="1"/>
  <c r="T199" i="17" s="1"/>
  <c r="T218" i="17" a="1"/>
  <c r="T218" i="17" s="1"/>
  <c r="T219" i="17" a="1"/>
  <c r="T219" i="17" s="1"/>
  <c r="T238" i="17" a="1"/>
  <c r="T238" i="17" s="1"/>
  <c r="T239" i="17" a="1"/>
  <c r="T239" i="17" s="1"/>
  <c r="T258" i="17" a="1"/>
  <c r="T258" i="17" s="1"/>
  <c r="T259" i="17" a="1"/>
  <c r="T259" i="17" s="1"/>
  <c r="T278" i="17" a="1"/>
  <c r="T278" i="17" s="1"/>
  <c r="T279" i="17" a="1"/>
  <c r="T279" i="17" s="1"/>
  <c r="T298" i="17" a="1"/>
  <c r="T298" i="17" s="1"/>
  <c r="T299" i="17" a="1"/>
  <c r="T299" i="17" s="1"/>
  <c r="T318" i="17" a="1"/>
  <c r="T318" i="17" s="1"/>
  <c r="T319" i="17" a="1"/>
  <c r="T319" i="17" s="1"/>
  <c r="T350" i="17" a="1"/>
  <c r="T350" i="17" s="1"/>
  <c r="T360" i="17" a="1"/>
  <c r="T360" i="17" s="1"/>
  <c r="T370" i="17" a="1"/>
  <c r="T370" i="17" s="1"/>
  <c r="T380" i="17" a="1"/>
  <c r="T380" i="17" s="1"/>
  <c r="T390" i="17" a="1"/>
  <c r="T390" i="17" s="1"/>
  <c r="T400" i="17" a="1"/>
  <c r="T400" i="17" s="1"/>
  <c r="T410" i="17" a="1"/>
  <c r="T410" i="17" s="1"/>
  <c r="T420" i="17" a="1"/>
  <c r="T420" i="17" s="1"/>
  <c r="T430" i="17" a="1"/>
  <c r="T430" i="17" s="1"/>
  <c r="T440" i="17" a="1"/>
  <c r="T440" i="17" s="1"/>
  <c r="T450" i="17" a="1"/>
  <c r="T450" i="17" s="1"/>
  <c r="T500" i="17" a="1"/>
  <c r="T500" i="17" s="1"/>
  <c r="T501" i="17" a="1"/>
  <c r="T501" i="17" s="1"/>
  <c r="T502" i="17" a="1"/>
  <c r="T502" i="17" s="1"/>
  <c r="T503" i="17" a="1"/>
  <c r="T503" i="17" s="1"/>
  <c r="T504" i="17" a="1"/>
  <c r="T504" i="17" s="1"/>
  <c r="T505" i="17" a="1"/>
  <c r="T505" i="17" s="1"/>
  <c r="T338" i="17" a="1"/>
  <c r="T338" i="17" s="1"/>
  <c r="T339" i="17" a="1"/>
  <c r="T339" i="17" s="1"/>
  <c r="T11" i="17" a="1"/>
  <c r="T11" i="17" s="1"/>
  <c r="T21" i="17" a="1"/>
  <c r="T21" i="17" s="1"/>
  <c r="T31" i="17" a="1"/>
  <c r="T31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01" i="17" a="1"/>
  <c r="T101" i="17" s="1"/>
  <c r="T111" i="17" a="1"/>
  <c r="T111" i="17" s="1"/>
  <c r="T121" i="17" a="1"/>
  <c r="T121" i="17" s="1"/>
  <c r="T140" i="17" a="1"/>
  <c r="T140" i="17" s="1"/>
  <c r="T141" i="17" a="1"/>
  <c r="T141" i="17" s="1"/>
  <c r="T160" i="17" a="1"/>
  <c r="T160" i="17" s="1"/>
  <c r="T161" i="17" a="1"/>
  <c r="T161" i="17" s="1"/>
  <c r="T180" i="17" a="1"/>
  <c r="T180" i="17" s="1"/>
  <c r="T181" i="17" a="1"/>
  <c r="T181" i="17" s="1"/>
  <c r="T200" i="17" a="1"/>
  <c r="T200" i="17" s="1"/>
  <c r="T201" i="17" a="1"/>
  <c r="T201" i="17" s="1"/>
  <c r="T220" i="17" a="1"/>
  <c r="T220" i="17" s="1"/>
  <c r="T221" i="17" a="1"/>
  <c r="T221" i="17" s="1"/>
  <c r="T240" i="17" a="1"/>
  <c r="T240" i="17" s="1"/>
  <c r="T241" i="17" a="1"/>
  <c r="T241" i="17" s="1"/>
  <c r="T260" i="17" a="1"/>
  <c r="T260" i="17" s="1"/>
  <c r="T261" i="17" a="1"/>
  <c r="T261" i="17" s="1"/>
  <c r="T280" i="17" a="1"/>
  <c r="T280" i="17" s="1"/>
  <c r="T281" i="17" a="1"/>
  <c r="T281" i="17" s="1"/>
  <c r="T300" i="17" a="1"/>
  <c r="T300" i="17" s="1"/>
  <c r="T301" i="17" a="1"/>
  <c r="T301" i="17" s="1"/>
  <c r="T320" i="17" a="1"/>
  <c r="T320" i="17" s="1"/>
  <c r="T321" i="17" a="1"/>
  <c r="T321" i="17" s="1"/>
  <c r="T351" i="17" a="1"/>
  <c r="T351" i="17" s="1"/>
  <c r="T361" i="17" a="1"/>
  <c r="T361" i="17" s="1"/>
  <c r="T371" i="17" a="1"/>
  <c r="T371" i="17" s="1"/>
  <c r="T381" i="17" a="1"/>
  <c r="T381" i="17" s="1"/>
  <c r="T391" i="17" a="1"/>
  <c r="T391" i="17" s="1"/>
  <c r="T401" i="17" a="1"/>
  <c r="T401" i="17" s="1"/>
  <c r="T411" i="17" a="1"/>
  <c r="T411" i="17" s="1"/>
  <c r="T421" i="17" a="1"/>
  <c r="T421" i="17" s="1"/>
  <c r="T431" i="17" a="1"/>
  <c r="T431" i="17" s="1"/>
  <c r="T441" i="17" a="1"/>
  <c r="T441" i="17" s="1"/>
  <c r="T451" i="17" a="1"/>
  <c r="T451" i="17" s="1"/>
  <c r="T506" i="17" a="1"/>
  <c r="T506" i="17" s="1"/>
  <c r="T507" i="17" a="1"/>
  <c r="T507" i="17" s="1"/>
  <c r="T508" i="17" a="1"/>
  <c r="T508" i="17" s="1"/>
  <c r="T509" i="17" a="1"/>
  <c r="T509" i="17" s="1"/>
  <c r="T510" i="17" a="1"/>
  <c r="T510" i="17" s="1"/>
  <c r="T511" i="17" a="1"/>
  <c r="T511" i="17" s="1"/>
  <c r="T340" i="17" a="1"/>
  <c r="T340" i="17" s="1"/>
  <c r="T341" i="17" a="1"/>
  <c r="T341" i="17" s="1"/>
  <c r="U2" i="17" a="1"/>
  <c r="U2" i="17" s="1"/>
  <c r="U12" i="17" a="1"/>
  <c r="U12" i="17" s="1"/>
  <c r="U22" i="17" a="1"/>
  <c r="U22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92" i="17" a="1"/>
  <c r="U92" i="17" s="1"/>
  <c r="U102" i="17" a="1"/>
  <c r="U102" i="17" s="1"/>
  <c r="U112" i="17" a="1"/>
  <c r="U112" i="17" s="1"/>
  <c r="U122" i="17" a="1"/>
  <c r="U122" i="17" s="1"/>
  <c r="U123" i="17" a="1"/>
  <c r="U123" i="17" s="1"/>
  <c r="U142" i="17" a="1"/>
  <c r="U142" i="17" s="1"/>
  <c r="U143" i="17" a="1"/>
  <c r="U143" i="17" s="1"/>
  <c r="U162" i="17" a="1"/>
  <c r="U162" i="17" s="1"/>
  <c r="U163" i="17" a="1"/>
  <c r="U163" i="17" s="1"/>
  <c r="U182" i="17" a="1"/>
  <c r="U182" i="17" s="1"/>
  <c r="U183" i="17" a="1"/>
  <c r="U183" i="17" s="1"/>
  <c r="U202" i="17" a="1"/>
  <c r="U202" i="17" s="1"/>
  <c r="U203" i="17" a="1"/>
  <c r="U203" i="17" s="1"/>
  <c r="U222" i="17" a="1"/>
  <c r="U222" i="17" s="1"/>
  <c r="U223" i="17" a="1"/>
  <c r="U223" i="17" s="1"/>
  <c r="U242" i="17" a="1"/>
  <c r="U242" i="17" s="1"/>
  <c r="U243" i="17" a="1"/>
  <c r="U243" i="17" s="1"/>
  <c r="U262" i="17" a="1"/>
  <c r="U262" i="17" s="1"/>
  <c r="U263" i="17" a="1"/>
  <c r="U263" i="17" s="1"/>
  <c r="U282" i="17" a="1"/>
  <c r="U282" i="17" s="1"/>
  <c r="U283" i="17" a="1"/>
  <c r="U283" i="17" s="1"/>
  <c r="U302" i="17" a="1"/>
  <c r="U302" i="17" s="1"/>
  <c r="U303" i="17" a="1"/>
  <c r="U303" i="17" s="1"/>
  <c r="U342" i="17" a="1"/>
  <c r="U342" i="17" s="1"/>
  <c r="U352" i="17" a="1"/>
  <c r="U352" i="17" s="1"/>
  <c r="U362" i="17" a="1"/>
  <c r="U362" i="17" s="1"/>
  <c r="U372" i="17" a="1"/>
  <c r="U372" i="17" s="1"/>
  <c r="U382" i="17" a="1"/>
  <c r="U382" i="17" s="1"/>
  <c r="U392" i="17" a="1"/>
  <c r="U392" i="17" s="1"/>
  <c r="U402" i="17" a="1"/>
  <c r="U402" i="17" s="1"/>
  <c r="U412" i="17" a="1"/>
  <c r="U412" i="17" s="1"/>
  <c r="U422" i="17" a="1"/>
  <c r="U422" i="17" s="1"/>
  <c r="U432" i="17" a="1"/>
  <c r="U432" i="17" s="1"/>
  <c r="U442" i="17" a="1"/>
  <c r="U442" i="17" s="1"/>
  <c r="U452" i="17" a="1"/>
  <c r="U452" i="17" s="1"/>
  <c r="U453" i="17" a="1"/>
  <c r="U453" i="17" s="1"/>
  <c r="U454" i="17" a="1"/>
  <c r="U454" i="17" s="1"/>
  <c r="U455" i="17" a="1"/>
  <c r="U455" i="17" s="1"/>
  <c r="U456" i="17" a="1"/>
  <c r="U456" i="17" s="1"/>
  <c r="U457" i="17" a="1"/>
  <c r="U457" i="17" s="1"/>
  <c r="U322" i="17" a="1"/>
  <c r="U322" i="17" s="1"/>
  <c r="U323" i="17" a="1"/>
  <c r="U323" i="17" s="1"/>
  <c r="U3" i="17" a="1"/>
  <c r="U3" i="17" s="1"/>
  <c r="U13" i="17" a="1"/>
  <c r="U13" i="17" s="1"/>
  <c r="U23" i="17" a="1"/>
  <c r="U23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93" i="17" a="1"/>
  <c r="U93" i="17" s="1"/>
  <c r="U103" i="17" a="1"/>
  <c r="U103" i="17" s="1"/>
  <c r="U113" i="17" a="1"/>
  <c r="U113" i="17" s="1"/>
  <c r="U124" i="17" a="1"/>
  <c r="U124" i="17" s="1"/>
  <c r="U125" i="17" a="1"/>
  <c r="U125" i="17" s="1"/>
  <c r="U144" i="17" a="1"/>
  <c r="U144" i="17" s="1"/>
  <c r="U145" i="17" a="1"/>
  <c r="U145" i="17" s="1"/>
  <c r="U164" i="17" a="1"/>
  <c r="U164" i="17" s="1"/>
  <c r="U165" i="17" a="1"/>
  <c r="U165" i="17" s="1"/>
  <c r="U184" i="17" a="1"/>
  <c r="U184" i="17" s="1"/>
  <c r="U185" i="17" a="1"/>
  <c r="U185" i="17" s="1"/>
  <c r="U204" i="17" a="1"/>
  <c r="U204" i="17" s="1"/>
  <c r="U205" i="17" a="1"/>
  <c r="U205" i="17" s="1"/>
  <c r="U224" i="17" a="1"/>
  <c r="U224" i="17" s="1"/>
  <c r="U225" i="17" a="1"/>
  <c r="U225" i="17" s="1"/>
  <c r="U244" i="17" a="1"/>
  <c r="U244" i="17" s="1"/>
  <c r="U245" i="17" a="1"/>
  <c r="U245" i="17" s="1"/>
  <c r="U264" i="17" a="1"/>
  <c r="U264" i="17" s="1"/>
  <c r="U265" i="17" a="1"/>
  <c r="U265" i="17" s="1"/>
  <c r="U284" i="17" a="1"/>
  <c r="U284" i="17" s="1"/>
  <c r="U285" i="17" a="1"/>
  <c r="U285" i="17" s="1"/>
  <c r="U304" i="17" a="1"/>
  <c r="U304" i="17" s="1"/>
  <c r="U305" i="17" a="1"/>
  <c r="U305" i="17" s="1"/>
  <c r="U343" i="17" a="1"/>
  <c r="U343" i="17" s="1"/>
  <c r="U353" i="17" a="1"/>
  <c r="U353" i="17" s="1"/>
  <c r="U363" i="17" a="1"/>
  <c r="U363" i="17" s="1"/>
  <c r="U373" i="17" a="1"/>
  <c r="U373" i="17" s="1"/>
  <c r="U383" i="17" a="1"/>
  <c r="U383" i="17" s="1"/>
  <c r="U393" i="17" a="1"/>
  <c r="U393" i="17" s="1"/>
  <c r="U403" i="17" a="1"/>
  <c r="U403" i="17" s="1"/>
  <c r="U413" i="17" a="1"/>
  <c r="U413" i="17" s="1"/>
  <c r="U423" i="17" a="1"/>
  <c r="U423" i="17" s="1"/>
  <c r="U433" i="17" a="1"/>
  <c r="U433" i="17" s="1"/>
  <c r="U443" i="17" a="1"/>
  <c r="U443" i="17" s="1"/>
  <c r="U458" i="17" a="1"/>
  <c r="U458" i="17" s="1"/>
  <c r="U459" i="17" a="1"/>
  <c r="U459" i="17" s="1"/>
  <c r="U460" i="17" a="1"/>
  <c r="U460" i="17" s="1"/>
  <c r="U461" i="17" a="1"/>
  <c r="U461" i="17" s="1"/>
  <c r="U462" i="17" a="1"/>
  <c r="U462" i="17" s="1"/>
  <c r="U463" i="17" a="1"/>
  <c r="U463" i="17" s="1"/>
  <c r="U324" i="17" a="1"/>
  <c r="U324" i="17" s="1"/>
  <c r="U325" i="17" a="1"/>
  <c r="U325" i="17" s="1"/>
  <c r="U4" i="17" a="1"/>
  <c r="U4" i="17" s="1"/>
  <c r="U14" i="17" a="1"/>
  <c r="U14" i="17" s="1"/>
  <c r="U24" i="17" a="1"/>
  <c r="U24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94" i="17" a="1"/>
  <c r="U94" i="17" s="1"/>
  <c r="U104" i="17" a="1"/>
  <c r="U104" i="17" s="1"/>
  <c r="U114" i="17" a="1"/>
  <c r="U114" i="17" s="1"/>
  <c r="U126" i="17" a="1"/>
  <c r="U126" i="17" s="1"/>
  <c r="U127" i="17" a="1"/>
  <c r="U127" i="17" s="1"/>
  <c r="U146" i="17" a="1"/>
  <c r="U146" i="17" s="1"/>
  <c r="U147" i="17" a="1"/>
  <c r="U147" i="17" s="1"/>
  <c r="U166" i="17" a="1"/>
  <c r="U166" i="17" s="1"/>
  <c r="U167" i="17" a="1"/>
  <c r="U167" i="17" s="1"/>
  <c r="U186" i="17" a="1"/>
  <c r="U186" i="17" s="1"/>
  <c r="U187" i="17" a="1"/>
  <c r="U187" i="17" s="1"/>
  <c r="U206" i="17" a="1"/>
  <c r="U206" i="17" s="1"/>
  <c r="U207" i="17" a="1"/>
  <c r="U207" i="17" s="1"/>
  <c r="U226" i="17" a="1"/>
  <c r="U226" i="17" s="1"/>
  <c r="U227" i="17" a="1"/>
  <c r="U227" i="17" s="1"/>
  <c r="U246" i="17" a="1"/>
  <c r="U246" i="17" s="1"/>
  <c r="U247" i="17" a="1"/>
  <c r="U247" i="17" s="1"/>
  <c r="U266" i="17" a="1"/>
  <c r="U266" i="17" s="1"/>
  <c r="U267" i="17" a="1"/>
  <c r="U267" i="17" s="1"/>
  <c r="U286" i="17" a="1"/>
  <c r="U286" i="17" s="1"/>
  <c r="U287" i="17" a="1"/>
  <c r="U287" i="17" s="1"/>
  <c r="U306" i="17" a="1"/>
  <c r="U306" i="17" s="1"/>
  <c r="U307" i="17" a="1"/>
  <c r="U307" i="17" s="1"/>
  <c r="U344" i="17" a="1"/>
  <c r="U344" i="17" s="1"/>
  <c r="U354" i="17" a="1"/>
  <c r="U354" i="17" s="1"/>
  <c r="U364" i="17" a="1"/>
  <c r="U364" i="17" s="1"/>
  <c r="U374" i="17" a="1"/>
  <c r="U374" i="17" s="1"/>
  <c r="U384" i="17" a="1"/>
  <c r="U384" i="17" s="1"/>
  <c r="U394" i="17" a="1"/>
  <c r="U394" i="17" s="1"/>
  <c r="U404" i="17" a="1"/>
  <c r="U404" i="17" s="1"/>
  <c r="U414" i="17" a="1"/>
  <c r="U414" i="17" s="1"/>
  <c r="U424" i="17" a="1"/>
  <c r="U424" i="17" s="1"/>
  <c r="U434" i="17" a="1"/>
  <c r="U434" i="17" s="1"/>
  <c r="U444" i="17" a="1"/>
  <c r="U444" i="17" s="1"/>
  <c r="U464" i="17" a="1"/>
  <c r="U464" i="17" s="1"/>
  <c r="U465" i="17" a="1"/>
  <c r="U465" i="17" s="1"/>
  <c r="U466" i="17" a="1"/>
  <c r="U466" i="17" s="1"/>
  <c r="U467" i="17" a="1"/>
  <c r="U467" i="17" s="1"/>
  <c r="U468" i="17" a="1"/>
  <c r="U468" i="17" s="1"/>
  <c r="U469" i="17" a="1"/>
  <c r="U469" i="17" s="1"/>
  <c r="U326" i="17" a="1"/>
  <c r="U326" i="17" s="1"/>
  <c r="U327" i="17" a="1"/>
  <c r="U327" i="17" s="1"/>
  <c r="U5" i="17" a="1"/>
  <c r="U5" i="17" s="1"/>
  <c r="U15" i="17" a="1"/>
  <c r="U15" i="17" s="1"/>
  <c r="U25" i="17" a="1"/>
  <c r="U25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95" i="17" a="1"/>
  <c r="U95" i="17" s="1"/>
  <c r="U105" i="17" a="1"/>
  <c r="U105" i="17" s="1"/>
  <c r="U115" i="17" a="1"/>
  <c r="U115" i="17" s="1"/>
  <c r="U128" i="17" a="1"/>
  <c r="U128" i="17" s="1"/>
  <c r="U129" i="17" a="1"/>
  <c r="U129" i="17" s="1"/>
  <c r="U148" i="17" a="1"/>
  <c r="U148" i="17" s="1"/>
  <c r="U149" i="17" a="1"/>
  <c r="U149" i="17" s="1"/>
  <c r="U168" i="17" a="1"/>
  <c r="U168" i="17" s="1"/>
  <c r="U169" i="17" a="1"/>
  <c r="U169" i="17" s="1"/>
  <c r="U188" i="17" a="1"/>
  <c r="U188" i="17" s="1"/>
  <c r="U189" i="17" a="1"/>
  <c r="U189" i="17" s="1"/>
  <c r="U208" i="17" a="1"/>
  <c r="U208" i="17" s="1"/>
  <c r="U209" i="17" a="1"/>
  <c r="U209" i="17" s="1"/>
  <c r="U228" i="17" a="1"/>
  <c r="U228" i="17" s="1"/>
  <c r="U229" i="17" a="1"/>
  <c r="U229" i="17" s="1"/>
  <c r="U248" i="17" a="1"/>
  <c r="U248" i="17" s="1"/>
  <c r="U249" i="17" a="1"/>
  <c r="U249" i="17" s="1"/>
  <c r="U268" i="17" a="1"/>
  <c r="U268" i="17" s="1"/>
  <c r="U269" i="17" a="1"/>
  <c r="U269" i="17" s="1"/>
  <c r="U288" i="17" a="1"/>
  <c r="U288" i="17" s="1"/>
  <c r="U289" i="17" a="1"/>
  <c r="U289" i="17" s="1"/>
  <c r="U308" i="17" a="1"/>
  <c r="U308" i="17" s="1"/>
  <c r="U309" i="17" a="1"/>
  <c r="U309" i="17" s="1"/>
  <c r="U345" i="17" a="1"/>
  <c r="U345" i="17" s="1"/>
  <c r="U355" i="17" a="1"/>
  <c r="U355" i="17" s="1"/>
  <c r="U365" i="17" a="1"/>
  <c r="U365" i="17" s="1"/>
  <c r="U375" i="17" a="1"/>
  <c r="U375" i="17" s="1"/>
  <c r="U385" i="17" a="1"/>
  <c r="U385" i="17" s="1"/>
  <c r="U395" i="17" a="1"/>
  <c r="U395" i="17" s="1"/>
  <c r="U405" i="17" a="1"/>
  <c r="U405" i="17" s="1"/>
  <c r="U415" i="17" a="1"/>
  <c r="U415" i="17" s="1"/>
  <c r="U425" i="17" a="1"/>
  <c r="U425" i="17" s="1"/>
  <c r="U435" i="17" a="1"/>
  <c r="U435" i="17" s="1"/>
  <c r="U445" i="17" a="1"/>
  <c r="U445" i="17" s="1"/>
  <c r="U470" i="17" a="1"/>
  <c r="U470" i="17" s="1"/>
  <c r="U471" i="17" a="1"/>
  <c r="U471" i="17" s="1"/>
  <c r="U472" i="17" a="1"/>
  <c r="U472" i="17" s="1"/>
  <c r="U473" i="17" a="1"/>
  <c r="U473" i="17" s="1"/>
  <c r="U474" i="17" a="1"/>
  <c r="U474" i="17" s="1"/>
  <c r="U475" i="17" a="1"/>
  <c r="U475" i="17" s="1"/>
  <c r="U328" i="17" a="1"/>
  <c r="U328" i="17" s="1"/>
  <c r="U329" i="17" a="1"/>
  <c r="U329" i="17" s="1"/>
  <c r="U6" i="17" a="1"/>
  <c r="U6" i="17" s="1"/>
  <c r="U16" i="17" a="1"/>
  <c r="U16" i="17" s="1"/>
  <c r="U26" i="17" a="1"/>
  <c r="U26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96" i="17" a="1"/>
  <c r="U96" i="17" s="1"/>
  <c r="U106" i="17" a="1"/>
  <c r="U106" i="17" s="1"/>
  <c r="U116" i="17" a="1"/>
  <c r="U116" i="17" s="1"/>
  <c r="U130" i="17" a="1"/>
  <c r="U130" i="17" s="1"/>
  <c r="U131" i="17" a="1"/>
  <c r="U131" i="17" s="1"/>
  <c r="U150" i="17" a="1"/>
  <c r="U150" i="17" s="1"/>
  <c r="U151" i="17" a="1"/>
  <c r="U151" i="17" s="1"/>
  <c r="U170" i="17" a="1"/>
  <c r="U170" i="17" s="1"/>
  <c r="U171" i="17" a="1"/>
  <c r="U171" i="17" s="1"/>
  <c r="U190" i="17" a="1"/>
  <c r="U190" i="17" s="1"/>
  <c r="U191" i="17" a="1"/>
  <c r="U191" i="17" s="1"/>
  <c r="U210" i="17" a="1"/>
  <c r="U210" i="17" s="1"/>
  <c r="U211" i="17" a="1"/>
  <c r="U211" i="17" s="1"/>
  <c r="U230" i="17" a="1"/>
  <c r="U230" i="17" s="1"/>
  <c r="U231" i="17" a="1"/>
  <c r="U231" i="17" s="1"/>
  <c r="U250" i="17" a="1"/>
  <c r="U250" i="17" s="1"/>
  <c r="U251" i="17" a="1"/>
  <c r="U251" i="17" s="1"/>
  <c r="U270" i="17" a="1"/>
  <c r="U270" i="17" s="1"/>
  <c r="U271" i="17" a="1"/>
  <c r="U271" i="17" s="1"/>
  <c r="U290" i="17" a="1"/>
  <c r="U290" i="17" s="1"/>
  <c r="U291" i="17" a="1"/>
  <c r="U291" i="17" s="1"/>
  <c r="U310" i="17" a="1"/>
  <c r="U310" i="17" s="1"/>
  <c r="U311" i="17" a="1"/>
  <c r="U311" i="17" s="1"/>
  <c r="U346" i="17" a="1"/>
  <c r="U346" i="17" s="1"/>
  <c r="U356" i="17" a="1"/>
  <c r="U356" i="17" s="1"/>
  <c r="U366" i="17" a="1"/>
  <c r="U366" i="17" s="1"/>
  <c r="U376" i="17" a="1"/>
  <c r="U376" i="17" s="1"/>
  <c r="U386" i="17" a="1"/>
  <c r="U386" i="17" s="1"/>
  <c r="U396" i="17" a="1"/>
  <c r="U396" i="17" s="1"/>
  <c r="U406" i="17" a="1"/>
  <c r="U406" i="17" s="1"/>
  <c r="U416" i="17" a="1"/>
  <c r="U416" i="17" s="1"/>
  <c r="U426" i="17" a="1"/>
  <c r="U426" i="17" s="1"/>
  <c r="U436" i="17" a="1"/>
  <c r="U436" i="17" s="1"/>
  <c r="U446" i="17" a="1"/>
  <c r="U446" i="17" s="1"/>
  <c r="U476" i="17" a="1"/>
  <c r="U476" i="17" s="1"/>
  <c r="U477" i="17" a="1"/>
  <c r="U477" i="17" s="1"/>
  <c r="U478" i="17" a="1"/>
  <c r="U478" i="17" s="1"/>
  <c r="U479" i="17" a="1"/>
  <c r="U479" i="17" s="1"/>
  <c r="U480" i="17" a="1"/>
  <c r="U480" i="17" s="1"/>
  <c r="U481" i="17" a="1"/>
  <c r="U481" i="17" s="1"/>
  <c r="U330" i="17" a="1"/>
  <c r="U330" i="17" s="1"/>
  <c r="U331" i="17" a="1"/>
  <c r="U331" i="17" s="1"/>
  <c r="U7" i="17" a="1"/>
  <c r="U7" i="17" s="1"/>
  <c r="U17" i="17" a="1"/>
  <c r="U17" i="17" s="1"/>
  <c r="U27" i="17" a="1"/>
  <c r="U27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97" i="17" a="1"/>
  <c r="U97" i="17" s="1"/>
  <c r="U107" i="17" a="1"/>
  <c r="U107" i="17" s="1"/>
  <c r="U117" i="17" a="1"/>
  <c r="U117" i="17" s="1"/>
  <c r="U132" i="17" a="1"/>
  <c r="U132" i="17" s="1"/>
  <c r="U133" i="17" a="1"/>
  <c r="U133" i="17" s="1"/>
  <c r="U152" i="17" a="1"/>
  <c r="U152" i="17" s="1"/>
  <c r="U153" i="17" a="1"/>
  <c r="U153" i="17" s="1"/>
  <c r="U172" i="17" a="1"/>
  <c r="U172" i="17" s="1"/>
  <c r="U173" i="17" a="1"/>
  <c r="U173" i="17" s="1"/>
  <c r="U192" i="17" a="1"/>
  <c r="U192" i="17" s="1"/>
  <c r="U193" i="17" a="1"/>
  <c r="U193" i="17" s="1"/>
  <c r="U212" i="17" a="1"/>
  <c r="U212" i="17" s="1"/>
  <c r="U213" i="17" a="1"/>
  <c r="U213" i="17" s="1"/>
  <c r="U232" i="17" a="1"/>
  <c r="U232" i="17" s="1"/>
  <c r="U233" i="17" a="1"/>
  <c r="U233" i="17" s="1"/>
  <c r="U252" i="17" a="1"/>
  <c r="U252" i="17" s="1"/>
  <c r="U253" i="17" a="1"/>
  <c r="U253" i="17" s="1"/>
  <c r="U272" i="17" a="1"/>
  <c r="U272" i="17" s="1"/>
  <c r="U273" i="17" a="1"/>
  <c r="U273" i="17" s="1"/>
  <c r="U292" i="17" a="1"/>
  <c r="U292" i="17" s="1"/>
  <c r="U293" i="17" a="1"/>
  <c r="U293" i="17" s="1"/>
  <c r="U312" i="17" a="1"/>
  <c r="U312" i="17" s="1"/>
  <c r="U313" i="17" a="1"/>
  <c r="U313" i="17" s="1"/>
  <c r="U347" i="17" a="1"/>
  <c r="U347" i="17" s="1"/>
  <c r="U357" i="17" a="1"/>
  <c r="U357" i="17" s="1"/>
  <c r="U367" i="17" a="1"/>
  <c r="U367" i="17" s="1"/>
  <c r="U377" i="17" a="1"/>
  <c r="U377" i="17" s="1"/>
  <c r="U387" i="17" a="1"/>
  <c r="U387" i="17" s="1"/>
  <c r="U397" i="17" a="1"/>
  <c r="U397" i="17" s="1"/>
  <c r="U407" i="17" a="1"/>
  <c r="U407" i="17" s="1"/>
  <c r="U417" i="17" a="1"/>
  <c r="U417" i="17" s="1"/>
  <c r="U427" i="17" a="1"/>
  <c r="U427" i="17" s="1"/>
  <c r="U437" i="17" a="1"/>
  <c r="U437" i="17" s="1"/>
  <c r="U447" i="17" a="1"/>
  <c r="U447" i="17" s="1"/>
  <c r="U482" i="17" a="1"/>
  <c r="U482" i="17" s="1"/>
  <c r="U483" i="17" a="1"/>
  <c r="U483" i="17" s="1"/>
  <c r="U484" i="17" a="1"/>
  <c r="U484" i="17" s="1"/>
  <c r="U485" i="17" a="1"/>
  <c r="U485" i="17" s="1"/>
  <c r="U486" i="17" a="1"/>
  <c r="U486" i="17" s="1"/>
  <c r="U487" i="17" a="1"/>
  <c r="U487" i="17" s="1"/>
  <c r="U332" i="17" a="1"/>
  <c r="U332" i="17" s="1"/>
  <c r="U333" i="17" a="1"/>
  <c r="U333" i="17" s="1"/>
  <c r="U8" i="17" a="1"/>
  <c r="U8" i="17" s="1"/>
  <c r="U18" i="17" a="1"/>
  <c r="U18" i="17" s="1"/>
  <c r="U28" i="17" a="1"/>
  <c r="U28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98" i="17" a="1"/>
  <c r="U98" i="17" s="1"/>
  <c r="U108" i="17" a="1"/>
  <c r="U108" i="17" s="1"/>
  <c r="U118" i="17" a="1"/>
  <c r="U118" i="17" s="1"/>
  <c r="U134" i="17" a="1"/>
  <c r="U134" i="17" s="1"/>
  <c r="U135" i="17" a="1"/>
  <c r="U135" i="17" s="1"/>
  <c r="U154" i="17" a="1"/>
  <c r="U154" i="17" s="1"/>
  <c r="U155" i="17" a="1"/>
  <c r="U155" i="17" s="1"/>
  <c r="U174" i="17" a="1"/>
  <c r="U174" i="17" s="1"/>
  <c r="U175" i="17" a="1"/>
  <c r="U175" i="17" s="1"/>
  <c r="U194" i="17" a="1"/>
  <c r="U194" i="17" s="1"/>
  <c r="U195" i="17" a="1"/>
  <c r="U195" i="17" s="1"/>
  <c r="U214" i="17" a="1"/>
  <c r="U214" i="17" s="1"/>
  <c r="U215" i="17" a="1"/>
  <c r="U215" i="17" s="1"/>
  <c r="U234" i="17" a="1"/>
  <c r="U234" i="17" s="1"/>
  <c r="U235" i="17" a="1"/>
  <c r="U235" i="17" s="1"/>
  <c r="U254" i="17" a="1"/>
  <c r="U254" i="17" s="1"/>
  <c r="U255" i="17" a="1"/>
  <c r="U255" i="17" s="1"/>
  <c r="U274" i="17" a="1"/>
  <c r="U274" i="17" s="1"/>
  <c r="U275" i="17" a="1"/>
  <c r="U275" i="17" s="1"/>
  <c r="U294" i="17" a="1"/>
  <c r="U294" i="17" s="1"/>
  <c r="U295" i="17" a="1"/>
  <c r="U295" i="17" s="1"/>
  <c r="U314" i="17" a="1"/>
  <c r="U314" i="17" s="1"/>
  <c r="U315" i="17" a="1"/>
  <c r="U315" i="17" s="1"/>
  <c r="U348" i="17" a="1"/>
  <c r="U348" i="17" s="1"/>
  <c r="U358" i="17" a="1"/>
  <c r="U358" i="17" s="1"/>
  <c r="U368" i="17" a="1"/>
  <c r="U368" i="17" s="1"/>
  <c r="U378" i="17" a="1"/>
  <c r="U378" i="17" s="1"/>
  <c r="U388" i="17" a="1"/>
  <c r="U388" i="17" s="1"/>
  <c r="U398" i="17" a="1"/>
  <c r="U398" i="17" s="1"/>
  <c r="U408" i="17" a="1"/>
  <c r="U408" i="17" s="1"/>
  <c r="U418" i="17" a="1"/>
  <c r="U418" i="17" s="1"/>
  <c r="U428" i="17" a="1"/>
  <c r="U428" i="17" s="1"/>
  <c r="U438" i="17" a="1"/>
  <c r="U438" i="17" s="1"/>
  <c r="U448" i="17" a="1"/>
  <c r="U448" i="17" s="1"/>
  <c r="U488" i="17" a="1"/>
  <c r="U488" i="17" s="1"/>
  <c r="U489" i="17" a="1"/>
  <c r="U489" i="17" s="1"/>
  <c r="U490" i="17" a="1"/>
  <c r="U490" i="17" s="1"/>
  <c r="U491" i="17" a="1"/>
  <c r="U491" i="17" s="1"/>
  <c r="U492" i="17" a="1"/>
  <c r="U492" i="17" s="1"/>
  <c r="U493" i="17" a="1"/>
  <c r="U493" i="17" s="1"/>
  <c r="U334" i="17" a="1"/>
  <c r="U334" i="17" s="1"/>
  <c r="U335" i="17" a="1"/>
  <c r="U335" i="17" s="1"/>
  <c r="U9" i="17" a="1"/>
  <c r="U9" i="17" s="1"/>
  <c r="U19" i="17" a="1"/>
  <c r="U19" i="17" s="1"/>
  <c r="U29" i="17" a="1"/>
  <c r="U29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99" i="17" a="1"/>
  <c r="U99" i="17" s="1"/>
  <c r="U109" i="17" a="1"/>
  <c r="U109" i="17" s="1"/>
  <c r="U119" i="17" a="1"/>
  <c r="U119" i="17" s="1"/>
  <c r="U136" i="17" a="1"/>
  <c r="U136" i="17" s="1"/>
  <c r="U137" i="17" a="1"/>
  <c r="U137" i="17" s="1"/>
  <c r="U156" i="17" a="1"/>
  <c r="U156" i="17" s="1"/>
  <c r="U157" i="17" a="1"/>
  <c r="U157" i="17" s="1"/>
  <c r="U176" i="17" a="1"/>
  <c r="U176" i="17" s="1"/>
  <c r="U177" i="17" a="1"/>
  <c r="U177" i="17" s="1"/>
  <c r="U196" i="17" a="1"/>
  <c r="U196" i="17" s="1"/>
  <c r="U197" i="17" a="1"/>
  <c r="U197" i="17" s="1"/>
  <c r="U216" i="17" a="1"/>
  <c r="U216" i="17" s="1"/>
  <c r="U217" i="17" a="1"/>
  <c r="U217" i="17" s="1"/>
  <c r="U236" i="17" a="1"/>
  <c r="U236" i="17" s="1"/>
  <c r="U237" i="17" a="1"/>
  <c r="U237" i="17" s="1"/>
  <c r="U256" i="17" a="1"/>
  <c r="U256" i="17" s="1"/>
  <c r="U257" i="17" a="1"/>
  <c r="U257" i="17" s="1"/>
  <c r="U276" i="17" a="1"/>
  <c r="U276" i="17" s="1"/>
  <c r="U277" i="17" a="1"/>
  <c r="U277" i="17" s="1"/>
  <c r="U296" i="17" a="1"/>
  <c r="U296" i="17" s="1"/>
  <c r="U297" i="17" a="1"/>
  <c r="U297" i="17" s="1"/>
  <c r="U316" i="17" a="1"/>
  <c r="U316" i="17" s="1"/>
  <c r="U317" i="17" a="1"/>
  <c r="U317" i="17" s="1"/>
  <c r="U349" i="17" a="1"/>
  <c r="U349" i="17" s="1"/>
  <c r="U359" i="17" a="1"/>
  <c r="U359" i="17" s="1"/>
  <c r="U369" i="17" a="1"/>
  <c r="U369" i="17" s="1"/>
  <c r="U379" i="17" a="1"/>
  <c r="U379" i="17" s="1"/>
  <c r="U389" i="17" a="1"/>
  <c r="U389" i="17" s="1"/>
  <c r="U399" i="17" a="1"/>
  <c r="U399" i="17" s="1"/>
  <c r="U409" i="17" a="1"/>
  <c r="U409" i="17" s="1"/>
  <c r="U419" i="17" a="1"/>
  <c r="U419" i="17" s="1"/>
  <c r="U429" i="17" a="1"/>
  <c r="U429" i="17" s="1"/>
  <c r="U439" i="17" a="1"/>
  <c r="U439" i="17" s="1"/>
  <c r="U449" i="17" a="1"/>
  <c r="U449" i="17" s="1"/>
  <c r="U494" i="17" a="1"/>
  <c r="U494" i="17" s="1"/>
  <c r="U495" i="17" a="1"/>
  <c r="U495" i="17" s="1"/>
  <c r="U496" i="17" a="1"/>
  <c r="U496" i="17" s="1"/>
  <c r="U497" i="17" a="1"/>
  <c r="U497" i="17" s="1"/>
  <c r="U498" i="17" a="1"/>
  <c r="U498" i="17" s="1"/>
  <c r="U499" i="17" a="1"/>
  <c r="U499" i="17" s="1"/>
  <c r="U336" i="17" a="1"/>
  <c r="U336" i="17" s="1"/>
  <c r="U337" i="17" a="1"/>
  <c r="U337" i="17" s="1"/>
  <c r="U10" i="17" a="1"/>
  <c r="U10" i="17" s="1"/>
  <c r="U20" i="17" a="1"/>
  <c r="U20" i="17" s="1"/>
  <c r="U30" i="17" a="1"/>
  <c r="U30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100" i="17" a="1"/>
  <c r="U100" i="17" s="1"/>
  <c r="U110" i="17" a="1"/>
  <c r="U110" i="17" s="1"/>
  <c r="U120" i="17" a="1"/>
  <c r="U120" i="17" s="1"/>
  <c r="U138" i="17" a="1"/>
  <c r="U138" i="17" s="1"/>
  <c r="U139" i="17" a="1"/>
  <c r="U139" i="17" s="1"/>
  <c r="U158" i="17" a="1"/>
  <c r="U158" i="17" s="1"/>
  <c r="U159" i="17" a="1"/>
  <c r="U159" i="17" s="1"/>
  <c r="U178" i="17" a="1"/>
  <c r="U178" i="17" s="1"/>
  <c r="U179" i="17" a="1"/>
  <c r="U179" i="17" s="1"/>
  <c r="U198" i="17" a="1"/>
  <c r="U198" i="17" s="1"/>
  <c r="U199" i="17" a="1"/>
  <c r="U199" i="17" s="1"/>
  <c r="U218" i="17" a="1"/>
  <c r="U218" i="17" s="1"/>
  <c r="U219" i="17" a="1"/>
  <c r="U219" i="17" s="1"/>
  <c r="U238" i="17" a="1"/>
  <c r="U238" i="17" s="1"/>
  <c r="U239" i="17" a="1"/>
  <c r="U239" i="17" s="1"/>
  <c r="U258" i="17" a="1"/>
  <c r="U258" i="17" s="1"/>
  <c r="U259" i="17" a="1"/>
  <c r="U259" i="17" s="1"/>
  <c r="U278" i="17" a="1"/>
  <c r="U278" i="17" s="1"/>
  <c r="U279" i="17" a="1"/>
  <c r="U279" i="17" s="1"/>
  <c r="U298" i="17" a="1"/>
  <c r="U298" i="17" s="1"/>
  <c r="U299" i="17" a="1"/>
  <c r="U299" i="17" s="1"/>
  <c r="U318" i="17" a="1"/>
  <c r="U318" i="17" s="1"/>
  <c r="U319" i="17" a="1"/>
  <c r="U319" i="17" s="1"/>
  <c r="U350" i="17" a="1"/>
  <c r="U350" i="17" s="1"/>
  <c r="U360" i="17" a="1"/>
  <c r="U360" i="17" s="1"/>
  <c r="U370" i="17" a="1"/>
  <c r="U370" i="17" s="1"/>
  <c r="U380" i="17" a="1"/>
  <c r="U380" i="17" s="1"/>
  <c r="U390" i="17" a="1"/>
  <c r="U390" i="17" s="1"/>
  <c r="U400" i="17" a="1"/>
  <c r="U400" i="17" s="1"/>
  <c r="U410" i="17" a="1"/>
  <c r="U410" i="17" s="1"/>
  <c r="U420" i="17" a="1"/>
  <c r="U420" i="17" s="1"/>
  <c r="U430" i="17" a="1"/>
  <c r="U430" i="17" s="1"/>
  <c r="U440" i="17" a="1"/>
  <c r="U440" i="17" s="1"/>
  <c r="U450" i="17" a="1"/>
  <c r="U450" i="17" s="1"/>
  <c r="U500" i="17" a="1"/>
  <c r="U500" i="17" s="1"/>
  <c r="U501" i="17" a="1"/>
  <c r="U501" i="17" s="1"/>
  <c r="U502" i="17" a="1"/>
  <c r="U502" i="17" s="1"/>
  <c r="U503" i="17" a="1"/>
  <c r="U503" i="17" s="1"/>
  <c r="U504" i="17" a="1"/>
  <c r="U504" i="17" s="1"/>
  <c r="U505" i="17" a="1"/>
  <c r="U505" i="17" s="1"/>
  <c r="U338" i="17" a="1"/>
  <c r="U338" i="17" s="1"/>
  <c r="U339" i="17" a="1"/>
  <c r="U339" i="17" s="1"/>
  <c r="U11" i="17" a="1"/>
  <c r="U11" i="17" s="1"/>
  <c r="U21" i="17" a="1"/>
  <c r="U21" i="17" s="1"/>
  <c r="U31" i="17" a="1"/>
  <c r="U31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01" i="17" a="1"/>
  <c r="U101" i="17" s="1"/>
  <c r="U111" i="17" a="1"/>
  <c r="U111" i="17" s="1"/>
  <c r="U121" i="17" a="1"/>
  <c r="U121" i="17" s="1"/>
  <c r="U140" i="17" a="1"/>
  <c r="U140" i="17" s="1"/>
  <c r="U141" i="17" a="1"/>
  <c r="U141" i="17" s="1"/>
  <c r="U160" i="17" a="1"/>
  <c r="U160" i="17" s="1"/>
  <c r="U161" i="17" a="1"/>
  <c r="U161" i="17" s="1"/>
  <c r="U180" i="17" a="1"/>
  <c r="U180" i="17" s="1"/>
  <c r="U181" i="17" a="1"/>
  <c r="U181" i="17" s="1"/>
  <c r="U200" i="17" a="1"/>
  <c r="U200" i="17" s="1"/>
  <c r="U201" i="17" a="1"/>
  <c r="U201" i="17" s="1"/>
  <c r="U220" i="17" a="1"/>
  <c r="U220" i="17" s="1"/>
  <c r="U221" i="17" a="1"/>
  <c r="U221" i="17" s="1"/>
  <c r="U240" i="17" a="1"/>
  <c r="U240" i="17" s="1"/>
  <c r="U241" i="17" a="1"/>
  <c r="U241" i="17" s="1"/>
  <c r="U260" i="17" a="1"/>
  <c r="U260" i="17" s="1"/>
  <c r="U261" i="17" a="1"/>
  <c r="U261" i="17" s="1"/>
  <c r="U280" i="17" a="1"/>
  <c r="U280" i="17" s="1"/>
  <c r="U281" i="17" a="1"/>
  <c r="U281" i="17" s="1"/>
  <c r="U300" i="17" a="1"/>
  <c r="U300" i="17" s="1"/>
  <c r="U301" i="17" a="1"/>
  <c r="U301" i="17" s="1"/>
  <c r="U320" i="17" a="1"/>
  <c r="U320" i="17" s="1"/>
  <c r="U321" i="17" a="1"/>
  <c r="U321" i="17" s="1"/>
  <c r="U351" i="17" a="1"/>
  <c r="U351" i="17" s="1"/>
  <c r="U361" i="17" a="1"/>
  <c r="U361" i="17" s="1"/>
  <c r="U371" i="17" a="1"/>
  <c r="U371" i="17" s="1"/>
  <c r="U381" i="17" a="1"/>
  <c r="U381" i="17" s="1"/>
  <c r="U391" i="17" a="1"/>
  <c r="U391" i="17" s="1"/>
  <c r="U401" i="17" a="1"/>
  <c r="U401" i="17" s="1"/>
  <c r="U411" i="17" a="1"/>
  <c r="U411" i="17" s="1"/>
  <c r="U421" i="17" a="1"/>
  <c r="U421" i="17" s="1"/>
  <c r="U431" i="17" a="1"/>
  <c r="U431" i="17" s="1"/>
  <c r="U441" i="17" a="1"/>
  <c r="U441" i="17" s="1"/>
  <c r="U451" i="17" a="1"/>
  <c r="U451" i="17" s="1"/>
  <c r="U506" i="17" a="1"/>
  <c r="U506" i="17" s="1"/>
  <c r="U507" i="17" a="1"/>
  <c r="U507" i="17" s="1"/>
  <c r="U508" i="17" a="1"/>
  <c r="U508" i="17" s="1"/>
  <c r="U509" i="17" a="1"/>
  <c r="U509" i="17" s="1"/>
  <c r="U510" i="17" a="1"/>
  <c r="U510" i="17" s="1"/>
  <c r="U511" i="17" a="1"/>
  <c r="U511" i="17" s="1"/>
  <c r="U340" i="17" a="1"/>
  <c r="U340" i="17" s="1"/>
  <c r="U341" i="17" a="1"/>
  <c r="U341" i="17" s="1"/>
  <c r="V2" i="17" a="1"/>
  <c r="V2" i="17" s="1"/>
  <c r="V12" i="17" a="1"/>
  <c r="V12" i="17" s="1"/>
  <c r="V22" i="17" a="1"/>
  <c r="V22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92" i="17" a="1"/>
  <c r="V92" i="17" s="1"/>
  <c r="V102" i="17" a="1"/>
  <c r="V102" i="17" s="1"/>
  <c r="V112" i="17" a="1"/>
  <c r="V112" i="17" s="1"/>
  <c r="V122" i="17" a="1"/>
  <c r="V122" i="17" s="1"/>
  <c r="V123" i="17" a="1"/>
  <c r="V123" i="17" s="1"/>
  <c r="V142" i="17" a="1"/>
  <c r="V142" i="17" s="1"/>
  <c r="V143" i="17" a="1"/>
  <c r="V143" i="17" s="1"/>
  <c r="V162" i="17" a="1"/>
  <c r="V162" i="17" s="1"/>
  <c r="V163" i="17" a="1"/>
  <c r="V163" i="17" s="1"/>
  <c r="V182" i="17" a="1"/>
  <c r="V182" i="17" s="1"/>
  <c r="V183" i="17" a="1"/>
  <c r="V183" i="17" s="1"/>
  <c r="V202" i="17" a="1"/>
  <c r="V202" i="17" s="1"/>
  <c r="V203" i="17" a="1"/>
  <c r="V203" i="17" s="1"/>
  <c r="V222" i="17" a="1"/>
  <c r="V222" i="17" s="1"/>
  <c r="V223" i="17" a="1"/>
  <c r="V223" i="17" s="1"/>
  <c r="V242" i="17" a="1"/>
  <c r="V242" i="17" s="1"/>
  <c r="V243" i="17" a="1"/>
  <c r="V243" i="17" s="1"/>
  <c r="V262" i="17" a="1"/>
  <c r="V262" i="17" s="1"/>
  <c r="V263" i="17" a="1"/>
  <c r="V263" i="17" s="1"/>
  <c r="V282" i="17" a="1"/>
  <c r="V282" i="17" s="1"/>
  <c r="V283" i="17" a="1"/>
  <c r="V283" i="17" s="1"/>
  <c r="V302" i="17" a="1"/>
  <c r="V302" i="17" s="1"/>
  <c r="V303" i="17" a="1"/>
  <c r="V303" i="17" s="1"/>
  <c r="V342" i="17" a="1"/>
  <c r="V342" i="17" s="1"/>
  <c r="V352" i="17" a="1"/>
  <c r="V352" i="17" s="1"/>
  <c r="V362" i="17" a="1"/>
  <c r="V362" i="17" s="1"/>
  <c r="V372" i="17" a="1"/>
  <c r="V372" i="17" s="1"/>
  <c r="V382" i="17" a="1"/>
  <c r="V382" i="17" s="1"/>
  <c r="V392" i="17" a="1"/>
  <c r="V392" i="17" s="1"/>
  <c r="V402" i="17" a="1"/>
  <c r="V402" i="17" s="1"/>
  <c r="V412" i="17" a="1"/>
  <c r="V412" i="17" s="1"/>
  <c r="V422" i="17" a="1"/>
  <c r="V422" i="17" s="1"/>
  <c r="V432" i="17" a="1"/>
  <c r="V432" i="17" s="1"/>
  <c r="V442" i="17" a="1"/>
  <c r="V442" i="17" s="1"/>
  <c r="V452" i="17" a="1"/>
  <c r="V452" i="17" s="1"/>
  <c r="V453" i="17" a="1"/>
  <c r="V453" i="17" s="1"/>
  <c r="V454" i="17" a="1"/>
  <c r="V454" i="17" s="1"/>
  <c r="V455" i="17" a="1"/>
  <c r="V455" i="17" s="1"/>
  <c r="V456" i="17" a="1"/>
  <c r="V456" i="17" s="1"/>
  <c r="V457" i="17" a="1"/>
  <c r="V457" i="17" s="1"/>
  <c r="V322" i="17" a="1"/>
  <c r="V322" i="17" s="1"/>
  <c r="V323" i="17" a="1"/>
  <c r="V323" i="17" s="1"/>
  <c r="V3" i="17" a="1"/>
  <c r="V3" i="17" s="1"/>
  <c r="V13" i="17" a="1"/>
  <c r="V13" i="17" s="1"/>
  <c r="V23" i="17" a="1"/>
  <c r="V23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93" i="17" a="1"/>
  <c r="V93" i="17" s="1"/>
  <c r="V103" i="17" a="1"/>
  <c r="V103" i="17" s="1"/>
  <c r="V113" i="17" a="1"/>
  <c r="V113" i="17" s="1"/>
  <c r="V124" i="17" a="1"/>
  <c r="V124" i="17" s="1"/>
  <c r="V125" i="17" a="1"/>
  <c r="V125" i="17" s="1"/>
  <c r="V144" i="17" a="1"/>
  <c r="V144" i="17" s="1"/>
  <c r="V145" i="17" a="1"/>
  <c r="V145" i="17" s="1"/>
  <c r="V164" i="17" a="1"/>
  <c r="V164" i="17" s="1"/>
  <c r="V165" i="17" a="1"/>
  <c r="V165" i="17" s="1"/>
  <c r="V184" i="17" a="1"/>
  <c r="V184" i="17" s="1"/>
  <c r="V185" i="17" a="1"/>
  <c r="V185" i="17" s="1"/>
  <c r="V204" i="17" a="1"/>
  <c r="V204" i="17" s="1"/>
  <c r="V205" i="17" a="1"/>
  <c r="V205" i="17" s="1"/>
  <c r="V224" i="17" a="1"/>
  <c r="V224" i="17" s="1"/>
  <c r="V225" i="17" a="1"/>
  <c r="V225" i="17" s="1"/>
  <c r="V244" i="17" a="1"/>
  <c r="V244" i="17" s="1"/>
  <c r="V245" i="17" a="1"/>
  <c r="V245" i="17" s="1"/>
  <c r="V264" i="17" a="1"/>
  <c r="V264" i="17" s="1"/>
  <c r="V265" i="17" a="1"/>
  <c r="V265" i="17" s="1"/>
  <c r="V284" i="17" a="1"/>
  <c r="V284" i="17" s="1"/>
  <c r="V285" i="17" a="1"/>
  <c r="V285" i="17" s="1"/>
  <c r="V304" i="17" a="1"/>
  <c r="V304" i="17" s="1"/>
  <c r="V305" i="17" a="1"/>
  <c r="V305" i="17" s="1"/>
  <c r="V343" i="17" a="1"/>
  <c r="V343" i="17" s="1"/>
  <c r="V353" i="17" a="1"/>
  <c r="V353" i="17" s="1"/>
  <c r="V363" i="17" a="1"/>
  <c r="V363" i="17" s="1"/>
  <c r="V373" i="17" a="1"/>
  <c r="V373" i="17" s="1"/>
  <c r="V383" i="17" a="1"/>
  <c r="V383" i="17" s="1"/>
  <c r="V393" i="17" a="1"/>
  <c r="V393" i="17" s="1"/>
  <c r="V403" i="17" a="1"/>
  <c r="V403" i="17" s="1"/>
  <c r="V413" i="17" a="1"/>
  <c r="V413" i="17" s="1"/>
  <c r="V423" i="17" a="1"/>
  <c r="V423" i="17" s="1"/>
  <c r="V433" i="17" a="1"/>
  <c r="V433" i="17" s="1"/>
  <c r="V443" i="17" a="1"/>
  <c r="V443" i="17" s="1"/>
  <c r="V458" i="17" a="1"/>
  <c r="V458" i="17" s="1"/>
  <c r="V459" i="17" a="1"/>
  <c r="V459" i="17" s="1"/>
  <c r="V460" i="17" a="1"/>
  <c r="V460" i="17" s="1"/>
  <c r="V461" i="17" a="1"/>
  <c r="V461" i="17" s="1"/>
  <c r="V462" i="17" a="1"/>
  <c r="V462" i="17" s="1"/>
  <c r="V463" i="17" a="1"/>
  <c r="V463" i="17" s="1"/>
  <c r="V324" i="17" a="1"/>
  <c r="V324" i="17" s="1"/>
  <c r="V325" i="17" a="1"/>
  <c r="V325" i="17" s="1"/>
  <c r="V4" i="17" a="1"/>
  <c r="V4" i="17" s="1"/>
  <c r="V14" i="17" a="1"/>
  <c r="V14" i="17" s="1"/>
  <c r="V24" i="17" a="1"/>
  <c r="V24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94" i="17" a="1"/>
  <c r="V94" i="17" s="1"/>
  <c r="V104" i="17" a="1"/>
  <c r="V104" i="17" s="1"/>
  <c r="V114" i="17" a="1"/>
  <c r="V114" i="17" s="1"/>
  <c r="V126" i="17" a="1"/>
  <c r="V126" i="17" s="1"/>
  <c r="V127" i="17" a="1"/>
  <c r="V127" i="17" s="1"/>
  <c r="V146" i="17" a="1"/>
  <c r="V146" i="17" s="1"/>
  <c r="V147" i="17" a="1"/>
  <c r="V147" i="17" s="1"/>
  <c r="V166" i="17" a="1"/>
  <c r="V166" i="17" s="1"/>
  <c r="V167" i="17" a="1"/>
  <c r="V167" i="17" s="1"/>
  <c r="V186" i="17" a="1"/>
  <c r="V186" i="17" s="1"/>
  <c r="V187" i="17" a="1"/>
  <c r="V187" i="17" s="1"/>
  <c r="V206" i="17" a="1"/>
  <c r="V206" i="17" s="1"/>
  <c r="V207" i="17" a="1"/>
  <c r="V207" i="17" s="1"/>
  <c r="V226" i="17" a="1"/>
  <c r="V226" i="17" s="1"/>
  <c r="V227" i="17" a="1"/>
  <c r="V227" i="17" s="1"/>
  <c r="V246" i="17" a="1"/>
  <c r="V246" i="17" s="1"/>
  <c r="V247" i="17" a="1"/>
  <c r="V247" i="17" s="1"/>
  <c r="V266" i="17" a="1"/>
  <c r="V266" i="17" s="1"/>
  <c r="V267" i="17" a="1"/>
  <c r="V267" i="17" s="1"/>
  <c r="V286" i="17" a="1"/>
  <c r="V286" i="17" s="1"/>
  <c r="V287" i="17" a="1"/>
  <c r="V287" i="17" s="1"/>
  <c r="V306" i="17" a="1"/>
  <c r="V306" i="17" s="1"/>
  <c r="V307" i="17" a="1"/>
  <c r="V307" i="17" s="1"/>
  <c r="V344" i="17" a="1"/>
  <c r="V344" i="17" s="1"/>
  <c r="V354" i="17" a="1"/>
  <c r="V354" i="17" s="1"/>
  <c r="V364" i="17" a="1"/>
  <c r="V364" i="17" s="1"/>
  <c r="V374" i="17" a="1"/>
  <c r="V374" i="17" s="1"/>
  <c r="V384" i="17" a="1"/>
  <c r="V384" i="17" s="1"/>
  <c r="V394" i="17" a="1"/>
  <c r="V394" i="17" s="1"/>
  <c r="V404" i="17" a="1"/>
  <c r="V404" i="17" s="1"/>
  <c r="V414" i="17" a="1"/>
  <c r="V414" i="17" s="1"/>
  <c r="V424" i="17" a="1"/>
  <c r="V424" i="17" s="1"/>
  <c r="V434" i="17" a="1"/>
  <c r="V434" i="17" s="1"/>
  <c r="V444" i="17" a="1"/>
  <c r="V444" i="17" s="1"/>
  <c r="V464" i="17" a="1"/>
  <c r="V464" i="17" s="1"/>
  <c r="V465" i="17" a="1"/>
  <c r="V465" i="17" s="1"/>
  <c r="V466" i="17" a="1"/>
  <c r="V466" i="17" s="1"/>
  <c r="V467" i="17" a="1"/>
  <c r="V467" i="17" s="1"/>
  <c r="V468" i="17" a="1"/>
  <c r="V468" i="17" s="1"/>
  <c r="V469" i="17" a="1"/>
  <c r="V469" i="17" s="1"/>
  <c r="V326" i="17" a="1"/>
  <c r="V326" i="17" s="1"/>
  <c r="V327" i="17" a="1"/>
  <c r="V327" i="17" s="1"/>
  <c r="V5" i="17" a="1"/>
  <c r="V5" i="17" s="1"/>
  <c r="V15" i="17" a="1"/>
  <c r="V15" i="17" s="1"/>
  <c r="V25" i="17" a="1"/>
  <c r="V25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95" i="17" a="1"/>
  <c r="V95" i="17" s="1"/>
  <c r="V105" i="17" a="1"/>
  <c r="V105" i="17" s="1"/>
  <c r="V115" i="17" a="1"/>
  <c r="V115" i="17" s="1"/>
  <c r="V128" i="17" a="1"/>
  <c r="V128" i="17" s="1"/>
  <c r="V129" i="17" a="1"/>
  <c r="V129" i="17" s="1"/>
  <c r="V148" i="17" a="1"/>
  <c r="V148" i="17" s="1"/>
  <c r="V149" i="17" a="1"/>
  <c r="V149" i="17" s="1"/>
  <c r="V168" i="17" a="1"/>
  <c r="V168" i="17" s="1"/>
  <c r="V169" i="17" a="1"/>
  <c r="V169" i="17" s="1"/>
  <c r="V188" i="17" a="1"/>
  <c r="V188" i="17" s="1"/>
  <c r="V189" i="17" a="1"/>
  <c r="V189" i="17" s="1"/>
  <c r="V208" i="17" a="1"/>
  <c r="V208" i="17" s="1"/>
  <c r="V209" i="17" a="1"/>
  <c r="V209" i="17" s="1"/>
  <c r="V228" i="17" a="1"/>
  <c r="V228" i="17" s="1"/>
  <c r="V229" i="17" a="1"/>
  <c r="V229" i="17" s="1"/>
  <c r="V248" i="17" a="1"/>
  <c r="V248" i="17" s="1"/>
  <c r="V249" i="17" a="1"/>
  <c r="V249" i="17" s="1"/>
  <c r="V268" i="17" a="1"/>
  <c r="V268" i="17" s="1"/>
  <c r="V269" i="17" a="1"/>
  <c r="V269" i="17" s="1"/>
  <c r="V288" i="17" a="1"/>
  <c r="V288" i="17" s="1"/>
  <c r="V289" i="17" a="1"/>
  <c r="V289" i="17" s="1"/>
  <c r="V308" i="17" a="1"/>
  <c r="V308" i="17" s="1"/>
  <c r="V309" i="17" a="1"/>
  <c r="V309" i="17" s="1"/>
  <c r="V345" i="17" a="1"/>
  <c r="V345" i="17" s="1"/>
  <c r="V355" i="17" a="1"/>
  <c r="V355" i="17" s="1"/>
  <c r="V365" i="17" a="1"/>
  <c r="V365" i="17" s="1"/>
  <c r="V375" i="17" a="1"/>
  <c r="V375" i="17" s="1"/>
  <c r="V385" i="17" a="1"/>
  <c r="V385" i="17" s="1"/>
  <c r="V395" i="17" a="1"/>
  <c r="V395" i="17" s="1"/>
  <c r="V405" i="17" a="1"/>
  <c r="V405" i="17" s="1"/>
  <c r="V415" i="17" a="1"/>
  <c r="V415" i="17" s="1"/>
  <c r="V425" i="17" a="1"/>
  <c r="V425" i="17" s="1"/>
  <c r="V435" i="17" a="1"/>
  <c r="V435" i="17" s="1"/>
  <c r="V445" i="17" a="1"/>
  <c r="V445" i="17" s="1"/>
  <c r="V470" i="17" a="1"/>
  <c r="V470" i="17" s="1"/>
  <c r="V471" i="17" a="1"/>
  <c r="V471" i="17" s="1"/>
  <c r="V472" i="17" a="1"/>
  <c r="V472" i="17" s="1"/>
  <c r="V473" i="17" a="1"/>
  <c r="V473" i="17" s="1"/>
  <c r="V474" i="17" a="1"/>
  <c r="V474" i="17" s="1"/>
  <c r="V475" i="17" a="1"/>
  <c r="V475" i="17" s="1"/>
  <c r="V328" i="17" a="1"/>
  <c r="V328" i="17" s="1"/>
  <c r="V329" i="17" a="1"/>
  <c r="V329" i="17" s="1"/>
  <c r="V6" i="17" a="1"/>
  <c r="V6" i="17" s="1"/>
  <c r="V16" i="17" a="1"/>
  <c r="V16" i="17" s="1"/>
  <c r="V26" i="17" a="1"/>
  <c r="V26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96" i="17" a="1"/>
  <c r="V96" i="17" s="1"/>
  <c r="V106" i="17" a="1"/>
  <c r="V106" i="17" s="1"/>
  <c r="V116" i="17" a="1"/>
  <c r="V116" i="17" s="1"/>
  <c r="V130" i="17" a="1"/>
  <c r="V130" i="17" s="1"/>
  <c r="V131" i="17" a="1"/>
  <c r="V131" i="17" s="1"/>
  <c r="V150" i="17" a="1"/>
  <c r="V150" i="17" s="1"/>
  <c r="V151" i="17" a="1"/>
  <c r="V151" i="17" s="1"/>
  <c r="V170" i="17" a="1"/>
  <c r="V170" i="17" s="1"/>
  <c r="V171" i="17" a="1"/>
  <c r="V171" i="17" s="1"/>
  <c r="V190" i="17" a="1"/>
  <c r="V190" i="17" s="1"/>
  <c r="V191" i="17" a="1"/>
  <c r="V191" i="17" s="1"/>
  <c r="V210" i="17" a="1"/>
  <c r="V210" i="17" s="1"/>
  <c r="V211" i="17" a="1"/>
  <c r="V211" i="17" s="1"/>
  <c r="V230" i="17" a="1"/>
  <c r="V230" i="17" s="1"/>
  <c r="V231" i="17" a="1"/>
  <c r="V231" i="17" s="1"/>
  <c r="V250" i="17" a="1"/>
  <c r="V250" i="17" s="1"/>
  <c r="V251" i="17" a="1"/>
  <c r="V251" i="17" s="1"/>
  <c r="V270" i="17" a="1"/>
  <c r="V270" i="17" s="1"/>
  <c r="V271" i="17" a="1"/>
  <c r="V271" i="17" s="1"/>
  <c r="V290" i="17" a="1"/>
  <c r="V290" i="17" s="1"/>
  <c r="V291" i="17" a="1"/>
  <c r="V291" i="17" s="1"/>
  <c r="V310" i="17" a="1"/>
  <c r="V310" i="17" s="1"/>
  <c r="V311" i="17" a="1"/>
  <c r="V311" i="17" s="1"/>
  <c r="V346" i="17" a="1"/>
  <c r="V346" i="17" s="1"/>
  <c r="V356" i="17" a="1"/>
  <c r="V356" i="17" s="1"/>
  <c r="V366" i="17" a="1"/>
  <c r="V366" i="17" s="1"/>
  <c r="V376" i="17" a="1"/>
  <c r="V376" i="17" s="1"/>
  <c r="V386" i="17" a="1"/>
  <c r="V386" i="17" s="1"/>
  <c r="V396" i="17" a="1"/>
  <c r="V396" i="17" s="1"/>
  <c r="V406" i="17" a="1"/>
  <c r="V406" i="17" s="1"/>
  <c r="V416" i="17" a="1"/>
  <c r="V416" i="17" s="1"/>
  <c r="V426" i="17" a="1"/>
  <c r="V426" i="17" s="1"/>
  <c r="V436" i="17" a="1"/>
  <c r="V436" i="17" s="1"/>
  <c r="V446" i="17" a="1"/>
  <c r="V446" i="17" s="1"/>
  <c r="V476" i="17" a="1"/>
  <c r="V476" i="17" s="1"/>
  <c r="V477" i="17" a="1"/>
  <c r="V477" i="17" s="1"/>
  <c r="V478" i="17" a="1"/>
  <c r="V478" i="17" s="1"/>
  <c r="V479" i="17" a="1"/>
  <c r="V479" i="17" s="1"/>
  <c r="V480" i="17" a="1"/>
  <c r="V480" i="17" s="1"/>
  <c r="V481" i="17" a="1"/>
  <c r="V481" i="17" s="1"/>
  <c r="V330" i="17" a="1"/>
  <c r="V330" i="17" s="1"/>
  <c r="V331" i="17" a="1"/>
  <c r="V331" i="17" s="1"/>
  <c r="V7" i="17" a="1"/>
  <c r="V7" i="17" s="1"/>
  <c r="V17" i="17" a="1"/>
  <c r="V17" i="17" s="1"/>
  <c r="V27" i="17" a="1"/>
  <c r="V27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97" i="17" a="1"/>
  <c r="V97" i="17" s="1"/>
  <c r="V107" i="17" a="1"/>
  <c r="V107" i="17" s="1"/>
  <c r="V117" i="17" a="1"/>
  <c r="V117" i="17" s="1"/>
  <c r="V132" i="17" a="1"/>
  <c r="V132" i="17" s="1"/>
  <c r="V133" i="17" a="1"/>
  <c r="V133" i="17" s="1"/>
  <c r="V152" i="17" a="1"/>
  <c r="V152" i="17" s="1"/>
  <c r="V153" i="17" a="1"/>
  <c r="V153" i="17" s="1"/>
  <c r="V172" i="17" a="1"/>
  <c r="V172" i="17" s="1"/>
  <c r="V173" i="17" a="1"/>
  <c r="V173" i="17" s="1"/>
  <c r="V192" i="17" a="1"/>
  <c r="V192" i="17" s="1"/>
  <c r="V193" i="17" a="1"/>
  <c r="V193" i="17" s="1"/>
  <c r="V212" i="17" a="1"/>
  <c r="V212" i="17" s="1"/>
  <c r="V213" i="17" a="1"/>
  <c r="V213" i="17" s="1"/>
  <c r="V232" i="17" a="1"/>
  <c r="V232" i="17" s="1"/>
  <c r="V233" i="17" a="1"/>
  <c r="V233" i="17" s="1"/>
  <c r="V252" i="17" a="1"/>
  <c r="V252" i="17" s="1"/>
  <c r="V253" i="17" a="1"/>
  <c r="V253" i="17" s="1"/>
  <c r="V272" i="17" a="1"/>
  <c r="V272" i="17" s="1"/>
  <c r="V273" i="17" a="1"/>
  <c r="V273" i="17" s="1"/>
  <c r="V292" i="17" a="1"/>
  <c r="V292" i="17" s="1"/>
  <c r="V293" i="17" a="1"/>
  <c r="V293" i="17" s="1"/>
  <c r="V312" i="17" a="1"/>
  <c r="V312" i="17" s="1"/>
  <c r="V313" i="17" a="1"/>
  <c r="V313" i="17" s="1"/>
  <c r="V347" i="17" a="1"/>
  <c r="V347" i="17" s="1"/>
  <c r="V357" i="17" a="1"/>
  <c r="V357" i="17" s="1"/>
  <c r="V367" i="17" a="1"/>
  <c r="V367" i="17" s="1"/>
  <c r="V377" i="17" a="1"/>
  <c r="V377" i="17" s="1"/>
  <c r="V387" i="17" a="1"/>
  <c r="V387" i="17" s="1"/>
  <c r="V397" i="17" a="1"/>
  <c r="V397" i="17" s="1"/>
  <c r="V407" i="17" a="1"/>
  <c r="V407" i="17" s="1"/>
  <c r="V417" i="17" a="1"/>
  <c r="V417" i="17" s="1"/>
  <c r="V427" i="17" a="1"/>
  <c r="V427" i="17" s="1"/>
  <c r="V437" i="17" a="1"/>
  <c r="V437" i="17" s="1"/>
  <c r="V447" i="17" a="1"/>
  <c r="V447" i="17" s="1"/>
  <c r="V482" i="17" a="1"/>
  <c r="V482" i="17" s="1"/>
  <c r="V483" i="17" a="1"/>
  <c r="V483" i="17" s="1"/>
  <c r="V484" i="17" a="1"/>
  <c r="V484" i="17" s="1"/>
  <c r="V485" i="17" a="1"/>
  <c r="V485" i="17" s="1"/>
  <c r="V486" i="17" a="1"/>
  <c r="V486" i="17" s="1"/>
  <c r="V487" i="17" a="1"/>
  <c r="V487" i="17" s="1"/>
  <c r="V332" i="17" a="1"/>
  <c r="V332" i="17" s="1"/>
  <c r="V333" i="17" a="1"/>
  <c r="V333" i="17" s="1"/>
  <c r="V8" i="17" a="1"/>
  <c r="V8" i="17" s="1"/>
  <c r="V18" i="17" a="1"/>
  <c r="V18" i="17" s="1"/>
  <c r="V28" i="17" a="1"/>
  <c r="V28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98" i="17" a="1"/>
  <c r="V98" i="17" s="1"/>
  <c r="V108" i="17" a="1"/>
  <c r="V108" i="17" s="1"/>
  <c r="V118" i="17" a="1"/>
  <c r="V118" i="17" s="1"/>
  <c r="V134" i="17" a="1"/>
  <c r="V134" i="17" s="1"/>
  <c r="V135" i="17" a="1"/>
  <c r="V135" i="17" s="1"/>
  <c r="V154" i="17" a="1"/>
  <c r="V154" i="17" s="1"/>
  <c r="V155" i="17" a="1"/>
  <c r="V155" i="17" s="1"/>
  <c r="V174" i="17" a="1"/>
  <c r="V174" i="17" s="1"/>
  <c r="V175" i="17" a="1"/>
  <c r="V175" i="17" s="1"/>
  <c r="V194" i="17" a="1"/>
  <c r="V194" i="17" s="1"/>
  <c r="V195" i="17" a="1"/>
  <c r="V195" i="17" s="1"/>
  <c r="V214" i="17" a="1"/>
  <c r="V214" i="17" s="1"/>
  <c r="V215" i="17" a="1"/>
  <c r="V215" i="17" s="1"/>
  <c r="V234" i="17" a="1"/>
  <c r="V234" i="17" s="1"/>
  <c r="V235" i="17" a="1"/>
  <c r="V235" i="17" s="1"/>
  <c r="V254" i="17" a="1"/>
  <c r="V254" i="17" s="1"/>
  <c r="V255" i="17" a="1"/>
  <c r="V255" i="17" s="1"/>
  <c r="V274" i="17" a="1"/>
  <c r="V274" i="17" s="1"/>
  <c r="V275" i="17" a="1"/>
  <c r="V275" i="17" s="1"/>
  <c r="V294" i="17" a="1"/>
  <c r="V294" i="17" s="1"/>
  <c r="V295" i="17" a="1"/>
  <c r="V295" i="17" s="1"/>
  <c r="V314" i="17" a="1"/>
  <c r="V314" i="17" s="1"/>
  <c r="V315" i="17" a="1"/>
  <c r="V315" i="17" s="1"/>
  <c r="V348" i="17" a="1"/>
  <c r="V348" i="17" s="1"/>
  <c r="V358" i="17" a="1"/>
  <c r="V358" i="17" s="1"/>
  <c r="V368" i="17" a="1"/>
  <c r="V368" i="17" s="1"/>
  <c r="V378" i="17" a="1"/>
  <c r="V378" i="17" s="1"/>
  <c r="V388" i="17" a="1"/>
  <c r="V388" i="17" s="1"/>
  <c r="V398" i="17" a="1"/>
  <c r="V398" i="17" s="1"/>
  <c r="V408" i="17" a="1"/>
  <c r="V408" i="17" s="1"/>
  <c r="V418" i="17" a="1"/>
  <c r="V418" i="17" s="1"/>
  <c r="V428" i="17" a="1"/>
  <c r="V428" i="17" s="1"/>
  <c r="V438" i="17" a="1"/>
  <c r="V438" i="17" s="1"/>
  <c r="V448" i="17" a="1"/>
  <c r="V448" i="17" s="1"/>
  <c r="V488" i="17" a="1"/>
  <c r="V488" i="17" s="1"/>
  <c r="V489" i="17" a="1"/>
  <c r="V489" i="17" s="1"/>
  <c r="V490" i="17" a="1"/>
  <c r="V490" i="17" s="1"/>
  <c r="V491" i="17" a="1"/>
  <c r="V491" i="17" s="1"/>
  <c r="V492" i="17" a="1"/>
  <c r="V492" i="17" s="1"/>
  <c r="V493" i="17" a="1"/>
  <c r="V493" i="17" s="1"/>
  <c r="V334" i="17" a="1"/>
  <c r="V334" i="17" s="1"/>
  <c r="V335" i="17" a="1"/>
  <c r="V335" i="17" s="1"/>
  <c r="V9" i="17" a="1"/>
  <c r="V9" i="17" s="1"/>
  <c r="V19" i="17" a="1"/>
  <c r="V19" i="17" s="1"/>
  <c r="V29" i="17" a="1"/>
  <c r="V29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99" i="17" a="1"/>
  <c r="V99" i="17" s="1"/>
  <c r="V109" i="17" a="1"/>
  <c r="V109" i="17" s="1"/>
  <c r="V119" i="17" a="1"/>
  <c r="V119" i="17" s="1"/>
  <c r="V136" i="17" a="1"/>
  <c r="V136" i="17" s="1"/>
  <c r="V137" i="17" a="1"/>
  <c r="V137" i="17" s="1"/>
  <c r="V156" i="17" a="1"/>
  <c r="V156" i="17" s="1"/>
  <c r="V157" i="17" a="1"/>
  <c r="V157" i="17" s="1"/>
  <c r="V176" i="17" a="1"/>
  <c r="V176" i="17" s="1"/>
  <c r="V177" i="17" a="1"/>
  <c r="V177" i="17" s="1"/>
  <c r="V196" i="17" a="1"/>
  <c r="V196" i="17" s="1"/>
  <c r="V197" i="17" a="1"/>
  <c r="V197" i="17" s="1"/>
  <c r="V216" i="17" a="1"/>
  <c r="V216" i="17" s="1"/>
  <c r="V217" i="17" a="1"/>
  <c r="V217" i="17" s="1"/>
  <c r="V236" i="17" a="1"/>
  <c r="V236" i="17" s="1"/>
  <c r="V237" i="17" a="1"/>
  <c r="V237" i="17" s="1"/>
  <c r="V256" i="17" a="1"/>
  <c r="V256" i="17" s="1"/>
  <c r="V257" i="17" a="1"/>
  <c r="V257" i="17" s="1"/>
  <c r="V276" i="17" a="1"/>
  <c r="V276" i="17" s="1"/>
  <c r="V277" i="17" a="1"/>
  <c r="V277" i="17" s="1"/>
  <c r="V296" i="17" a="1"/>
  <c r="V296" i="17" s="1"/>
  <c r="V297" i="17" a="1"/>
  <c r="V297" i="17" s="1"/>
  <c r="V316" i="17" a="1"/>
  <c r="V316" i="17" s="1"/>
  <c r="V317" i="17" a="1"/>
  <c r="V317" i="17" s="1"/>
  <c r="V349" i="17" a="1"/>
  <c r="V349" i="17" s="1"/>
  <c r="V359" i="17" a="1"/>
  <c r="V359" i="17" s="1"/>
  <c r="V369" i="17" a="1"/>
  <c r="V369" i="17" s="1"/>
  <c r="V379" i="17" a="1"/>
  <c r="V379" i="17" s="1"/>
  <c r="V389" i="17" a="1"/>
  <c r="V389" i="17" s="1"/>
  <c r="V399" i="17" a="1"/>
  <c r="V399" i="17" s="1"/>
  <c r="V409" i="17" a="1"/>
  <c r="V409" i="17" s="1"/>
  <c r="V419" i="17" a="1"/>
  <c r="V419" i="17" s="1"/>
  <c r="V429" i="17" a="1"/>
  <c r="V429" i="17" s="1"/>
  <c r="V439" i="17" a="1"/>
  <c r="V439" i="17" s="1"/>
  <c r="V449" i="17" a="1"/>
  <c r="V449" i="17" s="1"/>
  <c r="V494" i="17" a="1"/>
  <c r="V494" i="17" s="1"/>
  <c r="V495" i="17" a="1"/>
  <c r="V495" i="17" s="1"/>
  <c r="V496" i="17" a="1"/>
  <c r="V496" i="17" s="1"/>
  <c r="V497" i="17" a="1"/>
  <c r="V497" i="17" s="1"/>
  <c r="V498" i="17" a="1"/>
  <c r="V498" i="17" s="1"/>
  <c r="V499" i="17" a="1"/>
  <c r="V499" i="17" s="1"/>
  <c r="V336" i="17" a="1"/>
  <c r="V336" i="17" s="1"/>
  <c r="V337" i="17" a="1"/>
  <c r="V337" i="17" s="1"/>
  <c r="V10" i="17" a="1"/>
  <c r="V10" i="17" s="1"/>
  <c r="V20" i="17" a="1"/>
  <c r="V20" i="17" s="1"/>
  <c r="V30" i="17" a="1"/>
  <c r="V30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00" i="17" a="1"/>
  <c r="V100" i="17" s="1"/>
  <c r="V110" i="17" a="1"/>
  <c r="V110" i="17" s="1"/>
  <c r="V120" i="17" a="1"/>
  <c r="V120" i="17" s="1"/>
  <c r="V138" i="17" a="1"/>
  <c r="V138" i="17" s="1"/>
  <c r="V139" i="17" a="1"/>
  <c r="V139" i="17" s="1"/>
  <c r="V158" i="17" a="1"/>
  <c r="V158" i="17" s="1"/>
  <c r="V159" i="17" a="1"/>
  <c r="V159" i="17" s="1"/>
  <c r="V178" i="17" a="1"/>
  <c r="V178" i="17" s="1"/>
  <c r="V179" i="17" a="1"/>
  <c r="V179" i="17" s="1"/>
  <c r="V198" i="17" a="1"/>
  <c r="V198" i="17" s="1"/>
  <c r="V199" i="17" a="1"/>
  <c r="V199" i="17" s="1"/>
  <c r="V218" i="17" a="1"/>
  <c r="V218" i="17" s="1"/>
  <c r="V219" i="17" a="1"/>
  <c r="V219" i="17" s="1"/>
  <c r="V238" i="17" a="1"/>
  <c r="V238" i="17" s="1"/>
  <c r="V239" i="17" a="1"/>
  <c r="V239" i="17" s="1"/>
  <c r="V258" i="17" a="1"/>
  <c r="V258" i="17" s="1"/>
  <c r="V259" i="17" a="1"/>
  <c r="V259" i="17" s="1"/>
  <c r="V278" i="17" a="1"/>
  <c r="V278" i="17" s="1"/>
  <c r="V279" i="17" a="1"/>
  <c r="V279" i="17" s="1"/>
  <c r="V298" i="17" a="1"/>
  <c r="V298" i="17" s="1"/>
  <c r="V299" i="17" a="1"/>
  <c r="V299" i="17" s="1"/>
  <c r="V318" i="17" a="1"/>
  <c r="V318" i="17" s="1"/>
  <c r="V319" i="17" a="1"/>
  <c r="V319" i="17" s="1"/>
  <c r="V350" i="17" a="1"/>
  <c r="V350" i="17" s="1"/>
  <c r="V360" i="17" a="1"/>
  <c r="V360" i="17" s="1"/>
  <c r="V370" i="17" a="1"/>
  <c r="V370" i="17" s="1"/>
  <c r="V380" i="17" a="1"/>
  <c r="V380" i="17" s="1"/>
  <c r="V390" i="17" a="1"/>
  <c r="V390" i="17" s="1"/>
  <c r="V400" i="17" a="1"/>
  <c r="V400" i="17" s="1"/>
  <c r="V410" i="17" a="1"/>
  <c r="V410" i="17" s="1"/>
  <c r="V420" i="17" a="1"/>
  <c r="V420" i="17" s="1"/>
  <c r="V430" i="17" a="1"/>
  <c r="V430" i="17" s="1"/>
  <c r="V440" i="17" a="1"/>
  <c r="V440" i="17" s="1"/>
  <c r="V450" i="17" a="1"/>
  <c r="V450" i="17" s="1"/>
  <c r="V500" i="17" a="1"/>
  <c r="V500" i="17" s="1"/>
  <c r="V501" i="17" a="1"/>
  <c r="V501" i="17" s="1"/>
  <c r="V502" i="17" a="1"/>
  <c r="V502" i="17" s="1"/>
  <c r="V503" i="17" a="1"/>
  <c r="V503" i="17" s="1"/>
  <c r="V504" i="17" a="1"/>
  <c r="V504" i="17" s="1"/>
  <c r="V505" i="17" a="1"/>
  <c r="V505" i="17" s="1"/>
  <c r="V338" i="17" a="1"/>
  <c r="V338" i="17" s="1"/>
  <c r="V339" i="17" a="1"/>
  <c r="V339" i="17" s="1"/>
  <c r="V11" i="17" a="1"/>
  <c r="V11" i="17" s="1"/>
  <c r="V21" i="17" a="1"/>
  <c r="V21" i="17" s="1"/>
  <c r="V31" i="17" a="1"/>
  <c r="V31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01" i="17" a="1"/>
  <c r="V101" i="17" s="1"/>
  <c r="V111" i="17" a="1"/>
  <c r="V111" i="17" s="1"/>
  <c r="V121" i="17" a="1"/>
  <c r="V121" i="17" s="1"/>
  <c r="V140" i="17" a="1"/>
  <c r="V140" i="17" s="1"/>
  <c r="V141" i="17" a="1"/>
  <c r="V141" i="17" s="1"/>
  <c r="V160" i="17" a="1"/>
  <c r="V160" i="17" s="1"/>
  <c r="V161" i="17" a="1"/>
  <c r="V161" i="17" s="1"/>
  <c r="V180" i="17" a="1"/>
  <c r="V180" i="17" s="1"/>
  <c r="V181" i="17" a="1"/>
  <c r="V181" i="17" s="1"/>
  <c r="V200" i="17" a="1"/>
  <c r="V200" i="17" s="1"/>
  <c r="V201" i="17" a="1"/>
  <c r="V201" i="17" s="1"/>
  <c r="V220" i="17" a="1"/>
  <c r="V220" i="17" s="1"/>
  <c r="V221" i="17" a="1"/>
  <c r="V221" i="17" s="1"/>
  <c r="V240" i="17" a="1"/>
  <c r="V240" i="17" s="1"/>
  <c r="V241" i="17" a="1"/>
  <c r="V241" i="17" s="1"/>
  <c r="V260" i="17" a="1"/>
  <c r="V260" i="17" s="1"/>
  <c r="V261" i="17" a="1"/>
  <c r="V261" i="17" s="1"/>
  <c r="V280" i="17" a="1"/>
  <c r="V280" i="17" s="1"/>
  <c r="V281" i="17" a="1"/>
  <c r="V281" i="17" s="1"/>
  <c r="V300" i="17" a="1"/>
  <c r="V300" i="17" s="1"/>
  <c r="V301" i="17" a="1"/>
  <c r="V301" i="17" s="1"/>
  <c r="V320" i="17" a="1"/>
  <c r="V320" i="17" s="1"/>
  <c r="V321" i="17" a="1"/>
  <c r="V321" i="17" s="1"/>
  <c r="V351" i="17" a="1"/>
  <c r="V351" i="17" s="1"/>
  <c r="V361" i="17" a="1"/>
  <c r="V361" i="17" s="1"/>
  <c r="V371" i="17" a="1"/>
  <c r="V371" i="17" s="1"/>
  <c r="V381" i="17" a="1"/>
  <c r="V381" i="17" s="1"/>
  <c r="V391" i="17" a="1"/>
  <c r="V391" i="17" s="1"/>
  <c r="V401" i="17" a="1"/>
  <c r="V401" i="17" s="1"/>
  <c r="V411" i="17" a="1"/>
  <c r="V411" i="17" s="1"/>
  <c r="V421" i="17" a="1"/>
  <c r="V421" i="17" s="1"/>
  <c r="V431" i="17" a="1"/>
  <c r="V431" i="17" s="1"/>
  <c r="V441" i="17" a="1"/>
  <c r="V441" i="17" s="1"/>
  <c r="V451" i="17" a="1"/>
  <c r="V451" i="17" s="1"/>
  <c r="V506" i="17" a="1"/>
  <c r="V506" i="17" s="1"/>
  <c r="V507" i="17" a="1"/>
  <c r="V507" i="17" s="1"/>
  <c r="V508" i="17" a="1"/>
  <c r="V508" i="17" s="1"/>
  <c r="V509" i="17" a="1"/>
  <c r="V509" i="17" s="1"/>
  <c r="V510" i="17" a="1"/>
  <c r="V510" i="17" s="1"/>
  <c r="V511" i="17" a="1"/>
  <c r="V511" i="17" s="1"/>
  <c r="V340" i="17" a="1"/>
  <c r="V340" i="17" s="1"/>
  <c r="V341" i="17" a="1"/>
  <c r="V341" i="17" s="1"/>
  <c r="X2" i="17" a="1"/>
  <c r="X2" i="17" s="1"/>
  <c r="X12" i="17" a="1"/>
  <c r="X12" i="17" s="1"/>
  <c r="X22" i="17" a="1"/>
  <c r="X22" i="17" s="1"/>
  <c r="X32" i="17" a="1"/>
  <c r="X32" i="17" s="1"/>
  <c r="X33" i="17" a="1"/>
  <c r="X33" i="17" s="1"/>
  <c r="X34" i="17" a="1"/>
  <c r="X34" i="17" s="1"/>
  <c r="X35" i="17" a="1"/>
  <c r="X35" i="17" s="1"/>
  <c r="X36" i="17" a="1"/>
  <c r="X36" i="17" s="1"/>
  <c r="X37" i="17" a="1"/>
  <c r="X37" i="17" s="1"/>
  <c r="X92" i="17" a="1"/>
  <c r="X92" i="17" s="1"/>
  <c r="X102" i="17" a="1"/>
  <c r="X102" i="17" s="1"/>
  <c r="X112" i="17" a="1"/>
  <c r="X112" i="17" s="1"/>
  <c r="X122" i="17" a="1"/>
  <c r="X122" i="17" s="1"/>
  <c r="X123" i="17" a="1"/>
  <c r="X123" i="17" s="1"/>
  <c r="X142" i="17" a="1"/>
  <c r="X142" i="17" s="1"/>
  <c r="X143" i="17" a="1"/>
  <c r="X143" i="17" s="1"/>
  <c r="X162" i="17" a="1"/>
  <c r="X162" i="17" s="1"/>
  <c r="X163" i="17" a="1"/>
  <c r="X163" i="17" s="1"/>
  <c r="X182" i="17" a="1"/>
  <c r="X182" i="17" s="1"/>
  <c r="X183" i="17" a="1"/>
  <c r="X183" i="17" s="1"/>
  <c r="X202" i="17" a="1"/>
  <c r="X202" i="17" s="1"/>
  <c r="X203" i="17" a="1"/>
  <c r="X203" i="17" s="1"/>
  <c r="X222" i="17" a="1"/>
  <c r="X222" i="17" s="1"/>
  <c r="X223" i="17" a="1"/>
  <c r="X223" i="17" s="1"/>
  <c r="X242" i="17" a="1"/>
  <c r="X242" i="17" s="1"/>
  <c r="X243" i="17" a="1"/>
  <c r="X243" i="17" s="1"/>
  <c r="X262" i="17" a="1"/>
  <c r="X262" i="17" s="1"/>
  <c r="X263" i="17" a="1"/>
  <c r="X263" i="17" s="1"/>
  <c r="X282" i="17" a="1"/>
  <c r="X282" i="17" s="1"/>
  <c r="X283" i="17" a="1"/>
  <c r="X283" i="17" s="1"/>
  <c r="X302" i="17" a="1"/>
  <c r="X302" i="17" s="1"/>
  <c r="X303" i="17" a="1"/>
  <c r="X303" i="17" s="1"/>
  <c r="X342" i="17" a="1"/>
  <c r="X342" i="17" s="1"/>
  <c r="X352" i="17" a="1"/>
  <c r="X352" i="17" s="1"/>
  <c r="X362" i="17" a="1"/>
  <c r="X362" i="17" s="1"/>
  <c r="X372" i="17" a="1"/>
  <c r="X372" i="17" s="1"/>
  <c r="X382" i="17" a="1"/>
  <c r="X382" i="17" s="1"/>
  <c r="X392" i="17" a="1"/>
  <c r="X392" i="17" s="1"/>
  <c r="X402" i="17" a="1"/>
  <c r="X402" i="17" s="1"/>
  <c r="X412" i="17" a="1"/>
  <c r="X412" i="17" s="1"/>
  <c r="X422" i="17" a="1"/>
  <c r="X422" i="17" s="1"/>
  <c r="X432" i="17" a="1"/>
  <c r="X432" i="17" s="1"/>
  <c r="X442" i="17" a="1"/>
  <c r="X442" i="17" s="1"/>
  <c r="X452" i="17" a="1"/>
  <c r="X452" i="17" s="1"/>
  <c r="X453" i="17" a="1"/>
  <c r="X453" i="17" s="1"/>
  <c r="X454" i="17" a="1"/>
  <c r="X454" i="17" s="1"/>
  <c r="X455" i="17" a="1"/>
  <c r="X455" i="17" s="1"/>
  <c r="X456" i="17" a="1"/>
  <c r="X456" i="17" s="1"/>
  <c r="X457" i="17" a="1"/>
  <c r="X457" i="17" s="1"/>
  <c r="X322" i="17" a="1"/>
  <c r="X322" i="17" s="1"/>
  <c r="X323" i="17" a="1"/>
  <c r="X323" i="17" s="1"/>
  <c r="X3" i="17" a="1"/>
  <c r="X3" i="17" s="1"/>
  <c r="X13" i="17" a="1"/>
  <c r="X13" i="17" s="1"/>
  <c r="X23" i="17" a="1"/>
  <c r="X23" i="17" s="1"/>
  <c r="X38" i="17" a="1"/>
  <c r="X38" i="17" s="1"/>
  <c r="X39" i="17" a="1"/>
  <c r="X39" i="17" s="1"/>
  <c r="X40" i="17" a="1"/>
  <c r="X40" i="17" s="1"/>
  <c r="X41" i="17" a="1"/>
  <c r="X41" i="17" s="1"/>
  <c r="X42" i="17" a="1"/>
  <c r="X42" i="17" s="1"/>
  <c r="X43" i="17" a="1"/>
  <c r="X43" i="17" s="1"/>
  <c r="X93" i="17" a="1"/>
  <c r="X93" i="17" s="1"/>
  <c r="X103" i="17" a="1"/>
  <c r="X103" i="17" s="1"/>
  <c r="X113" i="17" a="1"/>
  <c r="X113" i="17" s="1"/>
  <c r="X124" i="17" a="1"/>
  <c r="X124" i="17" s="1"/>
  <c r="X125" i="17" a="1"/>
  <c r="X125" i="17" s="1"/>
  <c r="X144" i="17" a="1"/>
  <c r="X144" i="17" s="1"/>
  <c r="X145" i="17" a="1"/>
  <c r="X145" i="17" s="1"/>
  <c r="X164" i="17" a="1"/>
  <c r="X164" i="17" s="1"/>
  <c r="X165" i="17" a="1"/>
  <c r="X165" i="17" s="1"/>
  <c r="X184" i="17" a="1"/>
  <c r="X184" i="17" s="1"/>
  <c r="X185" i="17" a="1"/>
  <c r="X185" i="17" s="1"/>
  <c r="X204" i="17" a="1"/>
  <c r="X204" i="17" s="1"/>
  <c r="X205" i="17" a="1"/>
  <c r="X205" i="17" s="1"/>
  <c r="X224" i="17" a="1"/>
  <c r="X224" i="17" s="1"/>
  <c r="X225" i="17" a="1"/>
  <c r="X225" i="17" s="1"/>
  <c r="X244" i="17" a="1"/>
  <c r="X244" i="17" s="1"/>
  <c r="X245" i="17" a="1"/>
  <c r="X245" i="17" s="1"/>
  <c r="X264" i="17" a="1"/>
  <c r="X264" i="17" s="1"/>
  <c r="X265" i="17" a="1"/>
  <c r="X265" i="17" s="1"/>
  <c r="X284" i="17" a="1"/>
  <c r="X284" i="17" s="1"/>
  <c r="X285" i="17" a="1"/>
  <c r="X285" i="17" s="1"/>
  <c r="X304" i="17" a="1"/>
  <c r="X304" i="17" s="1"/>
  <c r="X305" i="17" a="1"/>
  <c r="X305" i="17" s="1"/>
  <c r="X343" i="17" a="1"/>
  <c r="X343" i="17" s="1"/>
  <c r="X353" i="17" a="1"/>
  <c r="X353" i="17" s="1"/>
  <c r="X363" i="17" a="1"/>
  <c r="X363" i="17" s="1"/>
  <c r="X373" i="17" a="1"/>
  <c r="X373" i="17" s="1"/>
  <c r="X383" i="17" a="1"/>
  <c r="X383" i="17" s="1"/>
  <c r="X393" i="17" a="1"/>
  <c r="X393" i="17" s="1"/>
  <c r="X403" i="17" a="1"/>
  <c r="X403" i="17" s="1"/>
  <c r="X413" i="17" a="1"/>
  <c r="X413" i="17" s="1"/>
  <c r="X423" i="17" a="1"/>
  <c r="X423" i="17" s="1"/>
  <c r="X433" i="17" a="1"/>
  <c r="X433" i="17" s="1"/>
  <c r="X443" i="17" a="1"/>
  <c r="X443" i="17" s="1"/>
  <c r="X458" i="17" a="1"/>
  <c r="X458" i="17" s="1"/>
  <c r="X459" i="17" a="1"/>
  <c r="X459" i="17" s="1"/>
  <c r="X460" i="17" a="1"/>
  <c r="X460" i="17" s="1"/>
  <c r="X461" i="17" a="1"/>
  <c r="X461" i="17" s="1"/>
  <c r="X462" i="17" a="1"/>
  <c r="X462" i="17" s="1"/>
  <c r="X463" i="17" a="1"/>
  <c r="X463" i="17" s="1"/>
  <c r="X324" i="17" a="1"/>
  <c r="X324" i="17" s="1"/>
  <c r="X325" i="17" a="1"/>
  <c r="X325" i="17" s="1"/>
  <c r="X4" i="17" a="1"/>
  <c r="X4" i="17" s="1"/>
  <c r="X14" i="17" a="1"/>
  <c r="X14" i="17" s="1"/>
  <c r="X24" i="17" a="1"/>
  <c r="X24" i="17" s="1"/>
  <c r="X44" i="17" a="1"/>
  <c r="X44" i="17" s="1"/>
  <c r="X45" i="17" a="1"/>
  <c r="X45" i="17" s="1"/>
  <c r="X46" i="17" a="1"/>
  <c r="X46" i="17" s="1"/>
  <c r="X47" i="17" a="1"/>
  <c r="X47" i="17" s="1"/>
  <c r="X48" i="17" a="1"/>
  <c r="X48" i="17" s="1"/>
  <c r="X49" i="17" a="1"/>
  <c r="X49" i="17" s="1"/>
  <c r="X94" i="17" a="1"/>
  <c r="X94" i="17" s="1"/>
  <c r="X104" i="17" a="1"/>
  <c r="X104" i="17" s="1"/>
  <c r="X114" i="17" a="1"/>
  <c r="X114" i="17" s="1"/>
  <c r="X126" i="17" a="1"/>
  <c r="X126" i="17" s="1"/>
  <c r="X127" i="17" a="1"/>
  <c r="X127" i="17" s="1"/>
  <c r="X146" i="17" a="1"/>
  <c r="X146" i="17" s="1"/>
  <c r="X147" i="17" a="1"/>
  <c r="X147" i="17" s="1"/>
  <c r="X166" i="17" a="1"/>
  <c r="X166" i="17" s="1"/>
  <c r="X167" i="17" a="1"/>
  <c r="X167" i="17" s="1"/>
  <c r="X186" i="17" a="1"/>
  <c r="X186" i="17" s="1"/>
  <c r="X187" i="17" a="1"/>
  <c r="X187" i="17" s="1"/>
  <c r="X206" i="17" a="1"/>
  <c r="X206" i="17" s="1"/>
  <c r="X207" i="17" a="1"/>
  <c r="X207" i="17" s="1"/>
  <c r="X226" i="17" a="1"/>
  <c r="X226" i="17" s="1"/>
  <c r="X227" i="17" a="1"/>
  <c r="X227" i="17" s="1"/>
  <c r="X246" i="17" a="1"/>
  <c r="X246" i="17" s="1"/>
  <c r="X247" i="17" a="1"/>
  <c r="X247" i="17" s="1"/>
  <c r="X266" i="17" a="1"/>
  <c r="X266" i="17" s="1"/>
  <c r="X267" i="17" a="1"/>
  <c r="X267" i="17" s="1"/>
  <c r="X286" i="17" a="1"/>
  <c r="X286" i="17" s="1"/>
  <c r="X287" i="17" a="1"/>
  <c r="X287" i="17" s="1"/>
  <c r="X306" i="17" a="1"/>
  <c r="X306" i="17" s="1"/>
  <c r="X307" i="17" a="1"/>
  <c r="X307" i="17" s="1"/>
  <c r="X344" i="17" a="1"/>
  <c r="X344" i="17" s="1"/>
  <c r="X354" i="17" a="1"/>
  <c r="X354" i="17" s="1"/>
  <c r="X364" i="17" a="1"/>
  <c r="X364" i="17" s="1"/>
  <c r="X374" i="17" a="1"/>
  <c r="X374" i="17" s="1"/>
  <c r="X384" i="17" a="1"/>
  <c r="X384" i="17" s="1"/>
  <c r="X394" i="17" a="1"/>
  <c r="X394" i="17" s="1"/>
  <c r="X404" i="17" a="1"/>
  <c r="X404" i="17" s="1"/>
  <c r="X414" i="17" a="1"/>
  <c r="X414" i="17" s="1"/>
  <c r="X424" i="17" a="1"/>
  <c r="X424" i="17" s="1"/>
  <c r="X434" i="17" a="1"/>
  <c r="X434" i="17" s="1"/>
  <c r="X444" i="17" a="1"/>
  <c r="X444" i="17" s="1"/>
  <c r="X464" i="17" a="1"/>
  <c r="X464" i="17" s="1"/>
  <c r="X465" i="17" a="1"/>
  <c r="X465" i="17" s="1"/>
  <c r="X466" i="17" a="1"/>
  <c r="X466" i="17" s="1"/>
  <c r="X467" i="17" a="1"/>
  <c r="X467" i="17" s="1"/>
  <c r="X468" i="17" a="1"/>
  <c r="X468" i="17" s="1"/>
  <c r="X469" i="17" a="1"/>
  <c r="X469" i="17" s="1"/>
  <c r="X326" i="17" a="1"/>
  <c r="X326" i="17" s="1"/>
  <c r="X327" i="17" a="1"/>
  <c r="X327" i="17" s="1"/>
  <c r="X5" i="17" a="1"/>
  <c r="X5" i="17" s="1"/>
  <c r="X15" i="17" a="1"/>
  <c r="X15" i="17" s="1"/>
  <c r="X25" i="17" a="1"/>
  <c r="X25" i="17" s="1"/>
  <c r="X50" i="17" a="1"/>
  <c r="X50" i="17" s="1"/>
  <c r="X51" i="17" a="1"/>
  <c r="X51" i="17" s="1"/>
  <c r="X52" i="17" a="1"/>
  <c r="X52" i="17" s="1"/>
  <c r="X53" i="17" a="1"/>
  <c r="X53" i="17" s="1"/>
  <c r="X54" i="17" a="1"/>
  <c r="X54" i="17" s="1"/>
  <c r="X55" i="17" a="1"/>
  <c r="X55" i="17" s="1"/>
  <c r="X95" i="17" a="1"/>
  <c r="X95" i="17" s="1"/>
  <c r="X105" i="17" a="1"/>
  <c r="X105" i="17" s="1"/>
  <c r="X115" i="17" a="1"/>
  <c r="X115" i="17" s="1"/>
  <c r="X128" i="17" a="1"/>
  <c r="X128" i="17" s="1"/>
  <c r="X129" i="17" a="1"/>
  <c r="X129" i="17" s="1"/>
  <c r="X148" i="17" a="1"/>
  <c r="X148" i="17" s="1"/>
  <c r="X149" i="17" a="1"/>
  <c r="X149" i="17" s="1"/>
  <c r="X168" i="17" a="1"/>
  <c r="X168" i="17" s="1"/>
  <c r="X169" i="17" a="1"/>
  <c r="X169" i="17" s="1"/>
  <c r="X188" i="17" a="1"/>
  <c r="X188" i="17" s="1"/>
  <c r="X189" i="17" a="1"/>
  <c r="X189" i="17" s="1"/>
  <c r="X208" i="17" a="1"/>
  <c r="X208" i="17" s="1"/>
  <c r="X209" i="17" a="1"/>
  <c r="X209" i="17" s="1"/>
  <c r="X228" i="17" a="1"/>
  <c r="X228" i="17" s="1"/>
  <c r="X229" i="17" a="1"/>
  <c r="X229" i="17" s="1"/>
  <c r="X248" i="17" a="1"/>
  <c r="X248" i="17" s="1"/>
  <c r="X249" i="17" a="1"/>
  <c r="X249" i="17" s="1"/>
  <c r="X268" i="17" a="1"/>
  <c r="X268" i="17" s="1"/>
  <c r="X269" i="17" a="1"/>
  <c r="X269" i="17" s="1"/>
  <c r="X288" i="17" a="1"/>
  <c r="X288" i="17" s="1"/>
  <c r="X289" i="17" a="1"/>
  <c r="X289" i="17" s="1"/>
  <c r="X308" i="17" a="1"/>
  <c r="X308" i="17" s="1"/>
  <c r="X309" i="17" a="1"/>
  <c r="X309" i="17" s="1"/>
  <c r="X345" i="17" a="1"/>
  <c r="X345" i="17" s="1"/>
  <c r="X355" i="17" a="1"/>
  <c r="X355" i="17" s="1"/>
  <c r="X365" i="17" a="1"/>
  <c r="X365" i="17" s="1"/>
  <c r="X375" i="17" a="1"/>
  <c r="X375" i="17" s="1"/>
  <c r="X385" i="17" a="1"/>
  <c r="X385" i="17" s="1"/>
  <c r="X395" i="17" a="1"/>
  <c r="X395" i="17" s="1"/>
  <c r="X405" i="17" a="1"/>
  <c r="X405" i="17" s="1"/>
  <c r="X415" i="17" a="1"/>
  <c r="X415" i="17" s="1"/>
  <c r="X425" i="17" a="1"/>
  <c r="X425" i="17" s="1"/>
  <c r="X435" i="17" a="1"/>
  <c r="X435" i="17" s="1"/>
  <c r="X445" i="17" a="1"/>
  <c r="X445" i="17" s="1"/>
  <c r="X470" i="17" a="1"/>
  <c r="X470" i="17" s="1"/>
  <c r="Y470" i="17" s="1"/>
  <c r="Q470" i="17" s="1"/>
  <c r="W470" i="17" s="1"/>
  <c r="X471" i="17" a="1"/>
  <c r="X471" i="17" s="1"/>
  <c r="X472" i="17" a="1"/>
  <c r="X472" i="17" s="1"/>
  <c r="Y472" i="17" s="1"/>
  <c r="Q472" i="17" s="1"/>
  <c r="W472" i="17" s="1"/>
  <c r="X473" i="17" a="1"/>
  <c r="X473" i="17" s="1"/>
  <c r="X474" i="17" a="1"/>
  <c r="X474" i="17" s="1"/>
  <c r="Y474" i="17" s="1"/>
  <c r="Q474" i="17" s="1"/>
  <c r="W474" i="17" s="1"/>
  <c r="X475" i="17" a="1"/>
  <c r="X475" i="17" s="1"/>
  <c r="X328" i="17" a="1"/>
  <c r="X328" i="17" s="1"/>
  <c r="Y328" i="17" s="1"/>
  <c r="Q328" i="17" s="1"/>
  <c r="W328" i="17" s="1"/>
  <c r="X329" i="17" a="1"/>
  <c r="X329" i="17" s="1"/>
  <c r="X6" i="17" a="1"/>
  <c r="X6" i="17" s="1"/>
  <c r="Y6" i="17" s="1"/>
  <c r="Q6" i="17" s="1"/>
  <c r="W6" i="17" s="1"/>
  <c r="X16" i="17" a="1"/>
  <c r="X16" i="17" s="1"/>
  <c r="X26" i="17" a="1"/>
  <c r="X26" i="17" s="1"/>
  <c r="Y26" i="17" s="1"/>
  <c r="Q26" i="17" s="1"/>
  <c r="W26" i="17" s="1"/>
  <c r="X56" i="17" a="1"/>
  <c r="X56" i="17" s="1"/>
  <c r="X57" i="17" a="1"/>
  <c r="X57" i="17" s="1"/>
  <c r="Y57" i="17" s="1"/>
  <c r="Q57" i="17" s="1"/>
  <c r="W57" i="17" s="1"/>
  <c r="X58" i="17" a="1"/>
  <c r="X58" i="17" s="1"/>
  <c r="X59" i="17" a="1"/>
  <c r="X59" i="17" s="1"/>
  <c r="Y59" i="17" s="1"/>
  <c r="Q59" i="17" s="1"/>
  <c r="W59" i="17" s="1"/>
  <c r="X60" i="17" a="1"/>
  <c r="X60" i="17" s="1"/>
  <c r="X61" i="17" a="1"/>
  <c r="X61" i="17"/>
  <c r="X96" i="17" a="1"/>
  <c r="X96" i="17" s="1"/>
  <c r="X106" i="17" a="1"/>
  <c r="X106" i="17" s="1"/>
  <c r="Y106" i="17" s="1"/>
  <c r="Q106" i="17" s="1"/>
  <c r="W106" i="17" s="1"/>
  <c r="X116" i="17" a="1"/>
  <c r="X116" i="17" s="1"/>
  <c r="X130" i="17" a="1"/>
  <c r="X130" i="17" s="1"/>
  <c r="Y130" i="17" s="1"/>
  <c r="Q130" i="17" s="1"/>
  <c r="W130" i="17" s="1"/>
  <c r="X131" i="17" a="1"/>
  <c r="X131" i="17" s="1"/>
  <c r="X150" i="17" a="1"/>
  <c r="X150" i="17" s="1"/>
  <c r="Y150" i="17" s="1"/>
  <c r="Q150" i="17" s="1"/>
  <c r="W150" i="17" s="1"/>
  <c r="X151" i="17" a="1"/>
  <c r="X151" i="17" s="1"/>
  <c r="X170" i="17" a="1"/>
  <c r="X170" i="17" s="1"/>
  <c r="Y170" i="17" s="1"/>
  <c r="Q170" i="17" s="1"/>
  <c r="W170" i="17" s="1"/>
  <c r="X171" i="17" a="1"/>
  <c r="X171" i="17" s="1"/>
  <c r="X190" i="17" a="1"/>
  <c r="X190" i="17" s="1"/>
  <c r="Y190" i="17" s="1"/>
  <c r="Q190" i="17" s="1"/>
  <c r="W190" i="17" s="1"/>
  <c r="X191" i="17" a="1"/>
  <c r="X191" i="17" s="1"/>
  <c r="X210" i="17" a="1"/>
  <c r="X210" i="17" s="1"/>
  <c r="Y210" i="17" s="1"/>
  <c r="X211" i="17" a="1"/>
  <c r="X211" i="17" s="1"/>
  <c r="X230" i="17" a="1"/>
  <c r="X230" i="17" s="1"/>
  <c r="Y230" i="17" s="1"/>
  <c r="Q230" i="17" s="1"/>
  <c r="W230" i="17" s="1"/>
  <c r="X231" i="17" a="1"/>
  <c r="X231" i="17" s="1"/>
  <c r="X250" i="17" a="1"/>
  <c r="X250" i="17" s="1"/>
  <c r="Y250" i="17" s="1"/>
  <c r="Q250" i="17" s="1"/>
  <c r="W250" i="17" s="1"/>
  <c r="X251" i="17" a="1"/>
  <c r="X251" i="17" s="1"/>
  <c r="X270" i="17" a="1"/>
  <c r="X270" i="17" s="1"/>
  <c r="Y270" i="17" s="1"/>
  <c r="X271" i="17" a="1"/>
  <c r="X271" i="17" s="1"/>
  <c r="X290" i="17" a="1"/>
  <c r="X290" i="17" s="1"/>
  <c r="Y290" i="17" s="1"/>
  <c r="Q290" i="17" s="1"/>
  <c r="W290" i="17" s="1"/>
  <c r="X291" i="17" a="1"/>
  <c r="X291" i="17" s="1"/>
  <c r="X310" i="17" a="1"/>
  <c r="X310" i="17" s="1"/>
  <c r="Y310" i="17" s="1"/>
  <c r="Q310" i="17" s="1"/>
  <c r="W310" i="17" s="1"/>
  <c r="X311" i="17" a="1"/>
  <c r="X311" i="17" s="1"/>
  <c r="X346" i="17" a="1"/>
  <c r="X346" i="17" s="1"/>
  <c r="Y346" i="17" s="1"/>
  <c r="Q346" i="17" s="1"/>
  <c r="W346" i="17" s="1"/>
  <c r="X356" i="17" a="1"/>
  <c r="X356" i="17" s="1"/>
  <c r="X366" i="17" a="1"/>
  <c r="X366" i="17" s="1"/>
  <c r="Y366" i="17" s="1"/>
  <c r="Q366" i="17" s="1"/>
  <c r="W366" i="17" s="1"/>
  <c r="X376" i="17" a="1"/>
  <c r="X376" i="17" s="1"/>
  <c r="X386" i="17" a="1"/>
  <c r="X386" i="17"/>
  <c r="Y386" i="17" s="1"/>
  <c r="Q386" i="17" s="1"/>
  <c r="W386" i="17" s="1"/>
  <c r="X396" i="17" a="1"/>
  <c r="X396" i="17" s="1"/>
  <c r="X406" i="17" a="1"/>
  <c r="X406" i="17" s="1"/>
  <c r="Y406" i="17" s="1"/>
  <c r="Q406" i="17" s="1"/>
  <c r="W406" i="17" s="1"/>
  <c r="X416" i="17" a="1"/>
  <c r="X416" i="17" s="1"/>
  <c r="X426" i="17" a="1"/>
  <c r="X426" i="17" s="1"/>
  <c r="Y426" i="17" s="1"/>
  <c r="Q426" i="17" s="1"/>
  <c r="W426" i="17" s="1"/>
  <c r="X436" i="17" a="1"/>
  <c r="X436" i="17" s="1"/>
  <c r="X446" i="17" a="1"/>
  <c r="X446" i="17" s="1"/>
  <c r="Y446" i="17" s="1"/>
  <c r="Q446" i="17" s="1"/>
  <c r="W446" i="17" s="1"/>
  <c r="X476" i="17" a="1"/>
  <c r="X476" i="17" s="1"/>
  <c r="X477" i="17" a="1"/>
  <c r="X477" i="17" s="1"/>
  <c r="Y477" i="17" s="1"/>
  <c r="Q477" i="17" s="1"/>
  <c r="W477" i="17" s="1"/>
  <c r="X478" i="17" a="1"/>
  <c r="X478" i="17" s="1"/>
  <c r="X479" i="17" a="1"/>
  <c r="X479" i="17"/>
  <c r="X480" i="17" a="1"/>
  <c r="X480" i="17" s="1"/>
  <c r="X481" i="17" a="1"/>
  <c r="X481" i="17" s="1"/>
  <c r="Y481" i="17" s="1"/>
  <c r="Q481" i="17" s="1"/>
  <c r="W481" i="17" s="1"/>
  <c r="X330" i="17" a="1"/>
  <c r="X330" i="17" s="1"/>
  <c r="X331" i="17" a="1"/>
  <c r="X331" i="17" s="1"/>
  <c r="Y331" i="17" s="1"/>
  <c r="Q331" i="17" s="1"/>
  <c r="W331" i="17" s="1"/>
  <c r="X7" i="17" a="1"/>
  <c r="X7" i="17" s="1"/>
  <c r="X17" i="17" a="1"/>
  <c r="X17" i="17" s="1"/>
  <c r="Y17" i="17" s="1"/>
  <c r="Q17" i="17" s="1"/>
  <c r="W17" i="17" s="1"/>
  <c r="X27" i="17" a="1"/>
  <c r="X27" i="17" s="1"/>
  <c r="Y27" i="17" s="1"/>
  <c r="Q27" i="17" s="1"/>
  <c r="W27" i="17" s="1"/>
  <c r="X62" i="17" a="1"/>
  <c r="X62" i="17" s="1"/>
  <c r="Y62" i="17" s="1"/>
  <c r="Q62" i="17" s="1"/>
  <c r="W62" i="17" s="1"/>
  <c r="X63" i="17" a="1"/>
  <c r="X63" i="17" s="1"/>
  <c r="X64" i="17" a="1"/>
  <c r="X64" i="17"/>
  <c r="X65" i="17" a="1"/>
  <c r="X65" i="17" s="1"/>
  <c r="X66" i="17" a="1"/>
  <c r="X66" i="17" s="1"/>
  <c r="Y66" i="17" s="1"/>
  <c r="Q66" i="17" s="1"/>
  <c r="W66" i="17" s="1"/>
  <c r="X67" i="17" a="1"/>
  <c r="X67" i="17" s="1"/>
  <c r="X97" i="17" a="1"/>
  <c r="X97" i="17" s="1"/>
  <c r="Y97" i="17" s="1"/>
  <c r="Q97" i="17" s="1"/>
  <c r="W97" i="17" s="1"/>
  <c r="X107" i="17" a="1"/>
  <c r="X107" i="17" s="1"/>
  <c r="X117" i="17" a="1"/>
  <c r="X117" i="17" s="1"/>
  <c r="Y117" i="17" s="1"/>
  <c r="Q117" i="17" s="1"/>
  <c r="W117" i="17" s="1"/>
  <c r="X132" i="17" a="1"/>
  <c r="X132" i="17" s="1"/>
  <c r="X133" i="17" a="1"/>
  <c r="X133" i="17" s="1"/>
  <c r="Y133" i="17" s="1"/>
  <c r="Q133" i="17" s="1"/>
  <c r="W133" i="17" s="1"/>
  <c r="X152" i="17" a="1"/>
  <c r="X152" i="17" s="1"/>
  <c r="X153" i="17" a="1"/>
  <c r="X153" i="17" s="1"/>
  <c r="Y153" i="17" s="1"/>
  <c r="Q153" i="17" s="1"/>
  <c r="W153" i="17" s="1"/>
  <c r="X172" i="17" a="1"/>
  <c r="X172" i="17" s="1"/>
  <c r="X173" i="17" a="1"/>
  <c r="X173" i="17" s="1"/>
  <c r="Y173" i="17" s="1"/>
  <c r="Q173" i="17" s="1"/>
  <c r="W173" i="17" s="1"/>
  <c r="X192" i="17" a="1"/>
  <c r="X192" i="17" s="1"/>
  <c r="X193" i="17" a="1"/>
  <c r="X193" i="17" s="1"/>
  <c r="Y193" i="17" s="1"/>
  <c r="X212" i="17" a="1"/>
  <c r="X212" i="17" s="1"/>
  <c r="Y212" i="17" s="1"/>
  <c r="Q212" i="17" s="1"/>
  <c r="W212" i="17" s="1"/>
  <c r="X213" i="17" a="1"/>
  <c r="X213" i="17" s="1"/>
  <c r="Y213" i="17" s="1"/>
  <c r="Q213" i="17" s="1"/>
  <c r="W213" i="17" s="1"/>
  <c r="X232" i="17" a="1"/>
  <c r="X232" i="17" s="1"/>
  <c r="X233" i="17" a="1"/>
  <c r="X233" i="17" s="1"/>
  <c r="Y233" i="17" s="1"/>
  <c r="Q233" i="17" s="1"/>
  <c r="W233" i="17" s="1"/>
  <c r="X252" i="17" a="1"/>
  <c r="X252" i="17" s="1"/>
  <c r="X253" i="17" a="1"/>
  <c r="X253" i="17" s="1"/>
  <c r="Y253" i="17" s="1"/>
  <c r="Q253" i="17" s="1"/>
  <c r="W253" i="17" s="1"/>
  <c r="X272" i="17" a="1"/>
  <c r="X272" i="17" s="1"/>
  <c r="X273" i="17" a="1"/>
  <c r="X273" i="17" s="1"/>
  <c r="Y273" i="17" s="1"/>
  <c r="X292" i="17" a="1"/>
  <c r="X292" i="17" s="1"/>
  <c r="X293" i="17" a="1"/>
  <c r="X293" i="17" s="1"/>
  <c r="Y293" i="17" s="1"/>
  <c r="X312" i="17" a="1"/>
  <c r="X312" i="17" s="1"/>
  <c r="X313" i="17" a="1"/>
  <c r="X313" i="17" s="1"/>
  <c r="Y313" i="17" s="1"/>
  <c r="X347" i="17" a="1"/>
  <c r="X347" i="17" s="1"/>
  <c r="X357" i="17" a="1"/>
  <c r="X357" i="17" s="1"/>
  <c r="Y357" i="17" s="1"/>
  <c r="Q357" i="17" s="1"/>
  <c r="W357" i="17" s="1"/>
  <c r="X367" i="17" a="1"/>
  <c r="X367" i="17" s="1"/>
  <c r="Y367" i="17" s="1"/>
  <c r="Q367" i="17" s="1"/>
  <c r="W367" i="17" s="1"/>
  <c r="X377" i="17" a="1"/>
  <c r="X377" i="17" s="1"/>
  <c r="Y377" i="17" s="1"/>
  <c r="Q377" i="17" s="1"/>
  <c r="W377" i="17" s="1"/>
  <c r="X387" i="17" a="1"/>
  <c r="X387" i="17" s="1"/>
  <c r="X397" i="17" a="1"/>
  <c r="X397" i="17" s="1"/>
  <c r="Y397" i="17" s="1"/>
  <c r="Q397" i="17" s="1"/>
  <c r="W397" i="17" s="1"/>
  <c r="X407" i="17" a="1"/>
  <c r="X407" i="17" s="1"/>
  <c r="Y407" i="17" s="1"/>
  <c r="Q407" i="17" s="1"/>
  <c r="W407" i="17" s="1"/>
  <c r="X417" i="17" a="1"/>
  <c r="X417" i="17" s="1"/>
  <c r="Y417" i="17" s="1"/>
  <c r="Q417" i="17" s="1"/>
  <c r="W417" i="17" s="1"/>
  <c r="X427" i="17" a="1"/>
  <c r="X427" i="17" s="1"/>
  <c r="X437" i="17" a="1"/>
  <c r="X437" i="17"/>
  <c r="Y437" i="17" s="1"/>
  <c r="Q437" i="17" s="1"/>
  <c r="W437" i="17" s="1"/>
  <c r="X447" i="17" a="1"/>
  <c r="X447" i="17" s="1"/>
  <c r="X482" i="17" a="1"/>
  <c r="X482" i="17" s="1"/>
  <c r="Y482" i="17" s="1"/>
  <c r="Q482" i="17" s="1"/>
  <c r="W482" i="17" s="1"/>
  <c r="X483" i="17" a="1"/>
  <c r="X483" i="17" s="1"/>
  <c r="X484" i="17" a="1"/>
  <c r="X484" i="17" s="1"/>
  <c r="Y484" i="17" s="1"/>
  <c r="Q484" i="17" s="1"/>
  <c r="W484" i="17" s="1"/>
  <c r="X485" i="17" a="1"/>
  <c r="X485" i="17" s="1"/>
  <c r="Y485" i="17" s="1"/>
  <c r="Q485" i="17" s="1"/>
  <c r="W485" i="17" s="1"/>
  <c r="X486" i="17" a="1"/>
  <c r="X486" i="17" s="1"/>
  <c r="Y486" i="17" s="1"/>
  <c r="Q486" i="17" s="1"/>
  <c r="W486" i="17" s="1"/>
  <c r="X487" i="17" a="1"/>
  <c r="X487" i="17" s="1"/>
  <c r="Y487" i="17" s="1"/>
  <c r="X332" i="17" a="1"/>
  <c r="X332" i="17" s="1"/>
  <c r="Y332" i="17" s="1"/>
  <c r="Q332" i="17" s="1"/>
  <c r="W332" i="17" s="1"/>
  <c r="X333" i="17" a="1"/>
  <c r="X333" i="17" s="1"/>
  <c r="Y333" i="17" s="1"/>
  <c r="X8" i="17" a="1"/>
  <c r="X8" i="17" s="1"/>
  <c r="Y8" i="17" s="1"/>
  <c r="Q8" i="17" s="1"/>
  <c r="W8" i="17" s="1"/>
  <c r="X18" i="17" a="1"/>
  <c r="X18" i="17" s="1"/>
  <c r="Y18" i="17" s="1"/>
  <c r="X28" i="17" a="1"/>
  <c r="X28" i="17" s="1"/>
  <c r="Y28" i="17" s="1"/>
  <c r="Q28" i="17" s="1"/>
  <c r="W28" i="17" s="1"/>
  <c r="X68" i="17" a="1"/>
  <c r="X68" i="17" s="1"/>
  <c r="Y68" i="17" s="1"/>
  <c r="X69" i="17" a="1"/>
  <c r="X69" i="17" s="1"/>
  <c r="Y69" i="17" s="1"/>
  <c r="Q69" i="17" s="1"/>
  <c r="W69" i="17" s="1"/>
  <c r="X70" i="17" a="1"/>
  <c r="X70" i="17" s="1"/>
  <c r="Y70" i="17" s="1"/>
  <c r="X71" i="17" a="1"/>
  <c r="X71" i="17" s="1"/>
  <c r="Y71" i="17" s="1"/>
  <c r="Q71" i="17" s="1"/>
  <c r="W71" i="17" s="1"/>
  <c r="X72" i="17" a="1"/>
  <c r="X72" i="17" s="1"/>
  <c r="Y72" i="17" s="1"/>
  <c r="X73" i="17" a="1"/>
  <c r="X73" i="17" s="1"/>
  <c r="Y73" i="17" s="1"/>
  <c r="Q73" i="17" s="1"/>
  <c r="W73" i="17" s="1"/>
  <c r="X98" i="17" a="1"/>
  <c r="X98" i="17" s="1"/>
  <c r="Y98" i="17" s="1"/>
  <c r="X108" i="17" a="1"/>
  <c r="X108" i="17" s="1"/>
  <c r="Y108" i="17" s="1"/>
  <c r="Q108" i="17" s="1"/>
  <c r="W108" i="17" s="1"/>
  <c r="X118" i="17" a="1"/>
  <c r="X118" i="17" s="1"/>
  <c r="Y118" i="17" s="1"/>
  <c r="Q118" i="17" s="1"/>
  <c r="W118" i="17" s="1"/>
  <c r="X134" i="17" a="1"/>
  <c r="X134" i="17" s="1"/>
  <c r="Y134" i="17" s="1"/>
  <c r="X135" i="17" a="1"/>
  <c r="X135" i="17" s="1"/>
  <c r="Y135" i="17" s="1"/>
  <c r="Q135" i="17" s="1"/>
  <c r="W135" i="17" s="1"/>
  <c r="X154" i="17" a="1"/>
  <c r="X154" i="17" s="1"/>
  <c r="Y154" i="17" s="1"/>
  <c r="Q154" i="17" s="1"/>
  <c r="W154" i="17" s="1"/>
  <c r="X155" i="17" a="1"/>
  <c r="X155" i="17" s="1"/>
  <c r="Y155" i="17" s="1"/>
  <c r="Q155" i="17" s="1"/>
  <c r="W155" i="17" s="1"/>
  <c r="X174" i="17" a="1"/>
  <c r="X174" i="17" s="1"/>
  <c r="Y174" i="17" s="1"/>
  <c r="Q174" i="17" s="1"/>
  <c r="W174" i="17" s="1"/>
  <c r="X175" i="17" a="1"/>
  <c r="X175" i="17" s="1"/>
  <c r="Y175" i="17" s="1"/>
  <c r="Q175" i="17" s="1"/>
  <c r="W175" i="17" s="1"/>
  <c r="X194" i="17" a="1"/>
  <c r="X194" i="17" s="1"/>
  <c r="Y194" i="17" s="1"/>
  <c r="X195" i="17" a="1"/>
  <c r="X195" i="17" s="1"/>
  <c r="Y195" i="17" s="1"/>
  <c r="Q195" i="17" s="1"/>
  <c r="W195" i="17" s="1"/>
  <c r="X214" i="17" a="1"/>
  <c r="X214" i="17" s="1"/>
  <c r="Y214" i="17" s="1"/>
  <c r="Q214" i="17" s="1"/>
  <c r="W214" i="17" s="1"/>
  <c r="X215" i="17" a="1"/>
  <c r="X215" i="17" s="1"/>
  <c r="Y215" i="17" s="1"/>
  <c r="Q215" i="17" s="1"/>
  <c r="W215" i="17" s="1"/>
  <c r="X234" i="17" a="1"/>
  <c r="X234" i="17" s="1"/>
  <c r="Y234" i="17" s="1"/>
  <c r="Q234" i="17" s="1"/>
  <c r="W234" i="17" s="1"/>
  <c r="X235" i="17" a="1"/>
  <c r="X235" i="17" s="1"/>
  <c r="Y235" i="17" s="1"/>
  <c r="Q235" i="17" s="1"/>
  <c r="W235" i="17" s="1"/>
  <c r="X254" i="17" a="1"/>
  <c r="X254" i="17" s="1"/>
  <c r="Y254" i="17" s="1"/>
  <c r="Q254" i="17" s="1"/>
  <c r="W254" i="17" s="1"/>
  <c r="X255" i="17" a="1"/>
  <c r="X255" i="17" s="1"/>
  <c r="Y255" i="17" s="1"/>
  <c r="Q255" i="17" s="1"/>
  <c r="W255" i="17" s="1"/>
  <c r="X274" i="17" a="1"/>
  <c r="X274" i="17" s="1"/>
  <c r="Y274" i="17" s="1"/>
  <c r="Q274" i="17" s="1"/>
  <c r="W274" i="17" s="1"/>
  <c r="X275" i="17" a="1"/>
  <c r="X275" i="17" s="1"/>
  <c r="Y275" i="17" s="1"/>
  <c r="X294" i="17" a="1"/>
  <c r="X294" i="17" s="1"/>
  <c r="Y294" i="17" s="1"/>
  <c r="Q294" i="17" s="1"/>
  <c r="W294" i="17" s="1"/>
  <c r="X295" i="17" a="1"/>
  <c r="X295" i="17" s="1"/>
  <c r="Y295" i="17" s="1"/>
  <c r="X314" i="17" a="1"/>
  <c r="X314" i="17" s="1"/>
  <c r="Y314" i="17" s="1"/>
  <c r="Q314" i="17" s="1"/>
  <c r="W314" i="17" s="1"/>
  <c r="X315" i="17" a="1"/>
  <c r="X315" i="17" s="1"/>
  <c r="Y315" i="17" s="1"/>
  <c r="Q315" i="17" s="1"/>
  <c r="W315" i="17" s="1"/>
  <c r="X348" i="17" a="1"/>
  <c r="X348" i="17" s="1"/>
  <c r="Y348" i="17" s="1"/>
  <c r="Q348" i="17" s="1"/>
  <c r="W348" i="17" s="1"/>
  <c r="X358" i="17" a="1"/>
  <c r="X358" i="17" s="1"/>
  <c r="Y358" i="17" s="1"/>
  <c r="Q358" i="17" s="1"/>
  <c r="W358" i="17" s="1"/>
  <c r="X368" i="17" a="1"/>
  <c r="X368" i="17" s="1"/>
  <c r="Y368" i="17" s="1"/>
  <c r="Q368" i="17" s="1"/>
  <c r="W368" i="17" s="1"/>
  <c r="X378" i="17" a="1"/>
  <c r="X378" i="17" s="1"/>
  <c r="Y378" i="17" s="1"/>
  <c r="Q378" i="17" s="1"/>
  <c r="W378" i="17" s="1"/>
  <c r="X388" i="17" a="1"/>
  <c r="X388" i="17" s="1"/>
  <c r="Y388" i="17" s="1"/>
  <c r="Q388" i="17" s="1"/>
  <c r="W388" i="17" s="1"/>
  <c r="X398" i="17" a="1"/>
  <c r="X398" i="17" s="1"/>
  <c r="Y398" i="17" s="1"/>
  <c r="Q398" i="17" s="1"/>
  <c r="W398" i="17" s="1"/>
  <c r="X408" i="17" a="1"/>
  <c r="X408" i="17" s="1"/>
  <c r="Y408" i="17" s="1"/>
  <c r="Q408" i="17" s="1"/>
  <c r="W408" i="17" s="1"/>
  <c r="X418" i="17" a="1"/>
  <c r="X418" i="17" s="1"/>
  <c r="Y418" i="17" s="1"/>
  <c r="X428" i="17" a="1"/>
  <c r="X428" i="17" s="1"/>
  <c r="Y428" i="17" s="1"/>
  <c r="Q428" i="17" s="1"/>
  <c r="W428" i="17" s="1"/>
  <c r="X438" i="17" a="1"/>
  <c r="X438" i="17" s="1"/>
  <c r="Y438" i="17" s="1"/>
  <c r="Q438" i="17" s="1"/>
  <c r="W438" i="17" s="1"/>
  <c r="X448" i="17" a="1"/>
  <c r="X448" i="17" s="1"/>
  <c r="Y448" i="17" s="1"/>
  <c r="Q448" i="17" s="1"/>
  <c r="W448" i="17" s="1"/>
  <c r="X488" i="17" a="1"/>
  <c r="X488" i="17" s="1"/>
  <c r="Y488" i="17" s="1"/>
  <c r="Q488" i="17" s="1"/>
  <c r="W488" i="17" s="1"/>
  <c r="X489" i="17" a="1"/>
  <c r="X489" i="17" s="1"/>
  <c r="Y489" i="17" s="1"/>
  <c r="Q489" i="17" s="1"/>
  <c r="W489" i="17" s="1"/>
  <c r="X490" i="17" a="1"/>
  <c r="X490" i="17" s="1"/>
  <c r="Y490" i="17" s="1"/>
  <c r="X491" i="17" a="1"/>
  <c r="X491" i="17" s="1"/>
  <c r="Y491" i="17" s="1"/>
  <c r="Q491" i="17" s="1"/>
  <c r="W491" i="17" s="1"/>
  <c r="X492" i="17" a="1"/>
  <c r="X492" i="17" s="1"/>
  <c r="Y492" i="17" s="1"/>
  <c r="X493" i="17" a="1"/>
  <c r="X493" i="17" s="1"/>
  <c r="Y493" i="17" s="1"/>
  <c r="Q493" i="17" s="1"/>
  <c r="W493" i="17" s="1"/>
  <c r="X334" i="17" a="1"/>
  <c r="X334" i="17" s="1"/>
  <c r="Y334" i="17" s="1"/>
  <c r="Q334" i="17" s="1"/>
  <c r="W334" i="17" s="1"/>
  <c r="X335" i="17" a="1"/>
  <c r="X335" i="17" s="1"/>
  <c r="Y335" i="17" s="1"/>
  <c r="Q335" i="17" s="1"/>
  <c r="W335" i="17" s="1"/>
  <c r="X9" i="17" a="1"/>
  <c r="X9" i="17" s="1"/>
  <c r="Y9" i="17" s="1"/>
  <c r="X19" i="17" a="1"/>
  <c r="X19" i="17" s="1"/>
  <c r="Y19" i="17" s="1"/>
  <c r="Q19" i="17" s="1"/>
  <c r="W19" i="17" s="1"/>
  <c r="X29" i="17" a="1"/>
  <c r="X29" i="17" s="1"/>
  <c r="Y29" i="17" s="1"/>
  <c r="X74" i="17" a="1"/>
  <c r="X74" i="17" s="1"/>
  <c r="Y74" i="17" s="1"/>
  <c r="Q74" i="17" s="1"/>
  <c r="W74" i="17" s="1"/>
  <c r="X75" i="17" a="1"/>
  <c r="X75" i="17" s="1"/>
  <c r="Y75" i="17" s="1"/>
  <c r="X76" i="17" a="1"/>
  <c r="X76" i="17" s="1"/>
  <c r="Y76" i="17" s="1"/>
  <c r="Q76" i="17" s="1"/>
  <c r="W76" i="17" s="1"/>
  <c r="X77" i="17" a="1"/>
  <c r="X77" i="17" s="1"/>
  <c r="Y77" i="17" s="1"/>
  <c r="Q77" i="17" s="1"/>
  <c r="W77" i="17" s="1"/>
  <c r="X78" i="17" a="1"/>
  <c r="X78" i="17" s="1"/>
  <c r="Y78" i="17" s="1"/>
  <c r="Q78" i="17" s="1"/>
  <c r="W78" i="17" s="1"/>
  <c r="X79" i="17" a="1"/>
  <c r="X79" i="17" s="1"/>
  <c r="Y79" i="17" s="1"/>
  <c r="Q79" i="17" s="1"/>
  <c r="W79" i="17" s="1"/>
  <c r="X99" i="17" a="1"/>
  <c r="X99" i="17" s="1"/>
  <c r="Y99" i="17" s="1"/>
  <c r="X109" i="17" a="1"/>
  <c r="X109" i="17" s="1"/>
  <c r="Y109" i="17" s="1"/>
  <c r="Q109" i="17" s="1"/>
  <c r="W109" i="17" s="1"/>
  <c r="X119" i="17" a="1"/>
  <c r="X119" i="17" s="1"/>
  <c r="Y119" i="17" s="1"/>
  <c r="Q119" i="17" s="1"/>
  <c r="W119" i="17" s="1"/>
  <c r="X136" i="17" a="1"/>
  <c r="X136" i="17" s="1"/>
  <c r="Y136" i="17" s="1"/>
  <c r="Q136" i="17" s="1"/>
  <c r="W136" i="17" s="1"/>
  <c r="X137" i="17" a="1"/>
  <c r="X137" i="17" s="1"/>
  <c r="Y137" i="17" s="1"/>
  <c r="Q137" i="17" s="1"/>
  <c r="W137" i="17" s="1"/>
  <c r="X156" i="17" a="1"/>
  <c r="X156" i="17" s="1"/>
  <c r="Y156" i="17" s="1"/>
  <c r="Q156" i="17" s="1"/>
  <c r="W156" i="17" s="1"/>
  <c r="X157" i="17" a="1"/>
  <c r="X157" i="17" s="1"/>
  <c r="Y157" i="17" s="1"/>
  <c r="X176" i="17" a="1"/>
  <c r="X176" i="17" s="1"/>
  <c r="Y176" i="17" s="1"/>
  <c r="Q176" i="17" s="1"/>
  <c r="W176" i="17" s="1"/>
  <c r="X177" i="17" a="1"/>
  <c r="X177" i="17" s="1"/>
  <c r="Y177" i="17" s="1"/>
  <c r="X196" i="17" a="1"/>
  <c r="X196" i="17" s="1"/>
  <c r="Y196" i="17" s="1"/>
  <c r="Q196" i="17" s="1"/>
  <c r="W196" i="17" s="1"/>
  <c r="X197" i="17" a="1"/>
  <c r="X197" i="17" s="1"/>
  <c r="Y197" i="17" s="1"/>
  <c r="Q197" i="17" s="1"/>
  <c r="W197" i="17" s="1"/>
  <c r="X216" i="17" a="1"/>
  <c r="X216" i="17" s="1"/>
  <c r="Y216" i="17" s="1"/>
  <c r="X217" i="17" a="1"/>
  <c r="X217" i="17" s="1"/>
  <c r="Y217" i="17" s="1"/>
  <c r="Q217" i="17" s="1"/>
  <c r="W217" i="17" s="1"/>
  <c r="X236" i="17" a="1"/>
  <c r="X236" i="17" s="1"/>
  <c r="Y236" i="17" s="1"/>
  <c r="X237" i="17" a="1"/>
  <c r="X237" i="17" s="1"/>
  <c r="Y237" i="17" s="1"/>
  <c r="Q237" i="17" s="1"/>
  <c r="W237" i="17" s="1"/>
  <c r="X256" i="17" a="1"/>
  <c r="X256" i="17" s="1"/>
  <c r="Y256" i="17" s="1"/>
  <c r="X257" i="17" a="1"/>
  <c r="X257" i="17" s="1"/>
  <c r="Y257" i="17" s="1"/>
  <c r="Q257" i="17" s="1"/>
  <c r="W257" i="17" s="1"/>
  <c r="X276" i="17" a="1"/>
  <c r="X276" i="17" s="1"/>
  <c r="Y276" i="17" s="1"/>
  <c r="X277" i="17" a="1"/>
  <c r="X277" i="17" s="1"/>
  <c r="Y277" i="17" s="1"/>
  <c r="X296" i="17" a="1"/>
  <c r="X296" i="17" s="1"/>
  <c r="Y296" i="17" s="1"/>
  <c r="X297" i="17" a="1"/>
  <c r="X297" i="17" s="1"/>
  <c r="Y297" i="17" s="1"/>
  <c r="Q297" i="17" s="1"/>
  <c r="W297" i="17" s="1"/>
  <c r="X316" i="17" a="1"/>
  <c r="X316" i="17" s="1"/>
  <c r="Y316" i="17" s="1"/>
  <c r="X317" i="17" a="1"/>
  <c r="X317" i="17" s="1"/>
  <c r="Y317" i="17" s="1"/>
  <c r="Q317" i="17" s="1"/>
  <c r="W317" i="17" s="1"/>
  <c r="X349" i="17" a="1"/>
  <c r="X349" i="17" s="1"/>
  <c r="Y349" i="17" s="1"/>
  <c r="Q349" i="17" s="1"/>
  <c r="W349" i="17" s="1"/>
  <c r="X359" i="17" a="1"/>
  <c r="X359" i="17" s="1"/>
  <c r="Y359" i="17" s="1"/>
  <c r="Q359" i="17" s="1"/>
  <c r="W359" i="17" s="1"/>
  <c r="X369" i="17" a="1"/>
  <c r="X369" i="17" s="1"/>
  <c r="Y369" i="17" s="1"/>
  <c r="Q369" i="17" s="1"/>
  <c r="W369" i="17" s="1"/>
  <c r="X379" i="17" a="1"/>
  <c r="X379" i="17" s="1"/>
  <c r="Y379" i="17" s="1"/>
  <c r="Q379" i="17" s="1"/>
  <c r="W379" i="17" s="1"/>
  <c r="X389" i="17" a="1"/>
  <c r="X389" i="17" s="1"/>
  <c r="Y389" i="17" s="1"/>
  <c r="X399" i="17" a="1"/>
  <c r="X399" i="17" s="1"/>
  <c r="Y399" i="17" s="1"/>
  <c r="Q399" i="17" s="1"/>
  <c r="W399" i="17" s="1"/>
  <c r="X409" i="17" a="1"/>
  <c r="X409" i="17" s="1"/>
  <c r="Y409" i="17" s="1"/>
  <c r="X419" i="17" a="1"/>
  <c r="X419" i="17" s="1"/>
  <c r="Y419" i="17" s="1"/>
  <c r="Q419" i="17" s="1"/>
  <c r="W419" i="17" s="1"/>
  <c r="X429" i="17" a="1"/>
  <c r="X429" i="17" s="1"/>
  <c r="Y429" i="17" s="1"/>
  <c r="Q429" i="17" s="1"/>
  <c r="W429" i="17" s="1"/>
  <c r="X439" i="17" a="1"/>
  <c r="X439" i="17" s="1"/>
  <c r="Y439" i="17" s="1"/>
  <c r="Q439" i="17" s="1"/>
  <c r="W439" i="17" s="1"/>
  <c r="X449" i="17" a="1"/>
  <c r="X449" i="17" s="1"/>
  <c r="Y449" i="17" s="1"/>
  <c r="X494" i="17" a="1"/>
  <c r="X494" i="17" s="1"/>
  <c r="Y494" i="17" s="1"/>
  <c r="Q494" i="17" s="1"/>
  <c r="W494" i="17" s="1"/>
  <c r="X495" i="17" a="1"/>
  <c r="X495" i="17" s="1"/>
  <c r="Y495" i="17" s="1"/>
  <c r="Q495" i="17" s="1"/>
  <c r="W495" i="17" s="1"/>
  <c r="X496" i="17" a="1"/>
  <c r="X496" i="17" s="1"/>
  <c r="Y496" i="17" s="1"/>
  <c r="Q496" i="17" s="1"/>
  <c r="W496" i="17" s="1"/>
  <c r="X497" i="17" a="1"/>
  <c r="X497" i="17" s="1"/>
  <c r="Y497" i="17" s="1"/>
  <c r="X498" i="17" a="1"/>
  <c r="X498" i="17" s="1"/>
  <c r="Y498" i="17" s="1"/>
  <c r="Q498" i="17" s="1"/>
  <c r="W498" i="17" s="1"/>
  <c r="X499" i="17" a="1"/>
  <c r="X499" i="17" s="1"/>
  <c r="Y499" i="17" s="1"/>
  <c r="X336" i="17" a="1"/>
  <c r="X336" i="17" s="1"/>
  <c r="Y336" i="17" s="1"/>
  <c r="Q336" i="17" s="1"/>
  <c r="W336" i="17" s="1"/>
  <c r="X337" i="17" a="1"/>
  <c r="X337" i="17" s="1"/>
  <c r="Y337" i="17" s="1"/>
  <c r="X10" i="17" a="1"/>
  <c r="X10" i="17" s="1"/>
  <c r="Y10" i="17" s="1"/>
  <c r="Q10" i="17" s="1"/>
  <c r="W10" i="17" s="1"/>
  <c r="X20" i="17" a="1"/>
  <c r="X20" i="17" s="1"/>
  <c r="Y20" i="17" s="1"/>
  <c r="X30" i="17" a="1"/>
  <c r="X30" i="17" s="1"/>
  <c r="Y30" i="17" s="1"/>
  <c r="Q30" i="17" s="1"/>
  <c r="W30" i="17" s="1"/>
  <c r="X80" i="17" a="1"/>
  <c r="X80" i="17" s="1"/>
  <c r="Y80" i="17" s="1"/>
  <c r="X81" i="17" a="1"/>
  <c r="X81" i="17" s="1"/>
  <c r="Y81" i="17" s="1"/>
  <c r="Q81" i="17" s="1"/>
  <c r="W81" i="17" s="1"/>
  <c r="X82" i="17" a="1"/>
  <c r="X82" i="17" s="1"/>
  <c r="Y82" i="17" s="1"/>
  <c r="Q82" i="17" s="1"/>
  <c r="W82" i="17" s="1"/>
  <c r="X83" i="17" a="1"/>
  <c r="X83" i="17" s="1"/>
  <c r="Y83" i="17" s="1"/>
  <c r="X84" i="17" a="1"/>
  <c r="X84" i="17" s="1"/>
  <c r="Y84" i="17" s="1"/>
  <c r="Q84" i="17" s="1"/>
  <c r="W84" i="17" s="1"/>
  <c r="X85" i="17" a="1"/>
  <c r="X85" i="17" s="1"/>
  <c r="Y85" i="17" s="1"/>
  <c r="X100" i="17" a="1"/>
  <c r="X100" i="17" s="1"/>
  <c r="Y100" i="17" s="1"/>
  <c r="Q100" i="17" s="1"/>
  <c r="W100" i="17" s="1"/>
  <c r="X110" i="17" a="1"/>
  <c r="X110" i="17" s="1"/>
  <c r="Y110" i="17" s="1"/>
  <c r="X120" i="17" a="1"/>
  <c r="X120" i="17" s="1"/>
  <c r="Y120" i="17" s="1"/>
  <c r="Q120" i="17" s="1"/>
  <c r="W120" i="17" s="1"/>
  <c r="X138" i="17" a="1"/>
  <c r="X138" i="17" s="1"/>
  <c r="Y138" i="17" s="1"/>
  <c r="X139" i="17" a="1"/>
  <c r="X139" i="17" s="1"/>
  <c r="Y139" i="17" s="1"/>
  <c r="Q139" i="17" s="1"/>
  <c r="W139" i="17" s="1"/>
  <c r="X158" i="17" a="1"/>
  <c r="X158" i="17" s="1"/>
  <c r="Y158" i="17" s="1"/>
  <c r="X159" i="17" a="1"/>
  <c r="X159" i="17" s="1"/>
  <c r="Y159" i="17" s="1"/>
  <c r="Q159" i="17" s="1"/>
  <c r="W159" i="17" s="1"/>
  <c r="X178" i="17" a="1"/>
  <c r="X178" i="17" s="1"/>
  <c r="Y178" i="17" s="1"/>
  <c r="X179" i="17" a="1"/>
  <c r="X179" i="17" s="1"/>
  <c r="Y179" i="17" s="1"/>
  <c r="Q179" i="17" s="1"/>
  <c r="W179" i="17" s="1"/>
  <c r="X198" i="17" a="1"/>
  <c r="X198" i="17" s="1"/>
  <c r="Y198" i="17" s="1"/>
  <c r="Q198" i="17" s="1"/>
  <c r="W198" i="17" s="1"/>
  <c r="X199" i="17" a="1"/>
  <c r="X199" i="17" s="1"/>
  <c r="Y199" i="17" s="1"/>
  <c r="X218" i="17" a="1"/>
  <c r="X218" i="17" s="1"/>
  <c r="Y218" i="17" s="1"/>
  <c r="Q218" i="17" s="1"/>
  <c r="W218" i="17" s="1"/>
  <c r="X219" i="17" a="1"/>
  <c r="X219" i="17" s="1"/>
  <c r="Y219" i="17" s="1"/>
  <c r="X238" i="17" a="1"/>
  <c r="X238" i="17" s="1"/>
  <c r="Y238" i="17" s="1"/>
  <c r="X239" i="17" a="1"/>
  <c r="X239" i="17" s="1"/>
  <c r="Y239" i="17" s="1"/>
  <c r="X258" i="17" a="1"/>
  <c r="X258" i="17" s="1"/>
  <c r="Y258" i="17" s="1"/>
  <c r="X259" i="17" a="1"/>
  <c r="X259" i="17" s="1"/>
  <c r="Y259" i="17" s="1"/>
  <c r="X278" i="17" a="1"/>
  <c r="X278" i="17" s="1"/>
  <c r="Y278" i="17" s="1"/>
  <c r="X279" i="17" a="1"/>
  <c r="X279" i="17" s="1"/>
  <c r="Y279" i="17" s="1"/>
  <c r="X298" i="17" a="1"/>
  <c r="X298" i="17" s="1"/>
  <c r="Y298" i="17" s="1"/>
  <c r="Q298" i="17" s="1"/>
  <c r="W298" i="17" s="1"/>
  <c r="X299" i="17" a="1"/>
  <c r="X299" i="17" s="1"/>
  <c r="Y299" i="17" s="1"/>
  <c r="X318" i="17" a="1"/>
  <c r="X318" i="17" s="1"/>
  <c r="Y318" i="17" s="1"/>
  <c r="Q318" i="17" s="1"/>
  <c r="W318" i="17" s="1"/>
  <c r="X319" i="17" a="1"/>
  <c r="X319" i="17" s="1"/>
  <c r="Y319" i="17" s="1"/>
  <c r="Q319" i="17" s="1"/>
  <c r="W319" i="17" s="1"/>
  <c r="X350" i="17" a="1"/>
  <c r="X350" i="17" s="1"/>
  <c r="Y350" i="17" s="1"/>
  <c r="X360" i="17" a="1"/>
  <c r="X360" i="17" s="1"/>
  <c r="Y360" i="17" s="1"/>
  <c r="X370" i="17" a="1"/>
  <c r="X370" i="17" s="1"/>
  <c r="Y370" i="17" s="1"/>
  <c r="X380" i="17" a="1"/>
  <c r="X380" i="17" s="1"/>
  <c r="Y380" i="17" s="1"/>
  <c r="X390" i="17" a="1"/>
  <c r="X390" i="17" s="1"/>
  <c r="Y390" i="17" s="1"/>
  <c r="X400" i="17" a="1"/>
  <c r="X400" i="17" s="1"/>
  <c r="Y400" i="17" s="1"/>
  <c r="X410" i="17" a="1"/>
  <c r="X410" i="17" s="1"/>
  <c r="Y410" i="17" s="1"/>
  <c r="X420" i="17" a="1"/>
  <c r="X420" i="17" s="1"/>
  <c r="Y420" i="17" s="1"/>
  <c r="Q420" i="17" s="1"/>
  <c r="W420" i="17" s="1"/>
  <c r="X430" i="17" a="1"/>
  <c r="X430" i="17" s="1"/>
  <c r="Y430" i="17" s="1"/>
  <c r="X440" i="17" a="1"/>
  <c r="X440" i="17" s="1"/>
  <c r="Y440" i="17" s="1"/>
  <c r="X450" i="17" a="1"/>
  <c r="X450" i="17" s="1"/>
  <c r="Y450" i="17" s="1"/>
  <c r="Q450" i="17" s="1"/>
  <c r="W450" i="17" s="1"/>
  <c r="X500" i="17" a="1"/>
  <c r="X500" i="17" s="1"/>
  <c r="Y500" i="17" s="1"/>
  <c r="X501" i="17" a="1"/>
  <c r="X501" i="17" s="1"/>
  <c r="Y501" i="17" s="1"/>
  <c r="X502" i="17" a="1"/>
  <c r="X502" i="17" s="1"/>
  <c r="Y502" i="17" s="1"/>
  <c r="X503" i="17" a="1"/>
  <c r="X503" i="17" s="1"/>
  <c r="Y503" i="17" s="1"/>
  <c r="X504" i="17" a="1"/>
  <c r="X504" i="17" s="1"/>
  <c r="Y504" i="17" s="1"/>
  <c r="Q504" i="17" s="1"/>
  <c r="W504" i="17" s="1"/>
  <c r="X505" i="17" a="1"/>
  <c r="X505" i="17" s="1"/>
  <c r="Y505" i="17" s="1"/>
  <c r="X338" i="17" a="1"/>
  <c r="X338" i="17" s="1"/>
  <c r="Y338" i="17" s="1"/>
  <c r="X339" i="17" a="1"/>
  <c r="X339" i="17" s="1"/>
  <c r="Y339" i="17" s="1"/>
  <c r="X11" i="17" a="1"/>
  <c r="X11" i="17" s="1"/>
  <c r="Y11" i="17" s="1"/>
  <c r="X21" i="17" a="1"/>
  <c r="X21" i="17" s="1"/>
  <c r="Y21" i="17" s="1"/>
  <c r="X31" i="17" a="1"/>
  <c r="X31" i="17" s="1"/>
  <c r="Y31" i="17" s="1"/>
  <c r="X86" i="17" a="1"/>
  <c r="X86" i="17" s="1"/>
  <c r="Y86" i="17" s="1"/>
  <c r="Q86" i="17" s="1"/>
  <c r="W86" i="17" s="1"/>
  <c r="X87" i="17" a="1"/>
  <c r="X87" i="17" s="1"/>
  <c r="Y87" i="17" s="1"/>
  <c r="X88" i="17" a="1"/>
  <c r="X88" i="17" s="1"/>
  <c r="Y88" i="17" s="1"/>
  <c r="X89" i="17" a="1"/>
  <c r="X89" i="17" s="1"/>
  <c r="Y89" i="17" s="1"/>
  <c r="X90" i="17" a="1"/>
  <c r="X90" i="17" s="1"/>
  <c r="Y90" i="17" s="1"/>
  <c r="Q90" i="17" s="1"/>
  <c r="W90" i="17" s="1"/>
  <c r="X91" i="17" a="1"/>
  <c r="X91" i="17" s="1"/>
  <c r="Y91" i="17" s="1"/>
  <c r="X101" i="17" a="1"/>
  <c r="X101" i="17" s="1"/>
  <c r="Y101" i="17" s="1"/>
  <c r="X111" i="17" a="1"/>
  <c r="X111" i="17" s="1"/>
  <c r="Y111" i="17" s="1"/>
  <c r="X121" i="17" a="1"/>
  <c r="X121" i="17" s="1"/>
  <c r="Y121" i="17" s="1"/>
  <c r="X140" i="17" a="1"/>
  <c r="X140" i="17" s="1"/>
  <c r="Y140" i="17" s="1"/>
  <c r="X141" i="17" a="1"/>
  <c r="X141" i="17" s="1"/>
  <c r="Y141" i="17" s="1"/>
  <c r="X160" i="17" a="1"/>
  <c r="X160" i="17" s="1"/>
  <c r="Y160" i="17" s="1"/>
  <c r="X161" i="17" a="1"/>
  <c r="X161" i="17" s="1"/>
  <c r="Y161" i="17" s="1"/>
  <c r="Q161" i="17" s="1"/>
  <c r="W161" i="17" s="1"/>
  <c r="X180" i="17" a="1"/>
  <c r="X180" i="17" s="1"/>
  <c r="Y180" i="17" s="1"/>
  <c r="X181" i="17" a="1"/>
  <c r="X181" i="17" s="1"/>
  <c r="Y181" i="17" s="1"/>
  <c r="Q181" i="17" s="1"/>
  <c r="W181" i="17" s="1"/>
  <c r="X200" i="17" a="1"/>
  <c r="X200" i="17" s="1"/>
  <c r="Y200" i="17" s="1"/>
  <c r="X201" i="17" a="1"/>
  <c r="X201" i="17" s="1"/>
  <c r="Y201" i="17" s="1"/>
  <c r="X220" i="17" a="1"/>
  <c r="X220" i="17" s="1"/>
  <c r="Y220" i="17" s="1"/>
  <c r="X221" i="17" a="1"/>
  <c r="X221" i="17" s="1"/>
  <c r="Y221" i="17" s="1"/>
  <c r="Q221" i="17" s="1"/>
  <c r="W221" i="17" s="1"/>
  <c r="X240" i="17" a="1"/>
  <c r="X240" i="17" s="1"/>
  <c r="Y240" i="17" s="1"/>
  <c r="X241" i="17" a="1"/>
  <c r="X241" i="17" s="1"/>
  <c r="Y241" i="17" s="1"/>
  <c r="X260" i="17" a="1"/>
  <c r="X260" i="17" s="1"/>
  <c r="Y260" i="17" s="1"/>
  <c r="X261" i="17" a="1"/>
  <c r="X261" i="17" s="1"/>
  <c r="Y261" i="17" s="1"/>
  <c r="X280" i="17" a="1"/>
  <c r="X280" i="17" s="1"/>
  <c r="Y280" i="17" s="1"/>
  <c r="X281" i="17" a="1"/>
  <c r="X281" i="17" s="1"/>
  <c r="Y281" i="17" s="1"/>
  <c r="X300" i="17" a="1"/>
  <c r="X300" i="17" s="1"/>
  <c r="Y300" i="17" s="1"/>
  <c r="X301" i="17" a="1"/>
  <c r="X301" i="17" s="1"/>
  <c r="Y301" i="17" s="1"/>
  <c r="Q301" i="17" s="1"/>
  <c r="W301" i="17" s="1"/>
  <c r="X320" i="17" a="1"/>
  <c r="X320" i="17" s="1"/>
  <c r="Y320" i="17" s="1"/>
  <c r="X321" i="17" a="1"/>
  <c r="X321" i="17" s="1"/>
  <c r="Y321" i="17" s="1"/>
  <c r="X351" i="17" a="1"/>
  <c r="X351" i="17" s="1"/>
  <c r="Y351" i="17" s="1"/>
  <c r="Q351" i="17" s="1"/>
  <c r="W351" i="17" s="1"/>
  <c r="X361" i="17" a="1"/>
  <c r="X361" i="17" s="1"/>
  <c r="Y361" i="17" s="1"/>
  <c r="X371" i="17" a="1"/>
  <c r="X371" i="17" s="1"/>
  <c r="Y371" i="17" s="1"/>
  <c r="X381" i="17" a="1"/>
  <c r="X381" i="17" s="1"/>
  <c r="Y381" i="17" s="1"/>
  <c r="X391" i="17" a="1"/>
  <c r="X391" i="17" s="1"/>
  <c r="Y391" i="17" s="1"/>
  <c r="X401" i="17" a="1"/>
  <c r="X401" i="17" s="1"/>
  <c r="Y401" i="17" s="1"/>
  <c r="X411" i="17" a="1"/>
  <c r="X411" i="17" s="1"/>
  <c r="Y411" i="17" s="1"/>
  <c r="X421" i="17" a="1"/>
  <c r="X421" i="17" s="1"/>
  <c r="Y421" i="17" s="1"/>
  <c r="X431" i="17" a="1"/>
  <c r="X431" i="17" s="1"/>
  <c r="Y431" i="17" s="1"/>
  <c r="Q431" i="17" s="1"/>
  <c r="W431" i="17" s="1"/>
  <c r="X441" i="17" a="1"/>
  <c r="X441" i="17" s="1"/>
  <c r="Y441" i="17" s="1"/>
  <c r="Q441" i="17" s="1"/>
  <c r="W441" i="17" s="1"/>
  <c r="X451" i="17" a="1"/>
  <c r="X451" i="17" s="1"/>
  <c r="Y451" i="17" s="1"/>
  <c r="X506" i="17" a="1"/>
  <c r="X506" i="17" s="1"/>
  <c r="Y506" i="17" s="1"/>
  <c r="X507" i="17" a="1"/>
  <c r="X507" i="17" s="1"/>
  <c r="Y507" i="17" s="1"/>
  <c r="X508" i="17" a="1"/>
  <c r="X508" i="17" s="1"/>
  <c r="Y508" i="17" s="1"/>
  <c r="X509" i="17" a="1"/>
  <c r="X509" i="17" s="1"/>
  <c r="Y509" i="17" s="1"/>
  <c r="X510" i="17" a="1"/>
  <c r="X510" i="17" s="1"/>
  <c r="Y510" i="17" s="1"/>
  <c r="X511" i="17" a="1"/>
  <c r="X511" i="17" s="1"/>
  <c r="Y511" i="17" s="1"/>
  <c r="Q511" i="17" s="1"/>
  <c r="W511" i="17" s="1"/>
  <c r="X340" i="17" a="1"/>
  <c r="X340" i="17" s="1"/>
  <c r="Y340" i="17" s="1"/>
  <c r="X341" i="17" a="1"/>
  <c r="X341" i="17" s="1"/>
  <c r="Y341" i="17" s="1"/>
  <c r="Y2" i="17"/>
  <c r="Q2" i="17" s="1"/>
  <c r="W2" i="17" s="1"/>
  <c r="Y12" i="17"/>
  <c r="Q12" i="17" s="1"/>
  <c r="W12" i="17" s="1"/>
  <c r="Y22" i="17"/>
  <c r="Q22" i="17" s="1"/>
  <c r="W22" i="17" s="1"/>
  <c r="Y32" i="17"/>
  <c r="Q32" i="17" s="1"/>
  <c r="W32" i="17" s="1"/>
  <c r="Y33" i="17"/>
  <c r="Q33" i="17" s="1"/>
  <c r="W33" i="17" s="1"/>
  <c r="Y34" i="17"/>
  <c r="Q34" i="17" s="1"/>
  <c r="W34" i="17" s="1"/>
  <c r="Y35" i="17"/>
  <c r="Q35" i="17" s="1"/>
  <c r="W35" i="17" s="1"/>
  <c r="Y36" i="17"/>
  <c r="Q36" i="17" s="1"/>
  <c r="W36" i="17" s="1"/>
  <c r="Y37" i="17"/>
  <c r="Q37" i="17" s="1"/>
  <c r="W37" i="17" s="1"/>
  <c r="Y92" i="17"/>
  <c r="Q92" i="17" s="1"/>
  <c r="W92" i="17" s="1"/>
  <c r="Y102" i="17"/>
  <c r="Q102" i="17" s="1"/>
  <c r="W102" i="17" s="1"/>
  <c r="Y112" i="17"/>
  <c r="Q112" i="17" s="1"/>
  <c r="W112" i="17" s="1"/>
  <c r="Y122" i="17"/>
  <c r="Q122" i="17" s="1"/>
  <c r="W122" i="17" s="1"/>
  <c r="Y123" i="17"/>
  <c r="Q123" i="17" s="1"/>
  <c r="W123" i="17" s="1"/>
  <c r="Y142" i="17"/>
  <c r="Q142" i="17" s="1"/>
  <c r="W142" i="17" s="1"/>
  <c r="Y143" i="17"/>
  <c r="Q143" i="17" s="1"/>
  <c r="W143" i="17" s="1"/>
  <c r="Y162" i="17"/>
  <c r="Q162" i="17" s="1"/>
  <c r="W162" i="17" s="1"/>
  <c r="Y163" i="17"/>
  <c r="Q163" i="17" s="1"/>
  <c r="W163" i="17" s="1"/>
  <c r="Y182" i="17"/>
  <c r="Q182" i="17" s="1"/>
  <c r="W182" i="17" s="1"/>
  <c r="Y183" i="17"/>
  <c r="Q183" i="17" s="1"/>
  <c r="W183" i="17" s="1"/>
  <c r="Y202" i="17"/>
  <c r="Q202" i="17" s="1"/>
  <c r="W202" i="17" s="1"/>
  <c r="Y203" i="17"/>
  <c r="Q203" i="17" s="1"/>
  <c r="W203" i="17" s="1"/>
  <c r="Y222" i="17"/>
  <c r="Q222" i="17" s="1"/>
  <c r="W222" i="17" s="1"/>
  <c r="Y223" i="17"/>
  <c r="Q223" i="17" s="1"/>
  <c r="W223" i="17" s="1"/>
  <c r="Y242" i="17"/>
  <c r="Q242" i="17" s="1"/>
  <c r="W242" i="17" s="1"/>
  <c r="Y243" i="17"/>
  <c r="Q243" i="17" s="1"/>
  <c r="W243" i="17" s="1"/>
  <c r="Y262" i="17"/>
  <c r="Q262" i="17" s="1"/>
  <c r="W262" i="17" s="1"/>
  <c r="Y263" i="17"/>
  <c r="Q263" i="17" s="1"/>
  <c r="W263" i="17" s="1"/>
  <c r="Y282" i="17"/>
  <c r="Q282" i="17" s="1"/>
  <c r="W282" i="17" s="1"/>
  <c r="Y283" i="17"/>
  <c r="Q283" i="17" s="1"/>
  <c r="W283" i="17" s="1"/>
  <c r="Y302" i="17"/>
  <c r="Q302" i="17" s="1"/>
  <c r="W302" i="17" s="1"/>
  <c r="Y303" i="17"/>
  <c r="Q303" i="17" s="1"/>
  <c r="W303" i="17" s="1"/>
  <c r="Y342" i="17"/>
  <c r="Q342" i="17" s="1"/>
  <c r="W342" i="17" s="1"/>
  <c r="Y352" i="17"/>
  <c r="Q352" i="17" s="1"/>
  <c r="W352" i="17" s="1"/>
  <c r="Y362" i="17"/>
  <c r="Q362" i="17" s="1"/>
  <c r="W362" i="17" s="1"/>
  <c r="Y372" i="17"/>
  <c r="Q372" i="17" s="1"/>
  <c r="W372" i="17" s="1"/>
  <c r="Y382" i="17"/>
  <c r="Q382" i="17" s="1"/>
  <c r="W382" i="17" s="1"/>
  <c r="Y392" i="17"/>
  <c r="Q392" i="17" s="1"/>
  <c r="W392" i="17" s="1"/>
  <c r="Y402" i="17"/>
  <c r="Q402" i="17" s="1"/>
  <c r="W402" i="17" s="1"/>
  <c r="Y412" i="17"/>
  <c r="Q412" i="17" s="1"/>
  <c r="W412" i="17" s="1"/>
  <c r="Y422" i="17"/>
  <c r="Q422" i="17" s="1"/>
  <c r="W422" i="17" s="1"/>
  <c r="Y432" i="17"/>
  <c r="Q432" i="17" s="1"/>
  <c r="W432" i="17" s="1"/>
  <c r="Y442" i="17"/>
  <c r="Q442" i="17" s="1"/>
  <c r="W442" i="17" s="1"/>
  <c r="Y452" i="17"/>
  <c r="Q452" i="17" s="1"/>
  <c r="W452" i="17" s="1"/>
  <c r="Y453" i="17"/>
  <c r="Q453" i="17" s="1"/>
  <c r="W453" i="17" s="1"/>
  <c r="Y454" i="17"/>
  <c r="Q454" i="17" s="1"/>
  <c r="W454" i="17" s="1"/>
  <c r="Y455" i="17"/>
  <c r="Q455" i="17" s="1"/>
  <c r="W455" i="17" s="1"/>
  <c r="Y456" i="17"/>
  <c r="Q456" i="17" s="1"/>
  <c r="W456" i="17" s="1"/>
  <c r="Y457" i="17"/>
  <c r="Q457" i="17" s="1"/>
  <c r="W457" i="17" s="1"/>
  <c r="Y322" i="17"/>
  <c r="Q322" i="17" s="1"/>
  <c r="W322" i="17" s="1"/>
  <c r="Y323" i="17"/>
  <c r="Q323" i="17" s="1"/>
  <c r="W323" i="17" s="1"/>
  <c r="Y3" i="17"/>
  <c r="Q3" i="17" s="1"/>
  <c r="W3" i="17" s="1"/>
  <c r="Y13" i="17"/>
  <c r="Q13" i="17" s="1"/>
  <c r="W13" i="17" s="1"/>
  <c r="Y23" i="17"/>
  <c r="Q23" i="17" s="1"/>
  <c r="W23" i="17" s="1"/>
  <c r="Y38" i="17"/>
  <c r="Q38" i="17" s="1"/>
  <c r="W38" i="17" s="1"/>
  <c r="Y39" i="17"/>
  <c r="Q39" i="17" s="1"/>
  <c r="W39" i="17" s="1"/>
  <c r="Y40" i="17"/>
  <c r="Q40" i="17" s="1"/>
  <c r="W40" i="17" s="1"/>
  <c r="Y41" i="17"/>
  <c r="Q41" i="17" s="1"/>
  <c r="W41" i="17" s="1"/>
  <c r="Y42" i="17"/>
  <c r="Q42" i="17" s="1"/>
  <c r="W42" i="17" s="1"/>
  <c r="Y43" i="17"/>
  <c r="Q43" i="17" s="1"/>
  <c r="W43" i="17" s="1"/>
  <c r="Y93" i="17"/>
  <c r="Q93" i="17" s="1"/>
  <c r="W93" i="17" s="1"/>
  <c r="Y103" i="17"/>
  <c r="Q103" i="17" s="1"/>
  <c r="W103" i="17" s="1"/>
  <c r="Y113" i="17"/>
  <c r="Q113" i="17" s="1"/>
  <c r="W113" i="17" s="1"/>
  <c r="Y124" i="17"/>
  <c r="Q124" i="17" s="1"/>
  <c r="W124" i="17" s="1"/>
  <c r="Y125" i="17"/>
  <c r="Q125" i="17" s="1"/>
  <c r="W125" i="17" s="1"/>
  <c r="Y144" i="17"/>
  <c r="Q144" i="17" s="1"/>
  <c r="W144" i="17" s="1"/>
  <c r="Y145" i="17"/>
  <c r="Q145" i="17" s="1"/>
  <c r="W145" i="17" s="1"/>
  <c r="Y164" i="17"/>
  <c r="Q164" i="17" s="1"/>
  <c r="W164" i="17" s="1"/>
  <c r="Y165" i="17"/>
  <c r="Q165" i="17" s="1"/>
  <c r="W165" i="17" s="1"/>
  <c r="Y184" i="17"/>
  <c r="Q184" i="17" s="1"/>
  <c r="W184" i="17" s="1"/>
  <c r="Y185" i="17"/>
  <c r="Q185" i="17" s="1"/>
  <c r="W185" i="17" s="1"/>
  <c r="Y204" i="17"/>
  <c r="Q204" i="17" s="1"/>
  <c r="W204" i="17" s="1"/>
  <c r="Y205" i="17"/>
  <c r="Q205" i="17" s="1"/>
  <c r="W205" i="17" s="1"/>
  <c r="Y224" i="17"/>
  <c r="Q224" i="17" s="1"/>
  <c r="W224" i="17" s="1"/>
  <c r="Y225" i="17"/>
  <c r="Q225" i="17" s="1"/>
  <c r="W225" i="17" s="1"/>
  <c r="Y244" i="17"/>
  <c r="Q244" i="17" s="1"/>
  <c r="W244" i="17" s="1"/>
  <c r="Y245" i="17"/>
  <c r="Q245" i="17" s="1"/>
  <c r="W245" i="17" s="1"/>
  <c r="Y264" i="17"/>
  <c r="Q264" i="17" s="1"/>
  <c r="W264" i="17" s="1"/>
  <c r="Y265" i="17"/>
  <c r="Q265" i="17" s="1"/>
  <c r="W265" i="17" s="1"/>
  <c r="Y284" i="17"/>
  <c r="Q284" i="17" s="1"/>
  <c r="W284" i="17" s="1"/>
  <c r="Y285" i="17"/>
  <c r="Q285" i="17" s="1"/>
  <c r="W285" i="17" s="1"/>
  <c r="Y304" i="17"/>
  <c r="Q304" i="17" s="1"/>
  <c r="W304" i="17" s="1"/>
  <c r="Y305" i="17"/>
  <c r="Q305" i="17" s="1"/>
  <c r="W305" i="17" s="1"/>
  <c r="Y343" i="17"/>
  <c r="Q343" i="17" s="1"/>
  <c r="W343" i="17" s="1"/>
  <c r="Y353" i="17"/>
  <c r="Q353" i="17" s="1"/>
  <c r="W353" i="17" s="1"/>
  <c r="Y363" i="17"/>
  <c r="Q363" i="17" s="1"/>
  <c r="W363" i="17" s="1"/>
  <c r="Y373" i="17"/>
  <c r="Q373" i="17" s="1"/>
  <c r="W373" i="17" s="1"/>
  <c r="Y383" i="17"/>
  <c r="Q383" i="17" s="1"/>
  <c r="W383" i="17" s="1"/>
  <c r="Y393" i="17"/>
  <c r="Q393" i="17" s="1"/>
  <c r="W393" i="17" s="1"/>
  <c r="Y403" i="17"/>
  <c r="Q403" i="17" s="1"/>
  <c r="W403" i="17" s="1"/>
  <c r="Y413" i="17"/>
  <c r="Q413" i="17" s="1"/>
  <c r="W413" i="17" s="1"/>
  <c r="Y423" i="17"/>
  <c r="Q423" i="17" s="1"/>
  <c r="W423" i="17" s="1"/>
  <c r="Y433" i="17"/>
  <c r="Q433" i="17" s="1"/>
  <c r="W433" i="17" s="1"/>
  <c r="Y443" i="17"/>
  <c r="Q443" i="17" s="1"/>
  <c r="W443" i="17" s="1"/>
  <c r="Y458" i="17"/>
  <c r="Q458" i="17" s="1"/>
  <c r="W458" i="17" s="1"/>
  <c r="Y459" i="17"/>
  <c r="Q459" i="17" s="1"/>
  <c r="W459" i="17" s="1"/>
  <c r="Y460" i="17"/>
  <c r="Q460" i="17" s="1"/>
  <c r="W460" i="17" s="1"/>
  <c r="Y461" i="17"/>
  <c r="Q461" i="17" s="1"/>
  <c r="W461" i="17" s="1"/>
  <c r="Y462" i="17"/>
  <c r="Q462" i="17" s="1"/>
  <c r="W462" i="17" s="1"/>
  <c r="Y463" i="17"/>
  <c r="Q463" i="17" s="1"/>
  <c r="W463" i="17" s="1"/>
  <c r="Y324" i="17"/>
  <c r="Q324" i="17" s="1"/>
  <c r="W324" i="17" s="1"/>
  <c r="Y325" i="17"/>
  <c r="Q325" i="17" s="1"/>
  <c r="W325" i="17" s="1"/>
  <c r="Y4" i="17"/>
  <c r="Q4" i="17" s="1"/>
  <c r="W4" i="17" s="1"/>
  <c r="Y14" i="17"/>
  <c r="Q14" i="17" s="1"/>
  <c r="W14" i="17" s="1"/>
  <c r="Y24" i="17"/>
  <c r="Q24" i="17" s="1"/>
  <c r="W24" i="17" s="1"/>
  <c r="Y44" i="17"/>
  <c r="Q44" i="17" s="1"/>
  <c r="W44" i="17" s="1"/>
  <c r="Y45" i="17"/>
  <c r="Q45" i="17" s="1"/>
  <c r="W45" i="17" s="1"/>
  <c r="Y46" i="17"/>
  <c r="Q46" i="17" s="1"/>
  <c r="W46" i="17" s="1"/>
  <c r="Y47" i="17"/>
  <c r="Q47" i="17" s="1"/>
  <c r="W47" i="17" s="1"/>
  <c r="Y48" i="17"/>
  <c r="Q48" i="17" s="1"/>
  <c r="W48" i="17" s="1"/>
  <c r="Y49" i="17"/>
  <c r="Q49" i="17" s="1"/>
  <c r="W49" i="17" s="1"/>
  <c r="Y94" i="17"/>
  <c r="Q94" i="17" s="1"/>
  <c r="W94" i="17" s="1"/>
  <c r="Y104" i="17"/>
  <c r="Q104" i="17" s="1"/>
  <c r="W104" i="17" s="1"/>
  <c r="Y114" i="17"/>
  <c r="Q114" i="17" s="1"/>
  <c r="W114" i="17" s="1"/>
  <c r="Y126" i="17"/>
  <c r="Q126" i="17" s="1"/>
  <c r="W126" i="17" s="1"/>
  <c r="Y127" i="17"/>
  <c r="Q127" i="17" s="1"/>
  <c r="W127" i="17" s="1"/>
  <c r="Y146" i="17"/>
  <c r="Q146" i="17" s="1"/>
  <c r="W146" i="17" s="1"/>
  <c r="Y147" i="17"/>
  <c r="Q147" i="17" s="1"/>
  <c r="W147" i="17" s="1"/>
  <c r="Y166" i="17"/>
  <c r="Q166" i="17" s="1"/>
  <c r="W166" i="17" s="1"/>
  <c r="Y167" i="17"/>
  <c r="Q167" i="17" s="1"/>
  <c r="W167" i="17" s="1"/>
  <c r="Y186" i="17"/>
  <c r="Q186" i="17" s="1"/>
  <c r="W186" i="17" s="1"/>
  <c r="Y187" i="17"/>
  <c r="Q187" i="17" s="1"/>
  <c r="W187" i="17" s="1"/>
  <c r="Y206" i="17"/>
  <c r="Q206" i="17" s="1"/>
  <c r="W206" i="17" s="1"/>
  <c r="Y207" i="17"/>
  <c r="Q207" i="17" s="1"/>
  <c r="W207" i="17" s="1"/>
  <c r="Y226" i="17"/>
  <c r="Q226" i="17" s="1"/>
  <c r="W226" i="17" s="1"/>
  <c r="Y227" i="17"/>
  <c r="Q227" i="17" s="1"/>
  <c r="W227" i="17" s="1"/>
  <c r="Y246" i="17"/>
  <c r="Q246" i="17" s="1"/>
  <c r="W246" i="17" s="1"/>
  <c r="Y247" i="17"/>
  <c r="Q247" i="17" s="1"/>
  <c r="W247" i="17" s="1"/>
  <c r="Y266" i="17"/>
  <c r="Q266" i="17" s="1"/>
  <c r="W266" i="17" s="1"/>
  <c r="Y267" i="17"/>
  <c r="Q267" i="17" s="1"/>
  <c r="W267" i="17" s="1"/>
  <c r="Y286" i="17"/>
  <c r="Q286" i="17" s="1"/>
  <c r="W286" i="17" s="1"/>
  <c r="Y287" i="17"/>
  <c r="Q287" i="17" s="1"/>
  <c r="W287" i="17" s="1"/>
  <c r="Y306" i="17"/>
  <c r="Q306" i="17" s="1"/>
  <c r="W306" i="17" s="1"/>
  <c r="Y307" i="17"/>
  <c r="Q307" i="17" s="1"/>
  <c r="W307" i="17" s="1"/>
  <c r="Y344" i="17"/>
  <c r="Q344" i="17" s="1"/>
  <c r="W344" i="17" s="1"/>
  <c r="Y354" i="17"/>
  <c r="Q354" i="17" s="1"/>
  <c r="W354" i="17" s="1"/>
  <c r="Y364" i="17"/>
  <c r="Q364" i="17" s="1"/>
  <c r="W364" i="17" s="1"/>
  <c r="Y374" i="17"/>
  <c r="Q374" i="17" s="1"/>
  <c r="W374" i="17" s="1"/>
  <c r="Y384" i="17"/>
  <c r="Q384" i="17" s="1"/>
  <c r="W384" i="17" s="1"/>
  <c r="Y394" i="17"/>
  <c r="Q394" i="17" s="1"/>
  <c r="W394" i="17" s="1"/>
  <c r="Y404" i="17"/>
  <c r="Q404" i="17" s="1"/>
  <c r="W404" i="17" s="1"/>
  <c r="Y414" i="17"/>
  <c r="Q414" i="17" s="1"/>
  <c r="W414" i="17" s="1"/>
  <c r="Y424" i="17"/>
  <c r="Q424" i="17" s="1"/>
  <c r="W424" i="17" s="1"/>
  <c r="Y434" i="17"/>
  <c r="Q434" i="17" s="1"/>
  <c r="W434" i="17" s="1"/>
  <c r="Y444" i="17"/>
  <c r="Q444" i="17" s="1"/>
  <c r="W444" i="17" s="1"/>
  <c r="Y464" i="17"/>
  <c r="Q464" i="17" s="1"/>
  <c r="W464" i="17" s="1"/>
  <c r="Y465" i="17"/>
  <c r="Q465" i="17" s="1"/>
  <c r="W465" i="17" s="1"/>
  <c r="Y466" i="17"/>
  <c r="Q466" i="17" s="1"/>
  <c r="W466" i="17" s="1"/>
  <c r="Y467" i="17"/>
  <c r="Q467" i="17" s="1"/>
  <c r="W467" i="17" s="1"/>
  <c r="Y468" i="17"/>
  <c r="Q468" i="17" s="1"/>
  <c r="W468" i="17" s="1"/>
  <c r="Y469" i="17"/>
  <c r="Q469" i="17" s="1"/>
  <c r="W469" i="17" s="1"/>
  <c r="Y326" i="17"/>
  <c r="Q326" i="17" s="1"/>
  <c r="W326" i="17" s="1"/>
  <c r="Y327" i="17"/>
  <c r="Q327" i="17" s="1"/>
  <c r="W327" i="17" s="1"/>
  <c r="Y5" i="17"/>
  <c r="Q5" i="17" s="1"/>
  <c r="W5" i="17" s="1"/>
  <c r="Y15" i="17"/>
  <c r="Q15" i="17" s="1"/>
  <c r="W15" i="17" s="1"/>
  <c r="Y25" i="17"/>
  <c r="Q25" i="17" s="1"/>
  <c r="W25" i="17" s="1"/>
  <c r="Y50" i="17"/>
  <c r="Q50" i="17" s="1"/>
  <c r="W50" i="17" s="1"/>
  <c r="Y51" i="17"/>
  <c r="Q51" i="17" s="1"/>
  <c r="W51" i="17" s="1"/>
  <c r="Y52" i="17"/>
  <c r="Q52" i="17" s="1"/>
  <c r="W52" i="17" s="1"/>
  <c r="Y53" i="17"/>
  <c r="Q53" i="17" s="1"/>
  <c r="W53" i="17" s="1"/>
  <c r="Y54" i="17"/>
  <c r="Q54" i="17" s="1"/>
  <c r="W54" i="17" s="1"/>
  <c r="Y55" i="17"/>
  <c r="Q55" i="17" s="1"/>
  <c r="W55" i="17" s="1"/>
  <c r="Y95" i="17"/>
  <c r="Q95" i="17" s="1"/>
  <c r="W95" i="17" s="1"/>
  <c r="Y105" i="17"/>
  <c r="Q105" i="17" s="1"/>
  <c r="W105" i="17" s="1"/>
  <c r="Y115" i="17"/>
  <c r="Q115" i="17" s="1"/>
  <c r="W115" i="17" s="1"/>
  <c r="Y128" i="17"/>
  <c r="Q128" i="17" s="1"/>
  <c r="W128" i="17" s="1"/>
  <c r="Y129" i="17"/>
  <c r="Q129" i="17" s="1"/>
  <c r="W129" i="17" s="1"/>
  <c r="Y148" i="17"/>
  <c r="Q148" i="17" s="1"/>
  <c r="W148" i="17" s="1"/>
  <c r="Y149" i="17"/>
  <c r="Q149" i="17" s="1"/>
  <c r="W149" i="17" s="1"/>
  <c r="Y168" i="17"/>
  <c r="Q168" i="17" s="1"/>
  <c r="W168" i="17" s="1"/>
  <c r="Y169" i="17"/>
  <c r="Q169" i="17" s="1"/>
  <c r="W169" i="17" s="1"/>
  <c r="Y188" i="17"/>
  <c r="Q188" i="17" s="1"/>
  <c r="W188" i="17" s="1"/>
  <c r="Y189" i="17"/>
  <c r="Q189" i="17" s="1"/>
  <c r="W189" i="17" s="1"/>
  <c r="Y208" i="17"/>
  <c r="Q208" i="17" s="1"/>
  <c r="W208" i="17" s="1"/>
  <c r="Y209" i="17"/>
  <c r="Y228" i="17"/>
  <c r="Q228" i="17" s="1"/>
  <c r="W228" i="17" s="1"/>
  <c r="Y229" i="17"/>
  <c r="Q229" i="17" s="1"/>
  <c r="W229" i="17" s="1"/>
  <c r="Y248" i="17"/>
  <c r="Q248" i="17" s="1"/>
  <c r="W248" i="17" s="1"/>
  <c r="Y249" i="17"/>
  <c r="Q249" i="17" s="1"/>
  <c r="W249" i="17" s="1"/>
  <c r="Y268" i="17"/>
  <c r="Q268" i="17" s="1"/>
  <c r="W268" i="17" s="1"/>
  <c r="Y269" i="17"/>
  <c r="Y288" i="17"/>
  <c r="Q288" i="17" s="1"/>
  <c r="W288" i="17" s="1"/>
  <c r="Y289" i="17"/>
  <c r="Y308" i="17"/>
  <c r="Q308" i="17" s="1"/>
  <c r="W308" i="17" s="1"/>
  <c r="Y309" i="17"/>
  <c r="Q309" i="17" s="1"/>
  <c r="W309" i="17" s="1"/>
  <c r="Y345" i="17"/>
  <c r="Y355" i="17"/>
  <c r="Y365" i="17"/>
  <c r="Y375" i="17"/>
  <c r="Q375" i="17" s="1"/>
  <c r="W375" i="17" s="1"/>
  <c r="Y385" i="17"/>
  <c r="Y395" i="17"/>
  <c r="Q395" i="17" s="1"/>
  <c r="W395" i="17" s="1"/>
  <c r="Y405" i="17"/>
  <c r="Y415" i="17"/>
  <c r="Y425" i="17"/>
  <c r="Y435" i="17"/>
  <c r="Q435" i="17" s="1"/>
  <c r="W435" i="17" s="1"/>
  <c r="Y445" i="17"/>
  <c r="Y471" i="17"/>
  <c r="Q471" i="17" s="1"/>
  <c r="W471" i="17" s="1"/>
  <c r="Y473" i="17"/>
  <c r="Q473" i="17" s="1"/>
  <c r="W473" i="17" s="1"/>
  <c r="Y475" i="17"/>
  <c r="Q475" i="17" s="1"/>
  <c r="W475" i="17" s="1"/>
  <c r="Y329" i="17"/>
  <c r="Y16" i="17"/>
  <c r="Q16" i="17" s="1"/>
  <c r="W16" i="17" s="1"/>
  <c r="Y56" i="17"/>
  <c r="Q56" i="17" s="1"/>
  <c r="W56" i="17" s="1"/>
  <c r="Y58" i="17"/>
  <c r="Q58" i="17" s="1"/>
  <c r="W58" i="17" s="1"/>
  <c r="Y60" i="17"/>
  <c r="Q60" i="17" s="1"/>
  <c r="W60" i="17" s="1"/>
  <c r="Y61" i="17"/>
  <c r="Q61" i="17" s="1"/>
  <c r="W61" i="17" s="1"/>
  <c r="Y96" i="17"/>
  <c r="Q96" i="17" s="1"/>
  <c r="W96" i="17" s="1"/>
  <c r="Y116" i="17"/>
  <c r="Q116" i="17" s="1"/>
  <c r="W116" i="17" s="1"/>
  <c r="Y131" i="17"/>
  <c r="Q131" i="17" s="1"/>
  <c r="W131" i="17" s="1"/>
  <c r="Y151" i="17"/>
  <c r="Q151" i="17" s="1"/>
  <c r="W151" i="17" s="1"/>
  <c r="Y171" i="17"/>
  <c r="Q171" i="17" s="1"/>
  <c r="W171" i="17" s="1"/>
  <c r="Y191" i="17"/>
  <c r="Q191" i="17" s="1"/>
  <c r="W191" i="17" s="1"/>
  <c r="Y211" i="17"/>
  <c r="Q211" i="17" s="1"/>
  <c r="W211" i="17" s="1"/>
  <c r="Y231" i="17"/>
  <c r="Q231" i="17" s="1"/>
  <c r="W231" i="17" s="1"/>
  <c r="Y251" i="17"/>
  <c r="Q251" i="17" s="1"/>
  <c r="W251" i="17" s="1"/>
  <c r="Y271" i="17"/>
  <c r="Q271" i="17" s="1"/>
  <c r="W271" i="17" s="1"/>
  <c r="Y291" i="17"/>
  <c r="Y311" i="17"/>
  <c r="Q311" i="17" s="1"/>
  <c r="W311" i="17" s="1"/>
  <c r="Y356" i="17"/>
  <c r="Y376" i="17"/>
  <c r="Y396" i="17"/>
  <c r="Y416" i="17"/>
  <c r="Q416" i="17" s="1"/>
  <c r="W416" i="17" s="1"/>
  <c r="Y436" i="17"/>
  <c r="Y476" i="17"/>
  <c r="Y478" i="17"/>
  <c r="Q478" i="17" s="1"/>
  <c r="W478" i="17" s="1"/>
  <c r="Y479" i="17"/>
  <c r="Q479" i="17" s="1"/>
  <c r="W479" i="17" s="1"/>
  <c r="Y480" i="17"/>
  <c r="Q480" i="17" s="1"/>
  <c r="W480" i="17" s="1"/>
  <c r="Y330" i="17"/>
  <c r="Y7" i="17"/>
  <c r="Q7" i="17" s="1"/>
  <c r="W7" i="17" s="1"/>
  <c r="Y63" i="17"/>
  <c r="Y64" i="17"/>
  <c r="Q64" i="17" s="1"/>
  <c r="W64" i="17" s="1"/>
  <c r="Y65" i="17"/>
  <c r="Y67" i="17"/>
  <c r="Q67" i="17" s="1"/>
  <c r="W67" i="17" s="1"/>
  <c r="Y107" i="17"/>
  <c r="Y132" i="17"/>
  <c r="Q132" i="17" s="1"/>
  <c r="W132" i="17" s="1"/>
  <c r="Y152" i="17"/>
  <c r="Q152" i="17" s="1"/>
  <c r="W152" i="17" s="1"/>
  <c r="Y172" i="17"/>
  <c r="Q172" i="17" s="1"/>
  <c r="W172" i="17" s="1"/>
  <c r="Y192" i="17"/>
  <c r="Q192" i="17" s="1"/>
  <c r="W192" i="17" s="1"/>
  <c r="Y232" i="17"/>
  <c r="Q232" i="17" s="1"/>
  <c r="W232" i="17" s="1"/>
  <c r="Y252" i="17"/>
  <c r="Q252" i="17" s="1"/>
  <c r="W252" i="17" s="1"/>
  <c r="Y272" i="17"/>
  <c r="Q272" i="17" s="1"/>
  <c r="W272" i="17" s="1"/>
  <c r="Y292" i="17"/>
  <c r="Q292" i="17" s="1"/>
  <c r="W292" i="17" s="1"/>
  <c r="Y312" i="17"/>
  <c r="Q312" i="17" s="1"/>
  <c r="W312" i="17" s="1"/>
  <c r="Y347" i="17"/>
  <c r="Q347" i="17" s="1"/>
  <c r="W347" i="17" s="1"/>
  <c r="Y387" i="17"/>
  <c r="Q387" i="17" s="1"/>
  <c r="W387" i="17" s="1"/>
  <c r="Y427" i="17"/>
  <c r="Y447" i="17"/>
  <c r="Q447" i="17" s="1"/>
  <c r="W447" i="17" s="1"/>
  <c r="Y483" i="17"/>
  <c r="G2" i="16"/>
  <c r="N839" i="20" l="1"/>
  <c r="N855" i="20"/>
  <c r="N851" i="20"/>
  <c r="N835" i="20"/>
  <c r="N847" i="20"/>
  <c r="N859" i="20"/>
  <c r="N843" i="20"/>
  <c r="K81" i="20" a="1"/>
  <c r="K81" i="20" s="1"/>
  <c r="K73" i="20" a="1"/>
  <c r="K73" i="20" s="1"/>
  <c r="K65" i="20" a="1"/>
  <c r="K65" i="20" s="1"/>
  <c r="K57" i="20" a="1"/>
  <c r="K57" i="20" s="1"/>
  <c r="K49" i="20" a="1"/>
  <c r="K49" i="20" s="1"/>
  <c r="K75" i="20" a="1"/>
  <c r="K75" i="20" s="1"/>
  <c r="K67" i="20" a="1"/>
  <c r="K67" i="20" s="1"/>
  <c r="K76" i="20" a="1"/>
  <c r="K76" i="20" s="1"/>
  <c r="K21" i="20" a="1"/>
  <c r="K21" i="20" s="1"/>
  <c r="K103" i="20" a="1"/>
  <c r="K103" i="20" s="1"/>
  <c r="K100" i="20" a="1"/>
  <c r="K100" i="20" s="1"/>
  <c r="K86" i="20" a="1"/>
  <c r="K86" i="20" s="1"/>
  <c r="K82" i="20" a="1"/>
  <c r="K82" i="20" s="1"/>
  <c r="K72" i="20" a="1"/>
  <c r="K72" i="20" s="1"/>
  <c r="K56" i="20" a="1"/>
  <c r="K56" i="20" s="1"/>
  <c r="K42" i="20" a="1"/>
  <c r="K42" i="20" s="1"/>
  <c r="K112" i="20" a="1"/>
  <c r="K112" i="20" s="1"/>
  <c r="K106" i="20" a="1"/>
  <c r="K106" i="20" s="1"/>
  <c r="K102" i="20" a="1"/>
  <c r="K102" i="20" s="1"/>
  <c r="K99" i="20" a="1"/>
  <c r="K99" i="20" s="1"/>
  <c r="K96" i="20" a="1"/>
  <c r="K96" i="20" s="1"/>
  <c r="K90" i="20" a="1"/>
  <c r="K90" i="20" s="1"/>
  <c r="K85" i="20" a="1"/>
  <c r="K85" i="20" s="1"/>
  <c r="K80" i="20" a="1"/>
  <c r="K80" i="20" s="1"/>
  <c r="K69" i="20" a="1"/>
  <c r="K69" i="20" s="1"/>
  <c r="K53" i="20" a="1"/>
  <c r="K53" i="20" s="1"/>
  <c r="K39" i="20" a="1"/>
  <c r="K39" i="20" s="1"/>
  <c r="K78" i="20" a="1"/>
  <c r="K78" i="20" s="1"/>
  <c r="K59" i="20" a="1"/>
  <c r="K59" i="20" s="1"/>
  <c r="K41" i="20" a="1"/>
  <c r="K41" i="20" s="1"/>
  <c r="K33" i="20" a="1"/>
  <c r="K33" i="20" s="1"/>
  <c r="K25" i="20" a="1"/>
  <c r="K25" i="20" s="1"/>
  <c r="K17" i="20" a="1"/>
  <c r="K17" i="20" s="1"/>
  <c r="K9" i="20" a="1"/>
  <c r="K9" i="20" s="1"/>
  <c r="K2" i="20" a="1"/>
  <c r="K2" i="20" s="1"/>
  <c r="K3" i="20" a="1"/>
  <c r="K3" i="20" s="1"/>
  <c r="K8" i="20" a="1"/>
  <c r="K8" i="20" s="1"/>
  <c r="K11" i="20" a="1"/>
  <c r="K11" i="20" s="1"/>
  <c r="K16" i="20" a="1"/>
  <c r="K16" i="20" s="1"/>
  <c r="K19" i="20" a="1"/>
  <c r="K19" i="20" s="1"/>
  <c r="K24" i="20" a="1"/>
  <c r="K24" i="20" s="1"/>
  <c r="K27" i="20" a="1"/>
  <c r="K27" i="20" s="1"/>
  <c r="K32" i="20" a="1"/>
  <c r="K32" i="20" s="1"/>
  <c r="K6" i="20" a="1"/>
  <c r="K6" i="20" s="1"/>
  <c r="K14" i="20" a="1"/>
  <c r="K14" i="20" s="1"/>
  <c r="K22" i="20" a="1"/>
  <c r="K22" i="20" s="1"/>
  <c r="K30" i="20" a="1"/>
  <c r="K30" i="20" s="1"/>
  <c r="K38" i="20" a="1"/>
  <c r="K38" i="20" s="1"/>
  <c r="K4" i="20" a="1"/>
  <c r="K4" i="20" s="1"/>
  <c r="K7" i="20" a="1"/>
  <c r="K7" i="20" s="1"/>
  <c r="K12" i="20" a="1"/>
  <c r="K12" i="20" s="1"/>
  <c r="K15" i="20" a="1"/>
  <c r="K15" i="20" s="1"/>
  <c r="K20" i="20" a="1"/>
  <c r="K20" i="20" s="1"/>
  <c r="K23" i="20" a="1"/>
  <c r="K23" i="20" s="1"/>
  <c r="K28" i="20" a="1"/>
  <c r="K28" i="20" s="1"/>
  <c r="K31" i="20" a="1"/>
  <c r="K31" i="20" s="1"/>
  <c r="K79" i="20" a="1"/>
  <c r="K79" i="20" s="1"/>
  <c r="K74" i="20" a="1"/>
  <c r="K74" i="20" s="1"/>
  <c r="K71" i="20" a="1"/>
  <c r="K71" i="20" s="1"/>
  <c r="K66" i="20" a="1"/>
  <c r="K66" i="20" s="1"/>
  <c r="K63" i="20" a="1"/>
  <c r="K63" i="20" s="1"/>
  <c r="K58" i="20" a="1"/>
  <c r="K58" i="20" s="1"/>
  <c r="K55" i="20" a="1"/>
  <c r="K55" i="20" s="1"/>
  <c r="K50" i="20" a="1"/>
  <c r="K50" i="20" s="1"/>
  <c r="K47" i="20" a="1"/>
  <c r="K47" i="20" s="1"/>
  <c r="K34" i="20" a="1"/>
  <c r="K34" i="20" s="1"/>
  <c r="K26" i="20" a="1"/>
  <c r="K26" i="20" s="1"/>
  <c r="K5" i="20" a="1"/>
  <c r="K5" i="20" s="1"/>
  <c r="K89" i="20" a="1"/>
  <c r="K89" i="20" s="1"/>
  <c r="K84" i="20" a="1"/>
  <c r="K84" i="20" s="1"/>
  <c r="K68" i="20" a="1"/>
  <c r="K68" i="20" s="1"/>
  <c r="K60" i="20" a="1"/>
  <c r="K60" i="20" s="1"/>
  <c r="K52" i="20" a="1"/>
  <c r="K52" i="20" s="1"/>
  <c r="K44" i="20" a="1"/>
  <c r="K44" i="20" s="1"/>
  <c r="K40" i="20" a="1"/>
  <c r="K40" i="20" s="1"/>
  <c r="K37" i="20" a="1"/>
  <c r="K37" i="20" s="1"/>
  <c r="K13" i="20" a="1"/>
  <c r="K13" i="20" s="1"/>
  <c r="K70" i="20" a="1"/>
  <c r="K70" i="20" s="1"/>
  <c r="K62" i="20" a="1"/>
  <c r="K62" i="20" s="1"/>
  <c r="K54" i="20" a="1"/>
  <c r="K54" i="20" s="1"/>
  <c r="K51" i="20" a="1"/>
  <c r="K51" i="20" s="1"/>
  <c r="K46" i="20" a="1"/>
  <c r="K46" i="20" s="1"/>
  <c r="K43" i="20" a="1"/>
  <c r="K43" i="20" s="1"/>
  <c r="K36" i="20" a="1"/>
  <c r="K36" i="20" s="1"/>
  <c r="K10" i="20" a="1"/>
  <c r="K10" i="20" s="1"/>
  <c r="M68" i="19"/>
  <c r="M49" i="19"/>
  <c r="M65" i="19"/>
  <c r="M21" i="19"/>
  <c r="M43" i="19"/>
  <c r="M39" i="19"/>
  <c r="M35" i="19"/>
  <c r="M52" i="19"/>
  <c r="M42" i="19"/>
  <c r="M38" i="19"/>
  <c r="M28" i="19"/>
  <c r="M24" i="19"/>
  <c r="M20" i="19"/>
  <c r="M62" i="19"/>
  <c r="M48" i="19"/>
  <c r="M34" i="19"/>
  <c r="J8" i="19" a="1"/>
  <c r="J8" i="19" s="1"/>
  <c r="M32" i="19"/>
  <c r="M9" i="19"/>
  <c r="M58" i="19"/>
  <c r="M54" i="19"/>
  <c r="M40" i="19"/>
  <c r="J6" i="19" a="1"/>
  <c r="J6" i="19" s="1"/>
  <c r="M70" i="19"/>
  <c r="M64" i="19"/>
  <c r="M50" i="19"/>
  <c r="M30" i="19"/>
  <c r="M11" i="19"/>
  <c r="M5" i="19"/>
  <c r="M71" i="19"/>
  <c r="M27" i="19"/>
  <c r="M23" i="19"/>
  <c r="M46" i="19"/>
  <c r="J11" i="19" a="1"/>
  <c r="J11" i="19" s="1"/>
  <c r="M14" i="19"/>
  <c r="M47" i="19"/>
  <c r="M22" i="19"/>
  <c r="M36" i="19"/>
  <c r="M44" i="19"/>
  <c r="M31" i="19"/>
  <c r="M12" i="19"/>
  <c r="M8" i="19"/>
  <c r="J3" i="19" a="1"/>
  <c r="J3" i="19" s="1"/>
  <c r="J5" i="19" a="1"/>
  <c r="J5" i="19" s="1"/>
  <c r="J7" i="19" a="1"/>
  <c r="J7" i="19" s="1"/>
  <c r="J2" i="19" a="1"/>
  <c r="J2" i="19" s="1"/>
  <c r="R738" i="18"/>
  <c r="U738" i="18" s="1"/>
  <c r="R786" i="18"/>
  <c r="U786" i="18" s="1"/>
  <c r="R690" i="18"/>
  <c r="U690" i="18" s="1"/>
  <c r="R770" i="18"/>
  <c r="U770" i="18" s="1"/>
  <c r="R722" i="18"/>
  <c r="U722" i="18" s="1"/>
  <c r="R718" i="18"/>
  <c r="U718" i="18" s="1"/>
  <c r="R834" i="18"/>
  <c r="U834" i="18" s="1"/>
  <c r="R802" i="18"/>
  <c r="U802" i="18" s="1"/>
  <c r="R754" i="18"/>
  <c r="U754" i="18" s="1"/>
  <c r="R838" i="18"/>
  <c r="U838" i="18" s="1"/>
  <c r="R822" i="18"/>
  <c r="U822" i="18" s="1"/>
  <c r="R806" i="18"/>
  <c r="U806" i="18" s="1"/>
  <c r="R790" i="18"/>
  <c r="U790" i="18" s="1"/>
  <c r="R774" i="18"/>
  <c r="U774" i="18" s="1"/>
  <c r="R758" i="18"/>
  <c r="U758" i="18" s="1"/>
  <c r="R742" i="18"/>
  <c r="U742" i="18" s="1"/>
  <c r="R830" i="18"/>
  <c r="U830" i="18" s="1"/>
  <c r="R814" i="18"/>
  <c r="U814" i="18" s="1"/>
  <c r="R798" i="18"/>
  <c r="U798" i="18" s="1"/>
  <c r="R782" i="18"/>
  <c r="U782" i="18" s="1"/>
  <c r="R766" i="18"/>
  <c r="U766" i="18" s="1"/>
  <c r="R750" i="18"/>
  <c r="U750" i="18" s="1"/>
  <c r="R734" i="18"/>
  <c r="U734" i="18" s="1"/>
  <c r="R842" i="18"/>
  <c r="U842" i="18" s="1"/>
  <c r="R826" i="18"/>
  <c r="U826" i="18" s="1"/>
  <c r="R810" i="18"/>
  <c r="U810" i="18" s="1"/>
  <c r="R794" i="18"/>
  <c r="U794" i="18" s="1"/>
  <c r="R778" i="18"/>
  <c r="U778" i="18" s="1"/>
  <c r="R762" i="18"/>
  <c r="U762" i="18" s="1"/>
  <c r="R746" i="18"/>
  <c r="U746" i="18" s="1"/>
  <c r="R730" i="18"/>
  <c r="U730" i="18" s="1"/>
  <c r="R706" i="18"/>
  <c r="U706" i="18" s="1"/>
  <c r="R702" i="18"/>
  <c r="U702" i="18" s="1"/>
  <c r="R674" i="18"/>
  <c r="U674" i="18" s="1"/>
  <c r="O113" i="18" a="1"/>
  <c r="O113" i="18" s="1"/>
  <c r="O109" i="18" a="1"/>
  <c r="O109" i="18" s="1"/>
  <c r="O105" i="18" a="1"/>
  <c r="O105" i="18" s="1"/>
  <c r="O101" i="18" a="1"/>
  <c r="O101" i="18" s="1"/>
  <c r="O97" i="18" a="1"/>
  <c r="O97" i="18" s="1"/>
  <c r="O93" i="18" a="1"/>
  <c r="O93" i="18" s="1"/>
  <c r="O89" i="18" a="1"/>
  <c r="O89" i="18" s="1"/>
  <c r="O85" i="18" a="1"/>
  <c r="O85" i="18" s="1"/>
  <c r="O81" i="18" a="1"/>
  <c r="O81" i="18" s="1"/>
  <c r="O77" i="18" a="1"/>
  <c r="O77" i="18" s="1"/>
  <c r="O73" i="18" a="1"/>
  <c r="O73" i="18" s="1"/>
  <c r="O69" i="18" a="1"/>
  <c r="O69" i="18" s="1"/>
  <c r="O65" i="18" a="1"/>
  <c r="O65" i="18" s="1"/>
  <c r="O61" i="18" a="1"/>
  <c r="O61" i="18" s="1"/>
  <c r="O57" i="18" a="1"/>
  <c r="O57" i="18" s="1"/>
  <c r="O53" i="18" a="1"/>
  <c r="O53" i="18" s="1"/>
  <c r="O79" i="18" a="1"/>
  <c r="O79" i="18" s="1"/>
  <c r="O37" i="18" a="1"/>
  <c r="O37" i="18" s="1"/>
  <c r="O67" i="18" a="1"/>
  <c r="O67" i="18" s="1"/>
  <c r="R686" i="18"/>
  <c r="U686" i="18" s="1"/>
  <c r="R670" i="18"/>
  <c r="U670" i="18" s="1"/>
  <c r="O152" i="18" a="1"/>
  <c r="O152" i="18" s="1"/>
  <c r="O148" i="18" a="1"/>
  <c r="O148" i="18" s="1"/>
  <c r="O144" i="18" a="1"/>
  <c r="O144" i="18" s="1"/>
  <c r="O140" i="18" a="1"/>
  <c r="O140" i="18" s="1"/>
  <c r="O136" i="18" a="1"/>
  <c r="O136" i="18" s="1"/>
  <c r="O132" i="18" a="1"/>
  <c r="O132" i="18" s="1"/>
  <c r="O128" i="18" a="1"/>
  <c r="O128" i="18" s="1"/>
  <c r="O124" i="18" a="1"/>
  <c r="O124" i="18" s="1"/>
  <c r="O120" i="18" a="1"/>
  <c r="O120" i="18" s="1"/>
  <c r="O115" i="18" a="1"/>
  <c r="O115" i="18" s="1"/>
  <c r="O110" i="18" a="1"/>
  <c r="O110" i="18" s="1"/>
  <c r="O104" i="18" a="1"/>
  <c r="O104" i="18" s="1"/>
  <c r="O99" i="18" a="1"/>
  <c r="O99" i="18" s="1"/>
  <c r="O94" i="18" a="1"/>
  <c r="O94" i="18" s="1"/>
  <c r="O88" i="18" a="1"/>
  <c r="O88" i="18" s="1"/>
  <c r="O83" i="18" a="1"/>
  <c r="O83" i="18" s="1"/>
  <c r="O70" i="18" a="1"/>
  <c r="O70" i="18" s="1"/>
  <c r="O54" i="18" a="1"/>
  <c r="O54" i="18" s="1"/>
  <c r="O13" i="18" a="1"/>
  <c r="O13" i="18" s="1"/>
  <c r="R714" i="18"/>
  <c r="U714" i="18" s="1"/>
  <c r="R698" i="18"/>
  <c r="U698" i="18" s="1"/>
  <c r="R682" i="18"/>
  <c r="U682" i="18" s="1"/>
  <c r="R666" i="18"/>
  <c r="U666" i="18" s="1"/>
  <c r="O155" i="18" a="1"/>
  <c r="O155" i="18" s="1"/>
  <c r="O151" i="18" a="1"/>
  <c r="O151" i="18" s="1"/>
  <c r="O147" i="18" a="1"/>
  <c r="O147" i="18" s="1"/>
  <c r="O143" i="18" a="1"/>
  <c r="O143" i="18" s="1"/>
  <c r="O139" i="18" a="1"/>
  <c r="O139" i="18" s="1"/>
  <c r="O135" i="18" a="1"/>
  <c r="O135" i="18" s="1"/>
  <c r="O131" i="18" a="1"/>
  <c r="O131" i="18" s="1"/>
  <c r="O127" i="18" a="1"/>
  <c r="O127" i="18" s="1"/>
  <c r="O123" i="18" a="1"/>
  <c r="O123" i="18" s="1"/>
  <c r="O119" i="18" a="1"/>
  <c r="O119" i="18" s="1"/>
  <c r="O114" i="18" a="1"/>
  <c r="O114" i="18" s="1"/>
  <c r="O108" i="18" a="1"/>
  <c r="O108" i="18" s="1"/>
  <c r="O103" i="18" a="1"/>
  <c r="O103" i="18" s="1"/>
  <c r="O98" i="18" a="1"/>
  <c r="O98" i="18" s="1"/>
  <c r="O92" i="18" a="1"/>
  <c r="O92" i="18" s="1"/>
  <c r="O87" i="18" a="1"/>
  <c r="O87" i="18" s="1"/>
  <c r="O82" i="18" a="1"/>
  <c r="O82" i="18" s="1"/>
  <c r="O66" i="18" a="1"/>
  <c r="O66" i="18" s="1"/>
  <c r="O50" i="18" a="1"/>
  <c r="O50" i="18" s="1"/>
  <c r="R726" i="18"/>
  <c r="U726" i="18" s="1"/>
  <c r="R710" i="18"/>
  <c r="U710" i="18" s="1"/>
  <c r="R694" i="18"/>
  <c r="U694" i="18" s="1"/>
  <c r="R678" i="18"/>
  <c r="U678" i="18" s="1"/>
  <c r="O150" i="18" a="1"/>
  <c r="O150" i="18" s="1"/>
  <c r="O146" i="18" a="1"/>
  <c r="O146" i="18" s="1"/>
  <c r="O142" i="18" a="1"/>
  <c r="O142" i="18" s="1"/>
  <c r="O138" i="18" a="1"/>
  <c r="O138" i="18" s="1"/>
  <c r="O134" i="18" a="1"/>
  <c r="O134" i="18" s="1"/>
  <c r="O130" i="18" a="1"/>
  <c r="O130" i="18" s="1"/>
  <c r="O126" i="18" a="1"/>
  <c r="O126" i="18" s="1"/>
  <c r="O122" i="18" a="1"/>
  <c r="O122" i="18" s="1"/>
  <c r="O118" i="18" a="1"/>
  <c r="O118" i="18" s="1"/>
  <c r="O112" i="18" a="1"/>
  <c r="O112" i="18" s="1"/>
  <c r="O107" i="18" a="1"/>
  <c r="O107" i="18" s="1"/>
  <c r="O102" i="18" a="1"/>
  <c r="O102" i="18" s="1"/>
  <c r="O96" i="18" a="1"/>
  <c r="O96" i="18" s="1"/>
  <c r="O91" i="18" a="1"/>
  <c r="O91" i="18" s="1"/>
  <c r="O86" i="18" a="1"/>
  <c r="O86" i="18" s="1"/>
  <c r="O78" i="18" a="1"/>
  <c r="O78" i="18" s="1"/>
  <c r="O63" i="18" a="1"/>
  <c r="O63" i="18" s="1"/>
  <c r="O59" i="18" a="1"/>
  <c r="O59" i="18" s="1"/>
  <c r="O45" i="18" a="1"/>
  <c r="O45" i="18" s="1"/>
  <c r="O41" i="18" a="1"/>
  <c r="O41" i="18" s="1"/>
  <c r="O33" i="18" a="1"/>
  <c r="O33" i="18" s="1"/>
  <c r="O25" i="18" a="1"/>
  <c r="O25" i="18" s="1"/>
  <c r="O17" i="18" a="1"/>
  <c r="O17" i="18" s="1"/>
  <c r="O9" i="18" a="1"/>
  <c r="O9" i="18" s="1"/>
  <c r="O3" i="18" a="1"/>
  <c r="O3" i="18" s="1"/>
  <c r="O2" i="18" a="1"/>
  <c r="O2" i="18" s="1"/>
  <c r="O6" i="18" a="1"/>
  <c r="O6" i="18" s="1"/>
  <c r="O11" i="18" a="1"/>
  <c r="O11" i="18" s="1"/>
  <c r="O14" i="18" a="1"/>
  <c r="O14" i="18" s="1"/>
  <c r="O19" i="18" a="1"/>
  <c r="O19" i="18" s="1"/>
  <c r="O22" i="18" a="1"/>
  <c r="O22" i="18" s="1"/>
  <c r="O27" i="18" a="1"/>
  <c r="O27" i="18" s="1"/>
  <c r="O30" i="18" a="1"/>
  <c r="O30" i="18" s="1"/>
  <c r="O35" i="18" a="1"/>
  <c r="O35" i="18" s="1"/>
  <c r="O38" i="18" a="1"/>
  <c r="O38" i="18" s="1"/>
  <c r="O4" i="18" a="1"/>
  <c r="O4" i="18" s="1"/>
  <c r="O12" i="18" a="1"/>
  <c r="O12" i="18" s="1"/>
  <c r="O20" i="18" a="1"/>
  <c r="O20" i="18" s="1"/>
  <c r="O28" i="18" a="1"/>
  <c r="O28" i="18" s="1"/>
  <c r="O36" i="18" a="1"/>
  <c r="O36" i="18" s="1"/>
  <c r="O43" i="18" a="1"/>
  <c r="O43" i="18" s="1"/>
  <c r="O47" i="18" a="1"/>
  <c r="O47" i="18" s="1"/>
  <c r="O7" i="18" a="1"/>
  <c r="O7" i="18" s="1"/>
  <c r="O10" i="18" a="1"/>
  <c r="O10" i="18" s="1"/>
  <c r="O15" i="18" a="1"/>
  <c r="O15" i="18" s="1"/>
  <c r="O18" i="18" a="1"/>
  <c r="O18" i="18" s="1"/>
  <c r="O23" i="18" a="1"/>
  <c r="O23" i="18" s="1"/>
  <c r="O26" i="18" a="1"/>
  <c r="O26" i="18" s="1"/>
  <c r="O31" i="18" a="1"/>
  <c r="O31" i="18" s="1"/>
  <c r="O34" i="18" a="1"/>
  <c r="O34" i="18" s="1"/>
  <c r="O39" i="18" a="1"/>
  <c r="O39" i="18" s="1"/>
  <c r="O117" i="18" a="1"/>
  <c r="O117" i="18" s="1"/>
  <c r="O49" i="18" a="1"/>
  <c r="O49" i="18" s="1"/>
  <c r="O42" i="18" a="1"/>
  <c r="O42" i="18" s="1"/>
  <c r="O32" i="18" a="1"/>
  <c r="O32" i="18" s="1"/>
  <c r="O21" i="18" a="1"/>
  <c r="O21" i="18" s="1"/>
  <c r="O80" i="18" a="1"/>
  <c r="O80" i="18" s="1"/>
  <c r="O76" i="18" a="1"/>
  <c r="O76" i="18" s="1"/>
  <c r="O72" i="18" a="1"/>
  <c r="O72" i="18" s="1"/>
  <c r="O68" i="18" a="1"/>
  <c r="O68" i="18" s="1"/>
  <c r="O64" i="18" a="1"/>
  <c r="O64" i="18" s="1"/>
  <c r="O60" i="18" a="1"/>
  <c r="O60" i="18" s="1"/>
  <c r="O56" i="18" a="1"/>
  <c r="O56" i="18" s="1"/>
  <c r="O52" i="18" a="1"/>
  <c r="O52" i="18" s="1"/>
  <c r="O48" i="18" a="1"/>
  <c r="O48" i="18" s="1"/>
  <c r="O40" i="18" a="1"/>
  <c r="O40" i="18" s="1"/>
  <c r="O29" i="18" a="1"/>
  <c r="O29" i="18" s="1"/>
  <c r="O8" i="18" a="1"/>
  <c r="O8" i="18" s="1"/>
  <c r="O75" i="18" a="1"/>
  <c r="O75" i="18" s="1"/>
  <c r="O71" i="18" a="1"/>
  <c r="O71" i="18" s="1"/>
  <c r="O55" i="18" a="1"/>
  <c r="O55" i="18" s="1"/>
  <c r="O51" i="18" a="1"/>
  <c r="O51" i="18" s="1"/>
  <c r="O46" i="18" a="1"/>
  <c r="O46" i="18" s="1"/>
  <c r="O16" i="18" a="1"/>
  <c r="O16" i="18" s="1"/>
  <c r="O5" i="18" a="1"/>
  <c r="O5" i="18" s="1"/>
  <c r="Q63" i="17"/>
  <c r="W63" i="17" s="1"/>
  <c r="Q500" i="17"/>
  <c r="W500" i="17" s="1"/>
  <c r="Q497" i="17"/>
  <c r="W497" i="17" s="1"/>
  <c r="Q18" i="17"/>
  <c r="W18" i="17" s="1"/>
  <c r="Q313" i="17"/>
  <c r="W313" i="17" s="1"/>
  <c r="Q270" i="17"/>
  <c r="W270" i="17" s="1"/>
  <c r="Q396" i="17"/>
  <c r="W396" i="17" s="1"/>
  <c r="Q507" i="17"/>
  <c r="W507" i="17" s="1"/>
  <c r="Q380" i="17"/>
  <c r="W380" i="17" s="1"/>
  <c r="Q337" i="17"/>
  <c r="W337" i="17" s="1"/>
  <c r="Q29" i="17"/>
  <c r="W29" i="17" s="1"/>
  <c r="Q98" i="17"/>
  <c r="W98" i="17" s="1"/>
  <c r="Q273" i="17"/>
  <c r="W273" i="17" s="1"/>
  <c r="Q415" i="17"/>
  <c r="W415" i="17" s="1"/>
  <c r="Q269" i="17"/>
  <c r="W269" i="17" s="1"/>
  <c r="Q281" i="17"/>
  <c r="W281" i="17" s="1"/>
  <c r="Q241" i="17"/>
  <c r="W241" i="17" s="1"/>
  <c r="Q201" i="17"/>
  <c r="W201" i="17" s="1"/>
  <c r="Q121" i="17"/>
  <c r="W121" i="17" s="1"/>
  <c r="Q278" i="17"/>
  <c r="W278" i="17" s="1"/>
  <c r="Q238" i="17"/>
  <c r="W238" i="17" s="1"/>
  <c r="Q158" i="17"/>
  <c r="W158" i="17" s="1"/>
  <c r="Q110" i="17"/>
  <c r="W110" i="17" s="1"/>
  <c r="Q83" i="17"/>
  <c r="W83" i="17" s="1"/>
  <c r="Q134" i="17"/>
  <c r="W134" i="17" s="1"/>
  <c r="Q107" i="17"/>
  <c r="W107" i="17" s="1"/>
  <c r="Q391" i="17"/>
  <c r="W391" i="17" s="1"/>
  <c r="Q11" i="17"/>
  <c r="W11" i="17" s="1"/>
  <c r="Q80" i="17"/>
  <c r="W80" i="17" s="1"/>
  <c r="Q70" i="17"/>
  <c r="W70" i="17" s="1"/>
  <c r="Q65" i="17"/>
  <c r="W65" i="17" s="1"/>
  <c r="Q376" i="17"/>
  <c r="W376" i="17" s="1"/>
  <c r="Q291" i="17"/>
  <c r="W291" i="17" s="1"/>
  <c r="Q341" i="17"/>
  <c r="W341" i="17" s="1"/>
  <c r="Q509" i="17"/>
  <c r="W509" i="17" s="1"/>
  <c r="Q451" i="17"/>
  <c r="W451" i="17" s="1"/>
  <c r="Q411" i="17"/>
  <c r="W411" i="17" s="1"/>
  <c r="Q371" i="17"/>
  <c r="W371" i="17" s="1"/>
  <c r="Q320" i="17"/>
  <c r="W320" i="17" s="1"/>
  <c r="Q31" i="17"/>
  <c r="W31" i="17" s="1"/>
  <c r="Q338" i="17"/>
  <c r="W338" i="17" s="1"/>
  <c r="Q502" i="17"/>
  <c r="W502" i="17" s="1"/>
  <c r="Q440" i="17"/>
  <c r="W440" i="17" s="1"/>
  <c r="Q400" i="17"/>
  <c r="W400" i="17" s="1"/>
  <c r="Q360" i="17"/>
  <c r="W360" i="17" s="1"/>
  <c r="Q20" i="17"/>
  <c r="W20" i="17" s="1"/>
  <c r="Q499" i="17"/>
  <c r="W499" i="17" s="1"/>
  <c r="Q389" i="17"/>
  <c r="W389" i="17" s="1"/>
  <c r="Q75" i="17"/>
  <c r="W75" i="17" s="1"/>
  <c r="Q9" i="17"/>
  <c r="W9" i="17" s="1"/>
  <c r="Q492" i="17"/>
  <c r="W492" i="17" s="1"/>
  <c r="Q275" i="17"/>
  <c r="W275" i="17" s="1"/>
  <c r="Q72" i="17"/>
  <c r="W72" i="17" s="1"/>
  <c r="Q68" i="17"/>
  <c r="W68" i="17" s="1"/>
  <c r="Q333" i="17"/>
  <c r="W333" i="17" s="1"/>
  <c r="Q293" i="17"/>
  <c r="W293" i="17" s="1"/>
  <c r="Q476" i="17"/>
  <c r="W476" i="17" s="1"/>
  <c r="Q449" i="17"/>
  <c r="W449" i="17" s="1"/>
  <c r="Q490" i="17"/>
  <c r="W490" i="17" s="1"/>
  <c r="Q295" i="17"/>
  <c r="W295" i="17" s="1"/>
  <c r="Q483" i="17"/>
  <c r="W483" i="17" s="1"/>
  <c r="Q356" i="17"/>
  <c r="W356" i="17" s="1"/>
  <c r="Q355" i="17"/>
  <c r="W355" i="17" s="1"/>
  <c r="Q261" i="17"/>
  <c r="W261" i="17" s="1"/>
  <c r="Q141" i="17"/>
  <c r="W141" i="17" s="1"/>
  <c r="Q101" i="17"/>
  <c r="W101" i="17" s="1"/>
  <c r="Q88" i="17"/>
  <c r="W88" i="17" s="1"/>
  <c r="Q258" i="17"/>
  <c r="W258" i="17" s="1"/>
  <c r="Q138" i="17"/>
  <c r="W138" i="17" s="1"/>
  <c r="Q277" i="17"/>
  <c r="W277" i="17" s="1"/>
  <c r="Q157" i="17"/>
  <c r="W157" i="17" s="1"/>
  <c r="N2" i="17" a="1"/>
  <c r="N2" i="17" s="1"/>
  <c r="N263" i="17" a="1"/>
  <c r="N263" i="17" s="1"/>
  <c r="N223" i="17" a="1"/>
  <c r="N223" i="17" s="1"/>
  <c r="N183" i="17" a="1"/>
  <c r="N183" i="17" s="1"/>
  <c r="N143" i="17" a="1"/>
  <c r="N143" i="17" s="1"/>
  <c r="N112" i="17" a="1"/>
  <c r="N112" i="17" s="1"/>
  <c r="N36" i="17" a="1"/>
  <c r="N36" i="17" s="1"/>
  <c r="N32" i="17" a="1"/>
  <c r="N32" i="17" s="1"/>
  <c r="N124" i="17" a="1"/>
  <c r="N124" i="17" s="1"/>
  <c r="N3" i="17" a="1"/>
  <c r="N3" i="17" s="1"/>
  <c r="N302" i="17" a="1"/>
  <c r="N302" i="17" s="1"/>
  <c r="N243" i="17" a="1"/>
  <c r="N243" i="17" s="1"/>
  <c r="N182" i="17" a="1"/>
  <c r="N182" i="17" s="1"/>
  <c r="N22" i="17" a="1"/>
  <c r="N22" i="17" s="1"/>
  <c r="N323" i="17" a="1"/>
  <c r="N323" i="17" s="1"/>
  <c r="N455" i="17" a="1"/>
  <c r="N455" i="17" s="1"/>
  <c r="N442" i="17" a="1"/>
  <c r="N442" i="17" s="1"/>
  <c r="N402" i="17" a="1"/>
  <c r="N402" i="17" s="1"/>
  <c r="N362" i="17" a="1"/>
  <c r="N362" i="17" s="1"/>
  <c r="N283" i="17" a="1"/>
  <c r="N283" i="17" s="1"/>
  <c r="N242" i="17" a="1"/>
  <c r="N242" i="17" s="1"/>
  <c r="N142" i="17" a="1"/>
  <c r="N142" i="17" s="1"/>
  <c r="N454" i="17" a="1"/>
  <c r="N454" i="17" s="1"/>
  <c r="N432" i="17" a="1"/>
  <c r="N432" i="17" s="1"/>
  <c r="N392" i="17" a="1"/>
  <c r="N392" i="17" s="1"/>
  <c r="N352" i="17" a="1"/>
  <c r="N352" i="17" s="1"/>
  <c r="N282" i="17" a="1"/>
  <c r="N282" i="17" s="1"/>
  <c r="N222" i="17" a="1"/>
  <c r="N222" i="17" s="1"/>
  <c r="N102" i="17" a="1"/>
  <c r="N102" i="17" s="1"/>
  <c r="Q330" i="17"/>
  <c r="W330" i="17" s="1"/>
  <c r="Q289" i="17"/>
  <c r="W289" i="17" s="1"/>
  <c r="Q209" i="17"/>
  <c r="W209" i="17" s="1"/>
  <c r="Q340" i="17"/>
  <c r="W340" i="17" s="1"/>
  <c r="Q508" i="17"/>
  <c r="W508" i="17" s="1"/>
  <c r="Q401" i="17"/>
  <c r="W401" i="17" s="1"/>
  <c r="Q361" i="17"/>
  <c r="W361" i="17" s="1"/>
  <c r="Q21" i="17"/>
  <c r="W21" i="17" s="1"/>
  <c r="Q505" i="17"/>
  <c r="W505" i="17" s="1"/>
  <c r="Q501" i="17"/>
  <c r="W501" i="17" s="1"/>
  <c r="Q430" i="17"/>
  <c r="W430" i="17" s="1"/>
  <c r="Q390" i="17"/>
  <c r="W390" i="17" s="1"/>
  <c r="Q350" i="17"/>
  <c r="W350" i="17" s="1"/>
  <c r="Q178" i="17"/>
  <c r="W178" i="17" s="1"/>
  <c r="Q85" i="17"/>
  <c r="W85" i="17" s="1"/>
  <c r="Q194" i="17"/>
  <c r="W194" i="17" s="1"/>
  <c r="Q210" i="17"/>
  <c r="W210" i="17" s="1"/>
  <c r="Q427" i="17"/>
  <c r="W427" i="17" s="1"/>
  <c r="Q329" i="17"/>
  <c r="W329" i="17" s="1"/>
  <c r="Q425" i="17"/>
  <c r="W425" i="17" s="1"/>
  <c r="Q385" i="17"/>
  <c r="W385" i="17" s="1"/>
  <c r="Q345" i="17"/>
  <c r="W345" i="17" s="1"/>
  <c r="Q300" i="17"/>
  <c r="W300" i="17" s="1"/>
  <c r="Q260" i="17"/>
  <c r="W260" i="17" s="1"/>
  <c r="Q220" i="17"/>
  <c r="W220" i="17" s="1"/>
  <c r="Q180" i="17"/>
  <c r="W180" i="17" s="1"/>
  <c r="Q140" i="17"/>
  <c r="W140" i="17" s="1"/>
  <c r="Q91" i="17"/>
  <c r="W91" i="17" s="1"/>
  <c r="Q87" i="17"/>
  <c r="W87" i="17" s="1"/>
  <c r="Q279" i="17"/>
  <c r="W279" i="17" s="1"/>
  <c r="Q239" i="17"/>
  <c r="W239" i="17" s="1"/>
  <c r="Q199" i="17"/>
  <c r="W199" i="17" s="1"/>
  <c r="Q409" i="17"/>
  <c r="W409" i="17" s="1"/>
  <c r="Q316" i="17"/>
  <c r="W316" i="17" s="1"/>
  <c r="Q276" i="17"/>
  <c r="W276" i="17" s="1"/>
  <c r="Q236" i="17"/>
  <c r="W236" i="17" s="1"/>
  <c r="Q487" i="17"/>
  <c r="W487" i="17" s="1"/>
  <c r="Q510" i="17"/>
  <c r="W510" i="17" s="1"/>
  <c r="Q506" i="17"/>
  <c r="W506" i="17" s="1"/>
  <c r="Q421" i="17"/>
  <c r="W421" i="17" s="1"/>
  <c r="Q381" i="17"/>
  <c r="W381" i="17" s="1"/>
  <c r="Q321" i="17"/>
  <c r="W321" i="17" s="1"/>
  <c r="Q339" i="17"/>
  <c r="W339" i="17" s="1"/>
  <c r="Q503" i="17"/>
  <c r="W503" i="17" s="1"/>
  <c r="Q410" i="17"/>
  <c r="W410" i="17" s="1"/>
  <c r="Q370" i="17"/>
  <c r="W370" i="17" s="1"/>
  <c r="Q177" i="17"/>
  <c r="W177" i="17" s="1"/>
  <c r="Q99" i="17"/>
  <c r="W99" i="17" s="1"/>
  <c r="Q193" i="17"/>
  <c r="W193" i="17" s="1"/>
  <c r="Q436" i="17"/>
  <c r="W436" i="17" s="1"/>
  <c r="Q445" i="17"/>
  <c r="W445" i="17" s="1"/>
  <c r="Q405" i="17"/>
  <c r="W405" i="17" s="1"/>
  <c r="Q365" i="17"/>
  <c r="W365" i="17" s="1"/>
  <c r="Q280" i="17"/>
  <c r="W280" i="17" s="1"/>
  <c r="Q240" i="17"/>
  <c r="W240" i="17" s="1"/>
  <c r="Q200" i="17"/>
  <c r="W200" i="17" s="1"/>
  <c r="Q160" i="17"/>
  <c r="W160" i="17" s="1"/>
  <c r="Q111" i="17"/>
  <c r="W111" i="17" s="1"/>
  <c r="Q89" i="17"/>
  <c r="W89" i="17" s="1"/>
  <c r="Q299" i="17"/>
  <c r="W299" i="17" s="1"/>
  <c r="Q259" i="17"/>
  <c r="W259" i="17" s="1"/>
  <c r="Q219" i="17"/>
  <c r="W219" i="17" s="1"/>
  <c r="Q296" i="17"/>
  <c r="W296" i="17" s="1"/>
  <c r="Q256" i="17"/>
  <c r="W256" i="17" s="1"/>
  <c r="Q216" i="17"/>
  <c r="W216" i="17" s="1"/>
  <c r="Q418" i="17"/>
  <c r="W418" i="17" s="1"/>
  <c r="N163" i="17" a="1"/>
  <c r="N163" i="17" s="1"/>
  <c r="N123" i="17" a="1"/>
  <c r="N123" i="17" s="1"/>
  <c r="N92" i="17" a="1"/>
  <c r="N92" i="17" s="1"/>
  <c r="N34" i="17" a="1"/>
  <c r="N34" i="17" s="1"/>
  <c r="N12" i="17" a="1"/>
  <c r="N12" i="17" s="1"/>
  <c r="N202" i="17" a="1"/>
  <c r="N202" i="17" s="1"/>
  <c r="N162" i="17" a="1"/>
  <c r="N162" i="17" s="1"/>
  <c r="N122" i="17" a="1"/>
  <c r="N122" i="17" s="1"/>
  <c r="N37" i="17" a="1"/>
  <c r="N37" i="17" s="1"/>
  <c r="N33" i="17" a="1"/>
  <c r="N33" i="17" s="1"/>
  <c r="N303" i="17" a="1"/>
  <c r="N30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<sst xmlns="http://schemas.openxmlformats.org/spreadsheetml/2006/main" count="12239" uniqueCount="244">
  <si>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</si>
  <si>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</si>
  <si>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</si>
  <si>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</si>
  <si>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</si>
  <si>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</si>
  <si>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</si>
  <si>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</si>
  <si>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</si>
  <si>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</si>
  <si>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</si>
  <si>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</si>
  <si>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</si>
  <si>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</si>
  <si>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</si>
  <si>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</si>
  <si>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</si>
  <si>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</si>
  <si>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</si>
  <si>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</si>
  <si>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</si>
  <si>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</si>
  <si>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</si>
  <si>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</si>
  <si>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</si>
  <si>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</si>
  <si>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</si>
  <si>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</si>
  <si>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</si>
  <si>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</si>
  <si>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</si>
  <si>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</si>
  <si>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</si>
  <si>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</si>
  <si>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</si>
  <si>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</si>
  <si>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</si>
  <si>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</si>
  <si>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</si>
  <si>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</si>
  <si>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</si>
  <si>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</si>
  <si>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</si>
  <si>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</si>
  <si>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</si>
  <si>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</si>
  <si>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</si>
  <si>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</si>
  <si>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</si>
  <si>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</si>
  <si>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</si>
  <si>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</si>
  <si>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</si>
  <si>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</si>
  <si>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</si>
  <si>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</si>
  <si>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</si>
  <si>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</si>
  <si>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</si>
  <si>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</si>
  <si>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</si>
  <si>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</si>
  <si>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</si>
  <si>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</si>
  <si>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</si>
  <si>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</si>
  <si>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</si>
  <si>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</si>
  <si>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</si>
  <si>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C:\Users\Tunahan\Downloads\model without breaks.p</t>
  </si>
  <si>
    <t>Assembly Batch.Queue</t>
  </si>
  <si>
    <t>Queue</t>
  </si>
  <si>
    <t>Waiting Time</t>
  </si>
  <si>
    <t>Batch 2.Queue</t>
  </si>
  <si>
    <t>Batch 3.Queue</t>
  </si>
  <si>
    <t>Customer</t>
  </si>
  <si>
    <t>Entity</t>
  </si>
  <si>
    <t>NVA Time</t>
  </si>
  <si>
    <t>Other Time</t>
  </si>
  <si>
    <t>Total Time</t>
  </si>
  <si>
    <t>Transfer Time</t>
  </si>
  <si>
    <t>VA Time</t>
  </si>
  <si>
    <t>Wait Time</t>
  </si>
  <si>
    <t>Match 1.Queue1</t>
  </si>
  <si>
    <t>Match 1.Queue2</t>
  </si>
  <si>
    <t>Match 1.Queue3</t>
  </si>
  <si>
    <t>Process 1</t>
  </si>
  <si>
    <t>Process</t>
  </si>
  <si>
    <t>Total Time Per Entity</t>
  </si>
  <si>
    <t>VA Time Per Entity</t>
  </si>
  <si>
    <t>Process 14</t>
  </si>
  <si>
    <t>Process 2</t>
  </si>
  <si>
    <t>Process 3</t>
  </si>
  <si>
    <t>Process 4</t>
  </si>
  <si>
    <t>Process 5</t>
  </si>
  <si>
    <t>Process 6</t>
  </si>
  <si>
    <t>Process 7</t>
  </si>
  <si>
    <t>Process 8</t>
  </si>
  <si>
    <t>Process 9</t>
  </si>
  <si>
    <t>Seize 1.Queue</t>
  </si>
  <si>
    <t>Seize 10.Queue</t>
  </si>
  <si>
    <t>Seize 11.Queue</t>
  </si>
  <si>
    <t>Seize 2.Queue</t>
  </si>
  <si>
    <t>Seize 3.Queue</t>
  </si>
  <si>
    <t>Seize 4.Queue</t>
  </si>
  <si>
    <t>Seize 5.Queue</t>
  </si>
  <si>
    <t>Seize 6.Queue</t>
  </si>
  <si>
    <t>Seize 7.Queue</t>
  </si>
  <si>
    <t>Seize 8.Queue</t>
  </si>
  <si>
    <t>Seize 9.Queue</t>
  </si>
  <si>
    <t>Wire Harness</t>
  </si>
  <si>
    <t>Assembler</t>
  </si>
  <si>
    <t>Instantaneous Utilization</t>
  </si>
  <si>
    <t>Resource</t>
  </si>
  <si>
    <t>Number Busy</t>
  </si>
  <si>
    <t>Number Scheduled</t>
  </si>
  <si>
    <t>Number Waiting</t>
  </si>
  <si>
    <t>WIP</t>
  </si>
  <si>
    <t>Entity 1</t>
  </si>
  <si>
    <t>Entity 2</t>
  </si>
  <si>
    <t>Entity 3</t>
  </si>
  <si>
    <t>Kanban L1S1</t>
  </si>
  <si>
    <t>Kanban L1S2</t>
  </si>
  <si>
    <t>Kanban L1S3</t>
  </si>
  <si>
    <t>Kanban L2S1</t>
  </si>
  <si>
    <t>Kanban L2S2</t>
  </si>
  <si>
    <t>Kanban L2S3</t>
  </si>
  <si>
    <t>Kanban L2S4</t>
  </si>
  <si>
    <t>Kanban L3S1</t>
  </si>
  <si>
    <t>Kanban L3S2</t>
  </si>
  <si>
    <t>L1 Station1</t>
  </si>
  <si>
    <t>L1 Station2</t>
  </si>
  <si>
    <t>L1 Station3</t>
  </si>
  <si>
    <t>L2 Station1</t>
  </si>
  <si>
    <t>L2 Station2</t>
  </si>
  <si>
    <t>L2 Station3</t>
  </si>
  <si>
    <t>L2 Station4</t>
  </si>
  <si>
    <t>L3 Station1</t>
  </si>
  <si>
    <t>L3 Station2</t>
  </si>
  <si>
    <t>Sales Department</t>
  </si>
  <si>
    <t>Sales Rep</t>
  </si>
  <si>
    <t>Box</t>
  </si>
  <si>
    <t>Count</t>
  </si>
  <si>
    <t>User Specified</t>
  </si>
  <si>
    <t>Dissatisfied Customer</t>
  </si>
  <si>
    <t>Label 1</t>
  </si>
  <si>
    <t>Label 2</t>
  </si>
  <si>
    <t>Label 3</t>
  </si>
  <si>
    <t>Satisfied customer</t>
  </si>
  <si>
    <t>Scrap</t>
  </si>
  <si>
    <t>System</t>
  </si>
  <si>
    <t>Assembler.NumberSeized</t>
  </si>
  <si>
    <t>Total Number Seized</t>
  </si>
  <si>
    <t>Assembler.ScheduledUtilization</t>
  </si>
  <si>
    <t>Scheduled Utilization</t>
  </si>
  <si>
    <t>Customer.NumberIn</t>
  </si>
  <si>
    <t>Number In</t>
  </si>
  <si>
    <t>Customer.NumberOut</t>
  </si>
  <si>
    <t>Number Out</t>
  </si>
  <si>
    <t>Entity 1.NumberIn</t>
  </si>
  <si>
    <t>Entity 1.NumberOut</t>
  </si>
  <si>
    <t>Entity 2.NumberIn</t>
  </si>
  <si>
    <t>Entity 2.NumberOut</t>
  </si>
  <si>
    <t>Entity 3.NumberIn</t>
  </si>
  <si>
    <t>Entity 3.NumberOut</t>
  </si>
  <si>
    <t>Kanban L1S1.NumberSeized</t>
  </si>
  <si>
    <t>Kanban L1S1.ScheduledUtilization</t>
  </si>
  <si>
    <t>Kanban L1S2.NumberSeized</t>
  </si>
  <si>
    <t>Kanban L1S2.ScheduledUtilization</t>
  </si>
  <si>
    <t>Kanban L1S3.NumberSeized</t>
  </si>
  <si>
    <t>Kanban L1S3.ScheduledUtilization</t>
  </si>
  <si>
    <t>Kanban L2S1.NumberSeized</t>
  </si>
  <si>
    <t>Kanban L2S1.ScheduledUtilization</t>
  </si>
  <si>
    <t>Kanban L2S2.NumberSeized</t>
  </si>
  <si>
    <t>Kanban L2S2.ScheduledUtilization</t>
  </si>
  <si>
    <t>Kanban L2S3.NumberSeized</t>
  </si>
  <si>
    <t>Kanban L2S3.ScheduledUtilization</t>
  </si>
  <si>
    <t>Kanban L2S4.NumberSeized</t>
  </si>
  <si>
    <t>Kanban L2S4.ScheduledUtilization</t>
  </si>
  <si>
    <t>Kanban L3S1.NumberSeized</t>
  </si>
  <si>
    <t>Kanban L3S1.ScheduledUtilization</t>
  </si>
  <si>
    <t>Kanban L3S2.NumberSeized</t>
  </si>
  <si>
    <t>Kanban L3S2.ScheduledUtilization</t>
  </si>
  <si>
    <t>L1 Station1.NumberSeized</t>
  </si>
  <si>
    <t>L1 Station1.ScheduledUtilization</t>
  </si>
  <si>
    <t>L1 Station2.NumberSeized</t>
  </si>
  <si>
    <t>L1 Station2.ScheduledUtilization</t>
  </si>
  <si>
    <t>L1 Station3.NumberSeized</t>
  </si>
  <si>
    <t>L1 Station3.ScheduledUtilization</t>
  </si>
  <si>
    <t>L2 Station1.NumberSeized</t>
  </si>
  <si>
    <t>L2 Station1.ScheduledUtilization</t>
  </si>
  <si>
    <t>L2 Station2.NumberSeized</t>
  </si>
  <si>
    <t>L2 Station2.ScheduledUtilization</t>
  </si>
  <si>
    <t>L2 Station3.NumberSeized</t>
  </si>
  <si>
    <t>L2 Station3.ScheduledUtilization</t>
  </si>
  <si>
    <t>L2 Station4.NumberSeized</t>
  </si>
  <si>
    <t>L2 Station4.ScheduledUtilization</t>
  </si>
  <si>
    <t>L3 Station1.NumberSeized</t>
  </si>
  <si>
    <t>L3 Station1.ScheduledUtilization</t>
  </si>
  <si>
    <t>L3 Station2.NumberSeized</t>
  </si>
  <si>
    <t>L3 Station2.ScheduledUtilization</t>
  </si>
  <si>
    <t>Process 1 Accum VA Time</t>
  </si>
  <si>
    <t>Accum VA Time</t>
  </si>
  <si>
    <t>Process 1 Number In</t>
  </si>
  <si>
    <t>Process 1 Number Out</t>
  </si>
  <si>
    <t>Process 14 Accum VA Time</t>
  </si>
  <si>
    <t>Process 14 Number In</t>
  </si>
  <si>
    <t>Process 14 Number Out</t>
  </si>
  <si>
    <t>Process 2 Accum VA Time</t>
  </si>
  <si>
    <t>Process 2 Number In</t>
  </si>
  <si>
    <t>Process 2 Number Out</t>
  </si>
  <si>
    <t>Process 3 Accum VA Time</t>
  </si>
  <si>
    <t>Process 3 Number In</t>
  </si>
  <si>
    <t>Process 3 Number Out</t>
  </si>
  <si>
    <t>Process 4 Accum VA Time</t>
  </si>
  <si>
    <t>Process 4 Number In</t>
  </si>
  <si>
    <t>Process 4 Number Out</t>
  </si>
  <si>
    <t>Process 5 Accum VA Time</t>
  </si>
  <si>
    <t>Process 5 Number In</t>
  </si>
  <si>
    <t>Process 5 Number Out</t>
  </si>
  <si>
    <t>Process 6 Accum VA Time</t>
  </si>
  <si>
    <t>Process 6 Number In</t>
  </si>
  <si>
    <t>Process 6 Number Out</t>
  </si>
  <si>
    <t>Process 7 Accum VA Time</t>
  </si>
  <si>
    <t>Process 7 Number In</t>
  </si>
  <si>
    <t>Process 7 Number Out</t>
  </si>
  <si>
    <t>Process 8 Accum VA Time</t>
  </si>
  <si>
    <t>Process 8 Number In</t>
  </si>
  <si>
    <t>Process 8 Number Out</t>
  </si>
  <si>
    <t>Process 9 Accum VA Time</t>
  </si>
  <si>
    <t>Process 9 Number In</t>
  </si>
  <si>
    <t>Process 9 Number Out</t>
  </si>
  <si>
    <t>Sales Department.NumberSeized</t>
  </si>
  <si>
    <t>Sales Department.ScheduledUtilization</t>
  </si>
  <si>
    <t>Sales Rep.NumberSeized</t>
  </si>
  <si>
    <t>Sales Rep.ScheduledUtilization</t>
  </si>
  <si>
    <t>System.NumberOut</t>
  </si>
  <si>
    <t>Wire Harness.NumberIn</t>
  </si>
  <si>
    <t>Wire Harness.NumberOut</t>
  </si>
  <si>
    <t>sales Accum VA Time</t>
  </si>
  <si>
    <t>sales Number In</t>
  </si>
  <si>
    <t>sales Number Out</t>
  </si>
  <si>
    <t>sales</t>
  </si>
  <si>
    <t>2025-12-30 22:09:11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</si>
</sst>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ahan" refreshedDate="46021.923482175924" createdVersion="7" refreshedVersion="8" minRefreshableVersion="3" recordCount="8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66">
        <s v="Assembler"/>
        <s v="Assembly Batch.Queue"/>
        <s v="Batch 2.Queue"/>
        <s v="Batch 3.Queue"/>
        <s v="Customer"/>
        <s v="Entity 1"/>
        <s v="Entity 2"/>
        <s v="Entity 3"/>
        <s v="Kanban L1S1"/>
        <s v="Kanban L1S2"/>
        <s v="Kanban L1S3"/>
        <s v="Kanban L2S1"/>
        <s v="Kanban L2S2"/>
        <s v="Kanban L2S3"/>
        <s v="Kanban L2S4"/>
        <s v="Kanban L3S1"/>
        <s v="Kanban L3S2"/>
        <s v="L1 Station1"/>
        <s v="L1 Station2"/>
        <s v="L1 Station3"/>
        <s v="L2 Station1"/>
        <s v="L2 Station2"/>
        <s v="L2 Station3"/>
        <s v="L2 Station4"/>
        <s v="L3 Station1"/>
        <s v="L3 Station2"/>
        <s v="Match 1.Queue1"/>
        <s v="Match 1.Queue2"/>
        <s v="Match 1.Queue3"/>
        <s v="Sales Department"/>
        <s v="Sales Rep"/>
        <s v="Seize 1.Queue"/>
        <s v="Seize 10.Queue"/>
        <s v="Seize 11.Queue"/>
        <s v="Seize 2.Queue"/>
        <s v="Seize 3.Queue"/>
        <s v="Seize 4.Queue"/>
        <s v="Seize 5.Queue"/>
        <s v="Seize 6.Queue"/>
        <s v="Seize 7.Queue"/>
        <s v="Seize 8.Queue"/>
        <s v="Seize 9.Queue"/>
        <s v="Wire Harnes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4233.0569788620896"/>
    </cacheField>
    <cacheField name="BatchMeansHalfWidth" numFmtId="0">
      <sharedItems containsSemiMixedTypes="0" containsString="0" containsNumber="1" minValue="2.4067205764103702E-2" maxValue="3E+20"/>
    </cacheField>
    <cacheField name="Minimum" numFmtId="0">
      <sharedItems containsSemiMixedTypes="0" containsString="0" containsNumber="1" containsInteger="1" minValue="0" maxValue="5"/>
    </cacheField>
    <cacheField name="Maximum" numFmtId="0">
      <sharedItems containsSemiMixedTypes="0" containsString="0" containsNumber="1" minValue="0" maxValue="8158"/>
    </cacheField>
    <cacheField name="LastRecordedValue" numFmtId="0">
      <sharedItems containsSemiMixedTypes="0" containsString="0" containsNumber="1" minValue="0" maxValue="815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4203.5615331875215"/>
    </cacheField>
    <cacheField name="StDevOfAverage" numFmtId="0">
      <sharedItems containsSemiMixedTypes="0" containsString="0" containsNumber="1" minValue="0" maxValue="17.69532222706007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2.658470958503626"/>
    </cacheField>
    <cacheField name="MinimumAverage" numFmtId="0">
      <sharedItems containsSemiMixedTypes="0" containsString="0" containsNumber="1" minValue="0" maxValue="4170.1494074333395"/>
    </cacheField>
    <cacheField name="MaximumAverage" numFmtId="0">
      <sharedItems containsSemiMixedTypes="0" containsString="0" containsNumber="1" minValue="0" maxValue="4233.0569788620896"/>
    </cacheField>
    <cacheField name="SummaryHalfWidth" numFmtId="0">
      <sharedItems containsSemiMixedTypes="0" containsString="0" containsNumber="1" minValue="0" maxValue="12.6584709585036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ahan" refreshedDate="46021.9234822916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ahan" refreshedDate="46021.923482407408" createdVersion="7" refreshedVersion="8" minRefreshableVersion="3" recordCount="5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29">
        <s v="Assembly Batch.Queue"/>
        <s v="Batch 2.Queue"/>
        <s v="Batch 3.Queue"/>
        <s v="Customer"/>
        <s v="Match 1.Queue1"/>
        <s v="Match 1.Queue2"/>
        <s v="Match 1.Queue3"/>
        <s v="Process 1"/>
        <s v="Process 14"/>
        <s v="Process 2"/>
        <s v="Process 3"/>
        <s v="Process 4"/>
        <s v="Process 5"/>
        <s v="Process 6"/>
        <s v="Process 7"/>
        <s v="Process 8"/>
        <s v="Process 9"/>
        <s v="sales"/>
        <s v="Seize 1.Queue"/>
        <s v="Seize 10.Queue"/>
        <s v="Seize 11.Queue"/>
        <s v="Seize 2.Queue"/>
        <s v="Seize 3.Queue"/>
        <s v="Seize 4.Queue"/>
        <s v="Seize 5.Queue"/>
        <s v="Seize 6.Queue"/>
        <s v="Seize 7.Queue"/>
        <s v="Seize 8.Queue"/>
        <s v="Seize 9.Queue"/>
        <s v="Wire Harness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21">
        <s v="Waiting Time"/>
        <s v="NVA Time"/>
        <s v="Other Time"/>
        <s v="Total Time"/>
        <s v="Transfer Time"/>
        <s v="VA Time"/>
        <s v="Wait Time"/>
        <s v="Total Time Per Entity"/>
        <s v="VA Time Per Entity"/>
        <s v="Waiting Cost" u="1"/>
        <s v="NVA Cost" u="1"/>
        <s v="Other Cost" u="1"/>
        <s v="Total Cost" u="1"/>
        <s v="Transfer Cost" u="1"/>
        <s v="VA Cost" u="1"/>
        <s v="Wait Cost" u="1"/>
        <s v="Total Cost Per Entity" u="1"/>
        <s v="VA Cost Per Entity" u="1"/>
        <m u="1"/>
        <s v="Wait Time Per Entity" u="1"/>
        <s v="Interval" u="1"/>
      </sharedItems>
    </cacheField>
    <cacheField name="Source" numFmtId="0">
      <sharedItems containsBlank="1" count="5">
        <s v="Queue"/>
        <s v="Entity"/>
        <s v="Process"/>
        <m u="1"/>
        <s v="User Specified" u="1"/>
      </sharedItems>
    </cacheField>
    <cacheField name="Average" numFmtId="0">
      <sharedItems containsSemiMixedTypes="0" containsString="0" containsNumber="1" minValue="0" maxValue="728712.78790280595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3853.3307676268601"/>
    </cacheField>
    <cacheField name="Maximum" numFmtId="0">
      <sharedItems containsSemiMixedTypes="0" containsString="0" containsNumber="1" minValue="0" maxValue="1975788.7077699299"/>
    </cacheField>
    <cacheField name="NumberObservations" numFmtId="0">
      <sharedItems containsSemiMixedTypes="0" containsString="0" containsNumber="1" containsInteger="1" minValue="95" maxValue="18407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715621.63686177903"/>
    </cacheField>
    <cacheField name="StDevOfAverage" numFmtId="0">
      <sharedItems containsSemiMixedTypes="0" containsString="0" containsNumber="1" minValue="0" maxValue="11777.77187555799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8425.3104481274768"/>
    </cacheField>
    <cacheField name="MinimumAverage" numFmtId="0">
      <sharedItems containsSemiMixedTypes="0" containsString="0" containsNumber="1" minValue="0" maxValue="706040.14193379204"/>
    </cacheField>
    <cacheField name="MaximumAverage" numFmtId="0">
      <sharedItems containsSemiMixedTypes="0" containsString="0" containsNumber="1" minValue="0" maxValue="728712.78790280595"/>
    </cacheField>
    <cacheField name="OverallMinimum" numFmtId="0">
      <sharedItems containsSemiMixedTypes="0" containsString="0" containsNumber="1" minValue="0" maxValue="942.11081602343995"/>
    </cacheField>
    <cacheField name="OverallMaximum" numFmtId="0">
      <sharedItems containsSemiMixedTypes="0" containsString="0" containsNumber="1" minValue="0" maxValue="1975788.7077699299"/>
    </cacheField>
    <cacheField name="AverageNumberObservations" numFmtId="0">
      <sharedItems containsSemiMixedTypes="0" containsString="0" containsNumber="1" minValue="118.7" maxValue="18392"/>
    </cacheField>
    <cacheField name="SummaryHalfWidth" numFmtId="0">
      <sharedItems containsSemiMixedTypes="0" containsString="0" containsNumber="1" minValue="0" maxValue="8425.3104481274768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ahan" refreshedDate="46021.923482638886" createdVersion="7" refreshedVersion="8" minRefreshableVersion="3" recordCount="86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269">
        <s v="Assembler.NumberSeized"/>
        <s v="Assembler.ScheduledUtilization"/>
        <s v="Customer.NumberIn"/>
        <s v="Customer.NumberOut"/>
        <s v="Entity 1.NumberIn"/>
        <s v="Entity 1.NumberOut"/>
        <s v="Entity 2.NumberIn"/>
        <s v="Entity 2.NumberOut"/>
        <s v="Entity 3.NumberIn"/>
        <s v="Entity 3.NumberOut"/>
        <s v="Kanban L1S1.NumberSeized"/>
        <s v="Kanban L1S1.ScheduledUtilization"/>
        <s v="Kanban L1S2.NumberSeized"/>
        <s v="Kanban L1S2.ScheduledUtilization"/>
        <s v="Kanban L1S3.NumberSeized"/>
        <s v="Kanban L1S3.ScheduledUtilization"/>
        <s v="Kanban L2S1.NumberSeized"/>
        <s v="Kanban L2S1.ScheduledUtilization"/>
        <s v="Kanban L2S2.NumberSeized"/>
        <s v="Kanban L2S2.ScheduledUtilization"/>
        <s v="Kanban L2S3.NumberSeized"/>
        <s v="Kanban L2S3.ScheduledUtilization"/>
        <s v="Kanban L2S4.NumberSeized"/>
        <s v="Kanban L2S4.ScheduledUtilization"/>
        <s v="Kanban L3S1.NumberSeized"/>
        <s v="Kanban L3S1.ScheduledUtilization"/>
        <s v="Kanban L3S2.NumberSeized"/>
        <s v="Kanban L3S2.ScheduledUtilization"/>
        <s v="L1 Station1.NumberSeized"/>
        <s v="L1 Station1.ScheduledUtilization"/>
        <s v="L1 Station2.NumberSeized"/>
        <s v="L1 Station2.ScheduledUtilization"/>
        <s v="L1 Station3.NumberSeized"/>
        <s v="L1 Station3.ScheduledUtilization"/>
        <s v="L2 Station1.NumberSeized"/>
        <s v="L2 Station1.ScheduledUtilization"/>
        <s v="L2 Station2.NumberSeized"/>
        <s v="L2 Station2.ScheduledUtilization"/>
        <s v="L2 Station3.NumberSeized"/>
        <s v="L2 Station3.ScheduledUtilization"/>
        <s v="L2 Station4.NumberSeized"/>
        <s v="L2 Station4.ScheduledUtilization"/>
        <s v="L3 Station1.NumberSeized"/>
        <s v="L3 Station1.ScheduledUtilization"/>
        <s v="L3 Station2.NumberSeized"/>
        <s v="L3 Station2.ScheduledUtilization"/>
        <s v="Process 1 Accum VA Time"/>
        <s v="Process 1 Number In"/>
        <s v="Process 1 Number Out"/>
        <s v="Process 14 Accum VA Time"/>
        <s v="Process 14 Number In"/>
        <s v="Process 14 Number Out"/>
        <s v="Process 2 Accum VA Time"/>
        <s v="Process 2 Number In"/>
        <s v="Process 2 Number Out"/>
        <s v="Process 3 Accum VA Time"/>
        <s v="Process 3 Number In"/>
        <s v="Process 3 Number Out"/>
        <s v="Process 4 Accum VA Time"/>
        <s v="Process 4 Number In"/>
        <s v="Process 4 Number Out"/>
        <s v="Process 5 Accum VA Time"/>
        <s v="Process 5 Number In"/>
        <s v="Process 5 Number Out"/>
        <s v="Process 6 Accum VA Time"/>
        <s v="Process 6 Number In"/>
        <s v="Process 6 Number Out"/>
        <s v="Process 7 Accum VA Time"/>
        <s v="Process 7 Number In"/>
        <s v="Process 7 Number Out"/>
        <s v="Process 8 Accum VA Time"/>
        <s v="Process 8 Number In"/>
        <s v="Process 8 Number Out"/>
        <s v="Process 9 Accum VA Time"/>
        <s v="Process 9 Number In"/>
        <s v="Process 9 Number Out"/>
        <s v="Sales Department.NumberSeized"/>
        <s v="Sales Department.ScheduledUtilization"/>
        <s v="Sales Rep.NumberSeized"/>
        <s v="Sales Rep.ScheduledUtilization"/>
        <s v="System.NumberOut"/>
        <s v="Wire Harness.NumberIn"/>
        <s v="Wire Harness.NumberOut"/>
        <s v="sales Accum VA Time"/>
        <s v="sales Number In"/>
        <s v="sales Number Out"/>
        <s v="All Entities.NVACost" u="1"/>
        <s v="All Entities.OtherCost" u="1"/>
        <s v="All Entities.TotalCost" u="1"/>
        <s v="All Entities.TranCost" u="1"/>
        <s v="All Entities.VACost" u="1"/>
        <s v="All Entities.WaitCost" u="1"/>
        <s v="All Resources.BusyCost" u="1"/>
        <s v="All Resources.IdleCost" u="1"/>
        <s v="All Resources.TotalCost" u="1"/>
        <s v="All Resources.UsageCost" u="1"/>
        <s v="Assembler.BusyCost" u="1"/>
        <s v="Assembler.IdleCost" u="1"/>
        <s v="Assembler.UsageCost" u="1"/>
        <s v="Kanban L1S1.BusyCost" u="1"/>
        <s v="Kanban L1S1.IdleCost" u="1"/>
        <s v="Kanban L1S1.UsageCost" u="1"/>
        <s v="Kanban L1S2.BusyCost" u="1"/>
        <s v="Kanban L1S2.IdleCost" u="1"/>
        <s v="Kanban L1S2.UsageCost" u="1"/>
        <s v="Kanban L1S3.BusyCost" u="1"/>
        <s v="Kanban L1S3.IdleCost" u="1"/>
        <s v="Kanban L1S3.UsageCost" u="1"/>
        <s v="Kanban L2S1.BusyCost" u="1"/>
        <s v="Kanban L2S1.IdleCost" u="1"/>
        <s v="Kanban L2S1.UsageCost" u="1"/>
        <s v="Kanban L2S2.BusyCost" u="1"/>
        <s v="Kanban L2S2.IdleCost" u="1"/>
        <s v="Kanban L2S2.UsageCost" u="1"/>
        <s v="Kanban L2S3.BusyCost" u="1"/>
        <s v="Kanban L2S3.IdleCost" u="1"/>
        <s v="Kanban L2S3.UsageCost" u="1"/>
        <s v="Kanban L2S4.BusyCost" u="1"/>
        <s v="Kanban L2S4.IdleCost" u="1"/>
        <s v="Kanban L2S4.UsageCost" u="1"/>
        <s v="Kanban L3S1.BusyCost" u="1"/>
        <s v="Kanban L3S1.IdleCost" u="1"/>
        <s v="Kanban L3S1.UsageCost" u="1"/>
        <s v="Kanban L3S2.BusyCost" u="1"/>
        <s v="Kanban L3S2.IdleCost" u="1"/>
        <s v="Kanban L3S2.UsageCost" u="1"/>
        <s v="L1 Station1.BusyCost" u="1"/>
        <s v="L1 Station1.IdleCost" u="1"/>
        <s v="L1 Station1.UsageCost" u="1"/>
        <s v="L1 Station2.BusyCost" u="1"/>
        <s v="L1 Station2.IdleCost" u="1"/>
        <s v="L1 Station2.UsageCost" u="1"/>
        <s v="L1 Station3.BusyCost" u="1"/>
        <s v="L1 Station3.IdleCost" u="1"/>
        <s v="L1 Station3.UsageCost" u="1"/>
        <s v="L2 Station1.BusyCost" u="1"/>
        <s v="L2 Station1.IdleCost" u="1"/>
        <s v="L2 Station1.UsageCost" u="1"/>
        <s v="L2 Station2.BusyCost" u="1"/>
        <s v="L2 Station2.IdleCost" u="1"/>
        <s v="L2 Station2.UsageCost" u="1"/>
        <s v="L2 Station3.BusyCost" u="1"/>
        <s v="L2 Station3.IdleCost" u="1"/>
        <s v="L2 Station3.UsageCost" u="1"/>
        <s v="L2 Station4.BusyCost" u="1"/>
        <s v="L2 Station4.IdleCost" u="1"/>
        <s v="L2 Station4.UsageCost" u="1"/>
        <s v="L3 Station1.BusyCost" u="1"/>
        <s v="L3 Station1.IdleCost" u="1"/>
        <s v="L3 Station1.UsageCost" u="1"/>
        <s v="L3 Station2.BusyCost" u="1"/>
        <s v="L3 Station2.IdleCost" u="1"/>
        <s v="L3 Station2.UsageCost" u="1"/>
        <s v="Process 1 Accum VA Cost" u="1"/>
        <s v="Process 1 Total Accum Cost" u="1"/>
        <s v="Process 1 Total Accum Time" u="1"/>
        <s v="Process 14 Accum VA Cost" u="1"/>
        <s v="Process 14 Total Accum Cost" u="1"/>
        <s v="Process 14 Total Accum Time" u="1"/>
        <s v="Process 2 Accum VA Cost" u="1"/>
        <s v="Process 2 Total Accum Cost" u="1"/>
        <s v="Process 2 Total Accum Time" u="1"/>
        <s v="Process 3 Accum VA Cost" u="1"/>
        <s v="Process 3 Total Accum Cost" u="1"/>
        <s v="Process 3 Total Accum Time" u="1"/>
        <s v="Process 4 Accum VA Cost" u="1"/>
        <s v="Process 4 Total Accum Cost" u="1"/>
        <s v="Process 4 Total Accum Time" u="1"/>
        <s v="Process 5 Accum VA Cost" u="1"/>
        <s v="Process 5 Total Accum Cost" u="1"/>
        <s v="Process 5 Total Accum Time" u="1"/>
        <s v="Process 6 Accum VA Cost" u="1"/>
        <s v="Process 6 Total Accum Cost" u="1"/>
        <s v="Process 6 Total Accum Time" u="1"/>
        <s v="Process 7 Accum VA Cost" u="1"/>
        <s v="Process 7 Total Accum Cost" u="1"/>
        <s v="Process 7 Total Accum Time" u="1"/>
        <s v="Process 8 Accum VA Cost" u="1"/>
        <s v="Process 8 Total Accum Cost" u="1"/>
        <s v="Process 8 Total Accum Time" u="1"/>
        <s v="Process 9 Accum VA Cost" u="1"/>
        <s v="Process 9 Total Accum Cost" u="1"/>
        <s v="Process 9 Total Accum Time" u="1"/>
        <s v="Sales Department.BusyCost" u="1"/>
        <s v="Sales Department.IdleCost" u="1"/>
        <s v="Sales Department.UsageCost" u="1"/>
        <s v="Sales Rep.BusyCost" u="1"/>
        <s v="Sales Rep.IdleCost" u="1"/>
        <s v="Sales Rep.UsageCost" u="1"/>
        <s v="System.TotalCost" u="1"/>
        <s v="sales Accum VA Cost" u="1"/>
        <s v="sales Total Accum Cost" u="1"/>
        <s v="sales Total Accum Time" u="1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19">
        <s v="Total Number Seized"/>
        <s v="Scheduled Utilization"/>
        <s v="Number In"/>
        <s v="Number Out"/>
        <s v="Accum VA Time"/>
        <s v="NVA Cost" u="1"/>
        <s v="Other Cost" u="1"/>
        <s v="Total Cost" u="1"/>
        <s v="Tran Cost" u="1"/>
        <s v="VA Cost" u="1"/>
        <s v="Wait Cost" u="1"/>
        <s v="Busy Cost" u="1"/>
        <s v="Idle Cost" u="1"/>
        <s v="Usage Cost" u="1"/>
        <s v="Accum VA Cost" u="1"/>
        <s v="Total Accum Cost" u="1"/>
        <s v="Total Accum Time" u="1"/>
        <m u="1"/>
        <s v="Accum Wait Time" u="1"/>
      </sharedItems>
    </cacheField>
    <cacheField name="Source" numFmtId="0">
      <sharedItems containsBlank="1" count="5">
        <s v="Resource"/>
        <s v="Entity"/>
        <s v="Process"/>
        <s v="System"/>
        <m u="1"/>
      </sharedItems>
    </cacheField>
    <cacheField name="RecordedValue" numFmtId="0">
      <sharedItems containsSemiMixedTypes="0" containsString="0" containsNumber="1" minValue="0" maxValue="205962.66529181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" maxValue="205782.3721339902"/>
    </cacheField>
    <cacheField name="StandardDeviation" numFmtId="0">
      <sharedItems containsSemiMixedTypes="0" containsString="0" containsNumber="1" minValue="0" maxValue="5697.996602371086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076.1012197035402"/>
    </cacheField>
    <cacheField name="Minimum" numFmtId="0">
      <sharedItems containsSemiMixedTypes="0" containsString="0" containsNumber="1" minValue="0" maxValue="205554.00796082799"/>
    </cacheField>
    <cacheField name="Maximum" numFmtId="0">
      <sharedItems containsSemiMixedTypes="0" containsString="0" containsNumber="1" minValue="0" maxValue="205962.6652918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ahan" refreshedDate="46021.923482638886" createdVersion="7" refreshedVersion="8" minRefreshableVersion="3" recordCount="7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1">
        <s v="Box"/>
        <s v="Dissatisfied Customer"/>
        <s v="Label 1"/>
        <s v="Label 2"/>
        <s v="Label 3"/>
        <s v="Satisfied customer"/>
        <s v="Scrap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95" maxValue="9202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118.7" maxValue="9194.4"/>
    </cacheField>
    <cacheField name="StandardDeviation" numFmtId="0">
      <sharedItems containsSemiMixedTypes="0" containsString="0" containsNumber="1" minValue="3.2128215360057308" maxValue="31.11698357274796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2983140734329779" maxValue="22.259749091740982"/>
    </cacheField>
    <cacheField name="Minimum" numFmtId="0">
      <sharedItems containsSemiMixedTypes="0" containsString="0" containsNumber="1" containsInteger="1" minValue="95" maxValue="9188"/>
    </cacheField>
    <cacheField name="Maximum" numFmtId="0">
      <sharedItems containsSemiMixedTypes="0" containsString="0" containsNumber="1" containsInteger="1" minValue="141" maxValue="92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0">
  <r>
    <x v="0"/>
    <s v="2025-12-30 22:09:11"/>
    <n v="1"/>
    <x v="0"/>
    <x v="0"/>
    <x v="0"/>
    <n v="3.5989256358977602E-2"/>
    <n v="3E+20"/>
    <n v="0"/>
    <n v="1"/>
    <n v="0"/>
    <n v="0"/>
    <s v="Unnamed ProjectAssemblerInstantaneous UtilizationResource"/>
    <n v="10"/>
    <n v="3.6074566243936998E-2"/>
    <n v="6.6761681626786623E-5"/>
    <n v="0.95"/>
    <n v="4.7758430005936653E-5"/>
    <n v="3.5941735992799297E-2"/>
    <n v="3.6177689828441002E-2"/>
    <n v="4.7758430005936653E-5"/>
  </r>
  <r>
    <x v="0"/>
    <s v="2025-12-30 22:09:11"/>
    <n v="1"/>
    <x v="0"/>
    <x v="1"/>
    <x v="0"/>
    <n v="3.5989256358977602E-2"/>
    <n v="3E+20"/>
    <n v="0"/>
    <n v="1"/>
    <n v="0"/>
    <n v="0"/>
    <s v="Unnamed ProjectAssemblerNumber BusyResource"/>
    <n v="10"/>
    <n v="3.6074566243937005E-2"/>
    <n v="6.6761681626785268E-5"/>
    <n v="0.95"/>
    <n v="4.7758430005935684E-5"/>
    <n v="3.5941735992799297E-2"/>
    <n v="3.6177689828441002E-2"/>
    <n v="4.7758430005935684E-5"/>
  </r>
  <r>
    <x v="0"/>
    <s v="2025-12-30 22:09:11"/>
    <n v="1"/>
    <x v="0"/>
    <x v="2"/>
    <x v="0"/>
    <n v="0.476190476190476"/>
    <n v="2E+20"/>
    <n v="0"/>
    <n v="1"/>
    <n v="0"/>
    <n v="0"/>
    <s v="Unnamed ProjectAssemblerNumber ScheduledResource"/>
    <n v="10"/>
    <n v="0.476190476190476"/>
    <n v="0"/>
    <n v="0.95"/>
    <n v="0"/>
    <n v="0.476190476190476"/>
    <n v="0.476190476190476"/>
    <n v="0"/>
  </r>
  <r>
    <x v="0"/>
    <s v="2025-12-30 22:09:11"/>
    <n v="1"/>
    <x v="1"/>
    <x v="3"/>
    <x v="1"/>
    <n v="1.4478959937017499"/>
    <n v="3E+20"/>
    <n v="0"/>
    <n v="5"/>
    <n v="2"/>
    <n v="0"/>
    <s v="Unnamed ProjectAssembly Batch.QueueNumber WaitingQueue"/>
    <n v="10"/>
    <n v="1.983224619189873"/>
    <n v="0.29990249131557767"/>
    <n v="0.95"/>
    <n v="0.21453731828040576"/>
    <n v="1.4478959937017499"/>
    <n v="2.3267973127516899"/>
    <n v="0.21453731828040576"/>
  </r>
  <r>
    <x v="0"/>
    <s v="2025-12-30 22:09:11"/>
    <n v="1"/>
    <x v="2"/>
    <x v="3"/>
    <x v="1"/>
    <n v="0.59503233604641403"/>
    <n v="3E+20"/>
    <n v="0"/>
    <n v="2"/>
    <n v="0"/>
    <n v="0"/>
    <s v="Unnamed ProjectBatch 2.QueueNumber WaitingQueue"/>
    <n v="10"/>
    <n v="0.47900820660242172"/>
    <n v="0.13717282935395095"/>
    <n v="0.95"/>
    <n v="9.8127530789884315E-2"/>
    <n v="0.25584390949740998"/>
    <n v="0.66613303676888702"/>
    <n v="9.8127530789884315E-2"/>
  </r>
  <r>
    <x v="0"/>
    <s v="2025-12-30 22:09:11"/>
    <n v="1"/>
    <x v="3"/>
    <x v="3"/>
    <x v="1"/>
    <n v="0.25632285648643699"/>
    <n v="3E+20"/>
    <n v="0"/>
    <n v="2"/>
    <n v="0"/>
    <n v="0"/>
    <s v="Unnamed ProjectBatch 3.QueueNumber WaitingQueue"/>
    <n v="10"/>
    <n v="0.41775820490048837"/>
    <n v="0.15099462697666188"/>
    <n v="0.95"/>
    <n v="0.1080150491722195"/>
    <n v="0.25632285648643699"/>
    <n v="0.68422762922173497"/>
    <n v="0.1080150491722195"/>
  </r>
  <r>
    <x v="0"/>
    <s v="2025-12-30 22:09:11"/>
    <n v="1"/>
    <x v="4"/>
    <x v="4"/>
    <x v="2"/>
    <n v="13.659744599538501"/>
    <n v="2E+20"/>
    <n v="0"/>
    <n v="104"/>
    <n v="0"/>
    <n v="0"/>
    <s v="Unnamed ProjectCustomerWIPEntity"/>
    <n v="10"/>
    <n v="17.583529006307167"/>
    <n v="4.1660214616007023"/>
    <n v="0.95"/>
    <n v="2.9801922229780646"/>
    <n v="10.842462759184199"/>
    <n v="25.8699848535447"/>
    <n v="2.9801922229780646"/>
  </r>
  <r>
    <x v="0"/>
    <s v="2025-12-30 22:09:11"/>
    <n v="1"/>
    <x v="5"/>
    <x v="4"/>
    <x v="2"/>
    <n v="81.860988802888798"/>
    <n v="3E+20"/>
    <n v="0"/>
    <n v="165"/>
    <n v="165"/>
    <n v="0"/>
    <s v="Unnamed ProjectEntity 1WIPEntity"/>
    <n v="10"/>
    <n v="95.041511376368575"/>
    <n v="6.556289254191463"/>
    <n v="0.95"/>
    <n v="4.6900867955271215"/>
    <n v="81.860988802888798"/>
    <n v="104.034812219697"/>
    <n v="4.6900867955271215"/>
  </r>
  <r>
    <x v="0"/>
    <s v="2025-12-30 22:09:11"/>
    <n v="1"/>
    <x v="6"/>
    <x v="4"/>
    <x v="2"/>
    <n v="969.89403268619401"/>
    <n v="3E+20"/>
    <n v="0"/>
    <n v="1865"/>
    <n v="1865"/>
    <n v="0"/>
    <s v="Unnamed ProjectEntity 2WIPEntity"/>
    <n v="10"/>
    <n v="959.25249800465133"/>
    <n v="16.228386811509871"/>
    <n v="0.95"/>
    <n v="11.609088578376843"/>
    <n v="935.21729677519602"/>
    <n v="986.61029939527498"/>
    <n v="11.609088578376843"/>
  </r>
  <r>
    <x v="0"/>
    <s v="2025-12-30 22:09:11"/>
    <n v="1"/>
    <x v="7"/>
    <x v="4"/>
    <x v="2"/>
    <n v="4196.2798974326097"/>
    <n v="3E+20"/>
    <n v="0"/>
    <n v="8101"/>
    <n v="8101"/>
    <n v="0"/>
    <s v="Unnamed ProjectEntity 3WIPEntity"/>
    <n v="10"/>
    <n v="4203.5615331875215"/>
    <n v="17.695322227060075"/>
    <n v="0.95"/>
    <n v="12.658470958503626"/>
    <n v="4170.1494074333395"/>
    <n v="4233.0569788620896"/>
    <n v="12.658470958503626"/>
  </r>
  <r>
    <x v="0"/>
    <s v="2025-12-30 22:09:11"/>
    <n v="1"/>
    <x v="8"/>
    <x v="0"/>
    <x v="0"/>
    <n v="0.54935965090116101"/>
    <n v="3E+20"/>
    <n v="0"/>
    <n v="1"/>
    <n v="1"/>
    <n v="0"/>
    <s v="Unnamed ProjectKanban L1S1Instantaneous UtilizationResource"/>
    <n v="10"/>
    <n v="0.48160620907873086"/>
    <n v="8.6686321722355061E-2"/>
    <n v="0.95"/>
    <n v="6.2011658897281531E-2"/>
    <n v="0.292184201252493"/>
    <n v="0.57167989674475905"/>
    <n v="6.2011658897281531E-2"/>
  </r>
  <r>
    <x v="0"/>
    <s v="2025-12-30 22:09:11"/>
    <n v="1"/>
    <x v="8"/>
    <x v="1"/>
    <x v="0"/>
    <n v="2.1974386036046401"/>
    <n v="3E+20"/>
    <n v="0"/>
    <n v="4"/>
    <n v="4"/>
    <n v="0"/>
    <s v="Unnamed ProjectKanban L1S1Number BusyResource"/>
    <n v="10"/>
    <n v="1.9264248363149217"/>
    <n v="0.34674528688941914"/>
    <n v="0.95"/>
    <n v="0.24804663558912532"/>
    <n v="1.16873680500997"/>
    <n v="2.28671958697903"/>
    <n v="0.24804663558912532"/>
  </r>
  <r>
    <x v="0"/>
    <s v="2025-12-30 22:09:11"/>
    <n v="1"/>
    <x v="8"/>
    <x v="2"/>
    <x v="0"/>
    <n v="4"/>
    <n v="2E+20"/>
    <n v="4"/>
    <n v="4"/>
    <n v="4"/>
    <n v="0"/>
    <s v="Unnamed ProjectKanban L1S1Number ScheduledResource"/>
    <n v="10"/>
    <n v="4"/>
    <n v="0"/>
    <n v="0.95"/>
    <n v="0"/>
    <n v="4"/>
    <n v="4"/>
    <n v="0"/>
  </r>
  <r>
    <x v="0"/>
    <s v="2025-12-30 22:09:11"/>
    <n v="1"/>
    <x v="9"/>
    <x v="0"/>
    <x v="0"/>
    <n v="0.238076255778324"/>
    <n v="3E+20"/>
    <n v="0"/>
    <n v="1"/>
    <n v="0"/>
    <n v="0"/>
    <s v="Unnamed ProjectKanban L1S2Instantaneous UtilizationResource"/>
    <n v="10"/>
    <n v="0.25269289312392118"/>
    <n v="4.9214010083081669E-2"/>
    <n v="0.95"/>
    <n v="3.5205581983442397E-2"/>
    <n v="0.20500025225945401"/>
    <n v="0.33570777662711199"/>
    <n v="3.5205581983442397E-2"/>
  </r>
  <r>
    <x v="0"/>
    <s v="2025-12-30 22:09:11"/>
    <n v="1"/>
    <x v="9"/>
    <x v="1"/>
    <x v="0"/>
    <n v="0.71422876733496898"/>
    <n v="3E+20"/>
    <n v="0"/>
    <n v="3"/>
    <n v="0"/>
    <n v="0"/>
    <s v="Unnamed ProjectKanban L1S2Number BusyResource"/>
    <n v="10"/>
    <n v="0.75807867937176476"/>
    <n v="0.14764203024924766"/>
    <n v="0.95"/>
    <n v="0.10561674595032908"/>
    <n v="0.61500075677836796"/>
    <n v="1.00712332988134"/>
    <n v="0.10561674595032908"/>
  </r>
  <r>
    <x v="0"/>
    <s v="2025-12-30 22:09:11"/>
    <n v="1"/>
    <x v="9"/>
    <x v="2"/>
    <x v="0"/>
    <n v="3"/>
    <n v="2E+20"/>
    <n v="3"/>
    <n v="3"/>
    <n v="3"/>
    <n v="0"/>
    <s v="Unnamed ProjectKanban L1S2Number ScheduledResource"/>
    <n v="10"/>
    <n v="3"/>
    <n v="0"/>
    <n v="0.95"/>
    <n v="0"/>
    <n v="3"/>
    <n v="3"/>
    <n v="0"/>
  </r>
  <r>
    <x v="0"/>
    <s v="2025-12-30 22:09:11"/>
    <n v="1"/>
    <x v="10"/>
    <x v="0"/>
    <x v="0"/>
    <n v="0.15149029545843401"/>
    <n v="3E+20"/>
    <n v="0"/>
    <n v="0.66666666666666696"/>
    <n v="0"/>
    <n v="0"/>
    <s v="Unnamed ProjectKanban L1S3Instantaneous UtilizationResource"/>
    <n v="10"/>
    <n v="0.151561654865698"/>
    <n v="1.2198256688154243E-4"/>
    <n v="0.95"/>
    <n v="8.7261071626739862E-5"/>
    <n v="0.15134711042770499"/>
    <n v="0.15172806047441101"/>
    <n v="8.7261071626739862E-5"/>
  </r>
  <r>
    <x v="0"/>
    <s v="2025-12-30 22:09:11"/>
    <n v="1"/>
    <x v="10"/>
    <x v="1"/>
    <x v="0"/>
    <n v="0.45447088637530197"/>
    <n v="3E+20"/>
    <n v="0"/>
    <n v="2"/>
    <n v="0"/>
    <n v="0"/>
    <s v="Unnamed ProjectKanban L1S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1"/>
    <x v="10"/>
    <x v="2"/>
    <x v="0"/>
    <n v="3"/>
    <n v="2E+20"/>
    <n v="3"/>
    <n v="3"/>
    <n v="3"/>
    <n v="0"/>
    <s v="Unnamed ProjectKanban L1S3Number ScheduledResource"/>
    <n v="10"/>
    <n v="3"/>
    <n v="0"/>
    <n v="0.95"/>
    <n v="0"/>
    <n v="3"/>
    <n v="3"/>
    <n v="0"/>
  </r>
  <r>
    <x v="0"/>
    <s v="2025-12-30 22:09:11"/>
    <n v="1"/>
    <x v="11"/>
    <x v="0"/>
    <x v="0"/>
    <n v="0.625269422960122"/>
    <n v="2E+20"/>
    <n v="0"/>
    <n v="1"/>
    <n v="0"/>
    <n v="0"/>
    <s v="Unnamed ProjectKanban L2S1Instantaneous UtilizationResource"/>
    <n v="10"/>
    <n v="0.84558522180863771"/>
    <n v="0.11694354024491282"/>
    <n v="0.95"/>
    <n v="8.3656369122856733E-2"/>
    <n v="0.625269422960122"/>
    <n v="0.95234896906597499"/>
    <n v="8.3656369122856733E-2"/>
  </r>
  <r>
    <x v="0"/>
    <s v="2025-12-30 22:09:11"/>
    <n v="1"/>
    <x v="11"/>
    <x v="1"/>
    <x v="0"/>
    <n v="1.25053884592024"/>
    <n v="2E+20"/>
    <n v="0"/>
    <n v="2"/>
    <n v="0"/>
    <n v="0"/>
    <s v="Unnamed ProjectKanban L2S1Number BusyResource"/>
    <n v="10"/>
    <n v="1.6911704436172748"/>
    <n v="0.23388708048982901"/>
    <n v="0.95"/>
    <n v="0.16731273824571591"/>
    <n v="1.25053884592024"/>
    <n v="1.90469793813195"/>
    <n v="0.16731273824571591"/>
  </r>
  <r>
    <x v="0"/>
    <s v="2025-12-30 22:09:11"/>
    <n v="1"/>
    <x v="11"/>
    <x v="2"/>
    <x v="0"/>
    <n v="2"/>
    <n v="2E+20"/>
    <n v="2"/>
    <n v="2"/>
    <n v="2"/>
    <n v="0"/>
    <s v="Unnamed ProjectKanban L2S1Number ScheduledResource"/>
    <n v="10"/>
    <n v="2"/>
    <n v="0"/>
    <n v="0.95"/>
    <n v="0"/>
    <n v="2"/>
    <n v="2"/>
    <n v="0"/>
  </r>
  <r>
    <x v="0"/>
    <s v="2025-12-30 22:09:11"/>
    <n v="1"/>
    <x v="12"/>
    <x v="0"/>
    <x v="0"/>
    <n v="0.76444773332903804"/>
    <n v="2E+20"/>
    <n v="0"/>
    <n v="1"/>
    <n v="0.4"/>
    <n v="0"/>
    <s v="Unnamed ProjectKanban L2S2Instantaneous UtilizationResource"/>
    <n v="10"/>
    <n v="0.74077431571180252"/>
    <n v="6.1280007141723249E-2"/>
    <n v="0.95"/>
    <n v="4.3837076306763374E-2"/>
    <n v="0.67060354368791797"/>
    <n v="0.87728997349342996"/>
    <n v="4.3837076306763374E-2"/>
  </r>
  <r>
    <x v="0"/>
    <s v="2025-12-30 22:09:11"/>
    <n v="1"/>
    <x v="12"/>
    <x v="1"/>
    <x v="0"/>
    <n v="3.82223866664518"/>
    <n v="2E+20"/>
    <n v="0"/>
    <n v="5"/>
    <n v="2"/>
    <n v="0"/>
    <s v="Unnamed ProjectKanban L2S2Number BusyResource"/>
    <n v="10"/>
    <n v="3.7038715785590122"/>
    <n v="0.30640003570861163"/>
    <n v="0.95"/>
    <n v="0.21918538153381359"/>
    <n v="3.35301771843959"/>
    <n v="4.3864498674671397"/>
    <n v="0.21918538153381359"/>
  </r>
  <r>
    <x v="0"/>
    <s v="2025-12-30 22:09:11"/>
    <n v="1"/>
    <x v="12"/>
    <x v="2"/>
    <x v="0"/>
    <n v="5"/>
    <n v="2E+20"/>
    <n v="5"/>
    <n v="5"/>
    <n v="5"/>
    <n v="0"/>
    <s v="Unnamed ProjectKanban L2S2Number ScheduledResource"/>
    <n v="10"/>
    <n v="5"/>
    <n v="0"/>
    <n v="0.95"/>
    <n v="0"/>
    <n v="5"/>
    <n v="5"/>
    <n v="0"/>
  </r>
  <r>
    <x v="0"/>
    <s v="2025-12-30 22:09:11"/>
    <n v="1"/>
    <x v="13"/>
    <x v="0"/>
    <x v="0"/>
    <n v="0.53042523093406702"/>
    <n v="3E+20"/>
    <n v="0"/>
    <n v="1"/>
    <n v="1"/>
    <n v="0"/>
    <s v="Unnamed ProjectKanban L2S3Instantaneous UtilizationResource"/>
    <n v="10"/>
    <n v="0.52391445815006699"/>
    <n v="7.0460308415606909E-2"/>
    <n v="0.95"/>
    <n v="5.0404268221927347E-2"/>
    <n v="0.36555656561218303"/>
    <n v="0.59886206518967"/>
    <n v="5.0404268221927347E-2"/>
  </r>
  <r>
    <x v="0"/>
    <s v="2025-12-30 22:09:11"/>
    <n v="1"/>
    <x v="13"/>
    <x v="1"/>
    <x v="0"/>
    <n v="2.1217009237362698"/>
    <n v="3E+20"/>
    <n v="0"/>
    <n v="4"/>
    <n v="4"/>
    <n v="0"/>
    <s v="Unnamed ProjectKanban L2S3Number BusyResource"/>
    <n v="10"/>
    <n v="2.0956578326002671"/>
    <n v="0.28184123366242902"/>
    <n v="0.95"/>
    <n v="0.20161707288771036"/>
    <n v="1.4622262624487301"/>
    <n v="2.39544826075868"/>
    <n v="0.20161707288771036"/>
  </r>
  <r>
    <x v="0"/>
    <s v="2025-12-30 22:09:11"/>
    <n v="1"/>
    <x v="13"/>
    <x v="2"/>
    <x v="0"/>
    <n v="4"/>
    <n v="2E+20"/>
    <n v="4"/>
    <n v="4"/>
    <n v="4"/>
    <n v="0"/>
    <s v="Unnamed ProjectKanban L2S3Number ScheduledResource"/>
    <n v="10"/>
    <n v="4"/>
    <n v="0"/>
    <n v="0.95"/>
    <n v="0"/>
    <n v="4"/>
    <n v="4"/>
    <n v="0"/>
  </r>
  <r>
    <x v="0"/>
    <s v="2025-12-30 22:09:11"/>
    <n v="1"/>
    <x v="14"/>
    <x v="0"/>
    <x v="0"/>
    <n v="0.14952864203343999"/>
    <n v="3E+20"/>
    <n v="0"/>
    <n v="1"/>
    <n v="0"/>
    <n v="0"/>
    <s v="Unnamed ProjectKanban L2S4Instantaneous UtilizationResource"/>
    <n v="10"/>
    <n v="0.14955853655775292"/>
    <n v="1.8487754554887928E-4"/>
    <n v="0.95"/>
    <n v="1.3225342896729691E-4"/>
    <n v="0.14921189842985499"/>
    <n v="0.14985050053976801"/>
    <n v="1.3225342896729691E-4"/>
  </r>
  <r>
    <x v="0"/>
    <s v="2025-12-30 22:09:11"/>
    <n v="1"/>
    <x v="14"/>
    <x v="1"/>
    <x v="0"/>
    <n v="0.29905728406687998"/>
    <n v="3E+20"/>
    <n v="0"/>
    <n v="2"/>
    <n v="0"/>
    <n v="0"/>
    <s v="Unnamed ProjectKanban L2S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1"/>
    <x v="14"/>
    <x v="2"/>
    <x v="0"/>
    <n v="2"/>
    <n v="2E+20"/>
    <n v="2"/>
    <n v="2"/>
    <n v="2"/>
    <n v="0"/>
    <s v="Unnamed ProjectKanban L2S4Number ScheduledResource"/>
    <n v="10"/>
    <n v="2"/>
    <n v="0"/>
    <n v="0.95"/>
    <n v="0"/>
    <n v="2"/>
    <n v="2"/>
    <n v="0"/>
  </r>
  <r>
    <x v="0"/>
    <s v="2025-12-30 22:09:11"/>
    <n v="1"/>
    <x v="15"/>
    <x v="0"/>
    <x v="0"/>
    <n v="0.80861282164603498"/>
    <n v="3E+20"/>
    <n v="0"/>
    <n v="1"/>
    <n v="0.6"/>
    <n v="0"/>
    <s v="Unnamed ProjectKanban L3S1Instantaneous UtilizationResource"/>
    <n v="10"/>
    <n v="0.78490250681152507"/>
    <n v="0.11345978752761832"/>
    <n v="0.95"/>
    <n v="8.1164242557846045E-2"/>
    <n v="0.58338388917401696"/>
    <n v="0.90111632059041802"/>
    <n v="8.1164242557846045E-2"/>
  </r>
  <r>
    <x v="0"/>
    <s v="2025-12-30 22:09:11"/>
    <n v="1"/>
    <x v="15"/>
    <x v="1"/>
    <x v="0"/>
    <n v="4.0430641082301397"/>
    <n v="3E+20"/>
    <n v="0"/>
    <n v="5"/>
    <n v="3"/>
    <n v="0"/>
    <s v="Unnamed ProjectKanban L3S1Number BusyResource"/>
    <n v="10"/>
    <n v="3.9245125340576221"/>
    <n v="0.56729893763807904"/>
    <n v="0.95"/>
    <n v="0.40582121278922129"/>
    <n v="2.91691944587008"/>
    <n v="4.5055816029520903"/>
    <n v="0.40582121278922129"/>
  </r>
  <r>
    <x v="0"/>
    <s v="2025-12-30 22:09:11"/>
    <n v="1"/>
    <x v="15"/>
    <x v="2"/>
    <x v="0"/>
    <n v="5"/>
    <n v="2E+20"/>
    <n v="5"/>
    <n v="5"/>
    <n v="5"/>
    <n v="0"/>
    <s v="Unnamed ProjectKanban L3S1Number ScheduledResource"/>
    <n v="10"/>
    <n v="5"/>
    <n v="0"/>
    <n v="0.95"/>
    <n v="0"/>
    <n v="5"/>
    <n v="5"/>
    <n v="0"/>
  </r>
  <r>
    <x v="0"/>
    <s v="2025-12-30 22:09:11"/>
    <n v="1"/>
    <x v="16"/>
    <x v="0"/>
    <x v="0"/>
    <n v="0.15879096117508201"/>
    <n v="2E+20"/>
    <n v="0"/>
    <n v="0.66666666666666696"/>
    <n v="0"/>
    <n v="0"/>
    <s v="Unnamed ProjectKanban L3S2Instantaneous UtilizationResource"/>
    <n v="10"/>
    <n v="0.15879210791146137"/>
    <n v="8.8786593845171554E-6"/>
    <n v="0.95"/>
    <n v="6.3514103064755986E-6"/>
    <n v="0.15877821852350199"/>
    <n v="0.15880443244107401"/>
    <n v="6.3514103064755986E-6"/>
  </r>
  <r>
    <x v="0"/>
    <s v="2025-12-30 22:09:11"/>
    <n v="1"/>
    <x v="16"/>
    <x v="1"/>
    <x v="0"/>
    <n v="0.47637288352524698"/>
    <n v="2E+20"/>
    <n v="0"/>
    <n v="2"/>
    <n v="0"/>
    <n v="0"/>
    <s v="Unnamed ProjectKanban L3S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1"/>
    <x v="16"/>
    <x v="2"/>
    <x v="0"/>
    <n v="3"/>
    <n v="2E+20"/>
    <n v="3"/>
    <n v="3"/>
    <n v="3"/>
    <n v="0"/>
    <s v="Unnamed ProjectKanban L3S2Number ScheduledResource"/>
    <n v="10"/>
    <n v="3"/>
    <n v="0"/>
    <n v="0.95"/>
    <n v="0"/>
    <n v="3"/>
    <n v="3"/>
    <n v="0"/>
  </r>
  <r>
    <x v="0"/>
    <s v="2025-12-30 22:09:11"/>
    <n v="1"/>
    <x v="17"/>
    <x v="0"/>
    <x v="0"/>
    <n v="0.47642172579275499"/>
    <n v="2E+20"/>
    <n v="0"/>
    <n v="1"/>
    <n v="0"/>
    <n v="0"/>
    <s v="Unnamed ProjectL1 Station1Instantaneous Utilization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1"/>
    <x v="17"/>
    <x v="1"/>
    <x v="0"/>
    <n v="0.47642172579275499"/>
    <n v="2E+20"/>
    <n v="0"/>
    <n v="1"/>
    <n v="0"/>
    <n v="0"/>
    <s v="Unnamed ProjectL1 Station1Number Busy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1"/>
    <x v="17"/>
    <x v="2"/>
    <x v="0"/>
    <n v="0.476190476190476"/>
    <n v="2E+20"/>
    <n v="0"/>
    <n v="1"/>
    <n v="0"/>
    <n v="0"/>
    <s v="Unnamed ProjectL1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1"/>
    <x v="18"/>
    <x v="0"/>
    <x v="0"/>
    <n v="0.34657679725548401"/>
    <n v="3E+20"/>
    <n v="0"/>
    <n v="1"/>
    <n v="0"/>
    <n v="0"/>
    <s v="Unnamed ProjectL1 Station2Instantaneous Utilization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1"/>
    <x v="18"/>
    <x v="1"/>
    <x v="0"/>
    <n v="0.34657679725548401"/>
    <n v="3E+20"/>
    <n v="0"/>
    <n v="1"/>
    <n v="0"/>
    <n v="0"/>
    <s v="Unnamed ProjectL1 Station2Number Busy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1"/>
    <x v="18"/>
    <x v="2"/>
    <x v="0"/>
    <n v="0.476190476190476"/>
    <n v="2E+20"/>
    <n v="0"/>
    <n v="1"/>
    <n v="0"/>
    <n v="0"/>
    <s v="Unnamed ProjectL1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1"/>
    <x v="19"/>
    <x v="0"/>
    <x v="0"/>
    <n v="0.45447088637530197"/>
    <n v="3E+20"/>
    <n v="0"/>
    <n v="1"/>
    <n v="0"/>
    <n v="0"/>
    <s v="Unnamed ProjectL1 Station3Instantaneous Utilization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1"/>
    <x v="19"/>
    <x v="1"/>
    <x v="0"/>
    <n v="0.45447088637530197"/>
    <n v="3E+20"/>
    <n v="0"/>
    <n v="1"/>
    <n v="0"/>
    <n v="0"/>
    <s v="Unnamed ProjectL1 Station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1"/>
    <x v="19"/>
    <x v="2"/>
    <x v="0"/>
    <n v="0.476190476190476"/>
    <n v="2E+20"/>
    <n v="0"/>
    <n v="1"/>
    <n v="0"/>
    <n v="0"/>
    <s v="Unnamed ProjectL1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1"/>
    <x v="20"/>
    <x v="0"/>
    <x v="0"/>
    <n v="0.23162597396851201"/>
    <n v="3E+20"/>
    <n v="0"/>
    <n v="1"/>
    <n v="0"/>
    <n v="0"/>
    <s v="Unnamed ProjectL2 Station1Instantaneous Utilization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1"/>
    <x v="20"/>
    <x v="1"/>
    <x v="0"/>
    <n v="0.23162597396851201"/>
    <n v="3E+20"/>
    <n v="0"/>
    <n v="1"/>
    <n v="0"/>
    <n v="0"/>
    <s v="Unnamed ProjectL2 Station1Number Busy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1"/>
    <x v="20"/>
    <x v="2"/>
    <x v="0"/>
    <n v="0.476190476190476"/>
    <n v="2E+20"/>
    <n v="0"/>
    <n v="1"/>
    <n v="0"/>
    <n v="0"/>
    <s v="Unnamed ProjectL2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1"/>
    <x v="21"/>
    <x v="0"/>
    <x v="0"/>
    <n v="0.27239527130113"/>
    <n v="3E+20"/>
    <n v="0"/>
    <n v="1"/>
    <n v="0"/>
    <n v="0"/>
    <s v="Unnamed ProjectL2 Station2Instantaneous Utilization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1"/>
    <x v="21"/>
    <x v="1"/>
    <x v="0"/>
    <n v="0.27239527130113"/>
    <n v="3E+20"/>
    <n v="0"/>
    <n v="1"/>
    <n v="0"/>
    <n v="0"/>
    <s v="Unnamed ProjectL2 Station2Number Busy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1"/>
    <x v="21"/>
    <x v="2"/>
    <x v="0"/>
    <n v="0.476190476190476"/>
    <n v="2E+20"/>
    <n v="0"/>
    <n v="1"/>
    <n v="0"/>
    <n v="0"/>
    <s v="Unnamed ProjectL2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1"/>
    <x v="22"/>
    <x v="0"/>
    <x v="0"/>
    <n v="0.476453428935454"/>
    <n v="2E+20"/>
    <n v="0"/>
    <n v="1"/>
    <n v="0"/>
    <n v="0"/>
    <s v="Unnamed ProjectL2 Station3Instantaneous UtilizationResource"/>
    <n v="10"/>
    <n v="0.47640752107427203"/>
    <n v="7.9809559904816854E-5"/>
    <n v="0.95"/>
    <n v="5.7092319840390197E-5"/>
    <n v="0.47622171379262102"/>
    <n v="0.47651577494330499"/>
    <n v="5.7092319840390197E-5"/>
  </r>
  <r>
    <x v="0"/>
    <s v="2025-12-30 22:09:11"/>
    <n v="1"/>
    <x v="22"/>
    <x v="1"/>
    <x v="0"/>
    <n v="0.476453428935454"/>
    <n v="2E+20"/>
    <n v="0"/>
    <n v="1"/>
    <n v="0"/>
    <n v="0"/>
    <s v="Unnamed ProjectL2 Station3Number BusyResource"/>
    <n v="10"/>
    <n v="0.47640752107427209"/>
    <n v="7.980955990487845E-5"/>
    <n v="0.95"/>
    <n v="5.7092319840434263E-5"/>
    <n v="0.47622171379262102"/>
    <n v="0.47651577494330499"/>
    <n v="5.7092319840434263E-5"/>
  </r>
  <r>
    <x v="0"/>
    <s v="2025-12-30 22:09:11"/>
    <n v="1"/>
    <x v="22"/>
    <x v="2"/>
    <x v="0"/>
    <n v="0.476190476190476"/>
    <n v="2E+20"/>
    <n v="0"/>
    <n v="1"/>
    <n v="0"/>
    <n v="0"/>
    <s v="Unnamed ProjectL2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1"/>
    <x v="23"/>
    <x v="0"/>
    <x v="0"/>
    <n v="0.29905728406687998"/>
    <n v="3E+20"/>
    <n v="0"/>
    <n v="1"/>
    <n v="0"/>
    <n v="0"/>
    <s v="Unnamed ProjectL2 Station4Instantaneous Utilization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1"/>
    <x v="23"/>
    <x v="1"/>
    <x v="0"/>
    <n v="0.29905728406687998"/>
    <n v="3E+20"/>
    <n v="0"/>
    <n v="1"/>
    <n v="0"/>
    <n v="0"/>
    <s v="Unnamed ProjectL2 Station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1"/>
    <x v="23"/>
    <x v="2"/>
    <x v="0"/>
    <n v="0.476190476190476"/>
    <n v="2E+20"/>
    <n v="0"/>
    <n v="1"/>
    <n v="0"/>
    <n v="0"/>
    <s v="Unnamed ProjectL2 Station4Number ScheduledResource"/>
    <n v="10"/>
    <n v="0.476190476190476"/>
    <n v="0"/>
    <n v="0.95"/>
    <n v="0"/>
    <n v="0.476190476190476"/>
    <n v="0.476190476190476"/>
    <n v="0"/>
  </r>
  <r>
    <x v="0"/>
    <s v="2025-12-30 22:09:11"/>
    <n v="1"/>
    <x v="24"/>
    <x v="0"/>
    <x v="0"/>
    <n v="0.456184848814354"/>
    <n v="3E+20"/>
    <n v="0"/>
    <n v="1"/>
    <n v="0"/>
    <n v="0"/>
    <s v="Unnamed ProjectL3 Station1Instantaneous Utilization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1"/>
    <x v="24"/>
    <x v="1"/>
    <x v="0"/>
    <n v="0.456184848814354"/>
    <n v="3E+20"/>
    <n v="0"/>
    <n v="1"/>
    <n v="0"/>
    <n v="0"/>
    <s v="Unnamed ProjectL3 Station1Number Busy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1"/>
    <x v="24"/>
    <x v="2"/>
    <x v="0"/>
    <n v="0.476190476190476"/>
    <n v="2E+20"/>
    <n v="0"/>
    <n v="1"/>
    <n v="0"/>
    <n v="0"/>
    <s v="Unnamed ProjectL3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1"/>
    <x v="25"/>
    <x v="0"/>
    <x v="0"/>
    <n v="0.47637288352524698"/>
    <n v="2E+20"/>
    <n v="0"/>
    <n v="1"/>
    <n v="0"/>
    <n v="0"/>
    <s v="Unnamed ProjectL3 Station2Instantaneous UtilizationResource"/>
    <n v="10"/>
    <n v="0.47637632373438449"/>
    <n v="2.6635978153163645E-5"/>
    <n v="0.95"/>
    <n v="1.9054230919149366E-5"/>
    <n v="0.47633465557050603"/>
    <n v="0.47641329732322302"/>
    <n v="1.9054230919149366E-5"/>
  </r>
  <r>
    <x v="0"/>
    <s v="2025-12-30 22:09:11"/>
    <n v="1"/>
    <x v="25"/>
    <x v="1"/>
    <x v="0"/>
    <n v="0.47637288352524698"/>
    <n v="2E+20"/>
    <n v="0"/>
    <n v="1"/>
    <n v="0"/>
    <n v="0"/>
    <s v="Unnamed ProjectL3 Station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1"/>
    <x v="25"/>
    <x v="2"/>
    <x v="0"/>
    <n v="0.476190476190476"/>
    <n v="2E+20"/>
    <n v="0"/>
    <n v="1"/>
    <n v="0"/>
    <n v="0"/>
    <s v="Unnamed ProjectL3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1"/>
    <x v="26"/>
    <x v="3"/>
    <x v="1"/>
    <n v="3.9040370614271103E-5"/>
    <n v="2E+20"/>
    <n v="0"/>
    <n v="1"/>
    <n v="0"/>
    <n v="0"/>
    <s v="Unnamed ProjectMatch 1.Queue1Number WaitingQueue"/>
    <n v="10"/>
    <n v="2.9170315053456471E-5"/>
    <n v="7.7933109083950271E-6"/>
    <n v="0.95"/>
    <n v="5.5749987786968959E-6"/>
    <n v="1.80144253291803E-5"/>
    <n v="4.21406992387485E-5"/>
    <n v="5.5749987786968959E-6"/>
  </r>
  <r>
    <x v="0"/>
    <s v="2025-12-30 22:09:11"/>
    <n v="1"/>
    <x v="27"/>
    <x v="3"/>
    <x v="1"/>
    <n v="871.73571005494603"/>
    <n v="3E+20"/>
    <n v="0"/>
    <n v="1685"/>
    <n v="1684"/>
    <n v="0"/>
    <s v="Unnamed ProjectMatch 1.Queue2Number WaitingQueue"/>
    <n v="10"/>
    <n v="867.85098767897125"/>
    <n v="5.9823523640247513"/>
    <n v="0.95"/>
    <n v="4.2795170775550373"/>
    <n v="858.49288388840398"/>
    <n v="875.80608811200398"/>
    <n v="4.2795170775550373"/>
  </r>
  <r>
    <x v="0"/>
    <s v="2025-12-30 22:09:11"/>
    <n v="1"/>
    <x v="28"/>
    <x v="3"/>
    <x v="1"/>
    <n v="1367.8634117176"/>
    <n v="3E+20"/>
    <n v="0"/>
    <n v="2643"/>
    <n v="2643"/>
    <n v="0"/>
    <s v="Unnamed ProjectMatch 1.Queue3Number WaitingQueue"/>
    <n v="10"/>
    <n v="1368.6640709815952"/>
    <n v="5.3961917051273351"/>
    <n v="0.95"/>
    <n v="3.860203002204456"/>
    <n v="1357.5761788714599"/>
    <n v="1375.17190829069"/>
    <n v="3.860203002204456"/>
  </r>
  <r>
    <x v="0"/>
    <s v="2025-12-30 22:09:11"/>
    <n v="1"/>
    <x v="29"/>
    <x v="0"/>
    <x v="0"/>
    <n v="0"/>
    <n v="2E+20"/>
    <n v="0"/>
    <n v="0"/>
    <n v="0"/>
    <n v="0"/>
    <s v="Unnamed ProjectSales DepartmentInstantaneous UtilizationResource"/>
    <n v="10"/>
    <n v="0"/>
    <n v="0"/>
    <n v="0.95"/>
    <n v="0"/>
    <n v="0"/>
    <n v="0"/>
    <n v="0"/>
  </r>
  <r>
    <x v="0"/>
    <s v="2025-12-30 22:09:11"/>
    <n v="1"/>
    <x v="29"/>
    <x v="1"/>
    <x v="0"/>
    <n v="0"/>
    <n v="2E+20"/>
    <n v="0"/>
    <n v="0"/>
    <n v="0"/>
    <n v="0"/>
    <s v="Unnamed ProjectSales DepartmentNumber BusyResource"/>
    <n v="10"/>
    <n v="0"/>
    <n v="0"/>
    <n v="0.95"/>
    <n v="0"/>
    <n v="0"/>
    <n v="0"/>
    <n v="0"/>
  </r>
  <r>
    <x v="0"/>
    <s v="2025-12-30 22:09:11"/>
    <n v="1"/>
    <x v="29"/>
    <x v="2"/>
    <x v="0"/>
    <n v="0.26785714285714302"/>
    <n v="2E+20"/>
    <n v="0"/>
    <n v="1"/>
    <n v="1"/>
    <n v="0"/>
    <s v="Unnamed ProjectSales Department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1"/>
    <x v="30"/>
    <x v="0"/>
    <x v="0"/>
    <n v="7.7560520233913702E-2"/>
    <n v="2E+20"/>
    <n v="0"/>
    <n v="1"/>
    <n v="0"/>
    <n v="0"/>
    <s v="Unnamed ProjectSales RepInstantaneous UtilizationResource"/>
    <n v="10"/>
    <n v="8.7684406282387828E-2"/>
    <n v="9.4212906785234151E-3"/>
    <n v="0.95"/>
    <n v="6.7395853500387742E-3"/>
    <n v="7.2143522330073706E-2"/>
    <n v="0.105326430117076"/>
    <n v="6.7395853500387742E-3"/>
  </r>
  <r>
    <x v="0"/>
    <s v="2025-12-30 22:09:11"/>
    <n v="1"/>
    <x v="30"/>
    <x v="1"/>
    <x v="0"/>
    <n v="7.7560520233913799E-2"/>
    <n v="2E+20"/>
    <n v="0"/>
    <n v="1"/>
    <n v="0"/>
    <n v="0"/>
    <s v="Unnamed ProjectSales RepNumber BusyResource"/>
    <n v="10"/>
    <n v="8.7684406282387842E-2"/>
    <n v="9.4212906785234151E-3"/>
    <n v="0.95"/>
    <n v="6.7395853500387742E-3"/>
    <n v="7.2143522330073706E-2"/>
    <n v="0.105326430117076"/>
    <n v="6.7395853500387742E-3"/>
  </r>
  <r>
    <x v="0"/>
    <s v="2025-12-30 22:09:11"/>
    <n v="1"/>
    <x v="30"/>
    <x v="2"/>
    <x v="0"/>
    <n v="0.26785714285714302"/>
    <n v="2E+20"/>
    <n v="0"/>
    <n v="1"/>
    <n v="0"/>
    <n v="0"/>
    <s v="Unnamed ProjectSales Rep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1"/>
    <x v="31"/>
    <x v="3"/>
    <x v="1"/>
    <n v="72.152998246910798"/>
    <n v="2E+20"/>
    <n v="0"/>
    <n v="149"/>
    <n v="149"/>
    <n v="0"/>
    <s v="Unnamed ProjectSeize 1.QueueNumber WaitingQueue"/>
    <n v="10"/>
    <n v="83.474789654582125"/>
    <n v="6.0930686050573728"/>
    <n v="0.95"/>
    <n v="4.358718705180836"/>
    <n v="72.152998246910798"/>
    <n v="91.653675793565498"/>
    <n v="4.358718705180836"/>
  </r>
  <r>
    <x v="0"/>
    <s v="2025-12-30 22:09:11"/>
    <n v="1"/>
    <x v="32"/>
    <x v="3"/>
    <x v="1"/>
    <n v="0.57599630674201496"/>
    <n v="2E+20"/>
    <n v="0"/>
    <n v="2"/>
    <n v="2"/>
    <n v="0"/>
    <s v="Unnamed ProjectSeize 10.QueueNumber WaitingQueue"/>
    <n v="10"/>
    <n v="0.77451739131190445"/>
    <n v="0.14034110421466847"/>
    <n v="0.95"/>
    <n v="0.10039397809151185"/>
    <n v="0.57599630674201496"/>
    <n v="0.944128153448903"/>
    <n v="0.10039397809151185"/>
  </r>
  <r>
    <x v="0"/>
    <s v="2025-12-30 22:09:11"/>
    <n v="1"/>
    <x v="33"/>
    <x v="3"/>
    <x v="1"/>
    <n v="13.582184079304501"/>
    <n v="2E+20"/>
    <n v="0"/>
    <n v="103"/>
    <n v="0"/>
    <n v="0"/>
    <s v="Unnamed ProjectSeize 11.QueueNumber WaitingQueue"/>
    <n v="10"/>
    <n v="17.495844600024782"/>
    <n v="4.1567315260337745"/>
    <n v="0.95"/>
    <n v="2.9735466034142406"/>
    <n v="10.770319236854199"/>
    <n v="25.764658423427701"/>
    <n v="2.9735466034142406"/>
  </r>
  <r>
    <x v="0"/>
    <s v="2025-12-30 22:09:11"/>
    <n v="1"/>
    <x v="34"/>
    <x v="3"/>
    <x v="1"/>
    <n v="1.50453055464151"/>
    <n v="2E+20"/>
    <n v="0"/>
    <n v="4"/>
    <n v="4"/>
    <n v="0"/>
    <s v="Unnamed ProjectSeize 2.QueueNumber WaitingQueue"/>
    <n v="10"/>
    <n v="1.2334365850159306"/>
    <n v="0.34677877772765942"/>
    <n v="0.95"/>
    <n v="0.24807059349154728"/>
    <n v="0.47601596605360202"/>
    <n v="1.5938052921300001"/>
    <n v="0.24807059349154728"/>
  </r>
  <r>
    <x v="0"/>
    <s v="2025-12-30 22:09:11"/>
    <n v="1"/>
    <x v="35"/>
    <x v="3"/>
    <x v="1"/>
    <n v="0.151196464346881"/>
    <n v="3E+20"/>
    <n v="0"/>
    <n v="2"/>
    <n v="0"/>
    <n v="0"/>
    <s v="Unnamed ProjectSeize 3.QueueNumber WaitingQueue"/>
    <n v="10"/>
    <n v="0.19501309596936622"/>
    <n v="0.14771852643081365"/>
    <n v="0.95"/>
    <n v="0.10567146802209269"/>
    <n v="5.2203254973614402E-2"/>
    <n v="0.443638473140476"/>
    <n v="0.10567146802209269"/>
  </r>
  <r>
    <x v="0"/>
    <s v="2025-12-30 22:09:11"/>
    <n v="1"/>
    <x v="36"/>
    <x v="3"/>
    <x v="1"/>
    <n v="89.0134623219964"/>
    <n v="3E+20"/>
    <n v="0"/>
    <n v="171"/>
    <n v="171"/>
    <n v="0"/>
    <s v="Unnamed ProjectSeize 4.QueueNumber WaitingQueue"/>
    <n v="10"/>
    <n v="81.226274902651596"/>
    <n v="11.159336682409895"/>
    <n v="0.95"/>
    <n v="7.9829085618136846"/>
    <n v="66.053444809788303"/>
    <n v="100.586340982454"/>
    <n v="7.9829085618136846"/>
  </r>
  <r>
    <x v="0"/>
    <s v="2025-12-30 22:09:11"/>
    <n v="1"/>
    <x v="37"/>
    <x v="3"/>
    <x v="1"/>
    <n v="0.88257428434366503"/>
    <n v="3E+20"/>
    <n v="0"/>
    <n v="2"/>
    <n v="0"/>
    <n v="0"/>
    <s v="Unnamed ProjectSeize 5.QueueNumber WaitingQueue"/>
    <n v="10"/>
    <n v="1.3234420699844864"/>
    <n v="0.23376145670955006"/>
    <n v="0.95"/>
    <n v="0.1672228724069392"/>
    <n v="0.88257428434366503"/>
    <n v="1.5367801636504701"/>
    <n v="0.1672228724069392"/>
  </r>
  <r>
    <x v="0"/>
    <s v="2025-12-30 22:09:11"/>
    <n v="1"/>
    <x v="38"/>
    <x v="3"/>
    <x v="1"/>
    <n v="3.41364509754623"/>
    <n v="3E+20"/>
    <n v="0"/>
    <n v="5"/>
    <n v="2"/>
    <n v="0"/>
    <s v="Unnamed ProjectSeize 6.QueueNumber WaitingQueue"/>
    <n v="10"/>
    <n v="3.295350976306183"/>
    <n v="0.30652142094800816"/>
    <n v="0.95"/>
    <n v="0.21927221530309879"/>
    <n v="2.9443042052265702"/>
    <n v="3.9785130958891202"/>
    <n v="0.21927221530309879"/>
  </r>
  <r>
    <x v="0"/>
    <s v="2025-12-30 22:09:11"/>
    <n v="1"/>
    <x v="39"/>
    <x v="3"/>
    <x v="1"/>
    <n v="1.5092274122896501"/>
    <n v="2E+20"/>
    <n v="0"/>
    <n v="4"/>
    <n v="4"/>
    <n v="0"/>
    <s v="Unnamed ProjectSeize 7.QueueNumber WaitingQueue"/>
    <n v="10"/>
    <n v="1.4832039737284362"/>
    <n v="0.28170250043427397"/>
    <n v="0.95"/>
    <n v="0.20151782911486205"/>
    <n v="0.850065833369271"/>
    <n v="1.78320590856036"/>
    <n v="0.20151782911486205"/>
  </r>
  <r>
    <x v="0"/>
    <s v="2025-12-30 22:09:11"/>
    <n v="1"/>
    <x v="40"/>
    <x v="3"/>
    <x v="1"/>
    <n v="82.038312854405802"/>
    <n v="3E+20"/>
    <n v="0"/>
    <n v="157"/>
    <n v="157"/>
    <n v="0"/>
    <s v="Unnamed ProjectSeize 8.QueueNumber WaitingQueue"/>
    <n v="10"/>
    <n v="84.673313986400757"/>
    <n v="6.3050274623130749"/>
    <n v="0.95"/>
    <n v="4.5103449375003528"/>
    <n v="72.004631303705096"/>
    <n v="94.488584180465494"/>
    <n v="4.5103449375003528"/>
  </r>
  <r>
    <x v="0"/>
    <s v="2025-12-30 22:09:11"/>
    <n v="1"/>
    <x v="41"/>
    <x v="3"/>
    <x v="1"/>
    <n v="3.2828241661891902"/>
    <n v="3E+20"/>
    <n v="0"/>
    <n v="5"/>
    <n v="3"/>
    <n v="0"/>
    <s v="Unnamed ProjectSeize 9.QueueNumber WaitingQueue"/>
    <n v="10"/>
    <n v="3.1643006447829118"/>
    <n v="0.56709805972033456"/>
    <n v="0.95"/>
    <n v="0.40567751338350572"/>
    <n v="2.1571183231200299"/>
    <n v="3.7448575603137102"/>
    <n v="0.40567751338350572"/>
  </r>
  <r>
    <x v="0"/>
    <s v="2025-12-30 22:09:11"/>
    <n v="1"/>
    <x v="42"/>
    <x v="4"/>
    <x v="2"/>
    <n v="2.05988155680273"/>
    <n v="3E+20"/>
    <n v="0"/>
    <n v="6"/>
    <n v="4"/>
    <n v="0"/>
    <s v="Unnamed ProjectWire HarnessWIPEntity"/>
    <n v="10"/>
    <n v="2.7938165767457108"/>
    <n v="0.37107770243484822"/>
    <n v="0.95"/>
    <n v="0.26545299708849601"/>
    <n v="2.05988155680273"/>
    <n v="3.2132100714910901"/>
    <n v="0.26545299708849601"/>
  </r>
  <r>
    <x v="0"/>
    <s v="2025-12-30 22:09:11"/>
    <n v="2"/>
    <x v="0"/>
    <x v="0"/>
    <x v="0"/>
    <n v="3.6066192846711101E-2"/>
    <n v="3E+20"/>
    <n v="0"/>
    <n v="1"/>
    <n v="1"/>
    <n v="0"/>
    <s v="Unnamed ProjectAssemblerInstantaneous UtilizationResource"/>
    <n v="10"/>
    <n v="3.6074566243936998E-2"/>
    <n v="6.6761681626786623E-5"/>
    <n v="0.95"/>
    <n v="4.7758430005936653E-5"/>
    <n v="3.5941735992799297E-2"/>
    <n v="3.6177689828441002E-2"/>
    <n v="4.7758430005936653E-5"/>
  </r>
  <r>
    <x v="0"/>
    <s v="2025-12-30 22:09:11"/>
    <n v="2"/>
    <x v="0"/>
    <x v="1"/>
    <x v="0"/>
    <n v="3.6066192846711198E-2"/>
    <n v="3E+20"/>
    <n v="0"/>
    <n v="1"/>
    <n v="1"/>
    <n v="0"/>
    <s v="Unnamed ProjectAssemblerNumber BusyResource"/>
    <n v="10"/>
    <n v="3.6074566243937005E-2"/>
    <n v="6.6761681626785268E-5"/>
    <n v="0.95"/>
    <n v="4.7758430005935684E-5"/>
    <n v="3.5941735992799297E-2"/>
    <n v="3.6177689828441002E-2"/>
    <n v="4.7758430005935684E-5"/>
  </r>
  <r>
    <x v="0"/>
    <s v="2025-12-30 22:09:11"/>
    <n v="2"/>
    <x v="0"/>
    <x v="2"/>
    <x v="0"/>
    <n v="0.476190476190476"/>
    <n v="2E+20"/>
    <n v="0"/>
    <n v="1"/>
    <n v="1"/>
    <n v="0"/>
    <s v="Unnamed ProjectAssemblerNumber ScheduledResource"/>
    <n v="10"/>
    <n v="0.476190476190476"/>
    <n v="0"/>
    <n v="0.95"/>
    <n v="0"/>
    <n v="0.476190476190476"/>
    <n v="0.476190476190476"/>
    <n v="0"/>
  </r>
  <r>
    <x v="0"/>
    <s v="2025-12-30 22:09:11"/>
    <n v="2"/>
    <x v="1"/>
    <x v="3"/>
    <x v="1"/>
    <n v="2.2330157251954801"/>
    <n v="3E+20"/>
    <n v="0"/>
    <n v="5"/>
    <n v="2"/>
    <n v="0"/>
    <s v="Unnamed ProjectAssembly Batch.QueueNumber WaitingQueue"/>
    <n v="10"/>
    <n v="1.983224619189873"/>
    <n v="0.29990249131557767"/>
    <n v="0.95"/>
    <n v="0.21453731828040576"/>
    <n v="1.4478959937017499"/>
    <n v="2.3267973127516899"/>
    <n v="0.21453731828040576"/>
  </r>
  <r>
    <x v="0"/>
    <s v="2025-12-30 22:09:11"/>
    <n v="2"/>
    <x v="2"/>
    <x v="3"/>
    <x v="1"/>
    <n v="0.35730442822025799"/>
    <n v="3E+20"/>
    <n v="0"/>
    <n v="2"/>
    <n v="0"/>
    <n v="0"/>
    <s v="Unnamed ProjectBatch 2.QueueNumber WaitingQueue"/>
    <n v="10"/>
    <n v="0.47900820660242172"/>
    <n v="0.13717282935395095"/>
    <n v="0.95"/>
    <n v="9.8127530789884315E-2"/>
    <n v="0.25584390949740998"/>
    <n v="0.66613303676888702"/>
    <n v="9.8127530789884315E-2"/>
  </r>
  <r>
    <x v="0"/>
    <s v="2025-12-30 22:09:11"/>
    <n v="2"/>
    <x v="3"/>
    <x v="3"/>
    <x v="1"/>
    <n v="0.68422762922173497"/>
    <n v="3E+20"/>
    <n v="0"/>
    <n v="2"/>
    <n v="1"/>
    <n v="0"/>
    <s v="Unnamed ProjectBatch 3.QueueNumber WaitingQueue"/>
    <n v="10"/>
    <n v="0.41775820490048837"/>
    <n v="0.15099462697666188"/>
    <n v="0.95"/>
    <n v="0.1080150491722195"/>
    <n v="0.25632285648643699"/>
    <n v="0.68422762922173497"/>
    <n v="0.1080150491722195"/>
  </r>
  <r>
    <x v="0"/>
    <s v="2025-12-30 22:09:11"/>
    <n v="2"/>
    <x v="4"/>
    <x v="4"/>
    <x v="2"/>
    <n v="10.842462759184199"/>
    <n v="2E+20"/>
    <n v="0"/>
    <n v="91"/>
    <n v="0"/>
    <n v="0"/>
    <s v="Unnamed ProjectCustomerWIPEntity"/>
    <n v="10"/>
    <n v="17.583529006307167"/>
    <n v="4.1660214616007023"/>
    <n v="0.95"/>
    <n v="2.9801922229780646"/>
    <n v="10.842462759184199"/>
    <n v="25.8699848535447"/>
    <n v="2.9801922229780646"/>
  </r>
  <r>
    <x v="0"/>
    <s v="2025-12-30 22:09:11"/>
    <n v="2"/>
    <x v="5"/>
    <x v="4"/>
    <x v="2"/>
    <n v="91.202496705554594"/>
    <n v="3E+20"/>
    <n v="0"/>
    <n v="186"/>
    <n v="186"/>
    <n v="0"/>
    <s v="Unnamed ProjectEntity 1WIPEntity"/>
    <n v="10"/>
    <n v="95.041511376368575"/>
    <n v="6.556289254191463"/>
    <n v="0.95"/>
    <n v="4.6900867955271215"/>
    <n v="81.860988802888798"/>
    <n v="104.034812219697"/>
    <n v="4.6900867955271215"/>
  </r>
  <r>
    <x v="0"/>
    <s v="2025-12-30 22:09:11"/>
    <n v="2"/>
    <x v="6"/>
    <x v="4"/>
    <x v="2"/>
    <n v="946.10394544006601"/>
    <n v="3E+20"/>
    <n v="0"/>
    <n v="1838"/>
    <n v="1838"/>
    <n v="0"/>
    <s v="Unnamed ProjectEntity 2WIPEntity"/>
    <n v="10"/>
    <n v="959.25249800465133"/>
    <n v="16.228386811509871"/>
    <n v="0.95"/>
    <n v="11.609088578376843"/>
    <n v="935.21729677519602"/>
    <n v="986.61029939527498"/>
    <n v="11.609088578376843"/>
  </r>
  <r>
    <x v="0"/>
    <s v="2025-12-30 22:09:11"/>
    <n v="2"/>
    <x v="7"/>
    <x v="4"/>
    <x v="2"/>
    <n v="4170.1494074333395"/>
    <n v="3E+20"/>
    <n v="0"/>
    <n v="8080"/>
    <n v="8080"/>
    <n v="0"/>
    <s v="Unnamed ProjectEntity 3WIPEntity"/>
    <n v="10"/>
    <n v="4203.5615331875215"/>
    <n v="17.695322227060075"/>
    <n v="0.95"/>
    <n v="12.658470958503626"/>
    <n v="4170.1494074333395"/>
    <n v="4233.0569788620896"/>
    <n v="12.658470958503626"/>
  </r>
  <r>
    <x v="0"/>
    <s v="2025-12-30 22:09:11"/>
    <n v="2"/>
    <x v="8"/>
    <x v="0"/>
    <x v="0"/>
    <n v="0.38747209997062299"/>
    <n v="3E+20"/>
    <n v="0"/>
    <n v="0.5"/>
    <n v="0.5"/>
    <n v="0"/>
    <s v="Unnamed ProjectKanban L1S1Instantaneous UtilizationResource"/>
    <n v="10"/>
    <n v="0.48160620907873086"/>
    <n v="8.6686321722355061E-2"/>
    <n v="0.95"/>
    <n v="6.2011658897281531E-2"/>
    <n v="0.292184201252493"/>
    <n v="0.57167989674475905"/>
    <n v="6.2011658897281531E-2"/>
  </r>
  <r>
    <x v="0"/>
    <s v="2025-12-30 22:09:11"/>
    <n v="2"/>
    <x v="8"/>
    <x v="1"/>
    <x v="0"/>
    <n v="1.5498883998824899"/>
    <n v="3E+20"/>
    <n v="0"/>
    <n v="2"/>
    <n v="2"/>
    <n v="0"/>
    <s v="Unnamed ProjectKanban L1S1Number BusyResource"/>
    <n v="10"/>
    <n v="1.9264248363149217"/>
    <n v="0.34674528688941914"/>
    <n v="0.95"/>
    <n v="0.24804663558912532"/>
    <n v="1.16873680500997"/>
    <n v="2.28671958697903"/>
    <n v="0.24804663558912532"/>
  </r>
  <r>
    <x v="0"/>
    <s v="2025-12-30 22:09:11"/>
    <n v="2"/>
    <x v="8"/>
    <x v="2"/>
    <x v="0"/>
    <n v="4"/>
    <n v="2E+20"/>
    <n v="4"/>
    <n v="4"/>
    <n v="4"/>
    <n v="0"/>
    <s v="Unnamed ProjectKanban L1S1Number ScheduledResource"/>
    <n v="10"/>
    <n v="4"/>
    <n v="0"/>
    <n v="0.95"/>
    <n v="0"/>
    <n v="4"/>
    <n v="4"/>
    <n v="0"/>
  </r>
  <r>
    <x v="0"/>
    <s v="2025-12-30 22:09:11"/>
    <n v="2"/>
    <x v="9"/>
    <x v="0"/>
    <x v="0"/>
    <n v="0.23335039847345601"/>
    <n v="3E+20"/>
    <n v="0"/>
    <n v="1"/>
    <n v="0"/>
    <n v="0"/>
    <s v="Unnamed ProjectKanban L1S2Instantaneous UtilizationResource"/>
    <n v="10"/>
    <n v="0.25269289312392118"/>
    <n v="4.9214010083081669E-2"/>
    <n v="0.95"/>
    <n v="3.5205581983442397E-2"/>
    <n v="0.20500025225945401"/>
    <n v="0.33570777662711199"/>
    <n v="3.5205581983442397E-2"/>
  </r>
  <r>
    <x v="0"/>
    <s v="2025-12-30 22:09:11"/>
    <n v="2"/>
    <x v="9"/>
    <x v="1"/>
    <x v="0"/>
    <n v="0.70005119542036398"/>
    <n v="3E+20"/>
    <n v="0"/>
    <n v="3"/>
    <n v="0"/>
    <n v="0"/>
    <s v="Unnamed ProjectKanban L1S2Number BusyResource"/>
    <n v="10"/>
    <n v="0.75807867937176476"/>
    <n v="0.14764203024924766"/>
    <n v="0.95"/>
    <n v="0.10561674595032908"/>
    <n v="0.61500075677836796"/>
    <n v="1.00712332988134"/>
    <n v="0.10561674595032908"/>
  </r>
  <r>
    <x v="0"/>
    <s v="2025-12-30 22:09:11"/>
    <n v="2"/>
    <x v="9"/>
    <x v="2"/>
    <x v="0"/>
    <n v="3"/>
    <n v="2E+20"/>
    <n v="3"/>
    <n v="3"/>
    <n v="3"/>
    <n v="0"/>
    <s v="Unnamed ProjectKanban L1S2Number ScheduledResource"/>
    <n v="10"/>
    <n v="3"/>
    <n v="0"/>
    <n v="0.95"/>
    <n v="0"/>
    <n v="3"/>
    <n v="3"/>
    <n v="0"/>
  </r>
  <r>
    <x v="0"/>
    <s v="2025-12-30 22:09:11"/>
    <n v="2"/>
    <x v="10"/>
    <x v="0"/>
    <x v="0"/>
    <n v="0.15172806047441101"/>
    <n v="3E+20"/>
    <n v="0"/>
    <n v="0.66666666666666696"/>
    <n v="0"/>
    <n v="0"/>
    <s v="Unnamed ProjectKanban L1S3Instantaneous UtilizationResource"/>
    <n v="10"/>
    <n v="0.151561654865698"/>
    <n v="1.2198256688154243E-4"/>
    <n v="0.95"/>
    <n v="8.7261071626739862E-5"/>
    <n v="0.15134711042770499"/>
    <n v="0.15172806047441101"/>
    <n v="8.7261071626739862E-5"/>
  </r>
  <r>
    <x v="0"/>
    <s v="2025-12-30 22:09:11"/>
    <n v="2"/>
    <x v="10"/>
    <x v="1"/>
    <x v="0"/>
    <n v="0.45518418142323402"/>
    <n v="3E+20"/>
    <n v="0"/>
    <n v="2"/>
    <n v="0"/>
    <n v="0"/>
    <s v="Unnamed ProjectKanban L1S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2"/>
    <x v="10"/>
    <x v="2"/>
    <x v="0"/>
    <n v="3"/>
    <n v="2E+20"/>
    <n v="3"/>
    <n v="3"/>
    <n v="3"/>
    <n v="0"/>
    <s v="Unnamed ProjectKanban L1S3Number ScheduledResource"/>
    <n v="10"/>
    <n v="3"/>
    <n v="0"/>
    <n v="0.95"/>
    <n v="0"/>
    <n v="3"/>
    <n v="3"/>
    <n v="0"/>
  </r>
  <r>
    <x v="0"/>
    <s v="2025-12-30 22:09:11"/>
    <n v="2"/>
    <x v="11"/>
    <x v="0"/>
    <x v="0"/>
    <n v="0.71446306801206805"/>
    <n v="2E+20"/>
    <n v="0"/>
    <n v="1"/>
    <n v="0.5"/>
    <n v="0"/>
    <s v="Unnamed ProjectKanban L2S1Instantaneous UtilizationResource"/>
    <n v="10"/>
    <n v="0.84558522180863771"/>
    <n v="0.11694354024491282"/>
    <n v="0.95"/>
    <n v="8.3656369122856733E-2"/>
    <n v="0.625269422960122"/>
    <n v="0.95234896906597499"/>
    <n v="8.3656369122856733E-2"/>
  </r>
  <r>
    <x v="0"/>
    <s v="2025-12-30 22:09:11"/>
    <n v="2"/>
    <x v="11"/>
    <x v="1"/>
    <x v="0"/>
    <n v="1.4289261360241401"/>
    <n v="2E+20"/>
    <n v="0"/>
    <n v="2"/>
    <n v="1"/>
    <n v="0"/>
    <s v="Unnamed ProjectKanban L2S1Number BusyResource"/>
    <n v="10"/>
    <n v="1.6911704436172748"/>
    <n v="0.23388708048982901"/>
    <n v="0.95"/>
    <n v="0.16731273824571591"/>
    <n v="1.25053884592024"/>
    <n v="1.90469793813195"/>
    <n v="0.16731273824571591"/>
  </r>
  <r>
    <x v="0"/>
    <s v="2025-12-30 22:09:11"/>
    <n v="2"/>
    <x v="11"/>
    <x v="2"/>
    <x v="0"/>
    <n v="2"/>
    <n v="2E+20"/>
    <n v="2"/>
    <n v="2"/>
    <n v="2"/>
    <n v="0"/>
    <s v="Unnamed ProjectKanban L2S1Number ScheduledResource"/>
    <n v="10"/>
    <n v="2"/>
    <n v="0"/>
    <n v="0.95"/>
    <n v="0"/>
    <n v="2"/>
    <n v="2"/>
    <n v="0"/>
  </r>
  <r>
    <x v="0"/>
    <s v="2025-12-30 22:09:11"/>
    <n v="2"/>
    <x v="12"/>
    <x v="0"/>
    <x v="0"/>
    <n v="0.72994168915180901"/>
    <n v="2E+20"/>
    <n v="0"/>
    <n v="1"/>
    <n v="0.4"/>
    <n v="0"/>
    <s v="Unnamed ProjectKanban L2S2Instantaneous UtilizationResource"/>
    <n v="10"/>
    <n v="0.74077431571180252"/>
    <n v="6.1280007141723249E-2"/>
    <n v="0.95"/>
    <n v="4.3837076306763374E-2"/>
    <n v="0.67060354368791797"/>
    <n v="0.87728997349342996"/>
    <n v="4.3837076306763374E-2"/>
  </r>
  <r>
    <x v="0"/>
    <s v="2025-12-30 22:09:11"/>
    <n v="2"/>
    <x v="12"/>
    <x v="1"/>
    <x v="0"/>
    <n v="3.6497084457590399"/>
    <n v="2E+20"/>
    <n v="0"/>
    <n v="5"/>
    <n v="2"/>
    <n v="0"/>
    <s v="Unnamed ProjectKanban L2S2Number BusyResource"/>
    <n v="10"/>
    <n v="3.7038715785590122"/>
    <n v="0.30640003570861163"/>
    <n v="0.95"/>
    <n v="0.21918538153381359"/>
    <n v="3.35301771843959"/>
    <n v="4.3864498674671397"/>
    <n v="0.21918538153381359"/>
  </r>
  <r>
    <x v="0"/>
    <s v="2025-12-30 22:09:11"/>
    <n v="2"/>
    <x v="12"/>
    <x v="2"/>
    <x v="0"/>
    <n v="5"/>
    <n v="2E+20"/>
    <n v="5"/>
    <n v="5"/>
    <n v="5"/>
    <n v="0"/>
    <s v="Unnamed ProjectKanban L2S2Number ScheduledResource"/>
    <n v="10"/>
    <n v="5"/>
    <n v="0"/>
    <n v="0.95"/>
    <n v="0"/>
    <n v="5"/>
    <n v="5"/>
    <n v="0"/>
  </r>
  <r>
    <x v="0"/>
    <s v="2025-12-30 22:09:11"/>
    <n v="2"/>
    <x v="13"/>
    <x v="0"/>
    <x v="0"/>
    <n v="0.54974158610753199"/>
    <n v="3E+20"/>
    <n v="0"/>
    <n v="1"/>
    <n v="1"/>
    <n v="0"/>
    <s v="Unnamed ProjectKanban L2S3Instantaneous UtilizationResource"/>
    <n v="10"/>
    <n v="0.52391445815006699"/>
    <n v="7.0460308415606909E-2"/>
    <n v="0.95"/>
    <n v="5.0404268221927347E-2"/>
    <n v="0.36555656561218303"/>
    <n v="0.59886206518967"/>
    <n v="5.0404268221927347E-2"/>
  </r>
  <r>
    <x v="0"/>
    <s v="2025-12-30 22:09:11"/>
    <n v="2"/>
    <x v="13"/>
    <x v="1"/>
    <x v="0"/>
    <n v="2.1989663444301302"/>
    <n v="3E+20"/>
    <n v="0"/>
    <n v="4"/>
    <n v="4"/>
    <n v="0"/>
    <s v="Unnamed ProjectKanban L2S3Number BusyResource"/>
    <n v="10"/>
    <n v="2.0956578326002671"/>
    <n v="0.28184123366242902"/>
    <n v="0.95"/>
    <n v="0.20161707288771036"/>
    <n v="1.4622262624487301"/>
    <n v="2.39544826075868"/>
    <n v="0.20161707288771036"/>
  </r>
  <r>
    <x v="0"/>
    <s v="2025-12-30 22:09:11"/>
    <n v="2"/>
    <x v="13"/>
    <x v="2"/>
    <x v="0"/>
    <n v="4"/>
    <n v="2E+20"/>
    <n v="4"/>
    <n v="4"/>
    <n v="4"/>
    <n v="0"/>
    <s v="Unnamed ProjectKanban L2S3Number ScheduledResource"/>
    <n v="10"/>
    <n v="4"/>
    <n v="0"/>
    <n v="0.95"/>
    <n v="0"/>
    <n v="4"/>
    <n v="4"/>
    <n v="0"/>
  </r>
  <r>
    <x v="0"/>
    <s v="2025-12-30 22:09:11"/>
    <n v="2"/>
    <x v="14"/>
    <x v="0"/>
    <x v="0"/>
    <n v="0.149446316363541"/>
    <n v="3E+20"/>
    <n v="0"/>
    <n v="1"/>
    <n v="0"/>
    <n v="0"/>
    <s v="Unnamed ProjectKanban L2S4Instantaneous UtilizationResource"/>
    <n v="10"/>
    <n v="0.14955853655775292"/>
    <n v="1.8487754554887928E-4"/>
    <n v="0.95"/>
    <n v="1.3225342896729691E-4"/>
    <n v="0.14921189842985499"/>
    <n v="0.14985050053976801"/>
    <n v="1.3225342896729691E-4"/>
  </r>
  <r>
    <x v="0"/>
    <s v="2025-12-30 22:09:11"/>
    <n v="2"/>
    <x v="14"/>
    <x v="1"/>
    <x v="0"/>
    <n v="0.298892632727081"/>
    <n v="3E+20"/>
    <n v="0"/>
    <n v="2"/>
    <n v="0"/>
    <n v="0"/>
    <s v="Unnamed ProjectKanban L2S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2"/>
    <x v="14"/>
    <x v="2"/>
    <x v="0"/>
    <n v="2"/>
    <n v="2E+20"/>
    <n v="2"/>
    <n v="2"/>
    <n v="2"/>
    <n v="0"/>
    <s v="Unnamed ProjectKanban L2S4Number ScheduledResource"/>
    <n v="10"/>
    <n v="2"/>
    <n v="0"/>
    <n v="0.95"/>
    <n v="0"/>
    <n v="2"/>
    <n v="2"/>
    <n v="0"/>
  </r>
  <r>
    <x v="0"/>
    <s v="2025-12-30 22:09:11"/>
    <n v="2"/>
    <x v="15"/>
    <x v="0"/>
    <x v="0"/>
    <n v="0.90111632059041802"/>
    <n v="3E+20"/>
    <n v="0"/>
    <n v="1"/>
    <n v="0.8"/>
    <n v="0"/>
    <s v="Unnamed ProjectKanban L3S1Instantaneous UtilizationResource"/>
    <n v="10"/>
    <n v="0.78490250681152507"/>
    <n v="0.11345978752761832"/>
    <n v="0.95"/>
    <n v="8.1164242557846045E-2"/>
    <n v="0.58338388917401696"/>
    <n v="0.90111632059041802"/>
    <n v="8.1164242557846045E-2"/>
  </r>
  <r>
    <x v="0"/>
    <s v="2025-12-30 22:09:11"/>
    <n v="2"/>
    <x v="15"/>
    <x v="1"/>
    <x v="0"/>
    <n v="4.5055816029520903"/>
    <n v="3E+20"/>
    <n v="0"/>
    <n v="5"/>
    <n v="4"/>
    <n v="0"/>
    <s v="Unnamed ProjectKanban L3S1Number BusyResource"/>
    <n v="10"/>
    <n v="3.9245125340576221"/>
    <n v="0.56729893763807904"/>
    <n v="0.95"/>
    <n v="0.40582121278922129"/>
    <n v="2.91691944587008"/>
    <n v="4.5055816029520903"/>
    <n v="0.40582121278922129"/>
  </r>
  <r>
    <x v="0"/>
    <s v="2025-12-30 22:09:11"/>
    <n v="2"/>
    <x v="15"/>
    <x v="2"/>
    <x v="0"/>
    <n v="5"/>
    <n v="2E+20"/>
    <n v="5"/>
    <n v="5"/>
    <n v="5"/>
    <n v="0"/>
    <s v="Unnamed ProjectKanban L3S1Number ScheduledResource"/>
    <n v="10"/>
    <n v="5"/>
    <n v="0"/>
    <n v="0.95"/>
    <n v="0"/>
    <n v="5"/>
    <n v="5"/>
    <n v="0"/>
  </r>
  <r>
    <x v="0"/>
    <s v="2025-12-30 22:09:11"/>
    <n v="2"/>
    <x v="16"/>
    <x v="0"/>
    <x v="0"/>
    <n v="0.15877821852350199"/>
    <n v="2E+20"/>
    <n v="0"/>
    <n v="0.66666666666666696"/>
    <n v="0"/>
    <n v="0"/>
    <s v="Unnamed ProjectKanban L3S2Instantaneous UtilizationResource"/>
    <n v="10"/>
    <n v="0.15879210791146137"/>
    <n v="8.8786593845171554E-6"/>
    <n v="0.95"/>
    <n v="6.3514103064755986E-6"/>
    <n v="0.15877821852350199"/>
    <n v="0.15880443244107401"/>
    <n v="6.3514103064755986E-6"/>
  </r>
  <r>
    <x v="0"/>
    <s v="2025-12-30 22:09:11"/>
    <n v="2"/>
    <x v="16"/>
    <x v="1"/>
    <x v="0"/>
    <n v="0.47633465557050603"/>
    <n v="2E+20"/>
    <n v="0"/>
    <n v="2"/>
    <n v="0"/>
    <n v="0"/>
    <s v="Unnamed ProjectKanban L3S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2"/>
    <x v="16"/>
    <x v="2"/>
    <x v="0"/>
    <n v="3"/>
    <n v="2E+20"/>
    <n v="3"/>
    <n v="3"/>
    <n v="3"/>
    <n v="0"/>
    <s v="Unnamed ProjectKanban L3S2Number ScheduledResource"/>
    <n v="10"/>
    <n v="3"/>
    <n v="0"/>
    <n v="0.95"/>
    <n v="0"/>
    <n v="3"/>
    <n v="3"/>
    <n v="0"/>
  </r>
  <r>
    <x v="0"/>
    <s v="2025-12-30 22:09:11"/>
    <n v="2"/>
    <x v="17"/>
    <x v="0"/>
    <x v="0"/>
    <n v="0.47640201511715402"/>
    <n v="2E+20"/>
    <n v="0"/>
    <n v="1"/>
    <n v="0"/>
    <n v="0"/>
    <s v="Unnamed ProjectL1 Station1Instantaneous Utilization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2"/>
    <x v="17"/>
    <x v="1"/>
    <x v="0"/>
    <n v="0.47640201511715402"/>
    <n v="2E+20"/>
    <n v="0"/>
    <n v="1"/>
    <n v="0"/>
    <n v="0"/>
    <s v="Unnamed ProjectL1 Station1Number Busy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2"/>
    <x v="17"/>
    <x v="2"/>
    <x v="0"/>
    <n v="0.476190476190476"/>
    <n v="2E+20"/>
    <n v="0"/>
    <n v="1"/>
    <n v="0"/>
    <n v="0"/>
    <s v="Unnamed ProjectL1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2"/>
    <x v="18"/>
    <x v="0"/>
    <x v="0"/>
    <n v="0.34678581206387898"/>
    <n v="3E+20"/>
    <n v="0"/>
    <n v="1"/>
    <n v="0"/>
    <n v="0"/>
    <s v="Unnamed ProjectL1 Station2Instantaneous Utilization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2"/>
    <x v="18"/>
    <x v="1"/>
    <x v="0"/>
    <n v="0.34678581206387898"/>
    <n v="3E+20"/>
    <n v="0"/>
    <n v="1"/>
    <n v="0"/>
    <n v="0"/>
    <s v="Unnamed ProjectL1 Station2Number Busy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2"/>
    <x v="18"/>
    <x v="2"/>
    <x v="0"/>
    <n v="0.476190476190476"/>
    <n v="2E+20"/>
    <n v="0"/>
    <n v="1"/>
    <n v="0"/>
    <n v="0"/>
    <s v="Unnamed ProjectL1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2"/>
    <x v="19"/>
    <x v="0"/>
    <x v="0"/>
    <n v="0.45518418142323402"/>
    <n v="3E+20"/>
    <n v="0"/>
    <n v="1"/>
    <n v="0"/>
    <n v="0"/>
    <s v="Unnamed ProjectL1 Station3Instantaneous Utilization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2"/>
    <x v="19"/>
    <x v="1"/>
    <x v="0"/>
    <n v="0.45518418142323402"/>
    <n v="3E+20"/>
    <n v="0"/>
    <n v="1"/>
    <n v="0"/>
    <n v="0"/>
    <s v="Unnamed ProjectL1 Station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2"/>
    <x v="19"/>
    <x v="2"/>
    <x v="0"/>
    <n v="0.476190476190476"/>
    <n v="2E+20"/>
    <n v="0"/>
    <n v="1"/>
    <n v="0"/>
    <n v="0"/>
    <s v="Unnamed ProjectL1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2"/>
    <x v="20"/>
    <x v="0"/>
    <x v="0"/>
    <n v="0.23132104012901999"/>
    <n v="3E+20"/>
    <n v="0"/>
    <n v="1"/>
    <n v="0"/>
    <n v="0"/>
    <s v="Unnamed ProjectL2 Station1Instantaneous Utilization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2"/>
    <x v="20"/>
    <x v="1"/>
    <x v="0"/>
    <n v="0.23132104012901999"/>
    <n v="3E+20"/>
    <n v="0"/>
    <n v="1"/>
    <n v="0"/>
    <n v="0"/>
    <s v="Unnamed ProjectL2 Station1Number Busy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2"/>
    <x v="20"/>
    <x v="2"/>
    <x v="0"/>
    <n v="0.476190476190476"/>
    <n v="2E+20"/>
    <n v="0"/>
    <n v="1"/>
    <n v="0"/>
    <n v="0"/>
    <s v="Unnamed ProjectL2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2"/>
    <x v="21"/>
    <x v="0"/>
    <x v="0"/>
    <n v="0.27248794676861599"/>
    <n v="3E+20"/>
    <n v="0"/>
    <n v="1"/>
    <n v="0"/>
    <n v="0"/>
    <s v="Unnamed ProjectL2 Station2Instantaneous Utilization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2"/>
    <x v="21"/>
    <x v="1"/>
    <x v="0"/>
    <n v="0.27248794676861599"/>
    <n v="3E+20"/>
    <n v="0"/>
    <n v="1"/>
    <n v="0"/>
    <n v="0"/>
    <s v="Unnamed ProjectL2 Station2Number Busy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2"/>
    <x v="21"/>
    <x v="2"/>
    <x v="0"/>
    <n v="0.476190476190476"/>
    <n v="2E+20"/>
    <n v="0"/>
    <n v="1"/>
    <n v="0"/>
    <n v="0"/>
    <s v="Unnamed ProjectL2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2"/>
    <x v="22"/>
    <x v="0"/>
    <x v="0"/>
    <n v="0.47638217839049801"/>
    <n v="2E+20"/>
    <n v="0"/>
    <n v="1"/>
    <n v="0"/>
    <n v="0"/>
    <s v="Unnamed ProjectL2 Station3Instantaneous UtilizationResource"/>
    <n v="10"/>
    <n v="0.47640752107427203"/>
    <n v="7.9809559904816854E-5"/>
    <n v="0.95"/>
    <n v="5.7092319840390197E-5"/>
    <n v="0.47622171379262102"/>
    <n v="0.47651577494330499"/>
    <n v="5.7092319840390197E-5"/>
  </r>
  <r>
    <x v="0"/>
    <s v="2025-12-30 22:09:11"/>
    <n v="2"/>
    <x v="22"/>
    <x v="1"/>
    <x v="0"/>
    <n v="0.47638217839049801"/>
    <n v="2E+20"/>
    <n v="0"/>
    <n v="1"/>
    <n v="0"/>
    <n v="0"/>
    <s v="Unnamed ProjectL2 Station3Number BusyResource"/>
    <n v="10"/>
    <n v="0.47640752107427209"/>
    <n v="7.980955990487845E-5"/>
    <n v="0.95"/>
    <n v="5.7092319840434263E-5"/>
    <n v="0.47622171379262102"/>
    <n v="0.47651577494330499"/>
    <n v="5.7092319840434263E-5"/>
  </r>
  <r>
    <x v="0"/>
    <s v="2025-12-30 22:09:11"/>
    <n v="2"/>
    <x v="22"/>
    <x v="2"/>
    <x v="0"/>
    <n v="0.476190476190476"/>
    <n v="2E+20"/>
    <n v="0"/>
    <n v="1"/>
    <n v="0"/>
    <n v="0"/>
    <s v="Unnamed ProjectL2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2"/>
    <x v="23"/>
    <x v="0"/>
    <x v="0"/>
    <n v="0.298892632727081"/>
    <n v="3E+20"/>
    <n v="0"/>
    <n v="1"/>
    <n v="0"/>
    <n v="0"/>
    <s v="Unnamed ProjectL2 Station4Instantaneous Utilization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2"/>
    <x v="23"/>
    <x v="1"/>
    <x v="0"/>
    <n v="0.298892632727081"/>
    <n v="3E+20"/>
    <n v="0"/>
    <n v="1"/>
    <n v="0"/>
    <n v="0"/>
    <s v="Unnamed ProjectL2 Station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2"/>
    <x v="23"/>
    <x v="2"/>
    <x v="0"/>
    <n v="0.476190476190476"/>
    <n v="2E+20"/>
    <n v="0"/>
    <n v="1"/>
    <n v="0"/>
    <n v="0"/>
    <s v="Unnamed ProjectL2 Station4Number ScheduledResource"/>
    <n v="10"/>
    <n v="0.476190476190476"/>
    <n v="0"/>
    <n v="0.95"/>
    <n v="0"/>
    <n v="0.476190476190476"/>
    <n v="0.476190476190476"/>
    <n v="0"/>
  </r>
  <r>
    <x v="0"/>
    <s v="2025-12-30 22:09:11"/>
    <n v="2"/>
    <x v="24"/>
    <x v="0"/>
    <x v="0"/>
    <n v="0.45652258337600798"/>
    <n v="3E+20"/>
    <n v="0"/>
    <n v="1"/>
    <n v="0"/>
    <n v="0"/>
    <s v="Unnamed ProjectL3 Station1Instantaneous Utilization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2"/>
    <x v="24"/>
    <x v="1"/>
    <x v="0"/>
    <n v="0.45652258337600798"/>
    <n v="3E+20"/>
    <n v="0"/>
    <n v="1"/>
    <n v="0"/>
    <n v="0"/>
    <s v="Unnamed ProjectL3 Station1Number Busy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2"/>
    <x v="24"/>
    <x v="2"/>
    <x v="0"/>
    <n v="0.476190476190476"/>
    <n v="2E+20"/>
    <n v="0"/>
    <n v="1"/>
    <n v="0"/>
    <n v="0"/>
    <s v="Unnamed ProjectL3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2"/>
    <x v="25"/>
    <x v="0"/>
    <x v="0"/>
    <n v="0.47633465557050603"/>
    <n v="2E+20"/>
    <n v="0"/>
    <n v="1"/>
    <n v="0"/>
    <n v="0"/>
    <s v="Unnamed ProjectL3 Station2Instantaneous UtilizationResource"/>
    <n v="10"/>
    <n v="0.47637632373438449"/>
    <n v="2.6635978153163645E-5"/>
    <n v="0.95"/>
    <n v="1.9054230919149366E-5"/>
    <n v="0.47633465557050603"/>
    <n v="0.47641329732322302"/>
    <n v="1.9054230919149366E-5"/>
  </r>
  <r>
    <x v="0"/>
    <s v="2025-12-30 22:09:11"/>
    <n v="2"/>
    <x v="25"/>
    <x v="1"/>
    <x v="0"/>
    <n v="0.47633465557050603"/>
    <n v="2E+20"/>
    <n v="0"/>
    <n v="1"/>
    <n v="0"/>
    <n v="0"/>
    <s v="Unnamed ProjectL3 Station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2"/>
    <x v="25"/>
    <x v="2"/>
    <x v="0"/>
    <n v="0.476190476190476"/>
    <n v="2E+20"/>
    <n v="0"/>
    <n v="1"/>
    <n v="0"/>
    <n v="0"/>
    <s v="Unnamed ProjectL3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2"/>
    <x v="26"/>
    <x v="3"/>
    <x v="1"/>
    <n v="4.21406992387485E-5"/>
    <n v="2E+20"/>
    <n v="0"/>
    <n v="1"/>
    <n v="0"/>
    <n v="0"/>
    <s v="Unnamed ProjectMatch 1.Queue1Number WaitingQueue"/>
    <n v="10"/>
    <n v="2.9170315053456471E-5"/>
    <n v="7.7933109083950271E-6"/>
    <n v="0.95"/>
    <n v="5.5749987786968959E-6"/>
    <n v="1.80144253291803E-5"/>
    <n v="4.21406992387485E-5"/>
    <n v="5.5749987786968959E-6"/>
  </r>
  <r>
    <x v="0"/>
    <s v="2025-12-30 22:09:11"/>
    <n v="2"/>
    <x v="27"/>
    <x v="3"/>
    <x v="1"/>
    <n v="858.49288388840398"/>
    <n v="3E+20"/>
    <n v="0"/>
    <n v="1667"/>
    <n v="1665"/>
    <n v="0"/>
    <s v="Unnamed ProjectMatch 1.Queue2Number WaitingQueue"/>
    <n v="10"/>
    <n v="867.85098767897125"/>
    <n v="5.9823523640247513"/>
    <n v="0.95"/>
    <n v="4.2795170775550373"/>
    <n v="858.49288388840398"/>
    <n v="875.80608811200398"/>
    <n v="4.2795170775550373"/>
  </r>
  <r>
    <x v="0"/>
    <s v="2025-12-30 22:09:11"/>
    <n v="2"/>
    <x v="28"/>
    <x v="3"/>
    <x v="1"/>
    <n v="1357.5761788714599"/>
    <n v="3E+20"/>
    <n v="0"/>
    <n v="2635"/>
    <n v="2634"/>
    <n v="0"/>
    <s v="Unnamed ProjectMatch 1.Queue3Number WaitingQueue"/>
    <n v="10"/>
    <n v="1368.6640709815952"/>
    <n v="5.3961917051273351"/>
    <n v="0.95"/>
    <n v="3.860203002204456"/>
    <n v="1357.5761788714599"/>
    <n v="1375.17190829069"/>
    <n v="3.860203002204456"/>
  </r>
  <r>
    <x v="0"/>
    <s v="2025-12-30 22:09:11"/>
    <n v="2"/>
    <x v="29"/>
    <x v="0"/>
    <x v="0"/>
    <n v="0"/>
    <n v="2E+20"/>
    <n v="0"/>
    <n v="0"/>
    <n v="0"/>
    <n v="0"/>
    <s v="Unnamed ProjectSales DepartmentInstantaneous UtilizationResource"/>
    <n v="10"/>
    <n v="0"/>
    <n v="0"/>
    <n v="0.95"/>
    <n v="0"/>
    <n v="0"/>
    <n v="0"/>
    <n v="0"/>
  </r>
  <r>
    <x v="0"/>
    <s v="2025-12-30 22:09:11"/>
    <n v="2"/>
    <x v="29"/>
    <x v="1"/>
    <x v="0"/>
    <n v="0"/>
    <n v="2E+20"/>
    <n v="0"/>
    <n v="0"/>
    <n v="0"/>
    <n v="0"/>
    <s v="Unnamed ProjectSales DepartmentNumber BusyResource"/>
    <n v="10"/>
    <n v="0"/>
    <n v="0"/>
    <n v="0.95"/>
    <n v="0"/>
    <n v="0"/>
    <n v="0"/>
    <n v="0"/>
  </r>
  <r>
    <x v="0"/>
    <s v="2025-12-30 22:09:11"/>
    <n v="2"/>
    <x v="29"/>
    <x v="2"/>
    <x v="0"/>
    <n v="0.26785714285714302"/>
    <n v="2E+20"/>
    <n v="0"/>
    <n v="1"/>
    <n v="1"/>
    <n v="0"/>
    <s v="Unnamed ProjectSales Department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2"/>
    <x v="30"/>
    <x v="0"/>
    <x v="0"/>
    <n v="7.2143522330073706E-2"/>
    <n v="2E+20"/>
    <n v="0"/>
    <n v="1"/>
    <n v="0"/>
    <n v="0"/>
    <s v="Unnamed ProjectSales RepInstantaneous UtilizationResource"/>
    <n v="10"/>
    <n v="8.7684406282387828E-2"/>
    <n v="9.4212906785234151E-3"/>
    <n v="0.95"/>
    <n v="6.7395853500387742E-3"/>
    <n v="7.2143522330073706E-2"/>
    <n v="0.105326430117076"/>
    <n v="6.7395853500387742E-3"/>
  </r>
  <r>
    <x v="0"/>
    <s v="2025-12-30 22:09:11"/>
    <n v="2"/>
    <x v="30"/>
    <x v="1"/>
    <x v="0"/>
    <n v="7.2143522330073706E-2"/>
    <n v="2E+20"/>
    <n v="0"/>
    <n v="1"/>
    <n v="0"/>
    <n v="0"/>
    <s v="Unnamed ProjectSales RepNumber BusyResource"/>
    <n v="10"/>
    <n v="8.7684406282387842E-2"/>
    <n v="9.4212906785234151E-3"/>
    <n v="0.95"/>
    <n v="6.7395853500387742E-3"/>
    <n v="7.2143522330073706E-2"/>
    <n v="0.105326430117076"/>
    <n v="6.7395853500387742E-3"/>
  </r>
  <r>
    <x v="0"/>
    <s v="2025-12-30 22:09:11"/>
    <n v="2"/>
    <x v="30"/>
    <x v="2"/>
    <x v="0"/>
    <n v="0.26785714285714302"/>
    <n v="2E+20"/>
    <n v="0"/>
    <n v="1"/>
    <n v="0"/>
    <n v="0"/>
    <s v="Unnamed ProjectSales Rep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2"/>
    <x v="31"/>
    <x v="3"/>
    <x v="1"/>
    <n v="78.933804940884798"/>
    <n v="2E+20"/>
    <n v="0"/>
    <n v="169"/>
    <n v="169"/>
    <n v="0"/>
    <s v="Unnamed ProjectSeize 1.QueueNumber WaitingQueue"/>
    <n v="10"/>
    <n v="83.474789654582125"/>
    <n v="6.0930686050573728"/>
    <n v="0.95"/>
    <n v="4.358718705180836"/>
    <n v="72.152998246910798"/>
    <n v="91.653675793565498"/>
    <n v="4.358718705180836"/>
  </r>
  <r>
    <x v="0"/>
    <s v="2025-12-30 22:09:11"/>
    <n v="2"/>
    <x v="32"/>
    <x v="3"/>
    <x v="1"/>
    <n v="0.944128153448903"/>
    <n v="2E+20"/>
    <n v="0"/>
    <n v="3"/>
    <n v="2"/>
    <n v="0"/>
    <s v="Unnamed ProjectSeize 10.QueueNumber WaitingQueue"/>
    <n v="10"/>
    <n v="0.77451739131190445"/>
    <n v="0.14034110421466847"/>
    <n v="0.95"/>
    <n v="0.10039397809151185"/>
    <n v="0.57599630674201496"/>
    <n v="0.944128153448903"/>
    <n v="0.10039397809151185"/>
  </r>
  <r>
    <x v="0"/>
    <s v="2025-12-30 22:09:11"/>
    <n v="2"/>
    <x v="33"/>
    <x v="3"/>
    <x v="1"/>
    <n v="10.770319236854199"/>
    <n v="2E+20"/>
    <n v="0"/>
    <n v="91"/>
    <n v="0"/>
    <n v="0"/>
    <s v="Unnamed ProjectSeize 11.QueueNumber WaitingQueue"/>
    <n v="10"/>
    <n v="17.495844600024782"/>
    <n v="4.1567315260337745"/>
    <n v="0.95"/>
    <n v="2.9735466034142406"/>
    <n v="10.770319236854199"/>
    <n v="25.764658423427701"/>
    <n v="2.9735466034142406"/>
  </r>
  <r>
    <x v="0"/>
    <s v="2025-12-30 22:09:11"/>
    <n v="2"/>
    <x v="34"/>
    <x v="3"/>
    <x v="1"/>
    <n v="0.85658915423651305"/>
    <n v="2E+20"/>
    <n v="0"/>
    <n v="2"/>
    <n v="2"/>
    <n v="0"/>
    <s v="Unnamed ProjectSeize 2.QueueNumber WaitingQueue"/>
    <n v="10"/>
    <n v="1.2334365850159306"/>
    <n v="0.34677877772765942"/>
    <n v="0.95"/>
    <n v="0.24807059349154728"/>
    <n v="0.47601596605360202"/>
    <n v="1.5938052921300001"/>
    <n v="0.24807059349154728"/>
  </r>
  <r>
    <x v="0"/>
    <s v="2025-12-30 22:09:11"/>
    <n v="2"/>
    <x v="35"/>
    <x v="3"/>
    <x v="1"/>
    <n v="0.13666953703739701"/>
    <n v="3E+20"/>
    <n v="0"/>
    <n v="2"/>
    <n v="0"/>
    <n v="0"/>
    <s v="Unnamed ProjectSeize 3.QueueNumber WaitingQueue"/>
    <n v="10"/>
    <n v="0.19501309596936622"/>
    <n v="0.14771852643081365"/>
    <n v="0.95"/>
    <n v="0.10567146802209269"/>
    <n v="5.2203254973614402E-2"/>
    <n v="0.443638473140476"/>
    <n v="0.10567146802209269"/>
  </r>
  <r>
    <x v="0"/>
    <s v="2025-12-30 22:09:11"/>
    <n v="2"/>
    <x v="36"/>
    <x v="3"/>
    <x v="1"/>
    <n v="77.229630313264906"/>
    <n v="3E+20"/>
    <n v="0"/>
    <n v="161"/>
    <n v="161"/>
    <n v="0"/>
    <s v="Unnamed ProjectSeize 4.QueueNumber WaitingQueue"/>
    <n v="10"/>
    <n v="81.226274902651596"/>
    <n v="11.159336682409895"/>
    <n v="0.95"/>
    <n v="7.9829085618136846"/>
    <n v="66.053444809788303"/>
    <n v="100.586340982454"/>
    <n v="7.9829085618136846"/>
  </r>
  <r>
    <x v="0"/>
    <s v="2025-12-30 22:09:11"/>
    <n v="2"/>
    <x v="37"/>
    <x v="3"/>
    <x v="1"/>
    <n v="1.0612755049707301"/>
    <n v="3E+20"/>
    <n v="0"/>
    <n v="2"/>
    <n v="1"/>
    <n v="0"/>
    <s v="Unnamed ProjectSeize 5.QueueNumber WaitingQueue"/>
    <n v="10"/>
    <n v="1.3234420699844864"/>
    <n v="0.23376145670955006"/>
    <n v="0.95"/>
    <n v="0.1672228724069392"/>
    <n v="0.88257428434366503"/>
    <n v="1.5367801636504701"/>
    <n v="0.1672228724069392"/>
  </r>
  <r>
    <x v="0"/>
    <s v="2025-12-30 22:09:11"/>
    <n v="2"/>
    <x v="38"/>
    <x v="3"/>
    <x v="1"/>
    <n v="3.2410666677324498"/>
    <n v="3E+20"/>
    <n v="0"/>
    <n v="5"/>
    <n v="2"/>
    <n v="0"/>
    <s v="Unnamed ProjectSeize 6.QueueNumber WaitingQueue"/>
    <n v="10"/>
    <n v="3.295350976306183"/>
    <n v="0.30652142094800816"/>
    <n v="0.95"/>
    <n v="0.21927221530309879"/>
    <n v="2.9443042052265702"/>
    <n v="3.9785130958891202"/>
    <n v="0.21927221530309879"/>
  </r>
  <r>
    <x v="0"/>
    <s v="2025-12-30 22:09:11"/>
    <n v="2"/>
    <x v="39"/>
    <x v="3"/>
    <x v="1"/>
    <n v="1.5867951961883899"/>
    <n v="2E+20"/>
    <n v="0"/>
    <n v="4"/>
    <n v="4"/>
    <n v="0"/>
    <s v="Unnamed ProjectSeize 7.QueueNumber WaitingQueue"/>
    <n v="10"/>
    <n v="1.4832039737284362"/>
    <n v="0.28170250043427397"/>
    <n v="0.95"/>
    <n v="0.20151782911486205"/>
    <n v="0.850065833369271"/>
    <n v="1.78320590856036"/>
    <n v="0.20151782911486205"/>
  </r>
  <r>
    <x v="0"/>
    <s v="2025-12-30 22:09:11"/>
    <n v="2"/>
    <x v="40"/>
    <x v="3"/>
    <x v="1"/>
    <n v="82.419298176043696"/>
    <n v="3E+20"/>
    <n v="0"/>
    <n v="158"/>
    <n v="158"/>
    <n v="0"/>
    <s v="Unnamed ProjectSeize 8.QueueNumber WaitingQueue"/>
    <n v="10"/>
    <n v="84.673313986400757"/>
    <n v="6.3050274623130749"/>
    <n v="0.95"/>
    <n v="4.5103449375003528"/>
    <n v="72.004631303705096"/>
    <n v="94.488584180465494"/>
    <n v="4.5103449375003528"/>
  </r>
  <r>
    <x v="0"/>
    <s v="2025-12-30 22:09:11"/>
    <n v="2"/>
    <x v="41"/>
    <x v="3"/>
    <x v="1"/>
    <n v="3.7448575603137102"/>
    <n v="3E+20"/>
    <n v="0"/>
    <n v="5"/>
    <n v="4"/>
    <n v="0"/>
    <s v="Unnamed ProjectSeize 9.QueueNumber WaitingQueue"/>
    <n v="10"/>
    <n v="3.1643006447829118"/>
    <n v="0.56709805972033456"/>
    <n v="0.95"/>
    <n v="0.40567751338350572"/>
    <n v="2.1571183231200299"/>
    <n v="3.7448575603137102"/>
    <n v="0.40567751338350572"/>
  </r>
  <r>
    <x v="0"/>
    <s v="2025-12-30 22:09:11"/>
    <n v="2"/>
    <x v="42"/>
    <x v="4"/>
    <x v="2"/>
    <n v="3.2132100714910901"/>
    <n v="3E+20"/>
    <n v="0"/>
    <n v="8"/>
    <n v="5"/>
    <n v="0"/>
    <s v="Unnamed ProjectWire HarnessWIPEntity"/>
    <n v="10"/>
    <n v="2.7938165767457108"/>
    <n v="0.37107770243484822"/>
    <n v="0.95"/>
    <n v="0.26545299708849601"/>
    <n v="2.05988155680273"/>
    <n v="3.2132100714910901"/>
    <n v="0.26545299708849601"/>
  </r>
  <r>
    <x v="0"/>
    <s v="2025-12-30 22:09:11"/>
    <n v="3"/>
    <x v="0"/>
    <x v="0"/>
    <x v="0"/>
    <n v="3.6063384570627799E-2"/>
    <n v="3E+20"/>
    <n v="0"/>
    <n v="1"/>
    <n v="0"/>
    <n v="0"/>
    <s v="Unnamed ProjectAssemblerInstantaneous UtilizationResource"/>
    <n v="10"/>
    <n v="3.6074566243936998E-2"/>
    <n v="6.6761681626786623E-5"/>
    <n v="0.95"/>
    <n v="4.7758430005936653E-5"/>
    <n v="3.5941735992799297E-2"/>
    <n v="3.6177689828441002E-2"/>
    <n v="4.7758430005936653E-5"/>
  </r>
  <r>
    <x v="0"/>
    <s v="2025-12-30 22:09:11"/>
    <n v="3"/>
    <x v="0"/>
    <x v="1"/>
    <x v="0"/>
    <n v="3.6063384570627799E-2"/>
    <n v="3E+20"/>
    <n v="0"/>
    <n v="1"/>
    <n v="0"/>
    <n v="0"/>
    <s v="Unnamed ProjectAssemblerNumber BusyResource"/>
    <n v="10"/>
    <n v="3.6074566243937005E-2"/>
    <n v="6.6761681626785268E-5"/>
    <n v="0.95"/>
    <n v="4.7758430005935684E-5"/>
    <n v="3.5941735992799297E-2"/>
    <n v="3.6177689828441002E-2"/>
    <n v="4.7758430005935684E-5"/>
  </r>
  <r>
    <x v="0"/>
    <s v="2025-12-30 22:09:11"/>
    <n v="3"/>
    <x v="0"/>
    <x v="2"/>
    <x v="0"/>
    <n v="0.476190476190476"/>
    <n v="2E+20"/>
    <n v="0"/>
    <n v="1"/>
    <n v="0"/>
    <n v="0"/>
    <s v="Unnamed ProjectAssemblerNumber ScheduledResource"/>
    <n v="10"/>
    <n v="0.476190476190476"/>
    <n v="0"/>
    <n v="0.95"/>
    <n v="0"/>
    <n v="0.476190476190476"/>
    <n v="0.476190476190476"/>
    <n v="0"/>
  </r>
  <r>
    <x v="0"/>
    <s v="2025-12-30 22:09:11"/>
    <n v="3"/>
    <x v="1"/>
    <x v="3"/>
    <x v="1"/>
    <n v="2.2669188890291099"/>
    <n v="3E+20"/>
    <n v="0"/>
    <n v="5"/>
    <n v="1"/>
    <n v="0"/>
    <s v="Unnamed ProjectAssembly Batch.QueueNumber WaitingQueue"/>
    <n v="10"/>
    <n v="1.983224619189873"/>
    <n v="0.29990249131557767"/>
    <n v="0.95"/>
    <n v="0.21453731828040576"/>
    <n v="1.4478959937017499"/>
    <n v="2.3267973127516899"/>
    <n v="0.21453731828040576"/>
  </r>
  <r>
    <x v="0"/>
    <s v="2025-12-30 22:09:11"/>
    <n v="3"/>
    <x v="2"/>
    <x v="3"/>
    <x v="1"/>
    <n v="0.589262057305041"/>
    <n v="3E+20"/>
    <n v="0"/>
    <n v="2"/>
    <n v="1"/>
    <n v="0"/>
    <s v="Unnamed ProjectBatch 2.QueueNumber WaitingQueue"/>
    <n v="10"/>
    <n v="0.47900820660242172"/>
    <n v="0.13717282935395095"/>
    <n v="0.95"/>
    <n v="9.8127530789884315E-2"/>
    <n v="0.25584390949740998"/>
    <n v="0.66613303676888702"/>
    <n v="9.8127530789884315E-2"/>
  </r>
  <r>
    <x v="0"/>
    <s v="2025-12-30 22:09:11"/>
    <n v="3"/>
    <x v="3"/>
    <x v="3"/>
    <x v="1"/>
    <n v="0.27368997502085401"/>
    <n v="3E+20"/>
    <n v="0"/>
    <n v="2"/>
    <n v="0"/>
    <n v="0"/>
    <s v="Unnamed ProjectBatch 3.QueueNumber WaitingQueue"/>
    <n v="10"/>
    <n v="0.41775820490048837"/>
    <n v="0.15099462697666188"/>
    <n v="0.95"/>
    <n v="0.1080150491722195"/>
    <n v="0.25632285648643699"/>
    <n v="0.68422762922173497"/>
    <n v="0.1080150491722195"/>
  </r>
  <r>
    <x v="0"/>
    <s v="2025-12-30 22:09:11"/>
    <n v="3"/>
    <x v="4"/>
    <x v="4"/>
    <x v="2"/>
    <n v="20.600999845701899"/>
    <n v="2E+20"/>
    <n v="0"/>
    <n v="125"/>
    <n v="0"/>
    <n v="0"/>
    <s v="Unnamed ProjectCustomerWIPEntity"/>
    <n v="10"/>
    <n v="17.583529006307167"/>
    <n v="4.1660214616007023"/>
    <n v="0.95"/>
    <n v="2.9801922229780646"/>
    <n v="10.842462759184199"/>
    <n v="25.8699848535447"/>
    <n v="2.9801922229780646"/>
  </r>
  <r>
    <x v="0"/>
    <s v="2025-12-30 22:09:11"/>
    <n v="3"/>
    <x v="5"/>
    <x v="4"/>
    <x v="2"/>
    <n v="95.351611551607903"/>
    <n v="3E+20"/>
    <n v="0"/>
    <n v="173"/>
    <n v="173"/>
    <n v="0"/>
    <s v="Unnamed ProjectEntity 1WIPEntity"/>
    <n v="10"/>
    <n v="95.041511376368575"/>
    <n v="6.556289254191463"/>
    <n v="0.95"/>
    <n v="4.6900867955271215"/>
    <n v="81.860988802888798"/>
    <n v="104.034812219697"/>
    <n v="4.6900867955271215"/>
  </r>
  <r>
    <x v="0"/>
    <s v="2025-12-30 22:09:11"/>
    <n v="3"/>
    <x v="6"/>
    <x v="4"/>
    <x v="2"/>
    <n v="986.61029939527498"/>
    <n v="3E+20"/>
    <n v="0"/>
    <n v="1892"/>
    <n v="1892"/>
    <n v="0"/>
    <s v="Unnamed ProjectEntity 2WIPEntity"/>
    <n v="10"/>
    <n v="959.25249800465133"/>
    <n v="16.228386811509871"/>
    <n v="0.95"/>
    <n v="11.609088578376843"/>
    <n v="935.21729677519602"/>
    <n v="986.61029939527498"/>
    <n v="11.609088578376843"/>
  </r>
  <r>
    <x v="0"/>
    <s v="2025-12-30 22:09:11"/>
    <n v="3"/>
    <x v="7"/>
    <x v="4"/>
    <x v="2"/>
    <n v="4233.0569788620896"/>
    <n v="3E+20"/>
    <n v="0"/>
    <n v="8157"/>
    <n v="8157"/>
    <n v="0"/>
    <s v="Unnamed ProjectEntity 3WIPEntity"/>
    <n v="10"/>
    <n v="4203.5615331875215"/>
    <n v="17.695322227060075"/>
    <n v="0.95"/>
    <n v="12.658470958503626"/>
    <n v="4170.1494074333395"/>
    <n v="4233.0569788620896"/>
    <n v="12.658470958503626"/>
  </r>
  <r>
    <x v="0"/>
    <s v="2025-12-30 22:09:11"/>
    <n v="3"/>
    <x v="8"/>
    <x v="0"/>
    <x v="0"/>
    <n v="0.50190078290792095"/>
    <n v="3E+20"/>
    <n v="0"/>
    <n v="1"/>
    <n v="1"/>
    <n v="0"/>
    <s v="Unnamed ProjectKanban L1S1Instantaneous UtilizationResource"/>
    <n v="10"/>
    <n v="0.48160620907873086"/>
    <n v="8.6686321722355061E-2"/>
    <n v="0.95"/>
    <n v="6.2011658897281531E-2"/>
    <n v="0.292184201252493"/>
    <n v="0.57167989674475905"/>
    <n v="6.2011658897281531E-2"/>
  </r>
  <r>
    <x v="0"/>
    <s v="2025-12-30 22:09:11"/>
    <n v="3"/>
    <x v="8"/>
    <x v="1"/>
    <x v="0"/>
    <n v="2.0076031316316798"/>
    <n v="3E+20"/>
    <n v="0"/>
    <n v="4"/>
    <n v="4"/>
    <n v="0"/>
    <s v="Unnamed ProjectKanban L1S1Number BusyResource"/>
    <n v="10"/>
    <n v="1.9264248363149217"/>
    <n v="0.34674528688941914"/>
    <n v="0.95"/>
    <n v="0.24804663558912532"/>
    <n v="1.16873680500997"/>
    <n v="2.28671958697903"/>
    <n v="0.24804663558912532"/>
  </r>
  <r>
    <x v="0"/>
    <s v="2025-12-30 22:09:11"/>
    <n v="3"/>
    <x v="8"/>
    <x v="2"/>
    <x v="0"/>
    <n v="4"/>
    <n v="2E+20"/>
    <n v="4"/>
    <n v="4"/>
    <n v="4"/>
    <n v="0"/>
    <s v="Unnamed ProjectKanban L1S1Number ScheduledResource"/>
    <n v="10"/>
    <n v="4"/>
    <n v="0"/>
    <n v="0.95"/>
    <n v="0"/>
    <n v="4"/>
    <n v="4"/>
    <n v="0"/>
  </r>
  <r>
    <x v="0"/>
    <s v="2025-12-30 22:09:11"/>
    <n v="3"/>
    <x v="9"/>
    <x v="0"/>
    <x v="0"/>
    <n v="0.236690589187664"/>
    <n v="3E+20"/>
    <n v="0"/>
    <n v="1"/>
    <n v="0"/>
    <n v="0"/>
    <s v="Unnamed ProjectKanban L1S2Instantaneous UtilizationResource"/>
    <n v="10"/>
    <n v="0.25269289312392118"/>
    <n v="4.9214010083081669E-2"/>
    <n v="0.95"/>
    <n v="3.5205581983442397E-2"/>
    <n v="0.20500025225945401"/>
    <n v="0.33570777662711199"/>
    <n v="3.5205581983442397E-2"/>
  </r>
  <r>
    <x v="0"/>
    <s v="2025-12-30 22:09:11"/>
    <n v="3"/>
    <x v="9"/>
    <x v="1"/>
    <x v="0"/>
    <n v="0.71007176756298396"/>
    <n v="3E+20"/>
    <n v="0"/>
    <n v="3"/>
    <n v="0"/>
    <n v="0"/>
    <s v="Unnamed ProjectKanban L1S2Number BusyResource"/>
    <n v="10"/>
    <n v="0.75807867937176476"/>
    <n v="0.14764203024924766"/>
    <n v="0.95"/>
    <n v="0.10561674595032908"/>
    <n v="0.61500075677836796"/>
    <n v="1.00712332988134"/>
    <n v="0.10561674595032908"/>
  </r>
  <r>
    <x v="0"/>
    <s v="2025-12-30 22:09:11"/>
    <n v="3"/>
    <x v="9"/>
    <x v="2"/>
    <x v="0"/>
    <n v="3"/>
    <n v="2E+20"/>
    <n v="3"/>
    <n v="3"/>
    <n v="3"/>
    <n v="0"/>
    <s v="Unnamed ProjectKanban L1S2Number ScheduledResource"/>
    <n v="10"/>
    <n v="3"/>
    <n v="0"/>
    <n v="0.95"/>
    <n v="0"/>
    <n v="3"/>
    <n v="3"/>
    <n v="0"/>
  </r>
  <r>
    <x v="0"/>
    <s v="2025-12-30 22:09:11"/>
    <n v="3"/>
    <x v="10"/>
    <x v="0"/>
    <x v="0"/>
    <n v="0.15163652090183999"/>
    <n v="3E+20"/>
    <n v="0"/>
    <n v="0.66666666666666696"/>
    <n v="0"/>
    <n v="0"/>
    <s v="Unnamed ProjectKanban L1S3Instantaneous UtilizationResource"/>
    <n v="10"/>
    <n v="0.151561654865698"/>
    <n v="1.2198256688154243E-4"/>
    <n v="0.95"/>
    <n v="8.7261071626739862E-5"/>
    <n v="0.15134711042770499"/>
    <n v="0.15172806047441101"/>
    <n v="8.7261071626739862E-5"/>
  </r>
  <r>
    <x v="0"/>
    <s v="2025-12-30 22:09:11"/>
    <n v="3"/>
    <x v="10"/>
    <x v="1"/>
    <x v="0"/>
    <n v="0.45490956270552502"/>
    <n v="3E+20"/>
    <n v="0"/>
    <n v="2"/>
    <n v="0"/>
    <n v="0"/>
    <s v="Unnamed ProjectKanban L1S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3"/>
    <x v="10"/>
    <x v="2"/>
    <x v="0"/>
    <n v="3"/>
    <n v="2E+20"/>
    <n v="3"/>
    <n v="3"/>
    <n v="3"/>
    <n v="0"/>
    <s v="Unnamed ProjectKanban L1S3Number ScheduledResource"/>
    <n v="10"/>
    <n v="3"/>
    <n v="0"/>
    <n v="0.95"/>
    <n v="0"/>
    <n v="3"/>
    <n v="3"/>
    <n v="0"/>
  </r>
  <r>
    <x v="0"/>
    <s v="2025-12-30 22:09:11"/>
    <n v="3"/>
    <x v="11"/>
    <x v="0"/>
    <x v="0"/>
    <n v="0.95234157475900505"/>
    <n v="2E+20"/>
    <n v="0"/>
    <n v="1"/>
    <n v="1"/>
    <n v="0"/>
    <s v="Unnamed ProjectKanban L2S1Instantaneous UtilizationResource"/>
    <n v="10"/>
    <n v="0.84558522180863771"/>
    <n v="0.11694354024491282"/>
    <n v="0.95"/>
    <n v="8.3656369122856733E-2"/>
    <n v="0.625269422960122"/>
    <n v="0.95234896906597499"/>
    <n v="8.3656369122856733E-2"/>
  </r>
  <r>
    <x v="0"/>
    <s v="2025-12-30 22:09:11"/>
    <n v="3"/>
    <x v="11"/>
    <x v="1"/>
    <x v="0"/>
    <n v="1.9046831495180101"/>
    <n v="2E+20"/>
    <n v="0"/>
    <n v="2"/>
    <n v="2"/>
    <n v="0"/>
    <s v="Unnamed ProjectKanban L2S1Number BusyResource"/>
    <n v="10"/>
    <n v="1.6911704436172748"/>
    <n v="0.23388708048982901"/>
    <n v="0.95"/>
    <n v="0.16731273824571591"/>
    <n v="1.25053884592024"/>
    <n v="1.90469793813195"/>
    <n v="0.16731273824571591"/>
  </r>
  <r>
    <x v="0"/>
    <s v="2025-12-30 22:09:11"/>
    <n v="3"/>
    <x v="11"/>
    <x v="2"/>
    <x v="0"/>
    <n v="2"/>
    <n v="2E+20"/>
    <n v="2"/>
    <n v="2"/>
    <n v="2"/>
    <n v="0"/>
    <s v="Unnamed ProjectKanban L2S1Number ScheduledResource"/>
    <n v="10"/>
    <n v="2"/>
    <n v="0"/>
    <n v="0.95"/>
    <n v="0"/>
    <n v="2"/>
    <n v="2"/>
    <n v="0"/>
  </r>
  <r>
    <x v="0"/>
    <s v="2025-12-30 22:09:11"/>
    <n v="3"/>
    <x v="12"/>
    <x v="0"/>
    <x v="0"/>
    <n v="0.72639816905699495"/>
    <n v="2E+20"/>
    <n v="0"/>
    <n v="1"/>
    <n v="0.4"/>
    <n v="0"/>
    <s v="Unnamed ProjectKanban L2S2Instantaneous UtilizationResource"/>
    <n v="10"/>
    <n v="0.74077431571180252"/>
    <n v="6.1280007141723249E-2"/>
    <n v="0.95"/>
    <n v="4.3837076306763374E-2"/>
    <n v="0.67060354368791797"/>
    <n v="0.87728997349342996"/>
    <n v="4.3837076306763374E-2"/>
  </r>
  <r>
    <x v="0"/>
    <s v="2025-12-30 22:09:11"/>
    <n v="3"/>
    <x v="12"/>
    <x v="1"/>
    <x v="0"/>
    <n v="3.6319908452849701"/>
    <n v="2E+20"/>
    <n v="0"/>
    <n v="5"/>
    <n v="2"/>
    <n v="0"/>
    <s v="Unnamed ProjectKanban L2S2Number BusyResource"/>
    <n v="10"/>
    <n v="3.7038715785590122"/>
    <n v="0.30640003570861163"/>
    <n v="0.95"/>
    <n v="0.21918538153381359"/>
    <n v="3.35301771843959"/>
    <n v="4.3864498674671397"/>
    <n v="0.21918538153381359"/>
  </r>
  <r>
    <x v="0"/>
    <s v="2025-12-30 22:09:11"/>
    <n v="3"/>
    <x v="12"/>
    <x v="2"/>
    <x v="0"/>
    <n v="5"/>
    <n v="2E+20"/>
    <n v="5"/>
    <n v="5"/>
    <n v="5"/>
    <n v="0"/>
    <s v="Unnamed ProjectKanban L2S2Number ScheduledResource"/>
    <n v="10"/>
    <n v="5"/>
    <n v="0"/>
    <n v="0.95"/>
    <n v="0"/>
    <n v="5"/>
    <n v="5"/>
    <n v="0"/>
  </r>
  <r>
    <x v="0"/>
    <s v="2025-12-30 22:09:11"/>
    <n v="3"/>
    <x v="13"/>
    <x v="0"/>
    <x v="0"/>
    <n v="0.55422379995112203"/>
    <n v="3E+20"/>
    <n v="0"/>
    <n v="1"/>
    <n v="1"/>
    <n v="0"/>
    <s v="Unnamed ProjectKanban L2S3Instantaneous UtilizationResource"/>
    <n v="10"/>
    <n v="0.52391445815006699"/>
    <n v="7.0460308415606909E-2"/>
    <n v="0.95"/>
    <n v="5.0404268221927347E-2"/>
    <n v="0.36555656561218303"/>
    <n v="0.59886206518967"/>
    <n v="5.0404268221927347E-2"/>
  </r>
  <r>
    <x v="0"/>
    <s v="2025-12-30 22:09:11"/>
    <n v="3"/>
    <x v="13"/>
    <x v="1"/>
    <x v="0"/>
    <n v="2.2168951998044899"/>
    <n v="3E+20"/>
    <n v="0"/>
    <n v="4"/>
    <n v="4"/>
    <n v="0"/>
    <s v="Unnamed ProjectKanban L2S3Number BusyResource"/>
    <n v="10"/>
    <n v="2.0956578326002671"/>
    <n v="0.28184123366242902"/>
    <n v="0.95"/>
    <n v="0.20161707288771036"/>
    <n v="1.4622262624487301"/>
    <n v="2.39544826075868"/>
    <n v="0.20161707288771036"/>
  </r>
  <r>
    <x v="0"/>
    <s v="2025-12-30 22:09:11"/>
    <n v="3"/>
    <x v="13"/>
    <x v="2"/>
    <x v="0"/>
    <n v="4"/>
    <n v="2E+20"/>
    <n v="4"/>
    <n v="4"/>
    <n v="4"/>
    <n v="0"/>
    <s v="Unnamed ProjectKanban L2S3Number ScheduledResource"/>
    <n v="10"/>
    <n v="4"/>
    <n v="0"/>
    <n v="0.95"/>
    <n v="0"/>
    <n v="4"/>
    <n v="4"/>
    <n v="0"/>
  </r>
  <r>
    <x v="0"/>
    <s v="2025-12-30 22:09:11"/>
    <n v="3"/>
    <x v="14"/>
    <x v="0"/>
    <x v="0"/>
    <n v="0.14953450424571699"/>
    <n v="3E+20"/>
    <n v="0"/>
    <n v="1"/>
    <n v="0"/>
    <n v="0"/>
    <s v="Unnamed ProjectKanban L2S4Instantaneous UtilizationResource"/>
    <n v="10"/>
    <n v="0.14955853655775292"/>
    <n v="1.8487754554887928E-4"/>
    <n v="0.95"/>
    <n v="1.3225342896729691E-4"/>
    <n v="0.14921189842985499"/>
    <n v="0.14985050053976801"/>
    <n v="1.3225342896729691E-4"/>
  </r>
  <r>
    <x v="0"/>
    <s v="2025-12-30 22:09:11"/>
    <n v="3"/>
    <x v="14"/>
    <x v="1"/>
    <x v="0"/>
    <n v="0.29906900849143397"/>
    <n v="3E+20"/>
    <n v="0"/>
    <n v="2"/>
    <n v="0"/>
    <n v="0"/>
    <s v="Unnamed ProjectKanban L2S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3"/>
    <x v="14"/>
    <x v="2"/>
    <x v="0"/>
    <n v="2"/>
    <n v="2E+20"/>
    <n v="2"/>
    <n v="2"/>
    <n v="2"/>
    <n v="0"/>
    <s v="Unnamed ProjectKanban L2S4Number ScheduledResource"/>
    <n v="10"/>
    <n v="2"/>
    <n v="0"/>
    <n v="0.95"/>
    <n v="0"/>
    <n v="2"/>
    <n v="2"/>
    <n v="0"/>
  </r>
  <r>
    <x v="0"/>
    <s v="2025-12-30 22:09:11"/>
    <n v="3"/>
    <x v="15"/>
    <x v="0"/>
    <x v="0"/>
    <n v="0.78659226136369698"/>
    <n v="3E+20"/>
    <n v="0"/>
    <n v="1"/>
    <n v="0.6"/>
    <n v="0"/>
    <s v="Unnamed ProjectKanban L3S1Instantaneous UtilizationResource"/>
    <n v="10"/>
    <n v="0.78490250681152507"/>
    <n v="0.11345978752761832"/>
    <n v="0.95"/>
    <n v="8.1164242557846045E-2"/>
    <n v="0.58338388917401696"/>
    <n v="0.90111632059041802"/>
    <n v="8.1164242557846045E-2"/>
  </r>
  <r>
    <x v="0"/>
    <s v="2025-12-30 22:09:11"/>
    <n v="3"/>
    <x v="15"/>
    <x v="1"/>
    <x v="0"/>
    <n v="3.9329613068184699"/>
    <n v="3E+20"/>
    <n v="0"/>
    <n v="5"/>
    <n v="3"/>
    <n v="0"/>
    <s v="Unnamed ProjectKanban L3S1Number BusyResource"/>
    <n v="10"/>
    <n v="3.9245125340576221"/>
    <n v="0.56729893763807904"/>
    <n v="0.95"/>
    <n v="0.40582121278922129"/>
    <n v="2.91691944587008"/>
    <n v="4.5055816029520903"/>
    <n v="0.40582121278922129"/>
  </r>
  <r>
    <x v="0"/>
    <s v="2025-12-30 22:09:11"/>
    <n v="3"/>
    <x v="15"/>
    <x v="2"/>
    <x v="0"/>
    <n v="5"/>
    <n v="2E+20"/>
    <n v="5"/>
    <n v="5"/>
    <n v="5"/>
    <n v="0"/>
    <s v="Unnamed ProjectKanban L3S1Number ScheduledResource"/>
    <n v="10"/>
    <n v="5"/>
    <n v="0"/>
    <n v="0.95"/>
    <n v="0"/>
    <n v="5"/>
    <n v="5"/>
    <n v="0"/>
  </r>
  <r>
    <x v="0"/>
    <s v="2025-12-30 22:09:11"/>
    <n v="3"/>
    <x v="16"/>
    <x v="0"/>
    <x v="0"/>
    <n v="0.15878598034017599"/>
    <n v="2E+20"/>
    <n v="0"/>
    <n v="0.66666666666666696"/>
    <n v="0"/>
    <n v="0"/>
    <s v="Unnamed ProjectKanban L3S2Instantaneous UtilizationResource"/>
    <n v="10"/>
    <n v="0.15879210791146137"/>
    <n v="8.8786593845171554E-6"/>
    <n v="0.95"/>
    <n v="6.3514103064755986E-6"/>
    <n v="0.15877821852350199"/>
    <n v="0.15880443244107401"/>
    <n v="6.3514103064755986E-6"/>
  </r>
  <r>
    <x v="0"/>
    <s v="2025-12-30 22:09:11"/>
    <n v="3"/>
    <x v="16"/>
    <x v="1"/>
    <x v="0"/>
    <n v="0.47635794102052997"/>
    <n v="2E+20"/>
    <n v="0"/>
    <n v="2"/>
    <n v="0"/>
    <n v="0"/>
    <s v="Unnamed ProjectKanban L3S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3"/>
    <x v="16"/>
    <x v="2"/>
    <x v="0"/>
    <n v="3"/>
    <n v="2E+20"/>
    <n v="3"/>
    <n v="3"/>
    <n v="3"/>
    <n v="0"/>
    <s v="Unnamed ProjectKanban L3S2Number ScheduledResource"/>
    <n v="10"/>
    <n v="3"/>
    <n v="0"/>
    <n v="0.95"/>
    <n v="0"/>
    <n v="3"/>
    <n v="3"/>
    <n v="0"/>
  </r>
  <r>
    <x v="0"/>
    <s v="2025-12-30 22:09:11"/>
    <n v="3"/>
    <x v="17"/>
    <x v="0"/>
    <x v="0"/>
    <n v="0.47640504670983802"/>
    <n v="2E+20"/>
    <n v="0"/>
    <n v="1"/>
    <n v="0"/>
    <n v="0"/>
    <s v="Unnamed ProjectL1 Station1Instantaneous Utilization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3"/>
    <x v="17"/>
    <x v="1"/>
    <x v="0"/>
    <n v="0.47640504670983802"/>
    <n v="2E+20"/>
    <n v="0"/>
    <n v="1"/>
    <n v="0"/>
    <n v="0"/>
    <s v="Unnamed ProjectL1 Station1Number Busy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3"/>
    <x v="17"/>
    <x v="2"/>
    <x v="0"/>
    <n v="0.476190476190476"/>
    <n v="2E+20"/>
    <n v="0"/>
    <n v="1"/>
    <n v="0"/>
    <n v="0"/>
    <s v="Unnamed ProjectL1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3"/>
    <x v="18"/>
    <x v="0"/>
    <x v="0"/>
    <n v="0.34675468880767701"/>
    <n v="3E+20"/>
    <n v="0"/>
    <n v="1"/>
    <n v="0"/>
    <n v="0"/>
    <s v="Unnamed ProjectL1 Station2Instantaneous Utilization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3"/>
    <x v="18"/>
    <x v="1"/>
    <x v="0"/>
    <n v="0.34675468880767701"/>
    <n v="3E+20"/>
    <n v="0"/>
    <n v="1"/>
    <n v="0"/>
    <n v="0"/>
    <s v="Unnamed ProjectL1 Station2Number Busy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3"/>
    <x v="18"/>
    <x v="2"/>
    <x v="0"/>
    <n v="0.476190476190476"/>
    <n v="2E+20"/>
    <n v="0"/>
    <n v="1"/>
    <n v="0"/>
    <n v="0"/>
    <s v="Unnamed ProjectL1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3"/>
    <x v="19"/>
    <x v="0"/>
    <x v="0"/>
    <n v="0.45490956270552502"/>
    <n v="3E+20"/>
    <n v="0"/>
    <n v="1"/>
    <n v="0"/>
    <n v="0"/>
    <s v="Unnamed ProjectL1 Station3Instantaneous Utilization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3"/>
    <x v="19"/>
    <x v="1"/>
    <x v="0"/>
    <n v="0.45490956270552502"/>
    <n v="3E+20"/>
    <n v="0"/>
    <n v="1"/>
    <n v="0"/>
    <n v="0"/>
    <s v="Unnamed ProjectL1 Station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3"/>
    <x v="19"/>
    <x v="2"/>
    <x v="0"/>
    <n v="0.476190476190476"/>
    <n v="2E+20"/>
    <n v="0"/>
    <n v="1"/>
    <n v="0"/>
    <n v="0"/>
    <s v="Unnamed ProjectL1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3"/>
    <x v="20"/>
    <x v="0"/>
    <x v="0"/>
    <n v="0.23190178661639699"/>
    <n v="3E+20"/>
    <n v="0"/>
    <n v="1"/>
    <n v="0"/>
    <n v="0"/>
    <s v="Unnamed ProjectL2 Station1Instantaneous Utilization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3"/>
    <x v="20"/>
    <x v="1"/>
    <x v="0"/>
    <n v="0.23190178661639699"/>
    <n v="3E+20"/>
    <n v="0"/>
    <n v="1"/>
    <n v="0"/>
    <n v="0"/>
    <s v="Unnamed ProjectL2 Station1Number Busy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3"/>
    <x v="20"/>
    <x v="2"/>
    <x v="0"/>
    <n v="0.476190476190476"/>
    <n v="2E+20"/>
    <n v="0"/>
    <n v="1"/>
    <n v="0"/>
    <n v="0"/>
    <s v="Unnamed ProjectL2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3"/>
    <x v="21"/>
    <x v="0"/>
    <x v="0"/>
    <n v="0.27283313106114998"/>
    <n v="3E+20"/>
    <n v="0"/>
    <n v="1"/>
    <n v="0"/>
    <n v="0"/>
    <s v="Unnamed ProjectL2 Station2Instantaneous Utilization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3"/>
    <x v="21"/>
    <x v="1"/>
    <x v="0"/>
    <n v="0.27283313106114998"/>
    <n v="3E+20"/>
    <n v="0"/>
    <n v="1"/>
    <n v="0"/>
    <n v="0"/>
    <s v="Unnamed ProjectL2 Station2Number Busy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3"/>
    <x v="21"/>
    <x v="2"/>
    <x v="0"/>
    <n v="0.476190476190476"/>
    <n v="2E+20"/>
    <n v="0"/>
    <n v="1"/>
    <n v="0"/>
    <n v="0"/>
    <s v="Unnamed ProjectL2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3"/>
    <x v="22"/>
    <x v="0"/>
    <x v="0"/>
    <n v="0.47643658316276999"/>
    <n v="2E+20"/>
    <n v="0"/>
    <n v="1"/>
    <n v="0"/>
    <n v="0"/>
    <s v="Unnamed ProjectL2 Station3Instantaneous UtilizationResource"/>
    <n v="10"/>
    <n v="0.47640752107427203"/>
    <n v="7.9809559904816854E-5"/>
    <n v="0.95"/>
    <n v="5.7092319840390197E-5"/>
    <n v="0.47622171379262102"/>
    <n v="0.47651577494330499"/>
    <n v="5.7092319840390197E-5"/>
  </r>
  <r>
    <x v="0"/>
    <s v="2025-12-30 22:09:11"/>
    <n v="3"/>
    <x v="22"/>
    <x v="1"/>
    <x v="0"/>
    <n v="0.47643658316276999"/>
    <n v="2E+20"/>
    <n v="0"/>
    <n v="1"/>
    <n v="0"/>
    <n v="0"/>
    <s v="Unnamed ProjectL2 Station3Number BusyResource"/>
    <n v="10"/>
    <n v="0.47640752107427209"/>
    <n v="7.980955990487845E-5"/>
    <n v="0.95"/>
    <n v="5.7092319840434263E-5"/>
    <n v="0.47622171379262102"/>
    <n v="0.47651577494330499"/>
    <n v="5.7092319840434263E-5"/>
  </r>
  <r>
    <x v="0"/>
    <s v="2025-12-30 22:09:11"/>
    <n v="3"/>
    <x v="22"/>
    <x v="2"/>
    <x v="0"/>
    <n v="0.476190476190476"/>
    <n v="2E+20"/>
    <n v="0"/>
    <n v="1"/>
    <n v="0"/>
    <n v="0"/>
    <s v="Unnamed ProjectL2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3"/>
    <x v="23"/>
    <x v="0"/>
    <x v="0"/>
    <n v="0.29906900849143397"/>
    <n v="3E+20"/>
    <n v="0"/>
    <n v="1"/>
    <n v="0"/>
    <n v="0"/>
    <s v="Unnamed ProjectL2 Station4Instantaneous Utilization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3"/>
    <x v="23"/>
    <x v="1"/>
    <x v="0"/>
    <n v="0.29906900849143397"/>
    <n v="3E+20"/>
    <n v="0"/>
    <n v="1"/>
    <n v="0"/>
    <n v="0"/>
    <s v="Unnamed ProjectL2 Station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3"/>
    <x v="23"/>
    <x v="2"/>
    <x v="0"/>
    <n v="0.476190476190476"/>
    <n v="2E+20"/>
    <n v="0"/>
    <n v="1"/>
    <n v="0"/>
    <n v="0"/>
    <s v="Unnamed ProjectL2 Station4Number ScheduledResource"/>
    <n v="10"/>
    <n v="0.476190476190476"/>
    <n v="0"/>
    <n v="0.95"/>
    <n v="0"/>
    <n v="0.476190476190476"/>
    <n v="0.476190476190476"/>
    <n v="0"/>
  </r>
  <r>
    <x v="0"/>
    <s v="2025-12-30 22:09:11"/>
    <n v="3"/>
    <x v="24"/>
    <x v="0"/>
    <x v="0"/>
    <n v="0.45617881497384899"/>
    <n v="3E+20"/>
    <n v="0"/>
    <n v="1"/>
    <n v="0"/>
    <n v="0"/>
    <s v="Unnamed ProjectL3 Station1Instantaneous Utilization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3"/>
    <x v="24"/>
    <x v="1"/>
    <x v="0"/>
    <n v="0.45617881497384899"/>
    <n v="3E+20"/>
    <n v="0"/>
    <n v="1"/>
    <n v="0"/>
    <n v="0"/>
    <s v="Unnamed ProjectL3 Station1Number Busy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3"/>
    <x v="24"/>
    <x v="2"/>
    <x v="0"/>
    <n v="0.476190476190476"/>
    <n v="2E+20"/>
    <n v="0"/>
    <n v="1"/>
    <n v="0"/>
    <n v="0"/>
    <s v="Unnamed ProjectL3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3"/>
    <x v="25"/>
    <x v="0"/>
    <x v="0"/>
    <n v="0.47635794102052997"/>
    <n v="2E+20"/>
    <n v="0"/>
    <n v="1"/>
    <n v="0"/>
    <n v="0"/>
    <s v="Unnamed ProjectL3 Station2Instantaneous UtilizationResource"/>
    <n v="10"/>
    <n v="0.47637632373438449"/>
    <n v="2.6635978153163645E-5"/>
    <n v="0.95"/>
    <n v="1.9054230919149366E-5"/>
    <n v="0.47633465557050603"/>
    <n v="0.47641329732322302"/>
    <n v="1.9054230919149366E-5"/>
  </r>
  <r>
    <x v="0"/>
    <s v="2025-12-30 22:09:11"/>
    <n v="3"/>
    <x v="25"/>
    <x v="1"/>
    <x v="0"/>
    <n v="0.47635794102052997"/>
    <n v="2E+20"/>
    <n v="0"/>
    <n v="1"/>
    <n v="0"/>
    <n v="0"/>
    <s v="Unnamed ProjectL3 Station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3"/>
    <x v="25"/>
    <x v="2"/>
    <x v="0"/>
    <n v="0.476190476190476"/>
    <n v="2E+20"/>
    <n v="0"/>
    <n v="1"/>
    <n v="0"/>
    <n v="0"/>
    <s v="Unnamed ProjectL3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3"/>
    <x v="26"/>
    <x v="3"/>
    <x v="1"/>
    <n v="2.4278823774857099E-5"/>
    <n v="2E+20"/>
    <n v="0"/>
    <n v="1"/>
    <n v="0"/>
    <n v="0"/>
    <s v="Unnamed ProjectMatch 1.Queue1Number WaitingQueue"/>
    <n v="10"/>
    <n v="2.9170315053456471E-5"/>
    <n v="7.7933109083950271E-6"/>
    <n v="0.95"/>
    <n v="5.5749987786968959E-6"/>
    <n v="1.80144253291803E-5"/>
    <n v="4.21406992387485E-5"/>
    <n v="5.5749987786968959E-6"/>
  </r>
  <r>
    <x v="0"/>
    <s v="2025-12-30 22:09:11"/>
    <n v="3"/>
    <x v="27"/>
    <x v="3"/>
    <x v="1"/>
    <n v="875.48864670827095"/>
    <n v="3E+20"/>
    <n v="0"/>
    <n v="1689"/>
    <n v="1689"/>
    <n v="0"/>
    <s v="Unnamed ProjectMatch 1.Queue2Number WaitingQueue"/>
    <n v="10"/>
    <n v="867.85098767897125"/>
    <n v="5.9823523640247513"/>
    <n v="0.95"/>
    <n v="4.2795170775550373"/>
    <n v="858.49288388840398"/>
    <n v="875.80608811200398"/>
    <n v="4.2795170775550373"/>
  </r>
  <r>
    <x v="0"/>
    <s v="2025-12-30 22:09:11"/>
    <n v="3"/>
    <x v="28"/>
    <x v="3"/>
    <x v="1"/>
    <n v="1375.17190829069"/>
    <n v="3E+20"/>
    <n v="0"/>
    <n v="2654"/>
    <n v="2654"/>
    <n v="0"/>
    <s v="Unnamed ProjectMatch 1.Queue3Number WaitingQueue"/>
    <n v="10"/>
    <n v="1368.6640709815952"/>
    <n v="5.3961917051273351"/>
    <n v="0.95"/>
    <n v="3.860203002204456"/>
    <n v="1357.5761788714599"/>
    <n v="1375.17190829069"/>
    <n v="3.860203002204456"/>
  </r>
  <r>
    <x v="0"/>
    <s v="2025-12-30 22:09:11"/>
    <n v="3"/>
    <x v="29"/>
    <x v="0"/>
    <x v="0"/>
    <n v="0"/>
    <n v="2E+20"/>
    <n v="0"/>
    <n v="0"/>
    <n v="0"/>
    <n v="0"/>
    <s v="Unnamed ProjectSales DepartmentInstantaneous UtilizationResource"/>
    <n v="10"/>
    <n v="0"/>
    <n v="0"/>
    <n v="0.95"/>
    <n v="0"/>
    <n v="0"/>
    <n v="0"/>
    <n v="0"/>
  </r>
  <r>
    <x v="0"/>
    <s v="2025-12-30 22:09:11"/>
    <n v="3"/>
    <x v="29"/>
    <x v="1"/>
    <x v="0"/>
    <n v="0"/>
    <n v="2E+20"/>
    <n v="0"/>
    <n v="0"/>
    <n v="0"/>
    <n v="0"/>
    <s v="Unnamed ProjectSales DepartmentNumber BusyResource"/>
    <n v="10"/>
    <n v="0"/>
    <n v="0"/>
    <n v="0.95"/>
    <n v="0"/>
    <n v="0"/>
    <n v="0"/>
    <n v="0"/>
  </r>
  <r>
    <x v="0"/>
    <s v="2025-12-30 22:09:11"/>
    <n v="3"/>
    <x v="29"/>
    <x v="2"/>
    <x v="0"/>
    <n v="0.26785714285714302"/>
    <n v="2E+20"/>
    <n v="0"/>
    <n v="1"/>
    <n v="1"/>
    <n v="0"/>
    <s v="Unnamed ProjectSales Department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3"/>
    <x v="30"/>
    <x v="0"/>
    <x v="0"/>
    <n v="9.4142388003996894E-2"/>
    <n v="2E+20"/>
    <n v="0"/>
    <n v="1"/>
    <n v="0"/>
    <n v="0"/>
    <s v="Unnamed ProjectSales RepInstantaneous UtilizationResource"/>
    <n v="10"/>
    <n v="8.7684406282387828E-2"/>
    <n v="9.4212906785234151E-3"/>
    <n v="0.95"/>
    <n v="6.7395853500387742E-3"/>
    <n v="7.2143522330073706E-2"/>
    <n v="0.105326430117076"/>
    <n v="6.7395853500387742E-3"/>
  </r>
  <r>
    <x v="0"/>
    <s v="2025-12-30 22:09:11"/>
    <n v="3"/>
    <x v="30"/>
    <x v="1"/>
    <x v="0"/>
    <n v="9.4142388003996894E-2"/>
    <n v="2E+20"/>
    <n v="0"/>
    <n v="1"/>
    <n v="0"/>
    <n v="0"/>
    <s v="Unnamed ProjectSales RepNumber BusyResource"/>
    <n v="10"/>
    <n v="8.7684406282387842E-2"/>
    <n v="9.4212906785234151E-3"/>
    <n v="0.95"/>
    <n v="6.7395853500387742E-3"/>
    <n v="7.2143522330073706E-2"/>
    <n v="0.105326430117076"/>
    <n v="6.7395853500387742E-3"/>
  </r>
  <r>
    <x v="0"/>
    <s v="2025-12-30 22:09:11"/>
    <n v="3"/>
    <x v="30"/>
    <x v="2"/>
    <x v="0"/>
    <n v="0.26785714285714302"/>
    <n v="2E+20"/>
    <n v="0"/>
    <n v="1"/>
    <n v="0"/>
    <n v="0"/>
    <s v="Unnamed ProjectSales Rep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3"/>
    <x v="31"/>
    <x v="3"/>
    <x v="1"/>
    <n v="83.349574735165703"/>
    <n v="2E+20"/>
    <n v="0"/>
    <n v="159"/>
    <n v="159"/>
    <n v="0"/>
    <s v="Unnamed ProjectSeize 1.QueueNumber WaitingQueue"/>
    <n v="10"/>
    <n v="83.474789654582125"/>
    <n v="6.0930686050573728"/>
    <n v="0.95"/>
    <n v="4.358718705180836"/>
    <n v="72.152998246910798"/>
    <n v="91.653675793565498"/>
    <n v="4.358718705180836"/>
  </r>
  <r>
    <x v="0"/>
    <s v="2025-12-30 22:09:11"/>
    <n v="3"/>
    <x v="32"/>
    <x v="3"/>
    <x v="1"/>
    <n v="0.58818854175612401"/>
    <n v="2E+20"/>
    <n v="0"/>
    <n v="3"/>
    <n v="2"/>
    <n v="0"/>
    <s v="Unnamed ProjectSeize 10.QueueNumber WaitingQueue"/>
    <n v="10"/>
    <n v="0.77451739131190445"/>
    <n v="0.14034110421466847"/>
    <n v="0.95"/>
    <n v="0.10039397809151185"/>
    <n v="0.57599630674201496"/>
    <n v="0.944128153448903"/>
    <n v="0.10039397809151185"/>
  </r>
  <r>
    <x v="0"/>
    <s v="2025-12-30 22:09:11"/>
    <n v="3"/>
    <x v="33"/>
    <x v="3"/>
    <x v="1"/>
    <n v="20.506857457697901"/>
    <n v="2E+20"/>
    <n v="0"/>
    <n v="124"/>
    <n v="0"/>
    <n v="0"/>
    <s v="Unnamed ProjectSeize 11.QueueNumber WaitingQueue"/>
    <n v="10"/>
    <n v="17.495844600024782"/>
    <n v="4.1567315260337745"/>
    <n v="0.95"/>
    <n v="2.9735466034142406"/>
    <n v="10.770319236854199"/>
    <n v="25.764658423427701"/>
    <n v="2.9735466034142406"/>
  </r>
  <r>
    <x v="0"/>
    <s v="2025-12-30 22:09:11"/>
    <n v="3"/>
    <x v="34"/>
    <x v="3"/>
    <x v="1"/>
    <n v="1.31440923400912"/>
    <n v="3E+20"/>
    <n v="0"/>
    <n v="4"/>
    <n v="4"/>
    <n v="0"/>
    <s v="Unnamed ProjectSeize 2.QueueNumber WaitingQueue"/>
    <n v="10"/>
    <n v="1.2334365850159306"/>
    <n v="0.34677877772765942"/>
    <n v="0.95"/>
    <n v="0.24807059349154728"/>
    <n v="0.47601596605360202"/>
    <n v="1.5938052921300001"/>
    <n v="0.24807059349154728"/>
  </r>
  <r>
    <x v="0"/>
    <s v="2025-12-30 22:09:11"/>
    <n v="3"/>
    <x v="35"/>
    <x v="3"/>
    <x v="1"/>
    <n v="0.14671094436569301"/>
    <n v="3E+20"/>
    <n v="0"/>
    <n v="2"/>
    <n v="0"/>
    <n v="0"/>
    <s v="Unnamed ProjectSeize 3.QueueNumber WaitingQueue"/>
    <n v="10"/>
    <n v="0.19501309596936622"/>
    <n v="0.14771852643081365"/>
    <n v="0.95"/>
    <n v="0.10567146802209269"/>
    <n v="5.2203254973614402E-2"/>
    <n v="0.443638473140476"/>
    <n v="0.10567146802209269"/>
  </r>
  <r>
    <x v="0"/>
    <s v="2025-12-30 22:09:11"/>
    <n v="3"/>
    <x v="36"/>
    <x v="3"/>
    <x v="1"/>
    <n v="100.586340982454"/>
    <n v="3E+20"/>
    <n v="0"/>
    <n v="192"/>
    <n v="192"/>
    <n v="0"/>
    <s v="Unnamed ProjectSeize 4.QueueNumber WaitingQueue"/>
    <n v="10"/>
    <n v="81.226274902651596"/>
    <n v="11.159336682409895"/>
    <n v="0.95"/>
    <n v="7.9829085618136846"/>
    <n v="66.053444809788303"/>
    <n v="100.586340982454"/>
    <n v="7.9829085618136846"/>
  </r>
  <r>
    <x v="0"/>
    <s v="2025-12-30 22:09:11"/>
    <n v="3"/>
    <x v="37"/>
    <x v="3"/>
    <x v="1"/>
    <n v="1.53637334581858"/>
    <n v="3E+20"/>
    <n v="0"/>
    <n v="2"/>
    <n v="2"/>
    <n v="0"/>
    <s v="Unnamed ProjectSeize 5.QueueNumber WaitingQueue"/>
    <n v="10"/>
    <n v="1.3234420699844864"/>
    <n v="0.23376145670955006"/>
    <n v="0.95"/>
    <n v="0.1672228724069392"/>
    <n v="0.88257428434366503"/>
    <n v="1.5367801636504701"/>
    <n v="0.1672228724069392"/>
  </r>
  <r>
    <x v="0"/>
    <s v="2025-12-30 22:09:11"/>
    <n v="3"/>
    <x v="38"/>
    <x v="3"/>
    <x v="1"/>
    <n v="3.22320332829905"/>
    <n v="3E+20"/>
    <n v="0"/>
    <n v="5"/>
    <n v="2"/>
    <n v="0"/>
    <s v="Unnamed ProjectSeize 6.QueueNumber WaitingQueue"/>
    <n v="10"/>
    <n v="3.295350976306183"/>
    <n v="0.30652142094800816"/>
    <n v="0.95"/>
    <n v="0.21927221530309879"/>
    <n v="2.9443042052265702"/>
    <n v="3.9785130958891202"/>
    <n v="0.21927221530309879"/>
  </r>
  <r>
    <x v="0"/>
    <s v="2025-12-30 22:09:11"/>
    <n v="3"/>
    <x v="39"/>
    <x v="3"/>
    <x v="1"/>
    <n v="1.6043237057448301"/>
    <n v="2E+20"/>
    <n v="0"/>
    <n v="4"/>
    <n v="4"/>
    <n v="0"/>
    <s v="Unnamed ProjectSeize 7.QueueNumber WaitingQueue"/>
    <n v="10"/>
    <n v="1.4832039737284362"/>
    <n v="0.28170250043427397"/>
    <n v="0.95"/>
    <n v="0.20151782911486205"/>
    <n v="0.850065833369271"/>
    <n v="1.78320590856036"/>
    <n v="0.20151782911486205"/>
  </r>
  <r>
    <x v="0"/>
    <s v="2025-12-30 22:09:11"/>
    <n v="3"/>
    <x v="40"/>
    <x v="3"/>
    <x v="1"/>
    <n v="94.488584180465494"/>
    <n v="3E+20"/>
    <n v="0"/>
    <n v="183"/>
    <n v="183"/>
    <n v="0"/>
    <s v="Unnamed ProjectSeize 8.QueueNumber WaitingQueue"/>
    <n v="10"/>
    <n v="84.673313986400757"/>
    <n v="6.3050274623130749"/>
    <n v="0.95"/>
    <n v="4.5103449375003528"/>
    <n v="72.004631303705096"/>
    <n v="94.488584180465494"/>
    <n v="4.5103449375003528"/>
  </r>
  <r>
    <x v="0"/>
    <s v="2025-12-30 22:09:11"/>
    <n v="3"/>
    <x v="41"/>
    <x v="3"/>
    <x v="1"/>
    <n v="3.1729306324643498"/>
    <n v="3E+20"/>
    <n v="0"/>
    <n v="4"/>
    <n v="3"/>
    <n v="0"/>
    <s v="Unnamed ProjectSeize 9.QueueNumber WaitingQueue"/>
    <n v="10"/>
    <n v="3.1643006447829118"/>
    <n v="0.56709805972033456"/>
    <n v="0.95"/>
    <n v="0.40567751338350572"/>
    <n v="2.1571183231200299"/>
    <n v="3.7448575603137102"/>
    <n v="0.40567751338350572"/>
  </r>
  <r>
    <x v="0"/>
    <s v="2025-12-30 22:09:11"/>
    <n v="3"/>
    <x v="42"/>
    <x v="4"/>
    <x v="2"/>
    <n v="2.89117081535586"/>
    <n v="3E+20"/>
    <n v="0"/>
    <n v="7"/>
    <n v="3"/>
    <n v="0"/>
    <s v="Unnamed ProjectWire HarnessWIPEntity"/>
    <n v="10"/>
    <n v="2.7938165767457108"/>
    <n v="0.37107770243484822"/>
    <n v="0.95"/>
    <n v="0.26545299708849601"/>
    <n v="2.05988155680273"/>
    <n v="3.2132100714910901"/>
    <n v="0.26545299708849601"/>
  </r>
  <r>
    <x v="0"/>
    <s v="2025-12-30 22:09:11"/>
    <n v="4"/>
    <x v="0"/>
    <x v="0"/>
    <x v="0"/>
    <n v="3.5941735992799297E-2"/>
    <n v="3E+20"/>
    <n v="0"/>
    <n v="1"/>
    <n v="0"/>
    <n v="0"/>
    <s v="Unnamed ProjectAssemblerInstantaneous UtilizationResource"/>
    <n v="10"/>
    <n v="3.6074566243936998E-2"/>
    <n v="6.6761681626786623E-5"/>
    <n v="0.95"/>
    <n v="4.7758430005936653E-5"/>
    <n v="3.5941735992799297E-2"/>
    <n v="3.6177689828441002E-2"/>
    <n v="4.7758430005936653E-5"/>
  </r>
  <r>
    <x v="0"/>
    <s v="2025-12-30 22:09:11"/>
    <n v="4"/>
    <x v="0"/>
    <x v="1"/>
    <x v="0"/>
    <n v="3.5941735992799297E-2"/>
    <n v="3E+20"/>
    <n v="0"/>
    <n v="1"/>
    <n v="0"/>
    <n v="0"/>
    <s v="Unnamed ProjectAssemblerNumber BusyResource"/>
    <n v="10"/>
    <n v="3.6074566243937005E-2"/>
    <n v="6.6761681626785268E-5"/>
    <n v="0.95"/>
    <n v="4.7758430005935684E-5"/>
    <n v="3.5941735992799297E-2"/>
    <n v="3.6177689828441002E-2"/>
    <n v="4.7758430005935684E-5"/>
  </r>
  <r>
    <x v="0"/>
    <s v="2025-12-30 22:09:11"/>
    <n v="4"/>
    <x v="0"/>
    <x v="2"/>
    <x v="0"/>
    <n v="0.476190476190476"/>
    <n v="2E+20"/>
    <n v="0"/>
    <n v="1"/>
    <n v="0"/>
    <n v="0"/>
    <s v="Unnamed ProjectAssemblerNumber ScheduledResource"/>
    <n v="10"/>
    <n v="0.476190476190476"/>
    <n v="0"/>
    <n v="0.95"/>
    <n v="0"/>
    <n v="0.476190476190476"/>
    <n v="0.476190476190476"/>
    <n v="0"/>
  </r>
  <r>
    <x v="0"/>
    <s v="2025-12-30 22:09:11"/>
    <n v="4"/>
    <x v="1"/>
    <x v="3"/>
    <x v="1"/>
    <n v="2.29541847167178"/>
    <n v="3E+20"/>
    <n v="0"/>
    <n v="5"/>
    <n v="1"/>
    <n v="0"/>
    <s v="Unnamed ProjectAssembly Batch.QueueNumber WaitingQueue"/>
    <n v="10"/>
    <n v="1.983224619189873"/>
    <n v="0.29990249131557767"/>
    <n v="0.95"/>
    <n v="0.21453731828040576"/>
    <n v="1.4478959937017499"/>
    <n v="2.3267973127516899"/>
    <n v="0.21453731828040576"/>
  </r>
  <r>
    <x v="0"/>
    <s v="2025-12-30 22:09:11"/>
    <n v="4"/>
    <x v="2"/>
    <x v="3"/>
    <x v="1"/>
    <n v="0.25584390949740998"/>
    <n v="3E+20"/>
    <n v="0"/>
    <n v="2"/>
    <n v="0"/>
    <n v="0"/>
    <s v="Unnamed ProjectBatch 2.QueueNumber WaitingQueue"/>
    <n v="10"/>
    <n v="0.47900820660242172"/>
    <n v="0.13717282935395095"/>
    <n v="0.95"/>
    <n v="9.8127530789884315E-2"/>
    <n v="0.25584390949740998"/>
    <n v="0.66613303676888702"/>
    <n v="9.8127530789884315E-2"/>
  </r>
  <r>
    <x v="0"/>
    <s v="2025-12-30 22:09:11"/>
    <n v="4"/>
    <x v="3"/>
    <x v="3"/>
    <x v="1"/>
    <n v="0.43434030138631802"/>
    <n v="3E+20"/>
    <n v="0"/>
    <n v="2"/>
    <n v="1"/>
    <n v="0"/>
    <s v="Unnamed ProjectBatch 3.QueueNumber WaitingQueue"/>
    <n v="10"/>
    <n v="0.41775820490048837"/>
    <n v="0.15099462697666188"/>
    <n v="0.95"/>
    <n v="0.1080150491722195"/>
    <n v="0.25632285648643699"/>
    <n v="0.68422762922173497"/>
    <n v="0.1080150491722195"/>
  </r>
  <r>
    <x v="0"/>
    <s v="2025-12-30 22:09:11"/>
    <n v="4"/>
    <x v="4"/>
    <x v="4"/>
    <x v="2"/>
    <n v="17.282750324562301"/>
    <n v="2E+20"/>
    <n v="0"/>
    <n v="114"/>
    <n v="0"/>
    <n v="0"/>
    <s v="Unnamed ProjectCustomerWIPEntity"/>
    <n v="10"/>
    <n v="17.583529006307167"/>
    <n v="4.1660214616007023"/>
    <n v="0.95"/>
    <n v="2.9801922229780646"/>
    <n v="10.842462759184199"/>
    <n v="25.8699848535447"/>
    <n v="2.9801922229780646"/>
  </r>
  <r>
    <x v="0"/>
    <s v="2025-12-30 22:09:11"/>
    <n v="4"/>
    <x v="5"/>
    <x v="4"/>
    <x v="2"/>
    <n v="99.965336262732194"/>
    <n v="3E+20"/>
    <n v="0"/>
    <n v="195"/>
    <n v="195"/>
    <n v="0"/>
    <s v="Unnamed ProjectEntity 1WIPEntity"/>
    <n v="10"/>
    <n v="95.041511376368575"/>
    <n v="6.556289254191463"/>
    <n v="0.95"/>
    <n v="4.6900867955271215"/>
    <n v="81.860988802888798"/>
    <n v="104.034812219697"/>
    <n v="4.6900867955271215"/>
  </r>
  <r>
    <x v="0"/>
    <s v="2025-12-30 22:09:11"/>
    <n v="4"/>
    <x v="6"/>
    <x v="4"/>
    <x v="2"/>
    <n v="951.65321041113202"/>
    <n v="3E+20"/>
    <n v="0"/>
    <n v="1847"/>
    <n v="1847"/>
    <n v="0"/>
    <s v="Unnamed ProjectEntity 2WIPEntity"/>
    <n v="10"/>
    <n v="959.25249800465133"/>
    <n v="16.228386811509871"/>
    <n v="0.95"/>
    <n v="11.609088578376843"/>
    <n v="935.21729677519602"/>
    <n v="986.61029939527498"/>
    <n v="11.609088578376843"/>
  </r>
  <r>
    <x v="0"/>
    <s v="2025-12-30 22:09:11"/>
    <n v="4"/>
    <x v="7"/>
    <x v="4"/>
    <x v="2"/>
    <n v="4221.7145278893904"/>
    <n v="3E+20"/>
    <n v="0"/>
    <n v="8158"/>
    <n v="8158"/>
    <n v="0"/>
    <s v="Unnamed ProjectEntity 3WIPEntity"/>
    <n v="10"/>
    <n v="4203.5615331875215"/>
    <n v="17.695322227060075"/>
    <n v="0.95"/>
    <n v="12.658470958503626"/>
    <n v="4170.1494074333395"/>
    <n v="4233.0569788620896"/>
    <n v="12.658470958503626"/>
  </r>
  <r>
    <x v="0"/>
    <s v="2025-12-30 22:09:11"/>
    <n v="4"/>
    <x v="8"/>
    <x v="0"/>
    <x v="0"/>
    <n v="0.292184201252493"/>
    <n v="3E+20"/>
    <n v="0"/>
    <n v="0.5"/>
    <n v="0.25"/>
    <n v="0"/>
    <s v="Unnamed ProjectKanban L1S1Instantaneous UtilizationResource"/>
    <n v="10"/>
    <n v="0.48160620907873086"/>
    <n v="8.6686321722355061E-2"/>
    <n v="0.95"/>
    <n v="6.2011658897281531E-2"/>
    <n v="0.292184201252493"/>
    <n v="0.57167989674475905"/>
    <n v="6.2011658897281531E-2"/>
  </r>
  <r>
    <x v="0"/>
    <s v="2025-12-30 22:09:11"/>
    <n v="4"/>
    <x v="8"/>
    <x v="1"/>
    <x v="0"/>
    <n v="1.16873680500997"/>
    <n v="3E+20"/>
    <n v="0"/>
    <n v="2"/>
    <n v="1"/>
    <n v="0"/>
    <s v="Unnamed ProjectKanban L1S1Number BusyResource"/>
    <n v="10"/>
    <n v="1.9264248363149217"/>
    <n v="0.34674528688941914"/>
    <n v="0.95"/>
    <n v="0.24804663558912532"/>
    <n v="1.16873680500997"/>
    <n v="2.28671958697903"/>
    <n v="0.24804663558912532"/>
  </r>
  <r>
    <x v="0"/>
    <s v="2025-12-30 22:09:11"/>
    <n v="4"/>
    <x v="8"/>
    <x v="2"/>
    <x v="0"/>
    <n v="4"/>
    <n v="2E+20"/>
    <n v="4"/>
    <n v="4"/>
    <n v="4"/>
    <n v="0"/>
    <s v="Unnamed ProjectKanban L1S1Number ScheduledResource"/>
    <n v="10"/>
    <n v="4"/>
    <n v="0"/>
    <n v="0.95"/>
    <n v="0"/>
    <n v="4"/>
    <n v="4"/>
    <n v="0"/>
  </r>
  <r>
    <x v="0"/>
    <s v="2025-12-30 22:09:11"/>
    <n v="4"/>
    <x v="9"/>
    <x v="0"/>
    <x v="0"/>
    <n v="0.327930580780526"/>
    <n v="3E+20"/>
    <n v="0"/>
    <n v="1"/>
    <n v="0.33333333333333298"/>
    <n v="0"/>
    <s v="Unnamed ProjectKanban L1S2Instantaneous UtilizationResource"/>
    <n v="10"/>
    <n v="0.25269289312392118"/>
    <n v="4.9214010083081669E-2"/>
    <n v="0.95"/>
    <n v="3.5205581983442397E-2"/>
    <n v="0.20500025225945401"/>
    <n v="0.33570777662711199"/>
    <n v="3.5205581983442397E-2"/>
  </r>
  <r>
    <x v="0"/>
    <s v="2025-12-30 22:09:11"/>
    <n v="4"/>
    <x v="9"/>
    <x v="1"/>
    <x v="0"/>
    <n v="0.98379174234159195"/>
    <n v="3E+20"/>
    <n v="0"/>
    <n v="3"/>
    <n v="1"/>
    <n v="0"/>
    <s v="Unnamed ProjectKanban L1S2Number BusyResource"/>
    <n v="10"/>
    <n v="0.75807867937176476"/>
    <n v="0.14764203024924766"/>
    <n v="0.95"/>
    <n v="0.10561674595032908"/>
    <n v="0.61500075677836796"/>
    <n v="1.00712332988134"/>
    <n v="0.10561674595032908"/>
  </r>
  <r>
    <x v="0"/>
    <s v="2025-12-30 22:09:11"/>
    <n v="4"/>
    <x v="9"/>
    <x v="2"/>
    <x v="0"/>
    <n v="3"/>
    <n v="2E+20"/>
    <n v="3"/>
    <n v="3"/>
    <n v="3"/>
    <n v="0"/>
    <s v="Unnamed ProjectKanban L1S2Number ScheduledResource"/>
    <n v="10"/>
    <n v="3"/>
    <n v="0"/>
    <n v="0.95"/>
    <n v="0"/>
    <n v="3"/>
    <n v="3"/>
    <n v="0"/>
  </r>
  <r>
    <x v="0"/>
    <s v="2025-12-30 22:09:11"/>
    <n v="4"/>
    <x v="10"/>
    <x v="0"/>
    <x v="0"/>
    <n v="0.15147736900268099"/>
    <n v="3E+20"/>
    <n v="0"/>
    <n v="0.66666666666666696"/>
    <n v="0"/>
    <n v="0"/>
    <s v="Unnamed ProjectKanban L1S3Instantaneous UtilizationResource"/>
    <n v="10"/>
    <n v="0.151561654865698"/>
    <n v="1.2198256688154243E-4"/>
    <n v="0.95"/>
    <n v="8.7261071626739862E-5"/>
    <n v="0.15134711042770499"/>
    <n v="0.15172806047441101"/>
    <n v="8.7261071626739862E-5"/>
  </r>
  <r>
    <x v="0"/>
    <s v="2025-12-30 22:09:11"/>
    <n v="4"/>
    <x v="10"/>
    <x v="1"/>
    <x v="0"/>
    <n v="0.45443210700804798"/>
    <n v="3E+20"/>
    <n v="0"/>
    <n v="2"/>
    <n v="0"/>
    <n v="0"/>
    <s v="Unnamed ProjectKanban L1S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4"/>
    <x v="10"/>
    <x v="2"/>
    <x v="0"/>
    <n v="3"/>
    <n v="2E+20"/>
    <n v="3"/>
    <n v="3"/>
    <n v="3"/>
    <n v="0"/>
    <s v="Unnamed ProjectKanban L1S3Number ScheduledResource"/>
    <n v="10"/>
    <n v="3"/>
    <n v="0"/>
    <n v="0.95"/>
    <n v="0"/>
    <n v="3"/>
    <n v="3"/>
    <n v="0"/>
  </r>
  <r>
    <x v="0"/>
    <s v="2025-12-30 22:09:11"/>
    <n v="4"/>
    <x v="11"/>
    <x v="0"/>
    <x v="0"/>
    <n v="0.90773078690034603"/>
    <n v="2E+20"/>
    <n v="0"/>
    <n v="1"/>
    <n v="1"/>
    <n v="0"/>
    <s v="Unnamed ProjectKanban L2S1Instantaneous UtilizationResource"/>
    <n v="10"/>
    <n v="0.84558522180863771"/>
    <n v="0.11694354024491282"/>
    <n v="0.95"/>
    <n v="8.3656369122856733E-2"/>
    <n v="0.625269422960122"/>
    <n v="0.95234896906597499"/>
    <n v="8.3656369122856733E-2"/>
  </r>
  <r>
    <x v="0"/>
    <s v="2025-12-30 22:09:11"/>
    <n v="4"/>
    <x v="11"/>
    <x v="1"/>
    <x v="0"/>
    <n v="1.8154615738006901"/>
    <n v="2E+20"/>
    <n v="0"/>
    <n v="2"/>
    <n v="2"/>
    <n v="0"/>
    <s v="Unnamed ProjectKanban L2S1Number BusyResource"/>
    <n v="10"/>
    <n v="1.6911704436172748"/>
    <n v="0.23388708048982901"/>
    <n v="0.95"/>
    <n v="0.16731273824571591"/>
    <n v="1.25053884592024"/>
    <n v="1.90469793813195"/>
    <n v="0.16731273824571591"/>
  </r>
  <r>
    <x v="0"/>
    <s v="2025-12-30 22:09:11"/>
    <n v="4"/>
    <x v="11"/>
    <x v="2"/>
    <x v="0"/>
    <n v="2"/>
    <n v="2E+20"/>
    <n v="2"/>
    <n v="2"/>
    <n v="2"/>
    <n v="0"/>
    <s v="Unnamed ProjectKanban L2S1Number ScheduledResource"/>
    <n v="10"/>
    <n v="2"/>
    <n v="0"/>
    <n v="0.95"/>
    <n v="0"/>
    <n v="2"/>
    <n v="2"/>
    <n v="0"/>
  </r>
  <r>
    <x v="0"/>
    <s v="2025-12-30 22:09:11"/>
    <n v="4"/>
    <x v="12"/>
    <x v="0"/>
    <x v="0"/>
    <n v="0.72518801126222898"/>
    <n v="2E+20"/>
    <n v="0"/>
    <n v="1"/>
    <n v="0.4"/>
    <n v="0"/>
    <s v="Unnamed ProjectKanban L2S2Instantaneous UtilizationResource"/>
    <n v="10"/>
    <n v="0.74077431571180252"/>
    <n v="6.1280007141723249E-2"/>
    <n v="0.95"/>
    <n v="4.3837076306763374E-2"/>
    <n v="0.67060354368791797"/>
    <n v="0.87728997349342996"/>
    <n v="4.3837076306763374E-2"/>
  </r>
  <r>
    <x v="0"/>
    <s v="2025-12-30 22:09:11"/>
    <n v="4"/>
    <x v="12"/>
    <x v="1"/>
    <x v="0"/>
    <n v="3.6259400563111601"/>
    <n v="2E+20"/>
    <n v="0"/>
    <n v="5"/>
    <n v="2"/>
    <n v="0"/>
    <s v="Unnamed ProjectKanban L2S2Number BusyResource"/>
    <n v="10"/>
    <n v="3.7038715785590122"/>
    <n v="0.30640003570861163"/>
    <n v="0.95"/>
    <n v="0.21918538153381359"/>
    <n v="3.35301771843959"/>
    <n v="4.3864498674671397"/>
    <n v="0.21918538153381359"/>
  </r>
  <r>
    <x v="0"/>
    <s v="2025-12-30 22:09:11"/>
    <n v="4"/>
    <x v="12"/>
    <x v="2"/>
    <x v="0"/>
    <n v="5"/>
    <n v="2E+20"/>
    <n v="5"/>
    <n v="5"/>
    <n v="5"/>
    <n v="0"/>
    <s v="Unnamed ProjectKanban L2S2Number ScheduledResource"/>
    <n v="10"/>
    <n v="5"/>
    <n v="0"/>
    <n v="0.95"/>
    <n v="0"/>
    <n v="5"/>
    <n v="5"/>
    <n v="0"/>
  </r>
  <r>
    <x v="0"/>
    <s v="2025-12-30 22:09:11"/>
    <n v="4"/>
    <x v="13"/>
    <x v="0"/>
    <x v="0"/>
    <n v="0.55428007487619302"/>
    <n v="3E+20"/>
    <n v="0"/>
    <n v="1"/>
    <n v="1"/>
    <n v="0"/>
    <s v="Unnamed ProjectKanban L2S3Instantaneous UtilizationResource"/>
    <n v="10"/>
    <n v="0.52391445815006699"/>
    <n v="7.0460308415606909E-2"/>
    <n v="0.95"/>
    <n v="5.0404268221927347E-2"/>
    <n v="0.36555656561218303"/>
    <n v="0.59886206518967"/>
    <n v="5.0404268221927347E-2"/>
  </r>
  <r>
    <x v="0"/>
    <s v="2025-12-30 22:09:11"/>
    <n v="4"/>
    <x v="13"/>
    <x v="1"/>
    <x v="0"/>
    <n v="2.2171202995047699"/>
    <n v="3E+20"/>
    <n v="0"/>
    <n v="4"/>
    <n v="4"/>
    <n v="0"/>
    <s v="Unnamed ProjectKanban L2S3Number BusyResource"/>
    <n v="10"/>
    <n v="2.0956578326002671"/>
    <n v="0.28184123366242902"/>
    <n v="0.95"/>
    <n v="0.20161707288771036"/>
    <n v="1.4622262624487301"/>
    <n v="2.39544826075868"/>
    <n v="0.20161707288771036"/>
  </r>
  <r>
    <x v="0"/>
    <s v="2025-12-30 22:09:11"/>
    <n v="4"/>
    <x v="13"/>
    <x v="2"/>
    <x v="0"/>
    <n v="4"/>
    <n v="2E+20"/>
    <n v="4"/>
    <n v="4"/>
    <n v="4"/>
    <n v="0"/>
    <s v="Unnamed ProjectKanban L2S3Number ScheduledResource"/>
    <n v="10"/>
    <n v="4"/>
    <n v="0"/>
    <n v="0.95"/>
    <n v="0"/>
    <n v="4"/>
    <n v="4"/>
    <n v="0"/>
  </r>
  <r>
    <x v="0"/>
    <s v="2025-12-30 22:09:11"/>
    <n v="4"/>
    <x v="14"/>
    <x v="0"/>
    <x v="0"/>
    <n v="0.149670197256767"/>
    <n v="3E+20"/>
    <n v="0"/>
    <n v="1"/>
    <n v="0"/>
    <n v="0"/>
    <s v="Unnamed ProjectKanban L2S4Instantaneous UtilizationResource"/>
    <n v="10"/>
    <n v="0.14955853655775292"/>
    <n v="1.8487754554887928E-4"/>
    <n v="0.95"/>
    <n v="1.3225342896729691E-4"/>
    <n v="0.14921189842985499"/>
    <n v="0.14985050053976801"/>
    <n v="1.3225342896729691E-4"/>
  </r>
  <r>
    <x v="0"/>
    <s v="2025-12-30 22:09:11"/>
    <n v="4"/>
    <x v="14"/>
    <x v="1"/>
    <x v="0"/>
    <n v="0.299340394513535"/>
    <n v="3E+20"/>
    <n v="0"/>
    <n v="2"/>
    <n v="0"/>
    <n v="0"/>
    <s v="Unnamed ProjectKanban L2S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4"/>
    <x v="14"/>
    <x v="2"/>
    <x v="0"/>
    <n v="2"/>
    <n v="2E+20"/>
    <n v="2"/>
    <n v="2"/>
    <n v="2"/>
    <n v="0"/>
    <s v="Unnamed ProjectKanban L2S4Number ScheduledResource"/>
    <n v="10"/>
    <n v="2"/>
    <n v="0"/>
    <n v="0.95"/>
    <n v="0"/>
    <n v="2"/>
    <n v="2"/>
    <n v="0"/>
  </r>
  <r>
    <x v="0"/>
    <s v="2025-12-30 22:09:11"/>
    <n v="4"/>
    <x v="15"/>
    <x v="0"/>
    <x v="0"/>
    <n v="0.82680969033003504"/>
    <n v="3E+20"/>
    <n v="0"/>
    <n v="1"/>
    <n v="0.6"/>
    <n v="0"/>
    <s v="Unnamed ProjectKanban L3S1Instantaneous UtilizationResource"/>
    <n v="10"/>
    <n v="0.78490250681152507"/>
    <n v="0.11345978752761832"/>
    <n v="0.95"/>
    <n v="8.1164242557846045E-2"/>
    <n v="0.58338388917401696"/>
    <n v="0.90111632059041802"/>
    <n v="8.1164242557846045E-2"/>
  </r>
  <r>
    <x v="0"/>
    <s v="2025-12-30 22:09:11"/>
    <n v="4"/>
    <x v="15"/>
    <x v="1"/>
    <x v="0"/>
    <n v="4.1340484516501901"/>
    <n v="3E+20"/>
    <n v="0"/>
    <n v="5"/>
    <n v="3"/>
    <n v="0"/>
    <s v="Unnamed ProjectKanban L3S1Number BusyResource"/>
    <n v="10"/>
    <n v="3.9245125340576221"/>
    <n v="0.56729893763807904"/>
    <n v="0.95"/>
    <n v="0.40582121278922129"/>
    <n v="2.91691944587008"/>
    <n v="4.5055816029520903"/>
    <n v="0.40582121278922129"/>
  </r>
  <r>
    <x v="0"/>
    <s v="2025-12-30 22:09:11"/>
    <n v="4"/>
    <x v="15"/>
    <x v="2"/>
    <x v="0"/>
    <n v="5"/>
    <n v="2E+20"/>
    <n v="5"/>
    <n v="5"/>
    <n v="5"/>
    <n v="0"/>
    <s v="Unnamed ProjectKanban L3S1Number ScheduledResource"/>
    <n v="10"/>
    <n v="5"/>
    <n v="0"/>
    <n v="0.95"/>
    <n v="0"/>
    <n v="5"/>
    <n v="5"/>
    <n v="0"/>
  </r>
  <r>
    <x v="0"/>
    <s v="2025-12-30 22:09:11"/>
    <n v="4"/>
    <x v="16"/>
    <x v="0"/>
    <x v="0"/>
    <n v="0.15878446251421499"/>
    <n v="2E+20"/>
    <n v="0"/>
    <n v="0.66666666666666696"/>
    <n v="0"/>
    <n v="0"/>
    <s v="Unnamed ProjectKanban L3S2Instantaneous UtilizationResource"/>
    <n v="10"/>
    <n v="0.15879210791146137"/>
    <n v="8.8786593845171554E-6"/>
    <n v="0.95"/>
    <n v="6.3514103064755986E-6"/>
    <n v="0.15877821852350199"/>
    <n v="0.15880443244107401"/>
    <n v="6.3514103064755986E-6"/>
  </r>
  <r>
    <x v="0"/>
    <s v="2025-12-30 22:09:11"/>
    <n v="4"/>
    <x v="16"/>
    <x v="1"/>
    <x v="0"/>
    <n v="0.476353387542643"/>
    <n v="2E+20"/>
    <n v="0"/>
    <n v="2"/>
    <n v="0"/>
    <n v="0"/>
    <s v="Unnamed ProjectKanban L3S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4"/>
    <x v="16"/>
    <x v="2"/>
    <x v="0"/>
    <n v="3"/>
    <n v="2E+20"/>
    <n v="3"/>
    <n v="3"/>
    <n v="3"/>
    <n v="0"/>
    <s v="Unnamed ProjectKanban L3S2Number ScheduledResource"/>
    <n v="10"/>
    <n v="3"/>
    <n v="0"/>
    <n v="0.95"/>
    <n v="0"/>
    <n v="3"/>
    <n v="3"/>
    <n v="0"/>
  </r>
  <r>
    <x v="0"/>
    <s v="2025-12-30 22:09:11"/>
    <n v="4"/>
    <x v="17"/>
    <x v="0"/>
    <x v="0"/>
    <n v="0.47638046343127"/>
    <n v="2E+20"/>
    <n v="0"/>
    <n v="1"/>
    <n v="0"/>
    <n v="0"/>
    <s v="Unnamed ProjectL1 Station1Instantaneous Utilization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4"/>
    <x v="17"/>
    <x v="1"/>
    <x v="0"/>
    <n v="0.47638046343127"/>
    <n v="2E+20"/>
    <n v="0"/>
    <n v="1"/>
    <n v="0"/>
    <n v="0"/>
    <s v="Unnamed ProjectL1 Station1Number Busy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4"/>
    <x v="17"/>
    <x v="2"/>
    <x v="0"/>
    <n v="0.476190476190476"/>
    <n v="2E+20"/>
    <n v="0"/>
    <n v="1"/>
    <n v="0"/>
    <n v="0"/>
    <s v="Unnamed ProjectL1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4"/>
    <x v="18"/>
    <x v="0"/>
    <x v="0"/>
    <n v="0.34602746258727701"/>
    <n v="3E+20"/>
    <n v="0"/>
    <n v="1"/>
    <n v="0"/>
    <n v="0"/>
    <s v="Unnamed ProjectL1 Station2Instantaneous Utilization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4"/>
    <x v="18"/>
    <x v="1"/>
    <x v="0"/>
    <n v="0.34602746258727701"/>
    <n v="3E+20"/>
    <n v="0"/>
    <n v="1"/>
    <n v="0"/>
    <n v="0"/>
    <s v="Unnamed ProjectL1 Station2Number Busy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4"/>
    <x v="18"/>
    <x v="2"/>
    <x v="0"/>
    <n v="0.476190476190476"/>
    <n v="2E+20"/>
    <n v="0"/>
    <n v="1"/>
    <n v="0"/>
    <n v="0"/>
    <s v="Unnamed ProjectL1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4"/>
    <x v="19"/>
    <x v="0"/>
    <x v="0"/>
    <n v="0.45443210700804798"/>
    <n v="3E+20"/>
    <n v="0"/>
    <n v="1"/>
    <n v="0"/>
    <n v="0"/>
    <s v="Unnamed ProjectL1 Station3Instantaneous Utilization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4"/>
    <x v="19"/>
    <x v="1"/>
    <x v="0"/>
    <n v="0.45443210700804798"/>
    <n v="3E+20"/>
    <n v="0"/>
    <n v="1"/>
    <n v="0"/>
    <n v="0"/>
    <s v="Unnamed ProjectL1 Station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4"/>
    <x v="19"/>
    <x v="2"/>
    <x v="0"/>
    <n v="0.476190476190476"/>
    <n v="2E+20"/>
    <n v="0"/>
    <n v="1"/>
    <n v="0"/>
    <n v="0"/>
    <s v="Unnamed ProjectL1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4"/>
    <x v="20"/>
    <x v="0"/>
    <x v="0"/>
    <n v="0.23146351917430599"/>
    <n v="3E+20"/>
    <n v="0"/>
    <n v="1"/>
    <n v="0"/>
    <n v="0"/>
    <s v="Unnamed ProjectL2 Station1Instantaneous Utilization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4"/>
    <x v="20"/>
    <x v="1"/>
    <x v="0"/>
    <n v="0.23146351917430599"/>
    <n v="3E+20"/>
    <n v="0"/>
    <n v="1"/>
    <n v="0"/>
    <n v="0"/>
    <s v="Unnamed ProjectL2 Station1Number Busy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4"/>
    <x v="20"/>
    <x v="2"/>
    <x v="0"/>
    <n v="0.476190476190476"/>
    <n v="2E+20"/>
    <n v="0"/>
    <n v="1"/>
    <n v="0"/>
    <n v="0"/>
    <s v="Unnamed ProjectL2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4"/>
    <x v="21"/>
    <x v="0"/>
    <x v="0"/>
    <n v="0.27210864345295399"/>
    <n v="3E+20"/>
    <n v="0"/>
    <n v="1"/>
    <n v="0"/>
    <n v="0"/>
    <s v="Unnamed ProjectL2 Station2Instantaneous Utilization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4"/>
    <x v="21"/>
    <x v="1"/>
    <x v="0"/>
    <n v="0.27210864345295399"/>
    <n v="3E+20"/>
    <n v="0"/>
    <n v="1"/>
    <n v="0"/>
    <n v="0"/>
    <s v="Unnamed ProjectL2 Station2Number Busy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4"/>
    <x v="21"/>
    <x v="2"/>
    <x v="0"/>
    <n v="0.476190476190476"/>
    <n v="2E+20"/>
    <n v="0"/>
    <n v="1"/>
    <n v="0"/>
    <n v="0"/>
    <s v="Unnamed ProjectL2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4"/>
    <x v="22"/>
    <x v="0"/>
    <x v="0"/>
    <n v="0.47640852031768199"/>
    <n v="2E+20"/>
    <n v="0"/>
    <n v="1"/>
    <n v="0"/>
    <n v="0"/>
    <s v="Unnamed ProjectL2 Station3Instantaneous UtilizationResource"/>
    <n v="10"/>
    <n v="0.47640752107427203"/>
    <n v="7.9809559904816854E-5"/>
    <n v="0.95"/>
    <n v="5.7092319840390197E-5"/>
    <n v="0.47622171379262102"/>
    <n v="0.47651577494330499"/>
    <n v="5.7092319840390197E-5"/>
  </r>
  <r>
    <x v="0"/>
    <s v="2025-12-30 22:09:11"/>
    <n v="4"/>
    <x v="22"/>
    <x v="1"/>
    <x v="0"/>
    <n v="0.47640852031768199"/>
    <n v="2E+20"/>
    <n v="0"/>
    <n v="1"/>
    <n v="0"/>
    <n v="0"/>
    <s v="Unnamed ProjectL2 Station3Number BusyResource"/>
    <n v="10"/>
    <n v="0.47640752107427209"/>
    <n v="7.980955990487845E-5"/>
    <n v="0.95"/>
    <n v="5.7092319840434263E-5"/>
    <n v="0.47622171379262102"/>
    <n v="0.47651577494330499"/>
    <n v="5.7092319840434263E-5"/>
  </r>
  <r>
    <x v="0"/>
    <s v="2025-12-30 22:09:11"/>
    <n v="4"/>
    <x v="22"/>
    <x v="2"/>
    <x v="0"/>
    <n v="0.476190476190476"/>
    <n v="2E+20"/>
    <n v="0"/>
    <n v="1"/>
    <n v="0"/>
    <n v="0"/>
    <s v="Unnamed ProjectL2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4"/>
    <x v="23"/>
    <x v="0"/>
    <x v="0"/>
    <n v="0.299340394513535"/>
    <n v="3E+20"/>
    <n v="0"/>
    <n v="1"/>
    <n v="0"/>
    <n v="0"/>
    <s v="Unnamed ProjectL2 Station4Instantaneous Utilization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4"/>
    <x v="23"/>
    <x v="1"/>
    <x v="0"/>
    <n v="0.299340394513535"/>
    <n v="3E+20"/>
    <n v="0"/>
    <n v="1"/>
    <n v="0"/>
    <n v="0"/>
    <s v="Unnamed ProjectL2 Station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4"/>
    <x v="23"/>
    <x v="2"/>
    <x v="0"/>
    <n v="0.476190476190476"/>
    <n v="2E+20"/>
    <n v="0"/>
    <n v="1"/>
    <n v="0"/>
    <n v="0"/>
    <s v="Unnamed ProjectL2 Station4Number ScheduledResource"/>
    <n v="10"/>
    <n v="0.476190476190476"/>
    <n v="0"/>
    <n v="0.95"/>
    <n v="0"/>
    <n v="0.476190476190476"/>
    <n v="0.476190476190476"/>
    <n v="0"/>
  </r>
  <r>
    <x v="0"/>
    <s v="2025-12-30 22:09:11"/>
    <n v="4"/>
    <x v="24"/>
    <x v="0"/>
    <x v="0"/>
    <n v="0.456385900039043"/>
    <n v="3E+20"/>
    <n v="0"/>
    <n v="1"/>
    <n v="0"/>
    <n v="0"/>
    <s v="Unnamed ProjectL3 Station1Instantaneous Utilization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4"/>
    <x v="24"/>
    <x v="1"/>
    <x v="0"/>
    <n v="0.456385900039043"/>
    <n v="3E+20"/>
    <n v="0"/>
    <n v="1"/>
    <n v="0"/>
    <n v="0"/>
    <s v="Unnamed ProjectL3 Station1Number Busy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4"/>
    <x v="24"/>
    <x v="2"/>
    <x v="0"/>
    <n v="0.476190476190476"/>
    <n v="2E+20"/>
    <n v="0"/>
    <n v="1"/>
    <n v="0"/>
    <n v="0"/>
    <s v="Unnamed ProjectL3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4"/>
    <x v="25"/>
    <x v="0"/>
    <x v="0"/>
    <n v="0.476353387542644"/>
    <n v="2E+20"/>
    <n v="0"/>
    <n v="1"/>
    <n v="0"/>
    <n v="0"/>
    <s v="Unnamed ProjectL3 Station2Instantaneous UtilizationResource"/>
    <n v="10"/>
    <n v="0.47637632373438449"/>
    <n v="2.6635978153163645E-5"/>
    <n v="0.95"/>
    <n v="1.9054230919149366E-5"/>
    <n v="0.47633465557050603"/>
    <n v="0.47641329732322302"/>
    <n v="1.9054230919149366E-5"/>
  </r>
  <r>
    <x v="0"/>
    <s v="2025-12-30 22:09:11"/>
    <n v="4"/>
    <x v="25"/>
    <x v="1"/>
    <x v="0"/>
    <n v="0.476353387542643"/>
    <n v="2E+20"/>
    <n v="0"/>
    <n v="1"/>
    <n v="0"/>
    <n v="0"/>
    <s v="Unnamed ProjectL3 Station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4"/>
    <x v="25"/>
    <x v="2"/>
    <x v="0"/>
    <n v="0.476190476190476"/>
    <n v="2E+20"/>
    <n v="0"/>
    <n v="1"/>
    <n v="0"/>
    <n v="0"/>
    <s v="Unnamed ProjectL3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4"/>
    <x v="26"/>
    <x v="3"/>
    <x v="1"/>
    <n v="3.0947083085996098E-5"/>
    <n v="2E+20"/>
    <n v="0"/>
    <n v="1"/>
    <n v="0"/>
    <n v="0"/>
    <s v="Unnamed ProjectMatch 1.Queue1Number WaitingQueue"/>
    <n v="10"/>
    <n v="2.9170315053456471E-5"/>
    <n v="7.7933109083950271E-6"/>
    <n v="0.95"/>
    <n v="5.5749987786968959E-6"/>
    <n v="1.80144253291803E-5"/>
    <n v="4.21406992387485E-5"/>
    <n v="5.5749987786968959E-6"/>
  </r>
  <r>
    <x v="0"/>
    <s v="2025-12-30 22:09:11"/>
    <n v="4"/>
    <x v="27"/>
    <x v="3"/>
    <x v="1"/>
    <n v="869.17466043154604"/>
    <n v="3E+20"/>
    <n v="0"/>
    <n v="1684"/>
    <n v="1683"/>
    <n v="0"/>
    <s v="Unnamed ProjectMatch 1.Queue2Number WaitingQueue"/>
    <n v="10"/>
    <n v="867.85098767897125"/>
    <n v="5.9823523640247513"/>
    <n v="0.95"/>
    <n v="4.2795170775550373"/>
    <n v="858.49288388840398"/>
    <n v="875.80608811200398"/>
    <n v="4.2795170775550373"/>
  </r>
  <r>
    <x v="0"/>
    <s v="2025-12-30 22:09:11"/>
    <n v="4"/>
    <x v="28"/>
    <x v="3"/>
    <x v="1"/>
    <n v="1375.15787586601"/>
    <n v="3E+20"/>
    <n v="0"/>
    <n v="2657"/>
    <n v="2656"/>
    <n v="0"/>
    <s v="Unnamed ProjectMatch 1.Queue3Number WaitingQueue"/>
    <n v="10"/>
    <n v="1368.6640709815952"/>
    <n v="5.3961917051273351"/>
    <n v="0.95"/>
    <n v="3.860203002204456"/>
    <n v="1357.5761788714599"/>
    <n v="1375.17190829069"/>
    <n v="3.860203002204456"/>
  </r>
  <r>
    <x v="0"/>
    <s v="2025-12-30 22:09:11"/>
    <n v="4"/>
    <x v="29"/>
    <x v="0"/>
    <x v="0"/>
    <n v="0"/>
    <n v="2E+20"/>
    <n v="0"/>
    <n v="0"/>
    <n v="0"/>
    <n v="0"/>
    <s v="Unnamed ProjectSales DepartmentInstantaneous UtilizationResource"/>
    <n v="10"/>
    <n v="0"/>
    <n v="0"/>
    <n v="0.95"/>
    <n v="0"/>
    <n v="0"/>
    <n v="0"/>
    <n v="0"/>
  </r>
  <r>
    <x v="0"/>
    <s v="2025-12-30 22:09:11"/>
    <n v="4"/>
    <x v="29"/>
    <x v="1"/>
    <x v="0"/>
    <n v="0"/>
    <n v="2E+20"/>
    <n v="0"/>
    <n v="0"/>
    <n v="0"/>
    <n v="0"/>
    <s v="Unnamed ProjectSales DepartmentNumber BusyResource"/>
    <n v="10"/>
    <n v="0"/>
    <n v="0"/>
    <n v="0.95"/>
    <n v="0"/>
    <n v="0"/>
    <n v="0"/>
    <n v="0"/>
  </r>
  <r>
    <x v="0"/>
    <s v="2025-12-30 22:09:11"/>
    <n v="4"/>
    <x v="29"/>
    <x v="2"/>
    <x v="0"/>
    <n v="0.26785714285714302"/>
    <n v="2E+20"/>
    <n v="0"/>
    <n v="1"/>
    <n v="1"/>
    <n v="0"/>
    <s v="Unnamed ProjectSales Department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4"/>
    <x v="30"/>
    <x v="0"/>
    <x v="0"/>
    <n v="8.8452992731691799E-2"/>
    <n v="2E+20"/>
    <n v="0"/>
    <n v="1"/>
    <n v="0"/>
    <n v="0"/>
    <s v="Unnamed ProjectSales RepInstantaneous UtilizationResource"/>
    <n v="10"/>
    <n v="8.7684406282387828E-2"/>
    <n v="9.4212906785234151E-3"/>
    <n v="0.95"/>
    <n v="6.7395853500387742E-3"/>
    <n v="7.2143522330073706E-2"/>
    <n v="0.105326430117076"/>
    <n v="6.7395853500387742E-3"/>
  </r>
  <r>
    <x v="0"/>
    <s v="2025-12-30 22:09:11"/>
    <n v="4"/>
    <x v="30"/>
    <x v="1"/>
    <x v="0"/>
    <n v="8.8452992731691799E-2"/>
    <n v="2E+20"/>
    <n v="0"/>
    <n v="1"/>
    <n v="0"/>
    <n v="0"/>
    <s v="Unnamed ProjectSales RepNumber BusyResource"/>
    <n v="10"/>
    <n v="8.7684406282387842E-2"/>
    <n v="9.4212906785234151E-3"/>
    <n v="0.95"/>
    <n v="6.7395853500387742E-3"/>
    <n v="7.2143522330073706E-2"/>
    <n v="0.105326430117076"/>
    <n v="6.7395853500387742E-3"/>
  </r>
  <r>
    <x v="0"/>
    <s v="2025-12-30 22:09:11"/>
    <n v="4"/>
    <x v="30"/>
    <x v="2"/>
    <x v="0"/>
    <n v="0.26785714285714302"/>
    <n v="2E+20"/>
    <n v="0"/>
    <n v="1"/>
    <n v="0"/>
    <n v="0"/>
    <s v="Unnamed ProjectSales Rep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4"/>
    <x v="31"/>
    <x v="3"/>
    <x v="1"/>
    <n v="87.992991368904796"/>
    <n v="2E+20"/>
    <n v="0"/>
    <n v="181"/>
    <n v="181"/>
    <n v="0"/>
    <s v="Unnamed ProjectSeize 1.QueueNumber WaitingQueue"/>
    <n v="10"/>
    <n v="83.474789654582125"/>
    <n v="6.0930686050573728"/>
    <n v="0.95"/>
    <n v="4.358718705180836"/>
    <n v="72.152998246910798"/>
    <n v="91.653675793565498"/>
    <n v="4.358718705180836"/>
  </r>
  <r>
    <x v="0"/>
    <s v="2025-12-30 22:09:11"/>
    <n v="4"/>
    <x v="32"/>
    <x v="3"/>
    <x v="1"/>
    <n v="0.84940189702371305"/>
    <n v="2E+20"/>
    <n v="0"/>
    <n v="3"/>
    <n v="3"/>
    <n v="0"/>
    <s v="Unnamed ProjectSeize 10.QueueNumber WaitingQueue"/>
    <n v="10"/>
    <n v="0.77451739131190445"/>
    <n v="0.14034110421466847"/>
    <n v="0.95"/>
    <n v="0.10039397809151185"/>
    <n v="0.57599630674201496"/>
    <n v="0.944128153448903"/>
    <n v="0.10039397809151185"/>
  </r>
  <r>
    <x v="0"/>
    <s v="2025-12-30 22:09:11"/>
    <n v="4"/>
    <x v="33"/>
    <x v="3"/>
    <x v="1"/>
    <n v="17.194297331830601"/>
    <n v="2E+20"/>
    <n v="0"/>
    <n v="113"/>
    <n v="0"/>
    <n v="0"/>
    <s v="Unnamed ProjectSeize 11.QueueNumber WaitingQueue"/>
    <n v="10"/>
    <n v="17.495844600024782"/>
    <n v="4.1567315260337745"/>
    <n v="0.95"/>
    <n v="2.9735466034142406"/>
    <n v="10.770319236854199"/>
    <n v="25.764658423427701"/>
    <n v="2.9735466034142406"/>
  </r>
  <r>
    <x v="0"/>
    <s v="2025-12-30 22:09:11"/>
    <n v="4"/>
    <x v="34"/>
    <x v="3"/>
    <x v="1"/>
    <n v="0.47601596605360202"/>
    <n v="2E+20"/>
    <n v="0"/>
    <n v="1"/>
    <n v="1"/>
    <n v="0"/>
    <s v="Unnamed ProjectSeize 2.QueueNumber WaitingQueue"/>
    <n v="10"/>
    <n v="1.2334365850159306"/>
    <n v="0.34677877772765942"/>
    <n v="0.95"/>
    <n v="0.24807059349154728"/>
    <n v="0.47601596605360202"/>
    <n v="1.5938052921300001"/>
    <n v="0.24807059349154728"/>
  </r>
  <r>
    <x v="0"/>
    <s v="2025-12-30 22:09:11"/>
    <n v="4"/>
    <x v="35"/>
    <x v="3"/>
    <x v="1"/>
    <n v="0.42126582993626199"/>
    <n v="3E+20"/>
    <n v="0"/>
    <n v="1"/>
    <n v="1"/>
    <n v="0"/>
    <s v="Unnamed ProjectSeize 3.QueueNumber WaitingQueue"/>
    <n v="10"/>
    <n v="0.19501309596936622"/>
    <n v="0.14771852643081365"/>
    <n v="0.95"/>
    <n v="0.10567146802209269"/>
    <n v="5.2203254973614402E-2"/>
    <n v="0.443638473140476"/>
    <n v="0.10567146802209269"/>
  </r>
  <r>
    <x v="0"/>
    <s v="2025-12-30 22:09:11"/>
    <n v="4"/>
    <x v="36"/>
    <x v="3"/>
    <x v="1"/>
    <n v="71.748169583675306"/>
    <n v="3E+20"/>
    <n v="0"/>
    <n v="152"/>
    <n v="152"/>
    <n v="0"/>
    <s v="Unnamed ProjectSeize 4.QueueNumber WaitingQueue"/>
    <n v="10"/>
    <n v="81.226274902651596"/>
    <n v="11.159336682409895"/>
    <n v="0.95"/>
    <n v="7.9829085618136846"/>
    <n v="66.053444809788303"/>
    <n v="100.586340982454"/>
    <n v="7.9829085618136846"/>
  </r>
  <r>
    <x v="0"/>
    <s v="2025-12-30 22:09:11"/>
    <n v="4"/>
    <x v="37"/>
    <x v="3"/>
    <x v="1"/>
    <n v="1.44805715814965"/>
    <n v="3E+20"/>
    <n v="0"/>
    <n v="2"/>
    <n v="2"/>
    <n v="0"/>
    <s v="Unnamed ProjectSeize 5.QueueNumber WaitingQueue"/>
    <n v="10"/>
    <n v="1.3234420699844864"/>
    <n v="0.23376145670955006"/>
    <n v="0.95"/>
    <n v="0.1672228724069392"/>
    <n v="0.88257428434366503"/>
    <n v="1.5367801636504701"/>
    <n v="0.1672228724069392"/>
  </r>
  <r>
    <x v="0"/>
    <s v="2025-12-30 22:09:11"/>
    <n v="4"/>
    <x v="38"/>
    <x v="3"/>
    <x v="1"/>
    <n v="3.2178557941267298"/>
    <n v="3E+20"/>
    <n v="0"/>
    <n v="5"/>
    <n v="2"/>
    <n v="0"/>
    <s v="Unnamed ProjectSeize 6.QueueNumber WaitingQueue"/>
    <n v="10"/>
    <n v="3.295350976306183"/>
    <n v="0.30652142094800816"/>
    <n v="0.95"/>
    <n v="0.21927221530309879"/>
    <n v="2.9443042052265702"/>
    <n v="3.9785130958891202"/>
    <n v="0.21927221530309879"/>
  </r>
  <r>
    <x v="0"/>
    <s v="2025-12-30 22:09:11"/>
    <n v="4"/>
    <x v="39"/>
    <x v="3"/>
    <x v="1"/>
    <n v="1.604384261489"/>
    <n v="2E+20"/>
    <n v="0"/>
    <n v="4"/>
    <n v="4"/>
    <n v="0"/>
    <s v="Unnamed ProjectSeize 7.QueueNumber WaitingQueue"/>
    <n v="10"/>
    <n v="1.4832039737284362"/>
    <n v="0.28170250043427397"/>
    <n v="0.95"/>
    <n v="0.20151782911486205"/>
    <n v="0.850065833369271"/>
    <n v="1.78320590856036"/>
    <n v="0.20151782911486205"/>
  </r>
  <r>
    <x v="0"/>
    <s v="2025-12-30 22:09:11"/>
    <n v="4"/>
    <x v="40"/>
    <x v="3"/>
    <x v="1"/>
    <n v="81.957713491085698"/>
    <n v="3E+20"/>
    <n v="0"/>
    <n v="174"/>
    <n v="174"/>
    <n v="0"/>
    <s v="Unnamed ProjectSeize 8.QueueNumber WaitingQueue"/>
    <n v="10"/>
    <n v="84.673313986400757"/>
    <n v="6.3050274623130749"/>
    <n v="0.95"/>
    <n v="4.5103449375003528"/>
    <n v="72.004631303705096"/>
    <n v="94.488584180465494"/>
    <n v="4.5103449375003528"/>
  </r>
  <r>
    <x v="0"/>
    <s v="2025-12-30 22:09:11"/>
    <n v="4"/>
    <x v="41"/>
    <x v="3"/>
    <x v="1"/>
    <n v="3.3738208972330699"/>
    <n v="3E+20"/>
    <n v="0"/>
    <n v="5"/>
    <n v="3"/>
    <n v="0"/>
    <s v="Unnamed ProjectSeize 9.QueueNumber WaitingQueue"/>
    <n v="10"/>
    <n v="3.1643006447829118"/>
    <n v="0.56709805972033456"/>
    <n v="0.95"/>
    <n v="0.40567751338350572"/>
    <n v="2.1571183231200299"/>
    <n v="3.7448575603137102"/>
    <n v="0.40567751338350572"/>
  </r>
  <r>
    <x v="0"/>
    <s v="2025-12-30 22:09:11"/>
    <n v="4"/>
    <x v="42"/>
    <x v="4"/>
    <x v="2"/>
    <n v="3.1807621046882799"/>
    <n v="3E+20"/>
    <n v="0"/>
    <n v="7"/>
    <n v="4"/>
    <n v="0"/>
    <s v="Unnamed ProjectWire HarnessWIPEntity"/>
    <n v="10"/>
    <n v="2.7938165767457108"/>
    <n v="0.37107770243484822"/>
    <n v="0.95"/>
    <n v="0.26545299708849601"/>
    <n v="2.05988155680273"/>
    <n v="3.2132100714910901"/>
    <n v="0.26545299708849601"/>
  </r>
  <r>
    <x v="0"/>
    <s v="2025-12-30 22:09:11"/>
    <n v="5"/>
    <x v="0"/>
    <x v="0"/>
    <x v="0"/>
    <n v="3.6119903101666302E-2"/>
    <n v="3E+20"/>
    <n v="0"/>
    <n v="1"/>
    <n v="0"/>
    <n v="0"/>
    <s v="Unnamed ProjectAssemblerInstantaneous UtilizationResource"/>
    <n v="10"/>
    <n v="3.6074566243936998E-2"/>
    <n v="6.6761681626786623E-5"/>
    <n v="0.95"/>
    <n v="4.7758430005936653E-5"/>
    <n v="3.5941735992799297E-2"/>
    <n v="3.6177689828441002E-2"/>
    <n v="4.7758430005936653E-5"/>
  </r>
  <r>
    <x v="0"/>
    <s v="2025-12-30 22:09:11"/>
    <n v="5"/>
    <x v="0"/>
    <x v="1"/>
    <x v="0"/>
    <n v="3.6119903101666302E-2"/>
    <n v="3E+20"/>
    <n v="0"/>
    <n v="1"/>
    <n v="0"/>
    <n v="0"/>
    <s v="Unnamed ProjectAssemblerNumber BusyResource"/>
    <n v="10"/>
    <n v="3.6074566243937005E-2"/>
    <n v="6.6761681626785268E-5"/>
    <n v="0.95"/>
    <n v="4.7758430005935684E-5"/>
    <n v="3.5941735992799297E-2"/>
    <n v="3.6177689828441002E-2"/>
    <n v="4.7758430005935684E-5"/>
  </r>
  <r>
    <x v="0"/>
    <s v="2025-12-30 22:09:11"/>
    <n v="5"/>
    <x v="0"/>
    <x v="2"/>
    <x v="0"/>
    <n v="0.476190476190476"/>
    <n v="2E+20"/>
    <n v="0"/>
    <n v="1"/>
    <n v="0"/>
    <n v="0"/>
    <s v="Unnamed ProjectAssemblerNumber ScheduledResource"/>
    <n v="10"/>
    <n v="0.476190476190476"/>
    <n v="0"/>
    <n v="0.95"/>
    <n v="0"/>
    <n v="0.476190476190476"/>
    <n v="0.476190476190476"/>
    <n v="0"/>
  </r>
  <r>
    <x v="0"/>
    <s v="2025-12-30 22:09:11"/>
    <n v="5"/>
    <x v="1"/>
    <x v="3"/>
    <x v="1"/>
    <n v="1.7016667348007899"/>
    <n v="3E+20"/>
    <n v="0"/>
    <n v="5"/>
    <n v="3"/>
    <n v="0"/>
    <s v="Unnamed ProjectAssembly Batch.QueueNumber WaitingQueue"/>
    <n v="10"/>
    <n v="1.983224619189873"/>
    <n v="0.29990249131557767"/>
    <n v="0.95"/>
    <n v="0.21453731828040576"/>
    <n v="1.4478959937017499"/>
    <n v="2.3267973127516899"/>
    <n v="0.21453731828040576"/>
  </r>
  <r>
    <x v="0"/>
    <s v="2025-12-30 22:09:11"/>
    <n v="5"/>
    <x v="2"/>
    <x v="3"/>
    <x v="1"/>
    <n v="0.51744525079276404"/>
    <n v="3E+20"/>
    <n v="0"/>
    <n v="2"/>
    <n v="1"/>
    <n v="0"/>
    <s v="Unnamed ProjectBatch 2.QueueNumber WaitingQueue"/>
    <n v="10"/>
    <n v="0.47900820660242172"/>
    <n v="0.13717282935395095"/>
    <n v="0.95"/>
    <n v="9.8127530789884315E-2"/>
    <n v="0.25584390949740998"/>
    <n v="0.66613303676888702"/>
    <n v="9.8127530789884315E-2"/>
  </r>
  <r>
    <x v="0"/>
    <s v="2025-12-30 22:09:11"/>
    <n v="5"/>
    <x v="3"/>
    <x v="3"/>
    <x v="1"/>
    <n v="0.35088653072228099"/>
    <n v="3E+20"/>
    <n v="0"/>
    <n v="2"/>
    <n v="1"/>
    <n v="0"/>
    <s v="Unnamed ProjectBatch 3.QueueNumber WaitingQueue"/>
    <n v="10"/>
    <n v="0.41775820490048837"/>
    <n v="0.15099462697666188"/>
    <n v="0.95"/>
    <n v="0.1080150491722195"/>
    <n v="0.25632285648643699"/>
    <n v="0.68422762922173497"/>
    <n v="0.1080150491722195"/>
  </r>
  <r>
    <x v="0"/>
    <s v="2025-12-30 22:09:11"/>
    <n v="5"/>
    <x v="4"/>
    <x v="4"/>
    <x v="2"/>
    <n v="15.7509497843433"/>
    <n v="2E+20"/>
    <n v="0"/>
    <n v="113"/>
    <n v="0"/>
    <n v="0"/>
    <s v="Unnamed ProjectCustomerWIPEntity"/>
    <n v="10"/>
    <n v="17.583529006307167"/>
    <n v="4.1660214616007023"/>
    <n v="0.95"/>
    <n v="2.9801922229780646"/>
    <n v="10.842462759184199"/>
    <n v="25.8699848535447"/>
    <n v="2.9801922229780646"/>
  </r>
  <r>
    <x v="0"/>
    <s v="2025-12-30 22:09:11"/>
    <n v="5"/>
    <x v="5"/>
    <x v="4"/>
    <x v="2"/>
    <n v="90.5623527266374"/>
    <n v="3E+20"/>
    <n v="0"/>
    <n v="182"/>
    <n v="182"/>
    <n v="0"/>
    <s v="Unnamed ProjectEntity 1WIPEntity"/>
    <n v="10"/>
    <n v="95.041511376368575"/>
    <n v="6.556289254191463"/>
    <n v="0.95"/>
    <n v="4.6900867955271215"/>
    <n v="81.860988802888798"/>
    <n v="104.034812219697"/>
    <n v="4.6900867955271215"/>
  </r>
  <r>
    <x v="0"/>
    <s v="2025-12-30 22:09:11"/>
    <n v="5"/>
    <x v="6"/>
    <x v="4"/>
    <x v="2"/>
    <n v="981.11437840867598"/>
    <n v="3E+20"/>
    <n v="0"/>
    <n v="1881"/>
    <n v="1881"/>
    <n v="0"/>
    <s v="Unnamed ProjectEntity 2WIPEntity"/>
    <n v="10"/>
    <n v="959.25249800465133"/>
    <n v="16.228386811509871"/>
    <n v="0.95"/>
    <n v="11.609088578376843"/>
    <n v="935.21729677519602"/>
    <n v="986.61029939527498"/>
    <n v="11.609088578376843"/>
  </r>
  <r>
    <x v="0"/>
    <s v="2025-12-30 22:09:11"/>
    <n v="5"/>
    <x v="7"/>
    <x v="4"/>
    <x v="2"/>
    <n v="4201.3397050952899"/>
    <n v="3E+20"/>
    <n v="0"/>
    <n v="8096"/>
    <n v="8096"/>
    <n v="0"/>
    <s v="Unnamed ProjectEntity 3WIPEntity"/>
    <n v="10"/>
    <n v="4203.5615331875215"/>
    <n v="17.695322227060075"/>
    <n v="0.95"/>
    <n v="12.658470958503626"/>
    <n v="4170.1494074333395"/>
    <n v="4233.0569788620896"/>
    <n v="12.658470958503626"/>
  </r>
  <r>
    <x v="0"/>
    <s v="2025-12-30 22:09:11"/>
    <n v="5"/>
    <x v="8"/>
    <x v="0"/>
    <x v="0"/>
    <n v="0.43353510935495398"/>
    <n v="3E+20"/>
    <n v="0"/>
    <n v="0.75"/>
    <n v="0.75"/>
    <n v="0"/>
    <s v="Unnamed ProjectKanban L1S1Instantaneous UtilizationResource"/>
    <n v="10"/>
    <n v="0.48160620907873086"/>
    <n v="8.6686321722355061E-2"/>
    <n v="0.95"/>
    <n v="6.2011658897281531E-2"/>
    <n v="0.292184201252493"/>
    <n v="0.57167989674475905"/>
    <n v="6.2011658897281531E-2"/>
  </r>
  <r>
    <x v="0"/>
    <s v="2025-12-30 22:09:11"/>
    <n v="5"/>
    <x v="8"/>
    <x v="1"/>
    <x v="0"/>
    <n v="1.7341404374198199"/>
    <n v="3E+20"/>
    <n v="0"/>
    <n v="3"/>
    <n v="3"/>
    <n v="0"/>
    <s v="Unnamed ProjectKanban L1S1Number BusyResource"/>
    <n v="10"/>
    <n v="1.9264248363149217"/>
    <n v="0.34674528688941914"/>
    <n v="0.95"/>
    <n v="0.24804663558912532"/>
    <n v="1.16873680500997"/>
    <n v="2.28671958697903"/>
    <n v="0.24804663558912532"/>
  </r>
  <r>
    <x v="0"/>
    <s v="2025-12-30 22:09:11"/>
    <n v="5"/>
    <x v="8"/>
    <x v="2"/>
    <x v="0"/>
    <n v="4"/>
    <n v="2E+20"/>
    <n v="4"/>
    <n v="4"/>
    <n v="4"/>
    <n v="0"/>
    <s v="Unnamed ProjectKanban L1S1Number ScheduledResource"/>
    <n v="10"/>
    <n v="4"/>
    <n v="0"/>
    <n v="0.95"/>
    <n v="0"/>
    <n v="4"/>
    <n v="4"/>
    <n v="0"/>
  </r>
  <r>
    <x v="0"/>
    <s v="2025-12-30 22:09:11"/>
    <n v="5"/>
    <x v="9"/>
    <x v="0"/>
    <x v="0"/>
    <n v="0.23696449062414701"/>
    <n v="3E+20"/>
    <n v="0"/>
    <n v="1"/>
    <n v="0"/>
    <n v="0"/>
    <s v="Unnamed ProjectKanban L1S2Instantaneous UtilizationResource"/>
    <n v="10"/>
    <n v="0.25269289312392118"/>
    <n v="4.9214010083081669E-2"/>
    <n v="0.95"/>
    <n v="3.5205581983442397E-2"/>
    <n v="0.20500025225945401"/>
    <n v="0.33570777662711199"/>
    <n v="3.5205581983442397E-2"/>
  </r>
  <r>
    <x v="0"/>
    <s v="2025-12-30 22:09:11"/>
    <n v="5"/>
    <x v="9"/>
    <x v="1"/>
    <x v="0"/>
    <n v="0.71089347187243801"/>
    <n v="3E+20"/>
    <n v="0"/>
    <n v="3"/>
    <n v="0"/>
    <n v="0"/>
    <s v="Unnamed ProjectKanban L1S2Number BusyResource"/>
    <n v="10"/>
    <n v="0.75807867937176476"/>
    <n v="0.14764203024924766"/>
    <n v="0.95"/>
    <n v="0.10561674595032908"/>
    <n v="0.61500075677836796"/>
    <n v="1.00712332988134"/>
    <n v="0.10561674595032908"/>
  </r>
  <r>
    <x v="0"/>
    <s v="2025-12-30 22:09:11"/>
    <n v="5"/>
    <x v="9"/>
    <x v="2"/>
    <x v="0"/>
    <n v="3"/>
    <n v="2E+20"/>
    <n v="3"/>
    <n v="3"/>
    <n v="3"/>
    <n v="0"/>
    <s v="Unnamed ProjectKanban L1S2Number ScheduledResource"/>
    <n v="10"/>
    <n v="3"/>
    <n v="0"/>
    <n v="0.95"/>
    <n v="0"/>
    <n v="3"/>
    <n v="3"/>
    <n v="0"/>
  </r>
  <r>
    <x v="0"/>
    <s v="2025-12-30 22:09:11"/>
    <n v="5"/>
    <x v="10"/>
    <x v="0"/>
    <x v="0"/>
    <n v="0.151658430645773"/>
    <n v="3E+20"/>
    <n v="0"/>
    <n v="0.66666666666666696"/>
    <n v="0"/>
    <n v="0"/>
    <s v="Unnamed ProjectKanban L1S3Instantaneous UtilizationResource"/>
    <n v="10"/>
    <n v="0.151561654865698"/>
    <n v="1.2198256688154243E-4"/>
    <n v="0.95"/>
    <n v="8.7261071626739862E-5"/>
    <n v="0.15134711042770499"/>
    <n v="0.15172806047441101"/>
    <n v="8.7261071626739862E-5"/>
  </r>
  <r>
    <x v="0"/>
    <s v="2025-12-30 22:09:11"/>
    <n v="5"/>
    <x v="10"/>
    <x v="1"/>
    <x v="0"/>
    <n v="0.45497529193731701"/>
    <n v="3E+20"/>
    <n v="0"/>
    <n v="2"/>
    <n v="0"/>
    <n v="0"/>
    <s v="Unnamed ProjectKanban L1S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5"/>
    <x v="10"/>
    <x v="2"/>
    <x v="0"/>
    <n v="3"/>
    <n v="2E+20"/>
    <n v="3"/>
    <n v="3"/>
    <n v="3"/>
    <n v="0"/>
    <s v="Unnamed ProjectKanban L1S3Number ScheduledResource"/>
    <n v="10"/>
    <n v="3"/>
    <n v="0"/>
    <n v="0.95"/>
    <n v="0"/>
    <n v="3"/>
    <n v="3"/>
    <n v="0"/>
  </r>
  <r>
    <x v="0"/>
    <s v="2025-12-30 22:09:11"/>
    <n v="5"/>
    <x v="11"/>
    <x v="0"/>
    <x v="0"/>
    <n v="0.95234896906597499"/>
    <n v="2E+20"/>
    <n v="0"/>
    <n v="1"/>
    <n v="1"/>
    <n v="0"/>
    <s v="Unnamed ProjectKanban L2S1Instantaneous UtilizationResource"/>
    <n v="10"/>
    <n v="0.84558522180863771"/>
    <n v="0.11694354024491282"/>
    <n v="0.95"/>
    <n v="8.3656369122856733E-2"/>
    <n v="0.625269422960122"/>
    <n v="0.95234896906597499"/>
    <n v="8.3656369122856733E-2"/>
  </r>
  <r>
    <x v="0"/>
    <s v="2025-12-30 22:09:11"/>
    <n v="5"/>
    <x v="11"/>
    <x v="1"/>
    <x v="0"/>
    <n v="1.90469793813195"/>
    <n v="2E+20"/>
    <n v="0"/>
    <n v="2"/>
    <n v="2"/>
    <n v="0"/>
    <s v="Unnamed ProjectKanban L2S1Number BusyResource"/>
    <n v="10"/>
    <n v="1.6911704436172748"/>
    <n v="0.23388708048982901"/>
    <n v="0.95"/>
    <n v="0.16731273824571591"/>
    <n v="1.25053884592024"/>
    <n v="1.90469793813195"/>
    <n v="0.16731273824571591"/>
  </r>
  <r>
    <x v="0"/>
    <s v="2025-12-30 22:09:11"/>
    <n v="5"/>
    <x v="11"/>
    <x v="2"/>
    <x v="0"/>
    <n v="2"/>
    <n v="2E+20"/>
    <n v="2"/>
    <n v="2"/>
    <n v="2"/>
    <n v="0"/>
    <s v="Unnamed ProjectKanban L2S1Number ScheduledResource"/>
    <n v="10"/>
    <n v="2"/>
    <n v="0"/>
    <n v="0.95"/>
    <n v="0"/>
    <n v="2"/>
    <n v="2"/>
    <n v="0"/>
  </r>
  <r>
    <x v="0"/>
    <s v="2025-12-30 22:09:11"/>
    <n v="5"/>
    <x v="12"/>
    <x v="0"/>
    <x v="0"/>
    <n v="0.69066103263237699"/>
    <n v="2E+20"/>
    <n v="0"/>
    <n v="1"/>
    <n v="0.4"/>
    <n v="0"/>
    <s v="Unnamed ProjectKanban L2S2Instantaneous UtilizationResource"/>
    <n v="10"/>
    <n v="0.74077431571180252"/>
    <n v="6.1280007141723249E-2"/>
    <n v="0.95"/>
    <n v="4.3837076306763374E-2"/>
    <n v="0.67060354368791797"/>
    <n v="0.87728997349342996"/>
    <n v="4.3837076306763374E-2"/>
  </r>
  <r>
    <x v="0"/>
    <s v="2025-12-30 22:09:11"/>
    <n v="5"/>
    <x v="12"/>
    <x v="1"/>
    <x v="0"/>
    <n v="3.4533051631618901"/>
    <n v="2E+20"/>
    <n v="0"/>
    <n v="5"/>
    <n v="2"/>
    <n v="0"/>
    <s v="Unnamed ProjectKanban L2S2Number BusyResource"/>
    <n v="10"/>
    <n v="3.7038715785590122"/>
    <n v="0.30640003570861163"/>
    <n v="0.95"/>
    <n v="0.21918538153381359"/>
    <n v="3.35301771843959"/>
    <n v="4.3864498674671397"/>
    <n v="0.21918538153381359"/>
  </r>
  <r>
    <x v="0"/>
    <s v="2025-12-30 22:09:11"/>
    <n v="5"/>
    <x v="12"/>
    <x v="2"/>
    <x v="0"/>
    <n v="5"/>
    <n v="2E+20"/>
    <n v="5"/>
    <n v="5"/>
    <n v="5"/>
    <n v="0"/>
    <s v="Unnamed ProjectKanban L2S2Number ScheduledResource"/>
    <n v="10"/>
    <n v="5"/>
    <n v="0"/>
    <n v="0.95"/>
    <n v="0"/>
    <n v="5"/>
    <n v="5"/>
    <n v="0"/>
  </r>
  <r>
    <x v="0"/>
    <s v="2025-12-30 22:09:11"/>
    <n v="5"/>
    <x v="13"/>
    <x v="0"/>
    <x v="0"/>
    <n v="0.59886206518967"/>
    <n v="3E+20"/>
    <n v="0"/>
    <n v="1"/>
    <n v="1"/>
    <n v="0"/>
    <s v="Unnamed ProjectKanban L2S3Instantaneous UtilizationResource"/>
    <n v="10"/>
    <n v="0.52391445815006699"/>
    <n v="7.0460308415606909E-2"/>
    <n v="0.95"/>
    <n v="5.0404268221927347E-2"/>
    <n v="0.36555656561218303"/>
    <n v="0.59886206518967"/>
    <n v="5.0404268221927347E-2"/>
  </r>
  <r>
    <x v="0"/>
    <s v="2025-12-30 22:09:11"/>
    <n v="5"/>
    <x v="13"/>
    <x v="1"/>
    <x v="0"/>
    <n v="2.39544826075868"/>
    <n v="3E+20"/>
    <n v="0"/>
    <n v="4"/>
    <n v="4"/>
    <n v="0"/>
    <s v="Unnamed ProjectKanban L2S3Number BusyResource"/>
    <n v="10"/>
    <n v="2.0956578326002671"/>
    <n v="0.28184123366242902"/>
    <n v="0.95"/>
    <n v="0.20161707288771036"/>
    <n v="1.4622262624487301"/>
    <n v="2.39544826075868"/>
    <n v="0.20161707288771036"/>
  </r>
  <r>
    <x v="0"/>
    <s v="2025-12-30 22:09:11"/>
    <n v="5"/>
    <x v="13"/>
    <x v="2"/>
    <x v="0"/>
    <n v="4"/>
    <n v="2E+20"/>
    <n v="4"/>
    <n v="4"/>
    <n v="4"/>
    <n v="0"/>
    <s v="Unnamed ProjectKanban L2S3Number ScheduledResource"/>
    <n v="10"/>
    <n v="4"/>
    <n v="0"/>
    <n v="0.95"/>
    <n v="0"/>
    <n v="4"/>
    <n v="4"/>
    <n v="0"/>
  </r>
  <r>
    <x v="0"/>
    <s v="2025-12-30 22:09:11"/>
    <n v="5"/>
    <x v="14"/>
    <x v="0"/>
    <x v="0"/>
    <n v="0.14985050053976801"/>
    <n v="3E+20"/>
    <n v="0"/>
    <n v="1"/>
    <n v="0"/>
    <n v="0"/>
    <s v="Unnamed ProjectKanban L2S4Instantaneous UtilizationResource"/>
    <n v="10"/>
    <n v="0.14955853655775292"/>
    <n v="1.8487754554887928E-4"/>
    <n v="0.95"/>
    <n v="1.3225342896729691E-4"/>
    <n v="0.14921189842985499"/>
    <n v="0.14985050053976801"/>
    <n v="1.3225342896729691E-4"/>
  </r>
  <r>
    <x v="0"/>
    <s v="2025-12-30 22:09:11"/>
    <n v="5"/>
    <x v="14"/>
    <x v="1"/>
    <x v="0"/>
    <n v="0.29970100107953501"/>
    <n v="3E+20"/>
    <n v="0"/>
    <n v="2"/>
    <n v="0"/>
    <n v="0"/>
    <s v="Unnamed ProjectKanban L2S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5"/>
    <x v="14"/>
    <x v="2"/>
    <x v="0"/>
    <n v="2"/>
    <n v="2E+20"/>
    <n v="2"/>
    <n v="2"/>
    <n v="2"/>
    <n v="0"/>
    <s v="Unnamed ProjectKanban L2S4Number ScheduledResource"/>
    <n v="10"/>
    <n v="2"/>
    <n v="0"/>
    <n v="0.95"/>
    <n v="0"/>
    <n v="2"/>
    <n v="2"/>
    <n v="0"/>
  </r>
  <r>
    <x v="0"/>
    <s v="2025-12-30 22:09:11"/>
    <n v="5"/>
    <x v="15"/>
    <x v="0"/>
    <x v="0"/>
    <n v="0.90105208693160799"/>
    <n v="3E+20"/>
    <n v="0"/>
    <n v="1"/>
    <n v="0.8"/>
    <n v="0"/>
    <s v="Unnamed ProjectKanban L3S1Instantaneous UtilizationResource"/>
    <n v="10"/>
    <n v="0.78490250681152507"/>
    <n v="0.11345978752761832"/>
    <n v="0.95"/>
    <n v="8.1164242557846045E-2"/>
    <n v="0.58338388917401696"/>
    <n v="0.90111632059041802"/>
    <n v="8.1164242557846045E-2"/>
  </r>
  <r>
    <x v="0"/>
    <s v="2025-12-30 22:09:11"/>
    <n v="5"/>
    <x v="15"/>
    <x v="1"/>
    <x v="0"/>
    <n v="4.5052604346580303"/>
    <n v="3E+20"/>
    <n v="0"/>
    <n v="5"/>
    <n v="4"/>
    <n v="0"/>
    <s v="Unnamed ProjectKanban L3S1Number BusyResource"/>
    <n v="10"/>
    <n v="3.9245125340576221"/>
    <n v="0.56729893763807904"/>
    <n v="0.95"/>
    <n v="0.40582121278922129"/>
    <n v="2.91691944587008"/>
    <n v="4.5055816029520903"/>
    <n v="0.40582121278922129"/>
  </r>
  <r>
    <x v="0"/>
    <s v="2025-12-30 22:09:11"/>
    <n v="5"/>
    <x v="15"/>
    <x v="2"/>
    <x v="0"/>
    <n v="5"/>
    <n v="2E+20"/>
    <n v="5"/>
    <n v="5"/>
    <n v="5"/>
    <n v="0"/>
    <s v="Unnamed ProjectKanban L3S1Number ScheduledResource"/>
    <n v="10"/>
    <n v="5"/>
    <n v="0"/>
    <n v="0.95"/>
    <n v="0"/>
    <n v="5"/>
    <n v="5"/>
    <n v="0"/>
  </r>
  <r>
    <x v="0"/>
    <s v="2025-12-30 22:09:11"/>
    <n v="5"/>
    <x v="16"/>
    <x v="0"/>
    <x v="0"/>
    <n v="0.15880301819842199"/>
    <n v="2E+20"/>
    <n v="0"/>
    <n v="0.66666666666666696"/>
    <n v="0"/>
    <n v="0"/>
    <s v="Unnamed ProjectKanban L3S2Instantaneous UtilizationResource"/>
    <n v="10"/>
    <n v="0.15879210791146137"/>
    <n v="8.8786593845171554E-6"/>
    <n v="0.95"/>
    <n v="6.3514103064755986E-6"/>
    <n v="0.15877821852350199"/>
    <n v="0.15880443244107401"/>
    <n v="6.3514103064755986E-6"/>
  </r>
  <r>
    <x v="0"/>
    <s v="2025-12-30 22:09:11"/>
    <n v="5"/>
    <x v="16"/>
    <x v="1"/>
    <x v="0"/>
    <n v="0.476409054595266"/>
    <n v="2E+20"/>
    <n v="0"/>
    <n v="2"/>
    <n v="0"/>
    <n v="0"/>
    <s v="Unnamed ProjectKanban L3S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5"/>
    <x v="16"/>
    <x v="2"/>
    <x v="0"/>
    <n v="3"/>
    <n v="2E+20"/>
    <n v="3"/>
    <n v="3"/>
    <n v="3"/>
    <n v="0"/>
    <s v="Unnamed ProjectKanban L3S2Number ScheduledResource"/>
    <n v="10"/>
    <n v="3"/>
    <n v="0"/>
    <n v="0.95"/>
    <n v="0"/>
    <n v="3"/>
    <n v="3"/>
    <n v="0"/>
  </r>
  <r>
    <x v="0"/>
    <s v="2025-12-30 22:09:11"/>
    <n v="5"/>
    <x v="17"/>
    <x v="0"/>
    <x v="0"/>
    <n v="0.476389499692775"/>
    <n v="2E+20"/>
    <n v="0"/>
    <n v="1"/>
    <n v="0"/>
    <n v="0"/>
    <s v="Unnamed ProjectL1 Station1Instantaneous Utilization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5"/>
    <x v="17"/>
    <x v="1"/>
    <x v="0"/>
    <n v="0.476389499692775"/>
    <n v="2E+20"/>
    <n v="0"/>
    <n v="1"/>
    <n v="0"/>
    <n v="0"/>
    <s v="Unnamed ProjectL1 Station1Number Busy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5"/>
    <x v="17"/>
    <x v="2"/>
    <x v="0"/>
    <n v="0.476190476190476"/>
    <n v="2E+20"/>
    <n v="0"/>
    <n v="1"/>
    <n v="0"/>
    <n v="0"/>
    <s v="Unnamed ProjectL1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5"/>
    <x v="18"/>
    <x v="0"/>
    <x v="0"/>
    <n v="0.34712505386175102"/>
    <n v="3E+20"/>
    <n v="0"/>
    <n v="1"/>
    <n v="0"/>
    <n v="0"/>
    <s v="Unnamed ProjectL1 Station2Instantaneous Utilization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5"/>
    <x v="18"/>
    <x v="1"/>
    <x v="0"/>
    <n v="0.34712505386175102"/>
    <n v="3E+20"/>
    <n v="0"/>
    <n v="1"/>
    <n v="0"/>
    <n v="0"/>
    <s v="Unnamed ProjectL1 Station2Number Busy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5"/>
    <x v="18"/>
    <x v="2"/>
    <x v="0"/>
    <n v="0.476190476190476"/>
    <n v="2E+20"/>
    <n v="0"/>
    <n v="1"/>
    <n v="0"/>
    <n v="0"/>
    <s v="Unnamed ProjectL1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5"/>
    <x v="19"/>
    <x v="0"/>
    <x v="0"/>
    <n v="0.45497529193731701"/>
    <n v="3E+20"/>
    <n v="0"/>
    <n v="1"/>
    <n v="0"/>
    <n v="0"/>
    <s v="Unnamed ProjectL1 Station3Instantaneous Utilization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5"/>
    <x v="19"/>
    <x v="1"/>
    <x v="0"/>
    <n v="0.45497529193731701"/>
    <n v="3E+20"/>
    <n v="0"/>
    <n v="1"/>
    <n v="0"/>
    <n v="0"/>
    <s v="Unnamed ProjectL1 Station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5"/>
    <x v="19"/>
    <x v="2"/>
    <x v="0"/>
    <n v="0.476190476190476"/>
    <n v="2E+20"/>
    <n v="0"/>
    <n v="1"/>
    <n v="0"/>
    <n v="0"/>
    <s v="Unnamed ProjectL1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5"/>
    <x v="20"/>
    <x v="0"/>
    <x v="0"/>
    <n v="0.23202343200723599"/>
    <n v="3E+20"/>
    <n v="0"/>
    <n v="1"/>
    <n v="0"/>
    <n v="0"/>
    <s v="Unnamed ProjectL2 Station1Instantaneous Utilization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5"/>
    <x v="20"/>
    <x v="1"/>
    <x v="0"/>
    <n v="0.23202343200723599"/>
    <n v="3E+20"/>
    <n v="0"/>
    <n v="1"/>
    <n v="0"/>
    <n v="0"/>
    <s v="Unnamed ProjectL2 Station1Number Busy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5"/>
    <x v="20"/>
    <x v="2"/>
    <x v="0"/>
    <n v="0.476190476190476"/>
    <n v="2E+20"/>
    <n v="0"/>
    <n v="1"/>
    <n v="0"/>
    <n v="0"/>
    <s v="Unnamed ProjectL2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5"/>
    <x v="21"/>
    <x v="0"/>
    <x v="0"/>
    <n v="0.27224254865187397"/>
    <n v="3E+20"/>
    <n v="0"/>
    <n v="1"/>
    <n v="0"/>
    <n v="0"/>
    <s v="Unnamed ProjectL2 Station2Instantaneous Utilization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5"/>
    <x v="21"/>
    <x v="1"/>
    <x v="0"/>
    <n v="0.27224254865187397"/>
    <n v="3E+20"/>
    <n v="0"/>
    <n v="1"/>
    <n v="0"/>
    <n v="0"/>
    <s v="Unnamed ProjectL2 Station2Number Busy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5"/>
    <x v="21"/>
    <x v="2"/>
    <x v="0"/>
    <n v="0.476190476190476"/>
    <n v="2E+20"/>
    <n v="0"/>
    <n v="1"/>
    <n v="0"/>
    <n v="0"/>
    <s v="Unnamed ProjectL2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5"/>
    <x v="22"/>
    <x v="0"/>
    <x v="0"/>
    <n v="0.47622171379262102"/>
    <n v="2E+20"/>
    <n v="0"/>
    <n v="1"/>
    <n v="0"/>
    <n v="0"/>
    <s v="Unnamed ProjectL2 Station3Instantaneous UtilizationResource"/>
    <n v="10"/>
    <n v="0.47640752107427203"/>
    <n v="7.9809559904816854E-5"/>
    <n v="0.95"/>
    <n v="5.7092319840390197E-5"/>
    <n v="0.47622171379262102"/>
    <n v="0.47651577494330499"/>
    <n v="5.7092319840390197E-5"/>
  </r>
  <r>
    <x v="0"/>
    <s v="2025-12-30 22:09:11"/>
    <n v="5"/>
    <x v="22"/>
    <x v="1"/>
    <x v="0"/>
    <n v="0.47622171379262102"/>
    <n v="2E+20"/>
    <n v="0"/>
    <n v="1"/>
    <n v="0"/>
    <n v="0"/>
    <s v="Unnamed ProjectL2 Station3Number BusyResource"/>
    <n v="10"/>
    <n v="0.47640752107427209"/>
    <n v="7.980955990487845E-5"/>
    <n v="0.95"/>
    <n v="5.7092319840434263E-5"/>
    <n v="0.47622171379262102"/>
    <n v="0.47651577494330499"/>
    <n v="5.7092319840434263E-5"/>
  </r>
  <r>
    <x v="0"/>
    <s v="2025-12-30 22:09:11"/>
    <n v="5"/>
    <x v="22"/>
    <x v="2"/>
    <x v="0"/>
    <n v="0.476190476190476"/>
    <n v="2E+20"/>
    <n v="0"/>
    <n v="1"/>
    <n v="0"/>
    <n v="0"/>
    <s v="Unnamed ProjectL2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5"/>
    <x v="23"/>
    <x v="0"/>
    <x v="0"/>
    <n v="0.29970100107953501"/>
    <n v="3E+20"/>
    <n v="0"/>
    <n v="1"/>
    <n v="0"/>
    <n v="0"/>
    <s v="Unnamed ProjectL2 Station4Instantaneous Utilization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5"/>
    <x v="23"/>
    <x v="1"/>
    <x v="0"/>
    <n v="0.29970100107953501"/>
    <n v="3E+20"/>
    <n v="0"/>
    <n v="1"/>
    <n v="0"/>
    <n v="0"/>
    <s v="Unnamed ProjectL2 Station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5"/>
    <x v="23"/>
    <x v="2"/>
    <x v="0"/>
    <n v="0.476190476190476"/>
    <n v="2E+20"/>
    <n v="0"/>
    <n v="1"/>
    <n v="0"/>
    <n v="0"/>
    <s v="Unnamed ProjectL2 Station4Number ScheduledResource"/>
    <n v="10"/>
    <n v="0.476190476190476"/>
    <n v="0"/>
    <n v="0.95"/>
    <n v="0"/>
    <n v="0.476190476190476"/>
    <n v="0.476190476190476"/>
    <n v="0"/>
  </r>
  <r>
    <x v="0"/>
    <s v="2025-12-30 22:09:11"/>
    <n v="5"/>
    <x v="24"/>
    <x v="0"/>
    <x v="0"/>
    <n v="0.45630554469193102"/>
    <n v="3E+20"/>
    <n v="0"/>
    <n v="1"/>
    <n v="0"/>
    <n v="0"/>
    <s v="Unnamed ProjectL3 Station1Instantaneous Utilization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5"/>
    <x v="24"/>
    <x v="1"/>
    <x v="0"/>
    <n v="0.45630554469193102"/>
    <n v="3E+20"/>
    <n v="0"/>
    <n v="1"/>
    <n v="0"/>
    <n v="0"/>
    <s v="Unnamed ProjectL3 Station1Number Busy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5"/>
    <x v="24"/>
    <x v="2"/>
    <x v="0"/>
    <n v="0.476190476190476"/>
    <n v="2E+20"/>
    <n v="0"/>
    <n v="1"/>
    <n v="0"/>
    <n v="0"/>
    <s v="Unnamed ProjectL3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5"/>
    <x v="25"/>
    <x v="0"/>
    <x v="0"/>
    <n v="0.476409054595266"/>
    <n v="2E+20"/>
    <n v="0"/>
    <n v="1"/>
    <n v="0"/>
    <n v="0"/>
    <s v="Unnamed ProjectL3 Station2Instantaneous UtilizationResource"/>
    <n v="10"/>
    <n v="0.47637632373438449"/>
    <n v="2.6635978153163645E-5"/>
    <n v="0.95"/>
    <n v="1.9054230919149366E-5"/>
    <n v="0.47633465557050603"/>
    <n v="0.47641329732322302"/>
    <n v="1.9054230919149366E-5"/>
  </r>
  <r>
    <x v="0"/>
    <s v="2025-12-30 22:09:11"/>
    <n v="5"/>
    <x v="25"/>
    <x v="1"/>
    <x v="0"/>
    <n v="0.476409054595266"/>
    <n v="2E+20"/>
    <n v="0"/>
    <n v="1"/>
    <n v="0"/>
    <n v="0"/>
    <s v="Unnamed ProjectL3 Station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5"/>
    <x v="25"/>
    <x v="2"/>
    <x v="0"/>
    <n v="0.476190476190476"/>
    <n v="2E+20"/>
    <n v="0"/>
    <n v="1"/>
    <n v="0"/>
    <n v="0"/>
    <s v="Unnamed ProjectL3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5"/>
    <x v="26"/>
    <x v="3"/>
    <x v="1"/>
    <n v="2.8493256765762199E-5"/>
    <n v="2E+20"/>
    <n v="0"/>
    <n v="1"/>
    <n v="0"/>
    <n v="0"/>
    <s v="Unnamed ProjectMatch 1.Queue1Number WaitingQueue"/>
    <n v="10"/>
    <n v="2.9170315053456471E-5"/>
    <n v="7.7933109083950271E-6"/>
    <n v="0.95"/>
    <n v="5.5749987786968959E-6"/>
    <n v="1.80144253291803E-5"/>
    <n v="4.21406992387485E-5"/>
    <n v="5.5749987786968959E-6"/>
  </r>
  <r>
    <x v="0"/>
    <s v="2025-12-30 22:09:11"/>
    <n v="5"/>
    <x v="27"/>
    <x v="3"/>
    <x v="1"/>
    <n v="875.80608811200398"/>
    <n v="3E+20"/>
    <n v="0"/>
    <n v="1684"/>
    <n v="1682"/>
    <n v="0"/>
    <s v="Unnamed ProjectMatch 1.Queue2Number WaitingQueue"/>
    <n v="10"/>
    <n v="867.85098767897125"/>
    <n v="5.9823523640247513"/>
    <n v="0.95"/>
    <n v="4.2795170775550373"/>
    <n v="858.49288388840398"/>
    <n v="875.80608811200398"/>
    <n v="4.2795170775550373"/>
  </r>
  <r>
    <x v="0"/>
    <s v="2025-12-30 22:09:11"/>
    <n v="5"/>
    <x v="28"/>
    <x v="3"/>
    <x v="1"/>
    <n v="1372.37166318558"/>
    <n v="3E+20"/>
    <n v="0"/>
    <n v="2645"/>
    <n v="2645"/>
    <n v="0"/>
    <s v="Unnamed ProjectMatch 1.Queue3Number WaitingQueue"/>
    <n v="10"/>
    <n v="1368.6640709815952"/>
    <n v="5.3961917051273351"/>
    <n v="0.95"/>
    <n v="3.860203002204456"/>
    <n v="1357.5761788714599"/>
    <n v="1375.17190829069"/>
    <n v="3.860203002204456"/>
  </r>
  <r>
    <x v="0"/>
    <s v="2025-12-30 22:09:11"/>
    <n v="5"/>
    <x v="29"/>
    <x v="0"/>
    <x v="0"/>
    <n v="0"/>
    <n v="2E+20"/>
    <n v="0"/>
    <n v="0"/>
    <n v="0"/>
    <n v="0"/>
    <s v="Unnamed ProjectSales DepartmentInstantaneous UtilizationResource"/>
    <n v="10"/>
    <n v="0"/>
    <n v="0"/>
    <n v="0.95"/>
    <n v="0"/>
    <n v="0"/>
    <n v="0"/>
    <n v="0"/>
  </r>
  <r>
    <x v="0"/>
    <s v="2025-12-30 22:09:11"/>
    <n v="5"/>
    <x v="29"/>
    <x v="1"/>
    <x v="0"/>
    <n v="0"/>
    <n v="2E+20"/>
    <n v="0"/>
    <n v="0"/>
    <n v="0"/>
    <n v="0"/>
    <s v="Unnamed ProjectSales DepartmentNumber BusyResource"/>
    <n v="10"/>
    <n v="0"/>
    <n v="0"/>
    <n v="0.95"/>
    <n v="0"/>
    <n v="0"/>
    <n v="0"/>
    <n v="0"/>
  </r>
  <r>
    <x v="0"/>
    <s v="2025-12-30 22:09:11"/>
    <n v="5"/>
    <x v="29"/>
    <x v="2"/>
    <x v="0"/>
    <n v="0.26785714285714302"/>
    <n v="2E+20"/>
    <n v="0"/>
    <n v="1"/>
    <n v="1"/>
    <n v="0"/>
    <s v="Unnamed ProjectSales Department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5"/>
    <x v="30"/>
    <x v="0"/>
    <x v="0"/>
    <n v="8.6290077440278001E-2"/>
    <n v="2E+20"/>
    <n v="0"/>
    <n v="1"/>
    <n v="0"/>
    <n v="0"/>
    <s v="Unnamed ProjectSales RepInstantaneous UtilizationResource"/>
    <n v="10"/>
    <n v="8.7684406282387828E-2"/>
    <n v="9.4212906785234151E-3"/>
    <n v="0.95"/>
    <n v="6.7395853500387742E-3"/>
    <n v="7.2143522330073706E-2"/>
    <n v="0.105326430117076"/>
    <n v="6.7395853500387742E-3"/>
  </r>
  <r>
    <x v="0"/>
    <s v="2025-12-30 22:09:11"/>
    <n v="5"/>
    <x v="30"/>
    <x v="1"/>
    <x v="0"/>
    <n v="8.6290077440278001E-2"/>
    <n v="2E+20"/>
    <n v="0"/>
    <n v="1"/>
    <n v="0"/>
    <n v="0"/>
    <s v="Unnamed ProjectSales RepNumber BusyResource"/>
    <n v="10"/>
    <n v="8.7684406282387842E-2"/>
    <n v="9.4212906785234151E-3"/>
    <n v="0.95"/>
    <n v="6.7395853500387742E-3"/>
    <n v="7.2143522330073706E-2"/>
    <n v="0.105326430117076"/>
    <n v="6.7395853500387742E-3"/>
  </r>
  <r>
    <x v="0"/>
    <s v="2025-12-30 22:09:11"/>
    <n v="5"/>
    <x v="30"/>
    <x v="2"/>
    <x v="0"/>
    <n v="0.26785714285714302"/>
    <n v="2E+20"/>
    <n v="0"/>
    <n v="1"/>
    <n v="0"/>
    <n v="0"/>
    <s v="Unnamed ProjectSales Rep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5"/>
    <x v="31"/>
    <x v="3"/>
    <x v="1"/>
    <n v="80.386541069000899"/>
    <n v="2E+20"/>
    <n v="0"/>
    <n v="163"/>
    <n v="163"/>
    <n v="0"/>
    <s v="Unnamed ProjectSeize 1.QueueNumber WaitingQueue"/>
    <n v="10"/>
    <n v="83.474789654582125"/>
    <n v="6.0930686050573728"/>
    <n v="0.95"/>
    <n v="4.358718705180836"/>
    <n v="72.152998246910798"/>
    <n v="91.653675793565498"/>
    <n v="4.358718705180836"/>
  </r>
  <r>
    <x v="0"/>
    <s v="2025-12-30 22:09:11"/>
    <n v="5"/>
    <x v="32"/>
    <x v="3"/>
    <x v="1"/>
    <n v="0.659471645950231"/>
    <n v="2E+20"/>
    <n v="0"/>
    <n v="2"/>
    <n v="2"/>
    <n v="0"/>
    <s v="Unnamed ProjectSeize 10.QueueNumber WaitingQueue"/>
    <n v="10"/>
    <n v="0.77451739131190445"/>
    <n v="0.14034110421466847"/>
    <n v="0.95"/>
    <n v="0.10039397809151185"/>
    <n v="0.57599630674201496"/>
    <n v="0.944128153448903"/>
    <n v="0.10039397809151185"/>
  </r>
  <r>
    <x v="0"/>
    <s v="2025-12-30 22:09:11"/>
    <n v="5"/>
    <x v="33"/>
    <x v="3"/>
    <x v="1"/>
    <n v="15.6646597069031"/>
    <n v="2E+20"/>
    <n v="0"/>
    <n v="111"/>
    <n v="0"/>
    <n v="0"/>
    <s v="Unnamed ProjectSeize 11.QueueNumber WaitingQueue"/>
    <n v="10"/>
    <n v="17.495844600024782"/>
    <n v="4.1567315260337745"/>
    <n v="0.95"/>
    <n v="2.9735466034142406"/>
    <n v="10.770319236854199"/>
    <n v="25.764658423427701"/>
    <n v="2.9735466034142406"/>
  </r>
  <r>
    <x v="0"/>
    <s v="2025-12-30 22:09:11"/>
    <n v="5"/>
    <x v="34"/>
    <x v="3"/>
    <x v="1"/>
    <n v="1.0409096712844399"/>
    <n v="2E+20"/>
    <n v="0"/>
    <n v="3"/>
    <n v="3"/>
    <n v="0"/>
    <s v="Unnamed ProjectSeize 2.QueueNumber WaitingQueue"/>
    <n v="10"/>
    <n v="1.2334365850159306"/>
    <n v="0.34677877772765942"/>
    <n v="0.95"/>
    <n v="0.24807059349154728"/>
    <n v="0.47601596605360202"/>
    <n v="1.5938052921300001"/>
    <n v="0.24807059349154728"/>
  </r>
  <r>
    <x v="0"/>
    <s v="2025-12-30 22:09:11"/>
    <n v="5"/>
    <x v="35"/>
    <x v="3"/>
    <x v="1"/>
    <n v="0.14710655873928299"/>
    <n v="3E+20"/>
    <n v="0"/>
    <n v="2"/>
    <n v="0"/>
    <n v="0"/>
    <s v="Unnamed ProjectSeize 3.QueueNumber WaitingQueue"/>
    <n v="10"/>
    <n v="0.19501309596936622"/>
    <n v="0.14771852643081365"/>
    <n v="0.95"/>
    <n v="0.10567146802209269"/>
    <n v="5.2203254973614402E-2"/>
    <n v="0.443638473140476"/>
    <n v="0.10567146802209269"/>
  </r>
  <r>
    <x v="0"/>
    <s v="2025-12-30 22:09:11"/>
    <n v="5"/>
    <x v="36"/>
    <x v="3"/>
    <x v="1"/>
    <n v="95.266145299451495"/>
    <n v="3E+20"/>
    <n v="0"/>
    <n v="186"/>
    <n v="186"/>
    <n v="0"/>
    <s v="Unnamed ProjectSeize 4.QueueNumber WaitingQueue"/>
    <n v="10"/>
    <n v="81.226274902651596"/>
    <n v="11.159336682409895"/>
    <n v="0.95"/>
    <n v="7.9829085618136846"/>
    <n v="66.053444809788303"/>
    <n v="100.586340982454"/>
    <n v="7.9829085618136846"/>
  </r>
  <r>
    <x v="0"/>
    <s v="2025-12-30 22:09:11"/>
    <n v="5"/>
    <x v="37"/>
    <x v="3"/>
    <x v="1"/>
    <n v="1.5367801636504701"/>
    <n v="3E+20"/>
    <n v="0"/>
    <n v="2"/>
    <n v="2"/>
    <n v="0"/>
    <s v="Unnamed ProjectSeize 5.QueueNumber WaitingQueue"/>
    <n v="10"/>
    <n v="1.3234420699844864"/>
    <n v="0.23376145670955006"/>
    <n v="0.95"/>
    <n v="0.1672228724069392"/>
    <n v="0.88257428434366503"/>
    <n v="1.5367801636504701"/>
    <n v="0.1672228724069392"/>
  </r>
  <r>
    <x v="0"/>
    <s v="2025-12-30 22:09:11"/>
    <n v="5"/>
    <x v="38"/>
    <x v="3"/>
    <x v="1"/>
    <n v="3.04471194562616"/>
    <n v="3E+20"/>
    <n v="0"/>
    <n v="5"/>
    <n v="2"/>
    <n v="0"/>
    <s v="Unnamed ProjectSeize 6.QueueNumber WaitingQueue"/>
    <n v="10"/>
    <n v="3.295350976306183"/>
    <n v="0.30652142094800816"/>
    <n v="0.95"/>
    <n v="0.21927221530309879"/>
    <n v="2.9443042052265702"/>
    <n v="3.9785130958891202"/>
    <n v="0.21927221530309879"/>
  </r>
  <r>
    <x v="0"/>
    <s v="2025-12-30 22:09:11"/>
    <n v="5"/>
    <x v="39"/>
    <x v="3"/>
    <x v="1"/>
    <n v="1.78320590856036"/>
    <n v="2E+20"/>
    <n v="0"/>
    <n v="4"/>
    <n v="4"/>
    <n v="0"/>
    <s v="Unnamed ProjectSeize 7.QueueNumber WaitingQueue"/>
    <n v="10"/>
    <n v="1.4832039737284362"/>
    <n v="0.28170250043427397"/>
    <n v="0.95"/>
    <n v="0.20151782911486205"/>
    <n v="0.850065833369271"/>
    <n v="1.78320590856036"/>
    <n v="0.20151782911486205"/>
  </r>
  <r>
    <x v="0"/>
    <s v="2025-12-30 22:09:11"/>
    <n v="5"/>
    <x v="40"/>
    <x v="3"/>
    <x v="1"/>
    <n v="72.004631303705096"/>
    <n v="3E+20"/>
    <n v="0"/>
    <n v="141"/>
    <n v="141"/>
    <n v="0"/>
    <s v="Unnamed ProjectSeize 8.QueueNumber WaitingQueue"/>
    <n v="10"/>
    <n v="84.673313986400757"/>
    <n v="6.3050274623130749"/>
    <n v="0.95"/>
    <n v="4.5103449375003528"/>
    <n v="72.004631303705096"/>
    <n v="94.488584180465494"/>
    <n v="4.5103449375003528"/>
  </r>
  <r>
    <x v="0"/>
    <s v="2025-12-30 22:09:11"/>
    <n v="5"/>
    <x v="41"/>
    <x v="3"/>
    <x v="1"/>
    <n v="3.74470825327669"/>
    <n v="3E+20"/>
    <n v="0"/>
    <n v="5"/>
    <n v="4"/>
    <n v="0"/>
    <s v="Unnamed ProjectSeize 9.QueueNumber WaitingQueue"/>
    <n v="10"/>
    <n v="3.1643006447829118"/>
    <n v="0.56709805972033456"/>
    <n v="0.95"/>
    <n v="0.40567751338350572"/>
    <n v="2.1571183231200299"/>
    <n v="3.7448575603137102"/>
    <n v="0.40567751338350572"/>
  </r>
  <r>
    <x v="0"/>
    <s v="2025-12-30 22:09:11"/>
    <n v="5"/>
    <x v="42"/>
    <x v="4"/>
    <x v="2"/>
    <n v="2.3972582838526901"/>
    <n v="3E+20"/>
    <n v="0"/>
    <n v="6"/>
    <n v="5"/>
    <n v="0"/>
    <s v="Unnamed ProjectWire HarnessWIPEntity"/>
    <n v="10"/>
    <n v="2.7938165767457108"/>
    <n v="0.37107770243484822"/>
    <n v="0.95"/>
    <n v="0.26545299708849601"/>
    <n v="2.05988155680273"/>
    <n v="3.2132100714910901"/>
    <n v="0.26545299708849601"/>
  </r>
  <r>
    <x v="0"/>
    <s v="2025-12-30 22:09:11"/>
    <n v="6"/>
    <x v="0"/>
    <x v="0"/>
    <x v="0"/>
    <n v="3.6105271539592199E-2"/>
    <n v="3E+20"/>
    <n v="0"/>
    <n v="1"/>
    <n v="1"/>
    <n v="0"/>
    <s v="Unnamed ProjectAssemblerInstantaneous UtilizationResource"/>
    <n v="10"/>
    <n v="3.6074566243936998E-2"/>
    <n v="6.6761681626786623E-5"/>
    <n v="0.95"/>
    <n v="4.7758430005936653E-5"/>
    <n v="3.5941735992799297E-2"/>
    <n v="3.6177689828441002E-2"/>
    <n v="4.7758430005936653E-5"/>
  </r>
  <r>
    <x v="0"/>
    <s v="2025-12-30 22:09:11"/>
    <n v="6"/>
    <x v="0"/>
    <x v="1"/>
    <x v="0"/>
    <n v="3.6105271539592199E-2"/>
    <n v="3E+20"/>
    <n v="0"/>
    <n v="1"/>
    <n v="1"/>
    <n v="0"/>
    <s v="Unnamed ProjectAssemblerNumber BusyResource"/>
    <n v="10"/>
    <n v="3.6074566243937005E-2"/>
    <n v="6.6761681626785268E-5"/>
    <n v="0.95"/>
    <n v="4.7758430005935684E-5"/>
    <n v="3.5941735992799297E-2"/>
    <n v="3.6177689828441002E-2"/>
    <n v="4.7758430005935684E-5"/>
  </r>
  <r>
    <x v="0"/>
    <s v="2025-12-30 22:09:11"/>
    <n v="6"/>
    <x v="0"/>
    <x v="2"/>
    <x v="0"/>
    <n v="0.476190476190476"/>
    <n v="2E+20"/>
    <n v="0"/>
    <n v="1"/>
    <n v="1"/>
    <n v="0"/>
    <s v="Unnamed ProjectAssemblerNumber ScheduledResource"/>
    <n v="10"/>
    <n v="0.476190476190476"/>
    <n v="0"/>
    <n v="0.95"/>
    <n v="0"/>
    <n v="0.476190476190476"/>
    <n v="0.476190476190476"/>
    <n v="0"/>
  </r>
  <r>
    <x v="0"/>
    <s v="2025-12-30 22:09:11"/>
    <n v="6"/>
    <x v="1"/>
    <x v="3"/>
    <x v="1"/>
    <n v="1.8760472605413501"/>
    <n v="3E+20"/>
    <n v="0"/>
    <n v="5"/>
    <n v="4"/>
    <n v="0"/>
    <s v="Unnamed ProjectAssembly Batch.QueueNumber WaitingQueue"/>
    <n v="10"/>
    <n v="1.983224619189873"/>
    <n v="0.29990249131557767"/>
    <n v="0.95"/>
    <n v="0.21453731828040576"/>
    <n v="1.4478959937017499"/>
    <n v="2.3267973127516899"/>
    <n v="0.21453731828040576"/>
  </r>
  <r>
    <x v="0"/>
    <s v="2025-12-30 22:09:11"/>
    <n v="6"/>
    <x v="2"/>
    <x v="3"/>
    <x v="1"/>
    <n v="0.66613303676888702"/>
    <n v="3E+20"/>
    <n v="0"/>
    <n v="2"/>
    <n v="1"/>
    <n v="0"/>
    <s v="Unnamed ProjectBatch 2.QueueNumber WaitingQueue"/>
    <n v="10"/>
    <n v="0.47900820660242172"/>
    <n v="0.13717282935395095"/>
    <n v="0.95"/>
    <n v="9.8127530789884315E-2"/>
    <n v="0.25584390949740998"/>
    <n v="0.66613303676888702"/>
    <n v="9.8127530789884315E-2"/>
  </r>
  <r>
    <x v="0"/>
    <s v="2025-12-30 22:09:11"/>
    <n v="6"/>
    <x v="3"/>
    <x v="3"/>
    <x v="1"/>
    <n v="0.51788426940096599"/>
    <n v="3E+20"/>
    <n v="0"/>
    <n v="2"/>
    <n v="0"/>
    <n v="0"/>
    <s v="Unnamed ProjectBatch 3.QueueNumber WaitingQueue"/>
    <n v="10"/>
    <n v="0.41775820490048837"/>
    <n v="0.15099462697666188"/>
    <n v="0.95"/>
    <n v="0.1080150491722195"/>
    <n v="0.25632285648643699"/>
    <n v="0.68422762922173497"/>
    <n v="0.1080150491722195"/>
  </r>
  <r>
    <x v="0"/>
    <s v="2025-12-30 22:09:11"/>
    <n v="6"/>
    <x v="4"/>
    <x v="4"/>
    <x v="2"/>
    <n v="21.033373075555598"/>
    <n v="2E+20"/>
    <n v="0"/>
    <n v="125"/>
    <n v="0"/>
    <n v="0"/>
    <s v="Unnamed ProjectCustomerWIPEntity"/>
    <n v="10"/>
    <n v="17.583529006307167"/>
    <n v="4.1660214616007023"/>
    <n v="0.95"/>
    <n v="2.9801922229780646"/>
    <n v="10.842462759184199"/>
    <n v="25.8699848535447"/>
    <n v="2.9801922229780646"/>
  </r>
  <r>
    <x v="0"/>
    <s v="2025-12-30 22:09:11"/>
    <n v="6"/>
    <x v="5"/>
    <x v="4"/>
    <x v="2"/>
    <n v="97.961580323687201"/>
    <n v="3E+20"/>
    <n v="0"/>
    <n v="194"/>
    <n v="194"/>
    <n v="0"/>
    <s v="Unnamed ProjectEntity 1WIPEntity"/>
    <n v="10"/>
    <n v="95.041511376368575"/>
    <n v="6.556289254191463"/>
    <n v="0.95"/>
    <n v="4.6900867955271215"/>
    <n v="81.860988802888798"/>
    <n v="104.034812219697"/>
    <n v="4.6900867955271215"/>
  </r>
  <r>
    <x v="0"/>
    <s v="2025-12-30 22:09:11"/>
    <n v="6"/>
    <x v="6"/>
    <x v="4"/>
    <x v="2"/>
    <n v="935.21729677519602"/>
    <n v="3E+20"/>
    <n v="0"/>
    <n v="1808"/>
    <n v="1808"/>
    <n v="0"/>
    <s v="Unnamed ProjectEntity 2WIPEntity"/>
    <n v="10"/>
    <n v="959.25249800465133"/>
    <n v="16.228386811509871"/>
    <n v="0.95"/>
    <n v="11.609088578376843"/>
    <n v="935.21729677519602"/>
    <n v="986.61029939527498"/>
    <n v="11.609088578376843"/>
  </r>
  <r>
    <x v="0"/>
    <s v="2025-12-30 22:09:11"/>
    <n v="6"/>
    <x v="7"/>
    <x v="4"/>
    <x v="2"/>
    <n v="4198.3595150761003"/>
    <n v="3E+20"/>
    <n v="0"/>
    <n v="8094"/>
    <n v="8094"/>
    <n v="0"/>
    <s v="Unnamed ProjectEntity 3WIPEntity"/>
    <n v="10"/>
    <n v="4203.5615331875215"/>
    <n v="17.695322227060075"/>
    <n v="0.95"/>
    <n v="12.658470958503626"/>
    <n v="4170.1494074333395"/>
    <n v="4233.0569788620896"/>
    <n v="12.658470958503626"/>
  </r>
  <r>
    <x v="0"/>
    <s v="2025-12-30 22:09:11"/>
    <n v="6"/>
    <x v="8"/>
    <x v="0"/>
    <x v="0"/>
    <n v="0.57167989674475905"/>
    <n v="3E+20"/>
    <n v="0"/>
    <n v="1"/>
    <n v="1"/>
    <n v="0"/>
    <s v="Unnamed ProjectKanban L1S1Instantaneous UtilizationResource"/>
    <n v="10"/>
    <n v="0.48160620907873086"/>
    <n v="8.6686321722355061E-2"/>
    <n v="0.95"/>
    <n v="6.2011658897281531E-2"/>
    <n v="0.292184201252493"/>
    <n v="0.57167989674475905"/>
    <n v="6.2011658897281531E-2"/>
  </r>
  <r>
    <x v="0"/>
    <s v="2025-12-30 22:09:11"/>
    <n v="6"/>
    <x v="8"/>
    <x v="1"/>
    <x v="0"/>
    <n v="2.28671958697903"/>
    <n v="3E+20"/>
    <n v="0"/>
    <n v="4"/>
    <n v="4"/>
    <n v="0"/>
    <s v="Unnamed ProjectKanban L1S1Number BusyResource"/>
    <n v="10"/>
    <n v="1.9264248363149217"/>
    <n v="0.34674528688941914"/>
    <n v="0.95"/>
    <n v="0.24804663558912532"/>
    <n v="1.16873680500997"/>
    <n v="2.28671958697903"/>
    <n v="0.24804663558912532"/>
  </r>
  <r>
    <x v="0"/>
    <s v="2025-12-30 22:09:11"/>
    <n v="6"/>
    <x v="8"/>
    <x v="2"/>
    <x v="0"/>
    <n v="4"/>
    <n v="2E+20"/>
    <n v="4"/>
    <n v="4"/>
    <n v="4"/>
    <n v="0"/>
    <s v="Unnamed ProjectKanban L1S1Number ScheduledResource"/>
    <n v="10"/>
    <n v="4"/>
    <n v="0"/>
    <n v="0.95"/>
    <n v="0"/>
    <n v="4"/>
    <n v="4"/>
    <n v="0"/>
  </r>
  <r>
    <x v="0"/>
    <s v="2025-12-30 22:09:11"/>
    <n v="6"/>
    <x v="9"/>
    <x v="0"/>
    <x v="0"/>
    <n v="0.20846694968871901"/>
    <n v="3E+20"/>
    <n v="0"/>
    <n v="1"/>
    <n v="0"/>
    <n v="0"/>
    <s v="Unnamed ProjectKanban L1S2Instantaneous UtilizationResource"/>
    <n v="10"/>
    <n v="0.25269289312392118"/>
    <n v="4.9214010083081669E-2"/>
    <n v="0.95"/>
    <n v="3.5205581983442397E-2"/>
    <n v="0.20500025225945401"/>
    <n v="0.33570777662711199"/>
    <n v="3.5205581983442397E-2"/>
  </r>
  <r>
    <x v="0"/>
    <s v="2025-12-30 22:09:11"/>
    <n v="6"/>
    <x v="9"/>
    <x v="1"/>
    <x v="0"/>
    <n v="0.625400849066165"/>
    <n v="3E+20"/>
    <n v="0"/>
    <n v="3"/>
    <n v="0"/>
    <n v="0"/>
    <s v="Unnamed ProjectKanban L1S2Number BusyResource"/>
    <n v="10"/>
    <n v="0.75807867937176476"/>
    <n v="0.14764203024924766"/>
    <n v="0.95"/>
    <n v="0.10561674595032908"/>
    <n v="0.61500075677836796"/>
    <n v="1.00712332988134"/>
    <n v="0.10561674595032908"/>
  </r>
  <r>
    <x v="0"/>
    <s v="2025-12-30 22:09:11"/>
    <n v="6"/>
    <x v="9"/>
    <x v="2"/>
    <x v="0"/>
    <n v="3"/>
    <n v="2E+20"/>
    <n v="3"/>
    <n v="3"/>
    <n v="3"/>
    <n v="0"/>
    <s v="Unnamed ProjectKanban L1S2Number ScheduledResource"/>
    <n v="10"/>
    <n v="3"/>
    <n v="0"/>
    <n v="0.95"/>
    <n v="0"/>
    <n v="3"/>
    <n v="3"/>
    <n v="0"/>
  </r>
  <r>
    <x v="0"/>
    <s v="2025-12-30 22:09:11"/>
    <n v="6"/>
    <x v="10"/>
    <x v="0"/>
    <x v="0"/>
    <n v="0.151561235045161"/>
    <n v="3E+20"/>
    <n v="0"/>
    <n v="0.66666666666666696"/>
    <n v="0"/>
    <n v="0"/>
    <s v="Unnamed ProjectKanban L1S3Instantaneous UtilizationResource"/>
    <n v="10"/>
    <n v="0.151561654865698"/>
    <n v="1.2198256688154243E-4"/>
    <n v="0.95"/>
    <n v="8.7261071626739862E-5"/>
    <n v="0.15134711042770499"/>
    <n v="0.15172806047441101"/>
    <n v="8.7261071626739862E-5"/>
  </r>
  <r>
    <x v="0"/>
    <s v="2025-12-30 22:09:11"/>
    <n v="6"/>
    <x v="10"/>
    <x v="1"/>
    <x v="0"/>
    <n v="0.45468370513548301"/>
    <n v="3E+20"/>
    <n v="0"/>
    <n v="2"/>
    <n v="0"/>
    <n v="0"/>
    <s v="Unnamed ProjectKanban L1S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6"/>
    <x v="10"/>
    <x v="2"/>
    <x v="0"/>
    <n v="3"/>
    <n v="2E+20"/>
    <n v="3"/>
    <n v="3"/>
    <n v="3"/>
    <n v="0"/>
    <s v="Unnamed ProjectKanban L1S3Number ScheduledResource"/>
    <n v="10"/>
    <n v="3"/>
    <n v="0"/>
    <n v="0.95"/>
    <n v="0"/>
    <n v="3"/>
    <n v="3"/>
    <n v="0"/>
  </r>
  <r>
    <x v="0"/>
    <s v="2025-12-30 22:09:11"/>
    <n v="6"/>
    <x v="11"/>
    <x v="0"/>
    <x v="0"/>
    <n v="0.91069583094839002"/>
    <n v="2E+20"/>
    <n v="0"/>
    <n v="1"/>
    <n v="1"/>
    <n v="0"/>
    <s v="Unnamed ProjectKanban L2S1Instantaneous UtilizationResource"/>
    <n v="10"/>
    <n v="0.84558522180863771"/>
    <n v="0.11694354024491282"/>
    <n v="0.95"/>
    <n v="8.3656369122856733E-2"/>
    <n v="0.625269422960122"/>
    <n v="0.95234896906597499"/>
    <n v="8.3656369122856733E-2"/>
  </r>
  <r>
    <x v="0"/>
    <s v="2025-12-30 22:09:11"/>
    <n v="6"/>
    <x v="11"/>
    <x v="1"/>
    <x v="0"/>
    <n v="1.82139166189678"/>
    <n v="2E+20"/>
    <n v="0"/>
    <n v="2"/>
    <n v="2"/>
    <n v="0"/>
    <s v="Unnamed ProjectKanban L2S1Number BusyResource"/>
    <n v="10"/>
    <n v="1.6911704436172748"/>
    <n v="0.23388708048982901"/>
    <n v="0.95"/>
    <n v="0.16731273824571591"/>
    <n v="1.25053884592024"/>
    <n v="1.90469793813195"/>
    <n v="0.16731273824571591"/>
  </r>
  <r>
    <x v="0"/>
    <s v="2025-12-30 22:09:11"/>
    <n v="6"/>
    <x v="11"/>
    <x v="2"/>
    <x v="0"/>
    <n v="2"/>
    <n v="2E+20"/>
    <n v="2"/>
    <n v="2"/>
    <n v="2"/>
    <n v="0"/>
    <s v="Unnamed ProjectKanban L2S1Number ScheduledResource"/>
    <n v="10"/>
    <n v="2"/>
    <n v="0"/>
    <n v="0.95"/>
    <n v="0"/>
    <n v="2"/>
    <n v="2"/>
    <n v="0"/>
  </r>
  <r>
    <x v="0"/>
    <s v="2025-12-30 22:09:11"/>
    <n v="6"/>
    <x v="12"/>
    <x v="0"/>
    <x v="0"/>
    <n v="0.69080851286508105"/>
    <n v="2E+20"/>
    <n v="0"/>
    <n v="1"/>
    <n v="0.2"/>
    <n v="0"/>
    <s v="Unnamed ProjectKanban L2S2Instantaneous UtilizationResource"/>
    <n v="10"/>
    <n v="0.74077431571180252"/>
    <n v="6.1280007141723249E-2"/>
    <n v="0.95"/>
    <n v="4.3837076306763374E-2"/>
    <n v="0.67060354368791797"/>
    <n v="0.87728997349342996"/>
    <n v="4.3837076306763374E-2"/>
  </r>
  <r>
    <x v="0"/>
    <s v="2025-12-30 22:09:11"/>
    <n v="6"/>
    <x v="12"/>
    <x v="1"/>
    <x v="0"/>
    <n v="3.4540425643254098"/>
    <n v="2E+20"/>
    <n v="0"/>
    <n v="5"/>
    <n v="1"/>
    <n v="0"/>
    <s v="Unnamed ProjectKanban L2S2Number BusyResource"/>
    <n v="10"/>
    <n v="3.7038715785590122"/>
    <n v="0.30640003570861163"/>
    <n v="0.95"/>
    <n v="0.21918538153381359"/>
    <n v="3.35301771843959"/>
    <n v="4.3864498674671397"/>
    <n v="0.21918538153381359"/>
  </r>
  <r>
    <x v="0"/>
    <s v="2025-12-30 22:09:11"/>
    <n v="6"/>
    <x v="12"/>
    <x v="2"/>
    <x v="0"/>
    <n v="5"/>
    <n v="2E+20"/>
    <n v="5"/>
    <n v="5"/>
    <n v="5"/>
    <n v="0"/>
    <s v="Unnamed ProjectKanban L2S2Number ScheduledResource"/>
    <n v="10"/>
    <n v="5"/>
    <n v="0"/>
    <n v="0.95"/>
    <n v="0"/>
    <n v="5"/>
    <n v="5"/>
    <n v="0"/>
  </r>
  <r>
    <x v="0"/>
    <s v="2025-12-30 22:09:11"/>
    <n v="6"/>
    <x v="13"/>
    <x v="0"/>
    <x v="0"/>
    <n v="0.47990655912621799"/>
    <n v="3E+20"/>
    <n v="0"/>
    <n v="1"/>
    <n v="1"/>
    <n v="0"/>
    <s v="Unnamed ProjectKanban L2S3Instantaneous UtilizationResource"/>
    <n v="10"/>
    <n v="0.52391445815006699"/>
    <n v="7.0460308415606909E-2"/>
    <n v="0.95"/>
    <n v="5.0404268221927347E-2"/>
    <n v="0.36555656561218303"/>
    <n v="0.59886206518967"/>
    <n v="5.0404268221927347E-2"/>
  </r>
  <r>
    <x v="0"/>
    <s v="2025-12-30 22:09:11"/>
    <n v="6"/>
    <x v="13"/>
    <x v="1"/>
    <x v="0"/>
    <n v="1.91962623650487"/>
    <n v="3E+20"/>
    <n v="0"/>
    <n v="4"/>
    <n v="4"/>
    <n v="0"/>
    <s v="Unnamed ProjectKanban L2S3Number BusyResource"/>
    <n v="10"/>
    <n v="2.0956578326002671"/>
    <n v="0.28184123366242902"/>
    <n v="0.95"/>
    <n v="0.20161707288771036"/>
    <n v="1.4622262624487301"/>
    <n v="2.39544826075868"/>
    <n v="0.20161707288771036"/>
  </r>
  <r>
    <x v="0"/>
    <s v="2025-12-30 22:09:11"/>
    <n v="6"/>
    <x v="13"/>
    <x v="2"/>
    <x v="0"/>
    <n v="4"/>
    <n v="2E+20"/>
    <n v="4"/>
    <n v="4"/>
    <n v="4"/>
    <n v="0"/>
    <s v="Unnamed ProjectKanban L2S3Number ScheduledResource"/>
    <n v="10"/>
    <n v="4"/>
    <n v="0"/>
    <n v="0.95"/>
    <n v="0"/>
    <n v="4"/>
    <n v="4"/>
    <n v="0"/>
  </r>
  <r>
    <x v="0"/>
    <s v="2025-12-30 22:09:11"/>
    <n v="6"/>
    <x v="14"/>
    <x v="0"/>
    <x v="0"/>
    <n v="0.149379358330504"/>
    <n v="3E+20"/>
    <n v="0"/>
    <n v="1"/>
    <n v="0"/>
    <n v="0"/>
    <s v="Unnamed ProjectKanban L2S4Instantaneous UtilizationResource"/>
    <n v="10"/>
    <n v="0.14955853655775292"/>
    <n v="1.8487754554887928E-4"/>
    <n v="0.95"/>
    <n v="1.3225342896729691E-4"/>
    <n v="0.14921189842985499"/>
    <n v="0.14985050053976801"/>
    <n v="1.3225342896729691E-4"/>
  </r>
  <r>
    <x v="0"/>
    <s v="2025-12-30 22:09:11"/>
    <n v="6"/>
    <x v="14"/>
    <x v="1"/>
    <x v="0"/>
    <n v="0.29875871666100801"/>
    <n v="3E+20"/>
    <n v="0"/>
    <n v="2"/>
    <n v="0"/>
    <n v="0"/>
    <s v="Unnamed ProjectKanban L2S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6"/>
    <x v="14"/>
    <x v="2"/>
    <x v="0"/>
    <n v="2"/>
    <n v="2E+20"/>
    <n v="2"/>
    <n v="2"/>
    <n v="2"/>
    <n v="0"/>
    <s v="Unnamed ProjectKanban L2S4Number ScheduledResource"/>
    <n v="10"/>
    <n v="2"/>
    <n v="0"/>
    <n v="0.95"/>
    <n v="0"/>
    <n v="2"/>
    <n v="2"/>
    <n v="0"/>
  </r>
  <r>
    <x v="0"/>
    <s v="2025-12-30 22:09:11"/>
    <n v="6"/>
    <x v="15"/>
    <x v="0"/>
    <x v="0"/>
    <n v="0.62044759961596296"/>
    <n v="3E+20"/>
    <n v="0"/>
    <n v="1"/>
    <n v="0"/>
    <n v="0"/>
    <s v="Unnamed ProjectKanban L3S1Instantaneous UtilizationResource"/>
    <n v="10"/>
    <n v="0.78490250681152507"/>
    <n v="0.11345978752761832"/>
    <n v="0.95"/>
    <n v="8.1164242557846045E-2"/>
    <n v="0.58338388917401696"/>
    <n v="0.90111632059041802"/>
    <n v="8.1164242557846045E-2"/>
  </r>
  <r>
    <x v="0"/>
    <s v="2025-12-30 22:09:11"/>
    <n v="6"/>
    <x v="15"/>
    <x v="1"/>
    <x v="0"/>
    <n v="3.1022379980798398"/>
    <n v="3E+20"/>
    <n v="0"/>
    <n v="5"/>
    <n v="0"/>
    <n v="0"/>
    <s v="Unnamed ProjectKanban L3S1Number BusyResource"/>
    <n v="10"/>
    <n v="3.9245125340576221"/>
    <n v="0.56729893763807904"/>
    <n v="0.95"/>
    <n v="0.40582121278922129"/>
    <n v="2.91691944587008"/>
    <n v="4.5055816029520903"/>
    <n v="0.40582121278922129"/>
  </r>
  <r>
    <x v="0"/>
    <s v="2025-12-30 22:09:11"/>
    <n v="6"/>
    <x v="15"/>
    <x v="2"/>
    <x v="0"/>
    <n v="5"/>
    <n v="2E+20"/>
    <n v="5"/>
    <n v="5"/>
    <n v="5"/>
    <n v="0"/>
    <s v="Unnamed ProjectKanban L3S1Number ScheduledResource"/>
    <n v="10"/>
    <n v="5"/>
    <n v="0"/>
    <n v="0.95"/>
    <n v="0"/>
    <n v="5"/>
    <n v="5"/>
    <n v="0"/>
  </r>
  <r>
    <x v="0"/>
    <s v="2025-12-30 22:09:11"/>
    <n v="6"/>
    <x v="16"/>
    <x v="0"/>
    <x v="0"/>
    <n v="0.15880182157992101"/>
    <n v="2E+20"/>
    <n v="0"/>
    <n v="0.66666666666666696"/>
    <n v="0"/>
    <n v="0"/>
    <s v="Unnamed ProjectKanban L3S2Instantaneous UtilizationResource"/>
    <n v="10"/>
    <n v="0.15879210791146137"/>
    <n v="8.8786593845171554E-6"/>
    <n v="0.95"/>
    <n v="6.3514103064755986E-6"/>
    <n v="0.15877821852350199"/>
    <n v="0.15880443244107401"/>
    <n v="6.3514103064755986E-6"/>
  </r>
  <r>
    <x v="0"/>
    <s v="2025-12-30 22:09:11"/>
    <n v="6"/>
    <x v="16"/>
    <x v="1"/>
    <x v="0"/>
    <n v="0.47640546473976197"/>
    <n v="2E+20"/>
    <n v="0"/>
    <n v="2"/>
    <n v="0"/>
    <n v="0"/>
    <s v="Unnamed ProjectKanban L3S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6"/>
    <x v="16"/>
    <x v="2"/>
    <x v="0"/>
    <n v="3"/>
    <n v="2E+20"/>
    <n v="3"/>
    <n v="3"/>
    <n v="3"/>
    <n v="0"/>
    <s v="Unnamed ProjectKanban L3S2Number ScheduledResource"/>
    <n v="10"/>
    <n v="3"/>
    <n v="0"/>
    <n v="0.95"/>
    <n v="0"/>
    <n v="3"/>
    <n v="3"/>
    <n v="0"/>
  </r>
  <r>
    <x v="0"/>
    <s v="2025-12-30 22:09:11"/>
    <n v="6"/>
    <x v="17"/>
    <x v="0"/>
    <x v="0"/>
    <n v="0.476382249805959"/>
    <n v="2E+20"/>
    <n v="0"/>
    <n v="1"/>
    <n v="0"/>
    <n v="0"/>
    <s v="Unnamed ProjectL1 Station1Instantaneous Utilization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6"/>
    <x v="17"/>
    <x v="1"/>
    <x v="0"/>
    <n v="0.476382249805959"/>
    <n v="2E+20"/>
    <n v="0"/>
    <n v="1"/>
    <n v="0"/>
    <n v="0"/>
    <s v="Unnamed ProjectL1 Station1Number Busy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6"/>
    <x v="17"/>
    <x v="2"/>
    <x v="0"/>
    <n v="0.476190476190476"/>
    <n v="2E+20"/>
    <n v="0"/>
    <n v="1"/>
    <n v="0"/>
    <n v="0"/>
    <s v="Unnamed ProjectL1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6"/>
    <x v="18"/>
    <x v="0"/>
    <x v="0"/>
    <n v="0.34645204370064098"/>
    <n v="3E+20"/>
    <n v="0"/>
    <n v="1"/>
    <n v="0"/>
    <n v="0"/>
    <s v="Unnamed ProjectL1 Station2Instantaneous Utilization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6"/>
    <x v="18"/>
    <x v="1"/>
    <x v="0"/>
    <n v="0.34645204370064098"/>
    <n v="3E+20"/>
    <n v="0"/>
    <n v="1"/>
    <n v="0"/>
    <n v="0"/>
    <s v="Unnamed ProjectL1 Station2Number Busy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6"/>
    <x v="18"/>
    <x v="2"/>
    <x v="0"/>
    <n v="0.476190476190476"/>
    <n v="2E+20"/>
    <n v="0"/>
    <n v="1"/>
    <n v="0"/>
    <n v="0"/>
    <s v="Unnamed ProjectL1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6"/>
    <x v="19"/>
    <x v="0"/>
    <x v="0"/>
    <n v="0.45468370513548301"/>
    <n v="3E+20"/>
    <n v="0"/>
    <n v="1"/>
    <n v="0"/>
    <n v="0"/>
    <s v="Unnamed ProjectL1 Station3Instantaneous Utilization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6"/>
    <x v="19"/>
    <x v="1"/>
    <x v="0"/>
    <n v="0.45468370513548301"/>
    <n v="3E+20"/>
    <n v="0"/>
    <n v="1"/>
    <n v="0"/>
    <n v="0"/>
    <s v="Unnamed ProjectL1 Station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6"/>
    <x v="19"/>
    <x v="2"/>
    <x v="0"/>
    <n v="0.476190476190476"/>
    <n v="2E+20"/>
    <n v="0"/>
    <n v="1"/>
    <n v="0"/>
    <n v="0"/>
    <s v="Unnamed ProjectL1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6"/>
    <x v="20"/>
    <x v="0"/>
    <x v="0"/>
    <n v="0.230969532572807"/>
    <n v="3E+20"/>
    <n v="0"/>
    <n v="1"/>
    <n v="0"/>
    <n v="0"/>
    <s v="Unnamed ProjectL2 Station1Instantaneous Utilization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6"/>
    <x v="20"/>
    <x v="1"/>
    <x v="0"/>
    <n v="0.230969532572807"/>
    <n v="3E+20"/>
    <n v="0"/>
    <n v="1"/>
    <n v="0"/>
    <n v="0"/>
    <s v="Unnamed ProjectL2 Station1Number Busy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6"/>
    <x v="20"/>
    <x v="2"/>
    <x v="0"/>
    <n v="0.476190476190476"/>
    <n v="2E+20"/>
    <n v="0"/>
    <n v="1"/>
    <n v="0"/>
    <n v="0"/>
    <s v="Unnamed ProjectL2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6"/>
    <x v="21"/>
    <x v="0"/>
    <x v="0"/>
    <n v="0.27222290156155798"/>
    <n v="3E+20"/>
    <n v="0"/>
    <n v="1"/>
    <n v="0"/>
    <n v="0"/>
    <s v="Unnamed ProjectL2 Station2Instantaneous Utilization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6"/>
    <x v="21"/>
    <x v="1"/>
    <x v="0"/>
    <n v="0.27222290156155798"/>
    <n v="3E+20"/>
    <n v="0"/>
    <n v="1"/>
    <n v="0"/>
    <n v="0"/>
    <s v="Unnamed ProjectL2 Station2Number Busy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6"/>
    <x v="21"/>
    <x v="2"/>
    <x v="0"/>
    <n v="0.476190476190476"/>
    <n v="2E+20"/>
    <n v="0"/>
    <n v="1"/>
    <n v="0"/>
    <n v="0"/>
    <s v="Unnamed ProjectL2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6"/>
    <x v="22"/>
    <x v="0"/>
    <x v="0"/>
    <n v="0.47651577494330499"/>
    <n v="2E+20"/>
    <n v="0"/>
    <n v="1"/>
    <n v="0"/>
    <n v="0"/>
    <s v="Unnamed ProjectL2 Station3Instantaneous UtilizationResource"/>
    <n v="10"/>
    <n v="0.47640752107427203"/>
    <n v="7.9809559904816854E-5"/>
    <n v="0.95"/>
    <n v="5.7092319840390197E-5"/>
    <n v="0.47622171379262102"/>
    <n v="0.47651577494330499"/>
    <n v="5.7092319840390197E-5"/>
  </r>
  <r>
    <x v="0"/>
    <s v="2025-12-30 22:09:11"/>
    <n v="6"/>
    <x v="22"/>
    <x v="1"/>
    <x v="0"/>
    <n v="0.47651577494330499"/>
    <n v="2E+20"/>
    <n v="0"/>
    <n v="1"/>
    <n v="0"/>
    <n v="0"/>
    <s v="Unnamed ProjectL2 Station3Number BusyResource"/>
    <n v="10"/>
    <n v="0.47640752107427209"/>
    <n v="7.980955990487845E-5"/>
    <n v="0.95"/>
    <n v="5.7092319840434263E-5"/>
    <n v="0.47622171379262102"/>
    <n v="0.47651577494330499"/>
    <n v="5.7092319840434263E-5"/>
  </r>
  <r>
    <x v="0"/>
    <s v="2025-12-30 22:09:11"/>
    <n v="6"/>
    <x v="22"/>
    <x v="2"/>
    <x v="0"/>
    <n v="0.476190476190476"/>
    <n v="2E+20"/>
    <n v="0"/>
    <n v="1"/>
    <n v="0"/>
    <n v="0"/>
    <s v="Unnamed ProjectL2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6"/>
    <x v="23"/>
    <x v="0"/>
    <x v="0"/>
    <n v="0.29875871666100801"/>
    <n v="3E+20"/>
    <n v="0"/>
    <n v="1"/>
    <n v="0"/>
    <n v="0"/>
    <s v="Unnamed ProjectL2 Station4Instantaneous Utilization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6"/>
    <x v="23"/>
    <x v="1"/>
    <x v="0"/>
    <n v="0.29875871666100801"/>
    <n v="3E+20"/>
    <n v="0"/>
    <n v="1"/>
    <n v="0"/>
    <n v="0"/>
    <s v="Unnamed ProjectL2 Station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6"/>
    <x v="23"/>
    <x v="2"/>
    <x v="0"/>
    <n v="0.476190476190476"/>
    <n v="2E+20"/>
    <n v="0"/>
    <n v="1"/>
    <n v="0"/>
    <n v="0"/>
    <s v="Unnamed ProjectL2 Station4Number ScheduledResource"/>
    <n v="10"/>
    <n v="0.476190476190476"/>
    <n v="0"/>
    <n v="0.95"/>
    <n v="0"/>
    <n v="0.476190476190476"/>
    <n v="0.476190476190476"/>
    <n v="0"/>
  </r>
  <r>
    <x v="0"/>
    <s v="2025-12-30 22:09:11"/>
    <n v="6"/>
    <x v="24"/>
    <x v="0"/>
    <x v="0"/>
    <n v="0.45606279193907701"/>
    <n v="3E+20"/>
    <n v="0"/>
    <n v="1"/>
    <n v="0"/>
    <n v="0"/>
    <s v="Unnamed ProjectL3 Station1Instantaneous Utilization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6"/>
    <x v="24"/>
    <x v="1"/>
    <x v="0"/>
    <n v="0.45606279193907701"/>
    <n v="3E+20"/>
    <n v="0"/>
    <n v="1"/>
    <n v="0"/>
    <n v="0"/>
    <s v="Unnamed ProjectL3 Station1Number Busy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6"/>
    <x v="24"/>
    <x v="2"/>
    <x v="0"/>
    <n v="0.476190476190476"/>
    <n v="2E+20"/>
    <n v="0"/>
    <n v="1"/>
    <n v="0"/>
    <n v="0"/>
    <s v="Unnamed ProjectL3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6"/>
    <x v="25"/>
    <x v="0"/>
    <x v="0"/>
    <n v="0.47640546473976197"/>
    <n v="2E+20"/>
    <n v="0"/>
    <n v="1"/>
    <n v="0"/>
    <n v="0"/>
    <s v="Unnamed ProjectL3 Station2Instantaneous UtilizationResource"/>
    <n v="10"/>
    <n v="0.47637632373438449"/>
    <n v="2.6635978153163645E-5"/>
    <n v="0.95"/>
    <n v="1.9054230919149366E-5"/>
    <n v="0.47633465557050603"/>
    <n v="0.47641329732322302"/>
    <n v="1.9054230919149366E-5"/>
  </r>
  <r>
    <x v="0"/>
    <s v="2025-12-30 22:09:11"/>
    <n v="6"/>
    <x v="25"/>
    <x v="1"/>
    <x v="0"/>
    <n v="0.47640546473976197"/>
    <n v="2E+20"/>
    <n v="0"/>
    <n v="1"/>
    <n v="0"/>
    <n v="0"/>
    <s v="Unnamed ProjectL3 Station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6"/>
    <x v="25"/>
    <x v="2"/>
    <x v="0"/>
    <n v="0.476190476190476"/>
    <n v="2E+20"/>
    <n v="0"/>
    <n v="1"/>
    <n v="0"/>
    <n v="0"/>
    <s v="Unnamed ProjectL3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6"/>
    <x v="26"/>
    <x v="3"/>
    <x v="1"/>
    <n v="3.4287996770912797E-5"/>
    <n v="2E+20"/>
    <n v="0"/>
    <n v="1"/>
    <n v="0"/>
    <n v="0"/>
    <s v="Unnamed ProjectMatch 1.Queue1Number WaitingQueue"/>
    <n v="10"/>
    <n v="2.9170315053456471E-5"/>
    <n v="7.7933109083950271E-6"/>
    <n v="0.95"/>
    <n v="5.5749987786968959E-6"/>
    <n v="1.80144253291803E-5"/>
    <n v="4.21406992387485E-5"/>
    <n v="5.5749987786968959E-6"/>
  </r>
  <r>
    <x v="0"/>
    <s v="2025-12-30 22:09:11"/>
    <n v="6"/>
    <x v="27"/>
    <x v="3"/>
    <x v="1"/>
    <n v="859.40550198176004"/>
    <n v="3E+20"/>
    <n v="0"/>
    <n v="1665"/>
    <n v="1665"/>
    <n v="0"/>
    <s v="Unnamed ProjectMatch 1.Queue2Number WaitingQueue"/>
    <n v="10"/>
    <n v="867.85098767897125"/>
    <n v="5.9823523640247513"/>
    <n v="0.95"/>
    <n v="4.2795170775550373"/>
    <n v="858.49288388840398"/>
    <n v="875.80608811200398"/>
    <n v="4.2795170775550373"/>
  </r>
  <r>
    <x v="0"/>
    <s v="2025-12-30 22:09:11"/>
    <n v="6"/>
    <x v="28"/>
    <x v="3"/>
    <x v="1"/>
    <n v="1366.7566584578401"/>
    <n v="3E+20"/>
    <n v="0"/>
    <n v="2637"/>
    <n v="2637"/>
    <n v="0"/>
    <s v="Unnamed ProjectMatch 1.Queue3Number WaitingQueue"/>
    <n v="10"/>
    <n v="1368.6640709815952"/>
    <n v="5.3961917051273351"/>
    <n v="0.95"/>
    <n v="3.860203002204456"/>
    <n v="1357.5761788714599"/>
    <n v="1375.17190829069"/>
    <n v="3.860203002204456"/>
  </r>
  <r>
    <x v="0"/>
    <s v="2025-12-30 22:09:11"/>
    <n v="6"/>
    <x v="29"/>
    <x v="0"/>
    <x v="0"/>
    <n v="0"/>
    <n v="2E+20"/>
    <n v="0"/>
    <n v="0"/>
    <n v="0"/>
    <n v="0"/>
    <s v="Unnamed ProjectSales DepartmentInstantaneous UtilizationResource"/>
    <n v="10"/>
    <n v="0"/>
    <n v="0"/>
    <n v="0.95"/>
    <n v="0"/>
    <n v="0"/>
    <n v="0"/>
    <n v="0"/>
  </r>
  <r>
    <x v="0"/>
    <s v="2025-12-30 22:09:11"/>
    <n v="6"/>
    <x v="29"/>
    <x v="1"/>
    <x v="0"/>
    <n v="0"/>
    <n v="2E+20"/>
    <n v="0"/>
    <n v="0"/>
    <n v="0"/>
    <n v="0"/>
    <s v="Unnamed ProjectSales DepartmentNumber BusyResource"/>
    <n v="10"/>
    <n v="0"/>
    <n v="0"/>
    <n v="0.95"/>
    <n v="0"/>
    <n v="0"/>
    <n v="0"/>
    <n v="0"/>
  </r>
  <r>
    <x v="0"/>
    <s v="2025-12-30 22:09:11"/>
    <n v="6"/>
    <x v="29"/>
    <x v="2"/>
    <x v="0"/>
    <n v="0.26785714285714302"/>
    <n v="2E+20"/>
    <n v="0"/>
    <n v="1"/>
    <n v="1"/>
    <n v="0"/>
    <s v="Unnamed ProjectSales Department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6"/>
    <x v="30"/>
    <x v="0"/>
    <x v="0"/>
    <n v="9.6666383418524099E-2"/>
    <n v="2E+20"/>
    <n v="0"/>
    <n v="1"/>
    <n v="0"/>
    <n v="0"/>
    <s v="Unnamed ProjectSales RepInstantaneous UtilizationResource"/>
    <n v="10"/>
    <n v="8.7684406282387828E-2"/>
    <n v="9.4212906785234151E-3"/>
    <n v="0.95"/>
    <n v="6.7395853500387742E-3"/>
    <n v="7.2143522330073706E-2"/>
    <n v="0.105326430117076"/>
    <n v="6.7395853500387742E-3"/>
  </r>
  <r>
    <x v="0"/>
    <s v="2025-12-30 22:09:11"/>
    <n v="6"/>
    <x v="30"/>
    <x v="1"/>
    <x v="0"/>
    <n v="9.6666383418524099E-2"/>
    <n v="2E+20"/>
    <n v="0"/>
    <n v="1"/>
    <n v="0"/>
    <n v="0"/>
    <s v="Unnamed ProjectSales RepNumber BusyResource"/>
    <n v="10"/>
    <n v="8.7684406282387842E-2"/>
    <n v="9.4212906785234151E-3"/>
    <n v="0.95"/>
    <n v="6.7395853500387742E-3"/>
    <n v="7.2143522330073706E-2"/>
    <n v="0.105326430117076"/>
    <n v="6.7395853500387742E-3"/>
  </r>
  <r>
    <x v="0"/>
    <s v="2025-12-30 22:09:11"/>
    <n v="6"/>
    <x v="30"/>
    <x v="2"/>
    <x v="0"/>
    <n v="0.26785714285714302"/>
    <n v="2E+20"/>
    <n v="0"/>
    <n v="1"/>
    <n v="0"/>
    <n v="0"/>
    <s v="Unnamed ProjectSales Rep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6"/>
    <x v="31"/>
    <x v="3"/>
    <x v="1"/>
    <n v="86.343557422954405"/>
    <n v="2E+20"/>
    <n v="0"/>
    <n v="171"/>
    <n v="171"/>
    <n v="0"/>
    <s v="Unnamed ProjectSeize 1.QueueNumber WaitingQueue"/>
    <n v="10"/>
    <n v="83.474789654582125"/>
    <n v="6.0930686050573728"/>
    <n v="0.95"/>
    <n v="4.358718705180836"/>
    <n v="72.152998246910798"/>
    <n v="91.653675793565498"/>
    <n v="4.358718705180836"/>
  </r>
  <r>
    <x v="0"/>
    <s v="2025-12-30 22:09:11"/>
    <n v="6"/>
    <x v="32"/>
    <x v="3"/>
    <x v="1"/>
    <n v="0.76048175082473701"/>
    <n v="2E+20"/>
    <n v="0"/>
    <n v="2"/>
    <n v="1"/>
    <n v="0"/>
    <s v="Unnamed ProjectSeize 10.QueueNumber WaitingQueue"/>
    <n v="10"/>
    <n v="0.77451739131190445"/>
    <n v="0.14034110421466847"/>
    <n v="0.95"/>
    <n v="0.10039397809151185"/>
    <n v="0.57599630674201496"/>
    <n v="0.944128153448903"/>
    <n v="0.10039397809151185"/>
  </r>
  <r>
    <x v="0"/>
    <s v="2025-12-30 22:09:11"/>
    <n v="6"/>
    <x v="33"/>
    <x v="3"/>
    <x v="1"/>
    <n v="20.936706692137101"/>
    <n v="2E+20"/>
    <n v="0"/>
    <n v="124"/>
    <n v="0"/>
    <n v="0"/>
    <s v="Unnamed ProjectSeize 11.QueueNumber WaitingQueue"/>
    <n v="10"/>
    <n v="17.495844600024782"/>
    <n v="4.1567315260337745"/>
    <n v="0.95"/>
    <n v="2.9735466034142406"/>
    <n v="10.770319236854199"/>
    <n v="25.764658423427701"/>
    <n v="2.9735466034142406"/>
  </r>
  <r>
    <x v="0"/>
    <s v="2025-12-30 22:09:11"/>
    <n v="6"/>
    <x v="34"/>
    <x v="3"/>
    <x v="1"/>
    <n v="1.5938052921300001"/>
    <n v="3E+20"/>
    <n v="0"/>
    <n v="4"/>
    <n v="4"/>
    <n v="0"/>
    <s v="Unnamed ProjectSeize 2.QueueNumber WaitingQueue"/>
    <n v="10"/>
    <n v="1.2334365850159306"/>
    <n v="0.34677877772765942"/>
    <n v="0.95"/>
    <n v="0.24807059349154728"/>
    <n v="0.47601596605360202"/>
    <n v="1.5938052921300001"/>
    <n v="0.24807059349154728"/>
  </r>
  <r>
    <x v="0"/>
    <s v="2025-12-30 22:09:11"/>
    <n v="6"/>
    <x v="35"/>
    <x v="3"/>
    <x v="1"/>
    <n v="6.2560860484483893E-2"/>
    <n v="2.4067205764103702E-2"/>
    <n v="0"/>
    <n v="2"/>
    <n v="0"/>
    <n v="0"/>
    <s v="Unnamed ProjectSeize 3.QueueNumber WaitingQueue"/>
    <n v="10"/>
    <n v="0.19501309596936622"/>
    <n v="0.14771852643081365"/>
    <n v="0.95"/>
    <n v="0.10567146802209269"/>
    <n v="5.2203254973614402E-2"/>
    <n v="0.443638473140476"/>
    <n v="0.10567146802209269"/>
  </r>
  <r>
    <x v="0"/>
    <s v="2025-12-30 22:09:11"/>
    <n v="6"/>
    <x v="36"/>
    <x v="3"/>
    <x v="1"/>
    <n v="66.053444809788303"/>
    <n v="3E+20"/>
    <n v="0"/>
    <n v="130"/>
    <n v="130"/>
    <n v="0"/>
    <s v="Unnamed ProjectSeize 4.QueueNumber WaitingQueue"/>
    <n v="10"/>
    <n v="81.226274902651596"/>
    <n v="11.159336682409895"/>
    <n v="0.95"/>
    <n v="7.9829085618136846"/>
    <n v="66.053444809788303"/>
    <n v="100.586340982454"/>
    <n v="7.9829085618136846"/>
  </r>
  <r>
    <x v="0"/>
    <s v="2025-12-30 22:09:11"/>
    <n v="6"/>
    <x v="37"/>
    <x v="3"/>
    <x v="1"/>
    <n v="1.45429123043776"/>
    <n v="3E+20"/>
    <n v="0"/>
    <n v="2"/>
    <n v="2"/>
    <n v="0"/>
    <s v="Unnamed ProjectSeize 5.QueueNumber WaitingQueue"/>
    <n v="10"/>
    <n v="1.3234420699844864"/>
    <n v="0.23376145670955006"/>
    <n v="0.95"/>
    <n v="0.1672228724069392"/>
    <n v="0.88257428434366503"/>
    <n v="1.5367801636504701"/>
    <n v="0.1672228724069392"/>
  </r>
  <r>
    <x v="0"/>
    <s v="2025-12-30 22:09:11"/>
    <n v="6"/>
    <x v="38"/>
    <x v="3"/>
    <x v="1"/>
    <n v="3.0458506227607201"/>
    <n v="3E+20"/>
    <n v="0"/>
    <n v="5"/>
    <n v="1"/>
    <n v="0"/>
    <s v="Unnamed ProjectSeize 6.QueueNumber WaitingQueue"/>
    <n v="10"/>
    <n v="3.295350976306183"/>
    <n v="0.30652142094800816"/>
    <n v="0.95"/>
    <n v="0.21927221530309879"/>
    <n v="2.9443042052265702"/>
    <n v="3.9785130958891202"/>
    <n v="0.21927221530309879"/>
  </r>
  <r>
    <x v="0"/>
    <s v="2025-12-30 22:09:11"/>
    <n v="6"/>
    <x v="39"/>
    <x v="3"/>
    <x v="1"/>
    <n v="1.30710692180494"/>
    <n v="2E+20"/>
    <n v="0"/>
    <n v="4"/>
    <n v="4"/>
    <n v="0"/>
    <s v="Unnamed ProjectSeize 7.QueueNumber WaitingQueue"/>
    <n v="10"/>
    <n v="1.4832039737284362"/>
    <n v="0.28170250043427397"/>
    <n v="0.95"/>
    <n v="0.20151782911486205"/>
    <n v="0.850065833369271"/>
    <n v="1.78320590856036"/>
    <n v="0.20151782911486205"/>
  </r>
  <r>
    <x v="0"/>
    <s v="2025-12-30 22:09:11"/>
    <n v="6"/>
    <x v="40"/>
    <x v="3"/>
    <x v="1"/>
    <n v="86.279096662724896"/>
    <n v="3E+20"/>
    <n v="0"/>
    <n v="165"/>
    <n v="165"/>
    <n v="0"/>
    <s v="Unnamed ProjectSeize 8.QueueNumber WaitingQueue"/>
    <n v="10"/>
    <n v="84.673313986400757"/>
    <n v="6.3050274623130749"/>
    <n v="0.95"/>
    <n v="4.5103449375003528"/>
    <n v="72.004631303705096"/>
    <n v="94.488584180465494"/>
    <n v="4.5103449375003528"/>
  </r>
  <r>
    <x v="0"/>
    <s v="2025-12-30 22:09:11"/>
    <n v="6"/>
    <x v="41"/>
    <x v="3"/>
    <x v="1"/>
    <n v="2.3421876650756901"/>
    <n v="3E+20"/>
    <n v="0"/>
    <n v="5"/>
    <n v="0"/>
    <n v="0"/>
    <s v="Unnamed ProjectSeize 9.QueueNumber WaitingQueue"/>
    <n v="10"/>
    <n v="3.1643006447829118"/>
    <n v="0.56709805972033456"/>
    <n v="0.95"/>
    <n v="0.40567751338350572"/>
    <n v="2.1571183231200299"/>
    <n v="3.7448575603137102"/>
    <n v="0.40567751338350572"/>
  </r>
  <r>
    <x v="0"/>
    <s v="2025-12-30 22:09:11"/>
    <n v="6"/>
    <x v="42"/>
    <x v="4"/>
    <x v="2"/>
    <n v="2.6726342829056802"/>
    <n v="3E+20"/>
    <n v="0"/>
    <n v="6"/>
    <n v="6"/>
    <n v="0"/>
    <s v="Unnamed ProjectWire HarnessWIPEntity"/>
    <n v="10"/>
    <n v="2.7938165767457108"/>
    <n v="0.37107770243484822"/>
    <n v="0.95"/>
    <n v="0.26545299708849601"/>
    <n v="2.05988155680273"/>
    <n v="3.2132100714910901"/>
    <n v="0.26545299708849601"/>
  </r>
  <r>
    <x v="0"/>
    <s v="2025-12-30 22:09:11"/>
    <n v="7"/>
    <x v="0"/>
    <x v="0"/>
    <x v="0"/>
    <n v="3.6095781315415E-2"/>
    <n v="3E+20"/>
    <n v="0"/>
    <n v="1"/>
    <n v="0"/>
    <n v="0"/>
    <s v="Unnamed ProjectAssemblerInstantaneous UtilizationResource"/>
    <n v="10"/>
    <n v="3.6074566243936998E-2"/>
    <n v="6.6761681626786623E-5"/>
    <n v="0.95"/>
    <n v="4.7758430005936653E-5"/>
    <n v="3.5941735992799297E-2"/>
    <n v="3.6177689828441002E-2"/>
    <n v="4.7758430005936653E-5"/>
  </r>
  <r>
    <x v="0"/>
    <s v="2025-12-30 22:09:11"/>
    <n v="7"/>
    <x v="0"/>
    <x v="1"/>
    <x v="0"/>
    <n v="3.6095781315415E-2"/>
    <n v="3E+20"/>
    <n v="0"/>
    <n v="1"/>
    <n v="0"/>
    <n v="0"/>
    <s v="Unnamed ProjectAssemblerNumber BusyResource"/>
    <n v="10"/>
    <n v="3.6074566243937005E-2"/>
    <n v="6.6761681626785268E-5"/>
    <n v="0.95"/>
    <n v="4.7758430005935684E-5"/>
    <n v="3.5941735992799297E-2"/>
    <n v="3.6177689828441002E-2"/>
    <n v="4.7758430005935684E-5"/>
  </r>
  <r>
    <x v="0"/>
    <s v="2025-12-30 22:09:11"/>
    <n v="7"/>
    <x v="0"/>
    <x v="2"/>
    <x v="0"/>
    <n v="0.476190476190476"/>
    <n v="2E+20"/>
    <n v="0"/>
    <n v="1"/>
    <n v="0"/>
    <n v="0"/>
    <s v="Unnamed ProjectAssemblerNumber ScheduledResource"/>
    <n v="10"/>
    <n v="0.476190476190476"/>
    <n v="0"/>
    <n v="0.95"/>
    <n v="0"/>
    <n v="0.476190476190476"/>
    <n v="0.476190476190476"/>
    <n v="0"/>
  </r>
  <r>
    <x v="0"/>
    <s v="2025-12-30 22:09:11"/>
    <n v="7"/>
    <x v="1"/>
    <x v="3"/>
    <x v="1"/>
    <n v="2.3267973127516899"/>
    <n v="3E+20"/>
    <n v="0"/>
    <n v="5"/>
    <n v="4"/>
    <n v="0"/>
    <s v="Unnamed ProjectAssembly Batch.QueueNumber WaitingQueue"/>
    <n v="10"/>
    <n v="1.983224619189873"/>
    <n v="0.29990249131557767"/>
    <n v="0.95"/>
    <n v="0.21453731828040576"/>
    <n v="1.4478959937017499"/>
    <n v="2.3267973127516899"/>
    <n v="0.21453731828040576"/>
  </r>
  <r>
    <x v="0"/>
    <s v="2025-12-30 22:09:11"/>
    <n v="7"/>
    <x v="2"/>
    <x v="3"/>
    <x v="1"/>
    <n v="0.43453667932852003"/>
    <n v="3E+20"/>
    <n v="0"/>
    <n v="2"/>
    <n v="1"/>
    <n v="0"/>
    <s v="Unnamed ProjectBatch 2.QueueNumber WaitingQueue"/>
    <n v="10"/>
    <n v="0.47900820660242172"/>
    <n v="0.13717282935395095"/>
    <n v="0.95"/>
    <n v="9.8127530789884315E-2"/>
    <n v="0.25584390949740998"/>
    <n v="0.66613303676888702"/>
    <n v="9.8127530789884315E-2"/>
  </r>
  <r>
    <x v="0"/>
    <s v="2025-12-30 22:09:11"/>
    <n v="7"/>
    <x v="3"/>
    <x v="3"/>
    <x v="1"/>
    <n v="0.261885284144113"/>
    <n v="3E+20"/>
    <n v="0"/>
    <n v="2"/>
    <n v="0"/>
    <n v="0"/>
    <s v="Unnamed ProjectBatch 3.QueueNumber WaitingQueue"/>
    <n v="10"/>
    <n v="0.41775820490048837"/>
    <n v="0.15099462697666188"/>
    <n v="0.95"/>
    <n v="0.1080150491722195"/>
    <n v="0.25632285648643699"/>
    <n v="0.68422762922173497"/>
    <n v="0.1080150491722195"/>
  </r>
  <r>
    <x v="0"/>
    <s v="2025-12-30 22:09:11"/>
    <n v="7"/>
    <x v="4"/>
    <x v="4"/>
    <x v="2"/>
    <n v="25.8699848535447"/>
    <n v="2E+20"/>
    <n v="0"/>
    <n v="139"/>
    <n v="0"/>
    <n v="0"/>
    <s v="Unnamed ProjectCustomerWIPEntity"/>
    <n v="10"/>
    <n v="17.583529006307167"/>
    <n v="4.1660214616007023"/>
    <n v="0.95"/>
    <n v="2.9801922229780646"/>
    <n v="10.842462759184199"/>
    <n v="25.8699848535447"/>
    <n v="2.9801922229780646"/>
  </r>
  <r>
    <x v="0"/>
    <s v="2025-12-30 22:09:11"/>
    <n v="7"/>
    <x v="5"/>
    <x v="4"/>
    <x v="2"/>
    <n v="90.955360870170793"/>
    <n v="3E+20"/>
    <n v="0"/>
    <n v="190"/>
    <n v="190"/>
    <n v="0"/>
    <s v="Unnamed ProjectEntity 1WIPEntity"/>
    <n v="10"/>
    <n v="95.041511376368575"/>
    <n v="6.556289254191463"/>
    <n v="0.95"/>
    <n v="4.6900867955271215"/>
    <n v="81.860988802888798"/>
    <n v="104.034812219697"/>
    <n v="4.6900867955271215"/>
  </r>
  <r>
    <x v="0"/>
    <s v="2025-12-30 22:09:11"/>
    <n v="7"/>
    <x v="6"/>
    <x v="4"/>
    <x v="2"/>
    <n v="955.59716950029201"/>
    <n v="3E+20"/>
    <n v="0"/>
    <n v="1852"/>
    <n v="1852"/>
    <n v="0"/>
    <s v="Unnamed ProjectEntity 2WIPEntity"/>
    <n v="10"/>
    <n v="959.25249800465133"/>
    <n v="16.228386811509871"/>
    <n v="0.95"/>
    <n v="11.609088578376843"/>
    <n v="935.21729677519602"/>
    <n v="986.61029939527498"/>
    <n v="11.609088578376843"/>
  </r>
  <r>
    <x v="0"/>
    <s v="2025-12-30 22:09:11"/>
    <n v="7"/>
    <x v="7"/>
    <x v="4"/>
    <x v="2"/>
    <n v="4199.5817714515397"/>
    <n v="3E+20"/>
    <n v="0"/>
    <n v="8126"/>
    <n v="8126"/>
    <n v="0"/>
    <s v="Unnamed ProjectEntity 3WIPEntity"/>
    <n v="10"/>
    <n v="4203.5615331875215"/>
    <n v="17.695322227060075"/>
    <n v="0.95"/>
    <n v="12.658470958503626"/>
    <n v="4170.1494074333395"/>
    <n v="4233.0569788620896"/>
    <n v="12.658470958503626"/>
  </r>
  <r>
    <x v="0"/>
    <s v="2025-12-30 22:09:11"/>
    <n v="7"/>
    <x v="8"/>
    <x v="0"/>
    <x v="0"/>
    <n v="0.503322475256885"/>
    <n v="3E+20"/>
    <n v="0"/>
    <n v="1"/>
    <n v="1"/>
    <n v="0"/>
    <s v="Unnamed ProjectKanban L1S1Instantaneous UtilizationResource"/>
    <n v="10"/>
    <n v="0.48160620907873086"/>
    <n v="8.6686321722355061E-2"/>
    <n v="0.95"/>
    <n v="6.2011658897281531E-2"/>
    <n v="0.292184201252493"/>
    <n v="0.57167989674475905"/>
    <n v="6.2011658897281531E-2"/>
  </r>
  <r>
    <x v="0"/>
    <s v="2025-12-30 22:09:11"/>
    <n v="7"/>
    <x v="8"/>
    <x v="1"/>
    <x v="0"/>
    <n v="2.01328990102754"/>
    <n v="3E+20"/>
    <n v="0"/>
    <n v="4"/>
    <n v="4"/>
    <n v="0"/>
    <s v="Unnamed ProjectKanban L1S1Number BusyResource"/>
    <n v="10"/>
    <n v="1.9264248363149217"/>
    <n v="0.34674528688941914"/>
    <n v="0.95"/>
    <n v="0.24804663558912532"/>
    <n v="1.16873680500997"/>
    <n v="2.28671958697903"/>
    <n v="0.24804663558912532"/>
  </r>
  <r>
    <x v="0"/>
    <s v="2025-12-30 22:09:11"/>
    <n v="7"/>
    <x v="8"/>
    <x v="2"/>
    <x v="0"/>
    <n v="4"/>
    <n v="2E+20"/>
    <n v="4"/>
    <n v="4"/>
    <n v="4"/>
    <n v="0"/>
    <s v="Unnamed ProjectKanban L1S1Number ScheduledResource"/>
    <n v="10"/>
    <n v="4"/>
    <n v="0"/>
    <n v="0.95"/>
    <n v="0"/>
    <n v="4"/>
    <n v="4"/>
    <n v="0"/>
  </r>
  <r>
    <x v="0"/>
    <s v="2025-12-30 22:09:11"/>
    <n v="7"/>
    <x v="9"/>
    <x v="0"/>
    <x v="0"/>
    <n v="0.33570777662711199"/>
    <n v="3E+20"/>
    <n v="0"/>
    <n v="1"/>
    <n v="0"/>
    <n v="0"/>
    <s v="Unnamed ProjectKanban L1S2Instantaneous UtilizationResource"/>
    <n v="10"/>
    <n v="0.25269289312392118"/>
    <n v="4.9214010083081669E-2"/>
    <n v="0.95"/>
    <n v="3.5205581983442397E-2"/>
    <n v="0.20500025225945401"/>
    <n v="0.33570777662711199"/>
    <n v="3.5205581983442397E-2"/>
  </r>
  <r>
    <x v="0"/>
    <s v="2025-12-30 22:09:11"/>
    <n v="7"/>
    <x v="9"/>
    <x v="1"/>
    <x v="0"/>
    <n v="1.00712332988134"/>
    <n v="3E+20"/>
    <n v="0"/>
    <n v="3"/>
    <n v="0"/>
    <n v="0"/>
    <s v="Unnamed ProjectKanban L1S2Number BusyResource"/>
    <n v="10"/>
    <n v="0.75807867937176476"/>
    <n v="0.14764203024924766"/>
    <n v="0.95"/>
    <n v="0.10561674595032908"/>
    <n v="0.61500075677836796"/>
    <n v="1.00712332988134"/>
    <n v="0.10561674595032908"/>
  </r>
  <r>
    <x v="0"/>
    <s v="2025-12-30 22:09:11"/>
    <n v="7"/>
    <x v="9"/>
    <x v="2"/>
    <x v="0"/>
    <n v="3"/>
    <n v="2E+20"/>
    <n v="3"/>
    <n v="3"/>
    <n v="3"/>
    <n v="0"/>
    <s v="Unnamed ProjectKanban L1S2Number ScheduledResource"/>
    <n v="10"/>
    <n v="3"/>
    <n v="0"/>
    <n v="0.95"/>
    <n v="0"/>
    <n v="3"/>
    <n v="3"/>
    <n v="0"/>
  </r>
  <r>
    <x v="0"/>
    <s v="2025-12-30 22:09:11"/>
    <n v="7"/>
    <x v="10"/>
    <x v="0"/>
    <x v="0"/>
    <n v="0.15167485045888399"/>
    <n v="3E+20"/>
    <n v="0"/>
    <n v="0.66666666666666696"/>
    <n v="0"/>
    <n v="0"/>
    <s v="Unnamed ProjectKanban L1S3Instantaneous UtilizationResource"/>
    <n v="10"/>
    <n v="0.151561654865698"/>
    <n v="1.2198256688154243E-4"/>
    <n v="0.95"/>
    <n v="8.7261071626739862E-5"/>
    <n v="0.15134711042770499"/>
    <n v="0.15172806047441101"/>
    <n v="8.7261071626739862E-5"/>
  </r>
  <r>
    <x v="0"/>
    <s v="2025-12-30 22:09:11"/>
    <n v="7"/>
    <x v="10"/>
    <x v="1"/>
    <x v="0"/>
    <n v="0.45502455137665199"/>
    <n v="3E+20"/>
    <n v="0"/>
    <n v="2"/>
    <n v="0"/>
    <n v="0"/>
    <s v="Unnamed ProjectKanban L1S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7"/>
    <x v="10"/>
    <x v="2"/>
    <x v="0"/>
    <n v="3"/>
    <n v="2E+20"/>
    <n v="3"/>
    <n v="3"/>
    <n v="3"/>
    <n v="0"/>
    <s v="Unnamed ProjectKanban L1S3Number ScheduledResource"/>
    <n v="10"/>
    <n v="3"/>
    <n v="0"/>
    <n v="0.95"/>
    <n v="0"/>
    <n v="3"/>
    <n v="3"/>
    <n v="0"/>
  </r>
  <r>
    <x v="0"/>
    <s v="2025-12-30 22:09:11"/>
    <n v="7"/>
    <x v="11"/>
    <x v="0"/>
    <x v="0"/>
    <n v="0.94640294028002103"/>
    <n v="2E+20"/>
    <n v="0"/>
    <n v="1"/>
    <n v="1"/>
    <n v="0"/>
    <s v="Unnamed ProjectKanban L2S1Instantaneous UtilizationResource"/>
    <n v="10"/>
    <n v="0.84558522180863771"/>
    <n v="0.11694354024491282"/>
    <n v="0.95"/>
    <n v="8.3656369122856733E-2"/>
    <n v="0.625269422960122"/>
    <n v="0.95234896906597499"/>
    <n v="8.3656369122856733E-2"/>
  </r>
  <r>
    <x v="0"/>
    <s v="2025-12-30 22:09:11"/>
    <n v="7"/>
    <x v="11"/>
    <x v="1"/>
    <x v="0"/>
    <n v="1.8928058805600401"/>
    <n v="2E+20"/>
    <n v="0"/>
    <n v="2"/>
    <n v="2"/>
    <n v="0"/>
    <s v="Unnamed ProjectKanban L2S1Number BusyResource"/>
    <n v="10"/>
    <n v="1.6911704436172748"/>
    <n v="0.23388708048982901"/>
    <n v="0.95"/>
    <n v="0.16731273824571591"/>
    <n v="1.25053884592024"/>
    <n v="1.90469793813195"/>
    <n v="0.16731273824571591"/>
  </r>
  <r>
    <x v="0"/>
    <s v="2025-12-30 22:09:11"/>
    <n v="7"/>
    <x v="11"/>
    <x v="2"/>
    <x v="0"/>
    <n v="2"/>
    <n v="2E+20"/>
    <n v="2"/>
    <n v="2"/>
    <n v="2"/>
    <n v="0"/>
    <s v="Unnamed ProjectKanban L2S1Number ScheduledResource"/>
    <n v="10"/>
    <n v="2"/>
    <n v="0"/>
    <n v="0.95"/>
    <n v="0"/>
    <n v="2"/>
    <n v="2"/>
    <n v="0"/>
  </r>
  <r>
    <x v="0"/>
    <s v="2025-12-30 22:09:11"/>
    <n v="7"/>
    <x v="12"/>
    <x v="0"/>
    <x v="0"/>
    <n v="0.80367374551252302"/>
    <n v="2E+20"/>
    <n v="0"/>
    <n v="1"/>
    <n v="0.4"/>
    <n v="0"/>
    <s v="Unnamed ProjectKanban L2S2Instantaneous UtilizationResource"/>
    <n v="10"/>
    <n v="0.74077431571180252"/>
    <n v="6.1280007141723249E-2"/>
    <n v="0.95"/>
    <n v="4.3837076306763374E-2"/>
    <n v="0.67060354368791797"/>
    <n v="0.87728997349342996"/>
    <n v="4.3837076306763374E-2"/>
  </r>
  <r>
    <x v="0"/>
    <s v="2025-12-30 22:09:11"/>
    <n v="7"/>
    <x v="12"/>
    <x v="1"/>
    <x v="0"/>
    <n v="4.0183687275626099"/>
    <n v="2E+20"/>
    <n v="0"/>
    <n v="5"/>
    <n v="2"/>
    <n v="0"/>
    <s v="Unnamed ProjectKanban L2S2Number BusyResource"/>
    <n v="10"/>
    <n v="3.7038715785590122"/>
    <n v="0.30640003570861163"/>
    <n v="0.95"/>
    <n v="0.21918538153381359"/>
    <n v="3.35301771843959"/>
    <n v="4.3864498674671397"/>
    <n v="0.21918538153381359"/>
  </r>
  <r>
    <x v="0"/>
    <s v="2025-12-30 22:09:11"/>
    <n v="7"/>
    <x v="12"/>
    <x v="2"/>
    <x v="0"/>
    <n v="5"/>
    <n v="2E+20"/>
    <n v="5"/>
    <n v="5"/>
    <n v="5"/>
    <n v="0"/>
    <s v="Unnamed ProjectKanban L2S2Number ScheduledResource"/>
    <n v="10"/>
    <n v="5"/>
    <n v="0"/>
    <n v="0.95"/>
    <n v="0"/>
    <n v="5"/>
    <n v="5"/>
    <n v="0"/>
  </r>
  <r>
    <x v="0"/>
    <s v="2025-12-30 22:09:11"/>
    <n v="7"/>
    <x v="13"/>
    <x v="0"/>
    <x v="0"/>
    <n v="0.45750763212080597"/>
    <n v="3E+20"/>
    <n v="0"/>
    <n v="1"/>
    <n v="1"/>
    <n v="0"/>
    <s v="Unnamed ProjectKanban L2S3Instantaneous UtilizationResource"/>
    <n v="10"/>
    <n v="0.52391445815006699"/>
    <n v="7.0460308415606909E-2"/>
    <n v="0.95"/>
    <n v="5.0404268221927347E-2"/>
    <n v="0.36555656561218303"/>
    <n v="0.59886206518967"/>
    <n v="5.0404268221927347E-2"/>
  </r>
  <r>
    <x v="0"/>
    <s v="2025-12-30 22:09:11"/>
    <n v="7"/>
    <x v="13"/>
    <x v="1"/>
    <x v="0"/>
    <n v="1.8300305284832199"/>
    <n v="3E+20"/>
    <n v="0"/>
    <n v="4"/>
    <n v="4"/>
    <n v="0"/>
    <s v="Unnamed ProjectKanban L2S3Number BusyResource"/>
    <n v="10"/>
    <n v="2.0956578326002671"/>
    <n v="0.28184123366242902"/>
    <n v="0.95"/>
    <n v="0.20161707288771036"/>
    <n v="1.4622262624487301"/>
    <n v="2.39544826075868"/>
    <n v="0.20161707288771036"/>
  </r>
  <r>
    <x v="0"/>
    <s v="2025-12-30 22:09:11"/>
    <n v="7"/>
    <x v="13"/>
    <x v="2"/>
    <x v="0"/>
    <n v="4"/>
    <n v="2E+20"/>
    <n v="4"/>
    <n v="4"/>
    <n v="4"/>
    <n v="0"/>
    <s v="Unnamed ProjectKanban L2S3Number ScheduledResource"/>
    <n v="10"/>
    <n v="4"/>
    <n v="0"/>
    <n v="0.95"/>
    <n v="0"/>
    <n v="4"/>
    <n v="4"/>
    <n v="0"/>
  </r>
  <r>
    <x v="0"/>
    <s v="2025-12-30 22:09:11"/>
    <n v="7"/>
    <x v="14"/>
    <x v="0"/>
    <x v="0"/>
    <n v="0.14921189842985499"/>
    <n v="3E+20"/>
    <n v="0"/>
    <n v="1"/>
    <n v="0"/>
    <n v="0"/>
    <s v="Unnamed ProjectKanban L2S4Instantaneous UtilizationResource"/>
    <n v="10"/>
    <n v="0.14955853655775292"/>
    <n v="1.8487754554887928E-4"/>
    <n v="0.95"/>
    <n v="1.3225342896729691E-4"/>
    <n v="0.14921189842985499"/>
    <n v="0.14985050053976801"/>
    <n v="1.3225342896729691E-4"/>
  </r>
  <r>
    <x v="0"/>
    <s v="2025-12-30 22:09:11"/>
    <n v="7"/>
    <x v="14"/>
    <x v="1"/>
    <x v="0"/>
    <n v="0.29842379685970999"/>
    <n v="3E+20"/>
    <n v="0"/>
    <n v="2"/>
    <n v="0"/>
    <n v="0"/>
    <s v="Unnamed ProjectKanban L2S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7"/>
    <x v="14"/>
    <x v="2"/>
    <x v="0"/>
    <n v="2"/>
    <n v="2E+20"/>
    <n v="2"/>
    <n v="2"/>
    <n v="2"/>
    <n v="0"/>
    <s v="Unnamed ProjectKanban L2S4Number ScheduledResource"/>
    <n v="10"/>
    <n v="2"/>
    <n v="0"/>
    <n v="0.95"/>
    <n v="0"/>
    <n v="2"/>
    <n v="2"/>
    <n v="0"/>
  </r>
  <r>
    <x v="0"/>
    <s v="2025-12-30 22:09:11"/>
    <n v="7"/>
    <x v="15"/>
    <x v="0"/>
    <x v="0"/>
    <n v="0.89992010424273505"/>
    <n v="3E+20"/>
    <n v="0"/>
    <n v="1"/>
    <n v="0.8"/>
    <n v="0"/>
    <s v="Unnamed ProjectKanban L3S1Instantaneous UtilizationResource"/>
    <n v="10"/>
    <n v="0.78490250681152507"/>
    <n v="0.11345978752761832"/>
    <n v="0.95"/>
    <n v="8.1164242557846045E-2"/>
    <n v="0.58338388917401696"/>
    <n v="0.90111632059041802"/>
    <n v="8.1164242557846045E-2"/>
  </r>
  <r>
    <x v="0"/>
    <s v="2025-12-30 22:09:11"/>
    <n v="7"/>
    <x v="15"/>
    <x v="1"/>
    <x v="0"/>
    <n v="4.4996005212136296"/>
    <n v="3E+20"/>
    <n v="0"/>
    <n v="5"/>
    <n v="4"/>
    <n v="0"/>
    <s v="Unnamed ProjectKanban L3S1Number BusyResource"/>
    <n v="10"/>
    <n v="3.9245125340576221"/>
    <n v="0.56729893763807904"/>
    <n v="0.95"/>
    <n v="0.40582121278922129"/>
    <n v="2.91691944587008"/>
    <n v="4.5055816029520903"/>
    <n v="0.40582121278922129"/>
  </r>
  <r>
    <x v="0"/>
    <s v="2025-12-30 22:09:11"/>
    <n v="7"/>
    <x v="15"/>
    <x v="2"/>
    <x v="0"/>
    <n v="5"/>
    <n v="2E+20"/>
    <n v="5"/>
    <n v="5"/>
    <n v="5"/>
    <n v="0"/>
    <s v="Unnamed ProjectKanban L3S1Number ScheduledResource"/>
    <n v="10"/>
    <n v="5"/>
    <n v="0"/>
    <n v="0.95"/>
    <n v="0"/>
    <n v="5"/>
    <n v="5"/>
    <n v="0"/>
  </r>
  <r>
    <x v="0"/>
    <s v="2025-12-30 22:09:11"/>
    <n v="7"/>
    <x v="16"/>
    <x v="0"/>
    <x v="0"/>
    <n v="0.15878533453201299"/>
    <n v="2E+20"/>
    <n v="0"/>
    <n v="0.66666666666666696"/>
    <n v="0"/>
    <n v="0"/>
    <s v="Unnamed ProjectKanban L3S2Instantaneous UtilizationResource"/>
    <n v="10"/>
    <n v="0.15879210791146137"/>
    <n v="8.8786593845171554E-6"/>
    <n v="0.95"/>
    <n v="6.3514103064755986E-6"/>
    <n v="0.15877821852350199"/>
    <n v="0.15880443244107401"/>
    <n v="6.3514103064755986E-6"/>
  </r>
  <r>
    <x v="0"/>
    <s v="2025-12-30 22:09:11"/>
    <n v="7"/>
    <x v="16"/>
    <x v="1"/>
    <x v="0"/>
    <n v="0.47635600359604302"/>
    <n v="2E+20"/>
    <n v="0"/>
    <n v="2"/>
    <n v="0"/>
    <n v="0"/>
    <s v="Unnamed ProjectKanban L3S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7"/>
    <x v="16"/>
    <x v="2"/>
    <x v="0"/>
    <n v="3"/>
    <n v="2E+20"/>
    <n v="3"/>
    <n v="3"/>
    <n v="3"/>
    <n v="0"/>
    <s v="Unnamed ProjectKanban L3S2Number ScheduledResource"/>
    <n v="10"/>
    <n v="3"/>
    <n v="0"/>
    <n v="0.95"/>
    <n v="0"/>
    <n v="3"/>
    <n v="3"/>
    <n v="0"/>
  </r>
  <r>
    <x v="0"/>
    <s v="2025-12-30 22:09:11"/>
    <n v="7"/>
    <x v="17"/>
    <x v="0"/>
    <x v="0"/>
    <n v="0.47646677260811499"/>
    <n v="2E+20"/>
    <n v="0"/>
    <n v="1"/>
    <n v="0"/>
    <n v="0"/>
    <s v="Unnamed ProjectL1 Station1Instantaneous Utilization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7"/>
    <x v="17"/>
    <x v="1"/>
    <x v="0"/>
    <n v="0.47646677260811499"/>
    <n v="2E+20"/>
    <n v="0"/>
    <n v="1"/>
    <n v="0"/>
    <n v="0"/>
    <s v="Unnamed ProjectL1 Station1Number Busy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7"/>
    <x v="17"/>
    <x v="2"/>
    <x v="0"/>
    <n v="0.476190476190476"/>
    <n v="2E+20"/>
    <n v="0"/>
    <n v="1"/>
    <n v="0"/>
    <n v="0"/>
    <s v="Unnamed ProjectL1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7"/>
    <x v="18"/>
    <x v="0"/>
    <x v="0"/>
    <n v="0.34698853009023001"/>
    <n v="3E+20"/>
    <n v="0"/>
    <n v="1"/>
    <n v="0"/>
    <n v="0"/>
    <s v="Unnamed ProjectL1 Station2Instantaneous Utilization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7"/>
    <x v="18"/>
    <x v="1"/>
    <x v="0"/>
    <n v="0.34698853009023001"/>
    <n v="3E+20"/>
    <n v="0"/>
    <n v="1"/>
    <n v="0"/>
    <n v="0"/>
    <s v="Unnamed ProjectL1 Station2Number Busy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7"/>
    <x v="18"/>
    <x v="2"/>
    <x v="0"/>
    <n v="0.476190476190476"/>
    <n v="2E+20"/>
    <n v="0"/>
    <n v="1"/>
    <n v="0"/>
    <n v="0"/>
    <s v="Unnamed ProjectL1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7"/>
    <x v="19"/>
    <x v="0"/>
    <x v="0"/>
    <n v="0.45502455137665199"/>
    <n v="3E+20"/>
    <n v="0"/>
    <n v="1"/>
    <n v="0"/>
    <n v="0"/>
    <s v="Unnamed ProjectL1 Station3Instantaneous Utilization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7"/>
    <x v="19"/>
    <x v="1"/>
    <x v="0"/>
    <n v="0.45502455137665199"/>
    <n v="3E+20"/>
    <n v="0"/>
    <n v="1"/>
    <n v="0"/>
    <n v="0"/>
    <s v="Unnamed ProjectL1 Station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7"/>
    <x v="19"/>
    <x v="2"/>
    <x v="0"/>
    <n v="0.476190476190476"/>
    <n v="2E+20"/>
    <n v="0"/>
    <n v="1"/>
    <n v="0"/>
    <n v="0"/>
    <s v="Unnamed ProjectL1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7"/>
    <x v="20"/>
    <x v="0"/>
    <x v="0"/>
    <n v="0.231931597051206"/>
    <n v="3E+20"/>
    <n v="0"/>
    <n v="1"/>
    <n v="0"/>
    <n v="0"/>
    <s v="Unnamed ProjectL2 Station1Instantaneous Utilization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7"/>
    <x v="20"/>
    <x v="1"/>
    <x v="0"/>
    <n v="0.231931597051206"/>
    <n v="3E+20"/>
    <n v="0"/>
    <n v="1"/>
    <n v="0"/>
    <n v="0"/>
    <s v="Unnamed ProjectL2 Station1Number Busy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7"/>
    <x v="20"/>
    <x v="2"/>
    <x v="0"/>
    <n v="0.476190476190476"/>
    <n v="2E+20"/>
    <n v="0"/>
    <n v="1"/>
    <n v="0"/>
    <n v="0"/>
    <s v="Unnamed ProjectL2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7"/>
    <x v="21"/>
    <x v="0"/>
    <x v="0"/>
    <n v="0.27247090168166299"/>
    <n v="3E+20"/>
    <n v="0"/>
    <n v="1"/>
    <n v="0"/>
    <n v="0"/>
    <s v="Unnamed ProjectL2 Station2Instantaneous Utilization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7"/>
    <x v="21"/>
    <x v="1"/>
    <x v="0"/>
    <n v="0.27247090168166299"/>
    <n v="3E+20"/>
    <n v="0"/>
    <n v="1"/>
    <n v="0"/>
    <n v="0"/>
    <s v="Unnamed ProjectL2 Station2Number Busy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7"/>
    <x v="21"/>
    <x v="2"/>
    <x v="0"/>
    <n v="0.476190476190476"/>
    <n v="2E+20"/>
    <n v="0"/>
    <n v="1"/>
    <n v="0"/>
    <n v="0"/>
    <s v="Unnamed ProjectL2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7"/>
    <x v="22"/>
    <x v="0"/>
    <x v="0"/>
    <n v="0.47645180008591498"/>
    <n v="2E+20"/>
    <n v="0"/>
    <n v="1"/>
    <n v="0"/>
    <n v="0"/>
    <s v="Unnamed ProjectL2 Station3Instantaneous UtilizationResource"/>
    <n v="10"/>
    <n v="0.47640752107427203"/>
    <n v="7.9809559904816854E-5"/>
    <n v="0.95"/>
    <n v="5.7092319840390197E-5"/>
    <n v="0.47622171379262102"/>
    <n v="0.47651577494330499"/>
    <n v="5.7092319840390197E-5"/>
  </r>
  <r>
    <x v="0"/>
    <s v="2025-12-30 22:09:11"/>
    <n v="7"/>
    <x v="22"/>
    <x v="1"/>
    <x v="0"/>
    <n v="0.47645180008591598"/>
    <n v="2E+20"/>
    <n v="0"/>
    <n v="1"/>
    <n v="0"/>
    <n v="0"/>
    <s v="Unnamed ProjectL2 Station3Number BusyResource"/>
    <n v="10"/>
    <n v="0.47640752107427209"/>
    <n v="7.980955990487845E-5"/>
    <n v="0.95"/>
    <n v="5.7092319840434263E-5"/>
    <n v="0.47622171379262102"/>
    <n v="0.47651577494330499"/>
    <n v="5.7092319840434263E-5"/>
  </r>
  <r>
    <x v="0"/>
    <s v="2025-12-30 22:09:11"/>
    <n v="7"/>
    <x v="22"/>
    <x v="2"/>
    <x v="0"/>
    <n v="0.476190476190476"/>
    <n v="2E+20"/>
    <n v="0"/>
    <n v="1"/>
    <n v="0"/>
    <n v="0"/>
    <s v="Unnamed ProjectL2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7"/>
    <x v="23"/>
    <x v="0"/>
    <x v="0"/>
    <n v="0.29842379685970999"/>
    <n v="3E+20"/>
    <n v="0"/>
    <n v="1"/>
    <n v="0"/>
    <n v="0"/>
    <s v="Unnamed ProjectL2 Station4Instantaneous Utilization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7"/>
    <x v="23"/>
    <x v="1"/>
    <x v="0"/>
    <n v="0.29842379685970999"/>
    <n v="3E+20"/>
    <n v="0"/>
    <n v="1"/>
    <n v="0"/>
    <n v="0"/>
    <s v="Unnamed ProjectL2 Station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7"/>
    <x v="23"/>
    <x v="2"/>
    <x v="0"/>
    <n v="0.476190476190476"/>
    <n v="2E+20"/>
    <n v="0"/>
    <n v="1"/>
    <n v="0"/>
    <n v="0"/>
    <s v="Unnamed ProjectL2 Station4Number ScheduledResource"/>
    <n v="10"/>
    <n v="0.476190476190476"/>
    <n v="0"/>
    <n v="0.95"/>
    <n v="0"/>
    <n v="0.476190476190476"/>
    <n v="0.476190476190476"/>
    <n v="0"/>
  </r>
  <r>
    <x v="0"/>
    <s v="2025-12-30 22:09:11"/>
    <n v="7"/>
    <x v="24"/>
    <x v="0"/>
    <x v="0"/>
    <n v="0.45626273578631799"/>
    <n v="3E+20"/>
    <n v="0"/>
    <n v="1"/>
    <n v="0"/>
    <n v="0"/>
    <s v="Unnamed ProjectL3 Station1Instantaneous Utilization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7"/>
    <x v="24"/>
    <x v="1"/>
    <x v="0"/>
    <n v="0.45626273578631799"/>
    <n v="3E+20"/>
    <n v="0"/>
    <n v="1"/>
    <n v="0"/>
    <n v="0"/>
    <s v="Unnamed ProjectL3 Station1Number Busy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7"/>
    <x v="24"/>
    <x v="2"/>
    <x v="0"/>
    <n v="0.476190476190476"/>
    <n v="2E+20"/>
    <n v="0"/>
    <n v="1"/>
    <n v="0"/>
    <n v="0"/>
    <s v="Unnamed ProjectL3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7"/>
    <x v="25"/>
    <x v="0"/>
    <x v="0"/>
    <n v="0.47635600359604302"/>
    <n v="2E+20"/>
    <n v="0"/>
    <n v="1"/>
    <n v="0"/>
    <n v="0"/>
    <s v="Unnamed ProjectL3 Station2Instantaneous UtilizationResource"/>
    <n v="10"/>
    <n v="0.47637632373438449"/>
    <n v="2.6635978153163645E-5"/>
    <n v="0.95"/>
    <n v="1.9054230919149366E-5"/>
    <n v="0.47633465557050603"/>
    <n v="0.47641329732322302"/>
    <n v="1.9054230919149366E-5"/>
  </r>
  <r>
    <x v="0"/>
    <s v="2025-12-30 22:09:11"/>
    <n v="7"/>
    <x v="25"/>
    <x v="1"/>
    <x v="0"/>
    <n v="0.47635600359604302"/>
    <n v="2E+20"/>
    <n v="0"/>
    <n v="1"/>
    <n v="0"/>
    <n v="0"/>
    <s v="Unnamed ProjectL3 Station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7"/>
    <x v="25"/>
    <x v="2"/>
    <x v="0"/>
    <n v="0.476190476190476"/>
    <n v="2E+20"/>
    <n v="0"/>
    <n v="1"/>
    <n v="0"/>
    <n v="0"/>
    <s v="Unnamed ProjectL3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7"/>
    <x v="26"/>
    <x v="3"/>
    <x v="1"/>
    <n v="2.51460755538617E-5"/>
    <n v="2E+20"/>
    <n v="0"/>
    <n v="1"/>
    <n v="0"/>
    <n v="0"/>
    <s v="Unnamed ProjectMatch 1.Queue1Number WaitingQueue"/>
    <n v="10"/>
    <n v="2.9170315053456471E-5"/>
    <n v="7.7933109083950271E-6"/>
    <n v="0.95"/>
    <n v="5.5749987786968959E-6"/>
    <n v="1.80144253291803E-5"/>
    <n v="4.21406992387485E-5"/>
    <n v="5.5749987786968959E-6"/>
  </r>
  <r>
    <x v="0"/>
    <s v="2025-12-30 22:09:11"/>
    <n v="7"/>
    <x v="27"/>
    <x v="3"/>
    <x v="1"/>
    <n v="865.659874482644"/>
    <n v="3E+20"/>
    <n v="0"/>
    <n v="1676"/>
    <n v="1675"/>
    <n v="0"/>
    <s v="Unnamed ProjectMatch 1.Queue2Number WaitingQueue"/>
    <n v="10"/>
    <n v="867.85098767897125"/>
    <n v="5.9823523640247513"/>
    <n v="0.95"/>
    <n v="4.2795170775550373"/>
    <n v="858.49288388840398"/>
    <n v="875.80608811200398"/>
    <n v="4.2795170775550373"/>
  </r>
  <r>
    <x v="0"/>
    <s v="2025-12-30 22:09:11"/>
    <n v="7"/>
    <x v="28"/>
    <x v="3"/>
    <x v="1"/>
    <n v="1364.6192213040899"/>
    <n v="3E+20"/>
    <n v="0"/>
    <n v="2642"/>
    <n v="2642"/>
    <n v="0"/>
    <s v="Unnamed ProjectMatch 1.Queue3Number WaitingQueue"/>
    <n v="10"/>
    <n v="1368.6640709815952"/>
    <n v="5.3961917051273351"/>
    <n v="0.95"/>
    <n v="3.860203002204456"/>
    <n v="1357.5761788714599"/>
    <n v="1375.17190829069"/>
    <n v="3.860203002204456"/>
  </r>
  <r>
    <x v="0"/>
    <s v="2025-12-30 22:09:11"/>
    <n v="7"/>
    <x v="29"/>
    <x v="0"/>
    <x v="0"/>
    <n v="0"/>
    <n v="2E+20"/>
    <n v="0"/>
    <n v="0"/>
    <n v="0"/>
    <n v="0"/>
    <s v="Unnamed ProjectSales DepartmentInstantaneous UtilizationResource"/>
    <n v="10"/>
    <n v="0"/>
    <n v="0"/>
    <n v="0.95"/>
    <n v="0"/>
    <n v="0"/>
    <n v="0"/>
    <n v="0"/>
  </r>
  <r>
    <x v="0"/>
    <s v="2025-12-30 22:09:11"/>
    <n v="7"/>
    <x v="29"/>
    <x v="1"/>
    <x v="0"/>
    <n v="0"/>
    <n v="2E+20"/>
    <n v="0"/>
    <n v="0"/>
    <n v="0"/>
    <n v="0"/>
    <s v="Unnamed ProjectSales DepartmentNumber BusyResource"/>
    <n v="10"/>
    <n v="0"/>
    <n v="0"/>
    <n v="0.95"/>
    <n v="0"/>
    <n v="0"/>
    <n v="0"/>
    <n v="0"/>
  </r>
  <r>
    <x v="0"/>
    <s v="2025-12-30 22:09:11"/>
    <n v="7"/>
    <x v="29"/>
    <x v="2"/>
    <x v="0"/>
    <n v="0.26785714285714302"/>
    <n v="2E+20"/>
    <n v="0"/>
    <n v="1"/>
    <n v="1"/>
    <n v="0"/>
    <s v="Unnamed ProjectSales Department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7"/>
    <x v="30"/>
    <x v="0"/>
    <x v="0"/>
    <n v="0.105326430117076"/>
    <n v="2E+20"/>
    <n v="0"/>
    <n v="1"/>
    <n v="0"/>
    <n v="0"/>
    <s v="Unnamed ProjectSales RepInstantaneous UtilizationResource"/>
    <n v="10"/>
    <n v="8.7684406282387828E-2"/>
    <n v="9.4212906785234151E-3"/>
    <n v="0.95"/>
    <n v="6.7395853500387742E-3"/>
    <n v="7.2143522330073706E-2"/>
    <n v="0.105326430117076"/>
    <n v="6.7395853500387742E-3"/>
  </r>
  <r>
    <x v="0"/>
    <s v="2025-12-30 22:09:11"/>
    <n v="7"/>
    <x v="30"/>
    <x v="1"/>
    <x v="0"/>
    <n v="0.105326430117076"/>
    <n v="2E+20"/>
    <n v="0"/>
    <n v="1"/>
    <n v="0"/>
    <n v="0"/>
    <s v="Unnamed ProjectSales RepNumber BusyResource"/>
    <n v="10"/>
    <n v="8.7684406282387842E-2"/>
    <n v="9.4212906785234151E-3"/>
    <n v="0.95"/>
    <n v="6.7395853500387742E-3"/>
    <n v="7.2143522330073706E-2"/>
    <n v="0.105326430117076"/>
    <n v="6.7395853500387742E-3"/>
  </r>
  <r>
    <x v="0"/>
    <s v="2025-12-30 22:09:11"/>
    <n v="7"/>
    <x v="30"/>
    <x v="2"/>
    <x v="0"/>
    <n v="0.26785714285714302"/>
    <n v="2E+20"/>
    <n v="0"/>
    <n v="1"/>
    <n v="0"/>
    <n v="0"/>
    <s v="Unnamed ProjectSales Rep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7"/>
    <x v="31"/>
    <x v="3"/>
    <x v="1"/>
    <n v="78.144679445599493"/>
    <n v="2E+20"/>
    <n v="0"/>
    <n v="167"/>
    <n v="167"/>
    <n v="0"/>
    <s v="Unnamed ProjectSeize 1.QueueNumber WaitingQueue"/>
    <n v="10"/>
    <n v="83.474789654582125"/>
    <n v="6.0930686050573728"/>
    <n v="0.95"/>
    <n v="4.358718705180836"/>
    <n v="72.152998246910798"/>
    <n v="91.653675793565498"/>
    <n v="4.358718705180836"/>
  </r>
  <r>
    <x v="0"/>
    <s v="2025-12-30 22:09:11"/>
    <n v="7"/>
    <x v="32"/>
    <x v="3"/>
    <x v="1"/>
    <n v="0.74837455611097603"/>
    <n v="2E+20"/>
    <n v="0"/>
    <n v="3"/>
    <n v="2"/>
    <n v="0"/>
    <s v="Unnamed ProjectSeize 10.QueueNumber WaitingQueue"/>
    <n v="10"/>
    <n v="0.77451739131190445"/>
    <n v="0.14034110421466847"/>
    <n v="0.95"/>
    <n v="0.10039397809151185"/>
    <n v="0.57599630674201496"/>
    <n v="0.944128153448903"/>
    <n v="0.10039397809151185"/>
  </r>
  <r>
    <x v="0"/>
    <s v="2025-12-30 22:09:11"/>
    <n v="7"/>
    <x v="33"/>
    <x v="3"/>
    <x v="1"/>
    <n v="25.764658423427701"/>
    <n v="2E+20"/>
    <n v="0"/>
    <n v="139"/>
    <n v="0"/>
    <n v="0"/>
    <s v="Unnamed ProjectSeize 11.QueueNumber WaitingQueue"/>
    <n v="10"/>
    <n v="17.495844600024782"/>
    <n v="4.1567315260337745"/>
    <n v="0.95"/>
    <n v="2.9735466034142406"/>
    <n v="10.770319236854199"/>
    <n v="25.764658423427701"/>
    <n v="2.9735466034142406"/>
  </r>
  <r>
    <x v="0"/>
    <s v="2025-12-30 22:09:11"/>
    <n v="7"/>
    <x v="34"/>
    <x v="3"/>
    <x v="1"/>
    <n v="1.32014802926651"/>
    <n v="3E+20"/>
    <n v="0"/>
    <n v="4"/>
    <n v="4"/>
    <n v="0"/>
    <s v="Unnamed ProjectSeize 2.QueueNumber WaitingQueue"/>
    <n v="10"/>
    <n v="1.2334365850159306"/>
    <n v="0.34677877772765942"/>
    <n v="0.95"/>
    <n v="0.24807059349154728"/>
    <n v="0.47601596605360202"/>
    <n v="1.5938052921300001"/>
    <n v="0.24807059349154728"/>
  </r>
  <r>
    <x v="0"/>
    <s v="2025-12-30 22:09:11"/>
    <n v="7"/>
    <x v="35"/>
    <x v="3"/>
    <x v="1"/>
    <n v="0.443638473140476"/>
    <n v="3E+20"/>
    <n v="0"/>
    <n v="2"/>
    <n v="0"/>
    <n v="0"/>
    <s v="Unnamed ProjectSeize 3.QueueNumber WaitingQueue"/>
    <n v="10"/>
    <n v="0.19501309596936622"/>
    <n v="0.14771852643081365"/>
    <n v="0.95"/>
    <n v="0.10567146802209269"/>
    <n v="5.2203254973614402E-2"/>
    <n v="0.443638473140476"/>
    <n v="0.10567146802209269"/>
  </r>
  <r>
    <x v="0"/>
    <s v="2025-12-30 22:09:11"/>
    <n v="7"/>
    <x v="36"/>
    <x v="3"/>
    <x v="1"/>
    <n v="79.194756600303293"/>
    <n v="3E+20"/>
    <n v="0"/>
    <n v="163"/>
    <n v="163"/>
    <n v="0"/>
    <s v="Unnamed ProjectSeize 4.QueueNumber WaitingQueue"/>
    <n v="10"/>
    <n v="81.226274902651596"/>
    <n v="11.159336682409895"/>
    <n v="0.95"/>
    <n v="7.9829085618136846"/>
    <n v="66.053444809788303"/>
    <n v="100.586340982454"/>
    <n v="7.9829085618136846"/>
  </r>
  <r>
    <x v="0"/>
    <s v="2025-12-30 22:09:11"/>
    <n v="7"/>
    <x v="37"/>
    <x v="3"/>
    <x v="1"/>
    <n v="1.52445995070681"/>
    <n v="3E+20"/>
    <n v="0"/>
    <n v="2"/>
    <n v="2"/>
    <n v="0"/>
    <s v="Unnamed ProjectSeize 5.QueueNumber WaitingQueue"/>
    <n v="10"/>
    <n v="1.3234420699844864"/>
    <n v="0.23376145670955006"/>
    <n v="0.95"/>
    <n v="0.1672228724069392"/>
    <n v="0.88257428434366503"/>
    <n v="1.5367801636504701"/>
    <n v="0.1672228724069392"/>
  </r>
  <r>
    <x v="0"/>
    <s v="2025-12-30 22:09:11"/>
    <n v="7"/>
    <x v="38"/>
    <x v="3"/>
    <x v="1"/>
    <n v="3.6096118164178699"/>
    <n v="3E+20"/>
    <n v="0"/>
    <n v="5"/>
    <n v="2"/>
    <n v="0"/>
    <s v="Unnamed ProjectSeize 6.QueueNumber WaitingQueue"/>
    <n v="10"/>
    <n v="3.295350976306183"/>
    <n v="0.30652142094800816"/>
    <n v="0.95"/>
    <n v="0.21927221530309879"/>
    <n v="2.9443042052265702"/>
    <n v="3.9785130958891202"/>
    <n v="0.21927221530309879"/>
  </r>
  <r>
    <x v="0"/>
    <s v="2025-12-30 22:09:11"/>
    <n v="7"/>
    <x v="39"/>
    <x v="3"/>
    <x v="1"/>
    <n v="1.21792090436678"/>
    <n v="2E+20"/>
    <n v="0"/>
    <n v="4"/>
    <n v="4"/>
    <n v="0"/>
    <s v="Unnamed ProjectSeize 7.QueueNumber WaitingQueue"/>
    <n v="10"/>
    <n v="1.4832039737284362"/>
    <n v="0.28170250043427397"/>
    <n v="0.95"/>
    <n v="0.20151782911486205"/>
    <n v="0.850065833369271"/>
    <n v="1.78320590856036"/>
    <n v="0.20151782911486205"/>
  </r>
  <r>
    <x v="0"/>
    <s v="2025-12-30 22:09:11"/>
    <n v="7"/>
    <x v="40"/>
    <x v="3"/>
    <x v="1"/>
    <n v="91.456511607197399"/>
    <n v="3E+20"/>
    <n v="0"/>
    <n v="178"/>
    <n v="178"/>
    <n v="0"/>
    <s v="Unnamed ProjectSeize 8.QueueNumber WaitingQueue"/>
    <n v="10"/>
    <n v="84.673313986400757"/>
    <n v="6.3050274623130749"/>
    <n v="0.95"/>
    <n v="4.5103449375003528"/>
    <n v="72.004631303705096"/>
    <n v="94.488584180465494"/>
    <n v="4.5103449375003528"/>
  </r>
  <r>
    <x v="0"/>
    <s v="2025-12-30 22:09:11"/>
    <n v="7"/>
    <x v="41"/>
    <x v="3"/>
    <x v="1"/>
    <n v="3.7392889579775299"/>
    <n v="3E+20"/>
    <n v="0"/>
    <n v="5"/>
    <n v="4"/>
    <n v="0"/>
    <s v="Unnamed ProjectSeize 9.QueueNumber WaitingQueue"/>
    <n v="10"/>
    <n v="3.1643006447829118"/>
    <n v="0.56709805972033456"/>
    <n v="0.95"/>
    <n v="0.40567751338350572"/>
    <n v="2.1571183231200299"/>
    <n v="3.7448575603137102"/>
    <n v="0.40567751338350572"/>
  </r>
  <r>
    <x v="0"/>
    <s v="2025-12-30 22:09:11"/>
    <n v="7"/>
    <x v="42"/>
    <x v="4"/>
    <x v="2"/>
    <n v="3.1112676501780898"/>
    <n v="3E+20"/>
    <n v="0"/>
    <n v="7"/>
    <n v="6"/>
    <n v="0"/>
    <s v="Unnamed ProjectWire HarnessWIPEntity"/>
    <n v="10"/>
    <n v="2.7938165767457108"/>
    <n v="0.37107770243484822"/>
    <n v="0.95"/>
    <n v="0.26545299708849601"/>
    <n v="2.05988155680273"/>
    <n v="3.2132100714910901"/>
    <n v="0.26545299708849601"/>
  </r>
  <r>
    <x v="0"/>
    <s v="2025-12-30 22:09:11"/>
    <n v="8"/>
    <x v="0"/>
    <x v="0"/>
    <x v="0"/>
    <n v="3.6103671471189598E-2"/>
    <n v="3E+20"/>
    <n v="0"/>
    <n v="1"/>
    <n v="1"/>
    <n v="0"/>
    <s v="Unnamed ProjectAssemblerInstantaneous UtilizationResource"/>
    <n v="10"/>
    <n v="3.6074566243936998E-2"/>
    <n v="6.6761681626786623E-5"/>
    <n v="0.95"/>
    <n v="4.7758430005936653E-5"/>
    <n v="3.5941735992799297E-2"/>
    <n v="3.6177689828441002E-2"/>
    <n v="4.7758430005936653E-5"/>
  </r>
  <r>
    <x v="0"/>
    <s v="2025-12-30 22:09:11"/>
    <n v="8"/>
    <x v="0"/>
    <x v="1"/>
    <x v="0"/>
    <n v="3.6103671471189598E-2"/>
    <n v="3E+20"/>
    <n v="0"/>
    <n v="1"/>
    <n v="1"/>
    <n v="0"/>
    <s v="Unnamed ProjectAssemblerNumber BusyResource"/>
    <n v="10"/>
    <n v="3.6074566243937005E-2"/>
    <n v="6.6761681626785268E-5"/>
    <n v="0.95"/>
    <n v="4.7758430005935684E-5"/>
    <n v="3.5941735992799297E-2"/>
    <n v="3.6177689828441002E-2"/>
    <n v="4.7758430005935684E-5"/>
  </r>
  <r>
    <x v="0"/>
    <s v="2025-12-30 22:09:11"/>
    <n v="8"/>
    <x v="0"/>
    <x v="2"/>
    <x v="0"/>
    <n v="0.476190476190476"/>
    <n v="2E+20"/>
    <n v="0"/>
    <n v="1"/>
    <n v="1"/>
    <n v="0"/>
    <s v="Unnamed ProjectAssemblerNumber ScheduledResource"/>
    <n v="10"/>
    <n v="0.476190476190476"/>
    <n v="0"/>
    <n v="0.95"/>
    <n v="0"/>
    <n v="0.476190476190476"/>
    <n v="0.476190476190476"/>
    <n v="0"/>
  </r>
  <r>
    <x v="0"/>
    <s v="2025-12-30 22:09:11"/>
    <n v="8"/>
    <x v="1"/>
    <x v="3"/>
    <x v="1"/>
    <n v="1.76845297870646"/>
    <n v="3E+20"/>
    <n v="0"/>
    <n v="5"/>
    <n v="1"/>
    <n v="0"/>
    <s v="Unnamed ProjectAssembly Batch.QueueNumber WaitingQueue"/>
    <n v="10"/>
    <n v="1.983224619189873"/>
    <n v="0.29990249131557767"/>
    <n v="0.95"/>
    <n v="0.21453731828040576"/>
    <n v="1.4478959937017499"/>
    <n v="2.3267973127516899"/>
    <n v="0.21453731828040576"/>
  </r>
  <r>
    <x v="0"/>
    <s v="2025-12-30 22:09:11"/>
    <n v="8"/>
    <x v="2"/>
    <x v="3"/>
    <x v="1"/>
    <n v="0.42282112856353499"/>
    <n v="3E+20"/>
    <n v="0"/>
    <n v="2"/>
    <n v="0"/>
    <n v="0"/>
    <s v="Unnamed ProjectBatch 2.QueueNumber WaitingQueue"/>
    <n v="10"/>
    <n v="0.47900820660242172"/>
    <n v="0.13717282935395095"/>
    <n v="0.95"/>
    <n v="9.8127530789884315E-2"/>
    <n v="0.25584390949740998"/>
    <n v="0.66613303676888702"/>
    <n v="9.8127530789884315E-2"/>
  </r>
  <r>
    <x v="0"/>
    <s v="2025-12-30 22:09:11"/>
    <n v="8"/>
    <x v="3"/>
    <x v="3"/>
    <x v="1"/>
    <n v="0.62485080908831503"/>
    <n v="3E+20"/>
    <n v="0"/>
    <n v="2"/>
    <n v="1"/>
    <n v="0"/>
    <s v="Unnamed ProjectBatch 3.QueueNumber WaitingQueue"/>
    <n v="10"/>
    <n v="0.41775820490048837"/>
    <n v="0.15099462697666188"/>
    <n v="0.95"/>
    <n v="0.1080150491722195"/>
    <n v="0.25632285648643699"/>
    <n v="0.68422762922173497"/>
    <n v="0.1080150491722195"/>
  </r>
  <r>
    <x v="0"/>
    <s v="2025-12-30 22:09:11"/>
    <n v="8"/>
    <x v="4"/>
    <x v="4"/>
    <x v="2"/>
    <n v="16.5233798367573"/>
    <n v="2E+20"/>
    <n v="0"/>
    <n v="113"/>
    <n v="0"/>
    <n v="0"/>
    <s v="Unnamed ProjectCustomerWIPEntity"/>
    <n v="10"/>
    <n v="17.583529006307167"/>
    <n v="4.1660214616007023"/>
    <n v="0.95"/>
    <n v="2.9801922229780646"/>
    <n v="10.842462759184199"/>
    <n v="25.8699848535447"/>
    <n v="2.9801922229780646"/>
  </r>
  <r>
    <x v="0"/>
    <s v="2025-12-30 22:09:11"/>
    <n v="8"/>
    <x v="5"/>
    <x v="4"/>
    <x v="2"/>
    <n v="96.780564632427897"/>
    <n v="3E+20"/>
    <n v="0"/>
    <n v="184"/>
    <n v="184"/>
    <n v="0"/>
    <s v="Unnamed ProjectEntity 1WIPEntity"/>
    <n v="10"/>
    <n v="95.041511376368575"/>
    <n v="6.556289254191463"/>
    <n v="0.95"/>
    <n v="4.6900867955271215"/>
    <n v="81.860988802888798"/>
    <n v="104.034812219697"/>
    <n v="4.6900867955271215"/>
  </r>
  <r>
    <x v="0"/>
    <s v="2025-12-30 22:09:11"/>
    <n v="8"/>
    <x v="6"/>
    <x v="4"/>
    <x v="2"/>
    <n v="962.29251251572805"/>
    <n v="3E+20"/>
    <n v="0"/>
    <n v="1858"/>
    <n v="1858"/>
    <n v="0"/>
    <s v="Unnamed ProjectEntity 2WIPEntity"/>
    <n v="10"/>
    <n v="959.25249800465133"/>
    <n v="16.228386811509871"/>
    <n v="0.95"/>
    <n v="11.609088578376843"/>
    <n v="935.21729677519602"/>
    <n v="986.61029939527498"/>
    <n v="11.609088578376843"/>
  </r>
  <r>
    <x v="0"/>
    <s v="2025-12-30 22:09:11"/>
    <n v="8"/>
    <x v="7"/>
    <x v="4"/>
    <x v="2"/>
    <n v="4190.0129684685899"/>
    <n v="3E+20"/>
    <n v="0"/>
    <n v="8102"/>
    <n v="8102"/>
    <n v="0"/>
    <s v="Unnamed ProjectEntity 3WIPEntity"/>
    <n v="10"/>
    <n v="4203.5615331875215"/>
    <n v="17.695322227060075"/>
    <n v="0.95"/>
    <n v="12.658470958503626"/>
    <n v="4170.1494074333395"/>
    <n v="4233.0569788620896"/>
    <n v="12.658470958503626"/>
  </r>
  <r>
    <x v="0"/>
    <s v="2025-12-30 22:09:11"/>
    <n v="8"/>
    <x v="8"/>
    <x v="0"/>
    <x v="0"/>
    <n v="0.524046412289632"/>
    <n v="3E+20"/>
    <n v="0"/>
    <n v="1"/>
    <n v="1"/>
    <n v="0"/>
    <s v="Unnamed ProjectKanban L1S1Instantaneous UtilizationResource"/>
    <n v="10"/>
    <n v="0.48160620907873086"/>
    <n v="8.6686321722355061E-2"/>
    <n v="0.95"/>
    <n v="6.2011658897281531E-2"/>
    <n v="0.292184201252493"/>
    <n v="0.57167989674475905"/>
    <n v="6.2011658897281531E-2"/>
  </r>
  <r>
    <x v="0"/>
    <s v="2025-12-30 22:09:11"/>
    <n v="8"/>
    <x v="8"/>
    <x v="1"/>
    <x v="0"/>
    <n v="2.0961856491585298"/>
    <n v="3E+20"/>
    <n v="0"/>
    <n v="4"/>
    <n v="4"/>
    <n v="0"/>
    <s v="Unnamed ProjectKanban L1S1Number BusyResource"/>
    <n v="10"/>
    <n v="1.9264248363149217"/>
    <n v="0.34674528688941914"/>
    <n v="0.95"/>
    <n v="0.24804663558912532"/>
    <n v="1.16873680500997"/>
    <n v="2.28671958697903"/>
    <n v="0.24804663558912532"/>
  </r>
  <r>
    <x v="0"/>
    <s v="2025-12-30 22:09:11"/>
    <n v="8"/>
    <x v="8"/>
    <x v="2"/>
    <x v="0"/>
    <n v="4"/>
    <n v="2E+20"/>
    <n v="4"/>
    <n v="4"/>
    <n v="4"/>
    <n v="0"/>
    <s v="Unnamed ProjectKanban L1S1Number ScheduledResource"/>
    <n v="10"/>
    <n v="4"/>
    <n v="0"/>
    <n v="0.95"/>
    <n v="0"/>
    <n v="4"/>
    <n v="4"/>
    <n v="0"/>
  </r>
  <r>
    <x v="0"/>
    <s v="2025-12-30 22:09:11"/>
    <n v="8"/>
    <x v="9"/>
    <x v="0"/>
    <x v="0"/>
    <n v="0.20807621157933301"/>
    <n v="3E+20"/>
    <n v="0"/>
    <n v="1"/>
    <n v="0"/>
    <n v="0"/>
    <s v="Unnamed ProjectKanban L1S2Instantaneous UtilizationResource"/>
    <n v="10"/>
    <n v="0.25269289312392118"/>
    <n v="4.9214010083081669E-2"/>
    <n v="0.95"/>
    <n v="3.5205581983442397E-2"/>
    <n v="0.20500025225945401"/>
    <n v="0.33570777662711199"/>
    <n v="3.5205581983442397E-2"/>
  </r>
  <r>
    <x v="0"/>
    <s v="2025-12-30 22:09:11"/>
    <n v="8"/>
    <x v="9"/>
    <x v="1"/>
    <x v="0"/>
    <n v="0.62422863473799195"/>
    <n v="3E+20"/>
    <n v="0"/>
    <n v="3"/>
    <n v="0"/>
    <n v="0"/>
    <s v="Unnamed ProjectKanban L1S2Number BusyResource"/>
    <n v="10"/>
    <n v="0.75807867937176476"/>
    <n v="0.14764203024924766"/>
    <n v="0.95"/>
    <n v="0.10561674595032908"/>
    <n v="0.61500075677836796"/>
    <n v="1.00712332988134"/>
    <n v="0.10561674595032908"/>
  </r>
  <r>
    <x v="0"/>
    <s v="2025-12-30 22:09:11"/>
    <n v="8"/>
    <x v="9"/>
    <x v="2"/>
    <x v="0"/>
    <n v="3"/>
    <n v="2E+20"/>
    <n v="3"/>
    <n v="3"/>
    <n v="3"/>
    <n v="0"/>
    <s v="Unnamed ProjectKanban L1S2Number ScheduledResource"/>
    <n v="10"/>
    <n v="3"/>
    <n v="0"/>
    <n v="0.95"/>
    <n v="0"/>
    <n v="3"/>
    <n v="3"/>
    <n v="0"/>
  </r>
  <r>
    <x v="0"/>
    <s v="2025-12-30 22:09:11"/>
    <n v="8"/>
    <x v="10"/>
    <x v="0"/>
    <x v="0"/>
    <n v="0.15142923347384701"/>
    <n v="3E+20"/>
    <n v="0"/>
    <n v="0.66666666666666696"/>
    <n v="0"/>
    <n v="0"/>
    <s v="Unnamed ProjectKanban L1S3Instantaneous UtilizationResource"/>
    <n v="10"/>
    <n v="0.151561654865698"/>
    <n v="1.2198256688154243E-4"/>
    <n v="0.95"/>
    <n v="8.7261071626739862E-5"/>
    <n v="0.15134711042770499"/>
    <n v="0.15172806047441101"/>
    <n v="8.7261071626739862E-5"/>
  </r>
  <r>
    <x v="0"/>
    <s v="2025-12-30 22:09:11"/>
    <n v="8"/>
    <x v="10"/>
    <x v="1"/>
    <x v="0"/>
    <n v="0.45428770042153799"/>
    <n v="3E+20"/>
    <n v="0"/>
    <n v="2"/>
    <n v="0"/>
    <n v="0"/>
    <s v="Unnamed ProjectKanban L1S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8"/>
    <x v="10"/>
    <x v="2"/>
    <x v="0"/>
    <n v="3"/>
    <n v="2E+20"/>
    <n v="3"/>
    <n v="3"/>
    <n v="3"/>
    <n v="0"/>
    <s v="Unnamed ProjectKanban L1S3Number ScheduledResource"/>
    <n v="10"/>
    <n v="3"/>
    <n v="0"/>
    <n v="0.95"/>
    <n v="0"/>
    <n v="3"/>
    <n v="3"/>
    <n v="0"/>
  </r>
  <r>
    <x v="0"/>
    <s v="2025-12-30 22:09:11"/>
    <n v="8"/>
    <x v="11"/>
    <x v="0"/>
    <x v="0"/>
    <n v="0.91068077194701702"/>
    <n v="2E+20"/>
    <n v="0"/>
    <n v="1"/>
    <n v="1"/>
    <n v="0"/>
    <s v="Unnamed ProjectKanban L2S1Instantaneous UtilizationResource"/>
    <n v="10"/>
    <n v="0.84558522180863771"/>
    <n v="0.11694354024491282"/>
    <n v="0.95"/>
    <n v="8.3656369122856733E-2"/>
    <n v="0.625269422960122"/>
    <n v="0.95234896906597499"/>
    <n v="8.3656369122856733E-2"/>
  </r>
  <r>
    <x v="0"/>
    <s v="2025-12-30 22:09:11"/>
    <n v="8"/>
    <x v="11"/>
    <x v="1"/>
    <x v="0"/>
    <n v="1.82136154389404"/>
    <n v="2E+20"/>
    <n v="0"/>
    <n v="2"/>
    <n v="2"/>
    <n v="0"/>
    <s v="Unnamed ProjectKanban L2S1Number BusyResource"/>
    <n v="10"/>
    <n v="1.6911704436172748"/>
    <n v="0.23388708048982901"/>
    <n v="0.95"/>
    <n v="0.16731273824571591"/>
    <n v="1.25053884592024"/>
    <n v="1.90469793813195"/>
    <n v="0.16731273824571591"/>
  </r>
  <r>
    <x v="0"/>
    <s v="2025-12-30 22:09:11"/>
    <n v="8"/>
    <x v="11"/>
    <x v="2"/>
    <x v="0"/>
    <n v="2"/>
    <n v="2E+20"/>
    <n v="2"/>
    <n v="2"/>
    <n v="2"/>
    <n v="0"/>
    <s v="Unnamed ProjectKanban L2S1Number ScheduledResource"/>
    <n v="10"/>
    <n v="2"/>
    <n v="0"/>
    <n v="0.95"/>
    <n v="0"/>
    <n v="2"/>
    <n v="2"/>
    <n v="0"/>
  </r>
  <r>
    <x v="0"/>
    <s v="2025-12-30 22:09:11"/>
    <n v="8"/>
    <x v="12"/>
    <x v="0"/>
    <x v="0"/>
    <n v="0.72873074612662603"/>
    <n v="2E+20"/>
    <n v="0"/>
    <n v="1"/>
    <n v="0.4"/>
    <n v="0"/>
    <s v="Unnamed ProjectKanban L2S2Instantaneous UtilizationResource"/>
    <n v="10"/>
    <n v="0.74077431571180252"/>
    <n v="6.1280007141723249E-2"/>
    <n v="0.95"/>
    <n v="4.3837076306763374E-2"/>
    <n v="0.67060354368791797"/>
    <n v="0.87728997349342996"/>
    <n v="4.3837076306763374E-2"/>
  </r>
  <r>
    <x v="0"/>
    <s v="2025-12-30 22:09:11"/>
    <n v="8"/>
    <x v="12"/>
    <x v="1"/>
    <x v="0"/>
    <n v="3.64365373063313"/>
    <n v="2E+20"/>
    <n v="0"/>
    <n v="5"/>
    <n v="2"/>
    <n v="0"/>
    <s v="Unnamed ProjectKanban L2S2Number BusyResource"/>
    <n v="10"/>
    <n v="3.7038715785590122"/>
    <n v="0.30640003570861163"/>
    <n v="0.95"/>
    <n v="0.21918538153381359"/>
    <n v="3.35301771843959"/>
    <n v="4.3864498674671397"/>
    <n v="0.21918538153381359"/>
  </r>
  <r>
    <x v="0"/>
    <s v="2025-12-30 22:09:11"/>
    <n v="8"/>
    <x v="12"/>
    <x v="2"/>
    <x v="0"/>
    <n v="5"/>
    <n v="2E+20"/>
    <n v="5"/>
    <n v="5"/>
    <n v="5"/>
    <n v="0"/>
    <s v="Unnamed ProjectKanban L2S2Number ScheduledResource"/>
    <n v="10"/>
    <n v="5"/>
    <n v="0"/>
    <n v="0.95"/>
    <n v="0"/>
    <n v="5"/>
    <n v="5"/>
    <n v="0"/>
  </r>
  <r>
    <x v="0"/>
    <s v="2025-12-30 22:09:11"/>
    <n v="8"/>
    <x v="13"/>
    <x v="0"/>
    <x v="0"/>
    <n v="0.57216816243045499"/>
    <n v="3E+20"/>
    <n v="0"/>
    <n v="1"/>
    <n v="1"/>
    <n v="0"/>
    <s v="Unnamed ProjectKanban L2S3Instantaneous UtilizationResource"/>
    <n v="10"/>
    <n v="0.52391445815006699"/>
    <n v="7.0460308415606909E-2"/>
    <n v="0.95"/>
    <n v="5.0404268221927347E-2"/>
    <n v="0.36555656561218303"/>
    <n v="0.59886206518967"/>
    <n v="5.0404268221927347E-2"/>
  </r>
  <r>
    <x v="0"/>
    <s v="2025-12-30 22:09:11"/>
    <n v="8"/>
    <x v="13"/>
    <x v="1"/>
    <x v="0"/>
    <n v="2.2886726497218199"/>
    <n v="3E+20"/>
    <n v="0"/>
    <n v="4"/>
    <n v="4"/>
    <n v="0"/>
    <s v="Unnamed ProjectKanban L2S3Number BusyResource"/>
    <n v="10"/>
    <n v="2.0956578326002671"/>
    <n v="0.28184123366242902"/>
    <n v="0.95"/>
    <n v="0.20161707288771036"/>
    <n v="1.4622262624487301"/>
    <n v="2.39544826075868"/>
    <n v="0.20161707288771036"/>
  </r>
  <r>
    <x v="0"/>
    <s v="2025-12-30 22:09:11"/>
    <n v="8"/>
    <x v="13"/>
    <x v="2"/>
    <x v="0"/>
    <n v="4"/>
    <n v="2E+20"/>
    <n v="4"/>
    <n v="4"/>
    <n v="4"/>
    <n v="0"/>
    <s v="Unnamed ProjectKanban L2S3Number ScheduledResource"/>
    <n v="10"/>
    <n v="4"/>
    <n v="0"/>
    <n v="0.95"/>
    <n v="0"/>
    <n v="4"/>
    <n v="4"/>
    <n v="0"/>
  </r>
  <r>
    <x v="0"/>
    <s v="2025-12-30 22:09:11"/>
    <n v="8"/>
    <x v="14"/>
    <x v="0"/>
    <x v="0"/>
    <n v="0.149751253119838"/>
    <n v="3E+20"/>
    <n v="0"/>
    <n v="1"/>
    <n v="0"/>
    <n v="0"/>
    <s v="Unnamed ProjectKanban L2S4Instantaneous UtilizationResource"/>
    <n v="10"/>
    <n v="0.14955853655775292"/>
    <n v="1.8487754554887928E-4"/>
    <n v="0.95"/>
    <n v="1.3225342896729691E-4"/>
    <n v="0.14921189842985499"/>
    <n v="0.14985050053976801"/>
    <n v="1.3225342896729691E-4"/>
  </r>
  <r>
    <x v="0"/>
    <s v="2025-12-30 22:09:11"/>
    <n v="8"/>
    <x v="14"/>
    <x v="1"/>
    <x v="0"/>
    <n v="0.299502506239677"/>
    <n v="3E+20"/>
    <n v="0"/>
    <n v="2"/>
    <n v="0"/>
    <n v="0"/>
    <s v="Unnamed ProjectKanban L2S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8"/>
    <x v="14"/>
    <x v="2"/>
    <x v="0"/>
    <n v="2"/>
    <n v="2E+20"/>
    <n v="2"/>
    <n v="2"/>
    <n v="2"/>
    <n v="0"/>
    <s v="Unnamed ProjectKanban L2S4Number ScheduledResource"/>
    <n v="10"/>
    <n v="2"/>
    <n v="0"/>
    <n v="0.95"/>
    <n v="0"/>
    <n v="2"/>
    <n v="2"/>
    <n v="0"/>
  </r>
  <r>
    <x v="0"/>
    <s v="2025-12-30 22:09:11"/>
    <n v="8"/>
    <x v="15"/>
    <x v="0"/>
    <x v="0"/>
    <n v="0.58338388917401696"/>
    <n v="3E+20"/>
    <n v="0"/>
    <n v="1"/>
    <n v="0"/>
    <n v="0"/>
    <s v="Unnamed ProjectKanban L3S1Instantaneous UtilizationResource"/>
    <n v="10"/>
    <n v="0.78490250681152507"/>
    <n v="0.11345978752761832"/>
    <n v="0.95"/>
    <n v="8.1164242557846045E-2"/>
    <n v="0.58338388917401696"/>
    <n v="0.90111632059041802"/>
    <n v="8.1164242557846045E-2"/>
  </r>
  <r>
    <x v="0"/>
    <s v="2025-12-30 22:09:11"/>
    <n v="8"/>
    <x v="15"/>
    <x v="1"/>
    <x v="0"/>
    <n v="2.91691944587008"/>
    <n v="3E+20"/>
    <n v="0"/>
    <n v="5"/>
    <n v="0"/>
    <n v="0"/>
    <s v="Unnamed ProjectKanban L3S1Number BusyResource"/>
    <n v="10"/>
    <n v="3.9245125340576221"/>
    <n v="0.56729893763807904"/>
    <n v="0.95"/>
    <n v="0.40582121278922129"/>
    <n v="2.91691944587008"/>
    <n v="4.5055816029520903"/>
    <n v="0.40582121278922129"/>
  </r>
  <r>
    <x v="0"/>
    <s v="2025-12-30 22:09:11"/>
    <n v="8"/>
    <x v="15"/>
    <x v="2"/>
    <x v="0"/>
    <n v="5"/>
    <n v="2E+20"/>
    <n v="5"/>
    <n v="5"/>
    <n v="5"/>
    <n v="0"/>
    <s v="Unnamed ProjectKanban L3S1Number ScheduledResource"/>
    <n v="10"/>
    <n v="5"/>
    <n v="0"/>
    <n v="0.95"/>
    <n v="0"/>
    <n v="5"/>
    <n v="5"/>
    <n v="0"/>
  </r>
  <r>
    <x v="0"/>
    <s v="2025-12-30 22:09:11"/>
    <n v="8"/>
    <x v="16"/>
    <x v="0"/>
    <x v="0"/>
    <n v="0.15880443244107401"/>
    <n v="2E+20"/>
    <n v="0"/>
    <n v="0.66666666666666696"/>
    <n v="0"/>
    <n v="0"/>
    <s v="Unnamed ProjectKanban L3S2Instantaneous UtilizationResource"/>
    <n v="10"/>
    <n v="0.15879210791146137"/>
    <n v="8.8786593845171554E-6"/>
    <n v="0.95"/>
    <n v="6.3514103064755986E-6"/>
    <n v="0.15877821852350199"/>
    <n v="0.15880443244107401"/>
    <n v="6.3514103064755986E-6"/>
  </r>
  <r>
    <x v="0"/>
    <s v="2025-12-30 22:09:11"/>
    <n v="8"/>
    <x v="16"/>
    <x v="1"/>
    <x v="0"/>
    <n v="0.47641329732322302"/>
    <n v="2E+20"/>
    <n v="0"/>
    <n v="2"/>
    <n v="0"/>
    <n v="0"/>
    <s v="Unnamed ProjectKanban L3S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8"/>
    <x v="16"/>
    <x v="2"/>
    <x v="0"/>
    <n v="3"/>
    <n v="2E+20"/>
    <n v="3"/>
    <n v="3"/>
    <n v="3"/>
    <n v="0"/>
    <s v="Unnamed ProjectKanban L3S2Number ScheduledResource"/>
    <n v="10"/>
    <n v="3"/>
    <n v="0"/>
    <n v="0.95"/>
    <n v="0"/>
    <n v="3"/>
    <n v="3"/>
    <n v="0"/>
  </r>
  <r>
    <x v="0"/>
    <s v="2025-12-30 22:09:11"/>
    <n v="8"/>
    <x v="17"/>
    <x v="0"/>
    <x v="0"/>
    <n v="0.47647340349894202"/>
    <n v="2E+20"/>
    <n v="0"/>
    <n v="1"/>
    <n v="0"/>
    <n v="0"/>
    <s v="Unnamed ProjectL1 Station1Instantaneous Utilization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8"/>
    <x v="17"/>
    <x v="1"/>
    <x v="0"/>
    <n v="0.47647340349894202"/>
    <n v="2E+20"/>
    <n v="0"/>
    <n v="1"/>
    <n v="0"/>
    <n v="0"/>
    <s v="Unnamed ProjectL1 Station1Number Busy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8"/>
    <x v="17"/>
    <x v="2"/>
    <x v="0"/>
    <n v="0.476190476190476"/>
    <n v="2E+20"/>
    <n v="0"/>
    <n v="1"/>
    <n v="0"/>
    <n v="0"/>
    <s v="Unnamed ProjectL1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8"/>
    <x v="18"/>
    <x v="0"/>
    <x v="0"/>
    <n v="0.34682690535744298"/>
    <n v="3E+20"/>
    <n v="0"/>
    <n v="1"/>
    <n v="0"/>
    <n v="0"/>
    <s v="Unnamed ProjectL1 Station2Instantaneous Utilization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8"/>
    <x v="18"/>
    <x v="1"/>
    <x v="0"/>
    <n v="0.34682690535744298"/>
    <n v="3E+20"/>
    <n v="0"/>
    <n v="1"/>
    <n v="0"/>
    <n v="0"/>
    <s v="Unnamed ProjectL1 Station2Number Busy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8"/>
    <x v="18"/>
    <x v="2"/>
    <x v="0"/>
    <n v="0.476190476190476"/>
    <n v="2E+20"/>
    <n v="0"/>
    <n v="1"/>
    <n v="0"/>
    <n v="0"/>
    <s v="Unnamed ProjectL1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8"/>
    <x v="19"/>
    <x v="0"/>
    <x v="0"/>
    <n v="0.45428770042153799"/>
    <n v="3E+20"/>
    <n v="0"/>
    <n v="1"/>
    <n v="0"/>
    <n v="0"/>
    <s v="Unnamed ProjectL1 Station3Instantaneous Utilization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8"/>
    <x v="19"/>
    <x v="1"/>
    <x v="0"/>
    <n v="0.45428770042153799"/>
    <n v="3E+20"/>
    <n v="0"/>
    <n v="1"/>
    <n v="0"/>
    <n v="0"/>
    <s v="Unnamed ProjectL1 Station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8"/>
    <x v="19"/>
    <x v="2"/>
    <x v="0"/>
    <n v="0.476190476190476"/>
    <n v="2E+20"/>
    <n v="0"/>
    <n v="1"/>
    <n v="0"/>
    <n v="0"/>
    <s v="Unnamed ProjectL1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8"/>
    <x v="20"/>
    <x v="0"/>
    <x v="0"/>
    <n v="0.231613206661263"/>
    <n v="3E+20"/>
    <n v="0"/>
    <n v="1"/>
    <n v="0"/>
    <n v="0"/>
    <s v="Unnamed ProjectL2 Station1Instantaneous Utilization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8"/>
    <x v="20"/>
    <x v="1"/>
    <x v="0"/>
    <n v="0.231613206661263"/>
    <n v="3E+20"/>
    <n v="0"/>
    <n v="1"/>
    <n v="0"/>
    <n v="0"/>
    <s v="Unnamed ProjectL2 Station1Number Busy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8"/>
    <x v="20"/>
    <x v="2"/>
    <x v="0"/>
    <n v="0.476190476190476"/>
    <n v="2E+20"/>
    <n v="0"/>
    <n v="1"/>
    <n v="0"/>
    <n v="0"/>
    <s v="Unnamed ProjectL2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8"/>
    <x v="21"/>
    <x v="0"/>
    <x v="0"/>
    <n v="0.27253308841214502"/>
    <n v="3E+20"/>
    <n v="0"/>
    <n v="1"/>
    <n v="0"/>
    <n v="0"/>
    <s v="Unnamed ProjectL2 Station2Instantaneous Utilization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8"/>
    <x v="21"/>
    <x v="1"/>
    <x v="0"/>
    <n v="0.27253308841214502"/>
    <n v="3E+20"/>
    <n v="0"/>
    <n v="1"/>
    <n v="0"/>
    <n v="0"/>
    <s v="Unnamed ProjectL2 Station2Number Busy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8"/>
    <x v="21"/>
    <x v="2"/>
    <x v="0"/>
    <n v="0.476190476190476"/>
    <n v="2E+20"/>
    <n v="0"/>
    <n v="1"/>
    <n v="0"/>
    <n v="0"/>
    <s v="Unnamed ProjectL2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8"/>
    <x v="22"/>
    <x v="0"/>
    <x v="0"/>
    <n v="0.47636350473386602"/>
    <n v="2E+20"/>
    <n v="0"/>
    <n v="1"/>
    <n v="0"/>
    <n v="0"/>
    <s v="Unnamed ProjectL2 Station3Instantaneous UtilizationResource"/>
    <n v="10"/>
    <n v="0.47640752107427203"/>
    <n v="7.9809559904816854E-5"/>
    <n v="0.95"/>
    <n v="5.7092319840390197E-5"/>
    <n v="0.47622171379262102"/>
    <n v="0.47651577494330499"/>
    <n v="5.7092319840390197E-5"/>
  </r>
  <r>
    <x v="0"/>
    <s v="2025-12-30 22:09:11"/>
    <n v="8"/>
    <x v="22"/>
    <x v="1"/>
    <x v="0"/>
    <n v="0.47636350473386602"/>
    <n v="2E+20"/>
    <n v="0"/>
    <n v="1"/>
    <n v="0"/>
    <n v="0"/>
    <s v="Unnamed ProjectL2 Station3Number BusyResource"/>
    <n v="10"/>
    <n v="0.47640752107427209"/>
    <n v="7.980955990487845E-5"/>
    <n v="0.95"/>
    <n v="5.7092319840434263E-5"/>
    <n v="0.47622171379262102"/>
    <n v="0.47651577494330499"/>
    <n v="5.7092319840434263E-5"/>
  </r>
  <r>
    <x v="0"/>
    <s v="2025-12-30 22:09:11"/>
    <n v="8"/>
    <x v="22"/>
    <x v="2"/>
    <x v="0"/>
    <n v="0.476190476190476"/>
    <n v="2E+20"/>
    <n v="0"/>
    <n v="1"/>
    <n v="0"/>
    <n v="0"/>
    <s v="Unnamed ProjectL2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8"/>
    <x v="23"/>
    <x v="0"/>
    <x v="0"/>
    <n v="0.299502506239677"/>
    <n v="3E+20"/>
    <n v="0"/>
    <n v="1"/>
    <n v="0"/>
    <n v="0"/>
    <s v="Unnamed ProjectL2 Station4Instantaneous Utilization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8"/>
    <x v="23"/>
    <x v="1"/>
    <x v="0"/>
    <n v="0.299502506239677"/>
    <n v="3E+20"/>
    <n v="0"/>
    <n v="1"/>
    <n v="0"/>
    <n v="0"/>
    <s v="Unnamed ProjectL2 Station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8"/>
    <x v="23"/>
    <x v="2"/>
    <x v="0"/>
    <n v="0.476190476190476"/>
    <n v="2E+20"/>
    <n v="0"/>
    <n v="1"/>
    <n v="0"/>
    <n v="0"/>
    <s v="Unnamed ProjectL2 Station4Number ScheduledResource"/>
    <n v="10"/>
    <n v="0.476190476190476"/>
    <n v="0"/>
    <n v="0.95"/>
    <n v="0"/>
    <n v="0.476190476190476"/>
    <n v="0.476190476190476"/>
    <n v="0"/>
  </r>
  <r>
    <x v="0"/>
    <s v="2025-12-30 22:09:11"/>
    <n v="8"/>
    <x v="24"/>
    <x v="0"/>
    <x v="0"/>
    <n v="0.45555368189367501"/>
    <n v="3E+20"/>
    <n v="0"/>
    <n v="1"/>
    <n v="0"/>
    <n v="0"/>
    <s v="Unnamed ProjectL3 Station1Instantaneous Utilization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8"/>
    <x v="24"/>
    <x v="1"/>
    <x v="0"/>
    <n v="0.45555368189367501"/>
    <n v="3E+20"/>
    <n v="0"/>
    <n v="1"/>
    <n v="0"/>
    <n v="0"/>
    <s v="Unnamed ProjectL3 Station1Number Busy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8"/>
    <x v="24"/>
    <x v="2"/>
    <x v="0"/>
    <n v="0.476190476190476"/>
    <n v="2E+20"/>
    <n v="0"/>
    <n v="1"/>
    <n v="0"/>
    <n v="0"/>
    <s v="Unnamed ProjectL3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8"/>
    <x v="25"/>
    <x v="0"/>
    <x v="0"/>
    <n v="0.47641329732322302"/>
    <n v="2E+20"/>
    <n v="0"/>
    <n v="1"/>
    <n v="0"/>
    <n v="0"/>
    <s v="Unnamed ProjectL3 Station2Instantaneous UtilizationResource"/>
    <n v="10"/>
    <n v="0.47637632373438449"/>
    <n v="2.6635978153163645E-5"/>
    <n v="0.95"/>
    <n v="1.9054230919149366E-5"/>
    <n v="0.47633465557050603"/>
    <n v="0.47641329732322302"/>
    <n v="1.9054230919149366E-5"/>
  </r>
  <r>
    <x v="0"/>
    <s v="2025-12-30 22:09:11"/>
    <n v="8"/>
    <x v="25"/>
    <x v="1"/>
    <x v="0"/>
    <n v="0.47641329732322302"/>
    <n v="2E+20"/>
    <n v="0"/>
    <n v="1"/>
    <n v="0"/>
    <n v="0"/>
    <s v="Unnamed ProjectL3 Station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8"/>
    <x v="25"/>
    <x v="2"/>
    <x v="0"/>
    <n v="0.476190476190476"/>
    <n v="2E+20"/>
    <n v="0"/>
    <n v="1"/>
    <n v="0"/>
    <n v="0"/>
    <s v="Unnamed ProjectL3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8"/>
    <x v="26"/>
    <x v="3"/>
    <x v="1"/>
    <n v="1.80144253291803E-5"/>
    <n v="2E+20"/>
    <n v="0"/>
    <n v="1"/>
    <n v="0"/>
    <n v="0"/>
    <s v="Unnamed ProjectMatch 1.Queue1Number WaitingQueue"/>
    <n v="10"/>
    <n v="2.9170315053456471E-5"/>
    <n v="7.7933109083950271E-6"/>
    <n v="0.95"/>
    <n v="5.5749987786968959E-6"/>
    <n v="1.80144253291803E-5"/>
    <n v="4.21406992387485E-5"/>
    <n v="5.5749987786968959E-6"/>
  </r>
  <r>
    <x v="0"/>
    <s v="2025-12-30 22:09:11"/>
    <n v="8"/>
    <x v="27"/>
    <x v="3"/>
    <x v="1"/>
    <n v="866.85911831908595"/>
    <n v="3E+20"/>
    <n v="0"/>
    <n v="1677"/>
    <n v="1675"/>
    <n v="0"/>
    <s v="Unnamed ProjectMatch 1.Queue2Number WaitingQueue"/>
    <n v="10"/>
    <n v="867.85098767897125"/>
    <n v="5.9823523640247513"/>
    <n v="0.95"/>
    <n v="4.2795170775550373"/>
    <n v="858.49288388840398"/>
    <n v="875.80608811200398"/>
    <n v="4.2795170775550373"/>
  </r>
  <r>
    <x v="0"/>
    <s v="2025-12-30 22:09:11"/>
    <n v="8"/>
    <x v="28"/>
    <x v="3"/>
    <x v="1"/>
    <n v="1365.6450909612499"/>
    <n v="3E+20"/>
    <n v="0"/>
    <n v="2640"/>
    <n v="2640"/>
    <n v="0"/>
    <s v="Unnamed ProjectMatch 1.Queue3Number WaitingQueue"/>
    <n v="10"/>
    <n v="1368.6640709815952"/>
    <n v="5.3961917051273351"/>
    <n v="0.95"/>
    <n v="3.860203002204456"/>
    <n v="1357.5761788714599"/>
    <n v="1375.17190829069"/>
    <n v="3.860203002204456"/>
  </r>
  <r>
    <x v="0"/>
    <s v="2025-12-30 22:09:11"/>
    <n v="8"/>
    <x v="29"/>
    <x v="0"/>
    <x v="0"/>
    <n v="0"/>
    <n v="2E+20"/>
    <n v="0"/>
    <n v="0"/>
    <n v="0"/>
    <n v="0"/>
    <s v="Unnamed ProjectSales DepartmentInstantaneous UtilizationResource"/>
    <n v="10"/>
    <n v="0"/>
    <n v="0"/>
    <n v="0.95"/>
    <n v="0"/>
    <n v="0"/>
    <n v="0"/>
    <n v="0"/>
  </r>
  <r>
    <x v="0"/>
    <s v="2025-12-30 22:09:11"/>
    <n v="8"/>
    <x v="29"/>
    <x v="1"/>
    <x v="0"/>
    <n v="0"/>
    <n v="2E+20"/>
    <n v="0"/>
    <n v="0"/>
    <n v="0"/>
    <n v="0"/>
    <s v="Unnamed ProjectSales DepartmentNumber BusyResource"/>
    <n v="10"/>
    <n v="0"/>
    <n v="0"/>
    <n v="0.95"/>
    <n v="0"/>
    <n v="0"/>
    <n v="0"/>
    <n v="0"/>
  </r>
  <r>
    <x v="0"/>
    <s v="2025-12-30 22:09:11"/>
    <n v="8"/>
    <x v="29"/>
    <x v="2"/>
    <x v="0"/>
    <n v="0.26785714285714302"/>
    <n v="2E+20"/>
    <n v="0"/>
    <n v="1"/>
    <n v="1"/>
    <n v="0"/>
    <s v="Unnamed ProjectSales Department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8"/>
    <x v="30"/>
    <x v="0"/>
    <x v="0"/>
    <n v="8.6479875556697006E-2"/>
    <n v="2E+20"/>
    <n v="0"/>
    <n v="1"/>
    <n v="0"/>
    <n v="0"/>
    <s v="Unnamed ProjectSales RepInstantaneous UtilizationResource"/>
    <n v="10"/>
    <n v="8.7684406282387828E-2"/>
    <n v="9.4212906785234151E-3"/>
    <n v="0.95"/>
    <n v="6.7395853500387742E-3"/>
    <n v="7.2143522330073706E-2"/>
    <n v="0.105326430117076"/>
    <n v="6.7395853500387742E-3"/>
  </r>
  <r>
    <x v="0"/>
    <s v="2025-12-30 22:09:11"/>
    <n v="8"/>
    <x v="30"/>
    <x v="1"/>
    <x v="0"/>
    <n v="8.6479875556697006E-2"/>
    <n v="2E+20"/>
    <n v="0"/>
    <n v="1"/>
    <n v="0"/>
    <n v="0"/>
    <s v="Unnamed ProjectSales RepNumber BusyResource"/>
    <n v="10"/>
    <n v="8.7684406282387842E-2"/>
    <n v="9.4212906785234151E-3"/>
    <n v="0.95"/>
    <n v="6.7395853500387742E-3"/>
    <n v="7.2143522330073706E-2"/>
    <n v="0.105326430117076"/>
    <n v="6.7395853500387742E-3"/>
  </r>
  <r>
    <x v="0"/>
    <s v="2025-12-30 22:09:11"/>
    <n v="8"/>
    <x v="30"/>
    <x v="2"/>
    <x v="0"/>
    <n v="0.26785714285714302"/>
    <n v="2E+20"/>
    <n v="0"/>
    <n v="1"/>
    <n v="0"/>
    <n v="0"/>
    <s v="Unnamed ProjectSales Rep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8"/>
    <x v="31"/>
    <x v="3"/>
    <x v="1"/>
    <n v="85.370407406770099"/>
    <n v="2E+20"/>
    <n v="0"/>
    <n v="168"/>
    <n v="168"/>
    <n v="0"/>
    <s v="Unnamed ProjectSeize 1.QueueNumber WaitingQueue"/>
    <n v="10"/>
    <n v="83.474789654582125"/>
    <n v="6.0930686050573728"/>
    <n v="0.95"/>
    <n v="4.358718705180836"/>
    <n v="72.152998246910798"/>
    <n v="91.653675793565498"/>
    <n v="4.358718705180836"/>
  </r>
  <r>
    <x v="0"/>
    <s v="2025-12-30 22:09:11"/>
    <n v="8"/>
    <x v="32"/>
    <x v="3"/>
    <x v="1"/>
    <n v="0.94384657394152105"/>
    <n v="2E+20"/>
    <n v="0"/>
    <n v="3"/>
    <n v="2"/>
    <n v="0"/>
    <s v="Unnamed ProjectSeize 10.QueueNumber WaitingQueue"/>
    <n v="10"/>
    <n v="0.77451739131190445"/>
    <n v="0.14034110421466847"/>
    <n v="0.95"/>
    <n v="0.10039397809151185"/>
    <n v="0.57599630674201496"/>
    <n v="0.944128153448903"/>
    <n v="0.10039397809151185"/>
  </r>
  <r>
    <x v="0"/>
    <s v="2025-12-30 22:09:11"/>
    <n v="8"/>
    <x v="33"/>
    <x v="3"/>
    <x v="1"/>
    <n v="16.436899961200599"/>
    <n v="2E+20"/>
    <n v="0"/>
    <n v="113"/>
    <n v="0"/>
    <n v="0"/>
    <s v="Unnamed ProjectSeize 11.QueueNumber WaitingQueue"/>
    <n v="10"/>
    <n v="17.495844600024782"/>
    <n v="4.1567315260337745"/>
    <n v="0.95"/>
    <n v="2.9735466034142406"/>
    <n v="10.770319236854199"/>
    <n v="25.764658423427701"/>
    <n v="2.9735466034142406"/>
  </r>
  <r>
    <x v="0"/>
    <s v="2025-12-30 22:09:11"/>
    <n v="8"/>
    <x v="34"/>
    <x v="3"/>
    <x v="1"/>
    <n v="1.4033070236270899"/>
    <n v="2E+20"/>
    <n v="0"/>
    <n v="4"/>
    <n v="4"/>
    <n v="0"/>
    <s v="Unnamed ProjectSeize 2.QueueNumber WaitingQueue"/>
    <n v="10"/>
    <n v="1.2334365850159306"/>
    <n v="0.34677877772765942"/>
    <n v="0.95"/>
    <n v="0.24807059349154728"/>
    <n v="0.47601596605360202"/>
    <n v="1.5938052921300001"/>
    <n v="0.24807059349154728"/>
  </r>
  <r>
    <x v="0"/>
    <s v="2025-12-30 22:09:11"/>
    <n v="8"/>
    <x v="35"/>
    <x v="3"/>
    <x v="1"/>
    <n v="6.11773485562149E-2"/>
    <n v="2.48658222769624E-2"/>
    <n v="0"/>
    <n v="2"/>
    <n v="0"/>
    <n v="0"/>
    <s v="Unnamed ProjectSeize 3.QueueNumber WaitingQueue"/>
    <n v="10"/>
    <n v="0.19501309596936622"/>
    <n v="0.14771852643081365"/>
    <n v="0.95"/>
    <n v="0.10567146802209269"/>
    <n v="5.2203254973614402E-2"/>
    <n v="0.443638473140476"/>
    <n v="0.10567146802209269"/>
  </r>
  <r>
    <x v="0"/>
    <s v="2025-12-30 22:09:11"/>
    <n v="8"/>
    <x v="36"/>
    <x v="3"/>
    <x v="1"/>
    <n v="85.041047020992707"/>
    <n v="3E+20"/>
    <n v="0"/>
    <n v="171"/>
    <n v="171"/>
    <n v="0"/>
    <s v="Unnamed ProjectSeize 4.QueueNumber WaitingQueue"/>
    <n v="10"/>
    <n v="81.226274902651596"/>
    <n v="11.159336682409895"/>
    <n v="0.95"/>
    <n v="7.9829085618136846"/>
    <n v="66.053444809788303"/>
    <n v="100.586340982454"/>
    <n v="7.9829085618136846"/>
  </r>
  <r>
    <x v="0"/>
    <s v="2025-12-30 22:09:11"/>
    <n v="8"/>
    <x v="37"/>
    <x v="3"/>
    <x v="1"/>
    <n v="1.45331937731382"/>
    <n v="3E+20"/>
    <n v="0"/>
    <n v="2"/>
    <n v="2"/>
    <n v="0"/>
    <s v="Unnamed ProjectSeize 5.QueueNumber WaitingQueue"/>
    <n v="10"/>
    <n v="1.3234420699844864"/>
    <n v="0.23376145670955006"/>
    <n v="0.95"/>
    <n v="0.1672228724069392"/>
    <n v="0.88257428434366503"/>
    <n v="1.5367801636504701"/>
    <n v="0.1672228724069392"/>
  </r>
  <r>
    <x v="0"/>
    <s v="2025-12-30 22:09:11"/>
    <n v="8"/>
    <x v="38"/>
    <x v="3"/>
    <x v="1"/>
    <n v="3.2347471894369302"/>
    <n v="3E+20"/>
    <n v="0"/>
    <n v="5"/>
    <n v="2"/>
    <n v="0"/>
    <s v="Unnamed ProjectSeize 6.QueueNumber WaitingQueue"/>
    <n v="10"/>
    <n v="3.295350976306183"/>
    <n v="0.30652142094800816"/>
    <n v="0.95"/>
    <n v="0.21927221530309879"/>
    <n v="2.9443042052265702"/>
    <n v="3.9785130958891202"/>
    <n v="0.21927221530309879"/>
  </r>
  <r>
    <x v="0"/>
    <s v="2025-12-30 22:09:11"/>
    <n v="8"/>
    <x v="39"/>
    <x v="3"/>
    <x v="1"/>
    <n v="1.6758650787309599"/>
    <n v="2E+20"/>
    <n v="0"/>
    <n v="4"/>
    <n v="4"/>
    <n v="0"/>
    <s v="Unnamed ProjectSeize 7.QueueNumber WaitingQueue"/>
    <n v="10"/>
    <n v="1.4832039737284362"/>
    <n v="0.28170250043427397"/>
    <n v="0.95"/>
    <n v="0.20151782911486205"/>
    <n v="0.850065833369271"/>
    <n v="1.78320590856036"/>
    <n v="0.20151782911486205"/>
  </r>
  <r>
    <x v="0"/>
    <s v="2025-12-30 22:09:11"/>
    <n v="8"/>
    <x v="40"/>
    <x v="3"/>
    <x v="1"/>
    <n v="81.118549801089799"/>
    <n v="3E+20"/>
    <n v="0"/>
    <n v="169"/>
    <n v="169"/>
    <n v="0"/>
    <s v="Unnamed ProjectSeize 8.QueueNumber WaitingQueue"/>
    <n v="10"/>
    <n v="84.673313986400757"/>
    <n v="6.3050274623130749"/>
    <n v="0.95"/>
    <n v="4.5103449375003528"/>
    <n v="72.004631303705096"/>
    <n v="94.488584180465494"/>
    <n v="4.5103449375003528"/>
  </r>
  <r>
    <x v="0"/>
    <s v="2025-12-30 22:09:11"/>
    <n v="8"/>
    <x v="41"/>
    <x v="3"/>
    <x v="1"/>
    <n v="2.1571183231200299"/>
    <n v="3E+20"/>
    <n v="0"/>
    <n v="4"/>
    <n v="0"/>
    <n v="0"/>
    <s v="Unnamed ProjectSeize 9.QueueNumber WaitingQueue"/>
    <n v="10"/>
    <n v="3.1643006447829118"/>
    <n v="0.56709805972033456"/>
    <n v="0.95"/>
    <n v="0.40567751338350572"/>
    <n v="2.1571183231200299"/>
    <n v="3.7448575603137102"/>
    <n v="0.40567751338350572"/>
  </r>
  <r>
    <x v="0"/>
    <s v="2025-12-30 22:09:11"/>
    <n v="8"/>
    <x v="42"/>
    <x v="4"/>
    <x v="2"/>
    <n v="2.74840322411917"/>
    <n v="3E+20"/>
    <n v="0"/>
    <n v="8"/>
    <n v="4"/>
    <n v="0"/>
    <s v="Unnamed ProjectWire HarnessWIPEntity"/>
    <n v="10"/>
    <n v="2.7938165767457108"/>
    <n v="0.37107770243484822"/>
    <n v="0.95"/>
    <n v="0.26545299708849601"/>
    <n v="2.05988155680273"/>
    <n v="3.2132100714910901"/>
    <n v="0.26545299708849601"/>
  </r>
  <r>
    <x v="0"/>
    <s v="2025-12-30 22:09:11"/>
    <n v="9"/>
    <x v="0"/>
    <x v="0"/>
    <x v="0"/>
    <n v="3.6082775413950101E-2"/>
    <n v="3E+20"/>
    <n v="0"/>
    <n v="1"/>
    <n v="0"/>
    <n v="0"/>
    <s v="Unnamed ProjectAssemblerInstantaneous UtilizationResource"/>
    <n v="10"/>
    <n v="3.6074566243936998E-2"/>
    <n v="6.6761681626786623E-5"/>
    <n v="0.95"/>
    <n v="4.7758430005936653E-5"/>
    <n v="3.5941735992799297E-2"/>
    <n v="3.6177689828441002E-2"/>
    <n v="4.7758430005936653E-5"/>
  </r>
  <r>
    <x v="0"/>
    <s v="2025-12-30 22:09:11"/>
    <n v="9"/>
    <x v="0"/>
    <x v="1"/>
    <x v="0"/>
    <n v="3.6082775413950101E-2"/>
    <n v="3E+20"/>
    <n v="0"/>
    <n v="1"/>
    <n v="0"/>
    <n v="0"/>
    <s v="Unnamed ProjectAssemblerNumber BusyResource"/>
    <n v="10"/>
    <n v="3.6074566243937005E-2"/>
    <n v="6.6761681626785268E-5"/>
    <n v="0.95"/>
    <n v="4.7758430005935684E-5"/>
    <n v="3.5941735992799297E-2"/>
    <n v="3.6177689828441002E-2"/>
    <n v="4.7758430005935684E-5"/>
  </r>
  <r>
    <x v="0"/>
    <s v="2025-12-30 22:09:11"/>
    <n v="9"/>
    <x v="0"/>
    <x v="2"/>
    <x v="0"/>
    <n v="0.476190476190476"/>
    <n v="2E+20"/>
    <n v="0"/>
    <n v="1"/>
    <n v="0"/>
    <n v="0"/>
    <s v="Unnamed ProjectAssemblerNumber ScheduledResource"/>
    <n v="10"/>
    <n v="0.476190476190476"/>
    <n v="0"/>
    <n v="0.95"/>
    <n v="0"/>
    <n v="0.476190476190476"/>
    <n v="0.476190476190476"/>
    <n v="0"/>
  </r>
  <r>
    <x v="0"/>
    <s v="2025-12-30 22:09:11"/>
    <n v="9"/>
    <x v="1"/>
    <x v="3"/>
    <x v="1"/>
    <n v="2.0728031179306501"/>
    <n v="3E+20"/>
    <n v="0"/>
    <n v="5"/>
    <n v="2"/>
    <n v="0"/>
    <s v="Unnamed ProjectAssembly Batch.QueueNumber WaitingQueue"/>
    <n v="10"/>
    <n v="1.983224619189873"/>
    <n v="0.29990249131557767"/>
    <n v="0.95"/>
    <n v="0.21453731828040576"/>
    <n v="1.4478959937017499"/>
    <n v="2.3267973127516899"/>
    <n v="0.21453731828040576"/>
  </r>
  <r>
    <x v="0"/>
    <s v="2025-12-30 22:09:11"/>
    <n v="9"/>
    <x v="2"/>
    <x v="3"/>
    <x v="1"/>
    <n v="0.61272400857548104"/>
    <n v="3E+20"/>
    <n v="0"/>
    <n v="2"/>
    <n v="1"/>
    <n v="0"/>
    <s v="Unnamed ProjectBatch 2.QueueNumber WaitingQueue"/>
    <n v="10"/>
    <n v="0.47900820660242172"/>
    <n v="0.13717282935395095"/>
    <n v="0.95"/>
    <n v="9.8127530789884315E-2"/>
    <n v="0.25584390949740998"/>
    <n v="0.66613303676888702"/>
    <n v="9.8127530789884315E-2"/>
  </r>
  <r>
    <x v="0"/>
    <s v="2025-12-30 22:09:11"/>
    <n v="9"/>
    <x v="3"/>
    <x v="3"/>
    <x v="1"/>
    <n v="0.42853428087867601"/>
    <n v="3E+20"/>
    <n v="0"/>
    <n v="2"/>
    <n v="1"/>
    <n v="0"/>
    <s v="Unnamed ProjectBatch 3.QueueNumber WaitingQueue"/>
    <n v="10"/>
    <n v="0.41775820490048837"/>
    <n v="0.15099462697666188"/>
    <n v="0.95"/>
    <n v="0.1080150491722195"/>
    <n v="0.25632285648643699"/>
    <n v="0.68422762922173497"/>
    <n v="0.1080150491722195"/>
  </r>
  <r>
    <x v="0"/>
    <s v="2025-12-30 22:09:11"/>
    <n v="9"/>
    <x v="4"/>
    <x v="4"/>
    <x v="2"/>
    <n v="16.5366408237728"/>
    <n v="2E+20"/>
    <n v="0"/>
    <n v="114"/>
    <n v="0"/>
    <n v="0"/>
    <s v="Unnamed ProjectCustomerWIPEntity"/>
    <n v="10"/>
    <n v="17.583529006307167"/>
    <n v="4.1660214616007023"/>
    <n v="0.95"/>
    <n v="2.9801922229780646"/>
    <n v="10.842462759184199"/>
    <n v="25.8699848535447"/>
    <n v="2.9801922229780646"/>
  </r>
  <r>
    <x v="0"/>
    <s v="2025-12-30 22:09:11"/>
    <n v="9"/>
    <x v="5"/>
    <x v="4"/>
    <x v="2"/>
    <n v="104.034812219697"/>
    <n v="3E+20"/>
    <n v="0"/>
    <n v="211"/>
    <n v="211"/>
    <n v="0"/>
    <s v="Unnamed ProjectEntity 1WIPEntity"/>
    <n v="10"/>
    <n v="95.041511376368575"/>
    <n v="6.556289254191463"/>
    <n v="0.95"/>
    <n v="4.6900867955271215"/>
    <n v="81.860988802888798"/>
    <n v="104.034812219697"/>
    <n v="4.6900867955271215"/>
  </r>
  <r>
    <x v="0"/>
    <s v="2025-12-30 22:09:11"/>
    <n v="9"/>
    <x v="6"/>
    <x v="4"/>
    <x v="2"/>
    <n v="945.12553703569597"/>
    <n v="3E+20"/>
    <n v="0"/>
    <n v="1834"/>
    <n v="1834"/>
    <n v="0"/>
    <s v="Unnamed ProjectEntity 2WIPEntity"/>
    <n v="10"/>
    <n v="959.25249800465133"/>
    <n v="16.228386811509871"/>
    <n v="0.95"/>
    <n v="11.609088578376843"/>
    <n v="935.21729677519602"/>
    <n v="986.61029939527498"/>
    <n v="11.609088578376843"/>
  </r>
  <r>
    <x v="0"/>
    <s v="2025-12-30 22:09:11"/>
    <n v="9"/>
    <x v="7"/>
    <x v="4"/>
    <x v="2"/>
    <n v="4217.8451853000497"/>
    <n v="3E+20"/>
    <n v="0"/>
    <n v="8146"/>
    <n v="8146"/>
    <n v="0"/>
    <s v="Unnamed ProjectEntity 3WIPEntity"/>
    <n v="10"/>
    <n v="4203.5615331875215"/>
    <n v="17.695322227060075"/>
    <n v="0.95"/>
    <n v="12.658470958503626"/>
    <n v="4170.1494074333395"/>
    <n v="4233.0569788620896"/>
    <n v="12.658470958503626"/>
  </r>
  <r>
    <x v="0"/>
    <s v="2025-12-30 22:09:11"/>
    <n v="9"/>
    <x v="8"/>
    <x v="0"/>
    <x v="0"/>
    <n v="0.50180782276445501"/>
    <n v="3E+20"/>
    <n v="0"/>
    <n v="1"/>
    <n v="1"/>
    <n v="0"/>
    <s v="Unnamed ProjectKanban L1S1Instantaneous UtilizationResource"/>
    <n v="10"/>
    <n v="0.48160620907873086"/>
    <n v="8.6686321722355061E-2"/>
    <n v="0.95"/>
    <n v="6.2011658897281531E-2"/>
    <n v="0.292184201252493"/>
    <n v="0.57167989674475905"/>
    <n v="6.2011658897281531E-2"/>
  </r>
  <r>
    <x v="0"/>
    <s v="2025-12-30 22:09:11"/>
    <n v="9"/>
    <x v="8"/>
    <x v="1"/>
    <x v="0"/>
    <n v="2.0072312910578201"/>
    <n v="3E+20"/>
    <n v="0"/>
    <n v="4"/>
    <n v="4"/>
    <n v="0"/>
    <s v="Unnamed ProjectKanban L1S1Number BusyResource"/>
    <n v="10"/>
    <n v="1.9264248363149217"/>
    <n v="0.34674528688941914"/>
    <n v="0.95"/>
    <n v="0.24804663558912532"/>
    <n v="1.16873680500997"/>
    <n v="2.28671958697903"/>
    <n v="0.24804663558912532"/>
  </r>
  <r>
    <x v="0"/>
    <s v="2025-12-30 22:09:11"/>
    <n v="9"/>
    <x v="8"/>
    <x v="2"/>
    <x v="0"/>
    <n v="4"/>
    <n v="2E+20"/>
    <n v="4"/>
    <n v="4"/>
    <n v="4"/>
    <n v="0"/>
    <s v="Unnamed ProjectKanban L1S1Number ScheduledResource"/>
    <n v="10"/>
    <n v="4"/>
    <n v="0"/>
    <n v="0.95"/>
    <n v="0"/>
    <n v="4"/>
    <n v="4"/>
    <n v="0"/>
  </r>
  <r>
    <x v="0"/>
    <s v="2025-12-30 22:09:11"/>
    <n v="9"/>
    <x v="9"/>
    <x v="0"/>
    <x v="0"/>
    <n v="0.20500025225945401"/>
    <n v="3E+20"/>
    <n v="0"/>
    <n v="1"/>
    <n v="0"/>
    <n v="0"/>
    <s v="Unnamed ProjectKanban L1S2Instantaneous UtilizationResource"/>
    <n v="10"/>
    <n v="0.25269289312392118"/>
    <n v="4.9214010083081669E-2"/>
    <n v="0.95"/>
    <n v="3.5205581983442397E-2"/>
    <n v="0.20500025225945401"/>
    <n v="0.33570777662711199"/>
    <n v="3.5205581983442397E-2"/>
  </r>
  <r>
    <x v="0"/>
    <s v="2025-12-30 22:09:11"/>
    <n v="9"/>
    <x v="9"/>
    <x v="1"/>
    <x v="0"/>
    <n v="0.61500075677836796"/>
    <n v="3E+20"/>
    <n v="0"/>
    <n v="3"/>
    <n v="0"/>
    <n v="0"/>
    <s v="Unnamed ProjectKanban L1S2Number BusyResource"/>
    <n v="10"/>
    <n v="0.75807867937176476"/>
    <n v="0.14764203024924766"/>
    <n v="0.95"/>
    <n v="0.10561674595032908"/>
    <n v="0.61500075677836796"/>
    <n v="1.00712332988134"/>
    <n v="0.10561674595032908"/>
  </r>
  <r>
    <x v="0"/>
    <s v="2025-12-30 22:09:11"/>
    <n v="9"/>
    <x v="9"/>
    <x v="2"/>
    <x v="0"/>
    <n v="3"/>
    <n v="2E+20"/>
    <n v="3"/>
    <n v="3"/>
    <n v="3"/>
    <n v="0"/>
    <s v="Unnamed ProjectKanban L1S2Number ScheduledResource"/>
    <n v="10"/>
    <n v="3"/>
    <n v="0"/>
    <n v="0.95"/>
    <n v="0"/>
    <n v="3"/>
    <n v="3"/>
    <n v="0"/>
  </r>
  <r>
    <x v="0"/>
    <s v="2025-12-30 22:09:11"/>
    <n v="9"/>
    <x v="10"/>
    <x v="0"/>
    <x v="0"/>
    <n v="0.15161344276824401"/>
    <n v="3E+20"/>
    <n v="0"/>
    <n v="0.66666666666666696"/>
    <n v="0"/>
    <n v="0"/>
    <s v="Unnamed ProjectKanban L1S3Instantaneous UtilizationResource"/>
    <n v="10"/>
    <n v="0.151561654865698"/>
    <n v="1.2198256688154243E-4"/>
    <n v="0.95"/>
    <n v="8.7261071626739862E-5"/>
    <n v="0.15134711042770499"/>
    <n v="0.15172806047441101"/>
    <n v="8.7261071626739862E-5"/>
  </r>
  <r>
    <x v="0"/>
    <s v="2025-12-30 22:09:11"/>
    <n v="9"/>
    <x v="10"/>
    <x v="1"/>
    <x v="0"/>
    <n v="0.45484032830472998"/>
    <n v="3E+20"/>
    <n v="0"/>
    <n v="2"/>
    <n v="0"/>
    <n v="0"/>
    <s v="Unnamed ProjectKanban L1S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9"/>
    <x v="10"/>
    <x v="2"/>
    <x v="0"/>
    <n v="3"/>
    <n v="2E+20"/>
    <n v="3"/>
    <n v="3"/>
    <n v="3"/>
    <n v="0"/>
    <s v="Unnamed ProjectKanban L1S3Number ScheduledResource"/>
    <n v="10"/>
    <n v="3"/>
    <n v="0"/>
    <n v="0.95"/>
    <n v="0"/>
    <n v="3"/>
    <n v="3"/>
    <n v="0"/>
  </r>
  <r>
    <x v="0"/>
    <s v="2025-12-30 22:09:11"/>
    <n v="9"/>
    <x v="11"/>
    <x v="0"/>
    <x v="0"/>
    <n v="0.76791739835693196"/>
    <n v="2E+20"/>
    <n v="0"/>
    <n v="1"/>
    <n v="0.5"/>
    <n v="0"/>
    <s v="Unnamed ProjectKanban L2S1Instantaneous UtilizationResource"/>
    <n v="10"/>
    <n v="0.84558522180863771"/>
    <n v="0.11694354024491282"/>
    <n v="0.95"/>
    <n v="8.3656369122856733E-2"/>
    <n v="0.625269422960122"/>
    <n v="0.95234896906597499"/>
    <n v="8.3656369122856733E-2"/>
  </r>
  <r>
    <x v="0"/>
    <s v="2025-12-30 22:09:11"/>
    <n v="9"/>
    <x v="11"/>
    <x v="1"/>
    <x v="0"/>
    <n v="1.5358347967138599"/>
    <n v="2E+20"/>
    <n v="0"/>
    <n v="2"/>
    <n v="1"/>
    <n v="0"/>
    <s v="Unnamed ProjectKanban L2S1Number BusyResource"/>
    <n v="10"/>
    <n v="1.6911704436172748"/>
    <n v="0.23388708048982901"/>
    <n v="0.95"/>
    <n v="0.16731273824571591"/>
    <n v="1.25053884592024"/>
    <n v="1.90469793813195"/>
    <n v="0.16731273824571591"/>
  </r>
  <r>
    <x v="0"/>
    <s v="2025-12-30 22:09:11"/>
    <n v="9"/>
    <x v="11"/>
    <x v="2"/>
    <x v="0"/>
    <n v="2"/>
    <n v="2E+20"/>
    <n v="2"/>
    <n v="2"/>
    <n v="2"/>
    <n v="0"/>
    <s v="Unnamed ProjectKanban L2S1Number ScheduledResource"/>
    <n v="10"/>
    <n v="2"/>
    <n v="0"/>
    <n v="0.95"/>
    <n v="0"/>
    <n v="2"/>
    <n v="2"/>
    <n v="0"/>
  </r>
  <r>
    <x v="0"/>
    <s v="2025-12-30 22:09:11"/>
    <n v="9"/>
    <x v="12"/>
    <x v="0"/>
    <x v="0"/>
    <n v="0.67060354368791797"/>
    <n v="2E+20"/>
    <n v="0"/>
    <n v="1"/>
    <n v="0.2"/>
    <n v="0"/>
    <s v="Unnamed ProjectKanban L2S2Instantaneous UtilizationResource"/>
    <n v="10"/>
    <n v="0.74077431571180252"/>
    <n v="6.1280007141723249E-2"/>
    <n v="0.95"/>
    <n v="4.3837076306763374E-2"/>
    <n v="0.67060354368791797"/>
    <n v="0.87728997349342996"/>
    <n v="4.3837076306763374E-2"/>
  </r>
  <r>
    <x v="0"/>
    <s v="2025-12-30 22:09:11"/>
    <n v="9"/>
    <x v="12"/>
    <x v="1"/>
    <x v="0"/>
    <n v="3.35301771843959"/>
    <n v="2E+20"/>
    <n v="0"/>
    <n v="5"/>
    <n v="1"/>
    <n v="0"/>
    <s v="Unnamed ProjectKanban L2S2Number BusyResource"/>
    <n v="10"/>
    <n v="3.7038715785590122"/>
    <n v="0.30640003570861163"/>
    <n v="0.95"/>
    <n v="0.21918538153381359"/>
    <n v="3.35301771843959"/>
    <n v="4.3864498674671397"/>
    <n v="0.21918538153381359"/>
  </r>
  <r>
    <x v="0"/>
    <s v="2025-12-30 22:09:11"/>
    <n v="9"/>
    <x v="12"/>
    <x v="2"/>
    <x v="0"/>
    <n v="5"/>
    <n v="2E+20"/>
    <n v="5"/>
    <n v="5"/>
    <n v="5"/>
    <n v="0"/>
    <s v="Unnamed ProjectKanban L2S2Number ScheduledResource"/>
    <n v="10"/>
    <n v="5"/>
    <n v="0"/>
    <n v="0.95"/>
    <n v="0"/>
    <n v="5"/>
    <n v="5"/>
    <n v="0"/>
  </r>
  <r>
    <x v="0"/>
    <s v="2025-12-30 22:09:11"/>
    <n v="9"/>
    <x v="13"/>
    <x v="0"/>
    <x v="0"/>
    <n v="0.576472905152423"/>
    <n v="3E+20"/>
    <n v="0"/>
    <n v="1"/>
    <n v="1"/>
    <n v="0"/>
    <s v="Unnamed ProjectKanban L2S3Instantaneous UtilizationResource"/>
    <n v="10"/>
    <n v="0.52391445815006699"/>
    <n v="7.0460308415606909E-2"/>
    <n v="0.95"/>
    <n v="5.0404268221927347E-2"/>
    <n v="0.36555656561218303"/>
    <n v="0.59886206518967"/>
    <n v="5.0404268221927347E-2"/>
  </r>
  <r>
    <x v="0"/>
    <s v="2025-12-30 22:09:11"/>
    <n v="9"/>
    <x v="13"/>
    <x v="1"/>
    <x v="0"/>
    <n v="2.3058916206096902"/>
    <n v="3E+20"/>
    <n v="0"/>
    <n v="4"/>
    <n v="4"/>
    <n v="0"/>
    <s v="Unnamed ProjectKanban L2S3Number BusyResource"/>
    <n v="10"/>
    <n v="2.0956578326002671"/>
    <n v="0.28184123366242902"/>
    <n v="0.95"/>
    <n v="0.20161707288771036"/>
    <n v="1.4622262624487301"/>
    <n v="2.39544826075868"/>
    <n v="0.20161707288771036"/>
  </r>
  <r>
    <x v="0"/>
    <s v="2025-12-30 22:09:11"/>
    <n v="9"/>
    <x v="13"/>
    <x v="2"/>
    <x v="0"/>
    <n v="4"/>
    <n v="2E+20"/>
    <n v="4"/>
    <n v="4"/>
    <n v="4"/>
    <n v="0"/>
    <s v="Unnamed ProjectKanban L2S3Number ScheduledResource"/>
    <n v="10"/>
    <n v="4"/>
    <n v="0"/>
    <n v="0.95"/>
    <n v="0"/>
    <n v="4"/>
    <n v="4"/>
    <n v="0"/>
  </r>
  <r>
    <x v="0"/>
    <s v="2025-12-30 22:09:11"/>
    <n v="9"/>
    <x v="14"/>
    <x v="0"/>
    <x v="0"/>
    <n v="0.14963690394859999"/>
    <n v="3E+20"/>
    <n v="0"/>
    <n v="1"/>
    <n v="0"/>
    <n v="0"/>
    <s v="Unnamed ProjectKanban L2S4Instantaneous UtilizationResource"/>
    <n v="10"/>
    <n v="0.14955853655775292"/>
    <n v="1.8487754554887928E-4"/>
    <n v="0.95"/>
    <n v="1.3225342896729691E-4"/>
    <n v="0.14921189842985499"/>
    <n v="0.14985050053976801"/>
    <n v="1.3225342896729691E-4"/>
  </r>
  <r>
    <x v="0"/>
    <s v="2025-12-30 22:09:11"/>
    <n v="9"/>
    <x v="14"/>
    <x v="1"/>
    <x v="0"/>
    <n v="0.29927380789720098"/>
    <n v="3E+20"/>
    <n v="0"/>
    <n v="2"/>
    <n v="0"/>
    <n v="0"/>
    <s v="Unnamed ProjectKanban L2S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9"/>
    <x v="14"/>
    <x v="2"/>
    <x v="0"/>
    <n v="2"/>
    <n v="2E+20"/>
    <n v="2"/>
    <n v="2"/>
    <n v="2"/>
    <n v="0"/>
    <s v="Unnamed ProjectKanban L2S4Number ScheduledResource"/>
    <n v="10"/>
    <n v="2"/>
    <n v="0"/>
    <n v="0.95"/>
    <n v="0"/>
    <n v="2"/>
    <n v="2"/>
    <n v="0"/>
  </r>
  <r>
    <x v="0"/>
    <s v="2025-12-30 22:09:11"/>
    <n v="9"/>
    <x v="15"/>
    <x v="0"/>
    <x v="0"/>
    <n v="0.71327089804469901"/>
    <n v="3E+20"/>
    <n v="0"/>
    <n v="1"/>
    <n v="0.4"/>
    <n v="0"/>
    <s v="Unnamed ProjectKanban L3S1Instantaneous UtilizationResource"/>
    <n v="10"/>
    <n v="0.78490250681152507"/>
    <n v="0.11345978752761832"/>
    <n v="0.95"/>
    <n v="8.1164242557846045E-2"/>
    <n v="0.58338388917401696"/>
    <n v="0.90111632059041802"/>
    <n v="8.1164242557846045E-2"/>
  </r>
  <r>
    <x v="0"/>
    <s v="2025-12-30 22:09:11"/>
    <n v="9"/>
    <x v="15"/>
    <x v="1"/>
    <x v="0"/>
    <n v="3.5663544902235"/>
    <n v="3E+20"/>
    <n v="0"/>
    <n v="5"/>
    <n v="2"/>
    <n v="0"/>
    <s v="Unnamed ProjectKanban L3S1Number BusyResource"/>
    <n v="10"/>
    <n v="3.9245125340576221"/>
    <n v="0.56729893763807904"/>
    <n v="0.95"/>
    <n v="0.40582121278922129"/>
    <n v="2.91691944587008"/>
    <n v="4.5055816029520903"/>
    <n v="0.40582121278922129"/>
  </r>
  <r>
    <x v="0"/>
    <s v="2025-12-30 22:09:11"/>
    <n v="9"/>
    <x v="15"/>
    <x v="2"/>
    <x v="0"/>
    <n v="5"/>
    <n v="2E+20"/>
    <n v="5"/>
    <n v="5"/>
    <n v="5"/>
    <n v="0"/>
    <s v="Unnamed ProjectKanban L3S1Number ScheduledResource"/>
    <n v="10"/>
    <n v="5"/>
    <n v="0"/>
    <n v="0.95"/>
    <n v="0"/>
    <n v="5"/>
    <n v="5"/>
    <n v="0"/>
  </r>
  <r>
    <x v="0"/>
    <s v="2025-12-30 22:09:11"/>
    <n v="9"/>
    <x v="16"/>
    <x v="0"/>
    <x v="0"/>
    <n v="0.15879190591848"/>
    <n v="2E+20"/>
    <n v="0"/>
    <n v="0.66666666666666696"/>
    <n v="0"/>
    <n v="0"/>
    <s v="Unnamed ProjectKanban L3S2Instantaneous UtilizationResource"/>
    <n v="10"/>
    <n v="0.15879210791146137"/>
    <n v="8.8786593845171554E-6"/>
    <n v="0.95"/>
    <n v="6.3514103064755986E-6"/>
    <n v="0.15877821852350199"/>
    <n v="0.15880443244107401"/>
    <n v="6.3514103064755986E-6"/>
  </r>
  <r>
    <x v="0"/>
    <s v="2025-12-30 22:09:11"/>
    <n v="9"/>
    <x v="16"/>
    <x v="1"/>
    <x v="0"/>
    <n v="0.47637571775543702"/>
    <n v="2E+20"/>
    <n v="0"/>
    <n v="2"/>
    <n v="0"/>
    <n v="0"/>
    <s v="Unnamed ProjectKanban L3S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9"/>
    <x v="16"/>
    <x v="2"/>
    <x v="0"/>
    <n v="3"/>
    <n v="2E+20"/>
    <n v="3"/>
    <n v="3"/>
    <n v="3"/>
    <n v="0"/>
    <s v="Unnamed ProjectKanban L3S2Number ScheduledResource"/>
    <n v="10"/>
    <n v="3"/>
    <n v="0"/>
    <n v="0.95"/>
    <n v="0"/>
    <n v="3"/>
    <n v="3"/>
    <n v="0"/>
  </r>
  <r>
    <x v="0"/>
    <s v="2025-12-30 22:09:11"/>
    <n v="9"/>
    <x v="17"/>
    <x v="0"/>
    <x v="0"/>
    <n v="0.47646153800173802"/>
    <n v="2E+20"/>
    <n v="0"/>
    <n v="1"/>
    <n v="0"/>
    <n v="0"/>
    <s v="Unnamed ProjectL1 Station1Instantaneous Utilization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9"/>
    <x v="17"/>
    <x v="1"/>
    <x v="0"/>
    <n v="0.47646153800173802"/>
    <n v="2E+20"/>
    <n v="0"/>
    <n v="1"/>
    <n v="0"/>
    <n v="0"/>
    <s v="Unnamed ProjectL1 Station1Number Busy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9"/>
    <x v="17"/>
    <x v="2"/>
    <x v="0"/>
    <n v="0.476190476190476"/>
    <n v="2E+20"/>
    <n v="0"/>
    <n v="1"/>
    <n v="0"/>
    <n v="0"/>
    <s v="Unnamed ProjectL1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9"/>
    <x v="18"/>
    <x v="0"/>
    <x v="0"/>
    <n v="0.34640382960455401"/>
    <n v="3E+20"/>
    <n v="0"/>
    <n v="1"/>
    <n v="0"/>
    <n v="0"/>
    <s v="Unnamed ProjectL1 Station2Instantaneous Utilization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9"/>
    <x v="18"/>
    <x v="1"/>
    <x v="0"/>
    <n v="0.34640382960455401"/>
    <n v="3E+20"/>
    <n v="0"/>
    <n v="1"/>
    <n v="0"/>
    <n v="0"/>
    <s v="Unnamed ProjectL1 Station2Number Busy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9"/>
    <x v="18"/>
    <x v="2"/>
    <x v="0"/>
    <n v="0.476190476190476"/>
    <n v="2E+20"/>
    <n v="0"/>
    <n v="1"/>
    <n v="0"/>
    <n v="0"/>
    <s v="Unnamed ProjectL1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9"/>
    <x v="19"/>
    <x v="0"/>
    <x v="0"/>
    <n v="0.45484032830472998"/>
    <n v="3E+20"/>
    <n v="0"/>
    <n v="1"/>
    <n v="0"/>
    <n v="0"/>
    <s v="Unnamed ProjectL1 Station3Instantaneous Utilization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9"/>
    <x v="19"/>
    <x v="1"/>
    <x v="0"/>
    <n v="0.45484032830472998"/>
    <n v="3E+20"/>
    <n v="0"/>
    <n v="1"/>
    <n v="0"/>
    <n v="0"/>
    <s v="Unnamed ProjectL1 Station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9"/>
    <x v="19"/>
    <x v="2"/>
    <x v="0"/>
    <n v="0.476190476190476"/>
    <n v="2E+20"/>
    <n v="0"/>
    <n v="1"/>
    <n v="0"/>
    <n v="0"/>
    <s v="Unnamed ProjectL1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9"/>
    <x v="20"/>
    <x v="0"/>
    <x v="0"/>
    <n v="0.23124113793477999"/>
    <n v="3E+20"/>
    <n v="0"/>
    <n v="1"/>
    <n v="0"/>
    <n v="0"/>
    <s v="Unnamed ProjectL2 Station1Instantaneous Utilization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9"/>
    <x v="20"/>
    <x v="1"/>
    <x v="0"/>
    <n v="0.23124113793477999"/>
    <n v="3E+20"/>
    <n v="0"/>
    <n v="1"/>
    <n v="0"/>
    <n v="0"/>
    <s v="Unnamed ProjectL2 Station1Number Busy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9"/>
    <x v="20"/>
    <x v="2"/>
    <x v="0"/>
    <n v="0.476190476190476"/>
    <n v="2E+20"/>
    <n v="0"/>
    <n v="1"/>
    <n v="0"/>
    <n v="0"/>
    <s v="Unnamed ProjectL2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9"/>
    <x v="21"/>
    <x v="0"/>
    <x v="0"/>
    <n v="0.272343155202242"/>
    <n v="3E+20"/>
    <n v="0"/>
    <n v="1"/>
    <n v="0"/>
    <n v="0"/>
    <s v="Unnamed ProjectL2 Station2Instantaneous Utilization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9"/>
    <x v="21"/>
    <x v="1"/>
    <x v="0"/>
    <n v="0.272343155202242"/>
    <n v="3E+20"/>
    <n v="0"/>
    <n v="1"/>
    <n v="0"/>
    <n v="0"/>
    <s v="Unnamed ProjectL2 Station2Number Busy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9"/>
    <x v="21"/>
    <x v="2"/>
    <x v="0"/>
    <n v="0.476190476190476"/>
    <n v="2E+20"/>
    <n v="0"/>
    <n v="1"/>
    <n v="0"/>
    <n v="0"/>
    <s v="Unnamed ProjectL2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9"/>
    <x v="22"/>
    <x v="0"/>
    <x v="0"/>
    <n v="0.47646106450742798"/>
    <n v="2E+20"/>
    <n v="0"/>
    <n v="1"/>
    <n v="0"/>
    <n v="0"/>
    <s v="Unnamed ProjectL2 Station3Instantaneous UtilizationResource"/>
    <n v="10"/>
    <n v="0.47640752107427203"/>
    <n v="7.9809559904816854E-5"/>
    <n v="0.95"/>
    <n v="5.7092319840390197E-5"/>
    <n v="0.47622171379262102"/>
    <n v="0.47651577494330499"/>
    <n v="5.7092319840390197E-5"/>
  </r>
  <r>
    <x v="0"/>
    <s v="2025-12-30 22:09:11"/>
    <n v="9"/>
    <x v="22"/>
    <x v="1"/>
    <x v="0"/>
    <n v="0.47646106450742798"/>
    <n v="2E+20"/>
    <n v="0"/>
    <n v="1"/>
    <n v="0"/>
    <n v="0"/>
    <s v="Unnamed ProjectL2 Station3Number BusyResource"/>
    <n v="10"/>
    <n v="0.47640752107427209"/>
    <n v="7.980955990487845E-5"/>
    <n v="0.95"/>
    <n v="5.7092319840434263E-5"/>
    <n v="0.47622171379262102"/>
    <n v="0.47651577494330499"/>
    <n v="5.7092319840434263E-5"/>
  </r>
  <r>
    <x v="0"/>
    <s v="2025-12-30 22:09:11"/>
    <n v="9"/>
    <x v="22"/>
    <x v="2"/>
    <x v="0"/>
    <n v="0.476190476190476"/>
    <n v="2E+20"/>
    <n v="0"/>
    <n v="1"/>
    <n v="0"/>
    <n v="0"/>
    <s v="Unnamed ProjectL2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9"/>
    <x v="23"/>
    <x v="0"/>
    <x v="0"/>
    <n v="0.29927380789720098"/>
    <n v="3E+20"/>
    <n v="0"/>
    <n v="1"/>
    <n v="0"/>
    <n v="0"/>
    <s v="Unnamed ProjectL2 Station4Instantaneous Utilization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9"/>
    <x v="23"/>
    <x v="1"/>
    <x v="0"/>
    <n v="0.29927380789720098"/>
    <n v="3E+20"/>
    <n v="0"/>
    <n v="1"/>
    <n v="0"/>
    <n v="0"/>
    <s v="Unnamed ProjectL2 Station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9"/>
    <x v="23"/>
    <x v="2"/>
    <x v="0"/>
    <n v="0.476190476190476"/>
    <n v="2E+20"/>
    <n v="0"/>
    <n v="1"/>
    <n v="0"/>
    <n v="0"/>
    <s v="Unnamed ProjectL2 Station4Number ScheduledResource"/>
    <n v="10"/>
    <n v="0.476190476190476"/>
    <n v="0"/>
    <n v="0.95"/>
    <n v="0"/>
    <n v="0.476190476190476"/>
    <n v="0.476190476190476"/>
    <n v="0"/>
  </r>
  <r>
    <x v="0"/>
    <s v="2025-12-30 22:09:11"/>
    <n v="9"/>
    <x v="24"/>
    <x v="0"/>
    <x v="0"/>
    <n v="0.45625657552360399"/>
    <n v="3E+20"/>
    <n v="0"/>
    <n v="1"/>
    <n v="0"/>
    <n v="0"/>
    <s v="Unnamed ProjectL3 Station1Instantaneous Utilization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9"/>
    <x v="24"/>
    <x v="1"/>
    <x v="0"/>
    <n v="0.45625657552360399"/>
    <n v="3E+20"/>
    <n v="0"/>
    <n v="1"/>
    <n v="0"/>
    <n v="0"/>
    <s v="Unnamed ProjectL3 Station1Number Busy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9"/>
    <x v="24"/>
    <x v="2"/>
    <x v="0"/>
    <n v="0.476190476190476"/>
    <n v="2E+20"/>
    <n v="0"/>
    <n v="1"/>
    <n v="0"/>
    <n v="0"/>
    <s v="Unnamed ProjectL3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9"/>
    <x v="25"/>
    <x v="0"/>
    <x v="0"/>
    <n v="0.47637571775543702"/>
    <n v="2E+20"/>
    <n v="0"/>
    <n v="1"/>
    <n v="0"/>
    <n v="0"/>
    <s v="Unnamed ProjectL3 Station2Instantaneous UtilizationResource"/>
    <n v="10"/>
    <n v="0.47637632373438449"/>
    <n v="2.6635978153163645E-5"/>
    <n v="0.95"/>
    <n v="1.9054230919149366E-5"/>
    <n v="0.47633465557050603"/>
    <n v="0.47641329732322302"/>
    <n v="1.9054230919149366E-5"/>
  </r>
  <r>
    <x v="0"/>
    <s v="2025-12-30 22:09:11"/>
    <n v="9"/>
    <x v="25"/>
    <x v="1"/>
    <x v="0"/>
    <n v="0.47637571775543702"/>
    <n v="2E+20"/>
    <n v="0"/>
    <n v="1"/>
    <n v="0"/>
    <n v="0"/>
    <s v="Unnamed ProjectL3 Station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9"/>
    <x v="25"/>
    <x v="2"/>
    <x v="0"/>
    <n v="0.476190476190476"/>
    <n v="2E+20"/>
    <n v="0"/>
    <n v="1"/>
    <n v="0"/>
    <n v="0"/>
    <s v="Unnamed ProjectL3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9"/>
    <x v="26"/>
    <x v="3"/>
    <x v="1"/>
    <n v="2.94842542901642E-5"/>
    <n v="2E+20"/>
    <n v="0"/>
    <n v="1"/>
    <n v="0"/>
    <n v="0"/>
    <s v="Unnamed ProjectMatch 1.Queue1Number WaitingQueue"/>
    <n v="10"/>
    <n v="2.9170315053456471E-5"/>
    <n v="7.7933109083950271E-6"/>
    <n v="0.95"/>
    <n v="5.5749987786968959E-6"/>
    <n v="1.80144253291803E-5"/>
    <n v="4.21406992387485E-5"/>
    <n v="5.5749987786968959E-6"/>
  </r>
  <r>
    <x v="0"/>
    <s v="2025-12-30 22:09:11"/>
    <n v="9"/>
    <x v="27"/>
    <x v="3"/>
    <x v="1"/>
    <n v="864.86685423169001"/>
    <n v="3E+20"/>
    <n v="0"/>
    <n v="1677"/>
    <n v="1676"/>
    <n v="0"/>
    <s v="Unnamed ProjectMatch 1.Queue2Number WaitingQueue"/>
    <n v="10"/>
    <n v="867.85098767897125"/>
    <n v="5.9823523640247513"/>
    <n v="0.95"/>
    <n v="4.2795170775550373"/>
    <n v="858.49288388840398"/>
    <n v="875.80608811200398"/>
    <n v="4.2795170775550373"/>
  </r>
  <r>
    <x v="0"/>
    <s v="2025-12-30 22:09:11"/>
    <n v="9"/>
    <x v="28"/>
    <x v="3"/>
    <x v="1"/>
    <n v="1371.85582419261"/>
    <n v="3E+20"/>
    <n v="0"/>
    <n v="2649"/>
    <n v="2649"/>
    <n v="0"/>
    <s v="Unnamed ProjectMatch 1.Queue3Number WaitingQueue"/>
    <n v="10"/>
    <n v="1368.6640709815952"/>
    <n v="5.3961917051273351"/>
    <n v="0.95"/>
    <n v="3.860203002204456"/>
    <n v="1357.5761788714599"/>
    <n v="1375.17190829069"/>
    <n v="3.860203002204456"/>
  </r>
  <r>
    <x v="0"/>
    <s v="2025-12-30 22:09:11"/>
    <n v="9"/>
    <x v="29"/>
    <x v="0"/>
    <x v="0"/>
    <n v="0"/>
    <n v="2E+20"/>
    <n v="0"/>
    <n v="0"/>
    <n v="0"/>
    <n v="0"/>
    <s v="Unnamed ProjectSales DepartmentInstantaneous UtilizationResource"/>
    <n v="10"/>
    <n v="0"/>
    <n v="0"/>
    <n v="0.95"/>
    <n v="0"/>
    <n v="0"/>
    <n v="0"/>
    <n v="0"/>
  </r>
  <r>
    <x v="0"/>
    <s v="2025-12-30 22:09:11"/>
    <n v="9"/>
    <x v="29"/>
    <x v="1"/>
    <x v="0"/>
    <n v="0"/>
    <n v="2E+20"/>
    <n v="0"/>
    <n v="0"/>
    <n v="0"/>
    <n v="0"/>
    <s v="Unnamed ProjectSales DepartmentNumber BusyResource"/>
    <n v="10"/>
    <n v="0"/>
    <n v="0"/>
    <n v="0.95"/>
    <n v="0"/>
    <n v="0"/>
    <n v="0"/>
    <n v="0"/>
  </r>
  <r>
    <x v="0"/>
    <s v="2025-12-30 22:09:11"/>
    <n v="9"/>
    <x v="29"/>
    <x v="2"/>
    <x v="0"/>
    <n v="0.26785714285714302"/>
    <n v="2E+20"/>
    <n v="0"/>
    <n v="1"/>
    <n v="1"/>
    <n v="0"/>
    <s v="Unnamed ProjectSales Department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9"/>
    <x v="30"/>
    <x v="0"/>
    <x v="0"/>
    <n v="8.3991171440152099E-2"/>
    <n v="2E+20"/>
    <n v="0"/>
    <n v="1"/>
    <n v="0"/>
    <n v="0"/>
    <s v="Unnamed ProjectSales RepInstantaneous UtilizationResource"/>
    <n v="10"/>
    <n v="8.7684406282387828E-2"/>
    <n v="9.4212906785234151E-3"/>
    <n v="0.95"/>
    <n v="6.7395853500387742E-3"/>
    <n v="7.2143522330073706E-2"/>
    <n v="0.105326430117076"/>
    <n v="6.7395853500387742E-3"/>
  </r>
  <r>
    <x v="0"/>
    <s v="2025-12-30 22:09:11"/>
    <n v="9"/>
    <x v="30"/>
    <x v="1"/>
    <x v="0"/>
    <n v="8.3991171440152099E-2"/>
    <n v="2E+20"/>
    <n v="0"/>
    <n v="1"/>
    <n v="0"/>
    <n v="0"/>
    <s v="Unnamed ProjectSales RepNumber BusyResource"/>
    <n v="10"/>
    <n v="8.7684406282387842E-2"/>
    <n v="9.4212906785234151E-3"/>
    <n v="0.95"/>
    <n v="6.7395853500387742E-3"/>
    <n v="7.2143522330073706E-2"/>
    <n v="0.105326430117076"/>
    <n v="6.7395853500387742E-3"/>
  </r>
  <r>
    <x v="0"/>
    <s v="2025-12-30 22:09:11"/>
    <n v="9"/>
    <x v="30"/>
    <x v="2"/>
    <x v="0"/>
    <n v="0.26785714285714302"/>
    <n v="2E+20"/>
    <n v="0"/>
    <n v="1"/>
    <n v="0"/>
    <n v="0"/>
    <s v="Unnamed ProjectSales Rep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9"/>
    <x v="31"/>
    <x v="3"/>
    <x v="1"/>
    <n v="91.653675793565498"/>
    <n v="2E+20"/>
    <n v="0"/>
    <n v="191"/>
    <n v="191"/>
    <n v="0"/>
    <s v="Unnamed ProjectSeize 1.QueueNumber WaitingQueue"/>
    <n v="10"/>
    <n v="83.474789654582125"/>
    <n v="6.0930686050573728"/>
    <n v="0.95"/>
    <n v="4.358718705180836"/>
    <n v="72.152998246910798"/>
    <n v="91.653675793565498"/>
    <n v="4.358718705180836"/>
  </r>
  <r>
    <x v="0"/>
    <s v="2025-12-30 22:09:11"/>
    <n v="9"/>
    <x v="32"/>
    <x v="3"/>
    <x v="1"/>
    <n v="0.93250591464578603"/>
    <n v="2E+20"/>
    <n v="0"/>
    <n v="3"/>
    <n v="3"/>
    <n v="0"/>
    <s v="Unnamed ProjectSeize 10.QueueNumber WaitingQueue"/>
    <n v="10"/>
    <n v="0.77451739131190445"/>
    <n v="0.14034110421466847"/>
    <n v="0.95"/>
    <n v="0.10039397809151185"/>
    <n v="0.57599630674201496"/>
    <n v="0.944128153448903"/>
    <n v="0.10039397809151185"/>
  </r>
  <r>
    <x v="0"/>
    <s v="2025-12-30 22:09:11"/>
    <n v="9"/>
    <x v="33"/>
    <x v="3"/>
    <x v="1"/>
    <n v="16.4526496523326"/>
    <n v="2E+20"/>
    <n v="0"/>
    <n v="113"/>
    <n v="0"/>
    <n v="0"/>
    <s v="Unnamed ProjectSeize 11.QueueNumber WaitingQueue"/>
    <n v="10"/>
    <n v="17.495844600024782"/>
    <n v="4.1567315260337745"/>
    <n v="0.95"/>
    <n v="2.9735466034142406"/>
    <n v="10.770319236854199"/>
    <n v="25.764658423427701"/>
    <n v="2.9735466034142406"/>
  </r>
  <r>
    <x v="0"/>
    <s v="2025-12-30 22:09:11"/>
    <n v="9"/>
    <x v="34"/>
    <x v="3"/>
    <x v="1"/>
    <n v="1.3142395899380199"/>
    <n v="3E+20"/>
    <n v="0"/>
    <n v="4"/>
    <n v="4"/>
    <n v="0"/>
    <s v="Unnamed ProjectSeize 2.QueueNumber WaitingQueue"/>
    <n v="10"/>
    <n v="1.2334365850159306"/>
    <n v="0.34677877772765942"/>
    <n v="0.95"/>
    <n v="0.24807059349154728"/>
    <n v="0.47601596605360202"/>
    <n v="1.5938052921300001"/>
    <n v="0.24807059349154728"/>
  </r>
  <r>
    <x v="0"/>
    <s v="2025-12-30 22:09:11"/>
    <n v="9"/>
    <x v="35"/>
    <x v="3"/>
    <x v="1"/>
    <n v="5.2203254973614402E-2"/>
    <n v="3E+20"/>
    <n v="0"/>
    <n v="2"/>
    <n v="0"/>
    <n v="0"/>
    <s v="Unnamed ProjectSeize 3.QueueNumber WaitingQueue"/>
    <n v="10"/>
    <n v="0.19501309596936622"/>
    <n v="0.14771852643081365"/>
    <n v="0.95"/>
    <n v="0.10567146802209269"/>
    <n v="5.2203254973614402E-2"/>
    <n v="0.443638473140476"/>
    <n v="0.10567146802209269"/>
  </r>
  <r>
    <x v="0"/>
    <s v="2025-12-30 22:09:11"/>
    <n v="9"/>
    <x v="36"/>
    <x v="3"/>
    <x v="1"/>
    <n v="70.132096626319594"/>
    <n v="3E+20"/>
    <n v="0"/>
    <n v="147"/>
    <n v="147"/>
    <n v="0"/>
    <s v="Unnamed ProjectSeize 4.QueueNumber WaitingQueue"/>
    <n v="10"/>
    <n v="81.226274902651596"/>
    <n v="11.159336682409895"/>
    <n v="0.95"/>
    <n v="7.9829085618136846"/>
    <n v="66.053444809788303"/>
    <n v="100.586340982454"/>
    <n v="7.9829085618136846"/>
  </r>
  <r>
    <x v="0"/>
    <s v="2025-12-30 22:09:11"/>
    <n v="9"/>
    <x v="37"/>
    <x v="3"/>
    <x v="1"/>
    <n v="1.1684264841896199"/>
    <n v="3E+20"/>
    <n v="0"/>
    <n v="2"/>
    <n v="1"/>
    <n v="0"/>
    <s v="Unnamed ProjectSeize 5.QueueNumber WaitingQueue"/>
    <n v="10"/>
    <n v="1.3234420699844864"/>
    <n v="0.23376145670955006"/>
    <n v="0.95"/>
    <n v="0.1672228724069392"/>
    <n v="0.88257428434366503"/>
    <n v="1.5367801636504701"/>
    <n v="0.1672228724069392"/>
  </r>
  <r>
    <x v="0"/>
    <s v="2025-12-30 22:09:11"/>
    <n v="9"/>
    <x v="38"/>
    <x v="3"/>
    <x v="1"/>
    <n v="2.9443042052265702"/>
    <n v="3E+20"/>
    <n v="0"/>
    <n v="5"/>
    <n v="1"/>
    <n v="0"/>
    <s v="Unnamed ProjectSeize 6.QueueNumber WaitingQueue"/>
    <n v="10"/>
    <n v="3.295350976306183"/>
    <n v="0.30652142094800816"/>
    <n v="0.95"/>
    <n v="0.21927221530309879"/>
    <n v="2.9443042052265702"/>
    <n v="3.9785130958891202"/>
    <n v="0.21927221530309879"/>
  </r>
  <r>
    <x v="0"/>
    <s v="2025-12-30 22:09:11"/>
    <n v="9"/>
    <x v="39"/>
    <x v="3"/>
    <x v="1"/>
    <n v="1.69314451474018"/>
    <n v="2E+20"/>
    <n v="0"/>
    <n v="4"/>
    <n v="4"/>
    <n v="0"/>
    <s v="Unnamed ProjectSeize 7.QueueNumber WaitingQueue"/>
    <n v="10"/>
    <n v="1.4832039737284362"/>
    <n v="0.28170250043427397"/>
    <n v="0.95"/>
    <n v="0.20151782911486205"/>
    <n v="0.850065833369271"/>
    <n v="1.78320590856036"/>
    <n v="0.20151782911486205"/>
  </r>
  <r>
    <x v="0"/>
    <s v="2025-12-30 22:09:11"/>
    <n v="9"/>
    <x v="40"/>
    <x v="3"/>
    <x v="1"/>
    <n v="88.986335517634799"/>
    <n v="3E+20"/>
    <n v="0"/>
    <n v="181"/>
    <n v="181"/>
    <n v="0"/>
    <s v="Unnamed ProjectSeize 8.QueueNumber WaitingQueue"/>
    <n v="10"/>
    <n v="84.673313986400757"/>
    <n v="6.3050274623130749"/>
    <n v="0.95"/>
    <n v="4.5103449375003528"/>
    <n v="72.004631303705096"/>
    <n v="94.488584180465494"/>
    <n v="4.5103449375003528"/>
  </r>
  <r>
    <x v="0"/>
    <s v="2025-12-30 22:09:11"/>
    <n v="9"/>
    <x v="41"/>
    <x v="3"/>
    <x v="1"/>
    <n v="2.80603520641223"/>
    <n v="3E+20"/>
    <n v="0"/>
    <n v="4"/>
    <n v="2"/>
    <n v="0"/>
    <s v="Unnamed ProjectSeize 9.QueueNumber WaitingQueue"/>
    <n v="10"/>
    <n v="3.1643006447829118"/>
    <n v="0.56709805972033456"/>
    <n v="0.95"/>
    <n v="0.40567751338350572"/>
    <n v="2.1571183231200299"/>
    <n v="3.7448575603137102"/>
    <n v="0.40567751338350572"/>
  </r>
  <r>
    <x v="0"/>
    <s v="2025-12-30 22:09:11"/>
    <n v="9"/>
    <x v="42"/>
    <x v="4"/>
    <x v="2"/>
    <n v="3.0413918079903701"/>
    <n v="3E+20"/>
    <n v="0"/>
    <n v="8"/>
    <n v="5"/>
    <n v="0"/>
    <s v="Unnamed ProjectWire HarnessWIPEntity"/>
    <n v="10"/>
    <n v="2.7938165767457108"/>
    <n v="0.37107770243484822"/>
    <n v="0.95"/>
    <n v="0.26545299708849601"/>
    <n v="2.05988155680273"/>
    <n v="3.2132100714910901"/>
    <n v="0.26545299708849601"/>
  </r>
  <r>
    <x v="0"/>
    <s v="2025-12-30 22:09:11"/>
    <n v="10"/>
    <x v="0"/>
    <x v="0"/>
    <x v="0"/>
    <n v="3.6177689828441002E-2"/>
    <n v="3E+20"/>
    <n v="0"/>
    <n v="1"/>
    <n v="1"/>
    <n v="0"/>
    <s v="Unnamed ProjectAssemblerInstantaneous UtilizationResource"/>
    <n v="10"/>
    <n v="3.6074566243936998E-2"/>
    <n v="6.6761681626786623E-5"/>
    <n v="0.95"/>
    <n v="4.7758430005936653E-5"/>
    <n v="3.5941735992799297E-2"/>
    <n v="3.6177689828441002E-2"/>
    <n v="4.7758430005936653E-5"/>
  </r>
  <r>
    <x v="0"/>
    <s v="2025-12-30 22:09:11"/>
    <n v="10"/>
    <x v="0"/>
    <x v="1"/>
    <x v="0"/>
    <n v="3.6177689828441002E-2"/>
    <n v="3E+20"/>
    <n v="0"/>
    <n v="1"/>
    <n v="1"/>
    <n v="0"/>
    <s v="Unnamed ProjectAssemblerNumber BusyResource"/>
    <n v="10"/>
    <n v="3.6074566243937005E-2"/>
    <n v="6.6761681626785268E-5"/>
    <n v="0.95"/>
    <n v="4.7758430005935684E-5"/>
    <n v="3.5941735992799297E-2"/>
    <n v="3.6177689828441002E-2"/>
    <n v="4.7758430005935684E-5"/>
  </r>
  <r>
    <x v="0"/>
    <s v="2025-12-30 22:09:11"/>
    <n v="10"/>
    <x v="0"/>
    <x v="2"/>
    <x v="0"/>
    <n v="0.476190476190476"/>
    <n v="2E+20"/>
    <n v="0"/>
    <n v="1"/>
    <n v="1"/>
    <n v="0"/>
    <s v="Unnamed ProjectAssemblerNumber ScheduledResource"/>
    <n v="10"/>
    <n v="0.476190476190476"/>
    <n v="0"/>
    <n v="0.95"/>
    <n v="0"/>
    <n v="0.476190476190476"/>
    <n v="0.476190476190476"/>
    <n v="0"/>
  </r>
  <r>
    <x v="0"/>
    <s v="2025-12-30 22:09:11"/>
    <n v="10"/>
    <x v="1"/>
    <x v="3"/>
    <x v="1"/>
    <n v="1.84322970756967"/>
    <n v="3E+20"/>
    <n v="0"/>
    <n v="5"/>
    <n v="1"/>
    <n v="0"/>
    <s v="Unnamed ProjectAssembly Batch.QueueNumber WaitingQueue"/>
    <n v="10"/>
    <n v="1.983224619189873"/>
    <n v="0.29990249131557767"/>
    <n v="0.95"/>
    <n v="0.21453731828040576"/>
    <n v="1.4478959937017499"/>
    <n v="2.3267973127516899"/>
    <n v="0.21453731828040576"/>
  </r>
  <r>
    <x v="0"/>
    <s v="2025-12-30 22:09:11"/>
    <n v="10"/>
    <x v="2"/>
    <x v="3"/>
    <x v="1"/>
    <n v="0.33897923092590798"/>
    <n v="3E+20"/>
    <n v="0"/>
    <n v="2"/>
    <n v="0"/>
    <n v="0"/>
    <s v="Unnamed ProjectBatch 2.QueueNumber WaitingQueue"/>
    <n v="10"/>
    <n v="0.47900820660242172"/>
    <n v="0.13717282935395095"/>
    <n v="0.95"/>
    <n v="9.8127530789884315E-2"/>
    <n v="0.25584390949740998"/>
    <n v="0.66613303676888702"/>
    <n v="9.8127530789884315E-2"/>
  </r>
  <r>
    <x v="0"/>
    <s v="2025-12-30 22:09:11"/>
    <n v="10"/>
    <x v="3"/>
    <x v="3"/>
    <x v="1"/>
    <n v="0.344960112655189"/>
    <n v="3E+20"/>
    <n v="0"/>
    <n v="2"/>
    <n v="1"/>
    <n v="0"/>
    <s v="Unnamed ProjectBatch 3.QueueNumber WaitingQueue"/>
    <n v="10"/>
    <n v="0.41775820490048837"/>
    <n v="0.15099462697666188"/>
    <n v="0.95"/>
    <n v="0.1080150491722195"/>
    <n v="0.25632285648643699"/>
    <n v="0.68422762922173497"/>
    <n v="0.1080150491722195"/>
  </r>
  <r>
    <x v="0"/>
    <s v="2025-12-30 22:09:11"/>
    <n v="10"/>
    <x v="4"/>
    <x v="4"/>
    <x v="2"/>
    <n v="17.735004160111099"/>
    <n v="2E+20"/>
    <n v="0"/>
    <n v="116"/>
    <n v="0"/>
    <n v="0"/>
    <s v="Unnamed ProjectCustomerWIPEntity"/>
    <n v="10"/>
    <n v="17.583529006307167"/>
    <n v="4.1660214616007023"/>
    <n v="0.95"/>
    <n v="2.9801922229780646"/>
    <n v="10.842462759184199"/>
    <n v="25.8699848535447"/>
    <n v="2.9801922229780646"/>
  </r>
  <r>
    <x v="0"/>
    <s v="2025-12-30 22:09:11"/>
    <n v="10"/>
    <x v="5"/>
    <x v="4"/>
    <x v="2"/>
    <n v="101.740009668282"/>
    <n v="3E+20"/>
    <n v="0"/>
    <n v="193"/>
    <n v="193"/>
    <n v="0"/>
    <s v="Unnamed ProjectEntity 1WIPEntity"/>
    <n v="10"/>
    <n v="95.041511376368575"/>
    <n v="6.556289254191463"/>
    <n v="0.95"/>
    <n v="4.6900867955271215"/>
    <n v="81.860988802888798"/>
    <n v="104.034812219697"/>
    <n v="4.6900867955271215"/>
  </r>
  <r>
    <x v="0"/>
    <s v="2025-12-30 22:09:11"/>
    <n v="10"/>
    <x v="6"/>
    <x v="4"/>
    <x v="2"/>
    <n v="958.91659787825904"/>
    <n v="3E+20"/>
    <n v="0"/>
    <n v="1853"/>
    <n v="1853"/>
    <n v="0"/>
    <s v="Unnamed ProjectEntity 2WIPEntity"/>
    <n v="10"/>
    <n v="959.25249800465133"/>
    <n v="16.228386811509871"/>
    <n v="0.95"/>
    <n v="11.609088578376843"/>
    <n v="935.21729677519602"/>
    <n v="986.61029939527498"/>
    <n v="11.609088578376843"/>
  </r>
  <r>
    <x v="0"/>
    <s v="2025-12-30 22:09:11"/>
    <n v="10"/>
    <x v="7"/>
    <x v="4"/>
    <x v="2"/>
    <n v="4207.2753748662199"/>
    <n v="3E+20"/>
    <n v="0"/>
    <n v="8121"/>
    <n v="8121"/>
    <n v="0"/>
    <s v="Unnamed ProjectEntity 3WIPEntity"/>
    <n v="10"/>
    <n v="4203.5615331875215"/>
    <n v="17.695322227060075"/>
    <n v="0.95"/>
    <n v="12.658470958503626"/>
    <n v="4170.1494074333395"/>
    <n v="4233.0569788620896"/>
    <n v="12.658470958503626"/>
  </r>
  <r>
    <x v="0"/>
    <s v="2025-12-30 22:09:11"/>
    <n v="10"/>
    <x v="8"/>
    <x v="0"/>
    <x v="0"/>
    <n v="0.550753639344426"/>
    <n v="3E+20"/>
    <n v="0"/>
    <n v="1"/>
    <n v="1"/>
    <n v="0"/>
    <s v="Unnamed ProjectKanban L1S1Instantaneous UtilizationResource"/>
    <n v="10"/>
    <n v="0.48160620907873086"/>
    <n v="8.6686321722355061E-2"/>
    <n v="0.95"/>
    <n v="6.2011658897281531E-2"/>
    <n v="0.292184201252493"/>
    <n v="0.57167989674475905"/>
    <n v="6.2011658897281531E-2"/>
  </r>
  <r>
    <x v="0"/>
    <s v="2025-12-30 22:09:11"/>
    <n v="10"/>
    <x v="8"/>
    <x v="1"/>
    <x v="0"/>
    <n v="2.2030145573777"/>
    <n v="3E+20"/>
    <n v="0"/>
    <n v="4"/>
    <n v="4"/>
    <n v="0"/>
    <s v="Unnamed ProjectKanban L1S1Number BusyResource"/>
    <n v="10"/>
    <n v="1.9264248363149217"/>
    <n v="0.34674528688941914"/>
    <n v="0.95"/>
    <n v="0.24804663558912532"/>
    <n v="1.16873680500997"/>
    <n v="2.28671958697903"/>
    <n v="0.24804663558912532"/>
  </r>
  <r>
    <x v="0"/>
    <s v="2025-12-30 22:09:11"/>
    <n v="10"/>
    <x v="8"/>
    <x v="2"/>
    <x v="0"/>
    <n v="4"/>
    <n v="2E+20"/>
    <n v="4"/>
    <n v="4"/>
    <n v="4"/>
    <n v="0"/>
    <s v="Unnamed ProjectKanban L1S1Number ScheduledResource"/>
    <n v="10"/>
    <n v="4"/>
    <n v="0"/>
    <n v="0.95"/>
    <n v="0"/>
    <n v="4"/>
    <n v="4"/>
    <n v="0"/>
  </r>
  <r>
    <x v="0"/>
    <s v="2025-12-30 22:09:11"/>
    <n v="10"/>
    <x v="9"/>
    <x v="0"/>
    <x v="0"/>
    <n v="0.29666542624047698"/>
    <n v="3E+20"/>
    <n v="0"/>
    <n v="1"/>
    <n v="0.33333333333333298"/>
    <n v="0"/>
    <s v="Unnamed ProjectKanban L1S2Instantaneous UtilizationResource"/>
    <n v="10"/>
    <n v="0.25269289312392118"/>
    <n v="4.9214010083081669E-2"/>
    <n v="0.95"/>
    <n v="3.5205581983442397E-2"/>
    <n v="0.20500025225945401"/>
    <n v="0.33570777662711199"/>
    <n v="3.5205581983442397E-2"/>
  </r>
  <r>
    <x v="0"/>
    <s v="2025-12-30 22:09:11"/>
    <n v="10"/>
    <x v="9"/>
    <x v="1"/>
    <x v="0"/>
    <n v="0.88999627872143505"/>
    <n v="3E+20"/>
    <n v="0"/>
    <n v="3"/>
    <n v="1"/>
    <n v="0"/>
    <s v="Unnamed ProjectKanban L1S2Number BusyResource"/>
    <n v="10"/>
    <n v="0.75807867937176476"/>
    <n v="0.14764203024924766"/>
    <n v="0.95"/>
    <n v="0.10561674595032908"/>
    <n v="0.61500075677836796"/>
    <n v="1.00712332988134"/>
    <n v="0.10561674595032908"/>
  </r>
  <r>
    <x v="0"/>
    <s v="2025-12-30 22:09:11"/>
    <n v="10"/>
    <x v="9"/>
    <x v="2"/>
    <x v="0"/>
    <n v="3"/>
    <n v="2E+20"/>
    <n v="3"/>
    <n v="3"/>
    <n v="3"/>
    <n v="0"/>
    <s v="Unnamed ProjectKanban L1S2Number ScheduledResource"/>
    <n v="10"/>
    <n v="3"/>
    <n v="0"/>
    <n v="0.95"/>
    <n v="0"/>
    <n v="3"/>
    <n v="3"/>
    <n v="0"/>
  </r>
  <r>
    <x v="0"/>
    <s v="2025-12-30 22:09:11"/>
    <n v="10"/>
    <x v="10"/>
    <x v="0"/>
    <x v="0"/>
    <n v="0.15134711042770499"/>
    <n v="3E+20"/>
    <n v="0"/>
    <n v="0.66666666666666696"/>
    <n v="0"/>
    <n v="0"/>
    <s v="Unnamed ProjectKanban L1S3Instantaneous UtilizationResource"/>
    <n v="10"/>
    <n v="0.151561654865698"/>
    <n v="1.2198256688154243E-4"/>
    <n v="0.95"/>
    <n v="8.7261071626739862E-5"/>
    <n v="0.15134711042770499"/>
    <n v="0.15172806047441101"/>
    <n v="8.7261071626739862E-5"/>
  </r>
  <r>
    <x v="0"/>
    <s v="2025-12-30 22:09:11"/>
    <n v="10"/>
    <x v="10"/>
    <x v="1"/>
    <x v="0"/>
    <n v="0.45404133128311103"/>
    <n v="3E+20"/>
    <n v="0"/>
    <n v="2"/>
    <n v="0"/>
    <n v="0"/>
    <s v="Unnamed ProjectKanban L1S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10"/>
    <x v="10"/>
    <x v="2"/>
    <x v="0"/>
    <n v="3"/>
    <n v="2E+20"/>
    <n v="3"/>
    <n v="3"/>
    <n v="3"/>
    <n v="0"/>
    <s v="Unnamed ProjectKanban L1S3Number ScheduledResource"/>
    <n v="10"/>
    <n v="3"/>
    <n v="0"/>
    <n v="0.95"/>
    <n v="0"/>
    <n v="3"/>
    <n v="3"/>
    <n v="0"/>
  </r>
  <r>
    <x v="0"/>
    <s v="2025-12-30 22:09:11"/>
    <n v="10"/>
    <x v="11"/>
    <x v="0"/>
    <x v="0"/>
    <n v="0.76800145485650095"/>
    <n v="2E+20"/>
    <n v="0"/>
    <n v="1"/>
    <n v="0.5"/>
    <n v="0"/>
    <s v="Unnamed ProjectKanban L2S1Instantaneous UtilizationResource"/>
    <n v="10"/>
    <n v="0.84558522180863771"/>
    <n v="0.11694354024491282"/>
    <n v="0.95"/>
    <n v="8.3656369122856733E-2"/>
    <n v="0.625269422960122"/>
    <n v="0.95234896906597499"/>
    <n v="8.3656369122856733E-2"/>
  </r>
  <r>
    <x v="0"/>
    <s v="2025-12-30 22:09:11"/>
    <n v="10"/>
    <x v="11"/>
    <x v="1"/>
    <x v="0"/>
    <n v="1.5360029097129999"/>
    <n v="2E+20"/>
    <n v="0"/>
    <n v="2"/>
    <n v="1"/>
    <n v="0"/>
    <s v="Unnamed ProjectKanban L2S1Number BusyResource"/>
    <n v="10"/>
    <n v="1.6911704436172748"/>
    <n v="0.23388708048982901"/>
    <n v="0.95"/>
    <n v="0.16731273824571591"/>
    <n v="1.25053884592024"/>
    <n v="1.90469793813195"/>
    <n v="0.16731273824571591"/>
  </r>
  <r>
    <x v="0"/>
    <s v="2025-12-30 22:09:11"/>
    <n v="10"/>
    <x v="11"/>
    <x v="2"/>
    <x v="0"/>
    <n v="2"/>
    <n v="2E+20"/>
    <n v="2"/>
    <n v="2"/>
    <n v="2"/>
    <n v="0"/>
    <s v="Unnamed ProjectKanban L2S1Number ScheduledResource"/>
    <n v="10"/>
    <n v="2"/>
    <n v="0"/>
    <n v="0.95"/>
    <n v="0"/>
    <n v="2"/>
    <n v="2"/>
    <n v="0"/>
  </r>
  <r>
    <x v="0"/>
    <s v="2025-12-30 22:09:11"/>
    <n v="10"/>
    <x v="12"/>
    <x v="0"/>
    <x v="0"/>
    <n v="0.87728997349342996"/>
    <n v="2E+20"/>
    <n v="0"/>
    <n v="1"/>
    <n v="0.8"/>
    <n v="0"/>
    <s v="Unnamed ProjectKanban L2S2Instantaneous UtilizationResource"/>
    <n v="10"/>
    <n v="0.74077431571180252"/>
    <n v="6.1280007141723249E-2"/>
    <n v="0.95"/>
    <n v="4.3837076306763374E-2"/>
    <n v="0.67060354368791797"/>
    <n v="0.87728997349342996"/>
    <n v="4.3837076306763374E-2"/>
  </r>
  <r>
    <x v="0"/>
    <s v="2025-12-30 22:09:11"/>
    <n v="10"/>
    <x v="12"/>
    <x v="1"/>
    <x v="0"/>
    <n v="4.3864498674671397"/>
    <n v="2E+20"/>
    <n v="0"/>
    <n v="5"/>
    <n v="4"/>
    <n v="0"/>
    <s v="Unnamed ProjectKanban L2S2Number BusyResource"/>
    <n v="10"/>
    <n v="3.7038715785590122"/>
    <n v="0.30640003570861163"/>
    <n v="0.95"/>
    <n v="0.21918538153381359"/>
    <n v="3.35301771843959"/>
    <n v="4.3864498674671397"/>
    <n v="0.21918538153381359"/>
  </r>
  <r>
    <x v="0"/>
    <s v="2025-12-30 22:09:11"/>
    <n v="10"/>
    <x v="12"/>
    <x v="2"/>
    <x v="0"/>
    <n v="5"/>
    <n v="2E+20"/>
    <n v="5"/>
    <n v="5"/>
    <n v="5"/>
    <n v="0"/>
    <s v="Unnamed ProjectKanban L2S2Number ScheduledResource"/>
    <n v="10"/>
    <n v="5"/>
    <n v="0"/>
    <n v="0.95"/>
    <n v="0"/>
    <n v="5"/>
    <n v="5"/>
    <n v="0"/>
  </r>
  <r>
    <x v="0"/>
    <s v="2025-12-30 22:09:11"/>
    <n v="10"/>
    <x v="13"/>
    <x v="0"/>
    <x v="0"/>
    <n v="0.36555656561218303"/>
    <n v="3E+20"/>
    <n v="0"/>
    <n v="0.5"/>
    <n v="0.5"/>
    <n v="0"/>
    <s v="Unnamed ProjectKanban L2S3Instantaneous UtilizationResource"/>
    <n v="10"/>
    <n v="0.52391445815006699"/>
    <n v="7.0460308415606909E-2"/>
    <n v="0.95"/>
    <n v="5.0404268221927347E-2"/>
    <n v="0.36555656561218303"/>
    <n v="0.59886206518967"/>
    <n v="5.0404268221927347E-2"/>
  </r>
  <r>
    <x v="0"/>
    <s v="2025-12-30 22:09:11"/>
    <n v="10"/>
    <x v="13"/>
    <x v="1"/>
    <x v="0"/>
    <n v="1.4622262624487301"/>
    <n v="3E+20"/>
    <n v="0"/>
    <n v="2"/>
    <n v="2"/>
    <n v="0"/>
    <s v="Unnamed ProjectKanban L2S3Number BusyResource"/>
    <n v="10"/>
    <n v="2.0956578326002671"/>
    <n v="0.28184123366242902"/>
    <n v="0.95"/>
    <n v="0.20161707288771036"/>
    <n v="1.4622262624487301"/>
    <n v="2.39544826075868"/>
    <n v="0.20161707288771036"/>
  </r>
  <r>
    <x v="0"/>
    <s v="2025-12-30 22:09:11"/>
    <n v="10"/>
    <x v="13"/>
    <x v="2"/>
    <x v="0"/>
    <n v="4"/>
    <n v="2E+20"/>
    <n v="4"/>
    <n v="4"/>
    <n v="4"/>
    <n v="0"/>
    <s v="Unnamed ProjectKanban L2S3Number ScheduledResource"/>
    <n v="10"/>
    <n v="4"/>
    <n v="0"/>
    <n v="0.95"/>
    <n v="0"/>
    <n v="4"/>
    <n v="4"/>
    <n v="0"/>
  </r>
  <r>
    <x v="0"/>
    <s v="2025-12-30 22:09:11"/>
    <n v="10"/>
    <x v="14"/>
    <x v="0"/>
    <x v="0"/>
    <n v="0.149575791309499"/>
    <n v="3E+20"/>
    <n v="0"/>
    <n v="1"/>
    <n v="0"/>
    <n v="0"/>
    <s v="Unnamed ProjectKanban L2S4Instantaneous UtilizationResource"/>
    <n v="10"/>
    <n v="0.14955853655775292"/>
    <n v="1.8487754554887928E-4"/>
    <n v="0.95"/>
    <n v="1.3225342896729691E-4"/>
    <n v="0.14921189842985499"/>
    <n v="0.14985050053976801"/>
    <n v="1.3225342896729691E-4"/>
  </r>
  <r>
    <x v="0"/>
    <s v="2025-12-30 22:09:11"/>
    <n v="10"/>
    <x v="14"/>
    <x v="1"/>
    <x v="0"/>
    <n v="0.29915158261899799"/>
    <n v="3E+20"/>
    <n v="0"/>
    <n v="2"/>
    <n v="0"/>
    <n v="0"/>
    <s v="Unnamed ProjectKanban L2S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10"/>
    <x v="14"/>
    <x v="2"/>
    <x v="0"/>
    <n v="2"/>
    <n v="2E+20"/>
    <n v="2"/>
    <n v="2"/>
    <n v="2"/>
    <n v="0"/>
    <s v="Unnamed ProjectKanban L2S4Number ScheduledResource"/>
    <n v="10"/>
    <n v="2"/>
    <n v="0"/>
    <n v="0.95"/>
    <n v="0"/>
    <n v="2"/>
    <n v="2"/>
    <n v="0"/>
  </r>
  <r>
    <x v="0"/>
    <s v="2025-12-30 22:09:11"/>
    <n v="10"/>
    <x v="15"/>
    <x v="0"/>
    <x v="0"/>
    <n v="0.80781939617604404"/>
    <n v="3E+20"/>
    <n v="0"/>
    <n v="1"/>
    <n v="0.6"/>
    <n v="0"/>
    <s v="Unnamed ProjectKanban L3S1Instantaneous UtilizationResource"/>
    <n v="10"/>
    <n v="0.78490250681152507"/>
    <n v="0.11345978752761832"/>
    <n v="0.95"/>
    <n v="8.1164242557846045E-2"/>
    <n v="0.58338388917401696"/>
    <n v="0.90111632059041802"/>
    <n v="8.1164242557846045E-2"/>
  </r>
  <r>
    <x v="0"/>
    <s v="2025-12-30 22:09:11"/>
    <n v="10"/>
    <x v="15"/>
    <x v="1"/>
    <x v="0"/>
    <n v="4.0390969808802497"/>
    <n v="3E+20"/>
    <n v="0"/>
    <n v="5"/>
    <n v="3"/>
    <n v="0"/>
    <s v="Unnamed ProjectKanban L3S1Number BusyResource"/>
    <n v="10"/>
    <n v="3.9245125340576221"/>
    <n v="0.56729893763807904"/>
    <n v="0.95"/>
    <n v="0.40582121278922129"/>
    <n v="2.91691944587008"/>
    <n v="4.5055816029520903"/>
    <n v="0.40582121278922129"/>
  </r>
  <r>
    <x v="0"/>
    <s v="2025-12-30 22:09:11"/>
    <n v="10"/>
    <x v="15"/>
    <x v="2"/>
    <x v="0"/>
    <n v="5"/>
    <n v="2E+20"/>
    <n v="5"/>
    <n v="5"/>
    <n v="5"/>
    <n v="0"/>
    <s v="Unnamed ProjectKanban L3S1Number ScheduledResource"/>
    <n v="10"/>
    <n v="5"/>
    <n v="0"/>
    <n v="0.95"/>
    <n v="0"/>
    <n v="5"/>
    <n v="5"/>
    <n v="0"/>
  </r>
  <r>
    <x v="0"/>
    <s v="2025-12-30 22:09:11"/>
    <n v="10"/>
    <x v="16"/>
    <x v="0"/>
    <x v="0"/>
    <n v="0.15879494389172899"/>
    <n v="2E+20"/>
    <n v="0"/>
    <n v="0.66666666666666696"/>
    <n v="0"/>
    <n v="0"/>
    <s v="Unnamed ProjectKanban L3S2Instantaneous UtilizationResource"/>
    <n v="10"/>
    <n v="0.15879210791146137"/>
    <n v="8.8786593845171554E-6"/>
    <n v="0.95"/>
    <n v="6.3514103064755986E-6"/>
    <n v="0.15877821852350199"/>
    <n v="0.15880443244107401"/>
    <n v="6.3514103064755986E-6"/>
  </r>
  <r>
    <x v="0"/>
    <s v="2025-12-30 22:09:11"/>
    <n v="10"/>
    <x v="16"/>
    <x v="1"/>
    <x v="0"/>
    <n v="0.47638483167518703"/>
    <n v="2E+20"/>
    <n v="0"/>
    <n v="2"/>
    <n v="0"/>
    <n v="0"/>
    <s v="Unnamed ProjectKanban L3S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10"/>
    <x v="16"/>
    <x v="2"/>
    <x v="0"/>
    <n v="3"/>
    <n v="2E+20"/>
    <n v="3"/>
    <n v="3"/>
    <n v="3"/>
    <n v="0"/>
    <s v="Unnamed ProjectKanban L3S2Number ScheduledResource"/>
    <n v="10"/>
    <n v="3"/>
    <n v="0"/>
    <n v="0.95"/>
    <n v="0"/>
    <n v="3"/>
    <n v="3"/>
    <n v="0"/>
  </r>
  <r>
    <x v="0"/>
    <s v="2025-12-30 22:09:11"/>
    <n v="10"/>
    <x v="17"/>
    <x v="0"/>
    <x v="0"/>
    <n v="0.47641475473779799"/>
    <n v="2E+20"/>
    <n v="0"/>
    <n v="1"/>
    <n v="0"/>
    <n v="0"/>
    <s v="Unnamed ProjectL1 Station1Instantaneous Utilization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10"/>
    <x v="17"/>
    <x v="1"/>
    <x v="0"/>
    <n v="0.47641475473779799"/>
    <n v="2E+20"/>
    <n v="0"/>
    <n v="1"/>
    <n v="0"/>
    <n v="0"/>
    <s v="Unnamed ProjectL1 Station1Number BusyResource"/>
    <n v="10"/>
    <n v="0.4764197469396344"/>
    <n v="3.5371692941259857E-5"/>
    <n v="0.95"/>
    <n v="2.530338482140405E-5"/>
    <n v="0.47638046343127"/>
    <n v="0.47647340349894202"/>
    <n v="2.530338482140405E-5"/>
  </r>
  <r>
    <x v="0"/>
    <s v="2025-12-30 22:09:11"/>
    <n v="10"/>
    <x v="17"/>
    <x v="2"/>
    <x v="0"/>
    <n v="0.476190476190476"/>
    <n v="2E+20"/>
    <n v="0"/>
    <n v="1"/>
    <n v="0"/>
    <n v="0"/>
    <s v="Unnamed ProjectL1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10"/>
    <x v="18"/>
    <x v="0"/>
    <x v="0"/>
    <n v="0.346277691470808"/>
    <n v="3E+20"/>
    <n v="0"/>
    <n v="1"/>
    <n v="0"/>
    <n v="0"/>
    <s v="Unnamed ProjectL1 Station2Instantaneous Utilization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10"/>
    <x v="18"/>
    <x v="1"/>
    <x v="0"/>
    <n v="0.346277691470808"/>
    <n v="3E+20"/>
    <n v="0"/>
    <n v="1"/>
    <n v="0"/>
    <n v="0"/>
    <s v="Unnamed ProjectL1 Station2Number BusyResource"/>
    <n v="10"/>
    <n v="0.34662188147997436"/>
    <n v="3.3737287704900277E-4"/>
    <n v="0.95"/>
    <n v="2.4134201748419608E-4"/>
    <n v="0.34602746258727701"/>
    <n v="0.34712505386175102"/>
    <n v="2.4134201748419608E-4"/>
  </r>
  <r>
    <x v="0"/>
    <s v="2025-12-30 22:09:11"/>
    <n v="10"/>
    <x v="18"/>
    <x v="2"/>
    <x v="0"/>
    <n v="0.476190476190476"/>
    <n v="2E+20"/>
    <n v="0"/>
    <n v="1"/>
    <n v="0"/>
    <n v="0"/>
    <s v="Unnamed ProjectL1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10"/>
    <x v="19"/>
    <x v="0"/>
    <x v="0"/>
    <n v="0.45404133128311103"/>
    <n v="3E+20"/>
    <n v="0"/>
    <n v="1"/>
    <n v="0"/>
    <n v="0"/>
    <s v="Unnamed ProjectL1 Station3Instantaneous Utilization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10"/>
    <x v="19"/>
    <x v="1"/>
    <x v="0"/>
    <n v="0.45404133128311103"/>
    <n v="3E+20"/>
    <n v="0"/>
    <n v="1"/>
    <n v="0"/>
    <n v="0"/>
    <s v="Unnamed ProjectL1 Station3Number BusyResource"/>
    <n v="10"/>
    <n v="0.45468496459709407"/>
    <n v="3.659477006456115E-4"/>
    <n v="0.95"/>
    <n v="2.6178321488092363E-4"/>
    <n v="0.45404133128311103"/>
    <n v="0.45518418142323402"/>
    <n v="2.6178321488092363E-4"/>
  </r>
  <r>
    <x v="0"/>
    <s v="2025-12-30 22:09:11"/>
    <n v="10"/>
    <x v="19"/>
    <x v="2"/>
    <x v="0"/>
    <n v="0.476190476190476"/>
    <n v="2E+20"/>
    <n v="0"/>
    <n v="1"/>
    <n v="0"/>
    <n v="0"/>
    <s v="Unnamed ProjectL1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10"/>
    <x v="20"/>
    <x v="0"/>
    <x v="0"/>
    <n v="0.231263971105094"/>
    <n v="3E+20"/>
    <n v="0"/>
    <n v="1"/>
    <n v="0"/>
    <n v="0"/>
    <s v="Unnamed ProjectL2 Station1Instantaneous Utilization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10"/>
    <x v="20"/>
    <x v="1"/>
    <x v="0"/>
    <n v="0.231263971105094"/>
    <n v="3E+20"/>
    <n v="0"/>
    <n v="1"/>
    <n v="0"/>
    <n v="0"/>
    <s v="Unnamed ProjectL2 Station1Number BusyResource"/>
    <n v="10"/>
    <n v="0.2315355197220621"/>
    <n v="3.4564442771367425E-4"/>
    <n v="0.95"/>
    <n v="2.4725912837525509E-4"/>
    <n v="0.230969532572807"/>
    <n v="0.23202343200723599"/>
    <n v="2.4725912837525509E-4"/>
  </r>
  <r>
    <x v="0"/>
    <s v="2025-12-30 22:09:11"/>
    <n v="10"/>
    <x v="20"/>
    <x v="2"/>
    <x v="0"/>
    <n v="0.476190476190476"/>
    <n v="2E+20"/>
    <n v="0"/>
    <n v="1"/>
    <n v="0"/>
    <n v="0"/>
    <s v="Unnamed ProjectL2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10"/>
    <x v="21"/>
    <x v="0"/>
    <x v="0"/>
    <n v="0.271979535431421"/>
    <n v="3E+20"/>
    <n v="0"/>
    <n v="1"/>
    <n v="0"/>
    <n v="0"/>
    <s v="Unnamed ProjectL2 Station2Instantaneous Utilization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10"/>
    <x v="21"/>
    <x v="1"/>
    <x v="0"/>
    <n v="0.271979535431421"/>
    <n v="3E+20"/>
    <n v="0"/>
    <n v="1"/>
    <n v="0"/>
    <n v="0"/>
    <s v="Unnamed ProjectL2 Station2Number BusyResource"/>
    <n v="10"/>
    <n v="0.2723617123524753"/>
    <n v="2.4140902383723299E-4"/>
    <n v="0.95"/>
    <n v="1.7269361236560142E-4"/>
    <n v="0.271979535431421"/>
    <n v="0.27283313106114998"/>
    <n v="1.7269361236560142E-4"/>
  </r>
  <r>
    <x v="0"/>
    <s v="2025-12-30 22:09:11"/>
    <n v="10"/>
    <x v="21"/>
    <x v="2"/>
    <x v="0"/>
    <n v="0.476190476190476"/>
    <n v="2E+20"/>
    <n v="0"/>
    <n v="1"/>
    <n v="0"/>
    <n v="0"/>
    <s v="Unnamed ProjectL2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10"/>
    <x v="22"/>
    <x v="0"/>
    <x v="0"/>
    <n v="0.47638064187318102"/>
    <n v="2E+20"/>
    <n v="0"/>
    <n v="1"/>
    <n v="0"/>
    <n v="0"/>
    <s v="Unnamed ProjectL2 Station3Instantaneous UtilizationResource"/>
    <n v="10"/>
    <n v="0.47640752107427203"/>
    <n v="7.9809559904816854E-5"/>
    <n v="0.95"/>
    <n v="5.7092319840390197E-5"/>
    <n v="0.47622171379262102"/>
    <n v="0.47651577494330499"/>
    <n v="5.7092319840390197E-5"/>
  </r>
  <r>
    <x v="0"/>
    <s v="2025-12-30 22:09:11"/>
    <n v="10"/>
    <x v="22"/>
    <x v="1"/>
    <x v="0"/>
    <n v="0.47638064187318102"/>
    <n v="2E+20"/>
    <n v="0"/>
    <n v="1"/>
    <n v="0"/>
    <n v="0"/>
    <s v="Unnamed ProjectL2 Station3Number BusyResource"/>
    <n v="10"/>
    <n v="0.47640752107427209"/>
    <n v="7.980955990487845E-5"/>
    <n v="0.95"/>
    <n v="5.7092319840434263E-5"/>
    <n v="0.47622171379262102"/>
    <n v="0.47651577494330499"/>
    <n v="5.7092319840434263E-5"/>
  </r>
  <r>
    <x v="0"/>
    <s v="2025-12-30 22:09:11"/>
    <n v="10"/>
    <x v="22"/>
    <x v="2"/>
    <x v="0"/>
    <n v="0.476190476190476"/>
    <n v="2E+20"/>
    <n v="0"/>
    <n v="1"/>
    <n v="0"/>
    <n v="0"/>
    <s v="Unnamed ProjectL2 Station3Number ScheduledResource"/>
    <n v="10"/>
    <n v="0.476190476190476"/>
    <n v="0"/>
    <n v="0.95"/>
    <n v="0"/>
    <n v="0.476190476190476"/>
    <n v="0.476190476190476"/>
    <n v="0"/>
  </r>
  <r>
    <x v="0"/>
    <s v="2025-12-30 22:09:11"/>
    <n v="10"/>
    <x v="23"/>
    <x v="0"/>
    <x v="0"/>
    <n v="0.29915158261899799"/>
    <n v="3E+20"/>
    <n v="0"/>
    <n v="1"/>
    <n v="0"/>
    <n v="0"/>
    <s v="Unnamed ProjectL2 Station4Instantaneous Utilization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10"/>
    <x v="23"/>
    <x v="1"/>
    <x v="0"/>
    <n v="0.29915158261899799"/>
    <n v="3E+20"/>
    <n v="0"/>
    <n v="1"/>
    <n v="0"/>
    <n v="0"/>
    <s v="Unnamed ProjectL2 Station4Number BusyResource"/>
    <n v="10"/>
    <n v="0.29911707311550589"/>
    <n v="3.6975509109788047E-4"/>
    <n v="0.95"/>
    <n v="2.6450685793468105E-4"/>
    <n v="0.29842379685970999"/>
    <n v="0.29970100107953501"/>
    <n v="2.6450685793468105E-4"/>
  </r>
  <r>
    <x v="0"/>
    <s v="2025-12-30 22:09:11"/>
    <n v="10"/>
    <x v="23"/>
    <x v="2"/>
    <x v="0"/>
    <n v="0.476190476190476"/>
    <n v="2E+20"/>
    <n v="0"/>
    <n v="1"/>
    <n v="0"/>
    <n v="0"/>
    <s v="Unnamed ProjectL2 Station4Number ScheduledResource"/>
    <n v="10"/>
    <n v="0.476190476190476"/>
    <n v="0"/>
    <n v="0.95"/>
    <n v="0"/>
    <n v="0.476190476190476"/>
    <n v="0.476190476190476"/>
    <n v="0"/>
  </r>
  <r>
    <x v="0"/>
    <s v="2025-12-30 22:09:11"/>
    <n v="10"/>
    <x v="24"/>
    <x v="0"/>
    <x v="0"/>
    <n v="0.45550004981449399"/>
    <n v="3E+20"/>
    <n v="0"/>
    <n v="1"/>
    <n v="0"/>
    <n v="0"/>
    <s v="Unnamed ProjectL3 Station1Instantaneous Utilization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10"/>
    <x v="24"/>
    <x v="1"/>
    <x v="0"/>
    <n v="0.45550004981449399"/>
    <n v="3E+20"/>
    <n v="0"/>
    <n v="1"/>
    <n v="0"/>
    <n v="0"/>
    <s v="Unnamed ProjectL3 Station1Number BusyResource"/>
    <n v="10"/>
    <n v="0.45612135268523524"/>
    <n v="3.3701349808805007E-4"/>
    <n v="0.95"/>
    <n v="2.4108493326261801E-4"/>
    <n v="0.45550004981449399"/>
    <n v="0.45652258337600798"/>
    <n v="2.4108493326261801E-4"/>
  </r>
  <r>
    <x v="0"/>
    <s v="2025-12-30 22:09:11"/>
    <n v="10"/>
    <x v="24"/>
    <x v="2"/>
    <x v="0"/>
    <n v="0.476190476190476"/>
    <n v="2E+20"/>
    <n v="0"/>
    <n v="1"/>
    <n v="0"/>
    <n v="0"/>
    <s v="Unnamed ProjectL3 Station1Number ScheduledResource"/>
    <n v="10"/>
    <n v="0.476190476190476"/>
    <n v="0"/>
    <n v="0.95"/>
    <n v="0"/>
    <n v="0.476190476190476"/>
    <n v="0.476190476190476"/>
    <n v="0"/>
  </r>
  <r>
    <x v="0"/>
    <s v="2025-12-30 22:09:11"/>
    <n v="10"/>
    <x v="25"/>
    <x v="0"/>
    <x v="0"/>
    <n v="0.47638483167518703"/>
    <n v="2E+20"/>
    <n v="0"/>
    <n v="1"/>
    <n v="0"/>
    <n v="0"/>
    <s v="Unnamed ProjectL3 Station2Instantaneous UtilizationResource"/>
    <n v="10"/>
    <n v="0.47637632373438449"/>
    <n v="2.6635978153163645E-5"/>
    <n v="0.95"/>
    <n v="1.9054230919149366E-5"/>
    <n v="0.47633465557050603"/>
    <n v="0.47641329732322302"/>
    <n v="1.9054230919149366E-5"/>
  </r>
  <r>
    <x v="0"/>
    <s v="2025-12-30 22:09:11"/>
    <n v="10"/>
    <x v="25"/>
    <x v="1"/>
    <x v="0"/>
    <n v="0.47638483167518703"/>
    <n v="2E+20"/>
    <n v="0"/>
    <n v="1"/>
    <n v="0"/>
    <n v="0"/>
    <s v="Unnamed ProjectL3 Station2Number BusyResource"/>
    <n v="10"/>
    <n v="0.47637632373438443"/>
    <n v="2.6635978153259248E-5"/>
    <n v="0.95"/>
    <n v="1.9054230919217752E-5"/>
    <n v="0.47633465557050603"/>
    <n v="0.47641329732322302"/>
    <n v="1.9054230919217752E-5"/>
  </r>
  <r>
    <x v="0"/>
    <s v="2025-12-30 22:09:11"/>
    <n v="10"/>
    <x v="25"/>
    <x v="2"/>
    <x v="0"/>
    <n v="0.476190476190476"/>
    <n v="2E+20"/>
    <n v="0"/>
    <n v="1"/>
    <n v="0"/>
    <n v="0"/>
    <s v="Unnamed ProjectL3 Station2Number ScheduledResource"/>
    <n v="10"/>
    <n v="0.476190476190476"/>
    <n v="0"/>
    <n v="0.95"/>
    <n v="0"/>
    <n v="0.476190476190476"/>
    <n v="0.476190476190476"/>
    <n v="0"/>
  </r>
  <r>
    <x v="0"/>
    <s v="2025-12-30 22:09:11"/>
    <n v="10"/>
    <x v="26"/>
    <x v="3"/>
    <x v="1"/>
    <n v="1.9870165110810699E-5"/>
    <n v="2E+20"/>
    <n v="0"/>
    <n v="1"/>
    <n v="0"/>
    <n v="0"/>
    <s v="Unnamed ProjectMatch 1.Queue1Number WaitingQueue"/>
    <n v="10"/>
    <n v="2.9170315053456471E-5"/>
    <n v="7.7933109083950271E-6"/>
    <n v="0.95"/>
    <n v="5.5749987786968959E-6"/>
    <n v="1.80144253291803E-5"/>
    <n v="4.21406992387485E-5"/>
    <n v="5.5749987786968959E-6"/>
  </r>
  <r>
    <x v="0"/>
    <s v="2025-12-30 22:09:11"/>
    <n v="10"/>
    <x v="27"/>
    <x v="3"/>
    <x v="1"/>
    <n v="871.02053857936301"/>
    <n v="3E+20"/>
    <n v="0"/>
    <n v="1686"/>
    <n v="1686"/>
    <n v="0"/>
    <s v="Unnamed ProjectMatch 1.Queue2Number WaitingQueue"/>
    <n v="10"/>
    <n v="867.85098767897125"/>
    <n v="5.9823523640247513"/>
    <n v="0.95"/>
    <n v="4.2795170775550373"/>
    <n v="858.49288388840398"/>
    <n v="875.80608811200398"/>
    <n v="4.2795170775550373"/>
  </r>
  <r>
    <x v="0"/>
    <s v="2025-12-30 22:09:11"/>
    <n v="10"/>
    <x v="28"/>
    <x v="3"/>
    <x v="1"/>
    <n v="1369.62287696882"/>
    <n v="3E+20"/>
    <n v="0"/>
    <n v="2647"/>
    <n v="2647"/>
    <n v="0"/>
    <s v="Unnamed ProjectMatch 1.Queue3Number WaitingQueue"/>
    <n v="10"/>
    <n v="1368.6640709815952"/>
    <n v="5.3961917051273351"/>
    <n v="0.95"/>
    <n v="3.860203002204456"/>
    <n v="1357.5761788714599"/>
    <n v="1375.17190829069"/>
    <n v="3.860203002204456"/>
  </r>
  <r>
    <x v="0"/>
    <s v="2025-12-30 22:09:11"/>
    <n v="10"/>
    <x v="29"/>
    <x v="0"/>
    <x v="0"/>
    <n v="0"/>
    <n v="2E+20"/>
    <n v="0"/>
    <n v="0"/>
    <n v="0"/>
    <n v="0"/>
    <s v="Unnamed ProjectSales DepartmentInstantaneous UtilizationResource"/>
    <n v="10"/>
    <n v="0"/>
    <n v="0"/>
    <n v="0.95"/>
    <n v="0"/>
    <n v="0"/>
    <n v="0"/>
    <n v="0"/>
  </r>
  <r>
    <x v="0"/>
    <s v="2025-12-30 22:09:11"/>
    <n v="10"/>
    <x v="29"/>
    <x v="1"/>
    <x v="0"/>
    <n v="0"/>
    <n v="2E+20"/>
    <n v="0"/>
    <n v="0"/>
    <n v="0"/>
    <n v="0"/>
    <s v="Unnamed ProjectSales DepartmentNumber BusyResource"/>
    <n v="10"/>
    <n v="0"/>
    <n v="0"/>
    <n v="0.95"/>
    <n v="0"/>
    <n v="0"/>
    <n v="0"/>
    <n v="0"/>
  </r>
  <r>
    <x v="0"/>
    <s v="2025-12-30 22:09:11"/>
    <n v="10"/>
    <x v="29"/>
    <x v="2"/>
    <x v="0"/>
    <n v="0.26785714285714302"/>
    <n v="2E+20"/>
    <n v="0"/>
    <n v="1"/>
    <n v="1"/>
    <n v="0"/>
    <s v="Unnamed ProjectSales Department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10"/>
    <x v="30"/>
    <x v="0"/>
    <x v="0"/>
    <n v="8.5790701551474904E-2"/>
    <n v="2E+20"/>
    <n v="0"/>
    <n v="1"/>
    <n v="0"/>
    <n v="0"/>
    <s v="Unnamed ProjectSales RepInstantaneous UtilizationResource"/>
    <n v="10"/>
    <n v="8.7684406282387828E-2"/>
    <n v="9.4212906785234151E-3"/>
    <n v="0.95"/>
    <n v="6.7395853500387742E-3"/>
    <n v="7.2143522330073706E-2"/>
    <n v="0.105326430117076"/>
    <n v="6.7395853500387742E-3"/>
  </r>
  <r>
    <x v="0"/>
    <s v="2025-12-30 22:09:11"/>
    <n v="10"/>
    <x v="30"/>
    <x v="1"/>
    <x v="0"/>
    <n v="8.5790701551474904E-2"/>
    <n v="2E+20"/>
    <n v="0"/>
    <n v="1"/>
    <n v="0"/>
    <n v="0"/>
    <s v="Unnamed ProjectSales RepNumber BusyResource"/>
    <n v="10"/>
    <n v="8.7684406282387842E-2"/>
    <n v="9.4212906785234151E-3"/>
    <n v="0.95"/>
    <n v="6.7395853500387742E-3"/>
    <n v="7.2143522330073706E-2"/>
    <n v="0.105326430117076"/>
    <n v="6.7395853500387742E-3"/>
  </r>
  <r>
    <x v="0"/>
    <s v="2025-12-30 22:09:11"/>
    <n v="10"/>
    <x v="30"/>
    <x v="2"/>
    <x v="0"/>
    <n v="0.26785714285714302"/>
    <n v="2E+20"/>
    <n v="0"/>
    <n v="1"/>
    <n v="0"/>
    <n v="0"/>
    <s v="Unnamed ProjectSales RepNumber ScheduledResource"/>
    <n v="10"/>
    <n v="0.26785714285714307"/>
    <n v="5.851389114294502E-17"/>
    <n v="0.95"/>
    <n v="4.1858316124321422E-17"/>
    <n v="0.26785714285714302"/>
    <n v="0.26785714285714302"/>
    <n v="4.1858316124321422E-17"/>
  </r>
  <r>
    <x v="0"/>
    <s v="2025-12-30 22:09:11"/>
    <n v="10"/>
    <x v="31"/>
    <x v="3"/>
    <x v="1"/>
    <n v="90.419666116064704"/>
    <n v="2E+20"/>
    <n v="0"/>
    <n v="179"/>
    <n v="179"/>
    <n v="0"/>
    <s v="Unnamed ProjectSeize 1.QueueNumber WaitingQueue"/>
    <n v="10"/>
    <n v="83.474789654582125"/>
    <n v="6.0930686050573728"/>
    <n v="0.95"/>
    <n v="4.358718705180836"/>
    <n v="72.152998246910798"/>
    <n v="91.653675793565498"/>
    <n v="4.358718705180836"/>
  </r>
  <r>
    <x v="0"/>
    <s v="2025-12-30 22:09:11"/>
    <n v="10"/>
    <x v="32"/>
    <x v="3"/>
    <x v="1"/>
    <n v="0.74277857267503899"/>
    <n v="2E+20"/>
    <n v="0"/>
    <n v="2"/>
    <n v="1"/>
    <n v="0"/>
    <s v="Unnamed ProjectSeize 10.QueueNumber WaitingQueue"/>
    <n v="10"/>
    <n v="0.77451739131190445"/>
    <n v="0.14034110421466847"/>
    <n v="0.95"/>
    <n v="0.10039397809151185"/>
    <n v="0.57599630674201496"/>
    <n v="0.944128153448903"/>
    <n v="0.10039397809151185"/>
  </r>
  <r>
    <x v="0"/>
    <s v="2025-12-30 22:09:11"/>
    <n v="10"/>
    <x v="33"/>
    <x v="3"/>
    <x v="1"/>
    <n v="17.649213458559501"/>
    <n v="2E+20"/>
    <n v="0"/>
    <n v="115"/>
    <n v="0"/>
    <n v="0"/>
    <s v="Unnamed ProjectSeize 11.QueueNumber WaitingQueue"/>
    <n v="10"/>
    <n v="17.495844600024782"/>
    <n v="4.1567315260337745"/>
    <n v="0.95"/>
    <n v="2.9735466034142406"/>
    <n v="10.770319236854199"/>
    <n v="25.764658423427701"/>
    <n v="2.9735466034142406"/>
  </r>
  <r>
    <x v="0"/>
    <s v="2025-12-30 22:09:11"/>
    <n v="10"/>
    <x v="34"/>
    <x v="3"/>
    <x v="1"/>
    <n v="1.5104113349724999"/>
    <n v="3E+20"/>
    <n v="0"/>
    <n v="4"/>
    <n v="4"/>
    <n v="0"/>
    <s v="Unnamed ProjectSeize 2.QueueNumber WaitingQueue"/>
    <n v="10"/>
    <n v="1.2334365850159306"/>
    <n v="0.34677877772765942"/>
    <n v="0.95"/>
    <n v="0.24807059349154728"/>
    <n v="0.47601596605360202"/>
    <n v="1.5938052921300001"/>
    <n v="0.24807059349154728"/>
  </r>
  <r>
    <x v="0"/>
    <s v="2025-12-30 22:09:11"/>
    <n v="10"/>
    <x v="35"/>
    <x v="3"/>
    <x v="1"/>
    <n v="0.32760168811335699"/>
    <n v="3E+20"/>
    <n v="0"/>
    <n v="2"/>
    <n v="1"/>
    <n v="0"/>
    <s v="Unnamed ProjectSeize 3.QueueNumber WaitingQueue"/>
    <n v="10"/>
    <n v="0.19501309596936622"/>
    <n v="0.14771852643081365"/>
    <n v="0.95"/>
    <n v="0.10567146802209269"/>
    <n v="5.2203254973614402E-2"/>
    <n v="0.443638473140476"/>
    <n v="0.10567146802209269"/>
  </r>
  <r>
    <x v="0"/>
    <s v="2025-12-30 22:09:11"/>
    <n v="10"/>
    <x v="36"/>
    <x v="3"/>
    <x v="1"/>
    <n v="77.997655468270096"/>
    <n v="3E+20"/>
    <n v="0"/>
    <n v="157"/>
    <n v="157"/>
    <n v="0"/>
    <s v="Unnamed ProjectSeize 4.QueueNumber WaitingQueue"/>
    <n v="10"/>
    <n v="81.226274902651596"/>
    <n v="11.159336682409895"/>
    <n v="0.95"/>
    <n v="7.9829085618136846"/>
    <n v="66.053444809788303"/>
    <n v="100.586340982454"/>
    <n v="7.9829085618136846"/>
  </r>
  <r>
    <x v="0"/>
    <s v="2025-12-30 22:09:11"/>
    <n v="10"/>
    <x v="37"/>
    <x v="3"/>
    <x v="1"/>
    <n v="1.16886320026376"/>
    <n v="3E+20"/>
    <n v="0"/>
    <n v="2"/>
    <n v="1"/>
    <n v="0"/>
    <s v="Unnamed ProjectSeize 5.QueueNumber WaitingQueue"/>
    <n v="10"/>
    <n v="1.3234420699844864"/>
    <n v="0.23376145670955006"/>
    <n v="0.95"/>
    <n v="0.1672228724069392"/>
    <n v="0.88257428434366503"/>
    <n v="1.5367801636504701"/>
    <n v="0.1672228724069392"/>
  </r>
  <r>
    <x v="0"/>
    <s v="2025-12-30 22:09:11"/>
    <n v="10"/>
    <x v="38"/>
    <x v="3"/>
    <x v="1"/>
    <n v="3.9785130958891202"/>
    <n v="3E+20"/>
    <n v="0"/>
    <n v="5"/>
    <n v="4"/>
    <n v="0"/>
    <s v="Unnamed ProjectSeize 6.QueueNumber WaitingQueue"/>
    <n v="10"/>
    <n v="3.295350976306183"/>
    <n v="0.30652142094800816"/>
    <n v="0.95"/>
    <n v="0.21927221530309879"/>
    <n v="2.9443042052265702"/>
    <n v="3.9785130958891202"/>
    <n v="0.21927221530309879"/>
  </r>
  <r>
    <x v="0"/>
    <s v="2025-12-30 22:09:11"/>
    <n v="10"/>
    <x v="39"/>
    <x v="3"/>
    <x v="1"/>
    <n v="0.850065833369271"/>
    <n v="2E+20"/>
    <n v="0"/>
    <n v="2"/>
    <n v="2"/>
    <n v="0"/>
    <s v="Unnamed ProjectSeize 7.QueueNumber WaitingQueue"/>
    <n v="10"/>
    <n v="1.4832039737284362"/>
    <n v="0.28170250043427397"/>
    <n v="0.95"/>
    <n v="0.20151782911486205"/>
    <n v="0.850065833369271"/>
    <n v="1.78320590856036"/>
    <n v="0.20151782911486205"/>
  </r>
  <r>
    <x v="0"/>
    <s v="2025-12-30 22:09:11"/>
    <n v="10"/>
    <x v="40"/>
    <x v="3"/>
    <x v="1"/>
    <n v="85.984106269654802"/>
    <n v="3E+20"/>
    <n v="0"/>
    <n v="167"/>
    <n v="167"/>
    <n v="0"/>
    <s v="Unnamed ProjectSeize 8.QueueNumber WaitingQueue"/>
    <n v="10"/>
    <n v="84.673313986400757"/>
    <n v="6.3050274623130749"/>
    <n v="0.95"/>
    <n v="4.5103449375003528"/>
    <n v="72.004631303705096"/>
    <n v="94.488584180465494"/>
    <n v="4.5103449375003528"/>
  </r>
  <r>
    <x v="0"/>
    <s v="2025-12-30 22:09:11"/>
    <n v="10"/>
    <x v="41"/>
    <x v="3"/>
    <x v="1"/>
    <n v="3.2792347857666302"/>
    <n v="3E+20"/>
    <n v="0"/>
    <n v="5"/>
    <n v="3"/>
    <n v="0"/>
    <s v="Unnamed ProjectSeize 9.QueueNumber WaitingQueue"/>
    <n v="10"/>
    <n v="3.1643006447829118"/>
    <n v="0.56709805972033456"/>
    <n v="0.95"/>
    <n v="0.40567751338350572"/>
    <n v="2.1571183231200299"/>
    <n v="3.7448575603137102"/>
    <n v="0.40567751338350572"/>
  </r>
  <r>
    <x v="0"/>
    <s v="2025-12-30 22:09:11"/>
    <n v="10"/>
    <x v="42"/>
    <x v="4"/>
    <x v="2"/>
    <n v="2.6221859700731498"/>
    <n v="3E+20"/>
    <n v="0"/>
    <n v="7"/>
    <n v="3"/>
    <n v="0"/>
    <s v="Unnamed ProjectWire HarnessWIPEntity"/>
    <n v="10"/>
    <n v="2.7938165767457108"/>
    <n v="0.37107770243484822"/>
    <n v="0.95"/>
    <n v="0.26545299708849601"/>
    <n v="2.05988155680273"/>
    <n v="3.2132100714910901"/>
    <n v="0.265452997088496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0">
  <r>
    <x v="0"/>
    <s v="2025-12-30 22:09:11"/>
    <n v="1"/>
    <x v="0"/>
    <x v="0"/>
    <x v="0"/>
    <n v="120.507270325354"/>
    <n v="26.506996975335099"/>
    <n v="0"/>
    <n v="50594.479708503597"/>
    <n v="6430"/>
    <s v="Unnamed ProjectAssembly Batch.QueueWaiting TimeQueue"/>
    <n v="10"/>
    <n v="170.47199803339521"/>
    <n v="30.059316049844405"/>
    <n v="0.95"/>
    <n v="21.503139325011034"/>
    <n v="120.507270325354"/>
    <n v="209.03793617917299"/>
    <n v="0"/>
    <n v="50618.374492511401"/>
    <n v="6415.5"/>
    <n v="21.503139325011034"/>
    <n v="10"/>
    <n v="1"/>
  </r>
  <r>
    <x v="0"/>
    <s v="2025-12-30 22:09:11"/>
    <n v="2"/>
    <x v="0"/>
    <x v="0"/>
    <x v="0"/>
    <n v="194.34945434137001"/>
    <n v="92.516432480998603"/>
    <n v="0"/>
    <n v="50584.230825484497"/>
    <n v="6430"/>
    <s v="Unnamed ProjectAssembly Batch.QueueWaiting TimeQueue"/>
    <n v="10"/>
    <n v="170.47199803339521"/>
    <n v="30.059316049844405"/>
    <n v="0.95"/>
    <n v="21.503139325011034"/>
    <n v="120.507270325354"/>
    <n v="209.03793617917299"/>
    <n v="0"/>
    <n v="50618.374492511401"/>
    <n v="6415.5"/>
    <n v="21.503139325011034"/>
    <n v="10"/>
    <n v="1"/>
  </r>
  <r>
    <x v="0"/>
    <s v="2025-12-30 22:09:11"/>
    <n v="3"/>
    <x v="0"/>
    <x v="0"/>
    <x v="0"/>
    <n v="205.70298957704401"/>
    <n v="105.923544428733"/>
    <n v="0"/>
    <n v="50612.848597321099"/>
    <n v="6420"/>
    <s v="Unnamed ProjectAssembly Batch.QueueWaiting TimeQueue"/>
    <n v="10"/>
    <n v="170.47199803339521"/>
    <n v="30.059316049844405"/>
    <n v="0.95"/>
    <n v="21.503139325011034"/>
    <n v="120.507270325354"/>
    <n v="209.03793617917299"/>
    <n v="0"/>
    <n v="50618.374492511401"/>
    <n v="6415.5"/>
    <n v="21.503139325011034"/>
    <n v="10"/>
    <n v="1"/>
  </r>
  <r>
    <x v="0"/>
    <s v="2025-12-30 22:09:11"/>
    <n v="4"/>
    <x v="0"/>
    <x v="0"/>
    <x v="0"/>
    <n v="209.03793617917299"/>
    <n v="105.33813238813499"/>
    <n v="0"/>
    <n v="50569.1361464203"/>
    <n v="6400"/>
    <s v="Unnamed ProjectAssembly Batch.QueueWaiting TimeQueue"/>
    <n v="10"/>
    <n v="170.47199803339521"/>
    <n v="30.059316049844405"/>
    <n v="0.95"/>
    <n v="21.503139325011034"/>
    <n v="120.507270325354"/>
    <n v="209.03793617917299"/>
    <n v="0"/>
    <n v="50618.374492511401"/>
    <n v="6415.5"/>
    <n v="21.503139325011034"/>
    <n v="10"/>
    <n v="1"/>
  </r>
  <r>
    <x v="0"/>
    <s v="2025-12-30 22:09:11"/>
    <n v="5"/>
    <x v="0"/>
    <x v="0"/>
    <x v="0"/>
    <n v="136.83706146206799"/>
    <n v="56.671502773627601"/>
    <n v="0"/>
    <n v="50576.573584935701"/>
    <n v="6415"/>
    <s v="Unnamed ProjectAssembly Batch.QueueWaiting TimeQueue"/>
    <n v="10"/>
    <n v="170.47199803339521"/>
    <n v="30.059316049844405"/>
    <n v="0.95"/>
    <n v="21.503139325011034"/>
    <n v="120.507270325354"/>
    <n v="209.03793617917299"/>
    <n v="0"/>
    <n v="50618.374492511401"/>
    <n v="6415.5"/>
    <n v="21.503139325011034"/>
    <n v="10"/>
    <n v="1"/>
  </r>
  <r>
    <x v="0"/>
    <s v="2025-12-30 22:09:11"/>
    <n v="6"/>
    <x v="0"/>
    <x v="0"/>
    <x v="0"/>
    <n v="144.82748984899001"/>
    <n v="57.892287216645997"/>
    <n v="0"/>
    <n v="50579.027903635397"/>
    <n v="6440"/>
    <s v="Unnamed ProjectAssembly Batch.QueueWaiting TimeQueue"/>
    <n v="10"/>
    <n v="170.47199803339521"/>
    <n v="30.059316049844405"/>
    <n v="0.95"/>
    <n v="21.503139325011034"/>
    <n v="120.507270325354"/>
    <n v="209.03793617917299"/>
    <n v="0"/>
    <n v="50618.374492511401"/>
    <n v="6415.5"/>
    <n v="21.503139325011034"/>
    <n v="10"/>
    <n v="1"/>
  </r>
  <r>
    <x v="0"/>
    <s v="2025-12-30 22:09:11"/>
    <n v="7"/>
    <x v="0"/>
    <x v="0"/>
    <x v="0"/>
    <n v="188.19413851294499"/>
    <n v="86.385120628402106"/>
    <n v="0"/>
    <n v="50618.374492511401"/>
    <n v="6405"/>
    <s v="Unnamed ProjectAssembly Batch.QueueWaiting TimeQueue"/>
    <n v="10"/>
    <n v="170.47199803339521"/>
    <n v="30.059316049844405"/>
    <n v="0.95"/>
    <n v="21.503139325011034"/>
    <n v="120.507270325354"/>
    <n v="209.03793617917299"/>
    <n v="0"/>
    <n v="50618.374492511401"/>
    <n v="6415.5"/>
    <n v="21.503139325011034"/>
    <n v="10"/>
    <n v="1"/>
  </r>
  <r>
    <x v="0"/>
    <s v="2025-12-30 22:09:11"/>
    <n v="8"/>
    <x v="0"/>
    <x v="0"/>
    <x v="0"/>
    <n v="158.86975106048101"/>
    <n v="62.711003278433601"/>
    <n v="0"/>
    <n v="50578.831559354403"/>
    <n v="6415"/>
    <s v="Unnamed ProjectAssembly Batch.QueueWaiting TimeQueue"/>
    <n v="10"/>
    <n v="170.47199803339521"/>
    <n v="30.059316049844405"/>
    <n v="0.95"/>
    <n v="21.503139325011034"/>
    <n v="120.507270325354"/>
    <n v="209.03793617917299"/>
    <n v="0"/>
    <n v="50618.374492511401"/>
    <n v="6415.5"/>
    <n v="21.503139325011034"/>
    <n v="10"/>
    <n v="1"/>
  </r>
  <r>
    <x v="0"/>
    <s v="2025-12-30 22:09:11"/>
    <n v="9"/>
    <x v="0"/>
    <x v="0"/>
    <x v="0"/>
    <n v="179.69364462787999"/>
    <n v="92.615729442306105"/>
    <n v="0"/>
    <n v="50565.785465310299"/>
    <n v="6415"/>
    <s v="Unnamed ProjectAssembly Batch.QueueWaiting TimeQueue"/>
    <n v="10"/>
    <n v="170.47199803339521"/>
    <n v="30.059316049844405"/>
    <n v="0.95"/>
    <n v="21.503139325011034"/>
    <n v="120.507270325354"/>
    <n v="209.03793617917299"/>
    <n v="0"/>
    <n v="50618.374492511401"/>
    <n v="6415.5"/>
    <n v="21.503139325011034"/>
    <n v="10"/>
    <n v="1"/>
  </r>
  <r>
    <x v="0"/>
    <s v="2025-12-30 22:09:11"/>
    <n v="10"/>
    <x v="0"/>
    <x v="0"/>
    <x v="0"/>
    <n v="166.70024439864699"/>
    <n v="86.855454949919803"/>
    <n v="0"/>
    <n v="50577.370072466299"/>
    <n v="6385"/>
    <s v="Unnamed ProjectAssembly Batch.QueueWaiting TimeQueue"/>
    <n v="10"/>
    <n v="170.47199803339521"/>
    <n v="30.059316049844405"/>
    <n v="0.95"/>
    <n v="21.503139325011034"/>
    <n v="120.507270325354"/>
    <n v="209.03793617917299"/>
    <n v="0"/>
    <n v="50618.374492511401"/>
    <n v="6415.5"/>
    <n v="21.503139325011034"/>
    <n v="10"/>
    <n v="1"/>
  </r>
  <r>
    <x v="0"/>
    <s v="2025-12-30 22:09:11"/>
    <n v="1"/>
    <x v="1"/>
    <x v="0"/>
    <x v="0"/>
    <n v="27.492403120005601"/>
    <n v="15.0297163572586"/>
    <n v="0"/>
    <n v="50432.030782025897"/>
    <n v="13090"/>
    <s v="Unnamed ProjectBatch 2.QueueWaiting TimeQueue"/>
    <n v="10"/>
    <n v="20.195659319651877"/>
    <n v="5.2407845240746731"/>
    <n v="0.95"/>
    <n v="3.7490314020010005"/>
    <n v="11.8244227773218"/>
    <n v="27.492403120005601"/>
    <n v="0"/>
    <n v="50432.030782025897"/>
    <n v="13099.4"/>
    <n v="3.7490314020010005"/>
    <n v="10"/>
    <n v="1"/>
  </r>
  <r>
    <x v="0"/>
    <s v="2025-12-30 22:09:11"/>
    <n v="2"/>
    <x v="1"/>
    <x v="0"/>
    <x v="0"/>
    <n v="16.473373851777001"/>
    <n v="8.0776538052432496"/>
    <n v="0"/>
    <n v="50422.474479141201"/>
    <n v="13118"/>
    <s v="Unnamed ProjectBatch 2.QueueWaiting TimeQueue"/>
    <n v="10"/>
    <n v="20.195659319651877"/>
    <n v="5.2407845240746731"/>
    <n v="0.95"/>
    <n v="3.7490314020010005"/>
    <n v="11.8244227773218"/>
    <n v="27.492403120005601"/>
    <n v="0"/>
    <n v="50432.030782025897"/>
    <n v="13099.4"/>
    <n v="3.7490314020010005"/>
    <n v="10"/>
    <n v="1"/>
  </r>
  <r>
    <x v="0"/>
    <s v="2025-12-30 22:09:11"/>
    <n v="3"/>
    <x v="1"/>
    <x v="0"/>
    <x v="0"/>
    <n v="23.371273325588799"/>
    <n v="13.3702493646386"/>
    <n v="0"/>
    <n v="50421.109835665797"/>
    <n v="13096"/>
    <s v="Unnamed ProjectBatch 2.QueueWaiting TimeQueue"/>
    <n v="10"/>
    <n v="20.195659319651877"/>
    <n v="5.2407845240746731"/>
    <n v="0.95"/>
    <n v="3.7490314020010005"/>
    <n v="11.8244227773218"/>
    <n v="27.492403120005601"/>
    <n v="0"/>
    <n v="50432.030782025897"/>
    <n v="13099.4"/>
    <n v="3.7490314020010005"/>
    <n v="10"/>
    <n v="1"/>
  </r>
  <r>
    <x v="0"/>
    <s v="2025-12-30 22:09:11"/>
    <n v="4"/>
    <x v="1"/>
    <x v="0"/>
    <x v="0"/>
    <n v="11.8244227773218"/>
    <n v="0.96581376455540302"/>
    <n v="0"/>
    <n v="3621.98346888775"/>
    <n v="13086"/>
    <s v="Unnamed ProjectBatch 2.QueueWaiting TimeQueue"/>
    <n v="10"/>
    <n v="20.195659319651877"/>
    <n v="5.2407845240746731"/>
    <n v="0.95"/>
    <n v="3.7490314020010005"/>
    <n v="11.8244227773218"/>
    <n v="27.492403120005601"/>
    <n v="0"/>
    <n v="50432.030782025897"/>
    <n v="13099.4"/>
    <n v="3.7490314020010005"/>
    <n v="10"/>
    <n v="1"/>
  </r>
  <r>
    <x v="0"/>
    <s v="2025-12-30 22:09:11"/>
    <n v="5"/>
    <x v="1"/>
    <x v="0"/>
    <x v="0"/>
    <n v="20.034470690076901"/>
    <n v="11.132517519458"/>
    <n v="0"/>
    <n v="50421.650786835598"/>
    <n v="13110"/>
    <s v="Unnamed ProjectBatch 2.QueueWaiting TimeQueue"/>
    <n v="10"/>
    <n v="20.195659319651877"/>
    <n v="5.2407845240746731"/>
    <n v="0.95"/>
    <n v="3.7490314020010005"/>
    <n v="11.8244227773218"/>
    <n v="27.492403120005601"/>
    <n v="0"/>
    <n v="50432.030782025897"/>
    <n v="13099.4"/>
    <n v="3.7490314020010005"/>
    <n v="10"/>
    <n v="1"/>
  </r>
  <r>
    <x v="0"/>
    <s v="2025-12-30 22:09:11"/>
    <n v="6"/>
    <x v="1"/>
    <x v="0"/>
    <x v="0"/>
    <n v="26.909370448544198"/>
    <n v="15.1338282086778"/>
    <n v="0"/>
    <n v="50428.458383801102"/>
    <n v="13102"/>
    <s v="Unnamed ProjectBatch 2.QueueWaiting TimeQueue"/>
    <n v="10"/>
    <n v="20.195659319651877"/>
    <n v="5.2407845240746731"/>
    <n v="0.95"/>
    <n v="3.7490314020010005"/>
    <n v="11.8244227773218"/>
    <n v="27.492403120005601"/>
    <n v="0"/>
    <n v="50432.030782025897"/>
    <n v="13099.4"/>
    <n v="3.7490314020010005"/>
    <n v="10"/>
    <n v="1"/>
  </r>
  <r>
    <x v="0"/>
    <s v="2025-12-30 22:09:11"/>
    <n v="7"/>
    <x v="1"/>
    <x v="0"/>
    <x v="0"/>
    <n v="16.2105199646725"/>
    <n v="8.1019838866443994"/>
    <n v="0"/>
    <n v="50422.452389477301"/>
    <n v="13110"/>
    <s v="Unnamed ProjectBatch 2.QueueWaiting TimeQueue"/>
    <n v="10"/>
    <n v="20.195659319651877"/>
    <n v="5.2407845240746731"/>
    <n v="0.95"/>
    <n v="3.7490314020010005"/>
    <n v="11.8244227773218"/>
    <n v="27.492403120005601"/>
    <n v="0"/>
    <n v="50432.030782025897"/>
    <n v="13099.4"/>
    <n v="3.7490314020010005"/>
    <n v="10"/>
    <n v="1"/>
  </r>
  <r>
    <x v="0"/>
    <s v="2025-12-30 22:09:11"/>
    <n v="8"/>
    <x v="1"/>
    <x v="0"/>
    <x v="0"/>
    <n v="19.5267424064773"/>
    <n v="11.201836992333201"/>
    <n v="0"/>
    <n v="50420.644811328202"/>
    <n v="13096"/>
    <s v="Unnamed ProjectBatch 2.QueueWaiting TimeQueue"/>
    <n v="10"/>
    <n v="20.195659319651877"/>
    <n v="5.2407845240746731"/>
    <n v="0.95"/>
    <n v="3.7490314020010005"/>
    <n v="11.8244227773218"/>
    <n v="27.492403120005601"/>
    <n v="0"/>
    <n v="50432.030782025897"/>
    <n v="13099.4"/>
    <n v="3.7490314020010005"/>
    <n v="10"/>
    <n v="1"/>
  </r>
  <r>
    <x v="0"/>
    <s v="2025-12-30 22:09:11"/>
    <n v="9"/>
    <x v="1"/>
    <x v="0"/>
    <x v="0"/>
    <n v="24.442510812942299"/>
    <n v="13.2294195232221"/>
    <n v="0"/>
    <n v="50429.658087087497"/>
    <n v="13104"/>
    <s v="Unnamed ProjectBatch 2.QueueWaiting TimeQueue"/>
    <n v="10"/>
    <n v="20.195659319651877"/>
    <n v="5.2407845240746731"/>
    <n v="0.95"/>
    <n v="3.7490314020010005"/>
    <n v="11.8244227773218"/>
    <n v="27.492403120005601"/>
    <n v="0"/>
    <n v="50432.030782025897"/>
    <n v="13099.4"/>
    <n v="3.7490314020010005"/>
    <n v="10"/>
    <n v="1"/>
  </r>
  <r>
    <x v="0"/>
    <s v="2025-12-30 22:09:11"/>
    <n v="10"/>
    <x v="1"/>
    <x v="0"/>
    <x v="0"/>
    <n v="15.671505799112399"/>
    <n v="8.1193380888760007"/>
    <n v="0"/>
    <n v="50422.393495154101"/>
    <n v="13082"/>
    <s v="Unnamed ProjectBatch 2.QueueWaiting TimeQueue"/>
    <n v="10"/>
    <n v="20.195659319651877"/>
    <n v="5.2407845240746731"/>
    <n v="0.95"/>
    <n v="3.7490314020010005"/>
    <n v="11.8244227773218"/>
    <n v="27.492403120005601"/>
    <n v="0"/>
    <n v="50432.030782025897"/>
    <n v="13099.4"/>
    <n v="3.7490314020010005"/>
    <n v="10"/>
    <n v="1"/>
  </r>
  <r>
    <x v="0"/>
    <s v="2025-12-30 22:09:11"/>
    <n v="1"/>
    <x v="2"/>
    <x v="0"/>
    <x v="0"/>
    <n v="8.4362246192315506"/>
    <n v="0.68453944377716802"/>
    <n v="0"/>
    <n v="3616.2760157862699"/>
    <n v="18376"/>
    <s v="Unnamed ProjectBatch 3.QueueWaiting TimeQueue"/>
    <n v="10"/>
    <n v="12.100658836843866"/>
    <n v="4.4129039165656891"/>
    <n v="0.95"/>
    <n v="3.1568012921002597"/>
    <n v="8.4362246192315506"/>
    <n v="19.7718299749537"/>
    <n v="0"/>
    <n v="50417.572064709399"/>
    <n v="18388.8"/>
    <n v="3.1568012921002597"/>
    <n v="10"/>
    <n v="1"/>
  </r>
  <r>
    <x v="0"/>
    <s v="2025-12-30 22:09:11"/>
    <n v="2"/>
    <x v="2"/>
    <x v="0"/>
    <x v="0"/>
    <n v="19.7718299749537"/>
    <n v="10.865084051592101"/>
    <n v="0"/>
    <n v="50415.357897296803"/>
    <n v="18386"/>
    <s v="Unnamed ProjectBatch 3.QueueWaiting TimeQueue"/>
    <n v="10"/>
    <n v="12.100658836843866"/>
    <n v="4.4129039165656891"/>
    <n v="0.95"/>
    <n v="3.1568012921002597"/>
    <n v="8.4362246192315506"/>
    <n v="19.7718299749537"/>
    <n v="0"/>
    <n v="50417.572064709399"/>
    <n v="18388.8"/>
    <n v="3.1568012921002597"/>
    <n v="10"/>
    <n v="1"/>
  </r>
  <r>
    <x v="0"/>
    <s v="2025-12-30 22:09:11"/>
    <n v="3"/>
    <x v="2"/>
    <x v="0"/>
    <x v="0"/>
    <n v="8.9941152408504799"/>
    <n v="0.92898771878394204"/>
    <n v="0"/>
    <n v="3616.9197090100502"/>
    <n v="18404"/>
    <s v="Unnamed ProjectBatch 3.QueueWaiting TimeQueue"/>
    <n v="10"/>
    <n v="12.100658836843866"/>
    <n v="4.4129039165656891"/>
    <n v="0.95"/>
    <n v="3.1568012921002597"/>
    <n v="8.4362246192315506"/>
    <n v="19.7718299749537"/>
    <n v="0"/>
    <n v="50417.572064709399"/>
    <n v="18388.8"/>
    <n v="3.1568012921002597"/>
    <n v="10"/>
    <n v="1"/>
  </r>
  <r>
    <x v="0"/>
    <s v="2025-12-30 22:09:11"/>
    <n v="4"/>
    <x v="2"/>
    <x v="0"/>
    <x v="0"/>
    <n v="11.5449023977193"/>
    <n v="5.7389455257193598"/>
    <n v="0"/>
    <n v="50415.087119640499"/>
    <n v="18398"/>
    <s v="Unnamed ProjectBatch 3.QueueWaiting TimeQueue"/>
    <n v="10"/>
    <n v="12.100658836843866"/>
    <n v="4.4129039165656891"/>
    <n v="0.95"/>
    <n v="3.1568012921002597"/>
    <n v="8.4362246192315506"/>
    <n v="19.7718299749537"/>
    <n v="0"/>
    <n v="50417.572064709399"/>
    <n v="18388.8"/>
    <n v="3.1568012921002597"/>
    <n v="10"/>
    <n v="1"/>
  </r>
  <r>
    <x v="0"/>
    <s v="2025-12-30 22:09:11"/>
    <n v="5"/>
    <x v="2"/>
    <x v="0"/>
    <x v="0"/>
    <n v="8.8022839622089908"/>
    <n v="0.85903151564777902"/>
    <n v="0"/>
    <n v="3616.7594737139898"/>
    <n v="18400"/>
    <s v="Unnamed ProjectBatch 3.QueueWaiting TimeQueue"/>
    <n v="10"/>
    <n v="12.100658836843866"/>
    <n v="4.4129039165656891"/>
    <n v="0.95"/>
    <n v="3.1568012921002597"/>
    <n v="8.4362246192315506"/>
    <n v="19.7718299749537"/>
    <n v="0"/>
    <n v="50417.572064709399"/>
    <n v="18388.8"/>
    <n v="3.1568012921002597"/>
    <n v="10"/>
    <n v="1"/>
  </r>
  <r>
    <x v="0"/>
    <s v="2025-12-30 22:09:11"/>
    <n v="6"/>
    <x v="2"/>
    <x v="0"/>
    <x v="0"/>
    <n v="17.0448631983949"/>
    <n v="9.5743059393918397"/>
    <n v="0"/>
    <n v="50417.572064709399"/>
    <n v="18376"/>
    <s v="Unnamed ProjectBatch 3.QueueWaiting TimeQueue"/>
    <n v="10"/>
    <n v="12.100658836843866"/>
    <n v="4.4129039165656891"/>
    <n v="0.95"/>
    <n v="3.1568012921002597"/>
    <n v="8.4362246192315506"/>
    <n v="19.7718299749537"/>
    <n v="0"/>
    <n v="50417.572064709399"/>
    <n v="18388.8"/>
    <n v="3.1568012921002597"/>
    <n v="10"/>
    <n v="1"/>
  </r>
  <r>
    <x v="0"/>
    <s v="2025-12-30 22:09:11"/>
    <n v="7"/>
    <x v="2"/>
    <x v="0"/>
    <x v="0"/>
    <n v="8.6108633168619697"/>
    <n v="0.78454356224871802"/>
    <n v="0"/>
    <n v="3617.5858844133299"/>
    <n v="18394"/>
    <s v="Unnamed ProjectBatch 3.QueueWaiting TimeQueue"/>
    <n v="10"/>
    <n v="12.100658836843866"/>
    <n v="4.4129039165656891"/>
    <n v="0.95"/>
    <n v="3.1568012921002597"/>
    <n v="8.4362246192315506"/>
    <n v="19.7718299749537"/>
    <n v="0"/>
    <n v="50417.572064709399"/>
    <n v="18388.8"/>
    <n v="3.1568012921002597"/>
    <n v="10"/>
    <n v="1"/>
  </r>
  <r>
    <x v="0"/>
    <s v="2025-12-30 22:09:11"/>
    <n v="8"/>
    <x v="2"/>
    <x v="0"/>
    <x v="0"/>
    <n v="17.831029737032999"/>
    <n v="9.5076931677754093"/>
    <n v="0"/>
    <n v="50416.363080323201"/>
    <n v="18376"/>
    <s v="Unnamed ProjectBatch 3.QueueWaiting TimeQueue"/>
    <n v="10"/>
    <n v="12.100658836843866"/>
    <n v="4.4129039165656891"/>
    <n v="0.95"/>
    <n v="3.1568012921002597"/>
    <n v="8.4362246192315506"/>
    <n v="19.7718299749537"/>
    <n v="0"/>
    <n v="50417.572064709399"/>
    <n v="18388.8"/>
    <n v="3.1568012921002597"/>
    <n v="10"/>
    <n v="1"/>
  </r>
  <r>
    <x v="0"/>
    <s v="2025-12-30 22:09:11"/>
    <n v="9"/>
    <x v="2"/>
    <x v="0"/>
    <x v="0"/>
    <n v="11.352497577119101"/>
    <n v="5.7464222362043298"/>
    <n v="0"/>
    <n v="50415.985795768298"/>
    <n v="18402"/>
    <s v="Unnamed ProjectBatch 3.QueueWaiting TimeQueue"/>
    <n v="10"/>
    <n v="12.100658836843866"/>
    <n v="4.4129039165656891"/>
    <n v="0.95"/>
    <n v="3.1568012921002597"/>
    <n v="8.4362246192315506"/>
    <n v="19.7718299749537"/>
    <n v="0"/>
    <n v="50417.572064709399"/>
    <n v="18388.8"/>
    <n v="3.1568012921002597"/>
    <n v="10"/>
    <n v="1"/>
  </r>
  <r>
    <x v="0"/>
    <s v="2025-12-30 22:09:11"/>
    <n v="10"/>
    <x v="2"/>
    <x v="0"/>
    <x v="0"/>
    <n v="8.6179783440656905"/>
    <n v="0.77988411591745099"/>
    <n v="0"/>
    <n v="3616.9429116053202"/>
    <n v="18376"/>
    <s v="Unnamed ProjectBatch 3.QueueWaiting TimeQueue"/>
    <n v="10"/>
    <n v="12.100658836843866"/>
    <n v="4.4129039165656891"/>
    <n v="0.95"/>
    <n v="3.1568012921002597"/>
    <n v="8.4362246192315506"/>
    <n v="19.7718299749537"/>
    <n v="0"/>
    <n v="50417.572064709399"/>
    <n v="18388.8"/>
    <n v="3.1568012921002597"/>
    <n v="10"/>
    <n v="1"/>
  </r>
  <r>
    <x v="0"/>
    <s v="2025-12-30 22:09:11"/>
    <n v="1"/>
    <x v="3"/>
    <x v="1"/>
    <x v="1"/>
    <n v="0"/>
    <n v="0"/>
    <n v="0"/>
    <n v="0"/>
    <n v="1102"/>
    <s v="Unnamed ProjectCustomerNVA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1"/>
    <x v="3"/>
    <x v="2"/>
    <x v="1"/>
    <n v="0"/>
    <n v="0"/>
    <n v="0"/>
    <n v="0"/>
    <n v="1102"/>
    <s v="Unnamed ProjectCustomerOth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1"/>
    <x v="3"/>
    <x v="3"/>
    <x v="1"/>
    <n v="7496.7454934671996"/>
    <n v="3E+20"/>
    <n v="0"/>
    <n v="132679.19527559"/>
    <n v="1102"/>
    <s v="Unnamed ProjectCustomerTotal TimeEntity"/>
    <n v="10"/>
    <n v="9742.1197042971507"/>
    <n v="2201.2906969156033"/>
    <n v="0.95"/>
    <n v="1574.7085020875541"/>
    <n v="6027.1337102524203"/>
    <n v="13957.3299192006"/>
    <n v="0"/>
    <n v="157886.223189824"/>
    <n v="1090.3"/>
    <n v="1574.7085020875541"/>
    <n v="10"/>
    <n v="1"/>
  </r>
  <r>
    <x v="0"/>
    <s v="2025-12-30 22:09:11"/>
    <n v="1"/>
    <x v="3"/>
    <x v="4"/>
    <x v="1"/>
    <n v="0"/>
    <n v="0"/>
    <n v="0"/>
    <n v="0"/>
    <n v="1102"/>
    <s v="Unnamed ProjectCustomerTransf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1"/>
    <x v="3"/>
    <x v="5"/>
    <x v="1"/>
    <n v="42.566790052151497"/>
    <n v="3E+20"/>
    <n v="0"/>
    <n v="592.92257682440697"/>
    <n v="1102"/>
    <s v="Unnamed ProjectCustomerVA TimeEntity"/>
    <n v="10"/>
    <n v="48.627238016232184"/>
    <n v="4.817528115332455"/>
    <n v="0.95"/>
    <n v="3.4462520070109122"/>
    <n v="40.103310942305598"/>
    <n v="56.8255351782406"/>
    <n v="0"/>
    <n v="599.937375794834"/>
    <n v="1090.3"/>
    <n v="3.4462520070109122"/>
    <n v="10"/>
    <n v="1"/>
  </r>
  <r>
    <x v="0"/>
    <s v="2025-12-30 22:09:11"/>
    <n v="1"/>
    <x v="3"/>
    <x v="6"/>
    <x v="1"/>
    <n v="7454.1787034150702"/>
    <n v="3E+20"/>
    <n v="0"/>
    <n v="132377.01760926301"/>
    <n v="1102"/>
    <s v="Unnamed ProjectCustomerWait TimeEntity"/>
    <n v="10"/>
    <n v="9693.4924662809171"/>
    <n v="2196.5680499894434"/>
    <n v="0.95"/>
    <n v="1571.3301239944644"/>
    <n v="5987.0303993100997"/>
    <n v="13900.504384022301"/>
    <n v="0"/>
    <n v="157355.353923986"/>
    <n v="1090.3"/>
    <n v="1571.3301239944644"/>
    <n v="10"/>
    <n v="1"/>
  </r>
  <r>
    <x v="0"/>
    <s v="2025-12-30 22:09:11"/>
    <n v="2"/>
    <x v="3"/>
    <x v="1"/>
    <x v="1"/>
    <n v="0"/>
    <n v="0"/>
    <n v="0"/>
    <n v="0"/>
    <n v="1088"/>
    <s v="Unnamed ProjectCustomerNVA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2"/>
    <x v="3"/>
    <x v="2"/>
    <x v="1"/>
    <n v="0"/>
    <n v="0"/>
    <n v="0"/>
    <n v="0"/>
    <n v="1088"/>
    <s v="Unnamed ProjectCustomerOth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2"/>
    <x v="3"/>
    <x v="3"/>
    <x v="1"/>
    <n v="6027.1337102524203"/>
    <n v="3E+20"/>
    <n v="0"/>
    <n v="131279.39750489299"/>
    <n v="1088"/>
    <s v="Unnamed ProjectCustomerTotal TimeEntity"/>
    <n v="10"/>
    <n v="9742.1197042971507"/>
    <n v="2201.2906969156033"/>
    <n v="0.95"/>
    <n v="1574.7085020875541"/>
    <n v="6027.1337102524203"/>
    <n v="13957.3299192006"/>
    <n v="0"/>
    <n v="157886.223189824"/>
    <n v="1090.3"/>
    <n v="1574.7085020875541"/>
    <n v="10"/>
    <n v="1"/>
  </r>
  <r>
    <x v="0"/>
    <s v="2025-12-30 22:09:11"/>
    <n v="2"/>
    <x v="3"/>
    <x v="4"/>
    <x v="1"/>
    <n v="0"/>
    <n v="0"/>
    <n v="0"/>
    <n v="0"/>
    <n v="1088"/>
    <s v="Unnamed ProjectCustomerTransf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2"/>
    <x v="3"/>
    <x v="5"/>
    <x v="1"/>
    <n v="40.103310942305598"/>
    <n v="3E+20"/>
    <n v="0"/>
    <n v="597.759614822397"/>
    <n v="1088"/>
    <s v="Unnamed ProjectCustomerVA TimeEntity"/>
    <n v="10"/>
    <n v="48.627238016232184"/>
    <n v="4.817528115332455"/>
    <n v="0.95"/>
    <n v="3.4462520070109122"/>
    <n v="40.103310942305598"/>
    <n v="56.8255351782406"/>
    <n v="0"/>
    <n v="599.937375794834"/>
    <n v="1090.3"/>
    <n v="3.4462520070109122"/>
    <n v="10"/>
    <n v="1"/>
  </r>
  <r>
    <x v="0"/>
    <s v="2025-12-30 22:09:11"/>
    <n v="2"/>
    <x v="3"/>
    <x v="6"/>
    <x v="1"/>
    <n v="5987.0303993100997"/>
    <n v="3E+20"/>
    <n v="0"/>
    <n v="130793.88854732399"/>
    <n v="1088"/>
    <s v="Unnamed ProjectCustomerWait TimeEntity"/>
    <n v="10"/>
    <n v="9693.4924662809171"/>
    <n v="2196.5680499894434"/>
    <n v="0.95"/>
    <n v="1571.3301239944644"/>
    <n v="5987.0303993100997"/>
    <n v="13900.504384022301"/>
    <n v="0"/>
    <n v="157355.353923986"/>
    <n v="1090.3"/>
    <n v="1571.3301239944644"/>
    <n v="10"/>
    <n v="1"/>
  </r>
  <r>
    <x v="0"/>
    <s v="2025-12-30 22:09:11"/>
    <n v="3"/>
    <x v="3"/>
    <x v="1"/>
    <x v="1"/>
    <n v="0"/>
    <n v="0"/>
    <n v="0"/>
    <n v="0"/>
    <n v="1087"/>
    <s v="Unnamed ProjectCustomerNVA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3"/>
    <x v="3"/>
    <x v="2"/>
    <x v="1"/>
    <n v="0"/>
    <n v="0"/>
    <n v="0"/>
    <n v="0"/>
    <n v="1087"/>
    <s v="Unnamed ProjectCustomerOth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3"/>
    <x v="3"/>
    <x v="3"/>
    <x v="1"/>
    <n v="11462.2674394485"/>
    <n v="3E+20"/>
    <n v="0"/>
    <n v="146686.28611555599"/>
    <n v="1087"/>
    <s v="Unnamed ProjectCustomerTotal TimeEntity"/>
    <n v="10"/>
    <n v="9742.1197042971507"/>
    <n v="2201.2906969156033"/>
    <n v="0.95"/>
    <n v="1574.7085020875541"/>
    <n v="6027.1337102524203"/>
    <n v="13957.3299192006"/>
    <n v="0"/>
    <n v="157886.223189824"/>
    <n v="1090.3"/>
    <n v="1574.7085020875541"/>
    <n v="10"/>
    <n v="1"/>
  </r>
  <r>
    <x v="0"/>
    <s v="2025-12-30 22:09:11"/>
    <n v="3"/>
    <x v="3"/>
    <x v="4"/>
    <x v="1"/>
    <n v="0"/>
    <n v="0"/>
    <n v="0"/>
    <n v="0"/>
    <n v="1087"/>
    <s v="Unnamed ProjectCustomerTransf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3"/>
    <x v="3"/>
    <x v="5"/>
    <x v="1"/>
    <n v="52.380235754201699"/>
    <n v="3E+20"/>
    <n v="0"/>
    <n v="599.937375794834"/>
    <n v="1087"/>
    <s v="Unnamed ProjectCustomerVA TimeEntity"/>
    <n v="10"/>
    <n v="48.627238016232184"/>
    <n v="4.817528115332455"/>
    <n v="0.95"/>
    <n v="3.4462520070109122"/>
    <n v="40.103310942305598"/>
    <n v="56.8255351782406"/>
    <n v="0"/>
    <n v="599.937375794834"/>
    <n v="1090.3"/>
    <n v="3.4462520070109122"/>
    <n v="10"/>
    <n v="1"/>
  </r>
  <r>
    <x v="0"/>
    <s v="2025-12-30 22:09:11"/>
    <n v="3"/>
    <x v="3"/>
    <x v="6"/>
    <x v="1"/>
    <n v="11409.887203694299"/>
    <n v="3E+20"/>
    <n v="0"/>
    <n v="146289.36993855899"/>
    <n v="1087"/>
    <s v="Unnamed ProjectCustomerWait TimeEntity"/>
    <n v="10"/>
    <n v="9693.4924662809171"/>
    <n v="2196.5680499894434"/>
    <n v="0.95"/>
    <n v="1571.3301239944644"/>
    <n v="5987.0303993100997"/>
    <n v="13900.504384022301"/>
    <n v="0"/>
    <n v="157355.353923986"/>
    <n v="1090.3"/>
    <n v="1571.3301239944644"/>
    <n v="10"/>
    <n v="1"/>
  </r>
  <r>
    <x v="0"/>
    <s v="2025-12-30 22:09:11"/>
    <n v="4"/>
    <x v="3"/>
    <x v="1"/>
    <x v="1"/>
    <n v="0"/>
    <n v="0"/>
    <n v="0"/>
    <n v="0"/>
    <n v="1045"/>
    <s v="Unnamed ProjectCustomerNVA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4"/>
    <x v="3"/>
    <x v="2"/>
    <x v="1"/>
    <n v="0"/>
    <n v="0"/>
    <n v="0"/>
    <n v="0"/>
    <n v="1045"/>
    <s v="Unnamed ProjectCustomerOth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4"/>
    <x v="3"/>
    <x v="3"/>
    <x v="1"/>
    <n v="10002.495116071999"/>
    <n v="3E+20"/>
    <n v="0"/>
    <n v="141840.02635752101"/>
    <n v="1045"/>
    <s v="Unnamed ProjectCustomerTotal TimeEntity"/>
    <n v="10"/>
    <n v="9742.1197042971507"/>
    <n v="2201.2906969156033"/>
    <n v="0.95"/>
    <n v="1574.7085020875541"/>
    <n v="6027.1337102524203"/>
    <n v="13957.3299192006"/>
    <n v="0"/>
    <n v="157886.223189824"/>
    <n v="1090.3"/>
    <n v="1574.7085020875541"/>
    <n v="10"/>
    <n v="1"/>
  </r>
  <r>
    <x v="0"/>
    <s v="2025-12-30 22:09:11"/>
    <n v="4"/>
    <x v="3"/>
    <x v="4"/>
    <x v="1"/>
    <n v="0"/>
    <n v="0"/>
    <n v="0"/>
    <n v="0"/>
    <n v="1045"/>
    <s v="Unnamed ProjectCustomerTransf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4"/>
    <x v="3"/>
    <x v="5"/>
    <x v="1"/>
    <n v="51.192698568542802"/>
    <n v="3E+20"/>
    <n v="0"/>
    <n v="597.75906916047097"/>
    <n v="1045"/>
    <s v="Unnamed ProjectCustomerVA TimeEntity"/>
    <n v="10"/>
    <n v="48.627238016232184"/>
    <n v="4.817528115332455"/>
    <n v="0.95"/>
    <n v="3.4462520070109122"/>
    <n v="40.103310942305598"/>
    <n v="56.8255351782406"/>
    <n v="0"/>
    <n v="599.937375794834"/>
    <n v="1090.3"/>
    <n v="3.4462520070109122"/>
    <n v="10"/>
    <n v="1"/>
  </r>
  <r>
    <x v="0"/>
    <s v="2025-12-30 22:09:11"/>
    <n v="4"/>
    <x v="3"/>
    <x v="6"/>
    <x v="1"/>
    <n v="9951.3024175035207"/>
    <n v="3E+20"/>
    <n v="0"/>
    <n v="141360.67932553301"/>
    <n v="1045"/>
    <s v="Unnamed ProjectCustomerWait TimeEntity"/>
    <n v="10"/>
    <n v="9693.4924662809171"/>
    <n v="2196.5680499894434"/>
    <n v="0.95"/>
    <n v="1571.3301239944644"/>
    <n v="5987.0303993100997"/>
    <n v="13900.504384022301"/>
    <n v="0"/>
    <n v="157355.353923986"/>
    <n v="1090.3"/>
    <n v="1571.3301239944644"/>
    <n v="10"/>
    <n v="1"/>
  </r>
  <r>
    <x v="0"/>
    <s v="2025-12-30 22:09:11"/>
    <n v="5"/>
    <x v="3"/>
    <x v="1"/>
    <x v="1"/>
    <n v="0"/>
    <n v="0"/>
    <n v="0"/>
    <n v="0"/>
    <n v="1122"/>
    <s v="Unnamed ProjectCustomerNVA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5"/>
    <x v="3"/>
    <x v="2"/>
    <x v="1"/>
    <n v="0"/>
    <n v="0"/>
    <n v="0"/>
    <n v="0"/>
    <n v="1122"/>
    <s v="Unnamed ProjectCustomerOth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5"/>
    <x v="3"/>
    <x v="3"/>
    <x v="1"/>
    <n v="8490.3515415070196"/>
    <n v="3E+20"/>
    <n v="0"/>
    <n v="136772.69150578199"/>
    <n v="1122"/>
    <s v="Unnamed ProjectCustomerTotal TimeEntity"/>
    <n v="10"/>
    <n v="9742.1197042971507"/>
    <n v="2201.2906969156033"/>
    <n v="0.95"/>
    <n v="1574.7085020875541"/>
    <n v="6027.1337102524203"/>
    <n v="13957.3299192006"/>
    <n v="0"/>
    <n v="157886.223189824"/>
    <n v="1090.3"/>
    <n v="1574.7085020875541"/>
    <n v="10"/>
    <n v="1"/>
  </r>
  <r>
    <x v="0"/>
    <s v="2025-12-30 22:09:11"/>
    <n v="5"/>
    <x v="3"/>
    <x v="4"/>
    <x v="1"/>
    <n v="0"/>
    <n v="0"/>
    <n v="0"/>
    <n v="0"/>
    <n v="1122"/>
    <s v="Unnamed ProjectCustomerTransf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5"/>
    <x v="3"/>
    <x v="5"/>
    <x v="1"/>
    <n v="46.513581850160598"/>
    <n v="3E+20"/>
    <n v="0"/>
    <n v="598.12280975925398"/>
    <n v="1122"/>
    <s v="Unnamed ProjectCustomerVA TimeEntity"/>
    <n v="10"/>
    <n v="48.627238016232184"/>
    <n v="4.817528115332455"/>
    <n v="0.95"/>
    <n v="3.4462520070109122"/>
    <n v="40.103310942305598"/>
    <n v="56.8255351782406"/>
    <n v="0"/>
    <n v="599.937375794834"/>
    <n v="1090.3"/>
    <n v="3.4462520070109122"/>
    <n v="10"/>
    <n v="1"/>
  </r>
  <r>
    <x v="0"/>
    <s v="2025-12-30 22:09:11"/>
    <n v="5"/>
    <x v="3"/>
    <x v="6"/>
    <x v="1"/>
    <n v="8443.8379596568393"/>
    <n v="3E+20"/>
    <n v="0"/>
    <n v="136456.245959572"/>
    <n v="1122"/>
    <s v="Unnamed ProjectCustomerWait TimeEntity"/>
    <n v="10"/>
    <n v="9693.4924662809171"/>
    <n v="2196.5680499894434"/>
    <n v="0.95"/>
    <n v="1571.3301239944644"/>
    <n v="5987.0303993100997"/>
    <n v="13900.504384022301"/>
    <n v="0"/>
    <n v="157355.353923986"/>
    <n v="1090.3"/>
    <n v="1571.3301239944644"/>
    <n v="10"/>
    <n v="1"/>
  </r>
  <r>
    <x v="0"/>
    <s v="2025-12-30 22:09:11"/>
    <n v="6"/>
    <x v="3"/>
    <x v="1"/>
    <x v="1"/>
    <n v="0"/>
    <n v="0"/>
    <n v="0"/>
    <n v="0"/>
    <n v="1141"/>
    <s v="Unnamed ProjectCustomerNVA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6"/>
    <x v="3"/>
    <x v="2"/>
    <x v="1"/>
    <n v="0"/>
    <n v="0"/>
    <n v="0"/>
    <n v="0"/>
    <n v="1141"/>
    <s v="Unnamed ProjectCustomerOth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6"/>
    <x v="3"/>
    <x v="3"/>
    <x v="1"/>
    <n v="11148.978121030699"/>
    <n v="3E+20"/>
    <n v="0"/>
    <n v="148638.95234315301"/>
    <n v="1141"/>
    <s v="Unnamed ProjectCustomerTotal TimeEntity"/>
    <n v="10"/>
    <n v="9742.1197042971507"/>
    <n v="2201.2906969156033"/>
    <n v="0.95"/>
    <n v="1574.7085020875541"/>
    <n v="6027.1337102524203"/>
    <n v="13957.3299192006"/>
    <n v="0"/>
    <n v="157886.223189824"/>
    <n v="1090.3"/>
    <n v="1574.7085020875541"/>
    <n v="10"/>
    <n v="1"/>
  </r>
  <r>
    <x v="0"/>
    <s v="2025-12-30 22:09:11"/>
    <n v="6"/>
    <x v="3"/>
    <x v="4"/>
    <x v="1"/>
    <n v="0"/>
    <n v="0"/>
    <n v="0"/>
    <n v="0"/>
    <n v="1141"/>
    <s v="Unnamed ProjectCustomerTransf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6"/>
    <x v="3"/>
    <x v="5"/>
    <x v="1"/>
    <n v="51.239113664788199"/>
    <n v="3E+20"/>
    <n v="0"/>
    <n v="598.14608253363997"/>
    <n v="1141"/>
    <s v="Unnamed ProjectCustomerVA TimeEntity"/>
    <n v="10"/>
    <n v="48.627238016232184"/>
    <n v="4.817528115332455"/>
    <n v="0.95"/>
    <n v="3.4462520070109122"/>
    <n v="40.103310942305598"/>
    <n v="56.8255351782406"/>
    <n v="0"/>
    <n v="599.937375794834"/>
    <n v="1090.3"/>
    <n v="3.4462520070109122"/>
    <n v="10"/>
    <n v="1"/>
  </r>
  <r>
    <x v="0"/>
    <s v="2025-12-30 22:09:11"/>
    <n v="6"/>
    <x v="3"/>
    <x v="6"/>
    <x v="1"/>
    <n v="11097.739007365901"/>
    <n v="3E+20"/>
    <n v="0"/>
    <n v="148057.332798369"/>
    <n v="1141"/>
    <s v="Unnamed ProjectCustomerWait TimeEntity"/>
    <n v="10"/>
    <n v="9693.4924662809171"/>
    <n v="2196.5680499894434"/>
    <n v="0.95"/>
    <n v="1571.3301239944644"/>
    <n v="5987.0303993100997"/>
    <n v="13900.504384022301"/>
    <n v="0"/>
    <n v="157355.353923986"/>
    <n v="1090.3"/>
    <n v="1571.3301239944644"/>
    <n v="10"/>
    <n v="1"/>
  </r>
  <r>
    <x v="0"/>
    <s v="2025-12-30 22:09:11"/>
    <n v="7"/>
    <x v="3"/>
    <x v="1"/>
    <x v="1"/>
    <n v="0"/>
    <n v="0"/>
    <n v="0"/>
    <n v="0"/>
    <n v="1121"/>
    <s v="Unnamed ProjectCustomerNVA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7"/>
    <x v="3"/>
    <x v="2"/>
    <x v="1"/>
    <n v="0"/>
    <n v="0"/>
    <n v="0"/>
    <n v="0"/>
    <n v="1121"/>
    <s v="Unnamed ProjectCustomerOth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7"/>
    <x v="3"/>
    <x v="3"/>
    <x v="1"/>
    <n v="13957.3299192006"/>
    <n v="3E+20"/>
    <n v="0"/>
    <n v="157886.223189824"/>
    <n v="1121"/>
    <s v="Unnamed ProjectCustomerTotal TimeEntity"/>
    <n v="10"/>
    <n v="9742.1197042971507"/>
    <n v="2201.2906969156033"/>
    <n v="0.95"/>
    <n v="1574.7085020875541"/>
    <n v="6027.1337102524203"/>
    <n v="13957.3299192006"/>
    <n v="0"/>
    <n v="157886.223189824"/>
    <n v="1090.3"/>
    <n v="1574.7085020875541"/>
    <n v="10"/>
    <n v="1"/>
  </r>
  <r>
    <x v="0"/>
    <s v="2025-12-30 22:09:11"/>
    <n v="7"/>
    <x v="3"/>
    <x v="4"/>
    <x v="1"/>
    <n v="0"/>
    <n v="0"/>
    <n v="0"/>
    <n v="0"/>
    <n v="1121"/>
    <s v="Unnamed ProjectCustomerTransf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7"/>
    <x v="3"/>
    <x v="5"/>
    <x v="1"/>
    <n v="56.8255351782406"/>
    <n v="3E+20"/>
    <n v="0"/>
    <n v="599.56500972830702"/>
    <n v="1121"/>
    <s v="Unnamed ProjectCustomerVA TimeEntity"/>
    <n v="10"/>
    <n v="48.627238016232184"/>
    <n v="4.817528115332455"/>
    <n v="0.95"/>
    <n v="3.4462520070109122"/>
    <n v="40.103310942305598"/>
    <n v="56.8255351782406"/>
    <n v="0"/>
    <n v="599.937375794834"/>
    <n v="1090.3"/>
    <n v="3.4462520070109122"/>
    <n v="10"/>
    <n v="1"/>
  </r>
  <r>
    <x v="0"/>
    <s v="2025-12-30 22:09:11"/>
    <n v="7"/>
    <x v="3"/>
    <x v="6"/>
    <x v="1"/>
    <n v="13900.504384022301"/>
    <n v="3E+20"/>
    <n v="0"/>
    <n v="157355.353923986"/>
    <n v="1121"/>
    <s v="Unnamed ProjectCustomerWait TimeEntity"/>
    <n v="10"/>
    <n v="9693.4924662809171"/>
    <n v="2196.5680499894434"/>
    <n v="0.95"/>
    <n v="1571.3301239944644"/>
    <n v="5987.0303993100997"/>
    <n v="13900.504384022301"/>
    <n v="0"/>
    <n v="157355.353923986"/>
    <n v="1090.3"/>
    <n v="1571.3301239944644"/>
    <n v="10"/>
    <n v="1"/>
  </r>
  <r>
    <x v="0"/>
    <s v="2025-12-30 22:09:11"/>
    <n v="8"/>
    <x v="3"/>
    <x v="1"/>
    <x v="1"/>
    <n v="0"/>
    <n v="0"/>
    <n v="0"/>
    <n v="0"/>
    <n v="1088"/>
    <s v="Unnamed ProjectCustomerNVA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8"/>
    <x v="3"/>
    <x v="2"/>
    <x v="1"/>
    <n v="0"/>
    <n v="0"/>
    <n v="0"/>
    <n v="0"/>
    <n v="1088"/>
    <s v="Unnamed ProjectCustomerOth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8"/>
    <x v="3"/>
    <x v="3"/>
    <x v="1"/>
    <n v="9185.0552621974693"/>
    <n v="3E+20"/>
    <n v="0"/>
    <n v="138608.04586890701"/>
    <n v="1088"/>
    <s v="Unnamed ProjectCustomerTotal TimeEntity"/>
    <n v="10"/>
    <n v="9742.1197042971507"/>
    <n v="2201.2906969156033"/>
    <n v="0.95"/>
    <n v="1574.7085020875541"/>
    <n v="6027.1337102524203"/>
    <n v="13957.3299192006"/>
    <n v="0"/>
    <n v="157886.223189824"/>
    <n v="1090.3"/>
    <n v="1574.7085020875541"/>
    <n v="10"/>
    <n v="1"/>
  </r>
  <r>
    <x v="0"/>
    <s v="2025-12-30 22:09:11"/>
    <n v="8"/>
    <x v="3"/>
    <x v="4"/>
    <x v="1"/>
    <n v="0"/>
    <n v="0"/>
    <n v="0"/>
    <n v="0"/>
    <n v="1088"/>
    <s v="Unnamed ProjectCustomerTransf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8"/>
    <x v="3"/>
    <x v="5"/>
    <x v="1"/>
    <n v="48.072636706517002"/>
    <n v="3E+20"/>
    <n v="0"/>
    <n v="596.94835007243103"/>
    <n v="1088"/>
    <s v="Unnamed ProjectCustomerVA TimeEntity"/>
    <n v="10"/>
    <n v="48.627238016232184"/>
    <n v="4.817528115332455"/>
    <n v="0.95"/>
    <n v="3.4462520070109122"/>
    <n v="40.103310942305598"/>
    <n v="56.8255351782406"/>
    <n v="0"/>
    <n v="599.937375794834"/>
    <n v="1090.3"/>
    <n v="3.4462520070109122"/>
    <n v="10"/>
    <n v="1"/>
  </r>
  <r>
    <x v="0"/>
    <s v="2025-12-30 22:09:11"/>
    <n v="8"/>
    <x v="3"/>
    <x v="6"/>
    <x v="1"/>
    <n v="9136.9826254909403"/>
    <n v="3E+20"/>
    <n v="0"/>
    <n v="138171.10398225501"/>
    <n v="1088"/>
    <s v="Unnamed ProjectCustomerWait TimeEntity"/>
    <n v="10"/>
    <n v="9693.4924662809171"/>
    <n v="2196.5680499894434"/>
    <n v="0.95"/>
    <n v="1571.3301239944644"/>
    <n v="5987.0303993100997"/>
    <n v="13900.504384022301"/>
    <n v="0"/>
    <n v="157355.353923986"/>
    <n v="1090.3"/>
    <n v="1571.3301239944644"/>
    <n v="10"/>
    <n v="1"/>
  </r>
  <r>
    <x v="0"/>
    <s v="2025-12-30 22:09:11"/>
    <n v="9"/>
    <x v="3"/>
    <x v="1"/>
    <x v="1"/>
    <n v="0"/>
    <n v="0"/>
    <n v="0"/>
    <n v="0"/>
    <n v="1042"/>
    <s v="Unnamed ProjectCustomerNVA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9"/>
    <x v="3"/>
    <x v="2"/>
    <x v="1"/>
    <n v="0"/>
    <n v="0"/>
    <n v="0"/>
    <n v="0"/>
    <n v="1042"/>
    <s v="Unnamed ProjectCustomerOth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9"/>
    <x v="3"/>
    <x v="3"/>
    <x v="1"/>
    <n v="9598.23452036251"/>
    <n v="3E+20"/>
    <n v="0"/>
    <n v="141998.106433579"/>
    <n v="1042"/>
    <s v="Unnamed ProjectCustomerTotal TimeEntity"/>
    <n v="10"/>
    <n v="9742.1197042971507"/>
    <n v="2201.2906969156033"/>
    <n v="0.95"/>
    <n v="1574.7085020875541"/>
    <n v="6027.1337102524203"/>
    <n v="13957.3299192006"/>
    <n v="0"/>
    <n v="157886.223189824"/>
    <n v="1090.3"/>
    <n v="1574.7085020875541"/>
    <n v="10"/>
    <n v="1"/>
  </r>
  <r>
    <x v="0"/>
    <s v="2025-12-30 22:09:11"/>
    <n v="9"/>
    <x v="3"/>
    <x v="4"/>
    <x v="1"/>
    <n v="0"/>
    <n v="0"/>
    <n v="0"/>
    <n v="0"/>
    <n v="1042"/>
    <s v="Unnamed ProjectCustomerTransf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9"/>
    <x v="3"/>
    <x v="5"/>
    <x v="1"/>
    <n v="48.750345956817704"/>
    <n v="3E+20"/>
    <n v="0"/>
    <n v="598.31204499286798"/>
    <n v="1042"/>
    <s v="Unnamed ProjectCustomerVA TimeEntity"/>
    <n v="10"/>
    <n v="48.627238016232184"/>
    <n v="4.817528115332455"/>
    <n v="0.95"/>
    <n v="3.4462520070109122"/>
    <n v="40.103310942305598"/>
    <n v="56.8255351782406"/>
    <n v="0"/>
    <n v="599.937375794834"/>
    <n v="1090.3"/>
    <n v="3.4462520070109122"/>
    <n v="10"/>
    <n v="1"/>
  </r>
  <r>
    <x v="0"/>
    <s v="2025-12-30 22:09:11"/>
    <n v="9"/>
    <x v="3"/>
    <x v="6"/>
    <x v="1"/>
    <n v="9549.4841744056903"/>
    <n v="3E+20"/>
    <n v="0"/>
    <n v="141502.17881267899"/>
    <n v="1042"/>
    <s v="Unnamed ProjectCustomerWait TimeEntity"/>
    <n v="10"/>
    <n v="9693.4924662809171"/>
    <n v="2196.5680499894434"/>
    <n v="0.95"/>
    <n v="1571.3301239944644"/>
    <n v="5987.0303993100997"/>
    <n v="13900.504384022301"/>
    <n v="0"/>
    <n v="157355.353923986"/>
    <n v="1090.3"/>
    <n v="1571.3301239944644"/>
    <n v="10"/>
    <n v="1"/>
  </r>
  <r>
    <x v="0"/>
    <s v="2025-12-30 22:09:11"/>
    <n v="10"/>
    <x v="3"/>
    <x v="1"/>
    <x v="1"/>
    <n v="0"/>
    <n v="0"/>
    <n v="0"/>
    <n v="0"/>
    <n v="1067"/>
    <s v="Unnamed ProjectCustomerNVA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10"/>
    <x v="3"/>
    <x v="2"/>
    <x v="1"/>
    <n v="0"/>
    <n v="0"/>
    <n v="0"/>
    <n v="0"/>
    <n v="1067"/>
    <s v="Unnamed ProjectCustomerOth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10"/>
    <x v="3"/>
    <x v="3"/>
    <x v="1"/>
    <n v="10052.605919433099"/>
    <n v="3E+20"/>
    <n v="0"/>
    <n v="142019.33043751301"/>
    <n v="1067"/>
    <s v="Unnamed ProjectCustomerTotal TimeEntity"/>
    <n v="10"/>
    <n v="9742.1197042971507"/>
    <n v="2201.2906969156033"/>
    <n v="0.95"/>
    <n v="1574.7085020875541"/>
    <n v="6027.1337102524203"/>
    <n v="13957.3299192006"/>
    <n v="0"/>
    <n v="157886.223189824"/>
    <n v="1090.3"/>
    <n v="1574.7085020875541"/>
    <n v="10"/>
    <n v="1"/>
  </r>
  <r>
    <x v="0"/>
    <s v="2025-12-30 22:09:11"/>
    <n v="10"/>
    <x v="3"/>
    <x v="4"/>
    <x v="1"/>
    <n v="0"/>
    <n v="0"/>
    <n v="0"/>
    <n v="0"/>
    <n v="1067"/>
    <s v="Unnamed ProjectCustomerTransfer TimeEntity"/>
    <n v="10"/>
    <n v="0"/>
    <n v="0"/>
    <n v="0.95"/>
    <n v="0"/>
    <n v="0"/>
    <n v="0"/>
    <n v="0"/>
    <n v="0"/>
    <n v="1090.3"/>
    <n v="0"/>
    <n v="10"/>
    <n v="1"/>
  </r>
  <r>
    <x v="0"/>
    <s v="2025-12-30 22:09:11"/>
    <n v="10"/>
    <x v="3"/>
    <x v="5"/>
    <x v="1"/>
    <n v="48.628131488596097"/>
    <n v="3E+20"/>
    <n v="0"/>
    <n v="597.90141854001604"/>
    <n v="1067"/>
    <s v="Unnamed ProjectCustomerVA TimeEntity"/>
    <n v="10"/>
    <n v="48.627238016232184"/>
    <n v="4.817528115332455"/>
    <n v="0.95"/>
    <n v="3.4462520070109122"/>
    <n v="40.103310942305598"/>
    <n v="56.8255351782406"/>
    <n v="0"/>
    <n v="599.937375794834"/>
    <n v="1090.3"/>
    <n v="3.4462520070109122"/>
    <n v="10"/>
    <n v="1"/>
  </r>
  <r>
    <x v="0"/>
    <s v="2025-12-30 22:09:11"/>
    <n v="10"/>
    <x v="3"/>
    <x v="6"/>
    <x v="1"/>
    <n v="10003.977787944499"/>
    <n v="3E+20"/>
    <n v="0"/>
    <n v="141522.16344648699"/>
    <n v="1067"/>
    <s v="Unnamed ProjectCustomerWait TimeEntity"/>
    <n v="10"/>
    <n v="9693.4924662809171"/>
    <n v="2196.5680499894434"/>
    <n v="0.95"/>
    <n v="1571.3301239944644"/>
    <n v="5987.0303993100997"/>
    <n v="13900.504384022301"/>
    <n v="0"/>
    <n v="157355.353923986"/>
    <n v="1090.3"/>
    <n v="1571.3301239944644"/>
    <n v="10"/>
    <n v="1"/>
  </r>
  <r>
    <x v="0"/>
    <s v="2025-12-30 22:09:11"/>
    <n v="1"/>
    <x v="4"/>
    <x v="0"/>
    <x v="0"/>
    <n v="3.6075807712010999E-3"/>
    <n v="3E+20"/>
    <n v="0"/>
    <n v="14.575546580967099"/>
    <n v="6545"/>
    <s v="Unnamed ProjectMatch 1.Queue1Waiting TimeQueue"/>
    <n v="10"/>
    <n v="2.693376329348665E-3"/>
    <n v="7.187026600097323E-4"/>
    <n v="0.95"/>
    <n v="5.1412891117744869E-4"/>
    <n v="1.66388583370316E-3"/>
    <n v="3.88575924677469E-3"/>
    <n v="0"/>
    <n v="15.208346494975601"/>
    <n v="6549.7"/>
    <n v="5.1412891117744869E-4"/>
    <n v="10"/>
    <n v="1"/>
  </r>
  <r>
    <x v="0"/>
    <s v="2025-12-30 22:09:11"/>
    <n v="2"/>
    <x v="4"/>
    <x v="0"/>
    <x v="0"/>
    <n v="3.88575924677469E-3"/>
    <n v="3E+20"/>
    <n v="0"/>
    <n v="13.0376845924657"/>
    <n v="6559"/>
    <s v="Unnamed ProjectMatch 1.Queue1Waiting TimeQueue"/>
    <n v="10"/>
    <n v="2.693376329348665E-3"/>
    <n v="7.187026600097323E-4"/>
    <n v="0.95"/>
    <n v="5.1412891117744869E-4"/>
    <n v="1.66388583370316E-3"/>
    <n v="3.88575924677469E-3"/>
    <n v="0"/>
    <n v="15.208346494975601"/>
    <n v="6549.7"/>
    <n v="5.1412891117744869E-4"/>
    <n v="10"/>
    <n v="1"/>
  </r>
  <r>
    <x v="0"/>
    <s v="2025-12-30 22:09:11"/>
    <n v="3"/>
    <x v="4"/>
    <x v="0"/>
    <x v="0"/>
    <n v="2.2424912368713499E-3"/>
    <n v="3E+20"/>
    <n v="0"/>
    <n v="12.2858896119506"/>
    <n v="6548"/>
    <s v="Unnamed ProjectMatch 1.Queue1Waiting TimeQueue"/>
    <n v="10"/>
    <n v="2.693376329348665E-3"/>
    <n v="7.187026600097323E-4"/>
    <n v="0.95"/>
    <n v="5.1412891117744869E-4"/>
    <n v="1.66388583370316E-3"/>
    <n v="3.88575924677469E-3"/>
    <n v="0"/>
    <n v="15.208346494975601"/>
    <n v="6549.7"/>
    <n v="5.1412891117744869E-4"/>
    <n v="10"/>
    <n v="1"/>
  </r>
  <r>
    <x v="0"/>
    <s v="2025-12-30 22:09:11"/>
    <n v="4"/>
    <x v="4"/>
    <x v="0"/>
    <x v="0"/>
    <n v="2.8605831958445002E-3"/>
    <n v="3E+20"/>
    <n v="0"/>
    <n v="13.704968611116801"/>
    <n v="6543"/>
    <s v="Unnamed ProjectMatch 1.Queue1Waiting TimeQueue"/>
    <n v="10"/>
    <n v="2.693376329348665E-3"/>
    <n v="7.187026600097323E-4"/>
    <n v="0.95"/>
    <n v="5.1412891117744869E-4"/>
    <n v="1.66388583370316E-3"/>
    <n v="3.88575924677469E-3"/>
    <n v="0"/>
    <n v="15.208346494975601"/>
    <n v="6549.7"/>
    <n v="5.1412891117744869E-4"/>
    <n v="10"/>
    <n v="1"/>
  </r>
  <r>
    <x v="0"/>
    <s v="2025-12-30 22:09:11"/>
    <n v="5"/>
    <x v="4"/>
    <x v="0"/>
    <x v="0"/>
    <n v="2.6289430498753498E-3"/>
    <n v="3E+20"/>
    <n v="0"/>
    <n v="13.2543408105339"/>
    <n v="6555"/>
    <s v="Unnamed ProjectMatch 1.Queue1Waiting TimeQueue"/>
    <n v="10"/>
    <n v="2.693376329348665E-3"/>
    <n v="7.187026600097323E-4"/>
    <n v="0.95"/>
    <n v="5.1412891117744869E-4"/>
    <n v="1.66388583370316E-3"/>
    <n v="3.88575924677469E-3"/>
    <n v="0"/>
    <n v="15.208346494975601"/>
    <n v="6549.7"/>
    <n v="5.1412891117744869E-4"/>
    <n v="10"/>
    <n v="1"/>
  </r>
  <r>
    <x v="0"/>
    <s v="2025-12-30 22:09:11"/>
    <n v="6"/>
    <x v="4"/>
    <x v="0"/>
    <x v="0"/>
    <n v="3.1655289951226001E-3"/>
    <n v="3E+20"/>
    <n v="0"/>
    <n v="13.8239578449757"/>
    <n v="6551"/>
    <s v="Unnamed ProjectMatch 1.Queue1Waiting TimeQueue"/>
    <n v="10"/>
    <n v="2.693376329348665E-3"/>
    <n v="7.187026600097323E-4"/>
    <n v="0.95"/>
    <n v="5.1412891117744869E-4"/>
    <n v="1.66388583370316E-3"/>
    <n v="3.88575924677469E-3"/>
    <n v="0"/>
    <n v="15.208346494975601"/>
    <n v="6549.7"/>
    <n v="5.1412891117744869E-4"/>
    <n v="10"/>
    <n v="1"/>
  </r>
  <r>
    <x v="0"/>
    <s v="2025-12-30 22:09:11"/>
    <n v="7"/>
    <x v="4"/>
    <x v="0"/>
    <x v="0"/>
    <n v="2.3201138817659202E-3"/>
    <n v="3E+20"/>
    <n v="0"/>
    <n v="15.208346494975601"/>
    <n v="6555"/>
    <s v="Unnamed ProjectMatch 1.Queue1Waiting TimeQueue"/>
    <n v="10"/>
    <n v="2.693376329348665E-3"/>
    <n v="7.187026600097323E-4"/>
    <n v="0.95"/>
    <n v="5.1412891117744869E-4"/>
    <n v="1.66388583370316E-3"/>
    <n v="3.88575924677469E-3"/>
    <n v="0"/>
    <n v="15.208346494975601"/>
    <n v="6549.7"/>
    <n v="5.1412891117744869E-4"/>
    <n v="10"/>
    <n v="1"/>
  </r>
  <r>
    <x v="0"/>
    <s v="2025-12-30 22:09:11"/>
    <n v="8"/>
    <x v="4"/>
    <x v="0"/>
    <x v="0"/>
    <n v="1.66388583370316E-3"/>
    <n v="3E+20"/>
    <n v="0"/>
    <n v="7.6533313238323899"/>
    <n v="6548"/>
    <s v="Unnamed ProjectMatch 1.Queue1Waiting TimeQueue"/>
    <n v="10"/>
    <n v="2.693376329348665E-3"/>
    <n v="7.187026600097323E-4"/>
    <n v="0.95"/>
    <n v="5.1412891117744869E-4"/>
    <n v="1.66388583370316E-3"/>
    <n v="3.88575924677469E-3"/>
    <n v="0"/>
    <n v="15.208346494975601"/>
    <n v="6549.7"/>
    <n v="5.1412891117744869E-4"/>
    <n v="10"/>
    <n v="1"/>
  </r>
  <r>
    <x v="0"/>
    <s v="2025-12-30 22:09:11"/>
    <n v="9"/>
    <x v="4"/>
    <x v="0"/>
    <x v="0"/>
    <n v="2.7216234729382301E-3"/>
    <n v="3E+20"/>
    <n v="0"/>
    <n v="11.5183953573833"/>
    <n v="6552"/>
    <s v="Unnamed ProjectMatch 1.Queue1Waiting TimeQueue"/>
    <n v="10"/>
    <n v="2.693376329348665E-3"/>
    <n v="7.187026600097323E-4"/>
    <n v="0.95"/>
    <n v="5.1412891117744869E-4"/>
    <n v="1.66388583370316E-3"/>
    <n v="3.88575924677469E-3"/>
    <n v="0"/>
    <n v="15.208346494975601"/>
    <n v="6549.7"/>
    <n v="5.1412891117744869E-4"/>
    <n v="10"/>
    <n v="1"/>
  </r>
  <r>
    <x v="0"/>
    <s v="2025-12-30 22:09:11"/>
    <n v="10"/>
    <x v="4"/>
    <x v="0"/>
    <x v="0"/>
    <n v="1.8372536093897501E-3"/>
    <n v="3E+20"/>
    <n v="0"/>
    <n v="11.1760452675117"/>
    <n v="6541"/>
    <s v="Unnamed ProjectMatch 1.Queue1Waiting TimeQueue"/>
    <n v="10"/>
    <n v="2.693376329348665E-3"/>
    <n v="7.187026600097323E-4"/>
    <n v="0.95"/>
    <n v="5.1412891117744869E-4"/>
    <n v="1.66388583370316E-3"/>
    <n v="3.88575924677469E-3"/>
    <n v="0"/>
    <n v="15.208346494975601"/>
    <n v="6549.7"/>
    <n v="5.1412891117744869E-4"/>
    <n v="10"/>
    <n v="1"/>
  </r>
  <r>
    <x v="0"/>
    <s v="2025-12-30 22:09:11"/>
    <n v="1"/>
    <x v="5"/>
    <x v="0"/>
    <x v="0"/>
    <n v="58772.660433449098"/>
    <n v="3E+20"/>
    <n v="0"/>
    <n v="116586.069482279"/>
    <n v="6545"/>
    <s v="Unnamed ProjectMatch 1.Queue2Waiting TimeQueue"/>
    <n v="10"/>
    <n v="58533.653339929719"/>
    <n v="371.29609152942885"/>
    <n v="0.95"/>
    <n v="265.60922323549289"/>
    <n v="57893.147131323101"/>
    <n v="59090.509244091503"/>
    <n v="0"/>
    <n v="116803.050812584"/>
    <n v="6549.7"/>
    <n v="265.60922323549289"/>
    <n v="10"/>
    <n v="1"/>
  </r>
  <r>
    <x v="0"/>
    <s v="2025-12-30 22:09:11"/>
    <n v="2"/>
    <x v="5"/>
    <x v="0"/>
    <x v="0"/>
    <n v="57893.147131323101"/>
    <n v="3E+20"/>
    <n v="0"/>
    <n v="115986.400080619"/>
    <n v="6559"/>
    <s v="Unnamed ProjectMatch 1.Queue2Waiting TimeQueue"/>
    <n v="10"/>
    <n v="58533.653339929719"/>
    <n v="371.29609152942885"/>
    <n v="0.95"/>
    <n v="265.60922323549289"/>
    <n v="57893.147131323101"/>
    <n v="59090.509244091503"/>
    <n v="0"/>
    <n v="116803.050812584"/>
    <n v="6549.7"/>
    <n v="265.60922323549289"/>
    <n v="10"/>
    <n v="1"/>
  </r>
  <r>
    <x v="0"/>
    <s v="2025-12-30 22:09:11"/>
    <n v="3"/>
    <x v="5"/>
    <x v="0"/>
    <x v="0"/>
    <n v="58955.305794660002"/>
    <n v="3E+20"/>
    <n v="0"/>
    <n v="116803.050812584"/>
    <n v="6548"/>
    <s v="Unnamed ProjectMatch 1.Queue2Waiting TimeQueue"/>
    <n v="10"/>
    <n v="58533.653339929719"/>
    <n v="371.29609152942885"/>
    <n v="0.95"/>
    <n v="265.60922323549289"/>
    <n v="57893.147131323101"/>
    <n v="59090.509244091503"/>
    <n v="0"/>
    <n v="116803.050812584"/>
    <n v="6549.7"/>
    <n v="265.60922323549289"/>
    <n v="10"/>
    <n v="1"/>
  </r>
  <r>
    <x v="0"/>
    <s v="2025-12-30 22:09:11"/>
    <n v="4"/>
    <x v="5"/>
    <x v="0"/>
    <x v="0"/>
    <n v="58598.722717179102"/>
    <n v="3E+20"/>
    <n v="0"/>
    <n v="116563.880596341"/>
    <n v="6543"/>
    <s v="Unnamed ProjectMatch 1.Queue2Waiting TimeQueue"/>
    <n v="10"/>
    <n v="58533.653339929719"/>
    <n v="371.29609152942885"/>
    <n v="0.95"/>
    <n v="265.60922323549289"/>
    <n v="57893.147131323101"/>
    <n v="59090.509244091503"/>
    <n v="0"/>
    <n v="116803.050812584"/>
    <n v="6549.7"/>
    <n v="265.60922323549289"/>
    <n v="10"/>
    <n v="1"/>
  </r>
  <r>
    <x v="0"/>
    <s v="2025-12-30 22:09:11"/>
    <n v="5"/>
    <x v="5"/>
    <x v="0"/>
    <x v="0"/>
    <n v="59090.509244091503"/>
    <n v="3E+20"/>
    <n v="0"/>
    <n v="116560.718102107"/>
    <n v="6555"/>
    <s v="Unnamed ProjectMatch 1.Queue2Waiting TimeQueue"/>
    <n v="10"/>
    <n v="58533.653339929719"/>
    <n v="371.29609152942885"/>
    <n v="0.95"/>
    <n v="265.60922323549289"/>
    <n v="57893.147131323101"/>
    <n v="59090.509244091503"/>
    <n v="0"/>
    <n v="116803.050812584"/>
    <n v="6549.7"/>
    <n v="265.60922323549289"/>
    <n v="10"/>
    <n v="1"/>
  </r>
  <r>
    <x v="0"/>
    <s v="2025-12-30 22:09:11"/>
    <n v="6"/>
    <x v="5"/>
    <x v="0"/>
    <x v="0"/>
    <n v="58120.975076691"/>
    <n v="3E+20"/>
    <n v="0"/>
    <n v="115757.604442803"/>
    <n v="6551"/>
    <s v="Unnamed ProjectMatch 1.Queue2Waiting TimeQueue"/>
    <n v="10"/>
    <n v="58533.653339929719"/>
    <n v="371.29609152942885"/>
    <n v="0.95"/>
    <n v="265.60922323549289"/>
    <n v="57893.147131323101"/>
    <n v="59090.509244091503"/>
    <n v="0"/>
    <n v="116803.050812584"/>
    <n v="6549.7"/>
    <n v="265.60922323549289"/>
    <n v="10"/>
    <n v="1"/>
  </r>
  <r>
    <x v="0"/>
    <s v="2025-12-30 22:09:11"/>
    <n v="7"/>
    <x v="5"/>
    <x v="0"/>
    <x v="0"/>
    <n v="58357.645722618203"/>
    <n v="3E+20"/>
    <n v="0"/>
    <n v="116281.631296643"/>
    <n v="6555"/>
    <s v="Unnamed ProjectMatch 1.Queue2Waiting TimeQueue"/>
    <n v="10"/>
    <n v="58533.653339929719"/>
    <n v="371.29609152942885"/>
    <n v="0.95"/>
    <n v="265.60922323549289"/>
    <n v="57893.147131323101"/>
    <n v="59090.509244091503"/>
    <n v="0"/>
    <n v="116803.050812584"/>
    <n v="6549.7"/>
    <n v="265.60922323549289"/>
    <n v="10"/>
    <n v="1"/>
  </r>
  <r>
    <x v="0"/>
    <s v="2025-12-30 22:09:11"/>
    <n v="8"/>
    <x v="5"/>
    <x v="0"/>
    <x v="0"/>
    <n v="58488.629238629903"/>
    <n v="3E+20"/>
    <n v="0"/>
    <n v="116372.15815694"/>
    <n v="6548"/>
    <s v="Unnamed ProjectMatch 1.Queue2Waiting TimeQueue"/>
    <n v="10"/>
    <n v="58533.653339929719"/>
    <n v="371.29609152942885"/>
    <n v="0.95"/>
    <n v="265.60922323549289"/>
    <n v="57893.147131323101"/>
    <n v="59090.509244091503"/>
    <n v="0"/>
    <n v="116803.050812584"/>
    <n v="6549.7"/>
    <n v="265.60922323549289"/>
    <n v="10"/>
    <n v="1"/>
  </r>
  <r>
    <x v="0"/>
    <s v="2025-12-30 22:09:11"/>
    <n v="9"/>
    <x v="5"/>
    <x v="0"/>
    <x v="0"/>
    <n v="58332.089990599001"/>
    <n v="3E+20"/>
    <n v="0"/>
    <n v="116176.22271457899"/>
    <n v="6552"/>
    <s v="Unnamed ProjectMatch 1.Queue2Waiting TimeQueue"/>
    <n v="10"/>
    <n v="58533.653339929719"/>
    <n v="371.29609152942885"/>
    <n v="0.95"/>
    <n v="265.60922323549289"/>
    <n v="57893.147131323101"/>
    <n v="59090.509244091503"/>
    <n v="0"/>
    <n v="116803.050812584"/>
    <n v="6549.7"/>
    <n v="265.60922323549289"/>
    <n v="10"/>
    <n v="1"/>
  </r>
  <r>
    <x v="0"/>
    <s v="2025-12-30 22:09:11"/>
    <n v="10"/>
    <x v="5"/>
    <x v="0"/>
    <x v="0"/>
    <n v="58726.8480500562"/>
    <n v="3E+20"/>
    <n v="0"/>
    <n v="116538.672791228"/>
    <n v="6541"/>
    <s v="Unnamed ProjectMatch 1.Queue2Waiting TimeQueue"/>
    <n v="10"/>
    <n v="58533.653339929719"/>
    <n v="371.29609152942885"/>
    <n v="0.95"/>
    <n v="265.60922323549289"/>
    <n v="57893.147131323101"/>
    <n v="59090.509244091503"/>
    <n v="0"/>
    <n v="116803.050812584"/>
    <n v="6549.7"/>
    <n v="265.60922323549289"/>
    <n v="10"/>
    <n v="1"/>
  </r>
  <r>
    <x v="0"/>
    <s v="2025-12-30 22:09:11"/>
    <n v="1"/>
    <x v="6"/>
    <x v="0"/>
    <x v="0"/>
    <n v="81095.0545885397"/>
    <n v="3E+20"/>
    <n v="45.057947770190403"/>
    <n v="177688.596375975"/>
    <n v="6545"/>
    <s v="Unnamed ProjectMatch 1.Queue3Waiting TimeQueue"/>
    <n v="10"/>
    <n v="81089.790442311642"/>
    <n v="344.30397503238157"/>
    <n v="0.95"/>
    <n v="246.30022629256547"/>
    <n v="80322.790937868805"/>
    <n v="81461.732866104401"/>
    <n v="39.787285097176202"/>
    <n v="178174.15735445099"/>
    <n v="6549.7"/>
    <n v="246.30022629256547"/>
    <n v="10"/>
    <n v="1"/>
  </r>
  <r>
    <x v="0"/>
    <s v="2025-12-30 22:09:11"/>
    <n v="2"/>
    <x v="6"/>
    <x v="0"/>
    <x v="0"/>
    <n v="80322.790937868805"/>
    <n v="3E+20"/>
    <n v="45.057532239807202"/>
    <n v="176969.381746653"/>
    <n v="6559"/>
    <s v="Unnamed ProjectMatch 1.Queue3Waiting TimeQueue"/>
    <n v="10"/>
    <n v="81089.790442311642"/>
    <n v="344.30397503238157"/>
    <n v="0.95"/>
    <n v="246.30022629256547"/>
    <n v="80322.790937868805"/>
    <n v="81461.732866104401"/>
    <n v="39.787285097176202"/>
    <n v="178174.15735445099"/>
    <n v="6549.7"/>
    <n v="246.30022629256547"/>
    <n v="10"/>
    <n v="1"/>
  </r>
  <r>
    <x v="0"/>
    <s v="2025-12-30 22:09:11"/>
    <n v="3"/>
    <x v="6"/>
    <x v="0"/>
    <x v="0"/>
    <n v="81461.732866104401"/>
    <n v="3E+20"/>
    <n v="39.933992064325103"/>
    <n v="178161.79849766099"/>
    <n v="6548"/>
    <s v="Unnamed ProjectMatch 1.Queue3Waiting TimeQueue"/>
    <n v="10"/>
    <n v="81089.790442311642"/>
    <n v="344.30397503238157"/>
    <n v="0.95"/>
    <n v="246.30022629256547"/>
    <n v="80322.790937868805"/>
    <n v="81461.732866104401"/>
    <n v="39.787285097176202"/>
    <n v="178174.15735445099"/>
    <n v="6549.7"/>
    <n v="246.30022629256547"/>
    <n v="10"/>
    <n v="1"/>
  </r>
  <r>
    <x v="0"/>
    <s v="2025-12-30 22:09:11"/>
    <n v="4"/>
    <x v="6"/>
    <x v="0"/>
    <x v="0"/>
    <n v="81440.761161792601"/>
    <n v="3E+20"/>
    <n v="51.174962860259299"/>
    <n v="178174.15735445099"/>
    <n v="6543"/>
    <s v="Unnamed ProjectMatch 1.Queue3Waiting TimeQueue"/>
    <n v="10"/>
    <n v="81089.790442311642"/>
    <n v="344.30397503238157"/>
    <n v="0.95"/>
    <n v="246.30022629256547"/>
    <n v="80322.790937868805"/>
    <n v="81461.732866104401"/>
    <n v="39.787285097176202"/>
    <n v="178174.15735445099"/>
    <n v="6549.7"/>
    <n v="246.30022629256547"/>
    <n v="10"/>
    <n v="1"/>
  </r>
  <r>
    <x v="0"/>
    <s v="2025-12-30 22:09:11"/>
    <n v="5"/>
    <x v="6"/>
    <x v="0"/>
    <x v="0"/>
    <n v="81329.260269154795"/>
    <n v="3E+20"/>
    <n v="49.711660588771302"/>
    <n v="177779.77199961201"/>
    <n v="6555"/>
    <s v="Unnamed ProjectMatch 1.Queue3Waiting TimeQueue"/>
    <n v="10"/>
    <n v="81089.790442311642"/>
    <n v="344.30397503238157"/>
    <n v="0.95"/>
    <n v="246.30022629256547"/>
    <n v="80322.790937868805"/>
    <n v="81461.732866104401"/>
    <n v="39.787285097176202"/>
    <n v="178174.15735445099"/>
    <n v="6549.7"/>
    <n v="246.30022629256547"/>
    <n v="10"/>
    <n v="1"/>
  </r>
  <r>
    <x v="0"/>
    <s v="2025-12-30 22:09:11"/>
    <n v="6"/>
    <x v="6"/>
    <x v="0"/>
    <x v="0"/>
    <n v="81144.218685939995"/>
    <n v="3E+20"/>
    <n v="42.043528397807698"/>
    <n v="177620.428272138"/>
    <n v="6551"/>
    <s v="Unnamed ProjectMatch 1.Queue3Waiting TimeQueue"/>
    <n v="10"/>
    <n v="81089.790442311642"/>
    <n v="344.30397503238157"/>
    <n v="0.95"/>
    <n v="246.30022629256547"/>
    <n v="80322.790937868805"/>
    <n v="81461.732866104401"/>
    <n v="39.787285097176202"/>
    <n v="178174.15735445099"/>
    <n v="6549.7"/>
    <n v="246.30022629256547"/>
    <n v="10"/>
    <n v="1"/>
  </r>
  <r>
    <x v="0"/>
    <s v="2025-12-30 22:09:11"/>
    <n v="7"/>
    <x v="6"/>
    <x v="0"/>
    <x v="0"/>
    <n v="80754.008036148996"/>
    <n v="3E+20"/>
    <n v="47.042963828898799"/>
    <n v="177548.911277081"/>
    <n v="6555"/>
    <s v="Unnamed ProjectMatch 1.Queue3Waiting TimeQueue"/>
    <n v="10"/>
    <n v="81089.790442311642"/>
    <n v="344.30397503238157"/>
    <n v="0.95"/>
    <n v="246.30022629256547"/>
    <n v="80322.790937868805"/>
    <n v="81461.732866104401"/>
    <n v="39.787285097176202"/>
    <n v="178174.15735445099"/>
    <n v="6549.7"/>
    <n v="246.30022629256547"/>
    <n v="10"/>
    <n v="1"/>
  </r>
  <r>
    <x v="0"/>
    <s v="2025-12-30 22:09:11"/>
    <n v="8"/>
    <x v="6"/>
    <x v="0"/>
    <x v="0"/>
    <n v="80950.686681289706"/>
    <n v="3E+20"/>
    <n v="43.958239669515002"/>
    <n v="177468.73084656399"/>
    <n v="6548"/>
    <s v="Unnamed ProjectMatch 1.Queue3Waiting TimeQueue"/>
    <n v="10"/>
    <n v="81089.790442311642"/>
    <n v="344.30397503238157"/>
    <n v="0.95"/>
    <n v="246.30022629256547"/>
    <n v="80322.790937868805"/>
    <n v="81461.732866104401"/>
    <n v="39.787285097176202"/>
    <n v="178174.15735445099"/>
    <n v="6549.7"/>
    <n v="246.30022629256547"/>
    <n v="10"/>
    <n v="1"/>
  </r>
  <r>
    <x v="0"/>
    <s v="2025-12-30 22:09:11"/>
    <n v="9"/>
    <x v="6"/>
    <x v="0"/>
    <x v="0"/>
    <n v="81215.558803374195"/>
    <n v="3E+20"/>
    <n v="51.9677571756365"/>
    <n v="177857.01252728401"/>
    <n v="6552"/>
    <s v="Unnamed ProjectMatch 1.Queue3Waiting TimeQueue"/>
    <n v="10"/>
    <n v="81089.790442311642"/>
    <n v="344.30397503238157"/>
    <n v="0.95"/>
    <n v="246.30022629256547"/>
    <n v="80322.790937868805"/>
    <n v="81461.732866104401"/>
    <n v="39.787285097176202"/>
    <n v="178174.15735445099"/>
    <n v="6549.7"/>
    <n v="246.30022629256547"/>
    <n v="10"/>
    <n v="1"/>
  </r>
  <r>
    <x v="0"/>
    <s v="2025-12-30 22:09:11"/>
    <n v="10"/>
    <x v="6"/>
    <x v="0"/>
    <x v="0"/>
    <n v="81183.832392903205"/>
    <n v="3E+20"/>
    <n v="39.787285097176202"/>
    <n v="177899.38078940101"/>
    <n v="6541"/>
    <s v="Unnamed ProjectMatch 1.Queue3Waiting TimeQueue"/>
    <n v="10"/>
    <n v="81089.790442311642"/>
    <n v="344.30397503238157"/>
    <n v="0.95"/>
    <n v="246.30022629256547"/>
    <n v="80322.790937868805"/>
    <n v="81461.732866104401"/>
    <n v="39.787285097176202"/>
    <n v="178174.15735445099"/>
    <n v="6549.7"/>
    <n v="246.30022629256547"/>
    <n v="10"/>
    <n v="1"/>
  </r>
  <r>
    <x v="0"/>
    <s v="2025-12-30 22:09:11"/>
    <n v="1"/>
    <x v="7"/>
    <x v="7"/>
    <x v="2"/>
    <n v="11.992805765788701"/>
    <n v="3E+20"/>
    <n v="8.0548468733177305"/>
    <n v="15.988991653197401"/>
    <n v="13094"/>
    <s v="Unnamed ProjectProcess 1Total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1"/>
    <x v="7"/>
    <x v="8"/>
    <x v="2"/>
    <n v="11.992805765788701"/>
    <n v="3E+20"/>
    <n v="8.0548468733177305"/>
    <n v="15.988991653197401"/>
    <n v="13094"/>
    <s v="Unnamed ProjectProcess 1VA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2"/>
    <x v="7"/>
    <x v="7"/>
    <x v="2"/>
    <n v="11.968134505713"/>
    <n v="2.8121669142907001E-2"/>
    <n v="8.0565354931168294"/>
    <n v="15.953494974586601"/>
    <n v="13120"/>
    <s v="Unnamed ProjectProcess 1Total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2"/>
    <x v="7"/>
    <x v="8"/>
    <x v="2"/>
    <n v="11.968134505713"/>
    <n v="2.8121669142907001E-2"/>
    <n v="8.0565354931168294"/>
    <n v="15.953494974586601"/>
    <n v="13120"/>
    <s v="Unnamed ProjectProcess 1VA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3"/>
    <x v="7"/>
    <x v="7"/>
    <x v="2"/>
    <n v="12.0011047525471"/>
    <n v="2.5545032888844799E-2"/>
    <n v="8.0617535858182201"/>
    <n v="15.9791944405588"/>
    <n v="13101"/>
    <s v="Unnamed ProjectProcess 1Total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3"/>
    <x v="7"/>
    <x v="8"/>
    <x v="2"/>
    <n v="12.0011047525471"/>
    <n v="2.5545032888844799E-2"/>
    <n v="8.0617535858182201"/>
    <n v="15.9791944405588"/>
    <n v="13101"/>
    <s v="Unnamed ProjectProcess 1VA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4"/>
    <x v="7"/>
    <x v="7"/>
    <x v="2"/>
    <n v="12.018010195507999"/>
    <n v="2.14048949781067E-2"/>
    <n v="8.0363863743259607"/>
    <n v="15.965223883162301"/>
    <n v="13088"/>
    <s v="Unnamed ProjectProcess 1Total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4"/>
    <x v="7"/>
    <x v="8"/>
    <x v="2"/>
    <n v="12.018010195507999"/>
    <n v="2.14048949781067E-2"/>
    <n v="8.0363863743259607"/>
    <n v="15.965223883162301"/>
    <n v="13088"/>
    <s v="Unnamed ProjectProcess 1VA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5"/>
    <x v="7"/>
    <x v="7"/>
    <x v="2"/>
    <n v="11.984770864822201"/>
    <n v="2.2455113422251399E-2"/>
    <n v="8.0698057046974991"/>
    <n v="15.9719800094608"/>
    <n v="13114"/>
    <s v="Unnamed ProjectProcess 1Total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5"/>
    <x v="7"/>
    <x v="8"/>
    <x v="2"/>
    <n v="11.984770864822201"/>
    <n v="2.2455113422251399E-2"/>
    <n v="8.0698057046974991"/>
    <n v="15.9719800094608"/>
    <n v="13114"/>
    <s v="Unnamed ProjectProcess 1VA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6"/>
    <x v="7"/>
    <x v="7"/>
    <x v="2"/>
    <n v="11.99291185225"/>
    <n v="3E+20"/>
    <n v="8.0435377945541404"/>
    <n v="15.9703607844276"/>
    <n v="13107"/>
    <s v="Unnamed ProjectProcess 1Total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6"/>
    <x v="7"/>
    <x v="8"/>
    <x v="2"/>
    <n v="11.99291185225"/>
    <n v="3E+20"/>
    <n v="8.0435377945541404"/>
    <n v="15.9703607844276"/>
    <n v="13107"/>
    <s v="Unnamed ProjectProcess 1VA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7"/>
    <x v="7"/>
    <x v="7"/>
    <x v="2"/>
    <n v="11.9657106276518"/>
    <n v="3.1837505727536103E-2"/>
    <n v="8.0648794826920494"/>
    <n v="15.9452776325634"/>
    <n v="13115"/>
    <s v="Unnamed ProjectProcess 1Total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7"/>
    <x v="7"/>
    <x v="8"/>
    <x v="2"/>
    <n v="11.9657106276518"/>
    <n v="3.1837505727536103E-2"/>
    <n v="8.0648794826920494"/>
    <n v="15.9452776325634"/>
    <n v="13115"/>
    <s v="Unnamed ProjectProcess 1VA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8"/>
    <x v="7"/>
    <x v="7"/>
    <x v="2"/>
    <n v="12.0079382319965"/>
    <n v="2.9859494710213801E-2"/>
    <n v="8.0497950388380595"/>
    <n v="15.8794522413518"/>
    <n v="13100"/>
    <s v="Unnamed ProjectProcess 1Total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8"/>
    <x v="7"/>
    <x v="8"/>
    <x v="2"/>
    <n v="12.0079382319965"/>
    <n v="2.9859494710213801E-2"/>
    <n v="8.0497950388380595"/>
    <n v="15.8794522413518"/>
    <n v="13100"/>
    <s v="Unnamed ProjectProcess 1VA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9"/>
    <x v="7"/>
    <x v="7"/>
    <x v="2"/>
    <n v="11.981434453592099"/>
    <n v="3.3302796440844502E-2"/>
    <n v="8.0268919270602108"/>
    <n v="15.9633818555158"/>
    <n v="13109"/>
    <s v="Unnamed ProjectProcess 1Total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9"/>
    <x v="7"/>
    <x v="8"/>
    <x v="2"/>
    <n v="11.981434453592099"/>
    <n v="3.3302796440844502E-2"/>
    <n v="8.0268919270602108"/>
    <n v="15.9633818555158"/>
    <n v="13109"/>
    <s v="Unnamed ProjectProcess 1VA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10"/>
    <x v="7"/>
    <x v="7"/>
    <x v="2"/>
    <n v="12.0046716520026"/>
    <n v="2.6525746770191899E-2"/>
    <n v="8.0566511487122607"/>
    <n v="15.9821047249025"/>
    <n v="13087"/>
    <s v="Unnamed ProjectProcess 1Total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10"/>
    <x v="7"/>
    <x v="8"/>
    <x v="2"/>
    <n v="12.0046716520026"/>
    <n v="2.6525746770191899E-2"/>
    <n v="8.0566511487122607"/>
    <n v="15.9821047249025"/>
    <n v="13087"/>
    <s v="Unnamed ProjectProcess 1VA Time Per EntityProcess"/>
    <n v="10"/>
    <n v="11.991749290187201"/>
    <n v="1.6994970021315683E-2"/>
    <n v="0.95"/>
    <n v="1.2157469171512588E-2"/>
    <n v="11.9657106276518"/>
    <n v="12.018010195507999"/>
    <n v="8.0268919270602108"/>
    <n v="15.988991653197401"/>
    <n v="13103.5"/>
    <n v="1.2157469171512588E-2"/>
    <n v="10"/>
    <n v="1"/>
  </r>
  <r>
    <x v="0"/>
    <s v="2025-12-30 22:09:11"/>
    <n v="1"/>
    <x v="8"/>
    <x v="7"/>
    <x v="2"/>
    <n v="3.3266547831131801"/>
    <n v="1.6864554665410401E-2"/>
    <n v="2.0203992324532001"/>
    <n v="4.9661825497751098"/>
    <n v="6543"/>
    <s v="Unnamed ProjectProcess 14Total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1"/>
    <x v="8"/>
    <x v="8"/>
    <x v="2"/>
    <n v="3.3266547831131801"/>
    <n v="1.6864554665410401E-2"/>
    <n v="2.0203992324532001"/>
    <n v="4.9661825497751098"/>
    <n v="6543"/>
    <s v="Unnamed ProjectProcess 14VA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2"/>
    <x v="8"/>
    <x v="7"/>
    <x v="2"/>
    <n v="3.3271558013561302"/>
    <n v="1.9424464612463201E-2"/>
    <n v="2.01056383305695"/>
    <n v="4.9824457724171198"/>
    <n v="6556"/>
    <s v="Unnamed ProjectProcess 14Total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2"/>
    <x v="8"/>
    <x v="8"/>
    <x v="2"/>
    <n v="3.3271558013561302"/>
    <n v="1.9424464612463201E-2"/>
    <n v="2.01056383305695"/>
    <n v="4.9824457724171198"/>
    <n v="6556"/>
    <s v="Unnamed ProjectProcess 14VA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3"/>
    <x v="8"/>
    <x v="7"/>
    <x v="2"/>
    <n v="3.3319790694035598"/>
    <n v="1.5975320863168802E-2"/>
    <n v="2.0188382779742802"/>
    <n v="4.9834094921825498"/>
    <n v="6546"/>
    <s v="Unnamed ProjectProcess 14Total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3"/>
    <x v="8"/>
    <x v="8"/>
    <x v="2"/>
    <n v="3.3319790694035598"/>
    <n v="1.5975320863168802E-2"/>
    <n v="2.0188382779742802"/>
    <n v="4.9834094921825498"/>
    <n v="6546"/>
    <s v="Unnamed ProjectProcess 14VA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4"/>
    <x v="8"/>
    <x v="7"/>
    <x v="2"/>
    <n v="3.32378622759098"/>
    <n v="1.21384658105365E-2"/>
    <n v="2.05301702563884"/>
    <n v="4.9736223235377102"/>
    <n v="6540"/>
    <s v="Unnamed ProjectProcess 14Total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4"/>
    <x v="8"/>
    <x v="8"/>
    <x v="2"/>
    <n v="3.32378622759098"/>
    <n v="1.21384658105365E-2"/>
    <n v="2.05301702563884"/>
    <n v="4.9736223235377102"/>
    <n v="6540"/>
    <s v="Unnamed ProjectProcess 14VA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5"/>
    <x v="8"/>
    <x v="7"/>
    <x v="2"/>
    <n v="3.3336361049729502"/>
    <n v="1.84247944070072E-2"/>
    <n v="2.0209072589641401"/>
    <n v="4.9773191760759801"/>
    <n v="6553"/>
    <s v="Unnamed ProjectProcess 14Total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5"/>
    <x v="8"/>
    <x v="8"/>
    <x v="2"/>
    <n v="3.3336361049729502"/>
    <n v="1.84247944070072E-2"/>
    <n v="2.0209072589641401"/>
    <n v="4.9773191760759801"/>
    <n v="6553"/>
    <s v="Unnamed ProjectProcess 14VA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6"/>
    <x v="8"/>
    <x v="7"/>
    <x v="2"/>
    <n v="3.3343209997168199"/>
    <n v="1.09935422711711E-2"/>
    <n v="2.0125613112468299"/>
    <n v="4.9758473075926304"/>
    <n v="6549"/>
    <s v="Unnamed ProjectProcess 14Total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6"/>
    <x v="8"/>
    <x v="8"/>
    <x v="2"/>
    <n v="3.3343209997168199"/>
    <n v="1.09935422711711E-2"/>
    <n v="2.0125613112468299"/>
    <n v="4.9758473075926304"/>
    <n v="6549"/>
    <s v="Unnamed ProjectProcess 14VA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7"/>
    <x v="8"/>
    <x v="7"/>
    <x v="2"/>
    <n v="3.3314098183371099"/>
    <n v="1.30928995494142E-2"/>
    <n v="2.0252966247353501"/>
    <n v="4.9880546188796897"/>
    <n v="6553"/>
    <s v="Unnamed ProjectProcess 14Total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7"/>
    <x v="8"/>
    <x v="8"/>
    <x v="2"/>
    <n v="3.3314098183371099"/>
    <n v="1.30928995494142E-2"/>
    <n v="2.0252966247353501"/>
    <n v="4.9880546188796897"/>
    <n v="6553"/>
    <s v="Unnamed ProjectProcess 14VA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8"/>
    <x v="8"/>
    <x v="7"/>
    <x v="2"/>
    <n v="3.3362109252521801"/>
    <n v="1.41882274617397E-2"/>
    <n v="2.0154066327959299"/>
    <n v="4.9923538390357898"/>
    <n v="6545"/>
    <s v="Unnamed ProjectProcess 14Total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8"/>
    <x v="8"/>
    <x v="8"/>
    <x v="2"/>
    <n v="3.3362109252521801"/>
    <n v="1.41882274617397E-2"/>
    <n v="2.0154066327959299"/>
    <n v="4.9923538390357898"/>
    <n v="6545"/>
    <s v="Unnamed ProjectProcess 14VA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9"/>
    <x v="8"/>
    <x v="7"/>
    <x v="2"/>
    <n v="3.33224348302902"/>
    <n v="3E+20"/>
    <n v="2.0155666801583698"/>
    <n v="4.9878380077425399"/>
    <n v="6549"/>
    <s v="Unnamed ProjectProcess 14Total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9"/>
    <x v="8"/>
    <x v="8"/>
    <x v="2"/>
    <n v="3.33224348302902"/>
    <n v="3E+20"/>
    <n v="2.0155666801583698"/>
    <n v="4.9878380077425399"/>
    <n v="6549"/>
    <s v="Unnamed ProjectProcess 14VA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10"/>
    <x v="8"/>
    <x v="7"/>
    <x v="2"/>
    <n v="3.34611818446874"/>
    <n v="1.8173088043141199E-2"/>
    <n v="2.0393634537467702"/>
    <n v="4.9833276793942796"/>
    <n v="6539"/>
    <s v="Unnamed ProjectProcess 14Total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10"/>
    <x v="8"/>
    <x v="8"/>
    <x v="2"/>
    <n v="3.34611818446874"/>
    <n v="1.8173088043141199E-2"/>
    <n v="2.0393634537467702"/>
    <n v="4.9833276793942796"/>
    <n v="6539"/>
    <s v="Unnamed ProjectProcess 14VA Time Per EntityProcess"/>
    <n v="10"/>
    <n v="3.3323515397240668"/>
    <n v="6.180568108470035E-3"/>
    <n v="0.95"/>
    <n v="4.4213120792160878E-3"/>
    <n v="3.32378622759098"/>
    <n v="3.34611818446874"/>
    <n v="2.01056383305695"/>
    <n v="4.9923538390357898"/>
    <n v="6547.3"/>
    <n v="4.4213120792160878E-3"/>
    <n v="10"/>
    <n v="1"/>
  </r>
  <r>
    <x v="0"/>
    <s v="2025-12-30 22:09:11"/>
    <n v="1"/>
    <x v="9"/>
    <x v="7"/>
    <x v="2"/>
    <n v="6.0105973053221398"/>
    <n v="2.3113141367803701E-2"/>
    <n v="3.0213339486508599"/>
    <n v="8.9636074129302905"/>
    <n v="13090"/>
    <s v="Unnamed ProjectProcess 2Total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1"/>
    <x v="9"/>
    <x v="8"/>
    <x v="2"/>
    <n v="6.0105973053221398"/>
    <n v="2.3113141367803701E-2"/>
    <n v="3.0213339486508599"/>
    <n v="8.9636074129302905"/>
    <n v="13090"/>
    <s v="Unnamed ProjectProcess 2VA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2"/>
    <x v="9"/>
    <x v="7"/>
    <x v="2"/>
    <n v="5.9884596822991698"/>
    <n v="2.1177097420885999E-2"/>
    <n v="3.0417104863445301"/>
    <n v="8.9758182895602694"/>
    <n v="13118"/>
    <s v="Unnamed ProjectProcess 2Total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2"/>
    <x v="9"/>
    <x v="8"/>
    <x v="2"/>
    <n v="5.9884596822991698"/>
    <n v="2.1177097420885999E-2"/>
    <n v="3.0417104863445301"/>
    <n v="8.9758182895602694"/>
    <n v="13118"/>
    <s v="Unnamed ProjectProcess 2VA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3"/>
    <x v="9"/>
    <x v="7"/>
    <x v="2"/>
    <n v="6.0016292860090497"/>
    <n v="2.7996135241986901E-2"/>
    <n v="3.0472935243160499"/>
    <n v="8.9507529668626393"/>
    <n v="13097"/>
    <s v="Unnamed ProjectProcess 2Total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3"/>
    <x v="9"/>
    <x v="8"/>
    <x v="2"/>
    <n v="6.0016292860090497"/>
    <n v="2.7996135241986901E-2"/>
    <n v="3.0472935243160499"/>
    <n v="8.9507529668626393"/>
    <n v="13097"/>
    <s v="Unnamed ProjectProcess 2VA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4"/>
    <x v="9"/>
    <x v="7"/>
    <x v="2"/>
    <n v="5.9933330981286703"/>
    <n v="2.72073947571146E-2"/>
    <n v="3.0160888143000202"/>
    <n v="8.9447507110890001"/>
    <n v="13087"/>
    <s v="Unnamed ProjectProcess 2Total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4"/>
    <x v="9"/>
    <x v="8"/>
    <x v="2"/>
    <n v="5.9933330981286703"/>
    <n v="2.72073947571146E-2"/>
    <n v="3.0160888143000202"/>
    <n v="8.9447507110890001"/>
    <n v="13087"/>
    <s v="Unnamed ProjectProcess 2VA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5"/>
    <x v="9"/>
    <x v="7"/>
    <x v="2"/>
    <n v="6.0098874709100603"/>
    <n v="2.7219855066701801E-2"/>
    <n v="3.0738276465563099"/>
    <n v="8.9717484512875707"/>
    <n v="13111"/>
    <s v="Unnamed ProjectProcess 2Total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5"/>
    <x v="9"/>
    <x v="8"/>
    <x v="2"/>
    <n v="6.0098874709100603"/>
    <n v="2.7219855066701801E-2"/>
    <n v="3.0738276465563099"/>
    <n v="8.9717484512875707"/>
    <n v="13111"/>
    <s v="Unnamed ProjectProcess 2VA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6"/>
    <x v="9"/>
    <x v="7"/>
    <x v="2"/>
    <n v="5.99676525895556"/>
    <n v="1.8371362164113898E-2"/>
    <n v="3.03007650227664"/>
    <n v="8.9507994962623307"/>
    <n v="13103"/>
    <s v="Unnamed ProjectProcess 2Total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6"/>
    <x v="9"/>
    <x v="8"/>
    <x v="2"/>
    <n v="5.99676525895556"/>
    <n v="1.8371362164113898E-2"/>
    <n v="3.03007650227664"/>
    <n v="8.9507994962623307"/>
    <n v="13103"/>
    <s v="Unnamed ProjectProcess 2VA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7"/>
    <x v="9"/>
    <x v="7"/>
    <x v="2"/>
    <n v="6.0112549028208999"/>
    <n v="2.28577200152402E-2"/>
    <n v="3.03105109289754"/>
    <n v="8.9875693768262899"/>
    <n v="13111"/>
    <s v="Unnamed ProjectProcess 2Total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7"/>
    <x v="9"/>
    <x v="8"/>
    <x v="2"/>
    <n v="6.0112549028208999"/>
    <n v="2.28577200152402E-2"/>
    <n v="3.03105109289754"/>
    <n v="8.9875693768262899"/>
    <n v="13111"/>
    <s v="Unnamed ProjectProcess 2VA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8"/>
    <x v="9"/>
    <x v="7"/>
    <x v="2"/>
    <n v="6.0231394376096299"/>
    <n v="2.7145123656134699E-2"/>
    <n v="3.0479700957875999"/>
    <n v="8.9676855800207704"/>
    <n v="13096"/>
    <s v="Unnamed ProjectProcess 2Total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8"/>
    <x v="9"/>
    <x v="8"/>
    <x v="2"/>
    <n v="6.0231394376096299"/>
    <n v="2.7145123656134699E-2"/>
    <n v="3.0479700957875999"/>
    <n v="8.9676855800207704"/>
    <n v="13096"/>
    <s v="Unnamed ProjectProcess 2VA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9"/>
    <x v="9"/>
    <x v="7"/>
    <x v="2"/>
    <n v="5.9937118268624898"/>
    <n v="2.2195154548245999E-2"/>
    <n v="3.0450538542281702"/>
    <n v="8.9600454899482394"/>
    <n v="13105"/>
    <s v="Unnamed ProjectProcess 2Total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9"/>
    <x v="9"/>
    <x v="8"/>
    <x v="2"/>
    <n v="5.9937118268624898"/>
    <n v="2.2195154548245999E-2"/>
    <n v="3.0450538542281702"/>
    <n v="8.9600454899482394"/>
    <n v="13105"/>
    <s v="Unnamed ProjectProcess 2VA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10"/>
    <x v="9"/>
    <x v="7"/>
    <x v="2"/>
    <n v="6.0137554503024502"/>
    <n v="1.8818322311901E-2"/>
    <n v="3.0466787443147001"/>
    <n v="8.9477388221421297"/>
    <n v="13083"/>
    <s v="Unnamed ProjectProcess 2Total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10"/>
    <x v="9"/>
    <x v="8"/>
    <x v="2"/>
    <n v="6.0137554503024502"/>
    <n v="1.8818322311901E-2"/>
    <n v="3.0466787443147001"/>
    <n v="8.9477388221421297"/>
    <n v="13083"/>
    <s v="Unnamed ProjectProcess 2VA Time Per EntityProcess"/>
    <n v="10"/>
    <n v="6.0042533719220117"/>
    <n v="1.1109344487955385E-2"/>
    <n v="0.95"/>
    <n v="7.9471463002660225E-3"/>
    <n v="5.9884596822991698"/>
    <n v="6.0231394376096299"/>
    <n v="3.0160888143000202"/>
    <n v="8.9875693768262899"/>
    <n v="13100.1"/>
    <n v="7.9471463002660225E-3"/>
    <n v="10"/>
    <n v="1"/>
  </r>
  <r>
    <x v="0"/>
    <s v="2025-12-30 22:09:11"/>
    <n v="1"/>
    <x v="10"/>
    <x v="7"/>
    <x v="2"/>
    <n v="10.997074271405999"/>
    <n v="7.6758210749805402E-3"/>
    <n v="10.0207833338354"/>
    <n v="11.990423702402"/>
    <n v="13090"/>
    <s v="Unnamed ProjectProcess 3Total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1"/>
    <x v="10"/>
    <x v="8"/>
    <x v="2"/>
    <n v="10.997074271405999"/>
    <n v="7.6758210749805402E-3"/>
    <n v="10.0207833338354"/>
    <n v="11.990423702402"/>
    <n v="13090"/>
    <s v="Unnamed ProjectProcess 3VA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2"/>
    <x v="10"/>
    <x v="7"/>
    <x v="2"/>
    <n v="11.0000171574163"/>
    <n v="9.5856861566257501E-3"/>
    <n v="10.0186765588005"/>
    <n v="11.9890942452475"/>
    <n v="13118"/>
    <s v="Unnamed ProjectProcess 3Total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2"/>
    <x v="10"/>
    <x v="8"/>
    <x v="2"/>
    <n v="11.0000171574163"/>
    <n v="9.5856861566257501E-3"/>
    <n v="10.0186765588005"/>
    <n v="11.9890942452475"/>
    <n v="13118"/>
    <s v="Unnamed ProjectProcess 3VA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3"/>
    <x v="10"/>
    <x v="7"/>
    <x v="2"/>
    <n v="11.0044982397086"/>
    <n v="6.6265669361482201E-3"/>
    <n v="10.0073632790009"/>
    <n v="11.997286937461499"/>
    <n v="13097"/>
    <s v="Unnamed ProjectProcess 3Total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3"/>
    <x v="10"/>
    <x v="8"/>
    <x v="2"/>
    <n v="11.0044982397086"/>
    <n v="6.6265669361482201E-3"/>
    <n v="10.0073632790009"/>
    <n v="11.997286937461499"/>
    <n v="13097"/>
    <s v="Unnamed ProjectProcess 3VA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4"/>
    <x v="10"/>
    <x v="7"/>
    <x v="2"/>
    <n v="10.996658709194"/>
    <n v="3E+20"/>
    <n v="10.009926519822301"/>
    <n v="11.9879158287076"/>
    <n v="13086"/>
    <s v="Unnamed ProjectProcess 3Total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4"/>
    <x v="10"/>
    <x v="8"/>
    <x v="2"/>
    <n v="10.996658709194"/>
    <n v="3E+20"/>
    <n v="10.009926519822301"/>
    <n v="11.9879158287076"/>
    <n v="13086"/>
    <s v="Unnamed ProjectProcess 3VA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5"/>
    <x v="10"/>
    <x v="7"/>
    <x v="2"/>
    <n v="10.9932090669167"/>
    <n v="6.6561199707020199E-3"/>
    <n v="10.0079760715016"/>
    <n v="11.992170620127601"/>
    <n v="13111"/>
    <s v="Unnamed ProjectProcess 3Total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5"/>
    <x v="10"/>
    <x v="8"/>
    <x v="2"/>
    <n v="10.9932090669167"/>
    <n v="6.6561199707020199E-3"/>
    <n v="10.0079760715016"/>
    <n v="11.992170620127601"/>
    <n v="13111"/>
    <s v="Unnamed ProjectProcess 3VA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6"/>
    <x v="10"/>
    <x v="7"/>
    <x v="2"/>
    <n v="10.9991052279548"/>
    <n v="7.7614094356291902E-3"/>
    <n v="10.0125652216375"/>
    <n v="11.9936215704947"/>
    <n v="13103"/>
    <s v="Unnamed ProjectProcess 3Total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6"/>
    <x v="10"/>
    <x v="8"/>
    <x v="2"/>
    <n v="10.9991052279548"/>
    <n v="7.7614094356291902E-3"/>
    <n v="10.0125652216375"/>
    <n v="11.9936215704947"/>
    <n v="13103"/>
    <s v="Unnamed ProjectProcess 3VA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7"/>
    <x v="10"/>
    <x v="7"/>
    <x v="2"/>
    <n v="11.003117253778701"/>
    <n v="6.6123590537813196E-3"/>
    <n v="10.0167956788355"/>
    <n v="11.987624698435001"/>
    <n v="13111"/>
    <s v="Unnamed ProjectProcess 3Total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7"/>
    <x v="10"/>
    <x v="8"/>
    <x v="2"/>
    <n v="11.003117253778701"/>
    <n v="6.6123590537813196E-3"/>
    <n v="10.0167956788355"/>
    <n v="11.987624698435001"/>
    <n v="13111"/>
    <s v="Unnamed ProjectProcess 3VA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8"/>
    <x v="10"/>
    <x v="7"/>
    <x v="2"/>
    <n v="10.9942498237923"/>
    <n v="7.4197467534142698E-3"/>
    <n v="10.0056447622483"/>
    <n v="11.9799834807054"/>
    <n v="13096"/>
    <s v="Unnamed ProjectProcess 3Total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8"/>
    <x v="10"/>
    <x v="8"/>
    <x v="2"/>
    <n v="10.9942498237923"/>
    <n v="7.4197467534142698E-3"/>
    <n v="10.0056447622483"/>
    <n v="11.9799834807054"/>
    <n v="13096"/>
    <s v="Unnamed ProjectProcess 3VA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9"/>
    <x v="10"/>
    <x v="7"/>
    <x v="2"/>
    <n v="11.004390508357201"/>
    <n v="7.8061448759719904E-3"/>
    <n v="10.0149796399055"/>
    <n v="11.986844091559799"/>
    <n v="13105"/>
    <s v="Unnamed ProjectProcess 3Total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9"/>
    <x v="10"/>
    <x v="8"/>
    <x v="2"/>
    <n v="11.004390508357201"/>
    <n v="7.8061448759719904E-3"/>
    <n v="10.0149796399055"/>
    <n v="11.986844091559799"/>
    <n v="13105"/>
    <s v="Unnamed ProjectProcess 3VA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10"/>
    <x v="10"/>
    <x v="7"/>
    <x v="2"/>
    <n v="10.999594600351999"/>
    <n v="6.2468931034794402E-3"/>
    <n v="10.0135639910004"/>
    <n v="11.9862768586027"/>
    <n v="13082"/>
    <s v="Unnamed ProjectProcess 3Total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10"/>
    <x v="10"/>
    <x v="8"/>
    <x v="2"/>
    <n v="10.999594600351999"/>
    <n v="6.2468931034794402E-3"/>
    <n v="10.0135639910004"/>
    <n v="11.9862768586027"/>
    <n v="13082"/>
    <s v="Unnamed ProjectProcess 3VA Time Per EntityProcess"/>
    <n v="10"/>
    <n v="10.99919148588766"/>
    <n v="3.9799736935875654E-3"/>
    <n v="0.95"/>
    <n v="2.8471016672894389E-3"/>
    <n v="10.9932090669167"/>
    <n v="11.0044982397086"/>
    <n v="10.0056447622483"/>
    <n v="11.997286937461499"/>
    <n v="13099.9"/>
    <n v="2.8471016672894389E-3"/>
    <n v="10"/>
    <n v="1"/>
  </r>
  <r>
    <x v="0"/>
    <s v="2025-12-30 22:09:11"/>
    <n v="1"/>
    <x v="11"/>
    <x v="7"/>
    <x v="2"/>
    <n v="6.9908521057960602"/>
    <n v="3E+20"/>
    <n v="3.1459884999785599"/>
    <n v="11.0178768883343"/>
    <n v="8235"/>
    <s v="Unnamed ProjectProcess 4Total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1"/>
    <x v="11"/>
    <x v="8"/>
    <x v="2"/>
    <n v="6.9908521057960602"/>
    <n v="3E+20"/>
    <n v="3.1459884999785599"/>
    <n v="11.0178768883343"/>
    <n v="8235"/>
    <s v="Unnamed ProjectProcess 4VA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2"/>
    <x v="11"/>
    <x v="7"/>
    <x v="2"/>
    <n v="7.0019959307115798"/>
    <n v="2.26284020173175E-2"/>
    <n v="3.6999421747168499"/>
    <n v="10.5615376696223"/>
    <n v="8231"/>
    <s v="Unnamed ProjectProcess 4Total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2"/>
    <x v="11"/>
    <x v="8"/>
    <x v="2"/>
    <n v="7.0019959307115798"/>
    <n v="2.26284020173175E-2"/>
    <n v="3.6999421747168499"/>
    <n v="10.5615376696223"/>
    <n v="8231"/>
    <s v="Unnamed ProjectProcess 4VA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3"/>
    <x v="11"/>
    <x v="7"/>
    <x v="2"/>
    <n v="7.0077486119289203"/>
    <n v="2.4200655220802201E-2"/>
    <n v="3.4569229270564401"/>
    <n v="10.4009877125791"/>
    <n v="8245"/>
    <s v="Unnamed ProjectProcess 4Total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3"/>
    <x v="11"/>
    <x v="8"/>
    <x v="2"/>
    <n v="7.0077486119289203"/>
    <n v="2.4200655220802201E-2"/>
    <n v="3.4569229270564401"/>
    <n v="10.4009877125791"/>
    <n v="8245"/>
    <s v="Unnamed ProjectProcess 4VA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4"/>
    <x v="11"/>
    <x v="7"/>
    <x v="2"/>
    <n v="7.0099221857515897"/>
    <n v="2.71697906393959E-2"/>
    <n v="3.4425188868190202"/>
    <n v="11.613043548131801"/>
    <n v="8234"/>
    <s v="Unnamed ProjectProcess 4Total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4"/>
    <x v="11"/>
    <x v="8"/>
    <x v="2"/>
    <n v="7.0099221857515897"/>
    <n v="2.71697906393959E-2"/>
    <n v="3.4425188868190202"/>
    <n v="11.613043548131801"/>
    <n v="8234"/>
    <s v="Unnamed ProjectProcess 4VA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5"/>
    <x v="11"/>
    <x v="7"/>
    <x v="2"/>
    <n v="6.99803341091192"/>
    <n v="2.2695860703371401E-2"/>
    <n v="3.5777139012352599"/>
    <n v="11.702881005418"/>
    <n v="8245"/>
    <s v="Unnamed ProjectProcess 4Total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5"/>
    <x v="11"/>
    <x v="8"/>
    <x v="2"/>
    <n v="6.99803341091192"/>
    <n v="2.2695860703371401E-2"/>
    <n v="3.5777139012352599"/>
    <n v="11.702881005418"/>
    <n v="8245"/>
    <s v="Unnamed ProjectProcess 4VA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6"/>
    <x v="11"/>
    <x v="7"/>
    <x v="2"/>
    <n v="7.0037612545168502"/>
    <n v="2.8295736632776999E-2"/>
    <n v="3.3742998049128801"/>
    <n v="10.5810772379045"/>
    <n v="8223"/>
    <s v="Unnamed ProjectProcess 4Total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6"/>
    <x v="11"/>
    <x v="8"/>
    <x v="2"/>
    <n v="7.0037612545168502"/>
    <n v="2.8295736632776999E-2"/>
    <n v="3.3742998049128801"/>
    <n v="10.5810772379045"/>
    <n v="8223"/>
    <s v="Unnamed ProjectProcess 4VA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7"/>
    <x v="11"/>
    <x v="7"/>
    <x v="2"/>
    <n v="6.9992820233045503"/>
    <n v="2.8292489613981901E-2"/>
    <n v="2.78570367523935"/>
    <n v="11.3186989623937"/>
    <n v="8238"/>
    <s v="Unnamed ProjectProcess 4Total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7"/>
    <x v="11"/>
    <x v="8"/>
    <x v="2"/>
    <n v="6.9992820233045503"/>
    <n v="2.8292489613981901E-2"/>
    <n v="2.78570367523935"/>
    <n v="11.3186989623937"/>
    <n v="8238"/>
    <s v="Unnamed ProjectProcess 4VA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8"/>
    <x v="11"/>
    <x v="7"/>
    <x v="2"/>
    <n v="7.00765137864785"/>
    <n v="2.66720791141822E-2"/>
    <n v="2.8335125480080001"/>
    <n v="10.863010188913901"/>
    <n v="8231"/>
    <s v="Unnamed ProjectProcess 4Total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8"/>
    <x v="11"/>
    <x v="8"/>
    <x v="2"/>
    <n v="7.00765137864785"/>
    <n v="2.66720791141822E-2"/>
    <n v="2.8335125480080001"/>
    <n v="10.863010188913901"/>
    <n v="8231"/>
    <s v="Unnamed ProjectProcess 4VA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9"/>
    <x v="11"/>
    <x v="7"/>
    <x v="2"/>
    <n v="6.9929845350074498"/>
    <n v="2.0444375733438699E-2"/>
    <n v="3.5416354919652799"/>
    <n v="10.816251848235"/>
    <n v="8234"/>
    <s v="Unnamed ProjectProcess 4Total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9"/>
    <x v="11"/>
    <x v="8"/>
    <x v="2"/>
    <n v="6.9929845350074498"/>
    <n v="2.0444375733438699E-2"/>
    <n v="3.5416354919652799"/>
    <n v="10.816251848235"/>
    <n v="8234"/>
    <s v="Unnamed ProjectProcess 4VA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10"/>
    <x v="11"/>
    <x v="7"/>
    <x v="2"/>
    <n v="7.0033681801754497"/>
    <n v="2.1035639257415299E-2"/>
    <n v="3.3750740627292499"/>
    <n v="10.7966226699064"/>
    <n v="8234"/>
    <s v="Unnamed ProjectProcess 4Total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10"/>
    <x v="11"/>
    <x v="8"/>
    <x v="2"/>
    <n v="7.0033681801754497"/>
    <n v="2.1035639257415299E-2"/>
    <n v="3.3750740627292499"/>
    <n v="10.7966226699064"/>
    <n v="8234"/>
    <s v="Unnamed ProjectProcess 4VA Time Per EntityProcess"/>
    <n v="10"/>
    <n v="7.0015599616752224"/>
    <n v="6.3197981779501569E-3"/>
    <n v="0.95"/>
    <n v="4.5209112709374685E-3"/>
    <n v="6.9908521057960602"/>
    <n v="7.0099221857515897"/>
    <n v="2.78570367523935"/>
    <n v="11.702881005418"/>
    <n v="8235"/>
    <n v="4.5209112709374685E-3"/>
    <n v="10"/>
    <n v="1"/>
  </r>
  <r>
    <x v="0"/>
    <s v="2025-12-30 22:09:11"/>
    <n v="1"/>
    <x v="12"/>
    <x v="7"/>
    <x v="2"/>
    <n v="9.9923597204088495"/>
    <n v="1.8244410476117499E-2"/>
    <n v="8.0246520843356901"/>
    <n v="11.9866256384412"/>
    <n v="8235"/>
    <s v="Unnamed ProjectProcess 5Total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1"/>
    <x v="12"/>
    <x v="8"/>
    <x v="2"/>
    <n v="9.9923597204088495"/>
    <n v="1.8244410476117499E-2"/>
    <n v="8.0246520843356901"/>
    <n v="11.9866256384412"/>
    <n v="8235"/>
    <s v="Unnamed ProjectProcess 5VA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2"/>
    <x v="12"/>
    <x v="7"/>
    <x v="2"/>
    <n v="10.005902018784001"/>
    <n v="1.6168599732271399E-2"/>
    <n v="8.0140220221364906"/>
    <n v="11.9815665739588"/>
    <n v="8230"/>
    <s v="Unnamed ProjectProcess 5Total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2"/>
    <x v="12"/>
    <x v="8"/>
    <x v="2"/>
    <n v="10.005902018784001"/>
    <n v="1.6168599732271399E-2"/>
    <n v="8.0140220221364906"/>
    <n v="11.9815665739588"/>
    <n v="8230"/>
    <s v="Unnamed ProjectProcess 5VA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3"/>
    <x v="12"/>
    <x v="7"/>
    <x v="2"/>
    <n v="10.0096941567353"/>
    <n v="1.8630541680351401E-2"/>
    <n v="8.0213524064747599"/>
    <n v="11.9641559895827"/>
    <n v="8243"/>
    <s v="Unnamed ProjectProcess 5Total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3"/>
    <x v="12"/>
    <x v="8"/>
    <x v="2"/>
    <n v="10.0096941567353"/>
    <n v="1.8630541680351401E-2"/>
    <n v="8.0213524064747599"/>
    <n v="11.9641559895827"/>
    <n v="8243"/>
    <s v="Unnamed ProjectProcess 5VA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4"/>
    <x v="12"/>
    <x v="7"/>
    <x v="2"/>
    <n v="10.004161002334399"/>
    <n v="1.8344441195203801E-2"/>
    <n v="8.0318436861271003"/>
    <n v="11.942465031228499"/>
    <n v="8232"/>
    <s v="Unnamed ProjectProcess 5Total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4"/>
    <x v="12"/>
    <x v="8"/>
    <x v="2"/>
    <n v="10.004161002334399"/>
    <n v="1.8344441195203801E-2"/>
    <n v="8.0318436861271003"/>
    <n v="11.942465031228499"/>
    <n v="8232"/>
    <s v="Unnamed ProjectProcess 5VA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5"/>
    <x v="12"/>
    <x v="7"/>
    <x v="2"/>
    <n v="10.0040513279428"/>
    <n v="1.6588559891513598E-2"/>
    <n v="8.0253043549018894"/>
    <n v="11.970175127848099"/>
    <n v="8243"/>
    <s v="Unnamed ProjectProcess 5Total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5"/>
    <x v="12"/>
    <x v="8"/>
    <x v="2"/>
    <n v="10.0040513279428"/>
    <n v="1.6588559891513598E-2"/>
    <n v="8.0253043549018894"/>
    <n v="11.970175127848099"/>
    <n v="8243"/>
    <s v="Unnamed ProjectProcess 5VA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6"/>
    <x v="12"/>
    <x v="7"/>
    <x v="2"/>
    <n v="10.011974603825999"/>
    <n v="1.5805510857228099E-2"/>
    <n v="8.0299518493120594"/>
    <n v="11.973092631495099"/>
    <n v="8221"/>
    <s v="Unnamed ProjectProcess 5Total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6"/>
    <x v="12"/>
    <x v="8"/>
    <x v="2"/>
    <n v="10.011974603825999"/>
    <n v="1.5805510857228099E-2"/>
    <n v="8.0299518493120594"/>
    <n v="11.973092631495099"/>
    <n v="8221"/>
    <s v="Unnamed ProjectProcess 5VA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7"/>
    <x v="12"/>
    <x v="7"/>
    <x v="2"/>
    <n v="9.9911380352607004"/>
    <n v="1.9855387780229401E-2"/>
    <n v="8.0430199371767195"/>
    <n v="11.961537703668"/>
    <n v="8236"/>
    <s v="Unnamed ProjectProcess 5Total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7"/>
    <x v="12"/>
    <x v="8"/>
    <x v="2"/>
    <n v="9.9911380352607004"/>
    <n v="1.9855387780229401E-2"/>
    <n v="8.0430199371767195"/>
    <n v="11.961537703668"/>
    <n v="8236"/>
    <s v="Unnamed ProjectProcess 5VA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8"/>
    <x v="12"/>
    <x v="7"/>
    <x v="2"/>
    <n v="10.003132447768699"/>
    <n v="1.6756912654138201E-2"/>
    <n v="8.0092385134193993"/>
    <n v="11.976768083404799"/>
    <n v="8229"/>
    <s v="Unnamed ProjectProcess 5Total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8"/>
    <x v="12"/>
    <x v="8"/>
    <x v="2"/>
    <n v="10.003132447768699"/>
    <n v="1.6756912654138201E-2"/>
    <n v="8.0092385134193993"/>
    <n v="11.976768083404799"/>
    <n v="8229"/>
    <s v="Unnamed ProjectProcess 5VA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9"/>
    <x v="12"/>
    <x v="7"/>
    <x v="2"/>
    <n v="10.003550719616699"/>
    <n v="1.56485749112656E-2"/>
    <n v="8.0355279146970098"/>
    <n v="11.981723103788701"/>
    <n v="8233"/>
    <s v="Unnamed ProjectProcess 5Total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9"/>
    <x v="12"/>
    <x v="8"/>
    <x v="2"/>
    <n v="10.003550719616699"/>
    <n v="1.56485749112656E-2"/>
    <n v="8.0355279146970098"/>
    <n v="11.981723103788701"/>
    <n v="8233"/>
    <s v="Unnamed ProjectProcess 5VA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10"/>
    <x v="12"/>
    <x v="7"/>
    <x v="2"/>
    <n v="9.99824808434186"/>
    <n v="2.13884169990236E-2"/>
    <n v="8.0366944667766802"/>
    <n v="11.968644587439501"/>
    <n v="8233"/>
    <s v="Unnamed ProjectProcess 5Total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10"/>
    <x v="12"/>
    <x v="8"/>
    <x v="2"/>
    <n v="9.99824808434186"/>
    <n v="2.13884169990236E-2"/>
    <n v="8.0366944667766802"/>
    <n v="11.968644587439501"/>
    <n v="8233"/>
    <s v="Unnamed ProjectProcess 5VA Time Per EntityProcess"/>
    <n v="10"/>
    <n v="10.002421211701932"/>
    <n v="6.7470447305224895E-3"/>
    <n v="0.95"/>
    <n v="4.8265450428722455E-3"/>
    <n v="9.9911380352607004"/>
    <n v="10.011974603825999"/>
    <n v="8.0092385134193993"/>
    <n v="11.9866256384412"/>
    <n v="8233.5"/>
    <n v="4.8265450428722455E-3"/>
    <n v="10"/>
    <n v="1"/>
  </r>
  <r>
    <x v="0"/>
    <s v="2025-12-30 22:09:11"/>
    <n v="1"/>
    <x v="13"/>
    <x v="7"/>
    <x v="2"/>
    <n v="24.995299807122699"/>
    <n v="5.2681499230992197E-2"/>
    <n v="20.0278216734296"/>
    <n v="29.911956784955699"/>
    <n v="8233"/>
    <s v="Unnamed ProjectProcess 6Total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1"/>
    <x v="13"/>
    <x v="8"/>
    <x v="2"/>
    <n v="24.995299807122699"/>
    <n v="5.2681499230992197E-2"/>
    <n v="20.0278216734296"/>
    <n v="29.911956784955699"/>
    <n v="8233"/>
    <s v="Unnamed ProjectProcess 6VA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2"/>
    <x v="13"/>
    <x v="7"/>
    <x v="2"/>
    <n v="25.008520217034899"/>
    <n v="3.8229812160573799E-2"/>
    <n v="20.0216066829162"/>
    <n v="29.849221347161802"/>
    <n v="8228"/>
    <s v="Unnamed ProjectProcess 6Total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2"/>
    <x v="13"/>
    <x v="8"/>
    <x v="2"/>
    <n v="25.008520217034899"/>
    <n v="3.8229812160573799E-2"/>
    <n v="20.0216066829162"/>
    <n v="29.849221347161802"/>
    <n v="8228"/>
    <s v="Unnamed ProjectProcess 6VA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3"/>
    <x v="13"/>
    <x v="7"/>
    <x v="2"/>
    <n v="24.987699658967699"/>
    <n v="4.3264737326708699E-2"/>
    <n v="20.0386143858777"/>
    <n v="29.9402762132231"/>
    <n v="8241"/>
    <s v="Unnamed ProjectProcess 6Total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3"/>
    <x v="13"/>
    <x v="8"/>
    <x v="2"/>
    <n v="24.987699658967699"/>
    <n v="4.3264737326708699E-2"/>
    <n v="20.0386143858777"/>
    <n v="29.9402762132231"/>
    <n v="8241"/>
    <s v="Unnamed ProjectProcess 6VA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4"/>
    <x v="13"/>
    <x v="7"/>
    <x v="2"/>
    <n v="25.0174749549635"/>
    <n v="3.6034879039465603E-2"/>
    <n v="20.053959942539201"/>
    <n v="29.9310031859786"/>
    <n v="8230"/>
    <s v="Unnamed ProjectProcess 6Total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4"/>
    <x v="13"/>
    <x v="8"/>
    <x v="2"/>
    <n v="25.0174749549635"/>
    <n v="3.6034879039465603E-2"/>
    <n v="20.053959942539201"/>
    <n v="29.9310031859786"/>
    <n v="8230"/>
    <s v="Unnamed ProjectProcess 6VA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5"/>
    <x v="13"/>
    <x v="7"/>
    <x v="2"/>
    <n v="24.942847707903098"/>
    <n v="4.6337255830383103E-2"/>
    <n v="20.054173322918398"/>
    <n v="29.874875972804102"/>
    <n v="8241"/>
    <s v="Unnamed ProjectProcess 6Total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5"/>
    <x v="13"/>
    <x v="8"/>
    <x v="2"/>
    <n v="24.942847707903098"/>
    <n v="4.6337255830383103E-2"/>
    <n v="20.054173322918398"/>
    <n v="29.874875972804102"/>
    <n v="8241"/>
    <s v="Unnamed ProjectProcess 6VA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6"/>
    <x v="13"/>
    <x v="7"/>
    <x v="2"/>
    <n v="25.056285315306301"/>
    <n v="5.1900247293564399E-2"/>
    <n v="20.1477991187712"/>
    <n v="29.906646007963001"/>
    <n v="8220"/>
    <s v="Unnamed ProjectProcess 6Total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6"/>
    <x v="13"/>
    <x v="8"/>
    <x v="2"/>
    <n v="25.056285315306301"/>
    <n v="5.1900247293564399E-2"/>
    <n v="20.1477991187712"/>
    <n v="29.906646007963001"/>
    <n v="8220"/>
    <s v="Unnamed ProjectProcess 6VA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7"/>
    <x v="13"/>
    <x v="7"/>
    <x v="2"/>
    <n v="24.985701987939599"/>
    <n v="3.50786040957329E-2"/>
    <n v="20.057485957717301"/>
    <n v="29.954219054314301"/>
    <n v="8234"/>
    <s v="Unnamed ProjectProcess 6Total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7"/>
    <x v="13"/>
    <x v="8"/>
    <x v="2"/>
    <n v="24.985701987939599"/>
    <n v="3.50786040957329E-2"/>
    <n v="20.057485957717301"/>
    <n v="29.954219054314301"/>
    <n v="8234"/>
    <s v="Unnamed ProjectProcess 6VA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8"/>
    <x v="13"/>
    <x v="7"/>
    <x v="2"/>
    <n v="24.994041986052"/>
    <n v="4.6324337809289698E-2"/>
    <n v="20.028140782204002"/>
    <n v="29.972357785853099"/>
    <n v="8227"/>
    <s v="Unnamed ProjectProcess 6Total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8"/>
    <x v="13"/>
    <x v="8"/>
    <x v="2"/>
    <n v="24.994041986052"/>
    <n v="4.6324337809289698E-2"/>
    <n v="20.028140782204002"/>
    <n v="29.972357785853099"/>
    <n v="8227"/>
    <s v="Unnamed ProjectProcess 6VA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9"/>
    <x v="13"/>
    <x v="7"/>
    <x v="2"/>
    <n v="24.986255987508699"/>
    <n v="4.7786603755837598E-2"/>
    <n v="20.016987700117198"/>
    <n v="29.890008362883201"/>
    <n v="8232"/>
    <s v="Unnamed ProjectProcess 6Total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9"/>
    <x v="13"/>
    <x v="8"/>
    <x v="2"/>
    <n v="24.986255987508699"/>
    <n v="4.7786603755837598E-2"/>
    <n v="20.016987700117198"/>
    <n v="29.890008362883201"/>
    <n v="8232"/>
    <s v="Unnamed ProjectProcess 6VA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10"/>
    <x v="13"/>
    <x v="7"/>
    <x v="2"/>
    <n v="25.019817205423799"/>
    <n v="4.9722749206591699E-2"/>
    <n v="20.040678341465501"/>
    <n v="29.935077571630199"/>
    <n v="8229"/>
    <s v="Unnamed ProjectProcess 6Total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10"/>
    <x v="13"/>
    <x v="8"/>
    <x v="2"/>
    <n v="25.019817205423799"/>
    <n v="4.9722749206591699E-2"/>
    <n v="20.040678341465501"/>
    <n v="29.935077571630199"/>
    <n v="8229"/>
    <s v="Unnamed ProjectProcess 6VA Time Per EntityProcess"/>
    <n v="10"/>
    <n v="24.999394482822233"/>
    <n v="2.944611583833243E-2"/>
    <n v="0.95"/>
    <n v="2.1064482318963271E-2"/>
    <n v="24.942847707903098"/>
    <n v="25.056285315306301"/>
    <n v="20.016987700117198"/>
    <n v="29.972357785853099"/>
    <n v="8231.5"/>
    <n v="2.1064482318963271E-2"/>
    <n v="10"/>
    <n v="1"/>
  </r>
  <r>
    <x v="0"/>
    <s v="2025-12-30 22:09:11"/>
    <n v="1"/>
    <x v="14"/>
    <x v="7"/>
    <x v="2"/>
    <n v="11.9826102200633"/>
    <n v="4.6276498373591102E-2"/>
    <n v="4.3010099859093298"/>
    <n v="18.9027549157618"/>
    <n v="8229"/>
    <s v="Unnamed ProjectProcess 7Total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1"/>
    <x v="14"/>
    <x v="8"/>
    <x v="2"/>
    <n v="11.9826102200633"/>
    <n v="4.6276498373591102E-2"/>
    <n v="4.3010099859093298"/>
    <n v="18.9027549157618"/>
    <n v="8229"/>
    <s v="Unnamed ProjectProcess 7VA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2"/>
    <x v="14"/>
    <x v="7"/>
    <x v="2"/>
    <n v="11.9947829897019"/>
    <n v="4.7758963506835402E-2"/>
    <n v="4.7013684799894699"/>
    <n v="21.037537163822002"/>
    <n v="8224"/>
    <s v="Unnamed ProjectProcess 7Total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2"/>
    <x v="14"/>
    <x v="8"/>
    <x v="2"/>
    <n v="11.9947829897019"/>
    <n v="4.7758963506835402E-2"/>
    <n v="4.7013684799894699"/>
    <n v="21.037537163822002"/>
    <n v="8224"/>
    <s v="Unnamed ProjectProcess 7VA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3"/>
    <x v="14"/>
    <x v="7"/>
    <x v="2"/>
    <n v="11.963401994073701"/>
    <n v="5.14588586541294E-2"/>
    <n v="3.64786699385149"/>
    <n v="19.6316474850173"/>
    <n v="8237"/>
    <s v="Unnamed ProjectProcess 7Total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3"/>
    <x v="14"/>
    <x v="8"/>
    <x v="2"/>
    <n v="11.963401994073701"/>
    <n v="5.14588586541294E-2"/>
    <n v="3.64786699385149"/>
    <n v="19.6316474850173"/>
    <n v="8237"/>
    <s v="Unnamed ProjectProcess 7VA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4"/>
    <x v="14"/>
    <x v="7"/>
    <x v="2"/>
    <n v="11.9851918183784"/>
    <n v="3.9420476528435097E-2"/>
    <n v="4.2255738939857101"/>
    <n v="19.1477855086559"/>
    <n v="8226"/>
    <s v="Unnamed ProjectProcess 7Total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4"/>
    <x v="14"/>
    <x v="8"/>
    <x v="2"/>
    <n v="11.9851918183784"/>
    <n v="3.9420476528435097E-2"/>
    <n v="4.2255738939857101"/>
    <n v="19.1477855086559"/>
    <n v="8226"/>
    <s v="Unnamed ProjectProcess 7VA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5"/>
    <x v="14"/>
    <x v="7"/>
    <x v="2"/>
    <n v="12.018196351237499"/>
    <n v="3.6585298440310499E-2"/>
    <n v="4.94157593569253"/>
    <n v="19.119922568672301"/>
    <n v="8237"/>
    <s v="Unnamed ProjectProcess 7Total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5"/>
    <x v="14"/>
    <x v="8"/>
    <x v="2"/>
    <n v="12.018196351237499"/>
    <n v="3.6585298440310499E-2"/>
    <n v="4.94157593569253"/>
    <n v="19.119922568672301"/>
    <n v="8237"/>
    <s v="Unnamed ProjectProcess 7VA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6"/>
    <x v="14"/>
    <x v="7"/>
    <x v="2"/>
    <n v="11.980809517011799"/>
    <n v="4.7194829791125298E-2"/>
    <n v="5.4029672251490402"/>
    <n v="19.994733038242"/>
    <n v="8216"/>
    <s v="Unnamed ProjectProcess 7Total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6"/>
    <x v="14"/>
    <x v="8"/>
    <x v="2"/>
    <n v="11.980809517011799"/>
    <n v="4.7194829791125298E-2"/>
    <n v="5.4029672251490402"/>
    <n v="19.994733038242"/>
    <n v="8216"/>
    <s v="Unnamed ProjectProcess 7VA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7"/>
    <x v="14"/>
    <x v="7"/>
    <x v="2"/>
    <n v="11.961222401833499"/>
    <n v="5.2147112412081399E-2"/>
    <n v="4.7584212496876699"/>
    <n v="18.619237589096901"/>
    <n v="8230"/>
    <s v="Unnamed ProjectProcess 7Total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7"/>
    <x v="14"/>
    <x v="8"/>
    <x v="2"/>
    <n v="11.961222401833499"/>
    <n v="5.2147112412081399E-2"/>
    <n v="4.7584212496876699"/>
    <n v="18.619237589096901"/>
    <n v="8230"/>
    <s v="Unnamed ProjectProcess 7VA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8"/>
    <x v="14"/>
    <x v="7"/>
    <x v="2"/>
    <n v="11.992915541958601"/>
    <n v="3.4269204121507801E-2"/>
    <n v="4.4028348777210304"/>
    <n v="19.366645223693901"/>
    <n v="8223"/>
    <s v="Unnamed ProjectProcess 7Total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8"/>
    <x v="14"/>
    <x v="8"/>
    <x v="2"/>
    <n v="11.992915541958601"/>
    <n v="3.4269204121507801E-2"/>
    <n v="4.4028348777210304"/>
    <n v="19.366645223693901"/>
    <n v="8223"/>
    <s v="Unnamed ProjectProcess 7VA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9"/>
    <x v="14"/>
    <x v="7"/>
    <x v="2"/>
    <n v="11.980432814833099"/>
    <n v="4.2654883078490802E-2"/>
    <n v="4.02669614020851"/>
    <n v="19.117652945919001"/>
    <n v="8228"/>
    <s v="Unnamed ProjectProcess 7Total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9"/>
    <x v="14"/>
    <x v="8"/>
    <x v="2"/>
    <n v="11.980432814833099"/>
    <n v="4.2654883078490802E-2"/>
    <n v="4.02669614020851"/>
    <n v="19.117652945919001"/>
    <n v="8228"/>
    <s v="Unnamed ProjectProcess 7VA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10"/>
    <x v="14"/>
    <x v="7"/>
    <x v="2"/>
    <n v="12.010120562247799"/>
    <n v="4.77422783053255E-2"/>
    <n v="4.6376791779766799"/>
    <n v="20.1806610256317"/>
    <n v="8227"/>
    <s v="Unnamed ProjectProcess 7Total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10"/>
    <x v="14"/>
    <x v="8"/>
    <x v="2"/>
    <n v="12.010120562247799"/>
    <n v="4.77422783053255E-2"/>
    <n v="4.6376791779766799"/>
    <n v="20.1806610256317"/>
    <n v="8227"/>
    <s v="Unnamed ProjectProcess 7VA Time Per EntityProcess"/>
    <n v="10"/>
    <n v="11.986968421133957"/>
    <n v="1.8039067056893655E-2"/>
    <n v="0.95"/>
    <n v="1.2904371196416789E-2"/>
    <n v="11.961222401833499"/>
    <n v="12.018196351237499"/>
    <n v="3.64786699385149"/>
    <n v="21.037537163822002"/>
    <n v="8227.7000000000007"/>
    <n v="1.2904371196416789E-2"/>
    <n v="10"/>
    <n v="1"/>
  </r>
  <r>
    <x v="0"/>
    <s v="2025-12-30 22:09:11"/>
    <n v="1"/>
    <x v="15"/>
    <x v="7"/>
    <x v="2"/>
    <n v="5.00366610520976"/>
    <n v="1.4767531033734901E-2"/>
    <n v="0.64697893362608705"/>
    <n v="8.6499666956369801"/>
    <n v="18379"/>
    <s v="Unnamed ProjectProcess 8Total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1"/>
    <x v="15"/>
    <x v="8"/>
    <x v="2"/>
    <n v="5.00366610520976"/>
    <n v="1.4767531033734901E-2"/>
    <n v="0.64697893362608705"/>
    <n v="8.6499666956369801"/>
    <n v="18379"/>
    <s v="Unnamed ProjectProcess 8VA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2"/>
    <x v="15"/>
    <x v="7"/>
    <x v="2"/>
    <n v="5.0067979422311302"/>
    <n v="1.38194921420074E-2"/>
    <n v="1.0639669424053899"/>
    <n v="9.6698289319465403"/>
    <n v="18391"/>
    <s v="Unnamed ProjectProcess 8Total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2"/>
    <x v="15"/>
    <x v="8"/>
    <x v="2"/>
    <n v="5.0067979422311302"/>
    <n v="1.38194921420074E-2"/>
    <n v="1.0639669424053899"/>
    <n v="9.6698289319465403"/>
    <n v="18391"/>
    <s v="Unnamed ProjectProcess 8VA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3"/>
    <x v="15"/>
    <x v="7"/>
    <x v="2"/>
    <n v="4.9947089530256799"/>
    <n v="1.33663809505341E-2"/>
    <n v="1.11184295034036"/>
    <n v="9.5684709015768004"/>
    <n v="18407"/>
    <s v="Unnamed ProjectProcess 8Total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3"/>
    <x v="15"/>
    <x v="8"/>
    <x v="2"/>
    <n v="4.9947089530256799"/>
    <n v="1.33663809505341E-2"/>
    <n v="1.11184295034036"/>
    <n v="9.5684709015768004"/>
    <n v="18407"/>
    <s v="Unnamed ProjectProcess 8VA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4"/>
    <x v="15"/>
    <x v="7"/>
    <x v="2"/>
    <n v="4.9993965275643903"/>
    <n v="1.54554849235716E-2"/>
    <n v="1.06210014934186"/>
    <n v="9.0548976982245204"/>
    <n v="18402"/>
    <s v="Unnamed ProjectProcess 8Total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4"/>
    <x v="15"/>
    <x v="8"/>
    <x v="2"/>
    <n v="4.9993965275643903"/>
    <n v="1.54554849235716E-2"/>
    <n v="1.06210014934186"/>
    <n v="9.0548976982245204"/>
    <n v="18402"/>
    <s v="Unnamed ProjectProcess 8VA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5"/>
    <x v="15"/>
    <x v="7"/>
    <x v="2"/>
    <n v="4.9944384285114998"/>
    <n v="1.3913705692652999E-2"/>
    <n v="1.1189319657860299"/>
    <n v="8.9460797194624302"/>
    <n v="18405"/>
    <s v="Unnamed ProjectProcess 8Total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5"/>
    <x v="15"/>
    <x v="8"/>
    <x v="2"/>
    <n v="4.9944384285114998"/>
    <n v="1.3913705692652999E-2"/>
    <n v="1.1189319657860299"/>
    <n v="8.9460797194624302"/>
    <n v="18405"/>
    <s v="Unnamed ProjectProcess 8VA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6"/>
    <x v="15"/>
    <x v="7"/>
    <x v="2"/>
    <n v="4.9966354396473802"/>
    <n v="1.7169532460924199E-2"/>
    <n v="1.0299186907359399"/>
    <n v="8.7898771544569207"/>
    <n v="18376"/>
    <s v="Unnamed ProjectProcess 8Total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6"/>
    <x v="15"/>
    <x v="8"/>
    <x v="2"/>
    <n v="4.9966354396473802"/>
    <n v="1.7169532460924199E-2"/>
    <n v="1.0299186907359399"/>
    <n v="8.7898771544569207"/>
    <n v="18376"/>
    <s v="Unnamed ProjectProcess 8VA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7"/>
    <x v="15"/>
    <x v="7"/>
    <x v="2"/>
    <n v="4.9997096218085302"/>
    <n v="1.2749085631656601E-2"/>
    <n v="0.63562201993772804"/>
    <n v="9.0413047203328496"/>
    <n v="18398"/>
    <s v="Unnamed ProjectProcess 8Total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7"/>
    <x v="15"/>
    <x v="8"/>
    <x v="2"/>
    <n v="4.9997096218085302"/>
    <n v="1.2749085631656601E-2"/>
    <n v="0.63562201993772804"/>
    <n v="9.0413047203328496"/>
    <n v="18398"/>
    <s v="Unnamed ProjectProcess 8VA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8"/>
    <x v="15"/>
    <x v="7"/>
    <x v="2"/>
    <n v="4.9883602711293902"/>
    <n v="1.50741532820617E-2"/>
    <n v="0.76862503285519801"/>
    <n v="9.2443111565080507"/>
    <n v="18377"/>
    <s v="Unnamed ProjectProcess 8Total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8"/>
    <x v="15"/>
    <x v="8"/>
    <x v="2"/>
    <n v="4.9883602711293902"/>
    <n v="1.50741532820617E-2"/>
    <n v="0.76862503285519801"/>
    <n v="9.2443111565080507"/>
    <n v="18377"/>
    <s v="Unnamed ProjectProcess 8VA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9"/>
    <x v="15"/>
    <x v="7"/>
    <x v="2"/>
    <n v="5.0074759184603197"/>
    <n v="1.7895550203229599E-2"/>
    <n v="1.1544445413601401"/>
    <n v="8.7334901442518493"/>
    <n v="18405"/>
    <s v="Unnamed ProjectProcess 8Total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9"/>
    <x v="15"/>
    <x v="8"/>
    <x v="2"/>
    <n v="5.0074759184603197"/>
    <n v="1.7895550203229599E-2"/>
    <n v="1.1544445413601401"/>
    <n v="8.7334901442518493"/>
    <n v="18405"/>
    <s v="Unnamed ProjectProcess 8VA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10"/>
    <x v="15"/>
    <x v="7"/>
    <x v="2"/>
    <n v="4.9854339864056998"/>
    <n v="1.48009691008385E-2"/>
    <n v="1.0588735526544"/>
    <n v="8.8652360865380597"/>
    <n v="18380"/>
    <s v="Unnamed ProjectProcess 8Total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10"/>
    <x v="15"/>
    <x v="8"/>
    <x v="2"/>
    <n v="4.9854339864056998"/>
    <n v="1.48009691008385E-2"/>
    <n v="1.0588735526544"/>
    <n v="8.8652360865380597"/>
    <n v="18380"/>
    <s v="Unnamed ProjectProcess 8VA Time Per EntityProcess"/>
    <n v="10"/>
    <n v="4.9976623193993781"/>
    <n v="7.2971932006214834E-3"/>
    <n v="0.95"/>
    <n v="5.2200975502667557E-3"/>
    <n v="4.9854339864056998"/>
    <n v="5.0074759184603197"/>
    <n v="0.63562201993772804"/>
    <n v="9.6698289319465403"/>
    <n v="18392"/>
    <n v="5.2200975502667557E-3"/>
    <n v="10"/>
    <n v="1"/>
  </r>
  <r>
    <x v="0"/>
    <s v="2025-12-30 22:09:11"/>
    <n v="1"/>
    <x v="16"/>
    <x v="7"/>
    <x v="2"/>
    <n v="5.6714083354703497"/>
    <n v="9.1625270410192194E-3"/>
    <n v="4.0034717686212398"/>
    <n v="6.9991346772876604"/>
    <n v="18376"/>
    <s v="Unnamed ProjectProcess 9Total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1"/>
    <x v="16"/>
    <x v="8"/>
    <x v="2"/>
    <n v="5.6714083354703497"/>
    <n v="9.1625270410192194E-3"/>
    <n v="4.0034717686212398"/>
    <n v="6.9991346772876604"/>
    <n v="18376"/>
    <s v="Unnamed ProjectProcess 9VA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2"/>
    <x v="16"/>
    <x v="7"/>
    <x v="2"/>
    <n v="5.6619436083723702"/>
    <n v="9.2312614152764601E-3"/>
    <n v="4.0032314787386003"/>
    <n v="6.9860265808092699"/>
    <n v="18387"/>
    <s v="Unnamed ProjectProcess 9Total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2"/>
    <x v="16"/>
    <x v="8"/>
    <x v="2"/>
    <n v="5.6619436083723702"/>
    <n v="9.2312614152764601E-3"/>
    <n v="4.0032314787386003"/>
    <n v="6.9860265808092699"/>
    <n v="18387"/>
    <s v="Unnamed ProjectProcess 9VA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3"/>
    <x v="16"/>
    <x v="7"/>
    <x v="2"/>
    <n v="5.6689675166268101"/>
    <n v="9.8447090443489396E-3"/>
    <n v="4.01702261413448"/>
    <n v="6.9900800380855799"/>
    <n v="18404"/>
    <s v="Unnamed ProjectProcess 9Total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3"/>
    <x v="16"/>
    <x v="8"/>
    <x v="2"/>
    <n v="5.6689675166268101"/>
    <n v="9.8447090443489396E-3"/>
    <n v="4.01702261413448"/>
    <n v="6.9900800380855799"/>
    <n v="18404"/>
    <s v="Unnamed ProjectProcess 9VA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4"/>
    <x v="16"/>
    <x v="7"/>
    <x v="2"/>
    <n v="5.6706938539013896"/>
    <n v="8.4508899779132292E-3"/>
    <n v="4.0209875205327998"/>
    <n v="6.9881168803549398"/>
    <n v="18399"/>
    <s v="Unnamed ProjectProcess 9Total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4"/>
    <x v="16"/>
    <x v="8"/>
    <x v="2"/>
    <n v="5.6706938539013896"/>
    <n v="8.4508899779132292E-3"/>
    <n v="4.0209875205327998"/>
    <n v="6.9881168803549398"/>
    <n v="18399"/>
    <s v="Unnamed ProjectProcess 9VA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5"/>
    <x v="16"/>
    <x v="7"/>
    <x v="2"/>
    <n v="5.6585962909327998"/>
    <n v="3E+20"/>
    <n v="4.0245993077405702"/>
    <n v="6.9931366480886901"/>
    <n v="18401"/>
    <s v="Unnamed ProjectProcess 9Total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5"/>
    <x v="16"/>
    <x v="8"/>
    <x v="2"/>
    <n v="5.6585962909327998"/>
    <n v="3E+20"/>
    <n v="4.0245993077405702"/>
    <n v="6.9931366480886901"/>
    <n v="18401"/>
    <s v="Unnamed ProjectProcess 9VA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6"/>
    <x v="16"/>
    <x v="7"/>
    <x v="2"/>
    <n v="5.67470397466536"/>
    <n v="1.0513389242974701E-2"/>
    <n v="4.0102634388022098"/>
    <n v="6.9944985768379402"/>
    <n v="18376"/>
    <s v="Unnamed ProjectProcess 9Total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6"/>
    <x v="16"/>
    <x v="8"/>
    <x v="2"/>
    <n v="5.67470397466536"/>
    <n v="1.0513389242974701E-2"/>
    <n v="4.0102634388022098"/>
    <n v="6.9944985768379402"/>
    <n v="18376"/>
    <s v="Unnamed ProjectProcess 9VA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7"/>
    <x v="16"/>
    <x v="7"/>
    <x v="2"/>
    <n v="5.6655094124845302"/>
    <n v="1.0291024564237399E-2"/>
    <n v="4.0224339390551904"/>
    <n v="6.9922016090422403"/>
    <n v="18394"/>
    <s v="Unnamed ProjectProcess 9Total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7"/>
    <x v="16"/>
    <x v="8"/>
    <x v="2"/>
    <n v="5.6655094124845302"/>
    <n v="1.0291024564237399E-2"/>
    <n v="4.0224339390551904"/>
    <n v="6.9922016090422403"/>
    <n v="18394"/>
    <s v="Unnamed ProjectProcess 9VA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8"/>
    <x v="16"/>
    <x v="7"/>
    <x v="2"/>
    <n v="5.6660994716851798"/>
    <n v="8.1515059754987806E-3"/>
    <n v="4.0050579607486698"/>
    <n v="6.9937156753949203"/>
    <n v="18377"/>
    <s v="Unnamed ProjectProcess 9Total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8"/>
    <x v="16"/>
    <x v="8"/>
    <x v="2"/>
    <n v="5.6660994716851798"/>
    <n v="8.1515059754987806E-3"/>
    <n v="4.0050579607486698"/>
    <n v="6.9937156753949203"/>
    <n v="18377"/>
    <s v="Unnamed ProjectProcess 9VA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9"/>
    <x v="16"/>
    <x v="7"/>
    <x v="2"/>
    <n v="5.66293039863631"/>
    <n v="1.0284795037167199E-2"/>
    <n v="4.0049078301526597"/>
    <n v="6.9865877323900403"/>
    <n v="18403"/>
    <s v="Unnamed ProjectProcess 9Total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9"/>
    <x v="16"/>
    <x v="8"/>
    <x v="2"/>
    <n v="5.66293039863631"/>
    <n v="1.0284795037167199E-2"/>
    <n v="4.0049078301526597"/>
    <n v="6.9865877323900403"/>
    <n v="18403"/>
    <s v="Unnamed ProjectProcess 9VA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10"/>
    <x v="16"/>
    <x v="7"/>
    <x v="2"/>
    <n v="5.6613876432630104"/>
    <n v="9.9848016131876792E-3"/>
    <n v="4.0165952646639198"/>
    <n v="6.9925892691826501"/>
    <n v="18377"/>
    <s v="Unnamed ProjectProcess 9Total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10"/>
    <x v="16"/>
    <x v="8"/>
    <x v="2"/>
    <n v="5.6613876432630104"/>
    <n v="9.9848016131876792E-3"/>
    <n v="4.0165952646639198"/>
    <n v="6.9925892691826501"/>
    <n v="18377"/>
    <s v="Unnamed ProjectProcess 9VA Time Per EntityProcess"/>
    <n v="10"/>
    <n v="5.6662240506038115"/>
    <n v="5.1376797519084661E-3"/>
    <n v="0.95"/>
    <n v="3.6752746911933721E-3"/>
    <n v="5.6585962909327998"/>
    <n v="5.67470397466536"/>
    <n v="4.0032314787386003"/>
    <n v="6.9991346772876604"/>
    <n v="18389.400000000001"/>
    <n v="3.6752746911933721E-3"/>
    <n v="10"/>
    <n v="1"/>
  </r>
  <r>
    <x v="0"/>
    <s v="2025-12-30 22:09:11"/>
    <n v="1"/>
    <x v="17"/>
    <x v="7"/>
    <x v="2"/>
    <n v="438.398155490384"/>
    <n v="2E+20"/>
    <n v="302.17766632678098"/>
    <n v="592.92257682440697"/>
    <n v="107"/>
    <s v="Unnamed ProjectsalesTotal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1"/>
    <x v="17"/>
    <x v="8"/>
    <x v="2"/>
    <n v="438.398155490384"/>
    <n v="2E+20"/>
    <n v="302.17766632678098"/>
    <n v="592.92257682440697"/>
    <n v="107"/>
    <s v="Unnamed ProjectsalesVA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2"/>
    <x v="17"/>
    <x v="7"/>
    <x v="2"/>
    <n v="459.28844531819601"/>
    <n v="2E+20"/>
    <n v="300.92105462506902"/>
    <n v="597.759614822397"/>
    <n v="95"/>
    <s v="Unnamed ProjectsalesTotal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2"/>
    <x v="17"/>
    <x v="8"/>
    <x v="2"/>
    <n v="459.28844531819601"/>
    <n v="2E+20"/>
    <n v="300.92105462506902"/>
    <n v="597.759614822397"/>
    <n v="95"/>
    <s v="Unnamed ProjectsalesVA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3"/>
    <x v="17"/>
    <x v="7"/>
    <x v="2"/>
    <n v="441.37454468850598"/>
    <n v="2E+20"/>
    <n v="301.67941063433"/>
    <n v="599.937375794834"/>
    <n v="129"/>
    <s v="Unnamed ProjectsalesTotal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3"/>
    <x v="17"/>
    <x v="8"/>
    <x v="2"/>
    <n v="441.37454468850598"/>
    <n v="2E+20"/>
    <n v="301.67941063433"/>
    <n v="599.937375794834"/>
    <n v="129"/>
    <s v="Unnamed ProjectsalesVA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4"/>
    <x v="17"/>
    <x v="7"/>
    <x v="2"/>
    <n v="461.17560348385501"/>
    <n v="2E+20"/>
    <n v="301.66482074372499"/>
    <n v="597.75906916047097"/>
    <n v="116"/>
    <s v="Unnamed ProjectsalesTotal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4"/>
    <x v="17"/>
    <x v="8"/>
    <x v="2"/>
    <n v="461.17560348385501"/>
    <n v="2E+20"/>
    <n v="301.66482074372499"/>
    <n v="597.75906916047097"/>
    <n v="116"/>
    <s v="Unnamed ProjectsalesVA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5"/>
    <x v="17"/>
    <x v="7"/>
    <x v="2"/>
    <n v="449.89861065413902"/>
    <n v="2E+20"/>
    <n v="301.11888745654102"/>
    <n v="598.12280975925398"/>
    <n v="116"/>
    <s v="Unnamed ProjectsalesTotal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5"/>
    <x v="17"/>
    <x v="8"/>
    <x v="2"/>
    <n v="449.89861065413902"/>
    <n v="2E+20"/>
    <n v="301.11888745654102"/>
    <n v="598.12280975925398"/>
    <n v="116"/>
    <s v="Unnamed ProjectsalesVA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6"/>
    <x v="17"/>
    <x v="7"/>
    <x v="2"/>
    <n v="453.20797435289501"/>
    <n v="2E+20"/>
    <n v="300.33280676452"/>
    <n v="598.14608253363997"/>
    <n v="129"/>
    <s v="Unnamed ProjectsalesTotal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6"/>
    <x v="17"/>
    <x v="8"/>
    <x v="2"/>
    <n v="453.20797435289501"/>
    <n v="2E+20"/>
    <n v="300.33280676452"/>
    <n v="598.14608253363997"/>
    <n v="129"/>
    <s v="Unnamed ProjectsalesVA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7"/>
    <x v="17"/>
    <x v="7"/>
    <x v="2"/>
    <n v="451.78315556601302"/>
    <n v="2E+20"/>
    <n v="300.66757377691101"/>
    <n v="599.56500972830702"/>
    <n v="141"/>
    <s v="Unnamed ProjectsalesTotal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7"/>
    <x v="17"/>
    <x v="8"/>
    <x v="2"/>
    <n v="451.78315556601302"/>
    <n v="2E+20"/>
    <n v="300.66757377691101"/>
    <n v="599.56500972830702"/>
    <n v="141"/>
    <s v="Unnamed ProjectsalesVA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8"/>
    <x v="17"/>
    <x v="7"/>
    <x v="2"/>
    <n v="447.034433646926"/>
    <n v="2E+20"/>
    <n v="300.37488992753799"/>
    <n v="596.94835007243103"/>
    <n v="117"/>
    <s v="Unnamed ProjectsalesTotal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8"/>
    <x v="17"/>
    <x v="8"/>
    <x v="2"/>
    <n v="447.034433646926"/>
    <n v="2E+20"/>
    <n v="300.37488992753799"/>
    <n v="596.94835007243103"/>
    <n v="117"/>
    <s v="Unnamed ProjectsalesVA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9"/>
    <x v="17"/>
    <x v="7"/>
    <x v="2"/>
    <n v="430.49034311020301"/>
    <n v="2E+20"/>
    <n v="303.25672535240301"/>
    <n v="598.31204499286798"/>
    <n v="118"/>
    <s v="Unnamed ProjectsalesTotal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9"/>
    <x v="17"/>
    <x v="8"/>
    <x v="2"/>
    <n v="430.49034311020301"/>
    <n v="2E+20"/>
    <n v="303.25672535240301"/>
    <n v="598.31204499286798"/>
    <n v="118"/>
    <s v="Unnamed ProjectsalesVA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10"/>
    <x v="17"/>
    <x v="7"/>
    <x v="2"/>
    <n v="436.01862435573202"/>
    <n v="2E+20"/>
    <n v="304.257541822706"/>
    <n v="597.90141854001604"/>
    <n v="119"/>
    <s v="Unnamed ProjectsalesTotal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10"/>
    <x v="17"/>
    <x v="8"/>
    <x v="2"/>
    <n v="436.01862435573202"/>
    <n v="2E+20"/>
    <n v="304.257541822706"/>
    <n v="597.90141854001604"/>
    <n v="119"/>
    <s v="Unnamed ProjectsalesVA Time Per EntityProcess"/>
    <n v="10"/>
    <n v="446.86698906668488"/>
    <n v="10.112666499712928"/>
    <n v="0.95"/>
    <n v="7.2341658183478312"/>
    <n v="430.49034311020301"/>
    <n v="461.17560348385501"/>
    <n v="300.33280676452"/>
    <n v="599.937375794834"/>
    <n v="118.7"/>
    <n v="7.2341658183478312"/>
    <n v="10"/>
    <n v="1"/>
  </r>
  <r>
    <x v="0"/>
    <s v="2025-12-30 22:09:11"/>
    <n v="1"/>
    <x v="18"/>
    <x v="0"/>
    <x v="0"/>
    <n v="2781.1008030870698"/>
    <n v="1272.0925972648399"/>
    <n v="184.205750514957"/>
    <n v="52690.835551304197"/>
    <n v="13094"/>
    <s v="Unnamed ProjectSeize 1.QueueWaiting TimeQueue"/>
    <n v="10"/>
    <n v="3214.1574517420095"/>
    <n v="235.04700580186517"/>
    <n v="0.95"/>
    <n v="168.14249882809111"/>
    <n v="2781.1008030870698"/>
    <n v="3506.3255654525101"/>
    <n v="56.275670389641199"/>
    <n v="53362.6000961518"/>
    <n v="13103.5"/>
    <n v="168.14249882809111"/>
    <n v="10"/>
    <n v="1"/>
  </r>
  <r>
    <x v="0"/>
    <s v="2025-12-30 22:09:11"/>
    <n v="2"/>
    <x v="18"/>
    <x v="0"/>
    <x v="0"/>
    <n v="3031.0701282780501"/>
    <n v="1403.64932164072"/>
    <n v="137.11549150362001"/>
    <n v="52856.629622164801"/>
    <n v="13120"/>
    <s v="Unnamed ProjectSeize 1.QueueWaiting TimeQueue"/>
    <n v="10"/>
    <n v="3214.1574517420095"/>
    <n v="235.04700580186517"/>
    <n v="0.95"/>
    <n v="168.14249882809111"/>
    <n v="2781.1008030870698"/>
    <n v="3506.3255654525101"/>
    <n v="56.275670389641199"/>
    <n v="53362.6000961518"/>
    <n v="13103.5"/>
    <n v="168.14249882809111"/>
    <n v="10"/>
    <n v="1"/>
  </r>
  <r>
    <x v="0"/>
    <s v="2025-12-30 22:09:11"/>
    <n v="3"/>
    <x v="18"/>
    <x v="0"/>
    <x v="0"/>
    <n v="3227.8943077754602"/>
    <n v="1488.2901873999599"/>
    <n v="167.06009690549001"/>
    <n v="53212.872760259001"/>
    <n v="13101"/>
    <s v="Unnamed ProjectSeize 1.QueueWaiting TimeQueue"/>
    <n v="10"/>
    <n v="3214.1574517420095"/>
    <n v="235.04700580186517"/>
    <n v="0.95"/>
    <n v="168.14249882809111"/>
    <n v="2781.1008030870698"/>
    <n v="3506.3255654525101"/>
    <n v="56.275670389641199"/>
    <n v="53362.6000961518"/>
    <n v="13103.5"/>
    <n v="168.14249882809111"/>
    <n v="10"/>
    <n v="1"/>
  </r>
  <r>
    <x v="0"/>
    <s v="2025-12-30 22:09:11"/>
    <n v="4"/>
    <x v="18"/>
    <x v="0"/>
    <x v="0"/>
    <n v="3369.1281876146199"/>
    <n v="1552.15038621903"/>
    <n v="137.88357626384101"/>
    <n v="53228.687559356702"/>
    <n v="13088"/>
    <s v="Unnamed ProjectSeize 1.QueueWaiting TimeQueue"/>
    <n v="10"/>
    <n v="3214.1574517420095"/>
    <n v="235.04700580186517"/>
    <n v="0.95"/>
    <n v="168.14249882809111"/>
    <n v="2781.1008030870698"/>
    <n v="3506.3255654525101"/>
    <n v="56.275670389641199"/>
    <n v="53362.6000961518"/>
    <n v="13103.5"/>
    <n v="168.14249882809111"/>
    <n v="10"/>
    <n v="1"/>
  </r>
  <r>
    <x v="0"/>
    <s v="2025-12-30 22:09:11"/>
    <n v="5"/>
    <x v="18"/>
    <x v="0"/>
    <x v="0"/>
    <n v="3101.6932276840598"/>
    <n v="1436.7736287375001"/>
    <n v="74.483396606672599"/>
    <n v="52951.153209689197"/>
    <n v="13114"/>
    <s v="Unnamed ProjectSeize 1.QueueWaiting TimeQueue"/>
    <n v="10"/>
    <n v="3214.1574517420095"/>
    <n v="235.04700580186517"/>
    <n v="0.95"/>
    <n v="168.14249882809111"/>
    <n v="2781.1008030870698"/>
    <n v="3506.3255654525101"/>
    <n v="56.275670389641199"/>
    <n v="53362.6000961518"/>
    <n v="13103.5"/>
    <n v="168.14249882809111"/>
    <n v="10"/>
    <n v="1"/>
  </r>
  <r>
    <x v="0"/>
    <s v="2025-12-30 22:09:11"/>
    <n v="6"/>
    <x v="18"/>
    <x v="0"/>
    <x v="0"/>
    <n v="3325.4975832659002"/>
    <n v="1520.8344532651899"/>
    <n v="217.98203112104201"/>
    <n v="53165.918742742302"/>
    <n v="13107"/>
    <s v="Unnamed ProjectSeize 1.QueueWaiting TimeQueue"/>
    <n v="10"/>
    <n v="3214.1574517420095"/>
    <n v="235.04700580186517"/>
    <n v="0.95"/>
    <n v="168.14249882809111"/>
    <n v="2781.1008030870698"/>
    <n v="3506.3255654525101"/>
    <n v="56.275670389641199"/>
    <n v="53362.6000961518"/>
    <n v="13103.5"/>
    <n v="168.14249882809111"/>
    <n v="10"/>
    <n v="1"/>
  </r>
  <r>
    <x v="0"/>
    <s v="2025-12-30 22:09:11"/>
    <n v="7"/>
    <x v="18"/>
    <x v="0"/>
    <x v="0"/>
    <n v="2990.6230638584302"/>
    <n v="1414.55762471499"/>
    <n v="56.275670389641199"/>
    <n v="52941.792739645804"/>
    <n v="13115"/>
    <s v="Unnamed ProjectSeize 1.QueueWaiting TimeQueue"/>
    <n v="10"/>
    <n v="3214.1574517420095"/>
    <n v="235.04700580186517"/>
    <n v="0.95"/>
    <n v="168.14249882809111"/>
    <n v="2781.1008030870698"/>
    <n v="3506.3255654525101"/>
    <n v="56.275670389641199"/>
    <n v="53362.6000961518"/>
    <n v="13103.5"/>
    <n v="168.14249882809111"/>
    <n v="10"/>
    <n v="1"/>
  </r>
  <r>
    <x v="0"/>
    <s v="2025-12-30 22:09:11"/>
    <n v="8"/>
    <x v="18"/>
    <x v="0"/>
    <x v="0"/>
    <n v="3305.5983075960598"/>
    <n v="1478.3805922264901"/>
    <n v="123.516835384478"/>
    <n v="52971.8342923073"/>
    <n v="13100"/>
    <s v="Unnamed ProjectSeize 1.QueueWaiting TimeQueue"/>
    <n v="10"/>
    <n v="3214.1574517420095"/>
    <n v="235.04700580186517"/>
    <n v="0.95"/>
    <n v="168.14249882809111"/>
    <n v="2781.1008030870698"/>
    <n v="3506.3255654525101"/>
    <n v="56.275670389641199"/>
    <n v="53362.6000961518"/>
    <n v="13103.5"/>
    <n v="168.14249882809111"/>
    <n v="10"/>
    <n v="1"/>
  </r>
  <r>
    <x v="0"/>
    <s v="2025-12-30 22:09:11"/>
    <n v="9"/>
    <x v="18"/>
    <x v="0"/>
    <x v="0"/>
    <n v="3506.3255654525101"/>
    <n v="1655.2813702383801"/>
    <n v="121.315054226001"/>
    <n v="53362.6000961518"/>
    <n v="13109"/>
    <s v="Unnamed ProjectSeize 1.QueueWaiting TimeQueue"/>
    <n v="10"/>
    <n v="3214.1574517420095"/>
    <n v="235.04700580186517"/>
    <n v="0.95"/>
    <n v="168.14249882809111"/>
    <n v="2781.1008030870698"/>
    <n v="3506.3255654525101"/>
    <n v="56.275670389641199"/>
    <n v="53362.6000961518"/>
    <n v="13103.5"/>
    <n v="168.14249882809111"/>
    <n v="10"/>
    <n v="1"/>
  </r>
  <r>
    <x v="0"/>
    <s v="2025-12-30 22:09:11"/>
    <n v="10"/>
    <x v="18"/>
    <x v="0"/>
    <x v="0"/>
    <n v="3502.6433428079299"/>
    <n v="1575.5276655118"/>
    <n v="357.64812284189998"/>
    <n v="53297.786264049202"/>
    <n v="13087"/>
    <s v="Unnamed ProjectSeize 1.QueueWaiting TimeQueue"/>
    <n v="10"/>
    <n v="3214.1574517420095"/>
    <n v="235.04700580186517"/>
    <n v="0.95"/>
    <n v="168.14249882809111"/>
    <n v="2781.1008030870698"/>
    <n v="3506.3255654525101"/>
    <n v="56.275670389641199"/>
    <n v="53362.6000961518"/>
    <n v="13103.5"/>
    <n v="168.14249882809111"/>
    <n v="10"/>
    <n v="1"/>
  </r>
  <r>
    <x v="0"/>
    <s v="2025-12-30 22:09:11"/>
    <n v="1"/>
    <x v="19"/>
    <x v="0"/>
    <x v="0"/>
    <n v="37.857616642272703"/>
    <n v="29.364810763083799"/>
    <n v="0"/>
    <n v="50393.462753189"/>
    <n v="6543"/>
    <s v="Unnamed ProjectSeize 10.QueueWaiting TimeQueue"/>
    <n v="10"/>
    <n v="56.164806958974978"/>
    <n v="12.252425807282485"/>
    <n v="0.95"/>
    <n v="8.7648574161327222"/>
    <n v="37.857616642272703"/>
    <n v="71.836270525000302"/>
    <n v="0"/>
    <n v="50396.317941052599"/>
    <n v="6547.7"/>
    <n v="8.7648574161327222"/>
    <n v="10"/>
    <n v="1"/>
  </r>
  <r>
    <x v="0"/>
    <s v="2025-12-30 22:09:11"/>
    <n v="2"/>
    <x v="19"/>
    <x v="0"/>
    <x v="0"/>
    <n v="71.740547867915396"/>
    <n v="58.446122504046699"/>
    <n v="0"/>
    <n v="50377.759065881699"/>
    <n v="6557"/>
    <s v="Unnamed ProjectSeize 10.QueueWaiting TimeQueue"/>
    <n v="10"/>
    <n v="56.164806958974978"/>
    <n v="12.252425807282485"/>
    <n v="0.95"/>
    <n v="8.7648574161327222"/>
    <n v="37.857616642272703"/>
    <n v="71.836270525000302"/>
    <n v="0"/>
    <n v="50396.317941052599"/>
    <n v="6547.7"/>
    <n v="8.7648574161327222"/>
    <n v="10"/>
    <n v="1"/>
  </r>
  <r>
    <x v="0"/>
    <s v="2025-12-30 22:09:11"/>
    <n v="3"/>
    <x v="19"/>
    <x v="0"/>
    <x v="0"/>
    <n v="38.957763669831401"/>
    <n v="37.5479706150807"/>
    <n v="0"/>
    <n v="50386.070039929502"/>
    <n v="6546"/>
    <s v="Unnamed ProjectSeize 10.QueueWaiting TimeQueue"/>
    <n v="10"/>
    <n v="56.164806958974978"/>
    <n v="12.252425807282485"/>
    <n v="0.95"/>
    <n v="8.7648574161327222"/>
    <n v="37.857616642272703"/>
    <n v="71.836270525000302"/>
    <n v="0"/>
    <n v="50396.317941052599"/>
    <n v="6547.7"/>
    <n v="8.7648574161327222"/>
    <n v="10"/>
    <n v="1"/>
  </r>
  <r>
    <x v="0"/>
    <s v="2025-12-30 22:09:11"/>
    <n v="4"/>
    <x v="19"/>
    <x v="0"/>
    <x v="0"/>
    <n v="55.459050586615099"/>
    <n v="47.132973875203703"/>
    <n v="0"/>
    <n v="50364.645380804097"/>
    <n v="6540"/>
    <s v="Unnamed ProjectSeize 10.QueueWaiting TimeQueue"/>
    <n v="10"/>
    <n v="56.164806958974978"/>
    <n v="12.252425807282485"/>
    <n v="0.95"/>
    <n v="8.7648574161327222"/>
    <n v="37.857616642272703"/>
    <n v="71.836270525000302"/>
    <n v="0"/>
    <n v="50396.317941052599"/>
    <n v="6547.7"/>
    <n v="8.7648574161327222"/>
    <n v="10"/>
    <n v="1"/>
  </r>
  <r>
    <x v="0"/>
    <s v="2025-12-30 22:09:11"/>
    <n v="5"/>
    <x v="19"/>
    <x v="0"/>
    <x v="0"/>
    <n v="45.500710691834499"/>
    <n v="39.585698580518603"/>
    <n v="0"/>
    <n v="50386.841794354703"/>
    <n v="6553"/>
    <s v="Unnamed ProjectSeize 10.QueueWaiting TimeQueue"/>
    <n v="10"/>
    <n v="56.164806958974978"/>
    <n v="12.252425807282485"/>
    <n v="0.95"/>
    <n v="8.7648574161327222"/>
    <n v="37.857616642272703"/>
    <n v="71.836270525000302"/>
    <n v="0"/>
    <n v="50396.317941052599"/>
    <n v="6547.7"/>
    <n v="8.7648574161327222"/>
    <n v="10"/>
    <n v="1"/>
  </r>
  <r>
    <x v="0"/>
    <s v="2025-12-30 22:09:11"/>
    <n v="6"/>
    <x v="19"/>
    <x v="0"/>
    <x v="0"/>
    <n v="62.535575887811703"/>
    <n v="47.235911221614501"/>
    <n v="0"/>
    <n v="50396.317941052599"/>
    <n v="6550"/>
    <s v="Unnamed ProjectSeize 10.QueueWaiting TimeQueue"/>
    <n v="10"/>
    <n v="56.164806958974978"/>
    <n v="12.252425807282485"/>
    <n v="0.95"/>
    <n v="8.7648574161327222"/>
    <n v="37.857616642272703"/>
    <n v="71.836270525000302"/>
    <n v="0"/>
    <n v="50396.317941052599"/>
    <n v="6547.7"/>
    <n v="8.7648574161327222"/>
    <n v="10"/>
    <n v="1"/>
  </r>
  <r>
    <x v="0"/>
    <s v="2025-12-30 22:09:11"/>
    <n v="7"/>
    <x v="19"/>
    <x v="0"/>
    <x v="0"/>
    <n v="53.7086295461365"/>
    <n v="57.876603401918601"/>
    <n v="0"/>
    <n v="50390.494796871702"/>
    <n v="6553"/>
    <s v="Unnamed ProjectSeize 10.QueueWaiting TimeQueue"/>
    <n v="10"/>
    <n v="56.164806958974978"/>
    <n v="12.252425807282485"/>
    <n v="0.95"/>
    <n v="8.7648574161327222"/>
    <n v="37.857616642272703"/>
    <n v="71.836270525000302"/>
    <n v="0"/>
    <n v="50396.317941052599"/>
    <n v="6547.7"/>
    <n v="8.7648574161327222"/>
    <n v="10"/>
    <n v="1"/>
  </r>
  <r>
    <x v="0"/>
    <s v="2025-12-30 22:09:11"/>
    <n v="8"/>
    <x v="19"/>
    <x v="0"/>
    <x v="0"/>
    <n v="71.836270525000302"/>
    <n v="58.496084670211502"/>
    <n v="0"/>
    <n v="50384.351706463203"/>
    <n v="6546"/>
    <s v="Unnamed ProjectSeize 10.QueueWaiting TimeQueue"/>
    <n v="10"/>
    <n v="56.164806958974978"/>
    <n v="12.252425807282485"/>
    <n v="0.95"/>
    <n v="8.7648574161327222"/>
    <n v="37.857616642272703"/>
    <n v="71.836270525000302"/>
    <n v="0"/>
    <n v="50396.317941052599"/>
    <n v="6547.7"/>
    <n v="8.7648574161327222"/>
    <n v="10"/>
    <n v="1"/>
  </r>
  <r>
    <x v="0"/>
    <s v="2025-12-30 22:09:11"/>
    <n v="9"/>
    <x v="19"/>
    <x v="0"/>
    <x v="0"/>
    <n v="63.054743214773097"/>
    <n v="53.694897889306198"/>
    <n v="0"/>
    <n v="50389.092599307201"/>
    <n v="6549"/>
    <s v="Unnamed ProjectSeize 10.QueueWaiting TimeQueue"/>
    <n v="10"/>
    <n v="56.164806958974978"/>
    <n v="12.252425807282485"/>
    <n v="0.95"/>
    <n v="8.7648574161327222"/>
    <n v="37.857616642272703"/>
    <n v="71.836270525000302"/>
    <n v="0"/>
    <n v="50396.317941052599"/>
    <n v="6547.7"/>
    <n v="8.7648574161327222"/>
    <n v="10"/>
    <n v="1"/>
  </r>
  <r>
    <x v="0"/>
    <s v="2025-12-30 22:09:11"/>
    <n v="10"/>
    <x v="19"/>
    <x v="0"/>
    <x v="0"/>
    <n v="60.997160957559103"/>
    <n v="47.469100991173697"/>
    <n v="0"/>
    <n v="50390.1857790418"/>
    <n v="6540"/>
    <s v="Unnamed ProjectSeize 10.QueueWaiting TimeQueue"/>
    <n v="10"/>
    <n v="56.164806958974978"/>
    <n v="12.252425807282485"/>
    <n v="0.95"/>
    <n v="8.7648574161327222"/>
    <n v="37.857616642272703"/>
    <n v="71.836270525000302"/>
    <n v="0"/>
    <n v="50396.317941052599"/>
    <n v="6547.7"/>
    <n v="8.7648574161327222"/>
    <n v="10"/>
    <n v="1"/>
  </r>
  <r>
    <x v="0"/>
    <s v="2025-12-30 22:09:11"/>
    <n v="1"/>
    <x v="20"/>
    <x v="0"/>
    <x v="0"/>
    <n v="76771.074123022307"/>
    <n v="2E+20"/>
    <n v="0"/>
    <n v="132377.01760926301"/>
    <n v="107"/>
    <s v="Unnamed ProjectSeize 11.QueueWaiting TimeQueue"/>
    <n v="10"/>
    <n v="88046.738172937825"/>
    <n v="11777.771875557994"/>
    <n v="0.95"/>
    <n v="8425.3104481274768"/>
    <n v="68567.253415256797"/>
    <n v="110513.939109851"/>
    <n v="0"/>
    <n v="157355.353923986"/>
    <n v="118.7"/>
    <n v="8425.3104481274768"/>
    <n v="10"/>
    <n v="1"/>
  </r>
  <r>
    <x v="0"/>
    <s v="2025-12-30 22:09:11"/>
    <n v="2"/>
    <x v="20"/>
    <x v="0"/>
    <x v="0"/>
    <n v="68567.253415256797"/>
    <n v="2E+20"/>
    <n v="0"/>
    <n v="130793.88854732399"/>
    <n v="95"/>
    <s v="Unnamed ProjectSeize 11.QueueWaiting TimeQueue"/>
    <n v="10"/>
    <n v="88046.738172937825"/>
    <n v="11777.771875557994"/>
    <n v="0.95"/>
    <n v="8425.3104481274768"/>
    <n v="68567.253415256797"/>
    <n v="110513.939109851"/>
    <n v="0"/>
    <n v="157355.353923986"/>
    <n v="118.7"/>
    <n v="8425.3104481274768"/>
    <n v="10"/>
    <n v="1"/>
  </r>
  <r>
    <x v="0"/>
    <s v="2025-12-30 22:09:11"/>
    <n v="3"/>
    <x v="20"/>
    <x v="0"/>
    <x v="0"/>
    <n v="96143.778220276901"/>
    <n v="2E+20"/>
    <n v="0"/>
    <n v="146289.36993855899"/>
    <n v="129"/>
    <s v="Unnamed ProjectSeize 11.QueueWaiting TimeQueue"/>
    <n v="10"/>
    <n v="88046.738172937825"/>
    <n v="11777.771875557994"/>
    <n v="0.95"/>
    <n v="8425.3104481274768"/>
    <n v="68567.253415256797"/>
    <n v="110513.939109851"/>
    <n v="0"/>
    <n v="157355.353923986"/>
    <n v="118.7"/>
    <n v="8425.3104481274768"/>
    <n v="10"/>
    <n v="1"/>
  </r>
  <r>
    <x v="0"/>
    <s v="2025-12-30 22:09:11"/>
    <n v="4"/>
    <x v="20"/>
    <x v="0"/>
    <x v="0"/>
    <n v="89647.508847337594"/>
    <n v="2E+20"/>
    <n v="0"/>
    <n v="141360.67932553301"/>
    <n v="116"/>
    <s v="Unnamed ProjectSeize 11.QueueWaiting TimeQueue"/>
    <n v="10"/>
    <n v="88046.738172937825"/>
    <n v="11777.771875557994"/>
    <n v="0.95"/>
    <n v="8425.3104481274768"/>
    <n v="68567.253415256797"/>
    <n v="110513.939109851"/>
    <n v="0"/>
    <n v="157355.353923986"/>
    <n v="118.7"/>
    <n v="8425.3104481274768"/>
    <n v="10"/>
    <n v="1"/>
  </r>
  <r>
    <x v="0"/>
    <s v="2025-12-30 22:09:11"/>
    <n v="5"/>
    <x v="20"/>
    <x v="0"/>
    <x v="0"/>
    <n v="81672.294747715496"/>
    <n v="2E+20"/>
    <n v="0"/>
    <n v="136456.245959572"/>
    <n v="116"/>
    <s v="Unnamed ProjectSeize 11.QueueWaiting TimeQueue"/>
    <n v="10"/>
    <n v="88046.738172937825"/>
    <n v="11777.771875557994"/>
    <n v="0.95"/>
    <n v="8425.3104481274768"/>
    <n v="68567.253415256797"/>
    <n v="110513.939109851"/>
    <n v="0"/>
    <n v="157355.353923986"/>
    <n v="118.7"/>
    <n v="8425.3104481274768"/>
    <n v="10"/>
    <n v="1"/>
  </r>
  <r>
    <x v="0"/>
    <s v="2025-12-30 22:09:11"/>
    <n v="6"/>
    <x v="20"/>
    <x v="0"/>
    <x v="0"/>
    <n v="98159.071375228697"/>
    <n v="2E+20"/>
    <n v="0"/>
    <n v="148057.332798369"/>
    <n v="129"/>
    <s v="Unnamed ProjectSeize 11.QueueWaiting TimeQueue"/>
    <n v="10"/>
    <n v="88046.738172937825"/>
    <n v="11777.771875557994"/>
    <n v="0.95"/>
    <n v="8425.3104481274768"/>
    <n v="68567.253415256797"/>
    <n v="110513.939109851"/>
    <n v="0"/>
    <n v="157355.353923986"/>
    <n v="118.7"/>
    <n v="8425.3104481274768"/>
    <n v="10"/>
    <n v="1"/>
  </r>
  <r>
    <x v="0"/>
    <s v="2025-12-30 22:09:11"/>
    <n v="7"/>
    <x v="20"/>
    <x v="0"/>
    <x v="0"/>
    <n v="110513.939109851"/>
    <n v="2E+20"/>
    <n v="0"/>
    <n v="157355.353923986"/>
    <n v="141"/>
    <s v="Unnamed ProjectSeize 11.QueueWaiting TimeQueue"/>
    <n v="10"/>
    <n v="88046.738172937825"/>
    <n v="11777.771875557994"/>
    <n v="0.95"/>
    <n v="8425.3104481274768"/>
    <n v="68567.253415256797"/>
    <n v="110513.939109851"/>
    <n v="0"/>
    <n v="157355.353923986"/>
    <n v="118.7"/>
    <n v="8425.3104481274768"/>
    <n v="10"/>
    <n v="1"/>
  </r>
  <r>
    <x v="0"/>
    <s v="2025-12-30 22:09:11"/>
    <n v="8"/>
    <x v="20"/>
    <x v="0"/>
    <x v="0"/>
    <n v="84966.129030206401"/>
    <n v="2E+20"/>
    <n v="0"/>
    <n v="138171.10398225501"/>
    <n v="117"/>
    <s v="Unnamed ProjectSeize 11.QueueWaiting TimeQueue"/>
    <n v="10"/>
    <n v="88046.738172937825"/>
    <n v="11777.771875557994"/>
    <n v="0.95"/>
    <n v="8425.3104481274768"/>
    <n v="68567.253415256797"/>
    <n v="110513.939109851"/>
    <n v="0"/>
    <n v="157355.353923986"/>
    <n v="118.7"/>
    <n v="8425.3104481274768"/>
    <n v="10"/>
    <n v="1"/>
  </r>
  <r>
    <x v="0"/>
    <s v="2025-12-30 22:09:11"/>
    <n v="9"/>
    <x v="20"/>
    <x v="0"/>
    <x v="0"/>
    <n v="84326.800929921505"/>
    <n v="2E+20"/>
    <n v="0"/>
    <n v="141502.17881267899"/>
    <n v="118"/>
    <s v="Unnamed ProjectSeize 11.QueueWaiting TimeQueue"/>
    <n v="10"/>
    <n v="88046.738172937825"/>
    <n v="11777.771875557994"/>
    <n v="0.95"/>
    <n v="8425.3104481274768"/>
    <n v="68567.253415256797"/>
    <n v="110513.939109851"/>
    <n v="0"/>
    <n v="157355.353923986"/>
    <n v="118.7"/>
    <n v="8425.3104481274768"/>
    <n v="10"/>
    <n v="1"/>
  </r>
  <r>
    <x v="0"/>
    <s v="2025-12-30 22:09:11"/>
    <n v="10"/>
    <x v="20"/>
    <x v="0"/>
    <x v="0"/>
    <n v="89699.531930561498"/>
    <n v="2E+20"/>
    <n v="0"/>
    <n v="141522.16344648699"/>
    <n v="119"/>
    <s v="Unnamed ProjectSeize 11.QueueWaiting TimeQueue"/>
    <n v="10"/>
    <n v="88046.738172937825"/>
    <n v="11777.771875557994"/>
    <n v="0.95"/>
    <n v="8425.3104481274768"/>
    <n v="68567.253415256797"/>
    <n v="110513.939109851"/>
    <n v="0"/>
    <n v="157355.353923986"/>
    <n v="118.7"/>
    <n v="8425.3104481274768"/>
    <n v="10"/>
    <n v="1"/>
  </r>
  <r>
    <x v="0"/>
    <s v="2025-12-30 22:09:11"/>
    <n v="1"/>
    <x v="21"/>
    <x v="0"/>
    <x v="0"/>
    <n v="54.1463615551882"/>
    <n v="48.7697669296276"/>
    <n v="0"/>
    <n v="50399.1086907344"/>
    <n v="13090"/>
    <s v="Unnamed ProjectSeize 2.QueueWaiting TimeQueue"/>
    <n v="10"/>
    <n v="43.895956091204496"/>
    <n v="12.119794487325622"/>
    <n v="0.95"/>
    <n v="8.6699786854535752"/>
    <n v="18.156136666344501"/>
    <n v="58.212092015181497"/>
    <n v="0"/>
    <n v="50399.169114564698"/>
    <n v="13100.1"/>
    <n v="8.6699786854535752"/>
    <n v="10"/>
    <n v="1"/>
  </r>
  <r>
    <x v="0"/>
    <s v="2025-12-30 22:09:11"/>
    <n v="2"/>
    <x v="21"/>
    <x v="0"/>
    <x v="0"/>
    <n v="31.8264634343181"/>
    <n v="26.781798202118299"/>
    <n v="0"/>
    <n v="50398.225814604099"/>
    <n v="13118"/>
    <s v="Unnamed ProjectSeize 2.QueueWaiting TimeQueue"/>
    <n v="10"/>
    <n v="43.895956091204496"/>
    <n v="12.119794487325622"/>
    <n v="0.95"/>
    <n v="8.6699786854535752"/>
    <n v="18.156136666344501"/>
    <n v="58.212092015181497"/>
    <n v="0"/>
    <n v="50399.169114564698"/>
    <n v="13100.1"/>
    <n v="8.6699786854535752"/>
    <n v="10"/>
    <n v="1"/>
  </r>
  <r>
    <x v="0"/>
    <s v="2025-12-30 22:09:11"/>
    <n v="3"/>
    <x v="21"/>
    <x v="0"/>
    <x v="0"/>
    <n v="45.334550034231803"/>
    <n v="41.314166484800701"/>
    <n v="0"/>
    <n v="50397.321499802099"/>
    <n v="13097"/>
    <s v="Unnamed ProjectSeize 2.QueueWaiting TimeQueue"/>
    <n v="10"/>
    <n v="43.895956091204496"/>
    <n v="12.119794487325622"/>
    <n v="0.95"/>
    <n v="8.6699786854535752"/>
    <n v="18.156136666344501"/>
    <n v="58.212092015181497"/>
    <n v="0"/>
    <n v="50399.169114564698"/>
    <n v="13100.1"/>
    <n v="8.6699786854535752"/>
    <n v="10"/>
    <n v="1"/>
  </r>
  <r>
    <x v="0"/>
    <s v="2025-12-30 22:09:11"/>
    <n v="4"/>
    <x v="21"/>
    <x v="0"/>
    <x v="0"/>
    <n v="18.156136666344501"/>
    <n v="14.7481608850062"/>
    <n v="0"/>
    <n v="50395.757191463599"/>
    <n v="13087"/>
    <s v="Unnamed ProjectSeize 2.QueueWaiting TimeQueue"/>
    <n v="10"/>
    <n v="43.895956091204496"/>
    <n v="12.119794487325622"/>
    <n v="0.95"/>
    <n v="8.6699786854535752"/>
    <n v="18.156136666344501"/>
    <n v="58.212092015181497"/>
    <n v="0"/>
    <n v="50399.169114564698"/>
    <n v="13100.1"/>
    <n v="8.6699786854535752"/>
    <n v="10"/>
    <n v="1"/>
  </r>
  <r>
    <x v="0"/>
    <s v="2025-12-30 22:09:11"/>
    <n v="5"/>
    <x v="21"/>
    <x v="0"/>
    <x v="0"/>
    <n v="36.506800446227402"/>
    <n v="31.732352708371199"/>
    <n v="0"/>
    <n v="50397.719927425504"/>
    <n v="13111"/>
    <s v="Unnamed ProjectSeize 2.QueueWaiting TimeQueue"/>
    <n v="10"/>
    <n v="43.895956091204496"/>
    <n v="12.119794487325622"/>
    <n v="0.95"/>
    <n v="8.6699786854535752"/>
    <n v="18.156136666344501"/>
    <n v="58.212092015181497"/>
    <n v="0"/>
    <n v="50399.169114564698"/>
    <n v="13100.1"/>
    <n v="8.6699786854535752"/>
    <n v="10"/>
    <n v="1"/>
  </r>
  <r>
    <x v="0"/>
    <s v="2025-12-30 22:09:11"/>
    <n v="6"/>
    <x v="21"/>
    <x v="0"/>
    <x v="0"/>
    <n v="58.212092015181497"/>
    <n v="50.013195957585701"/>
    <n v="0"/>
    <n v="50397.002219471899"/>
    <n v="13103"/>
    <s v="Unnamed ProjectSeize 2.QueueWaiting TimeQueue"/>
    <n v="10"/>
    <n v="43.895956091204496"/>
    <n v="12.119794487325622"/>
    <n v="0.95"/>
    <n v="8.6699786854535752"/>
    <n v="18.156136666344501"/>
    <n v="58.212092015181497"/>
    <n v="0"/>
    <n v="50399.169114564698"/>
    <n v="13100.1"/>
    <n v="8.6699786854535752"/>
    <n v="10"/>
    <n v="1"/>
  </r>
  <r>
    <x v="0"/>
    <s v="2025-12-30 22:09:11"/>
    <n v="7"/>
    <x v="21"/>
    <x v="0"/>
    <x v="0"/>
    <n v="45.560970188824399"/>
    <n v="37.781762593516703"/>
    <n v="0"/>
    <n v="50398.184175567403"/>
    <n v="13111"/>
    <s v="Unnamed ProjectSeize 2.QueueWaiting TimeQueue"/>
    <n v="10"/>
    <n v="43.895956091204496"/>
    <n v="12.119794487325622"/>
    <n v="0.95"/>
    <n v="8.6699786854535752"/>
    <n v="18.156136666344501"/>
    <n v="58.212092015181497"/>
    <n v="0"/>
    <n v="50399.169114564698"/>
    <n v="13100.1"/>
    <n v="8.6699786854535752"/>
    <n v="10"/>
    <n v="1"/>
  </r>
  <r>
    <x v="0"/>
    <s v="2025-12-30 22:09:11"/>
    <n v="8"/>
    <x v="21"/>
    <x v="0"/>
    <x v="0"/>
    <n v="49.455599376182001"/>
    <n v="41.2800794284367"/>
    <n v="0"/>
    <n v="50399.169114564698"/>
    <n v="13096"/>
    <s v="Unnamed ProjectSeize 2.QueueWaiting TimeQueue"/>
    <n v="10"/>
    <n v="43.895956091204496"/>
    <n v="12.119794487325622"/>
    <n v="0.95"/>
    <n v="8.6699786854535752"/>
    <n v="18.156136666344501"/>
    <n v="58.212092015181497"/>
    <n v="0"/>
    <n v="50399.169114564698"/>
    <n v="13100.1"/>
    <n v="8.6699786854535752"/>
    <n v="10"/>
    <n v="1"/>
  </r>
  <r>
    <x v="0"/>
    <s v="2025-12-30 22:09:11"/>
    <n v="9"/>
    <x v="21"/>
    <x v="0"/>
    <x v="0"/>
    <n v="45.308883592039301"/>
    <n v="37.829383242813002"/>
    <n v="0"/>
    <n v="50398.347678104503"/>
    <n v="13105"/>
    <s v="Unnamed ProjectSeize 2.QueueWaiting TimeQueue"/>
    <n v="10"/>
    <n v="43.895956091204496"/>
    <n v="12.119794487325622"/>
    <n v="0.95"/>
    <n v="8.6699786854535752"/>
    <n v="18.156136666344501"/>
    <n v="58.212092015181497"/>
    <n v="0"/>
    <n v="50399.169114564698"/>
    <n v="13100.1"/>
    <n v="8.6699786854535752"/>
    <n v="10"/>
    <n v="1"/>
  </r>
  <r>
    <x v="0"/>
    <s v="2025-12-30 22:09:11"/>
    <n v="10"/>
    <x v="21"/>
    <x v="0"/>
    <x v="0"/>
    <n v="54.451703603507802"/>
    <n v="47.2883851394608"/>
    <n v="0"/>
    <n v="50396.153569127098"/>
    <n v="13083"/>
    <s v="Unnamed ProjectSeize 2.QueueWaiting TimeQueue"/>
    <n v="10"/>
    <n v="43.895956091204496"/>
    <n v="12.119794487325622"/>
    <n v="0.95"/>
    <n v="8.6699786854535752"/>
    <n v="18.156136666344501"/>
    <n v="58.212092015181497"/>
    <n v="0"/>
    <n v="50399.169114564698"/>
    <n v="13100.1"/>
    <n v="8.6699786854535752"/>
    <n v="10"/>
    <n v="1"/>
  </r>
  <r>
    <x v="0"/>
    <s v="2025-12-30 22:09:11"/>
    <n v="1"/>
    <x v="22"/>
    <x v="0"/>
    <x v="0"/>
    <n v="6.9857617751713503"/>
    <n v="8.1139038791892197"/>
    <n v="0"/>
    <n v="50404.579464292401"/>
    <n v="13090"/>
    <s v="Unnamed ProjectSeize 3.QueueWaiting TimeQueue"/>
    <n v="10"/>
    <n v="8.2359994067495084"/>
    <n v="5.9153068159708839"/>
    <n v="0.95"/>
    <n v="4.2315555817401149"/>
    <n v="2.4091971467410902"/>
    <n v="20.464689844814199"/>
    <n v="0"/>
    <n v="50416.267475569599"/>
    <n v="13099.9"/>
    <n v="4.2315555817401149"/>
    <n v="10"/>
    <n v="1"/>
  </r>
  <r>
    <x v="0"/>
    <s v="2025-12-30 22:09:11"/>
    <n v="2"/>
    <x v="22"/>
    <x v="0"/>
    <x v="0"/>
    <n v="6.3010928495363698"/>
    <n v="8.1698359639238305"/>
    <n v="0"/>
    <n v="50416.267475569599"/>
    <n v="13118"/>
    <s v="Unnamed ProjectSeize 3.QueueWaiting TimeQueue"/>
    <n v="10"/>
    <n v="8.2359994067495084"/>
    <n v="5.9153068159708839"/>
    <n v="0.95"/>
    <n v="4.2315555817401149"/>
    <n v="2.4091971467410902"/>
    <n v="20.464689844814199"/>
    <n v="0"/>
    <n v="50416.267475569599"/>
    <n v="13099.9"/>
    <n v="4.2315555817401149"/>
    <n v="10"/>
    <n v="1"/>
  </r>
  <r>
    <x v="0"/>
    <s v="2025-12-30 22:09:11"/>
    <n v="3"/>
    <x v="22"/>
    <x v="0"/>
    <x v="0"/>
    <n v="6.7748934223388302"/>
    <n v="8.1231679070985408"/>
    <n v="0"/>
    <n v="50399.535918955902"/>
    <n v="13097"/>
    <s v="Unnamed ProjectSeize 3.QueueWaiting TimeQueue"/>
    <n v="10"/>
    <n v="8.2359994067495084"/>
    <n v="5.9153068159708839"/>
    <n v="0.95"/>
    <n v="4.2315555817401149"/>
    <n v="2.4091971467410902"/>
    <n v="20.464689844814199"/>
    <n v="0"/>
    <n v="50416.267475569599"/>
    <n v="13099.9"/>
    <n v="4.2315555817401149"/>
    <n v="10"/>
    <n v="1"/>
  </r>
  <r>
    <x v="0"/>
    <s v="2025-12-30 22:09:11"/>
    <n v="4"/>
    <x v="22"/>
    <x v="0"/>
    <x v="0"/>
    <n v="15.6263248831944"/>
    <n v="13.2172859931252"/>
    <n v="0"/>
    <n v="50405.506470416301"/>
    <n v="13086"/>
    <s v="Unnamed ProjectSeize 3.QueueWaiting TimeQueue"/>
    <n v="10"/>
    <n v="8.2359994067495084"/>
    <n v="5.9153068159708839"/>
    <n v="0.95"/>
    <n v="4.2315555817401149"/>
    <n v="2.4091971467410902"/>
    <n v="20.464689844814199"/>
    <n v="0"/>
    <n v="50416.267475569599"/>
    <n v="13099.9"/>
    <n v="4.2315555817401149"/>
    <n v="10"/>
    <n v="1"/>
  </r>
  <r>
    <x v="0"/>
    <s v="2025-12-30 22:09:11"/>
    <n v="5"/>
    <x v="22"/>
    <x v="0"/>
    <x v="0"/>
    <n v="6.7859085291373002"/>
    <n v="8.0717013233394308"/>
    <n v="0"/>
    <n v="50400.544422027502"/>
    <n v="13111"/>
    <s v="Unnamed ProjectSeize 3.QueueWaiting TimeQueue"/>
    <n v="10"/>
    <n v="8.2359994067495084"/>
    <n v="5.9153068159708839"/>
    <n v="0.95"/>
    <n v="4.2315555817401149"/>
    <n v="2.4091971467410902"/>
    <n v="20.464689844814199"/>
    <n v="0"/>
    <n v="50416.267475569599"/>
    <n v="13099.9"/>
    <n v="4.2315555817401149"/>
    <n v="10"/>
    <n v="1"/>
  </r>
  <r>
    <x v="0"/>
    <s v="2025-12-30 22:09:11"/>
    <n v="6"/>
    <x v="22"/>
    <x v="0"/>
    <x v="0"/>
    <n v="2.8876446936591602"/>
    <n v="0.76152300516063098"/>
    <n v="0"/>
    <n v="3602.7430388105299"/>
    <n v="13103"/>
    <s v="Unnamed ProjectSeize 3.QueueWaiting TimeQueue"/>
    <n v="10"/>
    <n v="8.2359994067495084"/>
    <n v="5.9153068159708839"/>
    <n v="0.95"/>
    <n v="4.2315555817401149"/>
    <n v="2.4091971467410902"/>
    <n v="20.464689844814199"/>
    <n v="0"/>
    <n v="50416.267475569599"/>
    <n v="13099.9"/>
    <n v="4.2315555817401149"/>
    <n v="10"/>
    <n v="1"/>
  </r>
  <r>
    <x v="0"/>
    <s v="2025-12-30 22:09:11"/>
    <n v="7"/>
    <x v="22"/>
    <x v="0"/>
    <x v="0"/>
    <n v="20.464689844814199"/>
    <n v="18.924233947254699"/>
    <n v="0"/>
    <n v="50403.325104139498"/>
    <n v="13111"/>
    <s v="Unnamed ProjectSeize 3.QueueWaiting TimeQueue"/>
    <n v="10"/>
    <n v="8.2359994067495084"/>
    <n v="5.9153068159708839"/>
    <n v="0.95"/>
    <n v="4.2315555817401149"/>
    <n v="2.4091971467410902"/>
    <n v="20.464689844814199"/>
    <n v="0"/>
    <n v="50416.267475569599"/>
    <n v="13099.9"/>
    <n v="4.2315555817401149"/>
    <n v="10"/>
    <n v="1"/>
  </r>
  <r>
    <x v="0"/>
    <s v="2025-12-30 22:09:11"/>
    <n v="8"/>
    <x v="22"/>
    <x v="0"/>
    <x v="0"/>
    <n v="2.8252947775502899"/>
    <n v="0.81821051090728003"/>
    <n v="0"/>
    <n v="3603.4070354630098"/>
    <n v="13096"/>
    <s v="Unnamed ProjectSeize 3.QueueWaiting TimeQueue"/>
    <n v="10"/>
    <n v="8.2359994067495084"/>
    <n v="5.9153068159708839"/>
    <n v="0.95"/>
    <n v="4.2315555817401149"/>
    <n v="2.4091971467410902"/>
    <n v="20.464689844814199"/>
    <n v="0"/>
    <n v="50416.267475569599"/>
    <n v="13099.9"/>
    <n v="4.2315555817401149"/>
    <n v="10"/>
    <n v="1"/>
  </r>
  <r>
    <x v="0"/>
    <s v="2025-12-30 22:09:11"/>
    <n v="9"/>
    <x v="22"/>
    <x v="0"/>
    <x v="0"/>
    <n v="2.4091971467410902"/>
    <n v="0.175360302286729"/>
    <n v="0"/>
    <n v="24.010976320307201"/>
    <n v="13105"/>
    <s v="Unnamed ProjectSeize 3.QueueWaiting TimeQueue"/>
    <n v="10"/>
    <n v="8.2359994067495084"/>
    <n v="5.9153068159708839"/>
    <n v="0.95"/>
    <n v="4.2315555817401149"/>
    <n v="2.4091971467410902"/>
    <n v="20.464689844814199"/>
    <n v="0"/>
    <n v="50416.267475569599"/>
    <n v="13099.9"/>
    <n v="4.2315555817401149"/>
    <n v="10"/>
    <n v="1"/>
  </r>
  <r>
    <x v="0"/>
    <s v="2025-12-30 22:09:11"/>
    <n v="10"/>
    <x v="22"/>
    <x v="0"/>
    <x v="0"/>
    <n v="11.299186145352101"/>
    <n v="11.101933017707101"/>
    <n v="0"/>
    <n v="50403.0889461201"/>
    <n v="13082"/>
    <s v="Unnamed ProjectSeize 3.QueueWaiting TimeQueue"/>
    <n v="10"/>
    <n v="8.2359994067495084"/>
    <n v="5.9153068159708839"/>
    <n v="0.95"/>
    <n v="4.2315555817401149"/>
    <n v="2.4091971467410902"/>
    <n v="20.464689844814199"/>
    <n v="0"/>
    <n v="50416.267475569599"/>
    <n v="13099.9"/>
    <n v="4.2315555817401149"/>
    <n v="10"/>
    <n v="1"/>
  </r>
  <r>
    <x v="0"/>
    <s v="2025-12-30 22:09:11"/>
    <n v="1"/>
    <x v="23"/>
    <x v="0"/>
    <x v="0"/>
    <n v="5467.0851638086097"/>
    <n v="1985.85247992109"/>
    <n v="91.615798104950997"/>
    <n v="54991.409797099099"/>
    <n v="8235"/>
    <s v="Unnamed ProjectSeize 4.QueueWaiting TimeQueue"/>
    <n v="10"/>
    <n v="4963.4386674412362"/>
    <n v="693.95545021448061"/>
    <n v="0.95"/>
    <n v="496.42582374691045"/>
    <n v="4084.20093509158"/>
    <n v="6194.5743580777498"/>
    <n v="31.828723795293602"/>
    <n v="55484.8116657914"/>
    <n v="8235"/>
    <n v="496.42582374691045"/>
    <n v="10"/>
    <n v="1"/>
  </r>
  <r>
    <x v="0"/>
    <s v="2025-12-30 22:09:11"/>
    <n v="2"/>
    <x v="23"/>
    <x v="0"/>
    <x v="0"/>
    <n v="4669.7547958905798"/>
    <n v="1678.9119307904"/>
    <n v="148.37804146581399"/>
    <n v="54437.414937330803"/>
    <n v="8231"/>
    <s v="Unnamed ProjectSeize 4.QueueWaiting TimeQueue"/>
    <n v="10"/>
    <n v="4963.4386674412362"/>
    <n v="693.95545021448061"/>
    <n v="0.95"/>
    <n v="496.42582374691045"/>
    <n v="4084.20093509158"/>
    <n v="6194.5743580777498"/>
    <n v="31.828723795293602"/>
    <n v="55484.8116657914"/>
    <n v="8235"/>
    <n v="496.42582374691045"/>
    <n v="10"/>
    <n v="1"/>
  </r>
  <r>
    <x v="0"/>
    <s v="2025-12-30 22:09:11"/>
    <n v="3"/>
    <x v="23"/>
    <x v="0"/>
    <x v="0"/>
    <n v="6194.5743580777498"/>
    <n v="2245.2172860138699"/>
    <n v="166.91313629758599"/>
    <n v="55484.8116657914"/>
    <n v="8245"/>
    <s v="Unnamed ProjectSeize 4.QueueWaiting TimeQueue"/>
    <n v="10"/>
    <n v="4963.4386674412362"/>
    <n v="693.95545021448061"/>
    <n v="0.95"/>
    <n v="496.42582374691045"/>
    <n v="4084.20093509158"/>
    <n v="6194.5743580777498"/>
    <n v="31.828723795293602"/>
    <n v="55484.8116657914"/>
    <n v="8235"/>
    <n v="496.42582374691045"/>
    <n v="10"/>
    <n v="1"/>
  </r>
  <r>
    <x v="0"/>
    <s v="2025-12-30 22:09:11"/>
    <n v="4"/>
    <x v="23"/>
    <x v="0"/>
    <x v="0"/>
    <n v="4349.3274378267797"/>
    <n v="1619.2453938618701"/>
    <n v="31.828723795293602"/>
    <n v="54067.232693341997"/>
    <n v="8234"/>
    <s v="Unnamed ProjectSeize 4.QueueWaiting TimeQueue"/>
    <n v="10"/>
    <n v="4963.4386674412362"/>
    <n v="693.95545021448061"/>
    <n v="0.95"/>
    <n v="496.42582374691045"/>
    <n v="4084.20093509158"/>
    <n v="6194.5743580777498"/>
    <n v="31.828723795293602"/>
    <n v="55484.8116657914"/>
    <n v="8235"/>
    <n v="496.42582374691045"/>
    <n v="10"/>
    <n v="1"/>
  </r>
  <r>
    <x v="0"/>
    <s v="2025-12-30 22:09:11"/>
    <n v="5"/>
    <x v="23"/>
    <x v="0"/>
    <x v="0"/>
    <n v="5814.7083600465603"/>
    <n v="2060.1231745810301"/>
    <n v="282.02949867047602"/>
    <n v="54906.607346956203"/>
    <n v="8245"/>
    <s v="Unnamed ProjectSeize 4.QueueWaiting TimeQueue"/>
    <n v="10"/>
    <n v="4963.4386674412362"/>
    <n v="693.95545021448061"/>
    <n v="0.95"/>
    <n v="496.42582374691045"/>
    <n v="4084.20093509158"/>
    <n v="6194.5743580777498"/>
    <n v="31.828723795293602"/>
    <n v="55484.8116657914"/>
    <n v="8235"/>
    <n v="496.42582374691045"/>
    <n v="10"/>
    <n v="1"/>
  </r>
  <r>
    <x v="0"/>
    <s v="2025-12-30 22:09:11"/>
    <n v="6"/>
    <x v="23"/>
    <x v="0"/>
    <x v="0"/>
    <n v="4084.20093509158"/>
    <n v="1595.64285813321"/>
    <n v="153.13541790248601"/>
    <n v="53709.0410317102"/>
    <n v="8223"/>
    <s v="Unnamed ProjectSeize 4.QueueWaiting TimeQueue"/>
    <n v="10"/>
    <n v="4963.4386674412362"/>
    <n v="693.95545021448061"/>
    <n v="0.95"/>
    <n v="496.42582374691045"/>
    <n v="4084.20093509158"/>
    <n v="6194.5743580777498"/>
    <n v="31.828723795293602"/>
    <n v="55484.8116657914"/>
    <n v="8235"/>
    <n v="496.42582374691045"/>
    <n v="10"/>
    <n v="1"/>
  </r>
  <r>
    <x v="0"/>
    <s v="2025-12-30 22:09:11"/>
    <n v="7"/>
    <x v="23"/>
    <x v="0"/>
    <x v="0"/>
    <n v="4805.2825188759798"/>
    <n v="3E+20"/>
    <n v="114.948017806466"/>
    <n v="54518.6315894449"/>
    <n v="8238"/>
    <s v="Unnamed ProjectSeize 4.QueueWaiting TimeQueue"/>
    <n v="10"/>
    <n v="4963.4386674412362"/>
    <n v="693.95545021448061"/>
    <n v="0.95"/>
    <n v="496.42582374691045"/>
    <n v="4084.20093509158"/>
    <n v="6194.5743580777498"/>
    <n v="31.828723795293602"/>
    <n v="55484.8116657914"/>
    <n v="8235"/>
    <n v="496.42582374691045"/>
    <n v="10"/>
    <n v="1"/>
  </r>
  <r>
    <x v="0"/>
    <s v="2025-12-30 22:09:11"/>
    <n v="8"/>
    <x v="23"/>
    <x v="0"/>
    <x v="0"/>
    <n v="5207.4847803297498"/>
    <n v="3E+20"/>
    <n v="52.949976604399097"/>
    <n v="54880.469459259402"/>
    <n v="8231"/>
    <s v="Unnamed ProjectSeize 4.QueueWaiting TimeQueue"/>
    <n v="10"/>
    <n v="4963.4386674412362"/>
    <n v="693.95545021448061"/>
    <n v="0.95"/>
    <n v="496.42582374691045"/>
    <n v="4084.20093509158"/>
    <n v="6194.5743580777498"/>
    <n v="31.828723795293602"/>
    <n v="55484.8116657914"/>
    <n v="8235"/>
    <n v="496.42582374691045"/>
    <n v="10"/>
    <n v="1"/>
  </r>
  <r>
    <x v="0"/>
    <s v="2025-12-30 22:09:11"/>
    <n v="9"/>
    <x v="23"/>
    <x v="0"/>
    <x v="0"/>
    <n v="4268.3907431853604"/>
    <n v="1594.7570610955199"/>
    <n v="50.566490665405603"/>
    <n v="53840.113505921901"/>
    <n v="8234"/>
    <s v="Unnamed ProjectSeize 4.QueueWaiting TimeQueue"/>
    <n v="10"/>
    <n v="4963.4386674412362"/>
    <n v="693.95545021448061"/>
    <n v="0.95"/>
    <n v="496.42582374691045"/>
    <n v="4084.20093509158"/>
    <n v="6194.5743580777498"/>
    <n v="31.828723795293602"/>
    <n v="55484.8116657914"/>
    <n v="8235"/>
    <n v="496.42582374691045"/>
    <n v="10"/>
    <n v="1"/>
  </r>
  <r>
    <x v="0"/>
    <s v="2025-12-30 22:09:11"/>
    <n v="10"/>
    <x v="23"/>
    <x v="0"/>
    <x v="0"/>
    <n v="4773.57758127942"/>
    <n v="1735.9297257164001"/>
    <n v="131.07604634903001"/>
    <n v="54323.758189987202"/>
    <n v="8234"/>
    <s v="Unnamed ProjectSeize 4.QueueWaiting TimeQueue"/>
    <n v="10"/>
    <n v="4963.4386674412362"/>
    <n v="693.95545021448061"/>
    <n v="0.95"/>
    <n v="496.42582374691045"/>
    <n v="4084.20093509158"/>
    <n v="6194.5743580777498"/>
    <n v="31.828723795293602"/>
    <n v="55484.8116657914"/>
    <n v="8235"/>
    <n v="496.42582374691045"/>
    <n v="10"/>
    <n v="1"/>
  </r>
  <r>
    <x v="0"/>
    <s v="2025-12-30 22:09:11"/>
    <n v="1"/>
    <x v="24"/>
    <x v="0"/>
    <x v="0"/>
    <n v="64.818570391141506"/>
    <n v="20.735127075133601"/>
    <n v="0"/>
    <n v="50441.547513157799"/>
    <n v="8235"/>
    <s v="Unnamed ProjectSeize 5.QueueWaiting TimeQueue"/>
    <n v="10"/>
    <n v="88.040125893874716"/>
    <n v="12.96089718530159"/>
    <n v="0.95"/>
    <n v="9.2716673090812414"/>
    <n v="64.818570391141506"/>
    <n v="100.525218123304"/>
    <n v="0"/>
    <n v="50449.588001419703"/>
    <n v="8233.5"/>
    <n v="9.2716673090812414"/>
    <n v="10"/>
    <n v="1"/>
  </r>
  <r>
    <x v="0"/>
    <s v="2025-12-30 22:09:11"/>
    <n v="2"/>
    <x v="24"/>
    <x v="0"/>
    <x v="0"/>
    <n v="71.868955778748401"/>
    <n v="23.410418052959699"/>
    <n v="0"/>
    <n v="50440.255226729001"/>
    <n v="8230"/>
    <s v="Unnamed ProjectSeize 5.QueueWaiting TimeQueue"/>
    <n v="10"/>
    <n v="88.040125893874716"/>
    <n v="12.96089718530159"/>
    <n v="0.95"/>
    <n v="9.2716673090812414"/>
    <n v="64.818570391141506"/>
    <n v="100.525218123304"/>
    <n v="0"/>
    <n v="50449.588001419703"/>
    <n v="8233.5"/>
    <n v="9.2716673090812414"/>
    <n v="10"/>
    <n v="1"/>
  </r>
  <r>
    <x v="0"/>
    <s v="2025-12-30 22:09:11"/>
    <n v="3"/>
    <x v="24"/>
    <x v="0"/>
    <x v="0"/>
    <n v="100.512968159755"/>
    <n v="46.732229619002098"/>
    <n v="0"/>
    <n v="50438.629218230999"/>
    <n v="8243"/>
    <s v="Unnamed ProjectSeize 5.QueueWaiting TimeQueue"/>
    <n v="10"/>
    <n v="88.040125893874716"/>
    <n v="12.96089718530159"/>
    <n v="0.95"/>
    <n v="9.2716673090812414"/>
    <n v="64.818570391141506"/>
    <n v="100.525218123304"/>
    <n v="0"/>
    <n v="50449.588001419703"/>
    <n v="8233.5"/>
    <n v="9.2716673090812414"/>
    <n v="10"/>
    <n v="1"/>
  </r>
  <r>
    <x v="0"/>
    <s v="2025-12-30 22:09:11"/>
    <n v="4"/>
    <x v="24"/>
    <x v="0"/>
    <x v="0"/>
    <n v="94.157204483925099"/>
    <n v="42.314591939597797"/>
    <n v="0"/>
    <n v="50439.811057470397"/>
    <n v="8232"/>
    <s v="Unnamed ProjectSeize 5.QueueWaiting TimeQueue"/>
    <n v="10"/>
    <n v="88.040125893874716"/>
    <n v="12.96089718530159"/>
    <n v="0.95"/>
    <n v="9.2716673090812414"/>
    <n v="64.818570391141506"/>
    <n v="100.525218123304"/>
    <n v="0"/>
    <n v="50449.588001419703"/>
    <n v="8233.5"/>
    <n v="9.2716673090812414"/>
    <n v="10"/>
    <n v="1"/>
  </r>
  <r>
    <x v="0"/>
    <s v="2025-12-30 22:09:11"/>
    <n v="5"/>
    <x v="24"/>
    <x v="0"/>
    <x v="0"/>
    <n v="100.525218123304"/>
    <n v="46.715304422368703"/>
    <n v="0"/>
    <n v="50442.589403689199"/>
    <n v="8243"/>
    <s v="Unnamed ProjectSeize 5.QueueWaiting TimeQueue"/>
    <n v="10"/>
    <n v="88.040125893874716"/>
    <n v="12.96089718530159"/>
    <n v="0.95"/>
    <n v="9.2716673090812414"/>
    <n v="64.818570391141506"/>
    <n v="100.525218123304"/>
    <n v="0"/>
    <n v="50449.588001419703"/>
    <n v="8233.5"/>
    <n v="9.2716673090812414"/>
    <n v="10"/>
    <n v="1"/>
  </r>
  <r>
    <x v="0"/>
    <s v="2025-12-30 22:09:11"/>
    <n v="6"/>
    <x v="24"/>
    <x v="0"/>
    <x v="0"/>
    <n v="94.747902989281798"/>
    <n v="42.303477782730504"/>
    <n v="0"/>
    <n v="50446.492183755101"/>
    <n v="8221"/>
    <s v="Unnamed ProjectSeize 5.QueueWaiting TimeQueue"/>
    <n v="10"/>
    <n v="88.040125893874716"/>
    <n v="12.96089718530159"/>
    <n v="0.95"/>
    <n v="9.2716673090812414"/>
    <n v="64.818570391141506"/>
    <n v="100.525218123304"/>
    <n v="0"/>
    <n v="50449.588001419703"/>
    <n v="8233.5"/>
    <n v="9.2716673090812414"/>
    <n v="10"/>
    <n v="1"/>
  </r>
  <r>
    <x v="0"/>
    <s v="2025-12-30 22:09:11"/>
    <n v="7"/>
    <x v="24"/>
    <x v="0"/>
    <x v="0"/>
    <n v="99.728036625484506"/>
    <n v="46.826228117028201"/>
    <n v="0"/>
    <n v="50445.392092176502"/>
    <n v="8236"/>
    <s v="Unnamed ProjectSeize 5.QueueWaiting TimeQueue"/>
    <n v="10"/>
    <n v="88.040125893874716"/>
    <n v="12.96089718530159"/>
    <n v="0.95"/>
    <n v="9.2716673090812414"/>
    <n v="64.818570391141506"/>
    <n v="100.525218123304"/>
    <n v="0"/>
    <n v="50449.588001419703"/>
    <n v="8233.5"/>
    <n v="9.2716673090812414"/>
    <n v="10"/>
    <n v="1"/>
  </r>
  <r>
    <x v="0"/>
    <s v="2025-12-30 22:09:11"/>
    <n v="8"/>
    <x v="24"/>
    <x v="0"/>
    <x v="0"/>
    <n v="94.573252593872397"/>
    <n v="42.250910266666203"/>
    <n v="0"/>
    <n v="50439.453151483503"/>
    <n v="8229"/>
    <s v="Unnamed ProjectSeize 5.QueueWaiting TimeQueue"/>
    <n v="10"/>
    <n v="88.040125893874716"/>
    <n v="12.96089718530159"/>
    <n v="0.95"/>
    <n v="9.2716673090812414"/>
    <n v="64.818570391141506"/>
    <n v="100.525218123304"/>
    <n v="0"/>
    <n v="50449.588001419703"/>
    <n v="8233.5"/>
    <n v="9.2716673090812414"/>
    <n v="10"/>
    <n v="1"/>
  </r>
  <r>
    <x v="0"/>
    <s v="2025-12-30 22:09:11"/>
    <n v="9"/>
    <x v="24"/>
    <x v="0"/>
    <x v="0"/>
    <n v="79.715639705115805"/>
    <n v="31.231123742571299"/>
    <n v="0"/>
    <n v="50449.588001419703"/>
    <n v="8233"/>
    <s v="Unnamed ProjectSeize 5.QueueWaiting TimeQueue"/>
    <n v="10"/>
    <n v="88.040125893874716"/>
    <n v="12.96089718530159"/>
    <n v="0.95"/>
    <n v="9.2716673090812414"/>
    <n v="64.818570391141506"/>
    <n v="100.525218123304"/>
    <n v="0"/>
    <n v="50449.588001419703"/>
    <n v="8233.5"/>
    <n v="9.2716673090812414"/>
    <n v="10"/>
    <n v="1"/>
  </r>
  <r>
    <x v="0"/>
    <s v="2025-12-30 22:09:11"/>
    <n v="10"/>
    <x v="24"/>
    <x v="0"/>
    <x v="0"/>
    <n v="79.753510088118702"/>
    <n v="31.161540012782599"/>
    <n v="0"/>
    <n v="50442.116561700102"/>
    <n v="8233"/>
    <s v="Unnamed ProjectSeize 5.QueueWaiting TimeQueue"/>
    <n v="10"/>
    <n v="88.040125893874716"/>
    <n v="12.96089718530159"/>
    <n v="0.95"/>
    <n v="9.2716673090812414"/>
    <n v="64.818570391141506"/>
    <n v="100.525218123304"/>
    <n v="0"/>
    <n v="50449.588001419703"/>
    <n v="8233.5"/>
    <n v="9.2716673090812414"/>
    <n v="10"/>
    <n v="1"/>
  </r>
  <r>
    <x v="0"/>
    <s v="2025-12-30 22:09:11"/>
    <n v="1"/>
    <x v="25"/>
    <x v="0"/>
    <x v="0"/>
    <n v="238.54383411691001"/>
    <n v="80.898736001541394"/>
    <n v="0"/>
    <n v="50555.694322055599"/>
    <n v="8233"/>
    <s v="Unnamed ProjectSeize 6.QueueWaiting TimeQueue"/>
    <n v="10"/>
    <n v="229.8897737798377"/>
    <n v="18.339818831006617"/>
    <n v="0.95"/>
    <n v="13.119516055011427"/>
    <n v="210.201039016267"/>
    <n v="267.93355402142498"/>
    <n v="0"/>
    <n v="50557.121858719198"/>
    <n v="8231.5"/>
    <n v="13.119516055011427"/>
    <n v="10"/>
    <n v="1"/>
  </r>
  <r>
    <x v="0"/>
    <s v="2025-12-30 22:09:11"/>
    <n v="2"/>
    <x v="25"/>
    <x v="0"/>
    <x v="0"/>
    <n v="225.99232768277801"/>
    <n v="67.694357802885804"/>
    <n v="0"/>
    <n v="50556.217925576799"/>
    <n v="8228"/>
    <s v="Unnamed ProjectSeize 6.QueueWaiting TimeQueue"/>
    <n v="10"/>
    <n v="229.8897737798377"/>
    <n v="18.339818831006617"/>
    <n v="0.95"/>
    <n v="13.119516055011427"/>
    <n v="210.201039016267"/>
    <n v="267.93355402142498"/>
    <n v="0"/>
    <n v="50557.121858719198"/>
    <n v="8231.5"/>
    <n v="13.119516055011427"/>
    <n v="10"/>
    <n v="1"/>
  </r>
  <r>
    <x v="0"/>
    <s v="2025-12-30 22:09:11"/>
    <n v="3"/>
    <x v="25"/>
    <x v="0"/>
    <x v="0"/>
    <n v="224.33017802664801"/>
    <n v="67.740929919711704"/>
    <n v="0"/>
    <n v="50557.047310766699"/>
    <n v="8241"/>
    <s v="Unnamed ProjectSeize 6.QueueWaiting TimeQueue"/>
    <n v="10"/>
    <n v="229.8897737798377"/>
    <n v="18.339818831006617"/>
    <n v="0.95"/>
    <n v="13.119516055011427"/>
    <n v="210.201039016267"/>
    <n v="267.93355402142498"/>
    <n v="0"/>
    <n v="50557.121858719198"/>
    <n v="8231.5"/>
    <n v="13.119516055011427"/>
    <n v="10"/>
    <n v="1"/>
  </r>
  <r>
    <x v="0"/>
    <s v="2025-12-30 22:09:11"/>
    <n v="4"/>
    <x v="25"/>
    <x v="0"/>
    <x v="0"/>
    <n v="224.236191757271"/>
    <n v="67.745583250861401"/>
    <n v="0"/>
    <n v="50547.7455795196"/>
    <n v="8230"/>
    <s v="Unnamed ProjectSeize 6.QueueWaiting TimeQueue"/>
    <n v="10"/>
    <n v="229.8897737798377"/>
    <n v="18.339818831006617"/>
    <n v="0.95"/>
    <n v="13.119516055011427"/>
    <n v="210.201039016267"/>
    <n v="267.93355402142498"/>
    <n v="0"/>
    <n v="50557.121858719198"/>
    <n v="8231.5"/>
    <n v="13.119516055011427"/>
    <n v="10"/>
    <n v="1"/>
  </r>
  <r>
    <x v="0"/>
    <s v="2025-12-30 22:09:11"/>
    <n v="5"/>
    <x v="25"/>
    <x v="0"/>
    <x v="0"/>
    <n v="211.21373911525299"/>
    <n v="53.693762006629797"/>
    <n v="0"/>
    <n v="50557.121858719198"/>
    <n v="8241"/>
    <s v="Unnamed ProjectSeize 6.QueueWaiting TimeQueue"/>
    <n v="10"/>
    <n v="229.8897737798377"/>
    <n v="18.339818831006617"/>
    <n v="0.95"/>
    <n v="13.119516055011427"/>
    <n v="210.201039016267"/>
    <n v="267.93355402142498"/>
    <n v="0"/>
    <n v="50557.121858719198"/>
    <n v="8231.5"/>
    <n v="13.119516055011427"/>
    <n v="10"/>
    <n v="1"/>
  </r>
  <r>
    <x v="0"/>
    <s v="2025-12-30 22:09:11"/>
    <n v="6"/>
    <x v="25"/>
    <x v="0"/>
    <x v="0"/>
    <n v="217.98329615109199"/>
    <n v="59.940997956990202"/>
    <n v="0"/>
    <n v="50555.882405860903"/>
    <n v="8220"/>
    <s v="Unnamed ProjectSeize 6.QueueWaiting TimeQueue"/>
    <n v="10"/>
    <n v="229.8897737798377"/>
    <n v="18.339818831006617"/>
    <n v="0.95"/>
    <n v="13.119516055011427"/>
    <n v="210.201039016267"/>
    <n v="267.93355402142498"/>
    <n v="0"/>
    <n v="50557.121858719198"/>
    <n v="8231.5"/>
    <n v="13.119516055011427"/>
    <n v="10"/>
    <n v="1"/>
  </r>
  <r>
    <x v="0"/>
    <s v="2025-12-30 22:09:11"/>
    <n v="7"/>
    <x v="25"/>
    <x v="0"/>
    <x v="0"/>
    <n v="252.908506118281"/>
    <n v="93.774263219303705"/>
    <n v="0"/>
    <n v="50550.666059165298"/>
    <n v="8234"/>
    <s v="Unnamed ProjectSeize 6.QueueWaiting TimeQueue"/>
    <n v="10"/>
    <n v="229.8897737798377"/>
    <n v="18.339818831006617"/>
    <n v="0.95"/>
    <n v="13.119516055011427"/>
    <n v="210.201039016267"/>
    <n v="267.93355402142498"/>
    <n v="0"/>
    <n v="50557.121858719198"/>
    <n v="8231.5"/>
    <n v="13.119516055011427"/>
    <n v="10"/>
    <n v="1"/>
  </r>
  <r>
    <x v="0"/>
    <s v="2025-12-30 22:09:11"/>
    <n v="8"/>
    <x v="25"/>
    <x v="0"/>
    <x v="0"/>
    <n v="225.555071792452"/>
    <n v="67.635642878594098"/>
    <n v="0"/>
    <n v="50555.163163213903"/>
    <n v="8227"/>
    <s v="Unnamed ProjectSeize 6.QueueWaiting TimeQueue"/>
    <n v="10"/>
    <n v="229.8897737798377"/>
    <n v="18.339818831006617"/>
    <n v="0.95"/>
    <n v="13.119516055011427"/>
    <n v="210.201039016267"/>
    <n v="267.93355402142498"/>
    <n v="0"/>
    <n v="50557.121858719198"/>
    <n v="8231.5"/>
    <n v="13.119516055011427"/>
    <n v="10"/>
    <n v="1"/>
  </r>
  <r>
    <x v="0"/>
    <s v="2025-12-30 22:09:11"/>
    <n v="9"/>
    <x v="25"/>
    <x v="0"/>
    <x v="0"/>
    <n v="210.201039016267"/>
    <n v="59.6383067039406"/>
    <n v="0"/>
    <n v="50554.068653267401"/>
    <n v="8232"/>
    <s v="Unnamed ProjectSeize 6.QueueWaiting TimeQueue"/>
    <n v="10"/>
    <n v="229.8897737798377"/>
    <n v="18.339818831006617"/>
    <n v="0.95"/>
    <n v="13.119516055011427"/>
    <n v="210.201039016267"/>
    <n v="267.93355402142498"/>
    <n v="0"/>
    <n v="50557.121858719198"/>
    <n v="8231.5"/>
    <n v="13.119516055011427"/>
    <n v="10"/>
    <n v="1"/>
  </r>
  <r>
    <x v="0"/>
    <s v="2025-12-30 22:09:11"/>
    <n v="10"/>
    <x v="25"/>
    <x v="0"/>
    <x v="0"/>
    <n v="267.93355402142498"/>
    <n v="99.858228573249093"/>
    <n v="0"/>
    <n v="50552.865239464401"/>
    <n v="8229"/>
    <s v="Unnamed ProjectSeize 6.QueueWaiting TimeQueue"/>
    <n v="10"/>
    <n v="229.8897737798377"/>
    <n v="18.339818831006617"/>
    <n v="0.95"/>
    <n v="13.119516055011427"/>
    <n v="210.201039016267"/>
    <n v="267.93355402142498"/>
    <n v="0"/>
    <n v="50557.121858719198"/>
    <n v="8231.5"/>
    <n v="13.119516055011427"/>
    <n v="10"/>
    <n v="1"/>
  </r>
  <r>
    <x v="0"/>
    <s v="2025-12-30 22:09:11"/>
    <n v="1"/>
    <x v="26"/>
    <x v="0"/>
    <x v="0"/>
    <n v="86.500129340693107"/>
    <n v="76.770860616595499"/>
    <n v="0"/>
    <n v="50399.297221265202"/>
    <n v="8229"/>
    <s v="Unnamed ProjectSeize 7.QueueWaiting TimeQueue"/>
    <n v="10"/>
    <n v="85.807400359907859"/>
    <n v="17.784942468274007"/>
    <n v="0.95"/>
    <n v="12.722581416970771"/>
    <n v="50.2715784556584"/>
    <n v="106.488424563889"/>
    <n v="0"/>
    <n v="50399.558469181902"/>
    <n v="8227.7000000000007"/>
    <n v="12.722581416970771"/>
    <n v="10"/>
    <n v="1"/>
  </r>
  <r>
    <x v="0"/>
    <s v="2025-12-30 22:09:11"/>
    <n v="2"/>
    <x v="26"/>
    <x v="0"/>
    <x v="0"/>
    <n v="92.235083734408803"/>
    <n v="78.981603157877402"/>
    <n v="0"/>
    <n v="50396.368743683801"/>
    <n v="8224"/>
    <s v="Unnamed ProjectSeize 7.QueueWaiting TimeQueue"/>
    <n v="10"/>
    <n v="85.807400359907859"/>
    <n v="17.784942468274007"/>
    <n v="0.95"/>
    <n v="12.722581416970771"/>
    <n v="50.2715784556584"/>
    <n v="106.488424563889"/>
    <n v="0"/>
    <n v="50399.558469181902"/>
    <n v="8227.7000000000007"/>
    <n v="12.722581416970771"/>
    <n v="10"/>
    <n v="1"/>
  </r>
  <r>
    <x v="0"/>
    <s v="2025-12-30 22:09:11"/>
    <n v="3"/>
    <x v="26"/>
    <x v="0"/>
    <x v="0"/>
    <n v="93.388378112900696"/>
    <n v="78.868471455590097"/>
    <n v="0"/>
    <n v="50393.196916106099"/>
    <n v="8237"/>
    <s v="Unnamed ProjectSeize 7.QueueWaiting TimeQueue"/>
    <n v="10"/>
    <n v="85.807400359907859"/>
    <n v="17.784942468274007"/>
    <n v="0.95"/>
    <n v="12.722581416970771"/>
    <n v="50.2715784556584"/>
    <n v="106.488424563889"/>
    <n v="0"/>
    <n v="50399.558469181902"/>
    <n v="8227.7000000000007"/>
    <n v="12.722581416970771"/>
    <n v="10"/>
    <n v="1"/>
  </r>
  <r>
    <x v="0"/>
    <s v="2025-12-30 22:09:11"/>
    <n v="4"/>
    <x v="26"/>
    <x v="0"/>
    <x v="0"/>
    <n v="93.512345385457394"/>
    <n v="78.854761058909503"/>
    <n v="0"/>
    <n v="50396.125472106498"/>
    <n v="8226"/>
    <s v="Unnamed ProjectSeize 7.QueueWaiting TimeQueue"/>
    <n v="10"/>
    <n v="85.807400359907859"/>
    <n v="17.784942468274007"/>
    <n v="0.95"/>
    <n v="12.722581416970771"/>
    <n v="50.2715784556584"/>
    <n v="106.488424563889"/>
    <n v="0"/>
    <n v="50399.558469181902"/>
    <n v="8227.7000000000007"/>
    <n v="12.722581416970771"/>
    <n v="10"/>
    <n v="1"/>
  </r>
  <r>
    <x v="0"/>
    <s v="2025-12-30 22:09:11"/>
    <n v="5"/>
    <x v="26"/>
    <x v="0"/>
    <x v="0"/>
    <n v="106.488424563889"/>
    <n v="88.446718890140602"/>
    <n v="0"/>
    <n v="50399.451704621599"/>
    <n v="8237"/>
    <s v="Unnamed ProjectSeize 7.QueueWaiting TimeQueue"/>
    <n v="10"/>
    <n v="85.807400359907859"/>
    <n v="17.784942468274007"/>
    <n v="0.95"/>
    <n v="12.722581416970771"/>
    <n v="50.2715784556584"/>
    <n v="106.488424563889"/>
    <n v="0"/>
    <n v="50399.558469181902"/>
    <n v="8227.7000000000007"/>
    <n v="12.722581416970771"/>
    <n v="10"/>
    <n v="1"/>
  </r>
  <r>
    <x v="0"/>
    <s v="2025-12-30 22:09:11"/>
    <n v="6"/>
    <x v="26"/>
    <x v="0"/>
    <x v="0"/>
    <n v="71.770343471825896"/>
    <n v="59.8709947120064"/>
    <n v="0"/>
    <n v="50398.307470069703"/>
    <n v="8216"/>
    <s v="Unnamed ProjectSeize 7.QueueWaiting TimeQueue"/>
    <n v="10"/>
    <n v="85.807400359907859"/>
    <n v="17.784942468274007"/>
    <n v="0.95"/>
    <n v="12.722581416970771"/>
    <n v="50.2715784556584"/>
    <n v="106.488424563889"/>
    <n v="0"/>
    <n v="50399.558469181902"/>
    <n v="8227.7000000000007"/>
    <n v="12.722581416970771"/>
    <n v="10"/>
    <n v="1"/>
  </r>
  <r>
    <x v="0"/>
    <s v="2025-12-30 22:09:11"/>
    <n v="7"/>
    <x v="26"/>
    <x v="0"/>
    <x v="0"/>
    <n v="65.081292120787595"/>
    <n v="62.201942630142"/>
    <n v="0"/>
    <n v="50398.810235352103"/>
    <n v="8230"/>
    <s v="Unnamed ProjectSeize 7.QueueWaiting TimeQueue"/>
    <n v="10"/>
    <n v="85.807400359907859"/>
    <n v="17.784942468274007"/>
    <n v="0.95"/>
    <n v="12.722581416970771"/>
    <n v="50.2715784556584"/>
    <n v="106.488424563889"/>
    <n v="0"/>
    <n v="50399.558469181902"/>
    <n v="8227.7000000000007"/>
    <n v="12.722581416970771"/>
    <n v="10"/>
    <n v="1"/>
  </r>
  <r>
    <x v="0"/>
    <s v="2025-12-30 22:09:11"/>
    <n v="8"/>
    <x v="26"/>
    <x v="0"/>
    <x v="0"/>
    <n v="98.797199339736693"/>
    <n v="84.921495201129403"/>
    <n v="0"/>
    <n v="50399.558469181902"/>
    <n v="8223"/>
    <s v="Unnamed ProjectSeize 7.QueueWaiting TimeQueue"/>
    <n v="10"/>
    <n v="85.807400359907859"/>
    <n v="17.784942468274007"/>
    <n v="0.95"/>
    <n v="12.722581416970771"/>
    <n v="50.2715784556584"/>
    <n v="106.488424563889"/>
    <n v="0"/>
    <n v="50399.558469181902"/>
    <n v="8227.7000000000007"/>
    <n v="12.722581416970771"/>
    <n v="10"/>
    <n v="1"/>
  </r>
  <r>
    <x v="0"/>
    <s v="2025-12-30 22:09:11"/>
    <n v="9"/>
    <x v="26"/>
    <x v="0"/>
    <x v="0"/>
    <n v="100.029229073721"/>
    <n v="84.777833515236395"/>
    <n v="0"/>
    <n v="50393.7312258944"/>
    <n v="8228"/>
    <s v="Unnamed ProjectSeize 7.QueueWaiting TimeQueue"/>
    <n v="10"/>
    <n v="85.807400359907859"/>
    <n v="17.784942468274007"/>
    <n v="0.95"/>
    <n v="12.722581416970771"/>
    <n v="50.2715784556584"/>
    <n v="106.488424563889"/>
    <n v="0"/>
    <n v="50399.558469181902"/>
    <n v="8227.7000000000007"/>
    <n v="12.722581416970771"/>
    <n v="10"/>
    <n v="1"/>
  </r>
  <r>
    <x v="0"/>
    <s v="2025-12-30 22:09:11"/>
    <n v="10"/>
    <x v="26"/>
    <x v="0"/>
    <x v="0"/>
    <n v="50.2715784556584"/>
    <n v="42.373498543496801"/>
    <n v="0"/>
    <n v="50395.046315142798"/>
    <n v="8227"/>
    <s v="Unnamed ProjectSeize 7.QueueWaiting TimeQueue"/>
    <n v="10"/>
    <n v="85.807400359907859"/>
    <n v="17.784942468274007"/>
    <n v="0.95"/>
    <n v="12.722581416970771"/>
    <n v="50.2715784556584"/>
    <n v="106.488424563889"/>
    <n v="0"/>
    <n v="50399.558469181902"/>
    <n v="8227.7000000000007"/>
    <n v="12.722581416970771"/>
    <n v="10"/>
    <n v="1"/>
  </r>
  <r>
    <x v="0"/>
    <s v="2025-12-30 22:09:11"/>
    <n v="1"/>
    <x v="27"/>
    <x v="0"/>
    <x v="0"/>
    <n v="2274.3365442562499"/>
    <n v="994.72371617342401"/>
    <n v="119.2165431496"/>
    <n v="52264.594655162502"/>
    <n v="18379"/>
    <s v="Unnamed ProjectSeize 8.QueueWaiting TimeQueue"/>
    <n v="10"/>
    <n v="2333.0370366652432"/>
    <n v="174.85354214657374"/>
    <n v="0.95"/>
    <n v="125.08268890798421"/>
    <n v="1988.7663340255599"/>
    <n v="2606.8224721424099"/>
    <n v="66.189341504752505"/>
    <n v="52568.073271626301"/>
    <n v="18392"/>
    <n v="125.08268890798421"/>
    <n v="10"/>
    <n v="1"/>
  </r>
  <r>
    <x v="0"/>
    <s v="2025-12-30 22:09:11"/>
    <n v="2"/>
    <x v="27"/>
    <x v="0"/>
    <x v="0"/>
    <n v="2285.3760935947298"/>
    <n v="1033.2829864134501"/>
    <n v="113.02311839004"/>
    <n v="52368.415294107697"/>
    <n v="18391"/>
    <s v="Unnamed ProjectSeize 8.QueueWaiting TimeQueue"/>
    <n v="10"/>
    <n v="2333.0370366652432"/>
    <n v="174.85354214657374"/>
    <n v="0.95"/>
    <n v="125.08268890798421"/>
    <n v="1988.7663340255599"/>
    <n v="2606.8224721424099"/>
    <n v="66.189341504752505"/>
    <n v="52568.073271626301"/>
    <n v="18392"/>
    <n v="125.08268890798421"/>
    <n v="10"/>
    <n v="1"/>
  </r>
  <r>
    <x v="0"/>
    <s v="2025-12-30 22:09:11"/>
    <n v="3"/>
    <x v="27"/>
    <x v="0"/>
    <x v="0"/>
    <n v="2606.8224721424099"/>
    <n v="1081.0458075998299"/>
    <n v="140.22189687730099"/>
    <n v="52568.073271626301"/>
    <n v="18407"/>
    <s v="Unnamed ProjectSeize 8.QueueWaiting TimeQueue"/>
    <n v="10"/>
    <n v="2333.0370366652432"/>
    <n v="174.85354214657374"/>
    <n v="0.95"/>
    <n v="125.08268890798421"/>
    <n v="1988.7663340255599"/>
    <n v="2606.8224721424099"/>
    <n v="66.189341504752505"/>
    <n v="52568.073271626301"/>
    <n v="18392"/>
    <n v="125.08268890798421"/>
    <n v="10"/>
    <n v="1"/>
  </r>
  <r>
    <x v="0"/>
    <s v="2025-12-30 22:09:11"/>
    <n v="4"/>
    <x v="27"/>
    <x v="0"/>
    <x v="0"/>
    <n v="2227.8386962127702"/>
    <n v="1005.43831061948"/>
    <n v="83.397560158500696"/>
    <n v="52263.375106510597"/>
    <n v="18402"/>
    <s v="Unnamed ProjectSeize 8.QueueWaiting TimeQueue"/>
    <n v="10"/>
    <n v="2333.0370366652432"/>
    <n v="174.85354214657374"/>
    <n v="0.95"/>
    <n v="125.08268890798421"/>
    <n v="1988.7663340255599"/>
    <n v="2606.8224721424099"/>
    <n v="66.189341504752505"/>
    <n v="52568.073271626301"/>
    <n v="18392"/>
    <n v="125.08268890798421"/>
    <n v="10"/>
    <n v="1"/>
  </r>
  <r>
    <x v="0"/>
    <s v="2025-12-30 22:09:11"/>
    <n v="5"/>
    <x v="27"/>
    <x v="0"/>
    <x v="0"/>
    <n v="1988.7663340255599"/>
    <n v="878.35305136935699"/>
    <n v="128.923364673767"/>
    <n v="52002.097083057401"/>
    <n v="18405"/>
    <s v="Unnamed ProjectSeize 8.QueueWaiting TimeQueue"/>
    <n v="10"/>
    <n v="2333.0370366652432"/>
    <n v="174.85354214657374"/>
    <n v="0.95"/>
    <n v="125.08268890798421"/>
    <n v="1988.7663340255599"/>
    <n v="2606.8224721424099"/>
    <n v="66.189341504752505"/>
    <n v="52568.073271626301"/>
    <n v="18392"/>
    <n v="125.08268890798421"/>
    <n v="10"/>
    <n v="1"/>
  </r>
  <r>
    <x v="0"/>
    <s v="2025-12-30 22:09:11"/>
    <n v="6"/>
    <x v="27"/>
    <x v="0"/>
    <x v="0"/>
    <n v="2390.5407784579902"/>
    <n v="1083.46363182452"/>
    <n v="151.50689316448899"/>
    <n v="52452.2808659027"/>
    <n v="18376"/>
    <s v="Unnamed ProjectSeize 8.QueueWaiting TimeQueue"/>
    <n v="10"/>
    <n v="2333.0370366652432"/>
    <n v="174.85354214657374"/>
    <n v="0.95"/>
    <n v="125.08268890798421"/>
    <n v="1988.7663340255599"/>
    <n v="2606.8224721424099"/>
    <n v="66.189341504752505"/>
    <n v="52568.073271626301"/>
    <n v="18392"/>
    <n v="125.08268890798421"/>
    <n v="10"/>
    <n v="1"/>
  </r>
  <r>
    <x v="0"/>
    <s v="2025-12-30 22:09:11"/>
    <n v="7"/>
    <x v="27"/>
    <x v="0"/>
    <x v="0"/>
    <n v="2520.2896303317202"/>
    <n v="1091.9999250472899"/>
    <n v="173.533798527995"/>
    <n v="52511.377340039297"/>
    <n v="18398"/>
    <s v="Unnamed ProjectSeize 8.QueueWaiting TimeQueue"/>
    <n v="10"/>
    <n v="2333.0370366652432"/>
    <n v="174.85354214657374"/>
    <n v="0.95"/>
    <n v="125.08268890798421"/>
    <n v="1988.7663340255599"/>
    <n v="2606.8224721424099"/>
    <n v="66.189341504752505"/>
    <n v="52568.073271626301"/>
    <n v="18392"/>
    <n v="125.08268890798421"/>
    <n v="10"/>
    <n v="1"/>
  </r>
  <r>
    <x v="0"/>
    <s v="2025-12-30 22:09:11"/>
    <n v="8"/>
    <x v="27"/>
    <x v="0"/>
    <x v="0"/>
    <n v="2215.8203694788699"/>
    <n v="1026.48239008163"/>
    <n v="66.189341504752505"/>
    <n v="52349.491205812097"/>
    <n v="18377"/>
    <s v="Unnamed ProjectSeize 8.QueueWaiting TimeQueue"/>
    <n v="10"/>
    <n v="2333.0370366652432"/>
    <n v="174.85354214657374"/>
    <n v="0.95"/>
    <n v="125.08268890798421"/>
    <n v="1988.7663340255599"/>
    <n v="2606.8224721424099"/>
    <n v="66.189341504752505"/>
    <n v="52568.073271626301"/>
    <n v="18392"/>
    <n v="125.08268890798421"/>
    <n v="10"/>
    <n v="1"/>
  </r>
  <r>
    <x v="0"/>
    <s v="2025-12-30 22:09:11"/>
    <n v="9"/>
    <x v="27"/>
    <x v="0"/>
    <x v="0"/>
    <n v="2430.9433999274402"/>
    <n v="1017.95943765365"/>
    <n v="186.96015238032899"/>
    <n v="52409.513023342202"/>
    <n v="18405"/>
    <s v="Unnamed ProjectSeize 8.QueueWaiting TimeQueue"/>
    <n v="10"/>
    <n v="2333.0370366652432"/>
    <n v="174.85354214657374"/>
    <n v="0.95"/>
    <n v="125.08268890798421"/>
    <n v="1988.7663340255599"/>
    <n v="2606.8224721424099"/>
    <n v="66.189341504752505"/>
    <n v="52568.073271626301"/>
    <n v="18392"/>
    <n v="125.08268890798421"/>
    <n v="10"/>
    <n v="1"/>
  </r>
  <r>
    <x v="0"/>
    <s v="2025-12-30 22:09:11"/>
    <n v="10"/>
    <x v="27"/>
    <x v="0"/>
    <x v="0"/>
    <n v="2389.6360482246901"/>
    <n v="1063.9495192280499"/>
    <n v="112.337083306487"/>
    <n v="52384.5533307683"/>
    <n v="18380"/>
    <s v="Unnamed ProjectSeize 8.QueueWaiting TimeQueue"/>
    <n v="10"/>
    <n v="2333.0370366652432"/>
    <n v="174.85354214657374"/>
    <n v="0.95"/>
    <n v="125.08268890798421"/>
    <n v="1988.7663340255599"/>
    <n v="2606.8224721424099"/>
    <n v="66.189341504752505"/>
    <n v="52568.073271626301"/>
    <n v="18392"/>
    <n v="125.08268890798421"/>
    <n v="10"/>
    <n v="1"/>
  </r>
  <r>
    <x v="0"/>
    <s v="2025-12-30 22:09:11"/>
    <n v="1"/>
    <x v="28"/>
    <x v="0"/>
    <x v="0"/>
    <n v="99.832749175835602"/>
    <n v="40.750461539462599"/>
    <n v="0"/>
    <n v="50455.242055160903"/>
    <n v="18376"/>
    <s v="Unnamed ProjectSeize 9.QueueWaiting TimeQueue"/>
    <n v="10"/>
    <n v="96.952802100337834"/>
    <n v="14.580921079066574"/>
    <n v="0.95"/>
    <n v="10.430562589323509"/>
    <n v="70.992281755618393"/>
    <n v="112.231730524293"/>
    <n v="0"/>
    <n v="50459.332896561798"/>
    <n v="18389.400000000001"/>
    <n v="10.430562589323509"/>
    <n v="10"/>
    <n v="1"/>
  </r>
  <r>
    <x v="0"/>
    <s v="2025-12-30 22:09:11"/>
    <n v="2"/>
    <x v="28"/>
    <x v="0"/>
    <x v="0"/>
    <n v="112.231730524293"/>
    <n v="51.432963735174802"/>
    <n v="0"/>
    <n v="50456.155760698202"/>
    <n v="18387"/>
    <s v="Unnamed ProjectSeize 9.QueueWaiting TimeQueue"/>
    <n v="10"/>
    <n v="96.952802100337834"/>
    <n v="14.580921079066574"/>
    <n v="0.95"/>
    <n v="10.430562589323509"/>
    <n v="70.992281755618393"/>
    <n v="112.231730524293"/>
    <n v="0"/>
    <n v="50459.332896561798"/>
    <n v="18389.400000000001"/>
    <n v="10.430562589323509"/>
    <n v="10"/>
    <n v="1"/>
  </r>
  <r>
    <x v="0"/>
    <s v="2025-12-30 22:09:11"/>
    <n v="3"/>
    <x v="28"/>
    <x v="0"/>
    <x v="0"/>
    <n v="96.068229333994495"/>
    <n v="38.196212876450197"/>
    <n v="0"/>
    <n v="50459.293707240999"/>
    <n v="18404"/>
    <s v="Unnamed ProjectSeize 9.QueueWaiting TimeQueue"/>
    <n v="10"/>
    <n v="96.952802100337834"/>
    <n v="14.580921079066574"/>
    <n v="0.95"/>
    <n v="10.430562589323509"/>
    <n v="70.992281755618393"/>
    <n v="112.231730524293"/>
    <n v="0"/>
    <n v="50459.332896561798"/>
    <n v="18389.400000000001"/>
    <n v="10.430562589323509"/>
    <n v="10"/>
    <n v="1"/>
  </r>
  <r>
    <x v="0"/>
    <s v="2025-12-30 22:09:11"/>
    <n v="4"/>
    <x v="28"/>
    <x v="0"/>
    <x v="0"/>
    <n v="102.696841102335"/>
    <n v="43.842493458918703"/>
    <n v="0"/>
    <n v="50456.347753892704"/>
    <n v="18399"/>
    <s v="Unnamed ProjectSeize 9.QueueWaiting TimeQueue"/>
    <n v="10"/>
    <n v="96.952802100337834"/>
    <n v="14.580921079066574"/>
    <n v="0.95"/>
    <n v="10.430562589323509"/>
    <n v="70.992281755618393"/>
    <n v="112.231730524293"/>
    <n v="0"/>
    <n v="50459.332896561798"/>
    <n v="18389.400000000001"/>
    <n v="10.430562589323509"/>
    <n v="10"/>
    <n v="1"/>
  </r>
  <r>
    <x v="0"/>
    <s v="2025-12-30 22:09:11"/>
    <n v="5"/>
    <x v="28"/>
    <x v="0"/>
    <x v="0"/>
    <n v="112.15039348194399"/>
    <n v="51.367906285064898"/>
    <n v="0"/>
    <n v="50459.332896561798"/>
    <n v="18401"/>
    <s v="Unnamed ProjectSeize 9.QueueWaiting TimeQueue"/>
    <n v="10"/>
    <n v="96.952802100337834"/>
    <n v="14.580921079066574"/>
    <n v="0.95"/>
    <n v="10.430562589323509"/>
    <n v="70.992281755618393"/>
    <n v="112.231730524293"/>
    <n v="0"/>
    <n v="50459.332896561798"/>
    <n v="18389.400000000001"/>
    <n v="10.430562589323509"/>
    <n v="10"/>
    <n v="1"/>
  </r>
  <r>
    <x v="0"/>
    <s v="2025-12-30 22:09:11"/>
    <n v="6"/>
    <x v="28"/>
    <x v="0"/>
    <x v="0"/>
    <n v="77.087238780897295"/>
    <n v="25.9614289090858"/>
    <n v="0"/>
    <n v="50457.637872038104"/>
    <n v="18376"/>
    <s v="Unnamed ProjectSeize 9.QueueWaiting TimeQueue"/>
    <n v="10"/>
    <n v="96.952802100337834"/>
    <n v="14.580921079066574"/>
    <n v="0.95"/>
    <n v="10.430562589323509"/>
    <n v="70.992281755618393"/>
    <n v="112.231730524293"/>
    <n v="0"/>
    <n v="50459.332896561798"/>
    <n v="18389.400000000001"/>
    <n v="10.430562589323509"/>
    <n v="10"/>
    <n v="1"/>
  </r>
  <r>
    <x v="0"/>
    <s v="2025-12-30 22:09:11"/>
    <n v="7"/>
    <x v="28"/>
    <x v="0"/>
    <x v="0"/>
    <n v="112.008170958818"/>
    <n v="51.424554241637601"/>
    <n v="0"/>
    <n v="50453.309932402"/>
    <n v="18394"/>
    <s v="Unnamed ProjectSeize 9.QueueWaiting TimeQueue"/>
    <n v="10"/>
    <n v="96.952802100337834"/>
    <n v="14.580921079066574"/>
    <n v="0.95"/>
    <n v="10.430562589323509"/>
    <n v="70.992281755618393"/>
    <n v="112.231730524293"/>
    <n v="0"/>
    <n v="50459.332896561798"/>
    <n v="18389.400000000001"/>
    <n v="10.430562589323509"/>
    <n v="10"/>
    <n v="1"/>
  </r>
  <r>
    <x v="0"/>
    <s v="2025-12-30 22:09:11"/>
    <n v="8"/>
    <x v="28"/>
    <x v="0"/>
    <x v="0"/>
    <n v="70.992281755618393"/>
    <n v="20.7987557841804"/>
    <n v="0"/>
    <n v="50457.513996379501"/>
    <n v="18377"/>
    <s v="Unnamed ProjectSeize 9.QueueWaiting TimeQueue"/>
    <n v="10"/>
    <n v="96.952802100337834"/>
    <n v="14.580921079066574"/>
    <n v="0.95"/>
    <n v="10.430562589323509"/>
    <n v="70.992281755618393"/>
    <n v="112.231730524293"/>
    <n v="0"/>
    <n v="50459.332896561798"/>
    <n v="18389.400000000001"/>
    <n v="10.430562589323509"/>
    <n v="10"/>
    <n v="1"/>
  </r>
  <r>
    <x v="0"/>
    <s v="2025-12-30 22:09:11"/>
    <n v="9"/>
    <x v="28"/>
    <x v="0"/>
    <x v="0"/>
    <n v="86.750325740766101"/>
    <n v="31.150979429027299"/>
    <n v="0"/>
    <n v="50457.643100839799"/>
    <n v="18403"/>
    <s v="Unnamed ProjectSeize 9.QueueWaiting TimeQueue"/>
    <n v="10"/>
    <n v="96.952802100337834"/>
    <n v="14.580921079066574"/>
    <n v="0.95"/>
    <n v="10.430562589323509"/>
    <n v="70.992281755618393"/>
    <n v="112.231730524293"/>
    <n v="0"/>
    <n v="50459.332896561798"/>
    <n v="18389.400000000001"/>
    <n v="10.430562589323509"/>
    <n v="10"/>
    <n v="1"/>
  </r>
  <r>
    <x v="0"/>
    <s v="2025-12-30 22:09:11"/>
    <n v="10"/>
    <x v="28"/>
    <x v="0"/>
    <x v="0"/>
    <n v="99.710060148876394"/>
    <n v="41.467104332472999"/>
    <n v="0"/>
    <n v="50457.516621863098"/>
    <n v="18377"/>
    <s v="Unnamed ProjectSeize 9.QueueWaiting TimeQueue"/>
    <n v="10"/>
    <n v="96.952802100337834"/>
    <n v="14.580921079066574"/>
    <n v="0.95"/>
    <n v="10.430562589323509"/>
    <n v="70.992281755618393"/>
    <n v="112.231730524293"/>
    <n v="0"/>
    <n v="50459.332896561798"/>
    <n v="18389.400000000001"/>
    <n v="10.430562589323509"/>
    <n v="10"/>
    <n v="1"/>
  </r>
  <r>
    <x v="0"/>
    <s v="2025-12-30 22:09:11"/>
    <n v="1"/>
    <x v="29"/>
    <x v="1"/>
    <x v="1"/>
    <n v="0"/>
    <n v="0"/>
    <n v="0"/>
    <n v="0"/>
    <n v="1397"/>
    <s v="Unnamed ProjectWire HarnessNVA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1"/>
    <x v="29"/>
    <x v="2"/>
    <x v="1"/>
    <n v="656.11249883738901"/>
    <n v="9.4790508015341608"/>
    <n v="128.545976529407"/>
    <n v="730.77690328102506"/>
    <n v="1397"/>
    <s v="Unnamed ProjectWire HarnessOther TimeEntity"/>
    <n v="10"/>
    <n v="648.63734791108345"/>
    <n v="5.4092947484755589"/>
    <n v="0.95"/>
    <n v="3.8695763547528403"/>
    <n v="639.97478427335204"/>
    <n v="657.59073514207705"/>
    <n v="126.191556433689"/>
    <n v="738.20739202885295"/>
    <n v="1412.8"/>
    <n v="3.8695763547528403"/>
    <n v="10"/>
    <n v="1"/>
  </r>
  <r>
    <x v="0"/>
    <s v="2025-12-30 22:09:11"/>
    <n v="1"/>
    <x v="29"/>
    <x v="3"/>
    <x v="1"/>
    <n v="82733.501230288894"/>
    <n v="3E+20"/>
    <n v="620.40198030988199"/>
    <n v="179819.744435959"/>
    <n v="1397"/>
    <s v="Unnamed ProjectWire HarnessTotal TimeEntity"/>
    <n v="10"/>
    <n v="83209.725766173768"/>
    <n v="448.75835323214818"/>
    <n v="0.95"/>
    <n v="321.02238709664016"/>
    <n v="82701.3289873717"/>
    <n v="84117.798290527702"/>
    <n v="340.54300832225601"/>
    <n v="184239.085713487"/>
    <n v="1412.8"/>
    <n v="321.02238709664016"/>
    <n v="10"/>
    <n v="1"/>
  </r>
  <r>
    <x v="0"/>
    <s v="2025-12-30 22:09:11"/>
    <n v="1"/>
    <x v="29"/>
    <x v="4"/>
    <x v="1"/>
    <n v="0"/>
    <n v="0"/>
    <n v="0"/>
    <n v="0"/>
    <n v="1397"/>
    <s v="Unnamed ProjectWire HarnessTransfer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1"/>
    <x v="29"/>
    <x v="5"/>
    <x v="1"/>
    <n v="639.76841110320299"/>
    <n v="9.2163756441930698"/>
    <n v="125.14114158973101"/>
    <n v="717.80514088453504"/>
    <n v="1397"/>
    <s v="Unnamed ProjectWire HarnessVA TimeEntity"/>
    <n v="10"/>
    <n v="633.11198951993958"/>
    <n v="5.2185990896039609"/>
    <n v="0.95"/>
    <n v="3.733160898240417"/>
    <n v="625.13033962757504"/>
    <n v="642.37502414826099"/>
    <n v="121.89425635771499"/>
    <n v="725.62892145654803"/>
    <n v="1412.8"/>
    <n v="3.733160898240417"/>
    <n v="10"/>
    <n v="1"/>
  </r>
  <r>
    <x v="0"/>
    <s v="2025-12-30 22:09:11"/>
    <n v="1"/>
    <x v="29"/>
    <x v="6"/>
    <x v="1"/>
    <n v="722253.18312800897"/>
    <n v="3E+20"/>
    <n v="3654.37807900912"/>
    <n v="1962941.2979494899"/>
    <n v="1397"/>
    <s v="Unnamed ProjectWire HarnessWait TimeEntity"/>
    <n v="10"/>
    <n v="715621.63686177903"/>
    <n v="7103.5262745156242"/>
    <n v="0.95"/>
    <n v="5081.5565772188193"/>
    <n v="706040.14193379204"/>
    <n v="728712.78790280595"/>
    <n v="942.11081602343995"/>
    <n v="1975788.7077699299"/>
    <n v="1412.8"/>
    <n v="5081.5565772188193"/>
    <n v="10"/>
    <n v="1"/>
  </r>
  <r>
    <x v="0"/>
    <s v="2025-12-30 22:09:11"/>
    <n v="2"/>
    <x v="29"/>
    <x v="1"/>
    <x v="1"/>
    <n v="0"/>
    <n v="0"/>
    <n v="0"/>
    <n v="0"/>
    <n v="1410"/>
    <s v="Unnamed ProjectWire HarnessNVA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2"/>
    <x v="29"/>
    <x v="2"/>
    <x v="1"/>
    <n v="650.78651420979998"/>
    <n v="9.30616190901093"/>
    <n v="130.12038011458901"/>
    <n v="727.65397524836601"/>
    <n v="1410"/>
    <s v="Unnamed ProjectWire HarnessOther TimeEntity"/>
    <n v="10"/>
    <n v="648.63734791108345"/>
    <n v="5.4092947484755589"/>
    <n v="0.95"/>
    <n v="3.8695763547528403"/>
    <n v="639.97478427335204"/>
    <n v="657.59073514207705"/>
    <n v="126.191556433689"/>
    <n v="738.20739202885295"/>
    <n v="1412.8"/>
    <n v="3.8695763547528403"/>
    <n v="10"/>
    <n v="1"/>
  </r>
  <r>
    <x v="0"/>
    <s v="2025-12-30 22:09:11"/>
    <n v="2"/>
    <x v="29"/>
    <x v="3"/>
    <x v="1"/>
    <n v="82860.049168041107"/>
    <n v="3E+20"/>
    <n v="668.42251701206601"/>
    <n v="179344.30437565799"/>
    <n v="1410"/>
    <s v="Unnamed ProjectWire HarnessTotal TimeEntity"/>
    <n v="10"/>
    <n v="83209.725766173768"/>
    <n v="448.75835323214818"/>
    <n v="0.95"/>
    <n v="321.02238709664016"/>
    <n v="82701.3289873717"/>
    <n v="84117.798290527702"/>
    <n v="340.54300832225601"/>
    <n v="184239.085713487"/>
    <n v="1412.8"/>
    <n v="321.02238709664016"/>
    <n v="10"/>
    <n v="1"/>
  </r>
  <r>
    <x v="0"/>
    <s v="2025-12-30 22:09:11"/>
    <n v="2"/>
    <x v="29"/>
    <x v="4"/>
    <x v="1"/>
    <n v="0"/>
    <n v="0"/>
    <n v="0"/>
    <n v="0"/>
    <n v="1410"/>
    <s v="Unnamed ProjectWire HarnessTransfer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2"/>
    <x v="29"/>
    <x v="5"/>
    <x v="1"/>
    <n v="634.86717143634803"/>
    <n v="8.8596264140099503"/>
    <n v="122.007898899872"/>
    <n v="717.509501854831"/>
    <n v="1410"/>
    <s v="Unnamed ProjectWire HarnessVA TimeEntity"/>
    <n v="10"/>
    <n v="633.11198951993958"/>
    <n v="5.2185990896039609"/>
    <n v="0.95"/>
    <n v="3.733160898240417"/>
    <n v="625.13033962757504"/>
    <n v="642.37502414826099"/>
    <n v="121.89425635771499"/>
    <n v="725.62892145654803"/>
    <n v="1412.8"/>
    <n v="3.733160898240417"/>
    <n v="10"/>
    <n v="1"/>
  </r>
  <r>
    <x v="0"/>
    <s v="2025-12-30 22:09:11"/>
    <n v="2"/>
    <x v="29"/>
    <x v="6"/>
    <x v="1"/>
    <n v="708078.86131860001"/>
    <n v="3E+20"/>
    <n v="3642.1144189854999"/>
    <n v="1955129.3303880801"/>
    <n v="1410"/>
    <s v="Unnamed ProjectWire HarnessWait TimeEntity"/>
    <n v="10"/>
    <n v="715621.63686177903"/>
    <n v="7103.5262745156242"/>
    <n v="0.95"/>
    <n v="5081.5565772188193"/>
    <n v="706040.14193379204"/>
    <n v="728712.78790280595"/>
    <n v="942.11081602343995"/>
    <n v="1975788.7077699299"/>
    <n v="1412.8"/>
    <n v="5081.5565772188193"/>
    <n v="10"/>
    <n v="1"/>
  </r>
  <r>
    <x v="0"/>
    <s v="2025-12-30 22:09:11"/>
    <n v="3"/>
    <x v="29"/>
    <x v="1"/>
    <x v="1"/>
    <n v="0"/>
    <n v="0"/>
    <n v="0"/>
    <n v="0"/>
    <n v="1409"/>
    <s v="Unnamed ProjectWire HarnessNVA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3"/>
    <x v="29"/>
    <x v="2"/>
    <x v="1"/>
    <n v="650.03243217463705"/>
    <n v="7.5407262698114197"/>
    <n v="126.245808163978"/>
    <n v="738.20739202885295"/>
    <n v="1409"/>
    <s v="Unnamed ProjectWire HarnessOther TimeEntity"/>
    <n v="10"/>
    <n v="648.63734791108345"/>
    <n v="5.4092947484755589"/>
    <n v="0.95"/>
    <n v="3.8695763547528403"/>
    <n v="639.97478427335204"/>
    <n v="657.59073514207705"/>
    <n v="126.191556433689"/>
    <n v="738.20739202885295"/>
    <n v="1412.8"/>
    <n v="3.8695763547528403"/>
    <n v="10"/>
    <n v="1"/>
  </r>
  <r>
    <x v="0"/>
    <s v="2025-12-30 22:09:11"/>
    <n v="3"/>
    <x v="29"/>
    <x v="3"/>
    <x v="1"/>
    <n v="84117.798290527702"/>
    <n v="3E+20"/>
    <n v="684.45183624278798"/>
    <n v="184239.085713487"/>
    <n v="1409"/>
    <s v="Unnamed ProjectWire HarnessTotal TimeEntity"/>
    <n v="10"/>
    <n v="83209.725766173768"/>
    <n v="448.75835323214818"/>
    <n v="0.95"/>
    <n v="321.02238709664016"/>
    <n v="82701.3289873717"/>
    <n v="84117.798290527702"/>
    <n v="340.54300832225601"/>
    <n v="184239.085713487"/>
    <n v="1412.8"/>
    <n v="321.02238709664016"/>
    <n v="10"/>
    <n v="1"/>
  </r>
  <r>
    <x v="0"/>
    <s v="2025-12-30 22:09:11"/>
    <n v="3"/>
    <x v="29"/>
    <x v="4"/>
    <x v="1"/>
    <n v="0"/>
    <n v="0"/>
    <n v="0"/>
    <n v="0"/>
    <n v="1409"/>
    <s v="Unnamed ProjectWire HarnessTransfer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3"/>
    <x v="29"/>
    <x v="5"/>
    <x v="1"/>
    <n v="634.57187415999499"/>
    <n v="7.3817595226102402"/>
    <n v="123.267585444264"/>
    <n v="725.62892145654803"/>
    <n v="1409"/>
    <s v="Unnamed ProjectWire HarnessVA TimeEntity"/>
    <n v="10"/>
    <n v="633.11198951993958"/>
    <n v="5.2185990896039609"/>
    <n v="0.95"/>
    <n v="3.733160898240417"/>
    <n v="625.13033962757504"/>
    <n v="642.37502414826099"/>
    <n v="121.89425635771499"/>
    <n v="725.62892145654803"/>
    <n v="1412.8"/>
    <n v="3.733160898240417"/>
    <n v="10"/>
    <n v="1"/>
  </r>
  <r>
    <x v="0"/>
    <s v="2025-12-30 22:09:11"/>
    <n v="3"/>
    <x v="29"/>
    <x v="6"/>
    <x v="1"/>
    <n v="728712.78790280595"/>
    <n v="3E+20"/>
    <n v="3853.3307676268601"/>
    <n v="1975788.7077699299"/>
    <n v="1409"/>
    <s v="Unnamed ProjectWire HarnessWait TimeEntity"/>
    <n v="10"/>
    <n v="715621.63686177903"/>
    <n v="7103.5262745156242"/>
    <n v="0.95"/>
    <n v="5081.5565772188193"/>
    <n v="706040.14193379204"/>
    <n v="728712.78790280595"/>
    <n v="942.11081602343995"/>
    <n v="1975788.7077699299"/>
    <n v="1412.8"/>
    <n v="5081.5565772188193"/>
    <n v="10"/>
    <n v="1"/>
  </r>
  <r>
    <x v="0"/>
    <s v="2025-12-30 22:09:11"/>
    <n v="4"/>
    <x v="29"/>
    <x v="1"/>
    <x v="1"/>
    <n v="0"/>
    <n v="0"/>
    <n v="0"/>
    <n v="0"/>
    <n v="1419"/>
    <s v="Unnamed ProjectWire HarnessNVA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4"/>
    <x v="29"/>
    <x v="2"/>
    <x v="1"/>
    <n v="645.05115587212504"/>
    <n v="8.4993726132939909"/>
    <n v="127.953085622372"/>
    <n v="731.50590206490597"/>
    <n v="1419"/>
    <s v="Unnamed ProjectWire HarnessOther TimeEntity"/>
    <n v="10"/>
    <n v="648.63734791108345"/>
    <n v="5.4092947484755589"/>
    <n v="0.95"/>
    <n v="3.8695763547528403"/>
    <n v="639.97478427335204"/>
    <n v="657.59073514207705"/>
    <n v="126.191556433689"/>
    <n v="738.20739202885295"/>
    <n v="1412.8"/>
    <n v="3.8695763547528403"/>
    <n v="10"/>
    <n v="1"/>
  </r>
  <r>
    <x v="0"/>
    <s v="2025-12-30 22:09:11"/>
    <n v="4"/>
    <x v="29"/>
    <x v="3"/>
    <x v="1"/>
    <n v="83735.954292486305"/>
    <n v="3E+20"/>
    <n v="340.54300832225601"/>
    <n v="183882.82740906801"/>
    <n v="1419"/>
    <s v="Unnamed ProjectWire HarnessTotal TimeEntity"/>
    <n v="10"/>
    <n v="83209.725766173768"/>
    <n v="448.75835323214818"/>
    <n v="0.95"/>
    <n v="321.02238709664016"/>
    <n v="82701.3289873717"/>
    <n v="84117.798290527702"/>
    <n v="340.54300832225601"/>
    <n v="184239.085713487"/>
    <n v="1412.8"/>
    <n v="321.02238709664016"/>
    <n v="10"/>
    <n v="1"/>
  </r>
  <r>
    <x v="0"/>
    <s v="2025-12-30 22:09:11"/>
    <n v="4"/>
    <x v="29"/>
    <x v="4"/>
    <x v="1"/>
    <n v="0"/>
    <n v="0"/>
    <n v="0"/>
    <n v="0"/>
    <n v="1419"/>
    <s v="Unnamed ProjectWire HarnessTransfer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4"/>
    <x v="29"/>
    <x v="5"/>
    <x v="1"/>
    <n v="629.999029272396"/>
    <n v="8.1767326963156108"/>
    <n v="124.837051651557"/>
    <n v="721.72722759481996"/>
    <n v="1419"/>
    <s v="Unnamed ProjectWire HarnessVA TimeEntity"/>
    <n v="10"/>
    <n v="633.11198951993958"/>
    <n v="5.2185990896039609"/>
    <n v="0.95"/>
    <n v="3.733160898240417"/>
    <n v="625.13033962757504"/>
    <n v="642.37502414826099"/>
    <n v="121.89425635771499"/>
    <n v="725.62892145654803"/>
    <n v="1412.8"/>
    <n v="3.733160898240417"/>
    <n v="10"/>
    <n v="1"/>
  </r>
  <r>
    <x v="0"/>
    <s v="2025-12-30 22:09:11"/>
    <n v="4"/>
    <x v="29"/>
    <x v="6"/>
    <x v="1"/>
    <n v="711524.30204477999"/>
    <n v="3E+20"/>
    <n v="942.11081602343995"/>
    <n v="1965441.79934424"/>
    <n v="1419"/>
    <s v="Unnamed ProjectWire HarnessWait TimeEntity"/>
    <n v="10"/>
    <n v="715621.63686177903"/>
    <n v="7103.5262745156242"/>
    <n v="0.95"/>
    <n v="5081.5565772188193"/>
    <n v="706040.14193379204"/>
    <n v="728712.78790280595"/>
    <n v="942.11081602343995"/>
    <n v="1975788.7077699299"/>
    <n v="1412.8"/>
    <n v="5081.5565772188193"/>
    <n v="10"/>
    <n v="1"/>
  </r>
  <r>
    <x v="0"/>
    <s v="2025-12-30 22:09:11"/>
    <n v="5"/>
    <x v="29"/>
    <x v="1"/>
    <x v="1"/>
    <n v="0"/>
    <n v="0"/>
    <n v="0"/>
    <n v="0"/>
    <n v="1418"/>
    <s v="Unnamed ProjectWire HarnessNVA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5"/>
    <x v="29"/>
    <x v="2"/>
    <x v="1"/>
    <n v="646.422387068445"/>
    <n v="6.23428406009862"/>
    <n v="126.191556433689"/>
    <n v="729.940049106488"/>
    <n v="1418"/>
    <s v="Unnamed ProjectWire HarnessOther TimeEntity"/>
    <n v="10"/>
    <n v="648.63734791108345"/>
    <n v="5.4092947484755589"/>
    <n v="0.95"/>
    <n v="3.8695763547528403"/>
    <n v="639.97478427335204"/>
    <n v="657.59073514207705"/>
    <n v="126.191556433689"/>
    <n v="738.20739202885295"/>
    <n v="1412.8"/>
    <n v="3.8695763547528403"/>
    <n v="10"/>
    <n v="1"/>
  </r>
  <r>
    <x v="0"/>
    <s v="2025-12-30 22:09:11"/>
    <n v="5"/>
    <x v="29"/>
    <x v="3"/>
    <x v="1"/>
    <n v="83254.393172583907"/>
    <n v="3E+20"/>
    <n v="884.45430667438598"/>
    <n v="179787.31915592501"/>
    <n v="1418"/>
    <s v="Unnamed ProjectWire HarnessTotal TimeEntity"/>
    <n v="10"/>
    <n v="83209.725766173768"/>
    <n v="448.75835323214818"/>
    <n v="0.95"/>
    <n v="321.02238709664016"/>
    <n v="82701.3289873717"/>
    <n v="84117.798290527702"/>
    <n v="340.54300832225601"/>
    <n v="184239.085713487"/>
    <n v="1412.8"/>
    <n v="321.02238709664016"/>
    <n v="10"/>
    <n v="1"/>
  </r>
  <r>
    <x v="0"/>
    <s v="2025-12-30 22:09:11"/>
    <n v="5"/>
    <x v="29"/>
    <x v="4"/>
    <x v="1"/>
    <n v="0"/>
    <n v="0"/>
    <n v="0"/>
    <n v="0"/>
    <n v="1418"/>
    <s v="Unnamed ProjectWire HarnessTransfer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5"/>
    <x v="29"/>
    <x v="5"/>
    <x v="1"/>
    <n v="630.98830011825601"/>
    <n v="6.0818357478773697"/>
    <n v="124.78553886432201"/>
    <n v="713.34737166957404"/>
    <n v="1418"/>
    <s v="Unnamed ProjectWire HarnessVA TimeEntity"/>
    <n v="10"/>
    <n v="633.11198951993958"/>
    <n v="5.2185990896039609"/>
    <n v="0.95"/>
    <n v="3.733160898240417"/>
    <n v="625.13033962757504"/>
    <n v="642.37502414826099"/>
    <n v="121.89425635771499"/>
    <n v="725.62892145654803"/>
    <n v="1412.8"/>
    <n v="3.733160898240417"/>
    <n v="10"/>
    <n v="1"/>
  </r>
  <r>
    <x v="0"/>
    <s v="2025-12-30 22:09:11"/>
    <n v="5"/>
    <x v="29"/>
    <x v="6"/>
    <x v="1"/>
    <n v="716742.30932452006"/>
    <n v="3E+20"/>
    <n v="2958.0673525198499"/>
    <n v="1965205.0103320901"/>
    <n v="1418"/>
    <s v="Unnamed ProjectWire HarnessWait TimeEntity"/>
    <n v="10"/>
    <n v="715621.63686177903"/>
    <n v="7103.5262745156242"/>
    <n v="0.95"/>
    <n v="5081.5565772188193"/>
    <n v="706040.14193379204"/>
    <n v="728712.78790280595"/>
    <n v="942.11081602343995"/>
    <n v="1975788.7077699299"/>
    <n v="1412.8"/>
    <n v="5081.5565772188193"/>
    <n v="10"/>
    <n v="1"/>
  </r>
  <r>
    <x v="0"/>
    <s v="2025-12-30 22:09:11"/>
    <n v="6"/>
    <x v="29"/>
    <x v="1"/>
    <x v="1"/>
    <n v="0"/>
    <n v="0"/>
    <n v="0"/>
    <n v="0"/>
    <n v="1393"/>
    <s v="Unnamed ProjectWire HarnessNVA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6"/>
    <x v="29"/>
    <x v="2"/>
    <x v="1"/>
    <n v="657.59073514207705"/>
    <n v="8.3879655551301102"/>
    <n v="127.487319416541"/>
    <n v="730.96819828002504"/>
    <n v="1393"/>
    <s v="Unnamed ProjectWire HarnessOther TimeEntity"/>
    <n v="10"/>
    <n v="648.63734791108345"/>
    <n v="5.4092947484755589"/>
    <n v="0.95"/>
    <n v="3.8695763547528403"/>
    <n v="639.97478427335204"/>
    <n v="657.59073514207705"/>
    <n v="126.191556433689"/>
    <n v="738.20739202885295"/>
    <n v="1412.8"/>
    <n v="3.8695763547528403"/>
    <n v="10"/>
    <n v="1"/>
  </r>
  <r>
    <x v="0"/>
    <s v="2025-12-30 22:09:11"/>
    <n v="6"/>
    <x v="29"/>
    <x v="3"/>
    <x v="1"/>
    <n v="83031.4168746004"/>
    <n v="3E+20"/>
    <n v="653.19285884051703"/>
    <n v="179889.29927831801"/>
    <n v="1393"/>
    <s v="Unnamed ProjectWire HarnessTotal TimeEntity"/>
    <n v="10"/>
    <n v="83209.725766173768"/>
    <n v="448.75835323214818"/>
    <n v="0.95"/>
    <n v="321.02238709664016"/>
    <n v="82701.3289873717"/>
    <n v="84117.798290527702"/>
    <n v="340.54300832225601"/>
    <n v="184239.085713487"/>
    <n v="1412.8"/>
    <n v="321.02238709664016"/>
    <n v="10"/>
    <n v="1"/>
  </r>
  <r>
    <x v="0"/>
    <s v="2025-12-30 22:09:11"/>
    <n v="6"/>
    <x v="29"/>
    <x v="4"/>
    <x v="1"/>
    <n v="0"/>
    <n v="0"/>
    <n v="0"/>
    <n v="0"/>
    <n v="1393"/>
    <s v="Unnamed ProjectWire HarnessTransfer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6"/>
    <x v="29"/>
    <x v="5"/>
    <x v="1"/>
    <n v="642.37502414826099"/>
    <n v="8.0425314285615102"/>
    <n v="128.02796685634499"/>
    <n v="716.47190291201696"/>
    <n v="1393"/>
    <s v="Unnamed ProjectWire HarnessVA TimeEntity"/>
    <n v="10"/>
    <n v="633.11198951993958"/>
    <n v="5.2185990896039609"/>
    <n v="0.95"/>
    <n v="3.733160898240417"/>
    <n v="625.13033962757504"/>
    <n v="642.37502414826099"/>
    <n v="121.89425635771499"/>
    <n v="725.62892145654803"/>
    <n v="1412.8"/>
    <n v="3.733160898240417"/>
    <n v="10"/>
    <n v="1"/>
  </r>
  <r>
    <x v="0"/>
    <s v="2025-12-30 22:09:11"/>
    <n v="6"/>
    <x v="29"/>
    <x v="6"/>
    <x v="1"/>
    <n v="722319.396256882"/>
    <n v="3E+20"/>
    <n v="2777.6522934023701"/>
    <n v="1960199.7930974299"/>
    <n v="1393"/>
    <s v="Unnamed ProjectWire HarnessWait TimeEntity"/>
    <n v="10"/>
    <n v="715621.63686177903"/>
    <n v="7103.5262745156242"/>
    <n v="0.95"/>
    <n v="5081.5565772188193"/>
    <n v="706040.14193379204"/>
    <n v="728712.78790280595"/>
    <n v="942.11081602343995"/>
    <n v="1975788.7077699299"/>
    <n v="1412.8"/>
    <n v="5081.5565772188193"/>
    <n v="10"/>
    <n v="1"/>
  </r>
  <r>
    <x v="0"/>
    <s v="2025-12-30 22:09:11"/>
    <n v="7"/>
    <x v="29"/>
    <x v="1"/>
    <x v="1"/>
    <n v="0"/>
    <n v="0"/>
    <n v="0"/>
    <n v="0"/>
    <n v="1425"/>
    <s v="Unnamed ProjectWire HarnessNVA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7"/>
    <x v="29"/>
    <x v="2"/>
    <x v="1"/>
    <n v="643.45783189134499"/>
    <n v="6.8853691939813801"/>
    <n v="130.13939146965299"/>
    <n v="730.56355921733496"/>
    <n v="1425"/>
    <s v="Unnamed ProjectWire HarnessOther TimeEntity"/>
    <n v="10"/>
    <n v="648.63734791108345"/>
    <n v="5.4092947484755589"/>
    <n v="0.95"/>
    <n v="3.8695763547528403"/>
    <n v="639.97478427335204"/>
    <n v="657.59073514207705"/>
    <n v="126.191556433689"/>
    <n v="738.20739202885295"/>
    <n v="1412.8"/>
    <n v="3.8695763547528403"/>
    <n v="10"/>
    <n v="1"/>
  </r>
  <r>
    <x v="0"/>
    <s v="2025-12-30 22:09:11"/>
    <n v="7"/>
    <x v="29"/>
    <x v="3"/>
    <x v="1"/>
    <n v="83277.803406931504"/>
    <n v="3E+20"/>
    <n v="651.11821131349302"/>
    <n v="180195.59271198101"/>
    <n v="1425"/>
    <s v="Unnamed ProjectWire HarnessTotal TimeEntity"/>
    <n v="10"/>
    <n v="83209.725766173768"/>
    <n v="448.75835323214818"/>
    <n v="0.95"/>
    <n v="321.02238709664016"/>
    <n v="82701.3289873717"/>
    <n v="84117.798290527702"/>
    <n v="340.54300832225601"/>
    <n v="184239.085713487"/>
    <n v="1412.8"/>
    <n v="321.02238709664016"/>
    <n v="10"/>
    <n v="1"/>
  </r>
  <r>
    <x v="0"/>
    <s v="2025-12-30 22:09:11"/>
    <n v="7"/>
    <x v="29"/>
    <x v="4"/>
    <x v="1"/>
    <n v="0"/>
    <n v="0"/>
    <n v="0"/>
    <n v="0"/>
    <n v="1425"/>
    <s v="Unnamed ProjectWire HarnessTransfer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7"/>
    <x v="29"/>
    <x v="5"/>
    <x v="1"/>
    <n v="627.58614449699303"/>
    <n v="6.7036091192998803"/>
    <n v="126.238334703288"/>
    <n v="718.99629582627699"/>
    <n v="1425"/>
    <s v="Unnamed ProjectWire HarnessVA TimeEntity"/>
    <n v="10"/>
    <n v="633.11198951993958"/>
    <n v="5.2185990896039609"/>
    <n v="0.95"/>
    <n v="3.733160898240417"/>
    <n v="625.13033962757504"/>
    <n v="642.37502414826099"/>
    <n v="121.89425635771499"/>
    <n v="725.62892145654803"/>
    <n v="1412.8"/>
    <n v="3.733160898240417"/>
    <n v="10"/>
    <n v="1"/>
  </r>
  <r>
    <x v="0"/>
    <s v="2025-12-30 22:09:11"/>
    <n v="7"/>
    <x v="29"/>
    <x v="6"/>
    <x v="1"/>
    <n v="706040.14193379204"/>
    <n v="3E+20"/>
    <n v="2162.0079837589301"/>
    <n v="1961578.83197242"/>
    <n v="1425"/>
    <s v="Unnamed ProjectWire HarnessWait TimeEntity"/>
    <n v="10"/>
    <n v="715621.63686177903"/>
    <n v="7103.5262745156242"/>
    <n v="0.95"/>
    <n v="5081.5565772188193"/>
    <n v="706040.14193379204"/>
    <n v="728712.78790280595"/>
    <n v="942.11081602343995"/>
    <n v="1975788.7077699299"/>
    <n v="1412.8"/>
    <n v="5081.5565772188193"/>
    <n v="10"/>
    <n v="1"/>
  </r>
  <r>
    <x v="0"/>
    <s v="2025-12-30 22:09:11"/>
    <n v="8"/>
    <x v="29"/>
    <x v="1"/>
    <x v="1"/>
    <n v="0"/>
    <n v="0"/>
    <n v="0"/>
    <n v="0"/>
    <n v="1412"/>
    <s v="Unnamed ProjectWire HarnessNVA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8"/>
    <x v="29"/>
    <x v="2"/>
    <x v="1"/>
    <n v="649.19696730585304"/>
    <n v="9.2477341563481694"/>
    <n v="130.11965282147901"/>
    <n v="732.913853587321"/>
    <n v="1412"/>
    <s v="Unnamed ProjectWire HarnessOther TimeEntity"/>
    <n v="10"/>
    <n v="648.63734791108345"/>
    <n v="5.4092947484755589"/>
    <n v="0.95"/>
    <n v="3.8695763547528403"/>
    <n v="639.97478427335204"/>
    <n v="657.59073514207705"/>
    <n v="126.191556433689"/>
    <n v="738.20739202885295"/>
    <n v="1412.8"/>
    <n v="3.8695763547528403"/>
    <n v="10"/>
    <n v="1"/>
  </r>
  <r>
    <x v="0"/>
    <s v="2025-12-30 22:09:11"/>
    <n v="8"/>
    <x v="29"/>
    <x v="3"/>
    <x v="1"/>
    <n v="82701.3289873717"/>
    <n v="3E+20"/>
    <n v="457.202442581296"/>
    <n v="179654.10062949001"/>
    <n v="1412"/>
    <s v="Unnamed ProjectWire HarnessTotal TimeEntity"/>
    <n v="10"/>
    <n v="83209.725766173768"/>
    <n v="448.75835323214818"/>
    <n v="0.95"/>
    <n v="321.02238709664016"/>
    <n v="82701.3289873717"/>
    <n v="84117.798290527702"/>
    <n v="340.54300832225601"/>
    <n v="184239.085713487"/>
    <n v="1412.8"/>
    <n v="321.02238709664016"/>
    <n v="10"/>
    <n v="1"/>
  </r>
  <r>
    <x v="0"/>
    <s v="2025-12-30 22:09:11"/>
    <n v="8"/>
    <x v="29"/>
    <x v="4"/>
    <x v="1"/>
    <n v="0"/>
    <n v="0"/>
    <n v="0"/>
    <n v="0"/>
    <n v="1412"/>
    <s v="Unnamed ProjectWire HarnessTransfer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8"/>
    <x v="29"/>
    <x v="5"/>
    <x v="1"/>
    <n v="633.71110156074894"/>
    <n v="8.7913944852478405"/>
    <n v="126.73261405184201"/>
    <n v="716.99413599091395"/>
    <n v="1412"/>
    <s v="Unnamed ProjectWire HarnessVA TimeEntity"/>
    <n v="10"/>
    <n v="633.11198951993958"/>
    <n v="5.2185990896039609"/>
    <n v="0.95"/>
    <n v="3.733160898240417"/>
    <n v="625.13033962757504"/>
    <n v="642.37502414826099"/>
    <n v="121.89425635771499"/>
    <n v="725.62892145654803"/>
    <n v="1412.8"/>
    <n v="3.733160898240417"/>
    <n v="10"/>
    <n v="1"/>
  </r>
  <r>
    <x v="0"/>
    <s v="2025-12-30 22:09:11"/>
    <n v="8"/>
    <x v="29"/>
    <x v="6"/>
    <x v="1"/>
    <n v="715054.89751382405"/>
    <n v="3E+20"/>
    <n v="1053.3941022880599"/>
    <n v="1963619.11307858"/>
    <n v="1412"/>
    <s v="Unnamed ProjectWire HarnessWait TimeEntity"/>
    <n v="10"/>
    <n v="715621.63686177903"/>
    <n v="7103.5262745156242"/>
    <n v="0.95"/>
    <n v="5081.5565772188193"/>
    <n v="706040.14193379204"/>
    <n v="728712.78790280595"/>
    <n v="942.11081602343995"/>
    <n v="1975788.7077699299"/>
    <n v="1412.8"/>
    <n v="5081.5565772188193"/>
    <n v="10"/>
    <n v="1"/>
  </r>
  <r>
    <x v="0"/>
    <s v="2025-12-30 22:09:11"/>
    <n v="9"/>
    <x v="29"/>
    <x v="1"/>
    <x v="1"/>
    <n v="0"/>
    <n v="0"/>
    <n v="0"/>
    <n v="0"/>
    <n v="1415"/>
    <s v="Unnamed ProjectWire HarnessNVA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9"/>
    <x v="29"/>
    <x v="2"/>
    <x v="1"/>
    <n v="647.74817233581098"/>
    <n v="8.8623765424860608"/>
    <n v="129.042350357922"/>
    <n v="729.48145234526601"/>
    <n v="1415"/>
    <s v="Unnamed ProjectWire HarnessOther TimeEntity"/>
    <n v="10"/>
    <n v="648.63734791108345"/>
    <n v="5.4092947484755589"/>
    <n v="0.95"/>
    <n v="3.8695763547528403"/>
    <n v="639.97478427335204"/>
    <n v="657.59073514207705"/>
    <n v="126.191556433689"/>
    <n v="738.20739202885295"/>
    <n v="1412.8"/>
    <n v="3.8695763547528403"/>
    <n v="10"/>
    <n v="1"/>
  </r>
  <r>
    <x v="0"/>
    <s v="2025-12-30 22:09:11"/>
    <n v="9"/>
    <x v="29"/>
    <x v="3"/>
    <x v="1"/>
    <n v="83013.067114822901"/>
    <n v="3E+20"/>
    <n v="577.59693770604304"/>
    <n v="183689.35512857299"/>
    <n v="1415"/>
    <s v="Unnamed ProjectWire HarnessTotal TimeEntity"/>
    <n v="10"/>
    <n v="83209.725766173768"/>
    <n v="448.75835323214818"/>
    <n v="0.95"/>
    <n v="321.02238709664016"/>
    <n v="82701.3289873717"/>
    <n v="84117.798290527702"/>
    <n v="340.54300832225601"/>
    <n v="184239.085713487"/>
    <n v="1412.8"/>
    <n v="321.02238709664016"/>
    <n v="10"/>
    <n v="1"/>
  </r>
  <r>
    <x v="0"/>
    <s v="2025-12-30 22:09:11"/>
    <n v="9"/>
    <x v="29"/>
    <x v="4"/>
    <x v="1"/>
    <n v="0"/>
    <n v="0"/>
    <n v="0"/>
    <n v="0"/>
    <n v="1415"/>
    <s v="Unnamed ProjectWire HarnessTransfer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9"/>
    <x v="29"/>
    <x v="5"/>
    <x v="1"/>
    <n v="632.12249927561902"/>
    <n v="8.6030233388095905"/>
    <n v="121.89425635771499"/>
    <n v="720.61664698028505"/>
    <n v="1415"/>
    <s v="Unnamed ProjectWire HarnessVA TimeEntity"/>
    <n v="10"/>
    <n v="633.11198951993958"/>
    <n v="5.2185990896039609"/>
    <n v="0.95"/>
    <n v="3.733160898240417"/>
    <n v="625.13033962757504"/>
    <n v="642.37502414826099"/>
    <n v="121.89425635771499"/>
    <n v="725.62892145654803"/>
    <n v="1412.8"/>
    <n v="3.733160898240417"/>
    <n v="10"/>
    <n v="1"/>
  </r>
  <r>
    <x v="0"/>
    <s v="2025-12-30 22:09:11"/>
    <n v="9"/>
    <x v="29"/>
    <x v="6"/>
    <x v="1"/>
    <n v="715016.16089821805"/>
    <n v="3E+20"/>
    <n v="1928.1998650350799"/>
    <n v="1966078.3667766"/>
    <n v="1415"/>
    <s v="Unnamed ProjectWire HarnessWait TimeEntity"/>
    <n v="10"/>
    <n v="715621.63686177903"/>
    <n v="7103.5262745156242"/>
    <n v="0.95"/>
    <n v="5081.5565772188193"/>
    <n v="706040.14193379204"/>
    <n v="728712.78790280595"/>
    <n v="942.11081602343995"/>
    <n v="1975788.7077699299"/>
    <n v="1412.8"/>
    <n v="5081.5565772188193"/>
    <n v="10"/>
    <n v="1"/>
  </r>
  <r>
    <x v="0"/>
    <s v="2025-12-30 22:09:11"/>
    <n v="10"/>
    <x v="29"/>
    <x v="1"/>
    <x v="1"/>
    <n v="0"/>
    <n v="0"/>
    <n v="0"/>
    <n v="0"/>
    <n v="1430"/>
    <s v="Unnamed ProjectWire HarnessNVA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10"/>
    <x v="29"/>
    <x v="2"/>
    <x v="1"/>
    <n v="639.97478427335204"/>
    <n v="7.5966829148132904"/>
    <n v="131.84528595480501"/>
    <n v="727.24304467666695"/>
    <n v="1430"/>
    <s v="Unnamed ProjectWire HarnessOther TimeEntity"/>
    <n v="10"/>
    <n v="648.63734791108345"/>
    <n v="5.4092947484755589"/>
    <n v="0.95"/>
    <n v="3.8695763547528403"/>
    <n v="639.97478427335204"/>
    <n v="657.59073514207705"/>
    <n v="126.191556433689"/>
    <n v="738.20739202885295"/>
    <n v="1412.8"/>
    <n v="3.8695763547528403"/>
    <n v="10"/>
    <n v="1"/>
  </r>
  <r>
    <x v="0"/>
    <s v="2025-12-30 22:09:11"/>
    <n v="10"/>
    <x v="29"/>
    <x v="3"/>
    <x v="1"/>
    <n v="83371.945124083199"/>
    <n v="3E+20"/>
    <n v="646.85097409283503"/>
    <n v="183883.45519866"/>
    <n v="1430"/>
    <s v="Unnamed ProjectWire HarnessTotal TimeEntity"/>
    <n v="10"/>
    <n v="83209.725766173768"/>
    <n v="448.75835323214818"/>
    <n v="0.95"/>
    <n v="321.02238709664016"/>
    <n v="82701.3289873717"/>
    <n v="84117.798290527702"/>
    <n v="340.54300832225601"/>
    <n v="184239.085713487"/>
    <n v="1412.8"/>
    <n v="321.02238709664016"/>
    <n v="10"/>
    <n v="1"/>
  </r>
  <r>
    <x v="0"/>
    <s v="2025-12-30 22:09:11"/>
    <n v="10"/>
    <x v="29"/>
    <x v="4"/>
    <x v="1"/>
    <n v="0"/>
    <n v="0"/>
    <n v="0"/>
    <n v="0"/>
    <n v="1430"/>
    <s v="Unnamed ProjectWire HarnessTransfer TimeEntity"/>
    <n v="10"/>
    <n v="0"/>
    <n v="0"/>
    <n v="0.95"/>
    <n v="0"/>
    <n v="0"/>
    <n v="0"/>
    <n v="0"/>
    <n v="0"/>
    <n v="1412.8"/>
    <n v="0"/>
    <n v="10"/>
    <n v="1"/>
  </r>
  <r>
    <x v="0"/>
    <s v="2025-12-30 22:09:11"/>
    <n v="10"/>
    <x v="29"/>
    <x v="5"/>
    <x v="1"/>
    <n v="625.13033962757504"/>
    <n v="7.1746448128419402"/>
    <n v="125.67640682001399"/>
    <n v="715.69293352434795"/>
    <n v="1430"/>
    <s v="Unnamed ProjectWire HarnessVA TimeEntity"/>
    <n v="10"/>
    <n v="633.11198951993958"/>
    <n v="5.2185990896039609"/>
    <n v="0.95"/>
    <n v="3.733160898240417"/>
    <n v="625.13033962757504"/>
    <n v="642.37502414826099"/>
    <n v="121.89425635771499"/>
    <n v="725.62892145654803"/>
    <n v="1412.8"/>
    <n v="3.733160898240417"/>
    <n v="10"/>
    <n v="1"/>
  </r>
  <r>
    <x v="0"/>
    <s v="2025-12-30 22:09:11"/>
    <n v="10"/>
    <x v="29"/>
    <x v="6"/>
    <x v="1"/>
    <n v="710474.328296358"/>
    <n v="3E+20"/>
    <n v="3178.63281236579"/>
    <n v="1969118.23401774"/>
    <n v="1430"/>
    <s v="Unnamed ProjectWire HarnessWait TimeEntity"/>
    <n v="10"/>
    <n v="715621.63686177903"/>
    <n v="7103.5262745156242"/>
    <n v="0.95"/>
    <n v="5081.5565772188193"/>
    <n v="706040.14193379204"/>
    <n v="728712.78790280595"/>
    <n v="942.11081602343995"/>
    <n v="1975788.7077699299"/>
    <n v="1412.8"/>
    <n v="5081.5565772188193"/>
    <n v="1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0">
  <r>
    <x v="0"/>
    <s v="2025-12-30 22:09:11"/>
    <n v="1"/>
    <x v="0"/>
    <x v="0"/>
    <x v="0"/>
    <n v="6543"/>
    <n v="0"/>
    <s v="Unnamed ProjectAssembler.NumberSeizedTotal Number SeizedResource"/>
    <n v="10"/>
    <n v="6547.7"/>
    <n v="5.735852159879995"/>
    <n v="0.95"/>
    <n v="4.1031814541969078"/>
    <n v="6540"/>
    <n v="6557"/>
  </r>
  <r>
    <x v="0"/>
    <s v="2025-12-30 22:09:11"/>
    <n v="1"/>
    <x v="1"/>
    <x v="1"/>
    <x v="0"/>
    <n v="7.5577438353852999E-2"/>
    <n v="0"/>
    <s v="Unnamed ProjectAssembler.ScheduledUtilizationScheduled UtilizationResource"/>
    <n v="10"/>
    <n v="7.575658911226775E-2"/>
    <n v="1.4019953141627205E-4"/>
    <n v="0.95"/>
    <n v="1.0029270301248135E-4"/>
    <n v="7.5477645584878503E-2"/>
    <n v="7.5973148639726207E-2"/>
  </r>
  <r>
    <x v="0"/>
    <s v="2025-12-30 22:09:11"/>
    <n v="1"/>
    <x v="2"/>
    <x v="2"/>
    <x v="1"/>
    <n v="1102"/>
    <n v="0"/>
    <s v="Unnamed ProjectCustomer.NumberInNumber InEntity"/>
    <n v="10"/>
    <n v="1090.3"/>
    <n v="32.666836734251177"/>
    <n v="0.95"/>
    <n v="23.368447254062772"/>
    <n v="1042"/>
    <n v="1141"/>
  </r>
  <r>
    <x v="0"/>
    <s v="2025-12-30 22:09:11"/>
    <n v="1"/>
    <x v="3"/>
    <x v="3"/>
    <x v="1"/>
    <n v="1102"/>
    <n v="0"/>
    <s v="Unnamed ProjectCustomer.NumberOutNumber OutEntity"/>
    <n v="10"/>
    <n v="1090.3"/>
    <n v="32.666836734251177"/>
    <n v="0.95"/>
    <n v="23.368447254062772"/>
    <n v="1042"/>
    <n v="1141"/>
  </r>
  <r>
    <x v="0"/>
    <s v="2025-12-30 22:09:11"/>
    <n v="1"/>
    <x v="4"/>
    <x v="2"/>
    <x v="1"/>
    <n v="19788"/>
    <n v="0"/>
    <s v="Unnamed ProjectEntity 1.NumberInNumber InEntity"/>
    <n v="10"/>
    <n v="19822.900000000001"/>
    <n v="20.151922985164472"/>
    <n v="0.95"/>
    <n v="14.415817276026377"/>
    <n v="19788"/>
    <n v="19852"/>
  </r>
  <r>
    <x v="0"/>
    <s v="2025-12-30 22:09:11"/>
    <n v="1"/>
    <x v="5"/>
    <x v="3"/>
    <x v="1"/>
    <n v="19623"/>
    <n v="0"/>
    <s v="Unnamed ProjectEntity 1.NumberOutNumber OutEntity"/>
    <n v="10"/>
    <n v="19635.599999999999"/>
    <n v="15.086417732516889"/>
    <n v="0.95"/>
    <n v="10.792173111314252"/>
    <n v="19614"/>
    <n v="19662"/>
  </r>
  <r>
    <x v="0"/>
    <s v="2025-12-30 22:09:11"/>
    <n v="1"/>
    <x v="6"/>
    <x v="2"/>
    <x v="1"/>
    <n v="8406"/>
    <n v="0"/>
    <s v="Unnamed ProjectEntity 2.NumberInNumber InEntity"/>
    <n v="10"/>
    <n v="8398"/>
    <n v="24.133885813197271"/>
    <n v="0.95"/>
    <n v="17.264341884378119"/>
    <n v="8353"/>
    <n v="8437"/>
  </r>
  <r>
    <x v="0"/>
    <s v="2025-12-30 22:09:11"/>
    <n v="1"/>
    <x v="7"/>
    <x v="3"/>
    <x v="1"/>
    <n v="6541"/>
    <n v="0"/>
    <s v="Unnamed ProjectEntity 2.NumberOutNumber OutEntity"/>
    <n v="10"/>
    <n v="6545.2"/>
    <n v="5.0288059108389627"/>
    <n v="0.95"/>
    <n v="3.5973910371047504"/>
    <n v="6538"/>
    <n v="6554"/>
  </r>
  <r>
    <x v="0"/>
    <s v="2025-12-30 22:09:11"/>
    <n v="1"/>
    <x v="8"/>
    <x v="2"/>
    <x v="1"/>
    <n v="27724"/>
    <n v="0"/>
    <s v="Unnamed ProjectEntity 3.NumberInNumber InEntity"/>
    <n v="10"/>
    <n v="27753.7"/>
    <n v="25.447331228768697"/>
    <n v="0.95"/>
    <n v="18.203924133022646"/>
    <n v="27724"/>
    <n v="27792"/>
  </r>
  <r>
    <x v="0"/>
    <s v="2025-12-30 22:09:11"/>
    <n v="1"/>
    <x v="9"/>
    <x v="3"/>
    <x v="1"/>
    <n v="19623"/>
    <n v="0"/>
    <s v="Unnamed ProjectEntity 3.NumberOutNumber OutEntity"/>
    <n v="10"/>
    <n v="19635.599999999999"/>
    <n v="15.086417732516889"/>
    <n v="0.95"/>
    <n v="10.792173111314252"/>
    <n v="19614"/>
    <n v="19662"/>
  </r>
  <r>
    <x v="0"/>
    <s v="2025-12-30 22:09:11"/>
    <n v="1"/>
    <x v="10"/>
    <x v="0"/>
    <x v="0"/>
    <n v="13094"/>
    <n v="0"/>
    <s v="Unnamed ProjectKanban L1S1.NumberSeizedTotal Number SeizedResource"/>
    <n v="10"/>
    <n v="13103.5"/>
    <n v="11.443095929181249"/>
    <n v="0.95"/>
    <n v="8.1858976986246059"/>
    <n v="13087"/>
    <n v="13120"/>
  </r>
  <r>
    <x v="0"/>
    <s v="2025-12-30 22:09:11"/>
    <n v="1"/>
    <x v="11"/>
    <x v="1"/>
    <x v="0"/>
    <n v="0.54935965090116101"/>
    <n v="0"/>
    <s v="Unnamed ProjectKanban L1S1.ScheduledUtilizationScheduled UtilizationResource"/>
    <n v="10"/>
    <n v="0.48160620907873086"/>
    <n v="8.6686321722355061E-2"/>
    <n v="0.95"/>
    <n v="6.2011658897281531E-2"/>
    <n v="0.292184201252493"/>
    <n v="0.57167989674475905"/>
  </r>
  <r>
    <x v="0"/>
    <s v="2025-12-30 22:09:11"/>
    <n v="1"/>
    <x v="12"/>
    <x v="0"/>
    <x v="0"/>
    <n v="13090"/>
    <n v="0"/>
    <s v="Unnamed ProjectKanban L1S2.NumberSeizedTotal Number SeizedResource"/>
    <n v="10"/>
    <n v="13100.1"/>
    <n v="11.46443776786866"/>
    <n v="0.95"/>
    <n v="8.2011647303157567"/>
    <n v="13083"/>
    <n v="13118"/>
  </r>
  <r>
    <x v="0"/>
    <s v="2025-12-30 22:09:11"/>
    <n v="1"/>
    <x v="13"/>
    <x v="1"/>
    <x v="0"/>
    <n v="0.238076255778323"/>
    <n v="0"/>
    <s v="Unnamed ProjectKanban L1S2.ScheduledUtilizationScheduled UtilizationResource"/>
    <n v="10"/>
    <n v="0.25269289312392168"/>
    <n v="4.921401008308305E-2"/>
    <n v="0.95"/>
    <n v="3.5205581983443382E-2"/>
    <n v="0.20500025225945601"/>
    <n v="0.33570777662711399"/>
  </r>
  <r>
    <x v="0"/>
    <s v="2025-12-30 22:09:11"/>
    <n v="1"/>
    <x v="14"/>
    <x v="0"/>
    <x v="0"/>
    <n v="13090"/>
    <n v="0"/>
    <s v="Unnamed ProjectKanban L1S3.NumberSeizedTotal Number SeizedResource"/>
    <n v="10"/>
    <n v="13099.9"/>
    <n v="11.761046816598522"/>
    <n v="0.95"/>
    <n v="8.4133460616980535"/>
    <n v="13082"/>
    <n v="13118"/>
  </r>
  <r>
    <x v="0"/>
    <s v="2025-12-30 22:09:11"/>
    <n v="1"/>
    <x v="15"/>
    <x v="1"/>
    <x v="0"/>
    <n v="0.15149029545843401"/>
    <n v="0"/>
    <s v="Unnamed ProjectKanban L1S3.ScheduledUtilizationScheduled UtilizationResource"/>
    <n v="10"/>
    <n v="0.151561654865698"/>
    <n v="1.2198256688170919E-4"/>
    <n v="0.95"/>
    <n v="8.7261071626859165E-5"/>
    <n v="0.15134711042770399"/>
    <n v="0.15172806047441101"/>
  </r>
  <r>
    <x v="0"/>
    <s v="2025-12-30 22:09:11"/>
    <n v="1"/>
    <x v="16"/>
    <x v="0"/>
    <x v="0"/>
    <n v="8235"/>
    <n v="0"/>
    <s v="Unnamed ProjectKanban L2S1.NumberSeizedTotal Number SeizedResource"/>
    <n v="10"/>
    <n v="8235"/>
    <n v="6.5659052011974035"/>
    <n v="0.95"/>
    <n v="4.6969656296252689"/>
    <n v="8223"/>
    <n v="8245"/>
  </r>
  <r>
    <x v="0"/>
    <s v="2025-12-30 22:09:11"/>
    <n v="1"/>
    <x v="17"/>
    <x v="1"/>
    <x v="0"/>
    <n v="0.625269422960122"/>
    <n v="0"/>
    <s v="Unnamed ProjectKanban L2S1.ScheduledUtilizationScheduled UtilizationResource"/>
    <n v="10"/>
    <n v="0.84558522180863771"/>
    <n v="0.11694354024491282"/>
    <n v="0.95"/>
    <n v="8.3656369122856733E-2"/>
    <n v="0.625269422960122"/>
    <n v="0.95234896906597499"/>
  </r>
  <r>
    <x v="0"/>
    <s v="2025-12-30 22:09:11"/>
    <n v="1"/>
    <x v="18"/>
    <x v="0"/>
    <x v="0"/>
    <n v="8235"/>
    <n v="0"/>
    <s v="Unnamed ProjectKanban L2S2.NumberSeizedTotal Number SeizedResource"/>
    <n v="10"/>
    <n v="8233.5"/>
    <n v="6.5021364010437201"/>
    <n v="0.95"/>
    <n v="4.6513481780498687"/>
    <n v="8221"/>
    <n v="8243"/>
  </r>
  <r>
    <x v="0"/>
    <s v="2025-12-30 22:09:11"/>
    <n v="1"/>
    <x v="19"/>
    <x v="1"/>
    <x v="0"/>
    <n v="0.76444773332903604"/>
    <n v="0"/>
    <s v="Unnamed ProjectKanban L2S2.ScheduledUtilizationScheduled UtilizationResource"/>
    <n v="10"/>
    <n v="0.74077431571180286"/>
    <n v="6.1280007141721847E-2"/>
    <n v="0.95"/>
    <n v="4.3837076306762375E-2"/>
    <n v="0.67060354368791897"/>
    <n v="0.87728997349342697"/>
  </r>
  <r>
    <x v="0"/>
    <s v="2025-12-30 22:09:11"/>
    <n v="1"/>
    <x v="20"/>
    <x v="0"/>
    <x v="0"/>
    <n v="8233"/>
    <n v="0"/>
    <s v="Unnamed ProjectKanban L2S3.NumberSeizedTotal Number SeizedResource"/>
    <n v="10"/>
    <n v="8231.5"/>
    <n v="6.3464775882199236"/>
    <n v="0.95"/>
    <n v="4.5399965713211703"/>
    <n v="8220"/>
    <n v="8241"/>
  </r>
  <r>
    <x v="0"/>
    <s v="2025-12-30 22:09:11"/>
    <n v="1"/>
    <x v="21"/>
    <x v="1"/>
    <x v="0"/>
    <n v="0.53042523093406702"/>
    <n v="0"/>
    <s v="Unnamed ProjectKanban L2S3.ScheduledUtilizationScheduled UtilizationResource"/>
    <n v="10"/>
    <n v="0.52391445815006699"/>
    <n v="7.0460308415606909E-2"/>
    <n v="0.95"/>
    <n v="5.0404268221927347E-2"/>
    <n v="0.36555656561218303"/>
    <n v="0.59886206518967"/>
  </r>
  <r>
    <x v="0"/>
    <s v="2025-12-30 22:09:11"/>
    <n v="1"/>
    <x v="22"/>
    <x v="0"/>
    <x v="0"/>
    <n v="8229"/>
    <n v="0"/>
    <s v="Unnamed ProjectKanban L2S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1"/>
    <x v="23"/>
    <x v="1"/>
    <x v="0"/>
    <n v="0.14952864203343999"/>
    <n v="0"/>
    <s v="Unnamed ProjectKanban L2S4.ScheduledUtilizationScheduled UtilizationResource"/>
    <n v="10"/>
    <n v="0.14955853655775292"/>
    <n v="1.8487754554887928E-4"/>
    <n v="0.95"/>
    <n v="1.3225342896729691E-4"/>
    <n v="0.14921189842985499"/>
    <n v="0.14985050053976801"/>
  </r>
  <r>
    <x v="0"/>
    <s v="2025-12-30 22:09:11"/>
    <n v="1"/>
    <x v="24"/>
    <x v="0"/>
    <x v="0"/>
    <n v="18379"/>
    <n v="0"/>
    <s v="Unnamed ProjectKanban L3S1.NumberSeizedTotal Number SeizedResource"/>
    <n v="10"/>
    <n v="18392"/>
    <n v="12.884098726725126"/>
    <n v="0.95"/>
    <n v="9.2167290013706662"/>
    <n v="18376"/>
    <n v="18407"/>
  </r>
  <r>
    <x v="0"/>
    <s v="2025-12-30 22:09:11"/>
    <n v="1"/>
    <x v="25"/>
    <x v="1"/>
    <x v="0"/>
    <n v="0.80861282164602899"/>
    <n v="0"/>
    <s v="Unnamed ProjectKanban L3S1.ScheduledUtilizationScheduled UtilizationResource"/>
    <n v="10"/>
    <n v="0.78490250681152463"/>
    <n v="0.11345978752761485"/>
    <n v="0.95"/>
    <n v="8.1164242557843561E-2"/>
    <n v="0.58338388917401596"/>
    <n v="0.90111632059041802"/>
  </r>
  <r>
    <x v="0"/>
    <s v="2025-12-30 22:09:11"/>
    <n v="1"/>
    <x v="26"/>
    <x v="0"/>
    <x v="0"/>
    <n v="18376"/>
    <n v="0"/>
    <s v="Unnamed ProjectKanban L3S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1"/>
    <x v="27"/>
    <x v="1"/>
    <x v="0"/>
    <n v="0.15879096117508201"/>
    <n v="0"/>
    <s v="Unnamed ProjectKanban L3S2.ScheduledUtilizationScheduled UtilizationResource"/>
    <n v="10"/>
    <n v="0.15879210791146151"/>
    <n v="8.8786593843692651E-6"/>
    <n v="0.95"/>
    <n v="6.3514103063698042E-6"/>
    <n v="0.15877821852350199"/>
    <n v="0.15880443244107401"/>
  </r>
  <r>
    <x v="0"/>
    <s v="2025-12-30 22:09:11"/>
    <n v="1"/>
    <x v="28"/>
    <x v="0"/>
    <x v="0"/>
    <n v="13094"/>
    <n v="0"/>
    <s v="Unnamed ProjectL1 Station1.NumberSeizedTotal Number SeizedResource"/>
    <n v="10"/>
    <n v="13103.5"/>
    <n v="11.443095929181249"/>
    <n v="0.95"/>
    <n v="8.1858976986246059"/>
    <n v="13087"/>
    <n v="13120"/>
  </r>
  <r>
    <x v="0"/>
    <s v="2025-12-30 22:09:11"/>
    <n v="1"/>
    <x v="29"/>
    <x v="1"/>
    <x v="0"/>
    <n v="1.0004856241647899"/>
    <n v="0"/>
    <s v="Unnamed ProjectL1 Station1.ScheduledUtilizationScheduled UtilizationResource"/>
    <n v="10"/>
    <n v="1.0004814685732331"/>
    <n v="7.4280555176725285E-5"/>
    <n v="0.95"/>
    <n v="5.3137108125005439E-5"/>
    <n v="1.00039897320567"/>
    <n v="1.00059414734778"/>
  </r>
  <r>
    <x v="0"/>
    <s v="2025-12-30 22:09:11"/>
    <n v="1"/>
    <x v="30"/>
    <x v="0"/>
    <x v="0"/>
    <n v="13090"/>
    <n v="0"/>
    <s v="Unnamed ProjectL1 Station2.NumberSeizedTotal Number SeizedResource"/>
    <n v="10"/>
    <n v="13100.1"/>
    <n v="11.46443776786866"/>
    <n v="0.95"/>
    <n v="8.2011647303157567"/>
    <n v="13083"/>
    <n v="13118"/>
  </r>
  <r>
    <x v="0"/>
    <s v="2025-12-30 22:09:11"/>
    <n v="1"/>
    <x v="31"/>
    <x v="1"/>
    <x v="0"/>
    <n v="0.72781127423651704"/>
    <n v="0"/>
    <s v="Unnamed ProjectL1 Station2.ScheduledUtilizationScheduled UtilizationResource"/>
    <n v="10"/>
    <n v="0.7279059511079462"/>
    <n v="7.0848304180243249E-4"/>
    <n v="0.95"/>
    <n v="5.0681823671647316E-4"/>
    <n v="0.72665767143328297"/>
    <n v="0.72896261310967603"/>
  </r>
  <r>
    <x v="0"/>
    <s v="2025-12-30 22:09:11"/>
    <n v="1"/>
    <x v="32"/>
    <x v="0"/>
    <x v="0"/>
    <n v="13090"/>
    <n v="0"/>
    <s v="Unnamed ProjectL1 Station3.NumberSeizedTotal Number SeizedResource"/>
    <n v="10"/>
    <n v="13099.9"/>
    <n v="11.761046816598522"/>
    <n v="0.95"/>
    <n v="8.4133460616980535"/>
    <n v="13082"/>
    <n v="13118"/>
  </r>
  <r>
    <x v="0"/>
    <s v="2025-12-30 22:09:11"/>
    <n v="1"/>
    <x v="33"/>
    <x v="1"/>
    <x v="0"/>
    <n v="0.95438886138813395"/>
    <n v="0"/>
    <s v="Unnamed ProjectL1 Station3.ScheduledUtilizationScheduled UtilizationResource"/>
    <n v="10"/>
    <n v="0.95483842565389732"/>
    <n v="7.6849017135544289E-4"/>
    <n v="0.95"/>
    <n v="5.497447512496955E-4"/>
    <n v="0.95348679569453398"/>
    <n v="0.95588678098879198"/>
  </r>
  <r>
    <x v="0"/>
    <s v="2025-12-30 22:09:11"/>
    <n v="1"/>
    <x v="34"/>
    <x v="0"/>
    <x v="0"/>
    <n v="8235"/>
    <n v="0"/>
    <s v="Unnamed ProjectL2 Station1.NumberSeizedTotal Number SeizedResource"/>
    <n v="10"/>
    <n v="8235"/>
    <n v="6.5659052011974035"/>
    <n v="0.95"/>
    <n v="4.6969656296252689"/>
    <n v="8223"/>
    <n v="8245"/>
  </r>
  <r>
    <x v="0"/>
    <s v="2025-12-30 22:09:11"/>
    <n v="1"/>
    <x v="35"/>
    <x v="1"/>
    <x v="0"/>
    <n v="0.48641454533387402"/>
    <n v="0"/>
    <s v="Unnamed ProjectL2 Station1.ScheduledUtilizationScheduled UtilizationResource"/>
    <n v="10"/>
    <n v="0.48622459141633045"/>
    <n v="7.2585329819825151E-4"/>
    <n v="0.95"/>
    <n v="5.1924416958770345E-4"/>
    <n v="0.48503601840289501"/>
    <n v="0.48724920721519499"/>
  </r>
  <r>
    <x v="0"/>
    <s v="2025-12-30 22:09:11"/>
    <n v="1"/>
    <x v="36"/>
    <x v="0"/>
    <x v="0"/>
    <n v="8235"/>
    <n v="0"/>
    <s v="Unnamed ProjectL2 Station2.NumberSeizedTotal Number SeizedResource"/>
    <n v="10"/>
    <n v="8233.5"/>
    <n v="6.5021364010437201"/>
    <n v="0.95"/>
    <n v="4.6513481780498687"/>
    <n v="8221"/>
    <n v="8243"/>
  </r>
  <r>
    <x v="0"/>
    <s v="2025-12-30 22:09:11"/>
    <n v="1"/>
    <x v="37"/>
    <x v="1"/>
    <x v="0"/>
    <n v="0.57203006973237303"/>
    <n v="0"/>
    <s v="Unnamed ProjectL2 Station2.ScheduledUtilizationScheduled UtilizationResource"/>
    <n v="10"/>
    <n v="0.57195959594019841"/>
    <n v="5.0695895005827636E-4"/>
    <n v="0.95"/>
    <n v="3.6265658596782525E-4"/>
    <n v="0.57115702440598504"/>
    <n v="0.57294957522841605"/>
  </r>
  <r>
    <x v="0"/>
    <s v="2025-12-30 22:09:11"/>
    <n v="1"/>
    <x v="38"/>
    <x v="0"/>
    <x v="0"/>
    <n v="8233"/>
    <n v="0"/>
    <s v="Unnamed ProjectL2 Station3.NumberSeizedTotal Number SeizedResource"/>
    <n v="10"/>
    <n v="8231.5"/>
    <n v="6.3464775882199236"/>
    <n v="0.95"/>
    <n v="4.5399965713211703"/>
    <n v="8220"/>
    <n v="8241"/>
  </r>
  <r>
    <x v="0"/>
    <s v="2025-12-30 22:09:11"/>
    <n v="1"/>
    <x v="39"/>
    <x v="1"/>
    <x v="0"/>
    <n v="1.0005522007644501"/>
    <n v="0"/>
    <s v="Unnamed ProjectL2 Station3.ScheduledUtilizationScheduled UtilizationResource"/>
    <n v="10"/>
    <n v="1.0004557942559711"/>
    <n v="1.6760007580081014E-4"/>
    <n v="0.95"/>
    <n v="1.1989387166531641E-4"/>
    <n v="1.0000655989645"/>
    <n v="1.00068312738094"/>
  </r>
  <r>
    <x v="0"/>
    <s v="2025-12-30 22:09:11"/>
    <n v="1"/>
    <x v="40"/>
    <x v="0"/>
    <x v="0"/>
    <n v="8229"/>
    <n v="0"/>
    <s v="Unnamed ProjectL2 Station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1"/>
    <x v="41"/>
    <x v="1"/>
    <x v="0"/>
    <n v="0.628020296540448"/>
    <n v="0"/>
    <s v="Unnamed ProjectL2 Station4.ScheduledUtilizationScheduled UtilizationResource"/>
    <n v="10"/>
    <n v="0.62814585354256225"/>
    <n v="7.7648569130547428E-4"/>
    <n v="0.95"/>
    <n v="5.5546440166277669E-4"/>
    <n v="0.62668997340539101"/>
    <n v="0.629372102267024"/>
  </r>
  <r>
    <x v="0"/>
    <s v="2025-12-30 22:09:11"/>
    <n v="1"/>
    <x v="42"/>
    <x v="0"/>
    <x v="0"/>
    <n v="18379"/>
    <n v="0"/>
    <s v="Unnamed ProjectL3 Station1.NumberSeizedTotal Number SeizedResource"/>
    <n v="10"/>
    <n v="18392"/>
    <n v="12.884098726725126"/>
    <n v="0.95"/>
    <n v="9.2167290013706662"/>
    <n v="18376"/>
    <n v="18407"/>
  </r>
  <r>
    <x v="0"/>
    <s v="2025-12-30 22:09:11"/>
    <n v="1"/>
    <x v="43"/>
    <x v="1"/>
    <x v="0"/>
    <n v="0.95798818251014395"/>
    <n v="0"/>
    <s v="Unnamed ProjectL3 Station1.ScheduledUtilizationScheduled UtilizationResource"/>
    <n v="10"/>
    <n v="0.9578548406389944"/>
    <n v="7.0772834598480485E-4"/>
    <n v="0.95"/>
    <n v="5.0627835985142609E-4"/>
    <n v="0.95655010461043799"/>
    <n v="0.95869742508961697"/>
  </r>
  <r>
    <x v="0"/>
    <s v="2025-12-30 22:09:11"/>
    <n v="1"/>
    <x v="44"/>
    <x v="0"/>
    <x v="0"/>
    <n v="18376"/>
    <n v="0"/>
    <s v="Unnamed ProjectL3 Station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1"/>
    <x v="45"/>
    <x v="1"/>
    <x v="0"/>
    <n v="1.00038305540302"/>
    <n v="0"/>
    <s v="Unnamed ProjectL3 Station2.ScheduledUtilizationScheduled UtilizationResource"/>
    <n v="10"/>
    <n v="1.0003902798422071"/>
    <n v="5.593555412291058E-5"/>
    <n v="0.95"/>
    <n v="4.0013884931119971E-5"/>
    <n v="1.0003027766980599"/>
    <n v="1.00046792437877"/>
  </r>
  <r>
    <x v="0"/>
    <s v="2025-12-30 22:09:11"/>
    <n v="1"/>
    <x v="46"/>
    <x v="4"/>
    <x v="2"/>
    <n v="157033.79869723701"/>
    <n v="0"/>
    <s v="Unnamed ProjectProcess 1 Accum VA TimeAccum VA TimeProcess"/>
    <n v="10"/>
    <n v="157133.73428655442"/>
    <n v="123.15330812839177"/>
    <n v="0.95"/>
    <n v="88.098569462778244"/>
    <n v="156930.294881654"/>
    <n v="157303.990839153"/>
  </r>
  <r>
    <x v="0"/>
    <s v="2025-12-30 22:09:11"/>
    <n v="1"/>
    <x v="47"/>
    <x v="2"/>
    <x v="2"/>
    <n v="13094"/>
    <n v="0"/>
    <s v="Unnamed ProjectProcess 1 Number InNumber InProcess"/>
    <n v="10"/>
    <n v="13103.5"/>
    <n v="11.443095929181249"/>
    <n v="0.95"/>
    <n v="8.1858976986246059"/>
    <n v="13087"/>
    <n v="13120"/>
  </r>
  <r>
    <x v="0"/>
    <s v="2025-12-30 22:09:11"/>
    <n v="1"/>
    <x v="48"/>
    <x v="3"/>
    <x v="2"/>
    <n v="13094"/>
    <n v="0"/>
    <s v="Unnamed ProjectProcess 1 Number OutNumber OutProcess"/>
    <n v="10"/>
    <n v="13103.5"/>
    <n v="11.443095929181249"/>
    <n v="0.95"/>
    <n v="8.1858976986246059"/>
    <n v="13087"/>
    <n v="13120"/>
  </r>
  <r>
    <x v="0"/>
    <s v="2025-12-30 22:09:11"/>
    <n v="1"/>
    <x v="49"/>
    <x v="4"/>
    <x v="2"/>
    <n v="21766.302245909599"/>
    <n v="0"/>
    <s v="Unnamed ProjectProcess 14 Accum VA TimeAccum VA TimeProcess"/>
    <n v="10"/>
    <n v="21817.897664333104"/>
    <n v="40.377465047897729"/>
    <n v="0.95"/>
    <n v="28.884298467602775"/>
    <n v="21737.561928445"/>
    <n v="21880.2668082411"/>
  </r>
  <r>
    <x v="0"/>
    <s v="2025-12-30 22:09:11"/>
    <n v="1"/>
    <x v="50"/>
    <x v="2"/>
    <x v="2"/>
    <n v="6543"/>
    <n v="0"/>
    <s v="Unnamed ProjectProcess 14 Number InNumber InProcess"/>
    <n v="10"/>
    <n v="6547.7"/>
    <n v="5.735852159879995"/>
    <n v="0.95"/>
    <n v="4.1031814541969078"/>
    <n v="6540"/>
    <n v="6557"/>
  </r>
  <r>
    <x v="0"/>
    <s v="2025-12-30 22:09:11"/>
    <n v="1"/>
    <x v="51"/>
    <x v="3"/>
    <x v="2"/>
    <n v="6543"/>
    <n v="0"/>
    <s v="Unnamed ProjectProcess 14 Number OutNumber OutProcess"/>
    <n v="10"/>
    <n v="6547.3"/>
    <n v="5.7164480035925962"/>
    <n v="0.95"/>
    <n v="4.0893005569921828"/>
    <n v="6539"/>
    <n v="6556"/>
  </r>
  <r>
    <x v="0"/>
    <s v="2025-12-30 22:09:11"/>
    <n v="1"/>
    <x v="52"/>
    <x v="4"/>
    <x v="2"/>
    <n v="78678.718726667095"/>
    <n v="0"/>
    <s v="Unnamed ProjectProcess 2 Accum VA TimeAccum VA TimeProcess"/>
    <n v="10"/>
    <n v="78656.282482549519"/>
    <n v="139.39621135358072"/>
    <n v="0.95"/>
    <n v="99.718042457930338"/>
    <n v="78434.750255210005"/>
    <n v="78879.0340749358"/>
  </r>
  <r>
    <x v="0"/>
    <s v="2025-12-30 22:09:11"/>
    <n v="1"/>
    <x v="53"/>
    <x v="2"/>
    <x v="2"/>
    <n v="13090"/>
    <n v="0"/>
    <s v="Unnamed ProjectProcess 2 Number InNumber InProcess"/>
    <n v="10"/>
    <n v="13100.1"/>
    <n v="11.46443776786866"/>
    <n v="0.95"/>
    <n v="8.2011647303157567"/>
    <n v="13083"/>
    <n v="13118"/>
  </r>
  <r>
    <x v="0"/>
    <s v="2025-12-30 22:09:11"/>
    <n v="1"/>
    <x v="54"/>
    <x v="3"/>
    <x v="2"/>
    <n v="13090"/>
    <n v="0"/>
    <s v="Unnamed ProjectProcess 2 Number OutNumber OutProcess"/>
    <n v="10"/>
    <n v="13100.1"/>
    <n v="11.46443776786866"/>
    <n v="0.95"/>
    <n v="8.2011647303157567"/>
    <n v="13083"/>
    <n v="13118"/>
  </r>
  <r>
    <x v="0"/>
    <s v="2025-12-30 22:09:11"/>
    <n v="1"/>
    <x v="55"/>
    <x v="4"/>
    <x v="2"/>
    <n v="143951.70221270499"/>
    <n v="0"/>
    <s v="Unnamed ProjectProcess 3 Accum VA TimeAccum VA TimeProcess"/>
    <n v="10"/>
    <n v="144088.31566564049"/>
    <n v="147.41980686592098"/>
    <n v="0.95"/>
    <n v="105.45777691839817"/>
    <n v="143896.696561805"/>
    <n v="144298.22507098701"/>
  </r>
  <r>
    <x v="0"/>
    <s v="2025-12-30 22:09:11"/>
    <n v="1"/>
    <x v="56"/>
    <x v="2"/>
    <x v="2"/>
    <n v="13090"/>
    <n v="0"/>
    <s v="Unnamed ProjectProcess 3 Number InNumber InProcess"/>
    <n v="10"/>
    <n v="13099.9"/>
    <n v="11.761046816598522"/>
    <n v="0.95"/>
    <n v="8.4133460616980535"/>
    <n v="13082"/>
    <n v="13118"/>
  </r>
  <r>
    <x v="0"/>
    <s v="2025-12-30 22:09:11"/>
    <n v="1"/>
    <x v="57"/>
    <x v="3"/>
    <x v="2"/>
    <n v="13090"/>
    <n v="0"/>
    <s v="Unnamed ProjectProcess 3 Number OutNumber OutProcess"/>
    <n v="10"/>
    <n v="13099.9"/>
    <n v="11.761046816598522"/>
    <n v="0.95"/>
    <n v="8.4133460616980535"/>
    <n v="13082"/>
    <n v="13118"/>
  </r>
  <r>
    <x v="0"/>
    <s v="2025-12-30 22:09:11"/>
    <n v="1"/>
    <x v="58"/>
    <x v="4"/>
    <x v="2"/>
    <n v="57569.6670912306"/>
    <n v="0"/>
    <s v="Unnamed ProjectProcess 4 Accum VA TimeAccum VA TimeProcess"/>
    <n v="10"/>
    <n v="57657.842851106019"/>
    <n v="66.206976538127805"/>
    <n v="0.95"/>
    <n v="47.361617889987492"/>
    <n v="57569.6670912306"/>
    <n v="57778.887305354197"/>
  </r>
  <r>
    <x v="0"/>
    <s v="2025-12-30 22:09:11"/>
    <n v="1"/>
    <x v="59"/>
    <x v="2"/>
    <x v="2"/>
    <n v="8235"/>
    <n v="0"/>
    <s v="Unnamed ProjectProcess 4 Number InNumber InProcess"/>
    <n v="10"/>
    <n v="8235"/>
    <n v="6.5659052011974035"/>
    <n v="0.95"/>
    <n v="4.6969656296252689"/>
    <n v="8223"/>
    <n v="8245"/>
  </r>
  <r>
    <x v="0"/>
    <s v="2025-12-30 22:09:11"/>
    <n v="1"/>
    <x v="60"/>
    <x v="3"/>
    <x v="2"/>
    <n v="8235"/>
    <n v="0"/>
    <s v="Unnamed ProjectProcess 4 Number OutNumber OutProcess"/>
    <n v="10"/>
    <n v="8235"/>
    <n v="6.5659052011974035"/>
    <n v="0.95"/>
    <n v="4.6969656296252689"/>
    <n v="8223"/>
    <n v="8245"/>
  </r>
  <r>
    <x v="0"/>
    <s v="2025-12-30 22:09:11"/>
    <n v="1"/>
    <x v="61"/>
    <x v="4"/>
    <x v="2"/>
    <n v="82287.082297567002"/>
    <n v="0"/>
    <s v="Unnamed ProjectProcess 5 Accum VA TimeAccum VA TimeProcess"/>
    <n v="10"/>
    <n v="82354.925585571807"/>
    <n v="74.759806822996126"/>
    <n v="0.95"/>
    <n v="53.479944099863097"/>
    <n v="82287.012858407106"/>
    <n v="82509.9089339692"/>
  </r>
  <r>
    <x v="0"/>
    <s v="2025-12-30 22:09:11"/>
    <n v="1"/>
    <x v="62"/>
    <x v="2"/>
    <x v="2"/>
    <n v="8235"/>
    <n v="0"/>
    <s v="Unnamed ProjectProcess 5 Number InNumber InProcess"/>
    <n v="10"/>
    <n v="8233.5"/>
    <n v="6.5021364010437201"/>
    <n v="0.95"/>
    <n v="4.6513481780498687"/>
    <n v="8221"/>
    <n v="8243"/>
  </r>
  <r>
    <x v="0"/>
    <s v="2025-12-30 22:09:11"/>
    <n v="1"/>
    <x v="63"/>
    <x v="3"/>
    <x v="2"/>
    <n v="8235"/>
    <n v="0"/>
    <s v="Unnamed ProjectProcess 5 Number OutNumber OutProcess"/>
    <n v="10"/>
    <n v="8233.5"/>
    <n v="6.5021364010437201"/>
    <n v="0.95"/>
    <n v="4.6513481780498687"/>
    <n v="8221"/>
    <n v="8243"/>
  </r>
  <r>
    <x v="0"/>
    <s v="2025-12-30 22:09:11"/>
    <n v="1"/>
    <x v="64"/>
    <x v="4"/>
    <x v="2"/>
    <n v="205786.30331204101"/>
    <n v="0"/>
    <s v="Unnamed ProjectProcess 6 Accum VA TimeAccum VA TimeProcess"/>
    <n v="10"/>
    <n v="205782.3721339902"/>
    <n v="135.17903819323379"/>
    <n v="0.95"/>
    <n v="96.701258514002035"/>
    <n v="205554.00796082799"/>
    <n v="205962.665291818"/>
  </r>
  <r>
    <x v="0"/>
    <s v="2025-12-30 22:09:11"/>
    <n v="1"/>
    <x v="65"/>
    <x v="2"/>
    <x v="2"/>
    <n v="8233"/>
    <n v="0"/>
    <s v="Unnamed ProjectProcess 6 Number InNumber InProcess"/>
    <n v="10"/>
    <n v="8231.5"/>
    <n v="6.3464775882199236"/>
    <n v="0.95"/>
    <n v="4.5399965713211703"/>
    <n v="8220"/>
    <n v="8241"/>
  </r>
  <r>
    <x v="0"/>
    <s v="2025-12-30 22:09:11"/>
    <n v="1"/>
    <x v="66"/>
    <x v="3"/>
    <x v="2"/>
    <n v="8233"/>
    <n v="0"/>
    <s v="Unnamed ProjectProcess 6 Number OutNumber OutProcess"/>
    <n v="10"/>
    <n v="8231.5"/>
    <n v="6.3464775882199236"/>
    <n v="0.95"/>
    <n v="4.5399965713211703"/>
    <n v="8220"/>
    <n v="8241"/>
  </r>
  <r>
    <x v="0"/>
    <s v="2025-12-30 22:09:11"/>
    <n v="1"/>
    <x v="67"/>
    <x v="4"/>
    <x v="2"/>
    <n v="98604.899500900996"/>
    <n v="0"/>
    <s v="Unnamed ProjectProcess 7 Accum VA TimeAccum VA TimeProcess"/>
    <n v="10"/>
    <n v="98625.180720296266"/>
    <n v="166.97558012409817"/>
    <n v="0.95"/>
    <n v="119.44713437023168"/>
    <n v="98434.330991768598"/>
    <n v="98993.883345143302"/>
  </r>
  <r>
    <x v="0"/>
    <s v="2025-12-30 22:09:11"/>
    <n v="1"/>
    <x v="68"/>
    <x v="2"/>
    <x v="2"/>
    <n v="8229"/>
    <n v="0"/>
    <s v="Unnamed ProjectProcess 7 Number InNumber InProcess"/>
    <n v="10"/>
    <n v="8227.7000000000007"/>
    <n v="6.2902040242480748"/>
    <n v="0.95"/>
    <n v="4.4997408887103267"/>
    <n v="8216"/>
    <n v="8237"/>
  </r>
  <r>
    <x v="0"/>
    <s v="2025-12-30 22:09:11"/>
    <n v="1"/>
    <x v="69"/>
    <x v="3"/>
    <x v="2"/>
    <n v="8229"/>
    <n v="0"/>
    <s v="Unnamed ProjectProcess 7 Number OutNumber OutProcess"/>
    <n v="10"/>
    <n v="8227.7000000000007"/>
    <n v="6.2902040242480748"/>
    <n v="0.95"/>
    <n v="4.4997408887103267"/>
    <n v="8216"/>
    <n v="8237"/>
  </r>
  <r>
    <x v="0"/>
    <s v="2025-12-30 22:09:11"/>
    <n v="1"/>
    <x v="70"/>
    <x v="4"/>
    <x v="2"/>
    <n v="91962.37934765"/>
    <n v="0"/>
    <s v="Unnamed ProjectProcess 8 Accum VA TimeAccum VA TimeProcess"/>
    <n v="10"/>
    <n v="91917.034029149756"/>
    <n v="167.33037075092571"/>
    <n v="0.95"/>
    <n v="119.70093629530641"/>
    <n v="91632.276670136605"/>
    <n v="92162.594279262106"/>
  </r>
  <r>
    <x v="0"/>
    <s v="2025-12-30 22:09:11"/>
    <n v="1"/>
    <x v="71"/>
    <x v="2"/>
    <x v="2"/>
    <n v="18379"/>
    <n v="0"/>
    <s v="Unnamed ProjectProcess 8 Number InNumber InProcess"/>
    <n v="10"/>
    <n v="18392"/>
    <n v="12.884098726725126"/>
    <n v="0.95"/>
    <n v="9.2167290013706662"/>
    <n v="18376"/>
    <n v="18407"/>
  </r>
  <r>
    <x v="0"/>
    <s v="2025-12-30 22:09:11"/>
    <n v="1"/>
    <x v="72"/>
    <x v="3"/>
    <x v="2"/>
    <n v="18379"/>
    <n v="0"/>
    <s v="Unnamed ProjectProcess 8 Number OutNumber OutProcess"/>
    <n v="10"/>
    <n v="18392"/>
    <n v="12.884098726725126"/>
    <n v="0.95"/>
    <n v="9.2167290013706662"/>
    <n v="18376"/>
    <n v="18407"/>
  </r>
  <r>
    <x v="0"/>
    <s v="2025-12-30 22:09:11"/>
    <n v="1"/>
    <x v="73"/>
    <x v="4"/>
    <x v="2"/>
    <n v="104217.79957260301"/>
    <n v="0"/>
    <s v="Unnamed ProjectProcess 9 Accum VA TimeAccum VA TimeProcess"/>
    <n v="10"/>
    <n v="104198.44406523299"/>
    <n v="99.045608472383734"/>
    <n v="0.95"/>
    <n v="70.852960026786278"/>
    <n v="104039.320720244"/>
    <n v="104335.096217932"/>
  </r>
  <r>
    <x v="0"/>
    <s v="2025-12-30 22:09:11"/>
    <n v="1"/>
    <x v="74"/>
    <x v="2"/>
    <x v="2"/>
    <n v="18376"/>
    <n v="0"/>
    <s v="Unnamed ProjectProcess 9 Number InNumber InProcess"/>
    <n v="10"/>
    <n v="18389.400000000001"/>
    <n v="12.103259432437566"/>
    <n v="0.95"/>
    <n v="8.6581502197487996"/>
    <n v="18376"/>
    <n v="18404"/>
  </r>
  <r>
    <x v="0"/>
    <s v="2025-12-30 22:09:11"/>
    <n v="1"/>
    <x v="75"/>
    <x v="3"/>
    <x v="2"/>
    <n v="18376"/>
    <n v="0"/>
    <s v="Unnamed ProjectProcess 9 Number OutNumber OutProcess"/>
    <n v="10"/>
    <n v="18389.400000000001"/>
    <n v="12.103259432437566"/>
    <n v="0.95"/>
    <n v="8.6581502197487996"/>
    <n v="18376"/>
    <n v="18404"/>
  </r>
  <r>
    <x v="0"/>
    <s v="2025-12-30 22:09:11"/>
    <n v="1"/>
    <x v="76"/>
    <x v="0"/>
    <x v="0"/>
    <n v="0"/>
    <n v="0"/>
    <s v="Unnamed ProjectSales Department.NumberSeizedTotal Number SeizedResource"/>
    <n v="10"/>
    <n v="0"/>
    <n v="0"/>
    <n v="0.95"/>
    <n v="0"/>
    <n v="0"/>
    <n v="0"/>
  </r>
  <r>
    <x v="0"/>
    <s v="2025-12-30 22:09:11"/>
    <n v="1"/>
    <x v="77"/>
    <x v="1"/>
    <x v="0"/>
    <n v="0"/>
    <n v="0"/>
    <s v="Unnamed ProjectSales Department.ScheduledUtilizationScheduled UtilizationResource"/>
    <n v="10"/>
    <n v="0"/>
    <n v="0"/>
    <n v="0.95"/>
    <n v="0"/>
    <n v="0"/>
    <n v="0"/>
  </r>
  <r>
    <x v="0"/>
    <s v="2025-12-30 22:09:11"/>
    <n v="1"/>
    <x v="78"/>
    <x v="0"/>
    <x v="0"/>
    <n v="107"/>
    <n v="0"/>
    <s v="Unnamed ProjectSales Rep.NumberSeizedTotal Number SeizedResource"/>
    <n v="10"/>
    <n v="118.7"/>
    <n v="12.587913073879887"/>
    <n v="0.95"/>
    <n v="9.0048505491583946"/>
    <n v="95"/>
    <n v="141"/>
  </r>
  <r>
    <x v="0"/>
    <s v="2025-12-30 22:09:11"/>
    <n v="1"/>
    <x v="79"/>
    <x v="1"/>
    <x v="0"/>
    <n v="0.28955927553994498"/>
    <n v="0"/>
    <s v="Unnamed ProjectSales Rep.ScheduledUtilizationScheduled UtilizationResource"/>
    <n v="10"/>
    <n v="0.3273551167875815"/>
    <n v="3.5172818533154994E-2"/>
    <n v="0.95"/>
    <n v="2.5161118640145405E-2"/>
    <n v="0.26933581669894202"/>
    <n v="0.39321867243708603"/>
  </r>
  <r>
    <x v="0"/>
    <s v="2025-12-30 22:09:11"/>
    <n v="1"/>
    <x v="80"/>
    <x v="3"/>
    <x v="3"/>
    <n v="2499"/>
    <n v="0"/>
    <s v="Unnamed ProjectSystem.NumberOutNumber OutSystem"/>
    <n v="10"/>
    <n v="2503.1"/>
    <n v="29.72260643573059"/>
    <n v="0.95"/>
    <n v="21.262271777248003"/>
    <n v="2457"/>
    <n v="2546"/>
  </r>
  <r>
    <x v="0"/>
    <s v="2025-12-30 22:09:11"/>
    <n v="1"/>
    <x v="81"/>
    <x v="2"/>
    <x v="1"/>
    <n v="7831"/>
    <n v="0"/>
    <s v="Unnamed ProjectWire Harness.NumberInNumber InEntity"/>
    <n v="10"/>
    <n v="7832.8"/>
    <n v="7.8287220469811594"/>
    <n v="0.95"/>
    <n v="5.6003303812327712"/>
    <n v="7818"/>
    <n v="7845"/>
  </r>
  <r>
    <x v="0"/>
    <s v="2025-12-30 22:09:11"/>
    <n v="1"/>
    <x v="82"/>
    <x v="3"/>
    <x v="1"/>
    <n v="7827"/>
    <n v="0"/>
    <s v="Unnamed ProjectWire Harness.NumberOutNumber OutEntity"/>
    <n v="10"/>
    <n v="7828.3"/>
    <n v="7.1032074132433696"/>
    <n v="0.95"/>
    <n v="5.0813284776056653"/>
    <n v="7815"/>
    <n v="7840"/>
  </r>
  <r>
    <x v="0"/>
    <s v="2025-12-30 22:09:11"/>
    <n v="1"/>
    <x v="83"/>
    <x v="4"/>
    <x v="2"/>
    <n v="46908.6026374711"/>
    <n v="0"/>
    <s v="Unnamed Projectsales Accum VA TimeAccum VA TimeProcess"/>
    <n v="10"/>
    <n v="53031.528919588192"/>
    <n v="5697.9966023710867"/>
    <n v="0.95"/>
    <n v="4076.1012197035402"/>
    <n v="43632.402305228599"/>
    <n v="63701.424934807801"/>
  </r>
  <r>
    <x v="0"/>
    <s v="2025-12-30 22:09:11"/>
    <n v="1"/>
    <x v="84"/>
    <x v="2"/>
    <x v="2"/>
    <n v="107"/>
    <n v="0"/>
    <s v="Unnamed Projectsales Number InNumber InProcess"/>
    <n v="10"/>
    <n v="118.7"/>
    <n v="12.587913073879887"/>
    <n v="0.95"/>
    <n v="9.0048505491583946"/>
    <n v="95"/>
    <n v="141"/>
  </r>
  <r>
    <x v="0"/>
    <s v="2025-12-30 22:09:11"/>
    <n v="1"/>
    <x v="85"/>
    <x v="3"/>
    <x v="2"/>
    <n v="107"/>
    <n v="0"/>
    <s v="Unnamed Projectsales Number OutNumber OutProcess"/>
    <n v="10"/>
    <n v="118.7"/>
    <n v="12.587913073879887"/>
    <n v="0.95"/>
    <n v="9.0048505491583946"/>
    <n v="95"/>
    <n v="141"/>
  </r>
  <r>
    <x v="0"/>
    <s v="2025-12-30 22:09:11"/>
    <n v="2"/>
    <x v="0"/>
    <x v="0"/>
    <x v="0"/>
    <n v="6557"/>
    <n v="0"/>
    <s v="Unnamed ProjectAssembler.NumberSeizedTotal Number SeizedResource"/>
    <n v="10"/>
    <n v="6547.7"/>
    <n v="5.735852159879995"/>
    <n v="0.95"/>
    <n v="4.1031814541969078"/>
    <n v="6540"/>
    <n v="6557"/>
  </r>
  <r>
    <x v="0"/>
    <s v="2025-12-30 22:09:11"/>
    <n v="2"/>
    <x v="1"/>
    <x v="1"/>
    <x v="0"/>
    <n v="7.5739004978093494E-2"/>
    <n v="0"/>
    <s v="Unnamed ProjectAssembler.ScheduledUtilizationScheduled UtilizationResource"/>
    <n v="10"/>
    <n v="7.575658911226775E-2"/>
    <n v="1.4019953141627205E-4"/>
    <n v="0.95"/>
    <n v="1.0029270301248135E-4"/>
    <n v="7.5477645584878503E-2"/>
    <n v="7.5973148639726207E-2"/>
  </r>
  <r>
    <x v="0"/>
    <s v="2025-12-30 22:09:11"/>
    <n v="2"/>
    <x v="2"/>
    <x v="2"/>
    <x v="1"/>
    <n v="1088"/>
    <n v="0"/>
    <s v="Unnamed ProjectCustomer.NumberInNumber InEntity"/>
    <n v="10"/>
    <n v="1090.3"/>
    <n v="32.666836734251177"/>
    <n v="0.95"/>
    <n v="23.368447254062772"/>
    <n v="1042"/>
    <n v="1141"/>
  </r>
  <r>
    <x v="0"/>
    <s v="2025-12-30 22:09:11"/>
    <n v="2"/>
    <x v="3"/>
    <x v="3"/>
    <x v="1"/>
    <n v="1088"/>
    <n v="0"/>
    <s v="Unnamed ProjectCustomer.NumberOutNumber OutEntity"/>
    <n v="10"/>
    <n v="1090.3"/>
    <n v="32.666836734251177"/>
    <n v="0.95"/>
    <n v="23.368447254062772"/>
    <n v="1042"/>
    <n v="1141"/>
  </r>
  <r>
    <x v="0"/>
    <s v="2025-12-30 22:09:11"/>
    <n v="2"/>
    <x v="4"/>
    <x v="2"/>
    <x v="1"/>
    <n v="19848"/>
    <n v="0"/>
    <s v="Unnamed ProjectEntity 1.NumberInNumber InEntity"/>
    <n v="10"/>
    <n v="19822.900000000001"/>
    <n v="20.151922985164472"/>
    <n v="0.95"/>
    <n v="14.415817276026377"/>
    <n v="19788"/>
    <n v="19852"/>
  </r>
  <r>
    <x v="0"/>
    <s v="2025-12-30 22:09:11"/>
    <n v="2"/>
    <x v="5"/>
    <x v="3"/>
    <x v="1"/>
    <n v="19662"/>
    <n v="0"/>
    <s v="Unnamed ProjectEntity 1.NumberOutNumber OutEntity"/>
    <n v="10"/>
    <n v="19635.599999999999"/>
    <n v="15.086417732516889"/>
    <n v="0.95"/>
    <n v="10.792173111314252"/>
    <n v="19614"/>
    <n v="19662"/>
  </r>
  <r>
    <x v="0"/>
    <s v="2025-12-30 22:09:11"/>
    <n v="2"/>
    <x v="6"/>
    <x v="2"/>
    <x v="1"/>
    <n v="8392"/>
    <n v="0"/>
    <s v="Unnamed ProjectEntity 2.NumberInNumber InEntity"/>
    <n v="10"/>
    <n v="8398"/>
    <n v="24.133885813197271"/>
    <n v="0.95"/>
    <n v="17.264341884378119"/>
    <n v="8353"/>
    <n v="8437"/>
  </r>
  <r>
    <x v="0"/>
    <s v="2025-12-30 22:09:11"/>
    <n v="2"/>
    <x v="7"/>
    <x v="3"/>
    <x v="1"/>
    <n v="6554"/>
    <n v="0"/>
    <s v="Unnamed ProjectEntity 2.NumberOutNumber OutEntity"/>
    <n v="10"/>
    <n v="6545.2"/>
    <n v="5.0288059108389627"/>
    <n v="0.95"/>
    <n v="3.5973910371047504"/>
    <n v="6538"/>
    <n v="6554"/>
  </r>
  <r>
    <x v="0"/>
    <s v="2025-12-30 22:09:11"/>
    <n v="2"/>
    <x v="8"/>
    <x v="2"/>
    <x v="1"/>
    <n v="27742"/>
    <n v="0"/>
    <s v="Unnamed ProjectEntity 3.NumberInNumber InEntity"/>
    <n v="10"/>
    <n v="27753.7"/>
    <n v="25.447331228768697"/>
    <n v="0.95"/>
    <n v="18.203924133022646"/>
    <n v="27724"/>
    <n v="27792"/>
  </r>
  <r>
    <x v="0"/>
    <s v="2025-12-30 22:09:11"/>
    <n v="2"/>
    <x v="9"/>
    <x v="3"/>
    <x v="1"/>
    <n v="19662"/>
    <n v="0"/>
    <s v="Unnamed ProjectEntity 3.NumberOutNumber OutEntity"/>
    <n v="10"/>
    <n v="19635.599999999999"/>
    <n v="15.086417732516889"/>
    <n v="0.95"/>
    <n v="10.792173111314252"/>
    <n v="19614"/>
    <n v="19662"/>
  </r>
  <r>
    <x v="0"/>
    <s v="2025-12-30 22:09:11"/>
    <n v="2"/>
    <x v="10"/>
    <x v="0"/>
    <x v="0"/>
    <n v="13120"/>
    <n v="0"/>
    <s v="Unnamed ProjectKanban L1S1.NumberSeizedTotal Number SeizedResource"/>
    <n v="10"/>
    <n v="13103.5"/>
    <n v="11.443095929181249"/>
    <n v="0.95"/>
    <n v="8.1858976986246059"/>
    <n v="13087"/>
    <n v="13120"/>
  </r>
  <r>
    <x v="0"/>
    <s v="2025-12-30 22:09:11"/>
    <n v="2"/>
    <x v="11"/>
    <x v="1"/>
    <x v="0"/>
    <n v="0.38747209997062299"/>
    <n v="0"/>
    <s v="Unnamed ProjectKanban L1S1.ScheduledUtilizationScheduled UtilizationResource"/>
    <n v="10"/>
    <n v="0.48160620907873086"/>
    <n v="8.6686321722355061E-2"/>
    <n v="0.95"/>
    <n v="6.2011658897281531E-2"/>
    <n v="0.292184201252493"/>
    <n v="0.57167989674475905"/>
  </r>
  <r>
    <x v="0"/>
    <s v="2025-12-30 22:09:11"/>
    <n v="2"/>
    <x v="12"/>
    <x v="0"/>
    <x v="0"/>
    <n v="13118"/>
    <n v="0"/>
    <s v="Unnamed ProjectKanban L1S2.NumberSeizedTotal Number SeizedResource"/>
    <n v="10"/>
    <n v="13100.1"/>
    <n v="11.46443776786866"/>
    <n v="0.95"/>
    <n v="8.2011647303157567"/>
    <n v="13083"/>
    <n v="13118"/>
  </r>
  <r>
    <x v="0"/>
    <s v="2025-12-30 22:09:11"/>
    <n v="2"/>
    <x v="13"/>
    <x v="1"/>
    <x v="0"/>
    <n v="0.23335039847345501"/>
    <n v="0"/>
    <s v="Unnamed ProjectKanban L1S2.ScheduledUtilizationScheduled UtilizationResource"/>
    <n v="10"/>
    <n v="0.25269289312392168"/>
    <n v="4.921401008308305E-2"/>
    <n v="0.95"/>
    <n v="3.5205581983443382E-2"/>
    <n v="0.20500025225945601"/>
    <n v="0.33570777662711399"/>
  </r>
  <r>
    <x v="0"/>
    <s v="2025-12-30 22:09:11"/>
    <n v="2"/>
    <x v="14"/>
    <x v="0"/>
    <x v="0"/>
    <n v="13118"/>
    <n v="0"/>
    <s v="Unnamed ProjectKanban L1S3.NumberSeizedTotal Number SeizedResource"/>
    <n v="10"/>
    <n v="13099.9"/>
    <n v="11.761046816598522"/>
    <n v="0.95"/>
    <n v="8.4133460616980535"/>
    <n v="13082"/>
    <n v="13118"/>
  </r>
  <r>
    <x v="0"/>
    <s v="2025-12-30 22:09:11"/>
    <n v="2"/>
    <x v="15"/>
    <x v="1"/>
    <x v="0"/>
    <n v="0.15172806047441101"/>
    <n v="0"/>
    <s v="Unnamed ProjectKanban L1S3.ScheduledUtilizationScheduled UtilizationResource"/>
    <n v="10"/>
    <n v="0.151561654865698"/>
    <n v="1.2198256688170919E-4"/>
    <n v="0.95"/>
    <n v="8.7261071626859165E-5"/>
    <n v="0.15134711042770399"/>
    <n v="0.15172806047441101"/>
  </r>
  <r>
    <x v="0"/>
    <s v="2025-12-30 22:09:11"/>
    <n v="2"/>
    <x v="16"/>
    <x v="0"/>
    <x v="0"/>
    <n v="8231"/>
    <n v="0"/>
    <s v="Unnamed ProjectKanban L2S1.NumberSeizedTotal Number SeizedResource"/>
    <n v="10"/>
    <n v="8235"/>
    <n v="6.5659052011974035"/>
    <n v="0.95"/>
    <n v="4.6969656296252689"/>
    <n v="8223"/>
    <n v="8245"/>
  </r>
  <r>
    <x v="0"/>
    <s v="2025-12-30 22:09:11"/>
    <n v="2"/>
    <x v="17"/>
    <x v="1"/>
    <x v="0"/>
    <n v="0.71446306801206805"/>
    <n v="0"/>
    <s v="Unnamed ProjectKanban L2S1.ScheduledUtilizationScheduled UtilizationResource"/>
    <n v="10"/>
    <n v="0.84558522180863771"/>
    <n v="0.11694354024491282"/>
    <n v="0.95"/>
    <n v="8.3656369122856733E-2"/>
    <n v="0.625269422960122"/>
    <n v="0.95234896906597499"/>
  </r>
  <r>
    <x v="0"/>
    <s v="2025-12-30 22:09:11"/>
    <n v="2"/>
    <x v="18"/>
    <x v="0"/>
    <x v="0"/>
    <n v="8230"/>
    <n v="0"/>
    <s v="Unnamed ProjectKanban L2S2.NumberSeizedTotal Number SeizedResource"/>
    <n v="10"/>
    <n v="8233.5"/>
    <n v="6.5021364010437201"/>
    <n v="0.95"/>
    <n v="4.6513481780498687"/>
    <n v="8221"/>
    <n v="8243"/>
  </r>
  <r>
    <x v="0"/>
    <s v="2025-12-30 22:09:11"/>
    <n v="2"/>
    <x v="19"/>
    <x v="1"/>
    <x v="0"/>
    <n v="0.72994168915180901"/>
    <n v="0"/>
    <s v="Unnamed ProjectKanban L2S2.ScheduledUtilizationScheduled UtilizationResource"/>
    <n v="10"/>
    <n v="0.74077431571180286"/>
    <n v="6.1280007141721847E-2"/>
    <n v="0.95"/>
    <n v="4.3837076306762375E-2"/>
    <n v="0.67060354368791897"/>
    <n v="0.87728997349342697"/>
  </r>
  <r>
    <x v="0"/>
    <s v="2025-12-30 22:09:11"/>
    <n v="2"/>
    <x v="20"/>
    <x v="0"/>
    <x v="0"/>
    <n v="8228"/>
    <n v="0"/>
    <s v="Unnamed ProjectKanban L2S3.NumberSeizedTotal Number SeizedResource"/>
    <n v="10"/>
    <n v="8231.5"/>
    <n v="6.3464775882199236"/>
    <n v="0.95"/>
    <n v="4.5399965713211703"/>
    <n v="8220"/>
    <n v="8241"/>
  </r>
  <r>
    <x v="0"/>
    <s v="2025-12-30 22:09:11"/>
    <n v="2"/>
    <x v="21"/>
    <x v="1"/>
    <x v="0"/>
    <n v="0.54974158610753199"/>
    <n v="0"/>
    <s v="Unnamed ProjectKanban L2S3.ScheduledUtilizationScheduled UtilizationResource"/>
    <n v="10"/>
    <n v="0.52391445815006699"/>
    <n v="7.0460308415606909E-2"/>
    <n v="0.95"/>
    <n v="5.0404268221927347E-2"/>
    <n v="0.36555656561218303"/>
    <n v="0.59886206518967"/>
  </r>
  <r>
    <x v="0"/>
    <s v="2025-12-30 22:09:11"/>
    <n v="2"/>
    <x v="22"/>
    <x v="0"/>
    <x v="0"/>
    <n v="8224"/>
    <n v="0"/>
    <s v="Unnamed ProjectKanban L2S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2"/>
    <x v="23"/>
    <x v="1"/>
    <x v="0"/>
    <n v="0.149446316363541"/>
    <n v="0"/>
    <s v="Unnamed ProjectKanban L2S4.ScheduledUtilizationScheduled UtilizationResource"/>
    <n v="10"/>
    <n v="0.14955853655775292"/>
    <n v="1.8487754554887928E-4"/>
    <n v="0.95"/>
    <n v="1.3225342896729691E-4"/>
    <n v="0.14921189842985499"/>
    <n v="0.14985050053976801"/>
  </r>
  <r>
    <x v="0"/>
    <s v="2025-12-30 22:09:11"/>
    <n v="2"/>
    <x v="24"/>
    <x v="0"/>
    <x v="0"/>
    <n v="18391"/>
    <n v="0"/>
    <s v="Unnamed ProjectKanban L3S1.NumberSeizedTotal Number SeizedResource"/>
    <n v="10"/>
    <n v="18392"/>
    <n v="12.884098726725126"/>
    <n v="0.95"/>
    <n v="9.2167290013706662"/>
    <n v="18376"/>
    <n v="18407"/>
  </r>
  <r>
    <x v="0"/>
    <s v="2025-12-30 22:09:11"/>
    <n v="2"/>
    <x v="25"/>
    <x v="1"/>
    <x v="0"/>
    <n v="0.90111632059041802"/>
    <n v="0"/>
    <s v="Unnamed ProjectKanban L3S1.ScheduledUtilizationScheduled UtilizationResource"/>
    <n v="10"/>
    <n v="0.78490250681152463"/>
    <n v="0.11345978752761485"/>
    <n v="0.95"/>
    <n v="8.1164242557843561E-2"/>
    <n v="0.58338388917401596"/>
    <n v="0.90111632059041802"/>
  </r>
  <r>
    <x v="0"/>
    <s v="2025-12-30 22:09:11"/>
    <n v="2"/>
    <x v="26"/>
    <x v="0"/>
    <x v="0"/>
    <n v="18387"/>
    <n v="0"/>
    <s v="Unnamed ProjectKanban L3S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2"/>
    <x v="27"/>
    <x v="1"/>
    <x v="0"/>
    <n v="0.15877821852350199"/>
    <n v="0"/>
    <s v="Unnamed ProjectKanban L3S2.ScheduledUtilizationScheduled UtilizationResource"/>
    <n v="10"/>
    <n v="0.15879210791146151"/>
    <n v="8.8786593843692651E-6"/>
    <n v="0.95"/>
    <n v="6.3514103063698042E-6"/>
    <n v="0.15877821852350199"/>
    <n v="0.15880443244107401"/>
  </r>
  <r>
    <x v="0"/>
    <s v="2025-12-30 22:09:11"/>
    <n v="2"/>
    <x v="28"/>
    <x v="0"/>
    <x v="0"/>
    <n v="13120"/>
    <n v="0"/>
    <s v="Unnamed ProjectL1 Station1.NumberSeizedTotal Number SeizedResource"/>
    <n v="10"/>
    <n v="13103.5"/>
    <n v="11.443095929181249"/>
    <n v="0.95"/>
    <n v="8.1858976986246059"/>
    <n v="13087"/>
    <n v="13120"/>
  </r>
  <r>
    <x v="0"/>
    <s v="2025-12-30 22:09:11"/>
    <n v="2"/>
    <x v="29"/>
    <x v="1"/>
    <x v="0"/>
    <n v="1.00044423174602"/>
    <n v="0"/>
    <s v="Unnamed ProjectL1 Station1.ScheduledUtilizationScheduled UtilizationResource"/>
    <n v="10"/>
    <n v="1.0004814685732331"/>
    <n v="7.4280555176725285E-5"/>
    <n v="0.95"/>
    <n v="5.3137108125005439E-5"/>
    <n v="1.00039897320567"/>
    <n v="1.00059414734778"/>
  </r>
  <r>
    <x v="0"/>
    <s v="2025-12-30 22:09:11"/>
    <n v="2"/>
    <x v="30"/>
    <x v="0"/>
    <x v="0"/>
    <n v="13118"/>
    <n v="0"/>
    <s v="Unnamed ProjectL1 Station2.NumberSeizedTotal Number SeizedResource"/>
    <n v="10"/>
    <n v="13100.1"/>
    <n v="11.46443776786866"/>
    <n v="0.95"/>
    <n v="8.2011647303157567"/>
    <n v="13083"/>
    <n v="13118"/>
  </r>
  <r>
    <x v="0"/>
    <s v="2025-12-30 22:09:11"/>
    <n v="2"/>
    <x v="31"/>
    <x v="1"/>
    <x v="0"/>
    <n v="0.72825020533414597"/>
    <n v="0"/>
    <s v="Unnamed ProjectL1 Station2.ScheduledUtilizationScheduled UtilizationResource"/>
    <n v="10"/>
    <n v="0.7279059511079462"/>
    <n v="7.0848304180243249E-4"/>
    <n v="0.95"/>
    <n v="5.0681823671647316E-4"/>
    <n v="0.72665767143328297"/>
    <n v="0.72896261310967603"/>
  </r>
  <r>
    <x v="0"/>
    <s v="2025-12-30 22:09:11"/>
    <n v="2"/>
    <x v="32"/>
    <x v="0"/>
    <x v="0"/>
    <n v="13118"/>
    <n v="0"/>
    <s v="Unnamed ProjectL1 Station3.NumberSeizedTotal Number SeizedResource"/>
    <n v="10"/>
    <n v="13099.9"/>
    <n v="11.761046816598522"/>
    <n v="0.95"/>
    <n v="8.4133460616980535"/>
    <n v="13082"/>
    <n v="13118"/>
  </r>
  <r>
    <x v="0"/>
    <s v="2025-12-30 22:09:11"/>
    <n v="2"/>
    <x v="33"/>
    <x v="1"/>
    <x v="0"/>
    <n v="0.95588678098879198"/>
    <n v="0"/>
    <s v="Unnamed ProjectL1 Station3.ScheduledUtilizationScheduled UtilizationResource"/>
    <n v="10"/>
    <n v="0.95483842565389732"/>
    <n v="7.6849017135544289E-4"/>
    <n v="0.95"/>
    <n v="5.497447512496955E-4"/>
    <n v="0.95348679569453398"/>
    <n v="0.95588678098879198"/>
  </r>
  <r>
    <x v="0"/>
    <s v="2025-12-30 22:09:11"/>
    <n v="2"/>
    <x v="34"/>
    <x v="0"/>
    <x v="0"/>
    <n v="8231"/>
    <n v="0"/>
    <s v="Unnamed ProjectL2 Station1.NumberSeizedTotal Number SeizedResource"/>
    <n v="10"/>
    <n v="8235"/>
    <n v="6.5659052011974035"/>
    <n v="0.95"/>
    <n v="4.6969656296252689"/>
    <n v="8223"/>
    <n v="8245"/>
  </r>
  <r>
    <x v="0"/>
    <s v="2025-12-30 22:09:11"/>
    <n v="2"/>
    <x v="35"/>
    <x v="1"/>
    <x v="0"/>
    <n v="0.48577418427094299"/>
    <n v="0"/>
    <s v="Unnamed ProjectL2 Station1.ScheduledUtilizationScheduled UtilizationResource"/>
    <n v="10"/>
    <n v="0.48622459141633045"/>
    <n v="7.2585329819825151E-4"/>
    <n v="0.95"/>
    <n v="5.1924416958770345E-4"/>
    <n v="0.48503601840289501"/>
    <n v="0.48724920721519499"/>
  </r>
  <r>
    <x v="0"/>
    <s v="2025-12-30 22:09:11"/>
    <n v="2"/>
    <x v="36"/>
    <x v="0"/>
    <x v="0"/>
    <n v="8230"/>
    <n v="0"/>
    <s v="Unnamed ProjectL2 Station2.NumberSeizedTotal Number SeizedResource"/>
    <n v="10"/>
    <n v="8233.5"/>
    <n v="6.5021364010437201"/>
    <n v="0.95"/>
    <n v="4.6513481780498687"/>
    <n v="8221"/>
    <n v="8243"/>
  </r>
  <r>
    <x v="0"/>
    <s v="2025-12-30 22:09:11"/>
    <n v="2"/>
    <x v="37"/>
    <x v="1"/>
    <x v="0"/>
    <n v="0.572224688214093"/>
    <n v="0"/>
    <s v="Unnamed ProjectL2 Station2.ScheduledUtilizationScheduled UtilizationResource"/>
    <n v="10"/>
    <n v="0.57195959594019841"/>
    <n v="5.0695895005827636E-4"/>
    <n v="0.95"/>
    <n v="3.6265658596782525E-4"/>
    <n v="0.57115702440598504"/>
    <n v="0.57294957522841605"/>
  </r>
  <r>
    <x v="0"/>
    <s v="2025-12-30 22:09:11"/>
    <n v="2"/>
    <x v="38"/>
    <x v="0"/>
    <x v="0"/>
    <n v="8228"/>
    <n v="0"/>
    <s v="Unnamed ProjectL2 Station3.NumberSeizedTotal Number SeizedResource"/>
    <n v="10"/>
    <n v="8231.5"/>
    <n v="6.3464775882199236"/>
    <n v="0.95"/>
    <n v="4.5399965713211703"/>
    <n v="8220"/>
    <n v="8241"/>
  </r>
  <r>
    <x v="0"/>
    <s v="2025-12-30 22:09:11"/>
    <n v="2"/>
    <x v="39"/>
    <x v="1"/>
    <x v="0"/>
    <n v="1.00040257462005"/>
    <n v="0"/>
    <s v="Unnamed ProjectL2 Station3.ScheduledUtilizationScheduled UtilizationResource"/>
    <n v="10"/>
    <n v="1.0004557942559711"/>
    <n v="1.6760007580081014E-4"/>
    <n v="0.95"/>
    <n v="1.1989387166531641E-4"/>
    <n v="1.0000655989645"/>
    <n v="1.00068312738094"/>
  </r>
  <r>
    <x v="0"/>
    <s v="2025-12-30 22:09:11"/>
    <n v="2"/>
    <x v="40"/>
    <x v="0"/>
    <x v="0"/>
    <n v="8224"/>
    <n v="0"/>
    <s v="Unnamed ProjectL2 Station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2"/>
    <x v="41"/>
    <x v="1"/>
    <x v="0"/>
    <n v="0.62767452872687102"/>
    <n v="0"/>
    <s v="Unnamed ProjectL2 Station4.ScheduledUtilizationScheduled UtilizationResource"/>
    <n v="10"/>
    <n v="0.62814585354256225"/>
    <n v="7.7648569130547428E-4"/>
    <n v="0.95"/>
    <n v="5.5546440166277669E-4"/>
    <n v="0.62668997340539101"/>
    <n v="0.629372102267024"/>
  </r>
  <r>
    <x v="0"/>
    <s v="2025-12-30 22:09:11"/>
    <n v="2"/>
    <x v="42"/>
    <x v="0"/>
    <x v="0"/>
    <n v="18391"/>
    <n v="0"/>
    <s v="Unnamed ProjectL3 Station1.NumberSeizedTotal Number SeizedResource"/>
    <n v="10"/>
    <n v="18392"/>
    <n v="12.884098726725126"/>
    <n v="0.95"/>
    <n v="9.2167290013706662"/>
    <n v="18376"/>
    <n v="18407"/>
  </r>
  <r>
    <x v="0"/>
    <s v="2025-12-30 22:09:11"/>
    <n v="2"/>
    <x v="43"/>
    <x v="1"/>
    <x v="0"/>
    <n v="0.95869742508961697"/>
    <n v="0"/>
    <s v="Unnamed ProjectL3 Station1.ScheduledUtilizationScheduled UtilizationResource"/>
    <n v="10"/>
    <n v="0.9578548406389944"/>
    <n v="7.0772834598480485E-4"/>
    <n v="0.95"/>
    <n v="5.0627835985142609E-4"/>
    <n v="0.95655010461043799"/>
    <n v="0.95869742508961697"/>
  </r>
  <r>
    <x v="0"/>
    <s v="2025-12-30 22:09:11"/>
    <n v="2"/>
    <x v="44"/>
    <x v="0"/>
    <x v="0"/>
    <n v="18387"/>
    <n v="0"/>
    <s v="Unnamed ProjectL3 Station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2"/>
    <x v="45"/>
    <x v="1"/>
    <x v="0"/>
    <n v="1.0003027766980599"/>
    <n v="0"/>
    <s v="Unnamed ProjectL3 Station2.ScheduledUtilizationScheduled UtilizationResource"/>
    <n v="10"/>
    <n v="1.0003902798422071"/>
    <n v="5.593555412291058E-5"/>
    <n v="0.95"/>
    <n v="4.0013884931119971E-5"/>
    <n v="1.0003027766980599"/>
    <n v="1.00046792437877"/>
  </r>
  <r>
    <x v="0"/>
    <s v="2025-12-30 22:09:11"/>
    <n v="2"/>
    <x v="46"/>
    <x v="4"/>
    <x v="2"/>
    <n v="157021.92471495501"/>
    <n v="0"/>
    <s v="Unnamed ProjectProcess 1 Accum VA TimeAccum VA TimeProcess"/>
    <n v="10"/>
    <n v="157133.73428655442"/>
    <n v="123.15330812839177"/>
    <n v="0.95"/>
    <n v="88.098569462778244"/>
    <n v="156930.294881654"/>
    <n v="157303.990839153"/>
  </r>
  <r>
    <x v="0"/>
    <s v="2025-12-30 22:09:11"/>
    <n v="2"/>
    <x v="47"/>
    <x v="2"/>
    <x v="2"/>
    <n v="13120"/>
    <n v="0"/>
    <s v="Unnamed ProjectProcess 1 Number InNumber InProcess"/>
    <n v="10"/>
    <n v="13103.5"/>
    <n v="11.443095929181249"/>
    <n v="0.95"/>
    <n v="8.1858976986246059"/>
    <n v="13087"/>
    <n v="13120"/>
  </r>
  <r>
    <x v="0"/>
    <s v="2025-12-30 22:09:11"/>
    <n v="2"/>
    <x v="48"/>
    <x v="3"/>
    <x v="2"/>
    <n v="13120"/>
    <n v="0"/>
    <s v="Unnamed ProjectProcess 1 Number OutNumber OutProcess"/>
    <n v="10"/>
    <n v="13103.5"/>
    <n v="11.443095929181249"/>
    <n v="0.95"/>
    <n v="8.1858976986246059"/>
    <n v="13087"/>
    <n v="13120"/>
  </r>
  <r>
    <x v="0"/>
    <s v="2025-12-30 22:09:11"/>
    <n v="2"/>
    <x v="49"/>
    <x v="4"/>
    <x v="2"/>
    <n v="21812.833433690801"/>
    <n v="0"/>
    <s v="Unnamed ProjectProcess 14 Accum VA TimeAccum VA TimeProcess"/>
    <n v="10"/>
    <n v="21817.897664333104"/>
    <n v="40.377465047897729"/>
    <n v="0.95"/>
    <n v="28.884298467602775"/>
    <n v="21737.561928445"/>
    <n v="21880.2668082411"/>
  </r>
  <r>
    <x v="0"/>
    <s v="2025-12-30 22:09:11"/>
    <n v="2"/>
    <x v="50"/>
    <x v="2"/>
    <x v="2"/>
    <n v="6557"/>
    <n v="0"/>
    <s v="Unnamed ProjectProcess 14 Number InNumber InProcess"/>
    <n v="10"/>
    <n v="6547.7"/>
    <n v="5.735852159879995"/>
    <n v="0.95"/>
    <n v="4.1031814541969078"/>
    <n v="6540"/>
    <n v="6557"/>
  </r>
  <r>
    <x v="0"/>
    <s v="2025-12-30 22:09:11"/>
    <n v="2"/>
    <x v="51"/>
    <x v="3"/>
    <x v="2"/>
    <n v="6556"/>
    <n v="0"/>
    <s v="Unnamed ProjectProcess 14 Number OutNumber OutProcess"/>
    <n v="10"/>
    <n v="6547.3"/>
    <n v="5.7164480035925962"/>
    <n v="0.95"/>
    <n v="4.0893005569921828"/>
    <n v="6539"/>
    <n v="6556"/>
  </r>
  <r>
    <x v="0"/>
    <s v="2025-12-30 22:09:11"/>
    <n v="2"/>
    <x v="52"/>
    <x v="4"/>
    <x v="2"/>
    <n v="78556.614112400304"/>
    <n v="0"/>
    <s v="Unnamed ProjectProcess 2 Accum VA TimeAccum VA TimeProcess"/>
    <n v="10"/>
    <n v="78656.282482549519"/>
    <n v="139.39621135358072"/>
    <n v="0.95"/>
    <n v="99.718042457930338"/>
    <n v="78434.750255210005"/>
    <n v="78879.0340749358"/>
  </r>
  <r>
    <x v="0"/>
    <s v="2025-12-30 22:09:11"/>
    <n v="2"/>
    <x v="53"/>
    <x v="2"/>
    <x v="2"/>
    <n v="13118"/>
    <n v="0"/>
    <s v="Unnamed ProjectProcess 2 Number InNumber InProcess"/>
    <n v="10"/>
    <n v="13100.1"/>
    <n v="11.46443776786866"/>
    <n v="0.95"/>
    <n v="8.2011647303157567"/>
    <n v="13083"/>
    <n v="13118"/>
  </r>
  <r>
    <x v="0"/>
    <s v="2025-12-30 22:09:11"/>
    <n v="2"/>
    <x v="54"/>
    <x v="3"/>
    <x v="2"/>
    <n v="13118"/>
    <n v="0"/>
    <s v="Unnamed ProjectProcess 2 Number OutNumber OutProcess"/>
    <n v="10"/>
    <n v="13100.1"/>
    <n v="11.46443776786866"/>
    <n v="0.95"/>
    <n v="8.2011647303157567"/>
    <n v="13083"/>
    <n v="13118"/>
  </r>
  <r>
    <x v="0"/>
    <s v="2025-12-30 22:09:11"/>
    <n v="2"/>
    <x v="55"/>
    <x v="4"/>
    <x v="2"/>
    <n v="144298.22507098701"/>
    <n v="0"/>
    <s v="Unnamed ProjectProcess 3 Accum VA TimeAccum VA TimeProcess"/>
    <n v="10"/>
    <n v="144088.31566564049"/>
    <n v="147.41980686592098"/>
    <n v="0.95"/>
    <n v="105.45777691839817"/>
    <n v="143896.696561805"/>
    <n v="144298.22507098701"/>
  </r>
  <r>
    <x v="0"/>
    <s v="2025-12-30 22:09:11"/>
    <n v="2"/>
    <x v="56"/>
    <x v="2"/>
    <x v="2"/>
    <n v="13118"/>
    <n v="0"/>
    <s v="Unnamed ProjectProcess 3 Number InNumber InProcess"/>
    <n v="10"/>
    <n v="13099.9"/>
    <n v="11.761046816598522"/>
    <n v="0.95"/>
    <n v="8.4133460616980535"/>
    <n v="13082"/>
    <n v="13118"/>
  </r>
  <r>
    <x v="0"/>
    <s v="2025-12-30 22:09:11"/>
    <n v="2"/>
    <x v="57"/>
    <x v="3"/>
    <x v="2"/>
    <n v="13118"/>
    <n v="0"/>
    <s v="Unnamed ProjectProcess 3 Number OutNumber OutProcess"/>
    <n v="10"/>
    <n v="13099.9"/>
    <n v="11.761046816598522"/>
    <n v="0.95"/>
    <n v="8.4133460616980535"/>
    <n v="13082"/>
    <n v="13118"/>
  </r>
  <r>
    <x v="0"/>
    <s v="2025-12-30 22:09:11"/>
    <n v="2"/>
    <x v="58"/>
    <x v="4"/>
    <x v="2"/>
    <n v="57633.428505687101"/>
    <n v="0"/>
    <s v="Unnamed ProjectProcess 4 Accum VA TimeAccum VA TimeProcess"/>
    <n v="10"/>
    <n v="57657.842851106019"/>
    <n v="66.206976538127805"/>
    <n v="0.95"/>
    <n v="47.361617889987492"/>
    <n v="57569.6670912306"/>
    <n v="57778.887305354197"/>
  </r>
  <r>
    <x v="0"/>
    <s v="2025-12-30 22:09:11"/>
    <n v="2"/>
    <x v="59"/>
    <x v="2"/>
    <x v="2"/>
    <n v="8231"/>
    <n v="0"/>
    <s v="Unnamed ProjectProcess 4 Number InNumber InProcess"/>
    <n v="10"/>
    <n v="8235"/>
    <n v="6.5659052011974035"/>
    <n v="0.95"/>
    <n v="4.6969656296252689"/>
    <n v="8223"/>
    <n v="8245"/>
  </r>
  <r>
    <x v="0"/>
    <s v="2025-12-30 22:09:11"/>
    <n v="2"/>
    <x v="60"/>
    <x v="3"/>
    <x v="2"/>
    <n v="8231"/>
    <n v="0"/>
    <s v="Unnamed ProjectProcess 4 Number OutNumber OutProcess"/>
    <n v="10"/>
    <n v="8235"/>
    <n v="6.5659052011974035"/>
    <n v="0.95"/>
    <n v="4.6969656296252689"/>
    <n v="8223"/>
    <n v="8245"/>
  </r>
  <r>
    <x v="0"/>
    <s v="2025-12-30 22:09:11"/>
    <n v="2"/>
    <x v="61"/>
    <x v="4"/>
    <x v="2"/>
    <n v="82348.573614591995"/>
    <n v="0"/>
    <s v="Unnamed ProjectProcess 5 Accum VA TimeAccum VA TimeProcess"/>
    <n v="10"/>
    <n v="82354.925585571807"/>
    <n v="74.759806822996126"/>
    <n v="0.95"/>
    <n v="53.479944099863097"/>
    <n v="82287.012858407106"/>
    <n v="82509.9089339692"/>
  </r>
  <r>
    <x v="0"/>
    <s v="2025-12-30 22:09:11"/>
    <n v="2"/>
    <x v="62"/>
    <x v="2"/>
    <x v="2"/>
    <n v="8230"/>
    <n v="0"/>
    <s v="Unnamed ProjectProcess 5 Number InNumber InProcess"/>
    <n v="10"/>
    <n v="8233.5"/>
    <n v="6.5021364010437201"/>
    <n v="0.95"/>
    <n v="4.6513481780498687"/>
    <n v="8221"/>
    <n v="8243"/>
  </r>
  <r>
    <x v="0"/>
    <s v="2025-12-30 22:09:11"/>
    <n v="2"/>
    <x v="63"/>
    <x v="3"/>
    <x v="2"/>
    <n v="8230"/>
    <n v="0"/>
    <s v="Unnamed ProjectProcess 5 Number OutNumber OutProcess"/>
    <n v="10"/>
    <n v="8233.5"/>
    <n v="6.5021364010437201"/>
    <n v="0.95"/>
    <n v="4.6513481780498687"/>
    <n v="8221"/>
    <n v="8243"/>
  </r>
  <r>
    <x v="0"/>
    <s v="2025-12-30 22:09:11"/>
    <n v="2"/>
    <x v="64"/>
    <x v="4"/>
    <x v="2"/>
    <n v="205770.10434576299"/>
    <n v="0"/>
    <s v="Unnamed ProjectProcess 6 Accum VA TimeAccum VA TimeProcess"/>
    <n v="10"/>
    <n v="205782.3721339902"/>
    <n v="135.17903819323379"/>
    <n v="0.95"/>
    <n v="96.701258514002035"/>
    <n v="205554.00796082799"/>
    <n v="205962.665291818"/>
  </r>
  <r>
    <x v="0"/>
    <s v="2025-12-30 22:09:11"/>
    <n v="2"/>
    <x v="65"/>
    <x v="2"/>
    <x v="2"/>
    <n v="8228"/>
    <n v="0"/>
    <s v="Unnamed ProjectProcess 6 Number InNumber InProcess"/>
    <n v="10"/>
    <n v="8231.5"/>
    <n v="6.3464775882199236"/>
    <n v="0.95"/>
    <n v="4.5399965713211703"/>
    <n v="8220"/>
    <n v="8241"/>
  </r>
  <r>
    <x v="0"/>
    <s v="2025-12-30 22:09:11"/>
    <n v="2"/>
    <x v="66"/>
    <x v="3"/>
    <x v="2"/>
    <n v="8228"/>
    <n v="0"/>
    <s v="Unnamed ProjectProcess 6 Number OutNumber OutProcess"/>
    <n v="10"/>
    <n v="8231.5"/>
    <n v="6.3464775882199236"/>
    <n v="0.95"/>
    <n v="4.5399965713211703"/>
    <n v="8220"/>
    <n v="8241"/>
  </r>
  <r>
    <x v="0"/>
    <s v="2025-12-30 22:09:11"/>
    <n v="2"/>
    <x v="67"/>
    <x v="4"/>
    <x v="2"/>
    <n v="98645.095307308598"/>
    <n v="0"/>
    <s v="Unnamed ProjectProcess 7 Accum VA TimeAccum VA TimeProcess"/>
    <n v="10"/>
    <n v="98625.180720296266"/>
    <n v="166.97558012409817"/>
    <n v="0.95"/>
    <n v="119.44713437023168"/>
    <n v="98434.330991768598"/>
    <n v="98993.883345143302"/>
  </r>
  <r>
    <x v="0"/>
    <s v="2025-12-30 22:09:11"/>
    <n v="2"/>
    <x v="68"/>
    <x v="2"/>
    <x v="2"/>
    <n v="8224"/>
    <n v="0"/>
    <s v="Unnamed ProjectProcess 7 Number InNumber InProcess"/>
    <n v="10"/>
    <n v="8227.7000000000007"/>
    <n v="6.2902040242480748"/>
    <n v="0.95"/>
    <n v="4.4997408887103267"/>
    <n v="8216"/>
    <n v="8237"/>
  </r>
  <r>
    <x v="0"/>
    <s v="2025-12-30 22:09:11"/>
    <n v="2"/>
    <x v="69"/>
    <x v="3"/>
    <x v="2"/>
    <n v="8224"/>
    <n v="0"/>
    <s v="Unnamed ProjectProcess 7 Number OutNumber OutProcess"/>
    <n v="10"/>
    <n v="8227.7000000000007"/>
    <n v="6.2902040242480748"/>
    <n v="0.95"/>
    <n v="4.4997408887103267"/>
    <n v="8216"/>
    <n v="8237"/>
  </r>
  <r>
    <x v="0"/>
    <s v="2025-12-30 22:09:11"/>
    <n v="2"/>
    <x v="70"/>
    <x v="4"/>
    <x v="2"/>
    <n v="92080.020955572807"/>
    <n v="0"/>
    <s v="Unnamed ProjectProcess 8 Accum VA TimeAccum VA TimeProcess"/>
    <n v="10"/>
    <n v="91917.034029149756"/>
    <n v="167.33037075092571"/>
    <n v="0.95"/>
    <n v="119.70093629530641"/>
    <n v="91632.276670136605"/>
    <n v="92162.594279262106"/>
  </r>
  <r>
    <x v="0"/>
    <s v="2025-12-30 22:09:11"/>
    <n v="2"/>
    <x v="71"/>
    <x v="2"/>
    <x v="2"/>
    <n v="18391"/>
    <n v="0"/>
    <s v="Unnamed ProjectProcess 8 Number InNumber InProcess"/>
    <n v="10"/>
    <n v="18392"/>
    <n v="12.884098726725126"/>
    <n v="0.95"/>
    <n v="9.2167290013706662"/>
    <n v="18376"/>
    <n v="18407"/>
  </r>
  <r>
    <x v="0"/>
    <s v="2025-12-30 22:09:11"/>
    <n v="2"/>
    <x v="72"/>
    <x v="3"/>
    <x v="2"/>
    <n v="18391"/>
    <n v="0"/>
    <s v="Unnamed ProjectProcess 8 Number OutNumber OutProcess"/>
    <n v="10"/>
    <n v="18392"/>
    <n v="12.884098726725126"/>
    <n v="0.95"/>
    <n v="9.2167290013706662"/>
    <n v="18376"/>
    <n v="18407"/>
  </r>
  <r>
    <x v="0"/>
    <s v="2025-12-30 22:09:11"/>
    <n v="2"/>
    <x v="73"/>
    <x v="4"/>
    <x v="2"/>
    <n v="104106.157127143"/>
    <n v="0"/>
    <s v="Unnamed ProjectProcess 9 Accum VA TimeAccum VA TimeProcess"/>
    <n v="10"/>
    <n v="104198.44406523299"/>
    <n v="99.045608472383734"/>
    <n v="0.95"/>
    <n v="70.852960026786278"/>
    <n v="104039.320720244"/>
    <n v="104335.096217932"/>
  </r>
  <r>
    <x v="0"/>
    <s v="2025-12-30 22:09:11"/>
    <n v="2"/>
    <x v="74"/>
    <x v="2"/>
    <x v="2"/>
    <n v="18387"/>
    <n v="0"/>
    <s v="Unnamed ProjectProcess 9 Number InNumber InProcess"/>
    <n v="10"/>
    <n v="18389.400000000001"/>
    <n v="12.103259432437566"/>
    <n v="0.95"/>
    <n v="8.6581502197487996"/>
    <n v="18376"/>
    <n v="18404"/>
  </r>
  <r>
    <x v="0"/>
    <s v="2025-12-30 22:09:11"/>
    <n v="2"/>
    <x v="75"/>
    <x v="3"/>
    <x v="2"/>
    <n v="18387"/>
    <n v="0"/>
    <s v="Unnamed ProjectProcess 9 Number OutNumber OutProcess"/>
    <n v="10"/>
    <n v="18389.400000000001"/>
    <n v="12.103259432437566"/>
    <n v="0.95"/>
    <n v="8.6581502197487996"/>
    <n v="18376"/>
    <n v="18404"/>
  </r>
  <r>
    <x v="0"/>
    <s v="2025-12-30 22:09:11"/>
    <n v="2"/>
    <x v="76"/>
    <x v="0"/>
    <x v="0"/>
    <n v="0"/>
    <n v="0"/>
    <s v="Unnamed ProjectSales Department.NumberSeizedTotal Number SeizedResource"/>
    <n v="10"/>
    <n v="0"/>
    <n v="0"/>
    <n v="0.95"/>
    <n v="0"/>
    <n v="0"/>
    <n v="0"/>
  </r>
  <r>
    <x v="0"/>
    <s v="2025-12-30 22:09:11"/>
    <n v="2"/>
    <x v="77"/>
    <x v="1"/>
    <x v="0"/>
    <n v="0"/>
    <n v="0"/>
    <s v="Unnamed ProjectSales Department.ScheduledUtilizationScheduled UtilizationResource"/>
    <n v="10"/>
    <n v="0"/>
    <n v="0"/>
    <n v="0.95"/>
    <n v="0"/>
    <n v="0"/>
    <n v="0"/>
  </r>
  <r>
    <x v="0"/>
    <s v="2025-12-30 22:09:11"/>
    <n v="2"/>
    <x v="78"/>
    <x v="0"/>
    <x v="0"/>
    <n v="95"/>
    <n v="0"/>
    <s v="Unnamed ProjectSales Rep.NumberSeizedTotal Number SeizedResource"/>
    <n v="10"/>
    <n v="118.7"/>
    <n v="12.587913073879887"/>
    <n v="0.95"/>
    <n v="9.0048505491583946"/>
    <n v="95"/>
    <n v="141"/>
  </r>
  <r>
    <x v="0"/>
    <s v="2025-12-30 22:09:11"/>
    <n v="2"/>
    <x v="79"/>
    <x v="1"/>
    <x v="0"/>
    <n v="0.26933581669894202"/>
    <n v="0"/>
    <s v="Unnamed ProjectSales Rep.ScheduledUtilizationScheduled UtilizationResource"/>
    <n v="10"/>
    <n v="0.3273551167875815"/>
    <n v="3.5172818533154994E-2"/>
    <n v="0.95"/>
    <n v="2.5161118640145405E-2"/>
    <n v="0.26933581669894202"/>
    <n v="0.39321867243708603"/>
  </r>
  <r>
    <x v="0"/>
    <s v="2025-12-30 22:09:11"/>
    <n v="2"/>
    <x v="80"/>
    <x v="3"/>
    <x v="3"/>
    <n v="2498"/>
    <n v="0"/>
    <s v="Unnamed ProjectSystem.NumberOutNumber OutSystem"/>
    <n v="10"/>
    <n v="2503.1"/>
    <n v="29.72260643573059"/>
    <n v="0.95"/>
    <n v="21.262271777248003"/>
    <n v="2457"/>
    <n v="2546"/>
  </r>
  <r>
    <x v="0"/>
    <s v="2025-12-30 22:09:11"/>
    <n v="2"/>
    <x v="81"/>
    <x v="2"/>
    <x v="1"/>
    <n v="7845"/>
    <n v="0"/>
    <s v="Unnamed ProjectWire Harness.NumberInNumber InEntity"/>
    <n v="10"/>
    <n v="7832.8"/>
    <n v="7.8287220469811594"/>
    <n v="0.95"/>
    <n v="5.6003303812327712"/>
    <n v="7818"/>
    <n v="7845"/>
  </r>
  <r>
    <x v="0"/>
    <s v="2025-12-30 22:09:11"/>
    <n v="2"/>
    <x v="82"/>
    <x v="3"/>
    <x v="1"/>
    <n v="7840"/>
    <n v="0"/>
    <s v="Unnamed ProjectWire Harness.NumberOutNumber OutEntity"/>
    <n v="10"/>
    <n v="7828.3"/>
    <n v="7.1032074132433696"/>
    <n v="0.95"/>
    <n v="5.0813284776056653"/>
    <n v="7815"/>
    <n v="7840"/>
  </r>
  <r>
    <x v="0"/>
    <s v="2025-12-30 22:09:11"/>
    <n v="2"/>
    <x v="83"/>
    <x v="4"/>
    <x v="2"/>
    <n v="43632.402305228599"/>
    <n v="0"/>
    <s v="Unnamed Projectsales Accum VA TimeAccum VA TimeProcess"/>
    <n v="10"/>
    <n v="53031.528919588192"/>
    <n v="5697.9966023710867"/>
    <n v="0.95"/>
    <n v="4076.1012197035402"/>
    <n v="43632.402305228599"/>
    <n v="63701.424934807801"/>
  </r>
  <r>
    <x v="0"/>
    <s v="2025-12-30 22:09:11"/>
    <n v="2"/>
    <x v="84"/>
    <x v="2"/>
    <x v="2"/>
    <n v="95"/>
    <n v="0"/>
    <s v="Unnamed Projectsales Number InNumber InProcess"/>
    <n v="10"/>
    <n v="118.7"/>
    <n v="12.587913073879887"/>
    <n v="0.95"/>
    <n v="9.0048505491583946"/>
    <n v="95"/>
    <n v="141"/>
  </r>
  <r>
    <x v="0"/>
    <s v="2025-12-30 22:09:11"/>
    <n v="2"/>
    <x v="85"/>
    <x v="3"/>
    <x v="2"/>
    <n v="95"/>
    <n v="0"/>
    <s v="Unnamed Projectsales Number OutNumber OutProcess"/>
    <n v="10"/>
    <n v="118.7"/>
    <n v="12.587913073879887"/>
    <n v="0.95"/>
    <n v="9.0048505491583946"/>
    <n v="95"/>
    <n v="141"/>
  </r>
  <r>
    <x v="0"/>
    <s v="2025-12-30 22:09:11"/>
    <n v="3"/>
    <x v="0"/>
    <x v="0"/>
    <x v="0"/>
    <n v="6546"/>
    <n v="0"/>
    <s v="Unnamed ProjectAssembler.NumberSeizedTotal Number SeizedResource"/>
    <n v="10"/>
    <n v="6547.7"/>
    <n v="5.735852159879995"/>
    <n v="0.95"/>
    <n v="4.1031814541969078"/>
    <n v="6540"/>
    <n v="6557"/>
  </r>
  <r>
    <x v="0"/>
    <s v="2025-12-30 22:09:11"/>
    <n v="3"/>
    <x v="1"/>
    <x v="1"/>
    <x v="0"/>
    <n v="7.5733107598318403E-2"/>
    <n v="0"/>
    <s v="Unnamed ProjectAssembler.ScheduledUtilizationScheduled UtilizationResource"/>
    <n v="10"/>
    <n v="7.575658911226775E-2"/>
    <n v="1.4019953141627205E-4"/>
    <n v="0.95"/>
    <n v="1.0029270301248135E-4"/>
    <n v="7.5477645584878503E-2"/>
    <n v="7.5973148639726207E-2"/>
  </r>
  <r>
    <x v="0"/>
    <s v="2025-12-30 22:09:11"/>
    <n v="3"/>
    <x v="2"/>
    <x v="2"/>
    <x v="1"/>
    <n v="1087"/>
    <n v="0"/>
    <s v="Unnamed ProjectCustomer.NumberInNumber InEntity"/>
    <n v="10"/>
    <n v="1090.3"/>
    <n v="32.666836734251177"/>
    <n v="0.95"/>
    <n v="23.368447254062772"/>
    <n v="1042"/>
    <n v="1141"/>
  </r>
  <r>
    <x v="0"/>
    <s v="2025-12-30 22:09:11"/>
    <n v="3"/>
    <x v="3"/>
    <x v="3"/>
    <x v="1"/>
    <n v="1087"/>
    <n v="0"/>
    <s v="Unnamed ProjectCustomer.NumberOutNumber OutEntity"/>
    <n v="10"/>
    <n v="1090.3"/>
    <n v="32.666836734251177"/>
    <n v="0.95"/>
    <n v="23.368447254062772"/>
    <n v="1042"/>
    <n v="1141"/>
  </r>
  <r>
    <x v="0"/>
    <s v="2025-12-30 22:09:11"/>
    <n v="3"/>
    <x v="4"/>
    <x v="2"/>
    <x v="1"/>
    <n v="19808"/>
    <n v="0"/>
    <s v="Unnamed ProjectEntity 1.NumberInNumber InEntity"/>
    <n v="10"/>
    <n v="19822.900000000001"/>
    <n v="20.151922985164472"/>
    <n v="0.95"/>
    <n v="14.415817276026377"/>
    <n v="19788"/>
    <n v="19852"/>
  </r>
  <r>
    <x v="0"/>
    <s v="2025-12-30 22:09:11"/>
    <n v="3"/>
    <x v="5"/>
    <x v="3"/>
    <x v="1"/>
    <n v="19635"/>
    <n v="0"/>
    <s v="Unnamed ProjectEntity 1.NumberOutNumber OutEntity"/>
    <n v="10"/>
    <n v="19635.599999999999"/>
    <n v="15.086417732516889"/>
    <n v="0.95"/>
    <n v="10.792173111314252"/>
    <n v="19614"/>
    <n v="19662"/>
  </r>
  <r>
    <x v="0"/>
    <s v="2025-12-30 22:09:11"/>
    <n v="3"/>
    <x v="6"/>
    <x v="2"/>
    <x v="1"/>
    <n v="8437"/>
    <n v="0"/>
    <s v="Unnamed ProjectEntity 2.NumberInNumber InEntity"/>
    <n v="10"/>
    <n v="8398"/>
    <n v="24.133885813197271"/>
    <n v="0.95"/>
    <n v="17.264341884378119"/>
    <n v="8353"/>
    <n v="8437"/>
  </r>
  <r>
    <x v="0"/>
    <s v="2025-12-30 22:09:11"/>
    <n v="3"/>
    <x v="7"/>
    <x v="3"/>
    <x v="1"/>
    <n v="6545"/>
    <n v="0"/>
    <s v="Unnamed ProjectEntity 2.NumberOutNumber OutEntity"/>
    <n v="10"/>
    <n v="6545.2"/>
    <n v="5.0288059108389627"/>
    <n v="0.95"/>
    <n v="3.5973910371047504"/>
    <n v="6538"/>
    <n v="6554"/>
  </r>
  <r>
    <x v="0"/>
    <s v="2025-12-30 22:09:11"/>
    <n v="3"/>
    <x v="8"/>
    <x v="2"/>
    <x v="1"/>
    <n v="27792"/>
    <n v="0"/>
    <s v="Unnamed ProjectEntity 3.NumberInNumber InEntity"/>
    <n v="10"/>
    <n v="27753.7"/>
    <n v="25.447331228768697"/>
    <n v="0.95"/>
    <n v="18.203924133022646"/>
    <n v="27724"/>
    <n v="27792"/>
  </r>
  <r>
    <x v="0"/>
    <s v="2025-12-30 22:09:11"/>
    <n v="3"/>
    <x v="9"/>
    <x v="3"/>
    <x v="1"/>
    <n v="19635"/>
    <n v="0"/>
    <s v="Unnamed ProjectEntity 3.NumberOutNumber OutEntity"/>
    <n v="10"/>
    <n v="19635.599999999999"/>
    <n v="15.086417732516889"/>
    <n v="0.95"/>
    <n v="10.792173111314252"/>
    <n v="19614"/>
    <n v="19662"/>
  </r>
  <r>
    <x v="0"/>
    <s v="2025-12-30 22:09:11"/>
    <n v="3"/>
    <x v="10"/>
    <x v="0"/>
    <x v="0"/>
    <n v="13101"/>
    <n v="0"/>
    <s v="Unnamed ProjectKanban L1S1.NumberSeizedTotal Number SeizedResource"/>
    <n v="10"/>
    <n v="13103.5"/>
    <n v="11.443095929181249"/>
    <n v="0.95"/>
    <n v="8.1858976986246059"/>
    <n v="13087"/>
    <n v="13120"/>
  </r>
  <r>
    <x v="0"/>
    <s v="2025-12-30 22:09:11"/>
    <n v="3"/>
    <x v="11"/>
    <x v="1"/>
    <x v="0"/>
    <n v="0.50190078290792095"/>
    <n v="0"/>
    <s v="Unnamed ProjectKanban L1S1.ScheduledUtilizationScheduled UtilizationResource"/>
    <n v="10"/>
    <n v="0.48160620907873086"/>
    <n v="8.6686321722355061E-2"/>
    <n v="0.95"/>
    <n v="6.2011658897281531E-2"/>
    <n v="0.292184201252493"/>
    <n v="0.57167989674475905"/>
  </r>
  <r>
    <x v="0"/>
    <s v="2025-12-30 22:09:11"/>
    <n v="3"/>
    <x v="12"/>
    <x v="0"/>
    <x v="0"/>
    <n v="13097"/>
    <n v="0"/>
    <s v="Unnamed ProjectKanban L1S2.NumberSeizedTotal Number SeizedResource"/>
    <n v="10"/>
    <n v="13100.1"/>
    <n v="11.46443776786866"/>
    <n v="0.95"/>
    <n v="8.2011647303157567"/>
    <n v="13083"/>
    <n v="13118"/>
  </r>
  <r>
    <x v="0"/>
    <s v="2025-12-30 22:09:11"/>
    <n v="3"/>
    <x v="13"/>
    <x v="1"/>
    <x v="0"/>
    <n v="0.236690589187661"/>
    <n v="0"/>
    <s v="Unnamed ProjectKanban L1S2.ScheduledUtilizationScheduled UtilizationResource"/>
    <n v="10"/>
    <n v="0.25269289312392168"/>
    <n v="4.921401008308305E-2"/>
    <n v="0.95"/>
    <n v="3.5205581983443382E-2"/>
    <n v="0.20500025225945601"/>
    <n v="0.33570777662711399"/>
  </r>
  <r>
    <x v="0"/>
    <s v="2025-12-30 22:09:11"/>
    <n v="3"/>
    <x v="14"/>
    <x v="0"/>
    <x v="0"/>
    <n v="13097"/>
    <n v="0"/>
    <s v="Unnamed ProjectKanban L1S3.NumberSeizedTotal Number SeizedResource"/>
    <n v="10"/>
    <n v="13099.9"/>
    <n v="11.761046816598522"/>
    <n v="0.95"/>
    <n v="8.4133460616980535"/>
    <n v="13082"/>
    <n v="13118"/>
  </r>
  <r>
    <x v="0"/>
    <s v="2025-12-30 22:09:11"/>
    <n v="3"/>
    <x v="15"/>
    <x v="1"/>
    <x v="0"/>
    <n v="0.15163652090184199"/>
    <n v="0"/>
    <s v="Unnamed ProjectKanban L1S3.ScheduledUtilizationScheduled UtilizationResource"/>
    <n v="10"/>
    <n v="0.151561654865698"/>
    <n v="1.2198256688170919E-4"/>
    <n v="0.95"/>
    <n v="8.7261071626859165E-5"/>
    <n v="0.15134711042770399"/>
    <n v="0.15172806047441101"/>
  </r>
  <r>
    <x v="0"/>
    <s v="2025-12-30 22:09:11"/>
    <n v="3"/>
    <x v="16"/>
    <x v="0"/>
    <x v="0"/>
    <n v="8245"/>
    <n v="0"/>
    <s v="Unnamed ProjectKanban L2S1.NumberSeizedTotal Number SeizedResource"/>
    <n v="10"/>
    <n v="8235"/>
    <n v="6.5659052011974035"/>
    <n v="0.95"/>
    <n v="4.6969656296252689"/>
    <n v="8223"/>
    <n v="8245"/>
  </r>
  <r>
    <x v="0"/>
    <s v="2025-12-30 22:09:11"/>
    <n v="3"/>
    <x v="17"/>
    <x v="1"/>
    <x v="0"/>
    <n v="0.95234157475900505"/>
    <n v="0"/>
    <s v="Unnamed ProjectKanban L2S1.ScheduledUtilizationScheduled UtilizationResource"/>
    <n v="10"/>
    <n v="0.84558522180863771"/>
    <n v="0.11694354024491282"/>
    <n v="0.95"/>
    <n v="8.3656369122856733E-2"/>
    <n v="0.625269422960122"/>
    <n v="0.95234896906597499"/>
  </r>
  <r>
    <x v="0"/>
    <s v="2025-12-30 22:09:11"/>
    <n v="3"/>
    <x v="18"/>
    <x v="0"/>
    <x v="0"/>
    <n v="8243"/>
    <n v="0"/>
    <s v="Unnamed ProjectKanban L2S2.NumberSeizedTotal Number SeizedResource"/>
    <n v="10"/>
    <n v="8233.5"/>
    <n v="6.5021364010437201"/>
    <n v="0.95"/>
    <n v="4.6513481780498687"/>
    <n v="8221"/>
    <n v="8243"/>
  </r>
  <r>
    <x v="0"/>
    <s v="2025-12-30 22:09:11"/>
    <n v="3"/>
    <x v="19"/>
    <x v="1"/>
    <x v="0"/>
    <n v="0.72639816905699495"/>
    <n v="0"/>
    <s v="Unnamed ProjectKanban L2S2.ScheduledUtilizationScheduled UtilizationResource"/>
    <n v="10"/>
    <n v="0.74077431571180286"/>
    <n v="6.1280007141721847E-2"/>
    <n v="0.95"/>
    <n v="4.3837076306762375E-2"/>
    <n v="0.67060354368791897"/>
    <n v="0.87728997349342697"/>
  </r>
  <r>
    <x v="0"/>
    <s v="2025-12-30 22:09:11"/>
    <n v="3"/>
    <x v="20"/>
    <x v="0"/>
    <x v="0"/>
    <n v="8241"/>
    <n v="0"/>
    <s v="Unnamed ProjectKanban L2S3.NumberSeizedTotal Number SeizedResource"/>
    <n v="10"/>
    <n v="8231.5"/>
    <n v="6.3464775882199236"/>
    <n v="0.95"/>
    <n v="4.5399965713211703"/>
    <n v="8220"/>
    <n v="8241"/>
  </r>
  <r>
    <x v="0"/>
    <s v="2025-12-30 22:09:11"/>
    <n v="3"/>
    <x v="21"/>
    <x v="1"/>
    <x v="0"/>
    <n v="0.55422379995112203"/>
    <n v="0"/>
    <s v="Unnamed ProjectKanban L2S3.ScheduledUtilizationScheduled UtilizationResource"/>
    <n v="10"/>
    <n v="0.52391445815006699"/>
    <n v="7.0460308415606909E-2"/>
    <n v="0.95"/>
    <n v="5.0404268221927347E-2"/>
    <n v="0.36555656561218303"/>
    <n v="0.59886206518967"/>
  </r>
  <r>
    <x v="0"/>
    <s v="2025-12-30 22:09:11"/>
    <n v="3"/>
    <x v="22"/>
    <x v="0"/>
    <x v="0"/>
    <n v="8237"/>
    <n v="0"/>
    <s v="Unnamed ProjectKanban L2S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3"/>
    <x v="23"/>
    <x v="1"/>
    <x v="0"/>
    <n v="0.14953450424571699"/>
    <n v="0"/>
    <s v="Unnamed ProjectKanban L2S4.ScheduledUtilizationScheduled UtilizationResource"/>
    <n v="10"/>
    <n v="0.14955853655775292"/>
    <n v="1.8487754554887928E-4"/>
    <n v="0.95"/>
    <n v="1.3225342896729691E-4"/>
    <n v="0.14921189842985499"/>
    <n v="0.14985050053976801"/>
  </r>
  <r>
    <x v="0"/>
    <s v="2025-12-30 22:09:11"/>
    <n v="3"/>
    <x v="24"/>
    <x v="0"/>
    <x v="0"/>
    <n v="18407"/>
    <n v="0"/>
    <s v="Unnamed ProjectKanban L3S1.NumberSeizedTotal Number SeizedResource"/>
    <n v="10"/>
    <n v="18392"/>
    <n v="12.884098726725126"/>
    <n v="0.95"/>
    <n v="9.2167290013706662"/>
    <n v="18376"/>
    <n v="18407"/>
  </r>
  <r>
    <x v="0"/>
    <s v="2025-12-30 22:09:11"/>
    <n v="3"/>
    <x v="25"/>
    <x v="1"/>
    <x v="0"/>
    <n v="0.78659226136369298"/>
    <n v="0"/>
    <s v="Unnamed ProjectKanban L3S1.ScheduledUtilizationScheduled UtilizationResource"/>
    <n v="10"/>
    <n v="0.78490250681152463"/>
    <n v="0.11345978752761485"/>
    <n v="0.95"/>
    <n v="8.1164242557843561E-2"/>
    <n v="0.58338388917401596"/>
    <n v="0.90111632059041802"/>
  </r>
  <r>
    <x v="0"/>
    <s v="2025-12-30 22:09:11"/>
    <n v="3"/>
    <x v="26"/>
    <x v="0"/>
    <x v="0"/>
    <n v="18404"/>
    <n v="0"/>
    <s v="Unnamed ProjectKanban L3S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3"/>
    <x v="27"/>
    <x v="1"/>
    <x v="0"/>
    <n v="0.15878598034017699"/>
    <n v="0"/>
    <s v="Unnamed ProjectKanban L3S2.ScheduledUtilizationScheduled UtilizationResource"/>
    <n v="10"/>
    <n v="0.15879210791146151"/>
    <n v="8.8786593843692651E-6"/>
    <n v="0.95"/>
    <n v="6.3514103063698042E-6"/>
    <n v="0.15877821852350199"/>
    <n v="0.15880443244107401"/>
  </r>
  <r>
    <x v="0"/>
    <s v="2025-12-30 22:09:11"/>
    <n v="3"/>
    <x v="28"/>
    <x v="0"/>
    <x v="0"/>
    <n v="13101"/>
    <n v="0"/>
    <s v="Unnamed ProjectL1 Station1.NumberSeizedTotal Number SeizedResource"/>
    <n v="10"/>
    <n v="13103.5"/>
    <n v="11.443095929181249"/>
    <n v="0.95"/>
    <n v="8.1858976986246059"/>
    <n v="13087"/>
    <n v="13120"/>
  </r>
  <r>
    <x v="0"/>
    <s v="2025-12-30 22:09:11"/>
    <n v="3"/>
    <x v="29"/>
    <x v="1"/>
    <x v="0"/>
    <n v="1.0004505980906599"/>
    <n v="0"/>
    <s v="Unnamed ProjectL1 Station1.ScheduledUtilizationScheduled UtilizationResource"/>
    <n v="10"/>
    <n v="1.0004814685732331"/>
    <n v="7.4280555176725285E-5"/>
    <n v="0.95"/>
    <n v="5.3137108125005439E-5"/>
    <n v="1.00039897320567"/>
    <n v="1.00059414734778"/>
  </r>
  <r>
    <x v="0"/>
    <s v="2025-12-30 22:09:11"/>
    <n v="3"/>
    <x v="30"/>
    <x v="0"/>
    <x v="0"/>
    <n v="13097"/>
    <n v="0"/>
    <s v="Unnamed ProjectL1 Station2.NumberSeizedTotal Number SeizedResource"/>
    <n v="10"/>
    <n v="13100.1"/>
    <n v="11.46443776786866"/>
    <n v="0.95"/>
    <n v="8.2011647303157567"/>
    <n v="13083"/>
    <n v="13118"/>
  </r>
  <r>
    <x v="0"/>
    <s v="2025-12-30 22:09:11"/>
    <n v="3"/>
    <x v="31"/>
    <x v="1"/>
    <x v="0"/>
    <n v="0.72818484649612103"/>
    <n v="0"/>
    <s v="Unnamed ProjectL1 Station2.ScheduledUtilizationScheduled UtilizationResource"/>
    <n v="10"/>
    <n v="0.7279059511079462"/>
    <n v="7.0848304180243249E-4"/>
    <n v="0.95"/>
    <n v="5.0681823671647316E-4"/>
    <n v="0.72665767143328297"/>
    <n v="0.72896261310967603"/>
  </r>
  <r>
    <x v="0"/>
    <s v="2025-12-30 22:09:11"/>
    <n v="3"/>
    <x v="32"/>
    <x v="0"/>
    <x v="0"/>
    <n v="13097"/>
    <n v="0"/>
    <s v="Unnamed ProjectL1 Station3.NumberSeizedTotal Number SeizedResource"/>
    <n v="10"/>
    <n v="13099.9"/>
    <n v="11.761046816598522"/>
    <n v="0.95"/>
    <n v="8.4133460616980535"/>
    <n v="13082"/>
    <n v="13118"/>
  </r>
  <r>
    <x v="0"/>
    <s v="2025-12-30 22:09:11"/>
    <n v="3"/>
    <x v="33"/>
    <x v="1"/>
    <x v="0"/>
    <n v="0.95531008168160303"/>
    <n v="0"/>
    <s v="Unnamed ProjectL1 Station3.ScheduledUtilizationScheduled UtilizationResource"/>
    <n v="10"/>
    <n v="0.95483842565389732"/>
    <n v="7.6849017135544289E-4"/>
    <n v="0.95"/>
    <n v="5.497447512496955E-4"/>
    <n v="0.95348679569453398"/>
    <n v="0.95588678098879198"/>
  </r>
  <r>
    <x v="0"/>
    <s v="2025-12-30 22:09:11"/>
    <n v="3"/>
    <x v="34"/>
    <x v="0"/>
    <x v="0"/>
    <n v="8245"/>
    <n v="0"/>
    <s v="Unnamed ProjectL2 Station1.NumberSeizedTotal Number SeizedResource"/>
    <n v="10"/>
    <n v="8235"/>
    <n v="6.5659052011974035"/>
    <n v="0.95"/>
    <n v="4.6969656296252689"/>
    <n v="8223"/>
    <n v="8245"/>
  </r>
  <r>
    <x v="0"/>
    <s v="2025-12-30 22:09:11"/>
    <n v="3"/>
    <x v="35"/>
    <x v="1"/>
    <x v="0"/>
    <n v="0.486993751894433"/>
    <n v="0"/>
    <s v="Unnamed ProjectL2 Station1.ScheduledUtilizationScheduled UtilizationResource"/>
    <n v="10"/>
    <n v="0.48622459141633045"/>
    <n v="7.2585329819825151E-4"/>
    <n v="0.95"/>
    <n v="5.1924416958770345E-4"/>
    <n v="0.48503601840289501"/>
    <n v="0.48724920721519499"/>
  </r>
  <r>
    <x v="0"/>
    <s v="2025-12-30 22:09:11"/>
    <n v="3"/>
    <x v="36"/>
    <x v="0"/>
    <x v="0"/>
    <n v="8243"/>
    <n v="0"/>
    <s v="Unnamed ProjectL2 Station2.NumberSeizedTotal Number SeizedResource"/>
    <n v="10"/>
    <n v="8233.5"/>
    <n v="6.5021364010437201"/>
    <n v="0.95"/>
    <n v="4.6513481780498687"/>
    <n v="8221"/>
    <n v="8243"/>
  </r>
  <r>
    <x v="0"/>
    <s v="2025-12-30 22:09:11"/>
    <n v="3"/>
    <x v="37"/>
    <x v="1"/>
    <x v="0"/>
    <n v="0.57294957522841605"/>
    <n v="0"/>
    <s v="Unnamed ProjectL2 Station2.ScheduledUtilizationScheduled UtilizationResource"/>
    <n v="10"/>
    <n v="0.57195959594019841"/>
    <n v="5.0695895005827636E-4"/>
    <n v="0.95"/>
    <n v="3.6265658596782525E-4"/>
    <n v="0.57115702440598504"/>
    <n v="0.57294957522841605"/>
  </r>
  <r>
    <x v="0"/>
    <s v="2025-12-30 22:09:11"/>
    <n v="3"/>
    <x v="38"/>
    <x v="0"/>
    <x v="0"/>
    <n v="8241"/>
    <n v="0"/>
    <s v="Unnamed ProjectL2 Station3.NumberSeizedTotal Number SeizedResource"/>
    <n v="10"/>
    <n v="8231.5"/>
    <n v="6.3464775882199236"/>
    <n v="0.95"/>
    <n v="4.5399965713211703"/>
    <n v="8220"/>
    <n v="8241"/>
  </r>
  <r>
    <x v="0"/>
    <s v="2025-12-30 22:09:11"/>
    <n v="3"/>
    <x v="39"/>
    <x v="1"/>
    <x v="0"/>
    <n v="1.0005168246418199"/>
    <n v="0"/>
    <s v="Unnamed ProjectL2 Station3.ScheduledUtilizationScheduled UtilizationResource"/>
    <n v="10"/>
    <n v="1.0004557942559711"/>
    <n v="1.6760007580081014E-4"/>
    <n v="0.95"/>
    <n v="1.1989387166531641E-4"/>
    <n v="1.0000655989645"/>
    <n v="1.00068312738094"/>
  </r>
  <r>
    <x v="0"/>
    <s v="2025-12-30 22:09:11"/>
    <n v="3"/>
    <x v="40"/>
    <x v="0"/>
    <x v="0"/>
    <n v="8237"/>
    <n v="0"/>
    <s v="Unnamed ProjectL2 Station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3"/>
    <x v="41"/>
    <x v="1"/>
    <x v="0"/>
    <n v="0.628044917832012"/>
    <n v="0"/>
    <s v="Unnamed ProjectL2 Station4.ScheduledUtilizationScheduled UtilizationResource"/>
    <n v="10"/>
    <n v="0.62814585354256225"/>
    <n v="7.7648569130547428E-4"/>
    <n v="0.95"/>
    <n v="5.5546440166277669E-4"/>
    <n v="0.62668997340539101"/>
    <n v="0.629372102267024"/>
  </r>
  <r>
    <x v="0"/>
    <s v="2025-12-30 22:09:11"/>
    <n v="3"/>
    <x v="42"/>
    <x v="0"/>
    <x v="0"/>
    <n v="18407"/>
    <n v="0"/>
    <s v="Unnamed ProjectL3 Station1.NumberSeizedTotal Number SeizedResource"/>
    <n v="10"/>
    <n v="18392"/>
    <n v="12.884098726725126"/>
    <n v="0.95"/>
    <n v="9.2167290013706662"/>
    <n v="18376"/>
    <n v="18407"/>
  </r>
  <r>
    <x v="0"/>
    <s v="2025-12-30 22:09:11"/>
    <n v="3"/>
    <x v="43"/>
    <x v="1"/>
    <x v="0"/>
    <n v="0.95797551144508297"/>
    <n v="0"/>
    <s v="Unnamed ProjectL3 Station1.ScheduledUtilizationScheduled UtilizationResource"/>
    <n v="10"/>
    <n v="0.9578548406389944"/>
    <n v="7.0772834598480485E-4"/>
    <n v="0.95"/>
    <n v="5.0627835985142609E-4"/>
    <n v="0.95655010461043799"/>
    <n v="0.95869742508961697"/>
  </r>
  <r>
    <x v="0"/>
    <s v="2025-12-30 22:09:11"/>
    <n v="3"/>
    <x v="44"/>
    <x v="0"/>
    <x v="0"/>
    <n v="18404"/>
    <n v="0"/>
    <s v="Unnamed ProjectL3 Station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3"/>
    <x v="45"/>
    <x v="1"/>
    <x v="0"/>
    <n v="1.0003516761431099"/>
    <n v="0"/>
    <s v="Unnamed ProjectL3 Station2.ScheduledUtilizationScheduled UtilizationResource"/>
    <n v="10"/>
    <n v="1.0003902798422071"/>
    <n v="5.593555412291058E-5"/>
    <n v="0.95"/>
    <n v="4.0013884931119971E-5"/>
    <n v="1.0003027766980599"/>
    <n v="1.00046792437877"/>
  </r>
  <r>
    <x v="0"/>
    <s v="2025-12-30 22:09:11"/>
    <n v="3"/>
    <x v="46"/>
    <x v="4"/>
    <x v="2"/>
    <n v="157226.47336311999"/>
    <n v="0"/>
    <s v="Unnamed ProjectProcess 1 Accum VA TimeAccum VA TimeProcess"/>
    <n v="10"/>
    <n v="157133.73428655442"/>
    <n v="123.15330812839177"/>
    <n v="0.95"/>
    <n v="88.098569462778244"/>
    <n v="156930.294881654"/>
    <n v="157303.990839153"/>
  </r>
  <r>
    <x v="0"/>
    <s v="2025-12-30 22:09:11"/>
    <n v="3"/>
    <x v="47"/>
    <x v="2"/>
    <x v="2"/>
    <n v="13101"/>
    <n v="0"/>
    <s v="Unnamed ProjectProcess 1 Number InNumber InProcess"/>
    <n v="10"/>
    <n v="13103.5"/>
    <n v="11.443095929181249"/>
    <n v="0.95"/>
    <n v="8.1858976986246059"/>
    <n v="13087"/>
    <n v="13120"/>
  </r>
  <r>
    <x v="0"/>
    <s v="2025-12-30 22:09:11"/>
    <n v="3"/>
    <x v="48"/>
    <x v="3"/>
    <x v="2"/>
    <n v="13101"/>
    <n v="0"/>
    <s v="Unnamed ProjectProcess 1 Number OutNumber OutProcess"/>
    <n v="10"/>
    <n v="13103.5"/>
    <n v="11.443095929181249"/>
    <n v="0.95"/>
    <n v="8.1858976986246059"/>
    <n v="13087"/>
    <n v="13120"/>
  </r>
  <r>
    <x v="0"/>
    <s v="2025-12-30 22:09:11"/>
    <n v="3"/>
    <x v="49"/>
    <x v="4"/>
    <x v="2"/>
    <n v="21811.134988315702"/>
    <n v="0"/>
    <s v="Unnamed ProjectProcess 14 Accum VA TimeAccum VA TimeProcess"/>
    <n v="10"/>
    <n v="21817.897664333104"/>
    <n v="40.377465047897729"/>
    <n v="0.95"/>
    <n v="28.884298467602775"/>
    <n v="21737.561928445"/>
    <n v="21880.2668082411"/>
  </r>
  <r>
    <x v="0"/>
    <s v="2025-12-30 22:09:11"/>
    <n v="3"/>
    <x v="50"/>
    <x v="2"/>
    <x v="2"/>
    <n v="6546"/>
    <n v="0"/>
    <s v="Unnamed ProjectProcess 14 Number InNumber InProcess"/>
    <n v="10"/>
    <n v="6547.7"/>
    <n v="5.735852159879995"/>
    <n v="0.95"/>
    <n v="4.1031814541969078"/>
    <n v="6540"/>
    <n v="6557"/>
  </r>
  <r>
    <x v="0"/>
    <s v="2025-12-30 22:09:11"/>
    <n v="3"/>
    <x v="51"/>
    <x v="3"/>
    <x v="2"/>
    <n v="6546"/>
    <n v="0"/>
    <s v="Unnamed ProjectProcess 14 Number OutNumber OutProcess"/>
    <n v="10"/>
    <n v="6547.3"/>
    <n v="5.7164480035925962"/>
    <n v="0.95"/>
    <n v="4.0893005569921828"/>
    <n v="6539"/>
    <n v="6556"/>
  </r>
  <r>
    <x v="0"/>
    <s v="2025-12-30 22:09:11"/>
    <n v="3"/>
    <x v="52"/>
    <x v="4"/>
    <x v="2"/>
    <n v="78603.338758860598"/>
    <n v="0"/>
    <s v="Unnamed ProjectProcess 2 Accum VA TimeAccum VA TimeProcess"/>
    <n v="10"/>
    <n v="78656.282482549519"/>
    <n v="139.39621135358072"/>
    <n v="0.95"/>
    <n v="99.718042457930338"/>
    <n v="78434.750255210005"/>
    <n v="78879.0340749358"/>
  </r>
  <r>
    <x v="0"/>
    <s v="2025-12-30 22:09:11"/>
    <n v="3"/>
    <x v="53"/>
    <x v="2"/>
    <x v="2"/>
    <n v="13097"/>
    <n v="0"/>
    <s v="Unnamed ProjectProcess 2 Number InNumber InProcess"/>
    <n v="10"/>
    <n v="13100.1"/>
    <n v="11.46443776786866"/>
    <n v="0.95"/>
    <n v="8.2011647303157567"/>
    <n v="13083"/>
    <n v="13118"/>
  </r>
  <r>
    <x v="0"/>
    <s v="2025-12-30 22:09:11"/>
    <n v="3"/>
    <x v="54"/>
    <x v="3"/>
    <x v="2"/>
    <n v="13097"/>
    <n v="0"/>
    <s v="Unnamed ProjectProcess 2 Number OutNumber OutProcess"/>
    <n v="10"/>
    <n v="13100.1"/>
    <n v="11.46443776786866"/>
    <n v="0.95"/>
    <n v="8.2011647303157567"/>
    <n v="13083"/>
    <n v="13118"/>
  </r>
  <r>
    <x v="0"/>
    <s v="2025-12-30 22:09:11"/>
    <n v="3"/>
    <x v="55"/>
    <x v="4"/>
    <x v="2"/>
    <n v="144125.91344546201"/>
    <n v="0"/>
    <s v="Unnamed ProjectProcess 3 Accum VA TimeAccum VA TimeProcess"/>
    <n v="10"/>
    <n v="144088.31566564049"/>
    <n v="147.41980686592098"/>
    <n v="0.95"/>
    <n v="105.45777691839817"/>
    <n v="143896.696561805"/>
    <n v="144298.22507098701"/>
  </r>
  <r>
    <x v="0"/>
    <s v="2025-12-30 22:09:11"/>
    <n v="3"/>
    <x v="56"/>
    <x v="2"/>
    <x v="2"/>
    <n v="13097"/>
    <n v="0"/>
    <s v="Unnamed ProjectProcess 3 Number InNumber InProcess"/>
    <n v="10"/>
    <n v="13099.9"/>
    <n v="11.761046816598522"/>
    <n v="0.95"/>
    <n v="8.4133460616980535"/>
    <n v="13082"/>
    <n v="13118"/>
  </r>
  <r>
    <x v="0"/>
    <s v="2025-12-30 22:09:11"/>
    <n v="3"/>
    <x v="57"/>
    <x v="3"/>
    <x v="2"/>
    <n v="13097"/>
    <n v="0"/>
    <s v="Unnamed ProjectProcess 3 Number OutNumber OutProcess"/>
    <n v="10"/>
    <n v="13099.9"/>
    <n v="11.761046816598522"/>
    <n v="0.95"/>
    <n v="8.4133460616980535"/>
    <n v="13082"/>
    <n v="13118"/>
  </r>
  <r>
    <x v="0"/>
    <s v="2025-12-30 22:09:11"/>
    <n v="3"/>
    <x v="58"/>
    <x v="4"/>
    <x v="2"/>
    <n v="57778.887305354197"/>
    <n v="0"/>
    <s v="Unnamed ProjectProcess 4 Accum VA TimeAccum VA TimeProcess"/>
    <n v="10"/>
    <n v="57657.842851106019"/>
    <n v="66.206976538127805"/>
    <n v="0.95"/>
    <n v="47.361617889987492"/>
    <n v="57569.6670912306"/>
    <n v="57778.887305354197"/>
  </r>
  <r>
    <x v="0"/>
    <s v="2025-12-30 22:09:11"/>
    <n v="3"/>
    <x v="59"/>
    <x v="2"/>
    <x v="2"/>
    <n v="8245"/>
    <n v="0"/>
    <s v="Unnamed ProjectProcess 4 Number InNumber InProcess"/>
    <n v="10"/>
    <n v="8235"/>
    <n v="6.5659052011974035"/>
    <n v="0.95"/>
    <n v="4.6969656296252689"/>
    <n v="8223"/>
    <n v="8245"/>
  </r>
  <r>
    <x v="0"/>
    <s v="2025-12-30 22:09:11"/>
    <n v="3"/>
    <x v="60"/>
    <x v="3"/>
    <x v="2"/>
    <n v="8245"/>
    <n v="0"/>
    <s v="Unnamed ProjectProcess 4 Number OutNumber OutProcess"/>
    <n v="10"/>
    <n v="8235"/>
    <n v="6.5659052011974035"/>
    <n v="0.95"/>
    <n v="4.6969656296252689"/>
    <n v="8223"/>
    <n v="8245"/>
  </r>
  <r>
    <x v="0"/>
    <s v="2025-12-30 22:09:11"/>
    <n v="3"/>
    <x v="61"/>
    <x v="4"/>
    <x v="2"/>
    <n v="82509.9089339692"/>
    <n v="0"/>
    <s v="Unnamed ProjectProcess 5 Accum VA TimeAccum VA TimeProcess"/>
    <n v="10"/>
    <n v="82354.925585571807"/>
    <n v="74.759806822996126"/>
    <n v="0.95"/>
    <n v="53.479944099863097"/>
    <n v="82287.012858407106"/>
    <n v="82509.9089339692"/>
  </r>
  <r>
    <x v="0"/>
    <s v="2025-12-30 22:09:11"/>
    <n v="3"/>
    <x v="62"/>
    <x v="2"/>
    <x v="2"/>
    <n v="8243"/>
    <n v="0"/>
    <s v="Unnamed ProjectProcess 5 Number InNumber InProcess"/>
    <n v="10"/>
    <n v="8233.5"/>
    <n v="6.5021364010437201"/>
    <n v="0.95"/>
    <n v="4.6513481780498687"/>
    <n v="8221"/>
    <n v="8243"/>
  </r>
  <r>
    <x v="0"/>
    <s v="2025-12-30 22:09:11"/>
    <n v="3"/>
    <x v="63"/>
    <x v="3"/>
    <x v="2"/>
    <n v="8243"/>
    <n v="0"/>
    <s v="Unnamed ProjectProcess 5 Number OutNumber OutProcess"/>
    <n v="10"/>
    <n v="8233.5"/>
    <n v="6.5021364010437201"/>
    <n v="0.95"/>
    <n v="4.6513481780498687"/>
    <n v="8221"/>
    <n v="8243"/>
  </r>
  <r>
    <x v="0"/>
    <s v="2025-12-30 22:09:11"/>
    <n v="3"/>
    <x v="64"/>
    <x v="4"/>
    <x v="2"/>
    <n v="205923.632889553"/>
    <n v="0"/>
    <s v="Unnamed ProjectProcess 6 Accum VA TimeAccum VA TimeProcess"/>
    <n v="10"/>
    <n v="205782.3721339902"/>
    <n v="135.17903819323379"/>
    <n v="0.95"/>
    <n v="96.701258514002035"/>
    <n v="205554.00796082799"/>
    <n v="205962.665291818"/>
  </r>
  <r>
    <x v="0"/>
    <s v="2025-12-30 22:09:11"/>
    <n v="3"/>
    <x v="65"/>
    <x v="2"/>
    <x v="2"/>
    <n v="8241"/>
    <n v="0"/>
    <s v="Unnamed ProjectProcess 6 Number InNumber InProcess"/>
    <n v="10"/>
    <n v="8231.5"/>
    <n v="6.3464775882199236"/>
    <n v="0.95"/>
    <n v="4.5399965713211703"/>
    <n v="8220"/>
    <n v="8241"/>
  </r>
  <r>
    <x v="0"/>
    <s v="2025-12-30 22:09:11"/>
    <n v="3"/>
    <x v="66"/>
    <x v="3"/>
    <x v="2"/>
    <n v="8241"/>
    <n v="0"/>
    <s v="Unnamed ProjectProcess 6 Number OutNumber OutProcess"/>
    <n v="10"/>
    <n v="8231.5"/>
    <n v="6.3464775882199236"/>
    <n v="0.95"/>
    <n v="4.5399965713211703"/>
    <n v="8220"/>
    <n v="8241"/>
  </r>
  <r>
    <x v="0"/>
    <s v="2025-12-30 22:09:11"/>
    <n v="3"/>
    <x v="67"/>
    <x v="4"/>
    <x v="2"/>
    <n v="98542.5422251852"/>
    <n v="0"/>
    <s v="Unnamed ProjectProcess 7 Accum VA TimeAccum VA TimeProcess"/>
    <n v="10"/>
    <n v="98625.180720296266"/>
    <n v="166.97558012409817"/>
    <n v="0.95"/>
    <n v="119.44713437023168"/>
    <n v="98434.330991768598"/>
    <n v="98993.883345143302"/>
  </r>
  <r>
    <x v="0"/>
    <s v="2025-12-30 22:09:11"/>
    <n v="3"/>
    <x v="68"/>
    <x v="2"/>
    <x v="2"/>
    <n v="8237"/>
    <n v="0"/>
    <s v="Unnamed ProjectProcess 7 Number InNumber InProcess"/>
    <n v="10"/>
    <n v="8227.7000000000007"/>
    <n v="6.2902040242480748"/>
    <n v="0.95"/>
    <n v="4.4997408887103267"/>
    <n v="8216"/>
    <n v="8237"/>
  </r>
  <r>
    <x v="0"/>
    <s v="2025-12-30 22:09:11"/>
    <n v="3"/>
    <x v="69"/>
    <x v="3"/>
    <x v="2"/>
    <n v="8237"/>
    <n v="0"/>
    <s v="Unnamed ProjectProcess 7 Number OutNumber OutProcess"/>
    <n v="10"/>
    <n v="8227.7000000000007"/>
    <n v="6.2902040242480748"/>
    <n v="0.95"/>
    <n v="4.4997408887103267"/>
    <n v="8216"/>
    <n v="8237"/>
  </r>
  <r>
    <x v="0"/>
    <s v="2025-12-30 22:09:11"/>
    <n v="3"/>
    <x v="70"/>
    <x v="4"/>
    <x v="2"/>
    <n v="91937.607698344"/>
    <n v="0"/>
    <s v="Unnamed ProjectProcess 8 Accum VA TimeAccum VA TimeProcess"/>
    <n v="10"/>
    <n v="91917.034029149756"/>
    <n v="167.33037075092571"/>
    <n v="0.95"/>
    <n v="119.70093629530641"/>
    <n v="91632.276670136605"/>
    <n v="92162.594279262106"/>
  </r>
  <r>
    <x v="0"/>
    <s v="2025-12-30 22:09:11"/>
    <n v="3"/>
    <x v="71"/>
    <x v="2"/>
    <x v="2"/>
    <n v="18407"/>
    <n v="0"/>
    <s v="Unnamed ProjectProcess 8 Number InNumber InProcess"/>
    <n v="10"/>
    <n v="18392"/>
    <n v="12.884098726725126"/>
    <n v="0.95"/>
    <n v="9.2167290013706662"/>
    <n v="18376"/>
    <n v="18407"/>
  </r>
  <r>
    <x v="0"/>
    <s v="2025-12-30 22:09:11"/>
    <n v="3"/>
    <x v="72"/>
    <x v="3"/>
    <x v="2"/>
    <n v="18407"/>
    <n v="0"/>
    <s v="Unnamed ProjectProcess 8 Number OutNumber OutProcess"/>
    <n v="10"/>
    <n v="18392"/>
    <n v="12.884098726725126"/>
    <n v="0.95"/>
    <n v="9.2167290013706662"/>
    <n v="18376"/>
    <n v="18407"/>
  </r>
  <r>
    <x v="0"/>
    <s v="2025-12-30 22:09:11"/>
    <n v="3"/>
    <x v="73"/>
    <x v="4"/>
    <x v="2"/>
    <n v="104331.678176"/>
    <n v="0"/>
    <s v="Unnamed ProjectProcess 9 Accum VA TimeAccum VA TimeProcess"/>
    <n v="10"/>
    <n v="104198.44406523299"/>
    <n v="99.045608472383734"/>
    <n v="0.95"/>
    <n v="70.852960026786278"/>
    <n v="104039.320720244"/>
    <n v="104335.096217932"/>
  </r>
  <r>
    <x v="0"/>
    <s v="2025-12-30 22:09:11"/>
    <n v="3"/>
    <x v="74"/>
    <x v="2"/>
    <x v="2"/>
    <n v="18404"/>
    <n v="0"/>
    <s v="Unnamed ProjectProcess 9 Number InNumber InProcess"/>
    <n v="10"/>
    <n v="18389.400000000001"/>
    <n v="12.103259432437566"/>
    <n v="0.95"/>
    <n v="8.6581502197487996"/>
    <n v="18376"/>
    <n v="18404"/>
  </r>
  <r>
    <x v="0"/>
    <s v="2025-12-30 22:09:11"/>
    <n v="3"/>
    <x v="75"/>
    <x v="3"/>
    <x v="2"/>
    <n v="18404"/>
    <n v="0"/>
    <s v="Unnamed ProjectProcess 9 Number OutNumber OutProcess"/>
    <n v="10"/>
    <n v="18389.400000000001"/>
    <n v="12.103259432437566"/>
    <n v="0.95"/>
    <n v="8.6581502197487996"/>
    <n v="18376"/>
    <n v="18404"/>
  </r>
  <r>
    <x v="0"/>
    <s v="2025-12-30 22:09:11"/>
    <n v="3"/>
    <x v="76"/>
    <x v="0"/>
    <x v="0"/>
    <n v="0"/>
    <n v="0"/>
    <s v="Unnamed ProjectSales Department.NumberSeizedTotal Number SeizedResource"/>
    <n v="10"/>
    <n v="0"/>
    <n v="0"/>
    <n v="0.95"/>
    <n v="0"/>
    <n v="0"/>
    <n v="0"/>
  </r>
  <r>
    <x v="0"/>
    <s v="2025-12-30 22:09:11"/>
    <n v="3"/>
    <x v="77"/>
    <x v="1"/>
    <x v="0"/>
    <n v="0"/>
    <n v="0"/>
    <s v="Unnamed ProjectSales Department.ScheduledUtilizationScheduled UtilizationResource"/>
    <n v="10"/>
    <n v="0"/>
    <n v="0"/>
    <n v="0.95"/>
    <n v="0"/>
    <n v="0"/>
    <n v="0"/>
  </r>
  <r>
    <x v="0"/>
    <s v="2025-12-30 22:09:11"/>
    <n v="3"/>
    <x v="78"/>
    <x v="0"/>
    <x v="0"/>
    <n v="129"/>
    <n v="0"/>
    <s v="Unnamed ProjectSales Rep.NumberSeizedTotal Number SeizedResource"/>
    <n v="10"/>
    <n v="118.7"/>
    <n v="12.587913073879887"/>
    <n v="0.95"/>
    <n v="9.0048505491583946"/>
    <n v="95"/>
    <n v="141"/>
  </r>
  <r>
    <x v="0"/>
    <s v="2025-12-30 22:09:11"/>
    <n v="3"/>
    <x v="79"/>
    <x v="1"/>
    <x v="0"/>
    <n v="0.35146491521492201"/>
    <n v="0"/>
    <s v="Unnamed ProjectSales Rep.ScheduledUtilizationScheduled UtilizationResource"/>
    <n v="10"/>
    <n v="0.3273551167875815"/>
    <n v="3.5172818533154994E-2"/>
    <n v="0.95"/>
    <n v="2.5161118640145405E-2"/>
    <n v="0.26933581669894202"/>
    <n v="0.39321867243708603"/>
  </r>
  <r>
    <x v="0"/>
    <s v="2025-12-30 22:09:11"/>
    <n v="3"/>
    <x v="80"/>
    <x v="3"/>
    <x v="3"/>
    <n v="2496"/>
    <n v="0"/>
    <s v="Unnamed ProjectSystem.NumberOutNumber OutSystem"/>
    <n v="10"/>
    <n v="2503.1"/>
    <n v="29.72260643573059"/>
    <n v="0.95"/>
    <n v="21.262271777248003"/>
    <n v="2457"/>
    <n v="2546"/>
  </r>
  <r>
    <x v="0"/>
    <s v="2025-12-30 22:09:11"/>
    <n v="3"/>
    <x v="81"/>
    <x v="2"/>
    <x v="1"/>
    <n v="7832"/>
    <n v="0"/>
    <s v="Unnamed ProjectWire Harness.NumberInNumber InEntity"/>
    <n v="10"/>
    <n v="7832.8"/>
    <n v="7.8287220469811594"/>
    <n v="0.95"/>
    <n v="5.6003303812327712"/>
    <n v="7818"/>
    <n v="7845"/>
  </r>
  <r>
    <x v="0"/>
    <s v="2025-12-30 22:09:11"/>
    <n v="3"/>
    <x v="82"/>
    <x v="3"/>
    <x v="1"/>
    <n v="7829"/>
    <n v="0"/>
    <s v="Unnamed ProjectWire Harness.NumberOutNumber OutEntity"/>
    <n v="10"/>
    <n v="7828.3"/>
    <n v="7.1032074132433696"/>
    <n v="0.95"/>
    <n v="5.0813284776056653"/>
    <n v="7815"/>
    <n v="7840"/>
  </r>
  <r>
    <x v="0"/>
    <s v="2025-12-30 22:09:11"/>
    <n v="3"/>
    <x v="83"/>
    <x v="4"/>
    <x v="2"/>
    <n v="56937.316264817302"/>
    <n v="0"/>
    <s v="Unnamed Projectsales Accum VA TimeAccum VA TimeProcess"/>
    <n v="10"/>
    <n v="53031.528919588192"/>
    <n v="5697.9966023710867"/>
    <n v="0.95"/>
    <n v="4076.1012197035402"/>
    <n v="43632.402305228599"/>
    <n v="63701.424934807801"/>
  </r>
  <r>
    <x v="0"/>
    <s v="2025-12-30 22:09:11"/>
    <n v="3"/>
    <x v="84"/>
    <x v="2"/>
    <x v="2"/>
    <n v="129"/>
    <n v="0"/>
    <s v="Unnamed Projectsales Number InNumber InProcess"/>
    <n v="10"/>
    <n v="118.7"/>
    <n v="12.587913073879887"/>
    <n v="0.95"/>
    <n v="9.0048505491583946"/>
    <n v="95"/>
    <n v="141"/>
  </r>
  <r>
    <x v="0"/>
    <s v="2025-12-30 22:09:11"/>
    <n v="3"/>
    <x v="85"/>
    <x v="3"/>
    <x v="2"/>
    <n v="129"/>
    <n v="0"/>
    <s v="Unnamed Projectsales Number OutNumber OutProcess"/>
    <n v="10"/>
    <n v="118.7"/>
    <n v="12.587913073879887"/>
    <n v="0.95"/>
    <n v="9.0048505491583946"/>
    <n v="95"/>
    <n v="141"/>
  </r>
  <r>
    <x v="0"/>
    <s v="2025-12-30 22:09:11"/>
    <n v="4"/>
    <x v="0"/>
    <x v="0"/>
    <x v="0"/>
    <n v="6540"/>
    <n v="0"/>
    <s v="Unnamed ProjectAssembler.NumberSeizedTotal Number SeizedResource"/>
    <n v="10"/>
    <n v="6547.7"/>
    <n v="5.735852159879995"/>
    <n v="0.95"/>
    <n v="4.1031814541969078"/>
    <n v="6540"/>
    <n v="6557"/>
  </r>
  <r>
    <x v="0"/>
    <s v="2025-12-30 22:09:11"/>
    <n v="4"/>
    <x v="1"/>
    <x v="1"/>
    <x v="0"/>
    <n v="7.5477645584878503E-2"/>
    <n v="0"/>
    <s v="Unnamed ProjectAssembler.ScheduledUtilizationScheduled UtilizationResource"/>
    <n v="10"/>
    <n v="7.575658911226775E-2"/>
    <n v="1.4019953141627205E-4"/>
    <n v="0.95"/>
    <n v="1.0029270301248135E-4"/>
    <n v="7.5477645584878503E-2"/>
    <n v="7.5973148639726207E-2"/>
  </r>
  <r>
    <x v="0"/>
    <s v="2025-12-30 22:09:11"/>
    <n v="4"/>
    <x v="2"/>
    <x v="2"/>
    <x v="1"/>
    <n v="1045"/>
    <n v="0"/>
    <s v="Unnamed ProjectCustomer.NumberInNumber InEntity"/>
    <n v="10"/>
    <n v="1090.3"/>
    <n v="32.666836734251177"/>
    <n v="0.95"/>
    <n v="23.368447254062772"/>
    <n v="1042"/>
    <n v="1141"/>
  </r>
  <r>
    <x v="0"/>
    <s v="2025-12-30 22:09:11"/>
    <n v="4"/>
    <x v="3"/>
    <x v="3"/>
    <x v="1"/>
    <n v="1045"/>
    <n v="0"/>
    <s v="Unnamed ProjectCustomer.NumberOutNumber OutEntity"/>
    <n v="10"/>
    <n v="1090.3"/>
    <n v="32.666836734251177"/>
    <n v="0.95"/>
    <n v="23.368447254062772"/>
    <n v="1042"/>
    <n v="1141"/>
  </r>
  <r>
    <x v="0"/>
    <s v="2025-12-30 22:09:11"/>
    <n v="4"/>
    <x v="4"/>
    <x v="2"/>
    <x v="1"/>
    <n v="19812"/>
    <n v="0"/>
    <s v="Unnamed ProjectEntity 1.NumberInNumber InEntity"/>
    <n v="10"/>
    <n v="19822.900000000001"/>
    <n v="20.151922985164472"/>
    <n v="0.95"/>
    <n v="14.415817276026377"/>
    <n v="19788"/>
    <n v="19852"/>
  </r>
  <r>
    <x v="0"/>
    <s v="2025-12-30 22:09:11"/>
    <n v="4"/>
    <x v="5"/>
    <x v="3"/>
    <x v="1"/>
    <n v="19617"/>
    <n v="0"/>
    <s v="Unnamed ProjectEntity 1.NumberOutNumber OutEntity"/>
    <n v="10"/>
    <n v="19635.599999999999"/>
    <n v="15.086417732516889"/>
    <n v="0.95"/>
    <n v="10.792173111314252"/>
    <n v="19614"/>
    <n v="19662"/>
  </r>
  <r>
    <x v="0"/>
    <s v="2025-12-30 22:09:11"/>
    <n v="4"/>
    <x v="6"/>
    <x v="2"/>
    <x v="1"/>
    <n v="8386"/>
    <n v="0"/>
    <s v="Unnamed ProjectEntity 2.NumberInNumber InEntity"/>
    <n v="10"/>
    <n v="8398"/>
    <n v="24.133885813197271"/>
    <n v="0.95"/>
    <n v="17.264341884378119"/>
    <n v="8353"/>
    <n v="8437"/>
  </r>
  <r>
    <x v="0"/>
    <s v="2025-12-30 22:09:11"/>
    <n v="4"/>
    <x v="7"/>
    <x v="3"/>
    <x v="1"/>
    <n v="6539"/>
    <n v="0"/>
    <s v="Unnamed ProjectEntity 2.NumberOutNumber OutEntity"/>
    <n v="10"/>
    <n v="6545.2"/>
    <n v="5.0288059108389627"/>
    <n v="0.95"/>
    <n v="3.5973910371047504"/>
    <n v="6538"/>
    <n v="6554"/>
  </r>
  <r>
    <x v="0"/>
    <s v="2025-12-30 22:09:11"/>
    <n v="4"/>
    <x v="8"/>
    <x v="2"/>
    <x v="1"/>
    <n v="27775"/>
    <n v="0"/>
    <s v="Unnamed ProjectEntity 3.NumberInNumber InEntity"/>
    <n v="10"/>
    <n v="27753.7"/>
    <n v="25.447331228768697"/>
    <n v="0.95"/>
    <n v="18.203924133022646"/>
    <n v="27724"/>
    <n v="27792"/>
  </r>
  <r>
    <x v="0"/>
    <s v="2025-12-30 22:09:11"/>
    <n v="4"/>
    <x v="9"/>
    <x v="3"/>
    <x v="1"/>
    <n v="19617"/>
    <n v="0"/>
    <s v="Unnamed ProjectEntity 3.NumberOutNumber OutEntity"/>
    <n v="10"/>
    <n v="19635.599999999999"/>
    <n v="15.086417732516889"/>
    <n v="0.95"/>
    <n v="10.792173111314252"/>
    <n v="19614"/>
    <n v="19662"/>
  </r>
  <r>
    <x v="0"/>
    <s v="2025-12-30 22:09:11"/>
    <n v="4"/>
    <x v="10"/>
    <x v="0"/>
    <x v="0"/>
    <n v="13088"/>
    <n v="0"/>
    <s v="Unnamed ProjectKanban L1S1.NumberSeizedTotal Number SeizedResource"/>
    <n v="10"/>
    <n v="13103.5"/>
    <n v="11.443095929181249"/>
    <n v="0.95"/>
    <n v="8.1858976986246059"/>
    <n v="13087"/>
    <n v="13120"/>
  </r>
  <r>
    <x v="0"/>
    <s v="2025-12-30 22:09:11"/>
    <n v="4"/>
    <x v="11"/>
    <x v="1"/>
    <x v="0"/>
    <n v="0.292184201252493"/>
    <n v="0"/>
    <s v="Unnamed ProjectKanban L1S1.ScheduledUtilizationScheduled UtilizationResource"/>
    <n v="10"/>
    <n v="0.48160620907873086"/>
    <n v="8.6686321722355061E-2"/>
    <n v="0.95"/>
    <n v="6.2011658897281531E-2"/>
    <n v="0.292184201252493"/>
    <n v="0.57167989674475905"/>
  </r>
  <r>
    <x v="0"/>
    <s v="2025-12-30 22:09:11"/>
    <n v="4"/>
    <x v="12"/>
    <x v="0"/>
    <x v="0"/>
    <n v="13087"/>
    <n v="0"/>
    <s v="Unnamed ProjectKanban L1S2.NumberSeizedTotal Number SeizedResource"/>
    <n v="10"/>
    <n v="13100.1"/>
    <n v="11.46443776786866"/>
    <n v="0.95"/>
    <n v="8.2011647303157567"/>
    <n v="13083"/>
    <n v="13118"/>
  </r>
  <r>
    <x v="0"/>
    <s v="2025-12-30 22:09:11"/>
    <n v="4"/>
    <x v="13"/>
    <x v="1"/>
    <x v="0"/>
    <n v="0.327930580780531"/>
    <n v="0"/>
    <s v="Unnamed ProjectKanban L1S2.ScheduledUtilizationScheduled UtilizationResource"/>
    <n v="10"/>
    <n v="0.25269289312392168"/>
    <n v="4.921401008308305E-2"/>
    <n v="0.95"/>
    <n v="3.5205581983443382E-2"/>
    <n v="0.20500025225945601"/>
    <n v="0.33570777662711399"/>
  </r>
  <r>
    <x v="0"/>
    <s v="2025-12-30 22:09:11"/>
    <n v="4"/>
    <x v="14"/>
    <x v="0"/>
    <x v="0"/>
    <n v="13086"/>
    <n v="0"/>
    <s v="Unnamed ProjectKanban L1S3.NumberSeizedTotal Number SeizedResource"/>
    <n v="10"/>
    <n v="13099.9"/>
    <n v="11.761046816598522"/>
    <n v="0.95"/>
    <n v="8.4133460616980535"/>
    <n v="13082"/>
    <n v="13118"/>
  </r>
  <r>
    <x v="0"/>
    <s v="2025-12-30 22:09:11"/>
    <n v="4"/>
    <x v="15"/>
    <x v="1"/>
    <x v="0"/>
    <n v="0.15147736900268299"/>
    <n v="0"/>
    <s v="Unnamed ProjectKanban L1S3.ScheduledUtilizationScheduled UtilizationResource"/>
    <n v="10"/>
    <n v="0.151561654865698"/>
    <n v="1.2198256688170919E-4"/>
    <n v="0.95"/>
    <n v="8.7261071626859165E-5"/>
    <n v="0.15134711042770399"/>
    <n v="0.15172806047441101"/>
  </r>
  <r>
    <x v="0"/>
    <s v="2025-12-30 22:09:11"/>
    <n v="4"/>
    <x v="16"/>
    <x v="0"/>
    <x v="0"/>
    <n v="8234"/>
    <n v="0"/>
    <s v="Unnamed ProjectKanban L2S1.NumberSeizedTotal Number SeizedResource"/>
    <n v="10"/>
    <n v="8235"/>
    <n v="6.5659052011974035"/>
    <n v="0.95"/>
    <n v="4.6969656296252689"/>
    <n v="8223"/>
    <n v="8245"/>
  </r>
  <r>
    <x v="0"/>
    <s v="2025-12-30 22:09:11"/>
    <n v="4"/>
    <x v="17"/>
    <x v="1"/>
    <x v="0"/>
    <n v="0.90773078690034603"/>
    <n v="0"/>
    <s v="Unnamed ProjectKanban L2S1.ScheduledUtilizationScheduled UtilizationResource"/>
    <n v="10"/>
    <n v="0.84558522180863771"/>
    <n v="0.11694354024491282"/>
    <n v="0.95"/>
    <n v="8.3656369122856733E-2"/>
    <n v="0.625269422960122"/>
    <n v="0.95234896906597499"/>
  </r>
  <r>
    <x v="0"/>
    <s v="2025-12-30 22:09:11"/>
    <n v="4"/>
    <x v="18"/>
    <x v="0"/>
    <x v="0"/>
    <n v="8232"/>
    <n v="0"/>
    <s v="Unnamed ProjectKanban L2S2.NumberSeizedTotal Number SeizedResource"/>
    <n v="10"/>
    <n v="8233.5"/>
    <n v="6.5021364010437201"/>
    <n v="0.95"/>
    <n v="4.6513481780498687"/>
    <n v="8221"/>
    <n v="8243"/>
  </r>
  <r>
    <x v="0"/>
    <s v="2025-12-30 22:09:11"/>
    <n v="4"/>
    <x v="19"/>
    <x v="1"/>
    <x v="0"/>
    <n v="0.72518801126223198"/>
    <n v="0"/>
    <s v="Unnamed ProjectKanban L2S2.ScheduledUtilizationScheduled UtilizationResource"/>
    <n v="10"/>
    <n v="0.74077431571180286"/>
    <n v="6.1280007141721847E-2"/>
    <n v="0.95"/>
    <n v="4.3837076306762375E-2"/>
    <n v="0.67060354368791897"/>
    <n v="0.87728997349342697"/>
  </r>
  <r>
    <x v="0"/>
    <s v="2025-12-30 22:09:11"/>
    <n v="4"/>
    <x v="20"/>
    <x v="0"/>
    <x v="0"/>
    <n v="8230"/>
    <n v="0"/>
    <s v="Unnamed ProjectKanban L2S3.NumberSeizedTotal Number SeizedResource"/>
    <n v="10"/>
    <n v="8231.5"/>
    <n v="6.3464775882199236"/>
    <n v="0.95"/>
    <n v="4.5399965713211703"/>
    <n v="8220"/>
    <n v="8241"/>
  </r>
  <r>
    <x v="0"/>
    <s v="2025-12-30 22:09:11"/>
    <n v="4"/>
    <x v="21"/>
    <x v="1"/>
    <x v="0"/>
    <n v="0.55428007487619302"/>
    <n v="0"/>
    <s v="Unnamed ProjectKanban L2S3.ScheduledUtilizationScheduled UtilizationResource"/>
    <n v="10"/>
    <n v="0.52391445815006699"/>
    <n v="7.0460308415606909E-2"/>
    <n v="0.95"/>
    <n v="5.0404268221927347E-2"/>
    <n v="0.36555656561218303"/>
    <n v="0.59886206518967"/>
  </r>
  <r>
    <x v="0"/>
    <s v="2025-12-30 22:09:11"/>
    <n v="4"/>
    <x v="22"/>
    <x v="0"/>
    <x v="0"/>
    <n v="8226"/>
    <n v="0"/>
    <s v="Unnamed ProjectKanban L2S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4"/>
    <x v="23"/>
    <x v="1"/>
    <x v="0"/>
    <n v="0.149670197256767"/>
    <n v="0"/>
    <s v="Unnamed ProjectKanban L2S4.ScheduledUtilizationScheduled UtilizationResource"/>
    <n v="10"/>
    <n v="0.14955853655775292"/>
    <n v="1.8487754554887928E-4"/>
    <n v="0.95"/>
    <n v="1.3225342896729691E-4"/>
    <n v="0.14921189842985499"/>
    <n v="0.14985050053976801"/>
  </r>
  <r>
    <x v="0"/>
    <s v="2025-12-30 22:09:11"/>
    <n v="4"/>
    <x v="24"/>
    <x v="0"/>
    <x v="0"/>
    <n v="18402"/>
    <n v="0"/>
    <s v="Unnamed ProjectKanban L3S1.NumberSeizedTotal Number SeizedResource"/>
    <n v="10"/>
    <n v="18392"/>
    <n v="12.884098726725126"/>
    <n v="0.95"/>
    <n v="9.2167290013706662"/>
    <n v="18376"/>
    <n v="18407"/>
  </r>
  <r>
    <x v="0"/>
    <s v="2025-12-30 22:09:11"/>
    <n v="4"/>
    <x v="25"/>
    <x v="1"/>
    <x v="0"/>
    <n v="0.82680969033003804"/>
    <n v="0"/>
    <s v="Unnamed ProjectKanban L3S1.ScheduledUtilizationScheduled UtilizationResource"/>
    <n v="10"/>
    <n v="0.78490250681152463"/>
    <n v="0.11345978752761485"/>
    <n v="0.95"/>
    <n v="8.1164242557843561E-2"/>
    <n v="0.58338388917401596"/>
    <n v="0.90111632059041802"/>
  </r>
  <r>
    <x v="0"/>
    <s v="2025-12-30 22:09:11"/>
    <n v="4"/>
    <x v="26"/>
    <x v="0"/>
    <x v="0"/>
    <n v="18399"/>
    <n v="0"/>
    <s v="Unnamed ProjectKanban L3S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4"/>
    <x v="27"/>
    <x v="1"/>
    <x v="0"/>
    <n v="0.15878446251421399"/>
    <n v="0"/>
    <s v="Unnamed ProjectKanban L3S2.ScheduledUtilizationScheduled UtilizationResource"/>
    <n v="10"/>
    <n v="0.15879210791146151"/>
    <n v="8.8786593843692651E-6"/>
    <n v="0.95"/>
    <n v="6.3514103063698042E-6"/>
    <n v="0.15877821852350199"/>
    <n v="0.15880443244107401"/>
  </r>
  <r>
    <x v="0"/>
    <s v="2025-12-30 22:09:11"/>
    <n v="4"/>
    <x v="28"/>
    <x v="0"/>
    <x v="0"/>
    <n v="13088"/>
    <n v="0"/>
    <s v="Unnamed ProjectL1 Station1.NumberSeizedTotal Number SeizedResource"/>
    <n v="10"/>
    <n v="13103.5"/>
    <n v="11.443095929181249"/>
    <n v="0.95"/>
    <n v="8.1858976986246059"/>
    <n v="13087"/>
    <n v="13120"/>
  </r>
  <r>
    <x v="0"/>
    <s v="2025-12-30 22:09:11"/>
    <n v="4"/>
    <x v="29"/>
    <x v="1"/>
    <x v="0"/>
    <n v="1.00039897320567"/>
    <n v="0"/>
    <s v="Unnamed ProjectL1 Station1.ScheduledUtilizationScheduled UtilizationResource"/>
    <n v="10"/>
    <n v="1.0004814685732331"/>
    <n v="7.4280555176725285E-5"/>
    <n v="0.95"/>
    <n v="5.3137108125005439E-5"/>
    <n v="1.00039897320567"/>
    <n v="1.00059414734778"/>
  </r>
  <r>
    <x v="0"/>
    <s v="2025-12-30 22:09:11"/>
    <n v="4"/>
    <x v="30"/>
    <x v="0"/>
    <x v="0"/>
    <n v="13087"/>
    <n v="0"/>
    <s v="Unnamed ProjectL1 Station2.NumberSeizedTotal Number SeizedResource"/>
    <n v="10"/>
    <n v="13100.1"/>
    <n v="11.46443776786866"/>
    <n v="0.95"/>
    <n v="8.2011647303157567"/>
    <n v="13083"/>
    <n v="13118"/>
  </r>
  <r>
    <x v="0"/>
    <s v="2025-12-30 22:09:11"/>
    <n v="4"/>
    <x v="31"/>
    <x v="1"/>
    <x v="0"/>
    <n v="0.72665767143328297"/>
    <n v="0"/>
    <s v="Unnamed ProjectL1 Station2.ScheduledUtilizationScheduled UtilizationResource"/>
    <n v="10"/>
    <n v="0.7279059511079462"/>
    <n v="7.0848304180243249E-4"/>
    <n v="0.95"/>
    <n v="5.0681823671647316E-4"/>
    <n v="0.72665767143328297"/>
    <n v="0.72896261310967603"/>
  </r>
  <r>
    <x v="0"/>
    <s v="2025-12-30 22:09:11"/>
    <n v="4"/>
    <x v="32"/>
    <x v="0"/>
    <x v="0"/>
    <n v="13086"/>
    <n v="0"/>
    <s v="Unnamed ProjectL1 Station3.NumberSeizedTotal Number SeizedResource"/>
    <n v="10"/>
    <n v="13099.9"/>
    <n v="11.761046816598522"/>
    <n v="0.95"/>
    <n v="8.4133460616980535"/>
    <n v="13082"/>
    <n v="13118"/>
  </r>
  <r>
    <x v="0"/>
    <s v="2025-12-30 22:09:11"/>
    <n v="4"/>
    <x v="33"/>
    <x v="1"/>
    <x v="0"/>
    <n v="0.954307424716902"/>
    <n v="0"/>
    <s v="Unnamed ProjectL1 Station3.ScheduledUtilizationScheduled UtilizationResource"/>
    <n v="10"/>
    <n v="0.95483842565389732"/>
    <n v="7.6849017135544289E-4"/>
    <n v="0.95"/>
    <n v="5.497447512496955E-4"/>
    <n v="0.95348679569453398"/>
    <n v="0.95588678098879198"/>
  </r>
  <r>
    <x v="0"/>
    <s v="2025-12-30 22:09:11"/>
    <n v="4"/>
    <x v="34"/>
    <x v="0"/>
    <x v="0"/>
    <n v="8234"/>
    <n v="0"/>
    <s v="Unnamed ProjectL2 Station1.NumberSeizedTotal Number SeizedResource"/>
    <n v="10"/>
    <n v="8235"/>
    <n v="6.5659052011974035"/>
    <n v="0.95"/>
    <n v="4.6969656296252689"/>
    <n v="8223"/>
    <n v="8245"/>
  </r>
  <r>
    <x v="0"/>
    <s v="2025-12-30 22:09:11"/>
    <n v="4"/>
    <x v="35"/>
    <x v="1"/>
    <x v="0"/>
    <n v="0.48607339026604302"/>
    <n v="0"/>
    <s v="Unnamed ProjectL2 Station1.ScheduledUtilizationScheduled UtilizationResource"/>
    <n v="10"/>
    <n v="0.48622459141633045"/>
    <n v="7.2585329819825151E-4"/>
    <n v="0.95"/>
    <n v="5.1924416958770345E-4"/>
    <n v="0.48503601840289501"/>
    <n v="0.48724920721519499"/>
  </r>
  <r>
    <x v="0"/>
    <s v="2025-12-30 22:09:11"/>
    <n v="4"/>
    <x v="36"/>
    <x v="0"/>
    <x v="0"/>
    <n v="8232"/>
    <n v="0"/>
    <s v="Unnamed ProjectL2 Station2.NumberSeizedTotal Number SeizedResource"/>
    <n v="10"/>
    <n v="8233.5"/>
    <n v="6.5021364010437201"/>
    <n v="0.95"/>
    <n v="4.6513481780498687"/>
    <n v="8221"/>
    <n v="8243"/>
  </r>
  <r>
    <x v="0"/>
    <s v="2025-12-30 22:09:11"/>
    <n v="4"/>
    <x v="37"/>
    <x v="1"/>
    <x v="0"/>
    <n v="0.57142815125120305"/>
    <n v="0"/>
    <s v="Unnamed ProjectL2 Station2.ScheduledUtilizationScheduled UtilizationResource"/>
    <n v="10"/>
    <n v="0.57195959594019841"/>
    <n v="5.0695895005827636E-4"/>
    <n v="0.95"/>
    <n v="3.6265658596782525E-4"/>
    <n v="0.57115702440598504"/>
    <n v="0.57294957522841605"/>
  </r>
  <r>
    <x v="0"/>
    <s v="2025-12-30 22:09:11"/>
    <n v="4"/>
    <x v="38"/>
    <x v="0"/>
    <x v="0"/>
    <n v="8230"/>
    <n v="0"/>
    <s v="Unnamed ProjectL2 Station3.NumberSeizedTotal Number SeizedResource"/>
    <n v="10"/>
    <n v="8231.5"/>
    <n v="6.3464775882199236"/>
    <n v="0.95"/>
    <n v="4.5399965713211703"/>
    <n v="8220"/>
    <n v="8241"/>
  </r>
  <r>
    <x v="0"/>
    <s v="2025-12-30 22:09:11"/>
    <n v="4"/>
    <x v="39"/>
    <x v="1"/>
    <x v="0"/>
    <n v="1.0004578926671299"/>
    <n v="0"/>
    <s v="Unnamed ProjectL2 Station3.ScheduledUtilizationScheduled UtilizationResource"/>
    <n v="10"/>
    <n v="1.0004557942559711"/>
    <n v="1.6760007580081014E-4"/>
    <n v="0.95"/>
    <n v="1.1989387166531641E-4"/>
    <n v="1.0000655989645"/>
    <n v="1.00068312738094"/>
  </r>
  <r>
    <x v="0"/>
    <s v="2025-12-30 22:09:11"/>
    <n v="4"/>
    <x v="40"/>
    <x v="0"/>
    <x v="0"/>
    <n v="8226"/>
    <n v="0"/>
    <s v="Unnamed ProjectL2 Station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4"/>
    <x v="41"/>
    <x v="1"/>
    <x v="0"/>
    <n v="0.62861482847842298"/>
    <n v="0"/>
    <s v="Unnamed ProjectL2 Station4.ScheduledUtilizationScheduled UtilizationResource"/>
    <n v="10"/>
    <n v="0.62814585354256225"/>
    <n v="7.7648569130547428E-4"/>
    <n v="0.95"/>
    <n v="5.5546440166277669E-4"/>
    <n v="0.62668997340539101"/>
    <n v="0.629372102267024"/>
  </r>
  <r>
    <x v="0"/>
    <s v="2025-12-30 22:09:11"/>
    <n v="4"/>
    <x v="42"/>
    <x v="0"/>
    <x v="0"/>
    <n v="18402"/>
    <n v="0"/>
    <s v="Unnamed ProjectL3 Station1.NumberSeizedTotal Number SeizedResource"/>
    <n v="10"/>
    <n v="18392"/>
    <n v="12.884098726725126"/>
    <n v="0.95"/>
    <n v="9.2167290013706662"/>
    <n v="18376"/>
    <n v="18407"/>
  </r>
  <r>
    <x v="0"/>
    <s v="2025-12-30 22:09:11"/>
    <n v="4"/>
    <x v="43"/>
    <x v="1"/>
    <x v="0"/>
    <n v="0.95841039008199003"/>
    <n v="0"/>
    <s v="Unnamed ProjectL3 Station1.ScheduledUtilizationScheduled UtilizationResource"/>
    <n v="10"/>
    <n v="0.9578548406389944"/>
    <n v="7.0772834598480485E-4"/>
    <n v="0.95"/>
    <n v="5.0627835985142609E-4"/>
    <n v="0.95655010461043799"/>
    <n v="0.95869742508961697"/>
  </r>
  <r>
    <x v="0"/>
    <s v="2025-12-30 22:09:11"/>
    <n v="4"/>
    <x v="44"/>
    <x v="0"/>
    <x v="0"/>
    <n v="18399"/>
    <n v="0"/>
    <s v="Unnamed ProjectL3 Station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4"/>
    <x v="45"/>
    <x v="1"/>
    <x v="0"/>
    <n v="1.0003421138395501"/>
    <n v="0"/>
    <s v="Unnamed ProjectL3 Station2.ScheduledUtilizationScheduled UtilizationResource"/>
    <n v="10"/>
    <n v="1.0003902798422071"/>
    <n v="5.593555412291058E-5"/>
    <n v="0.95"/>
    <n v="4.0013884931119971E-5"/>
    <n v="1.0003027766980599"/>
    <n v="1.00046792437877"/>
  </r>
  <r>
    <x v="0"/>
    <s v="2025-12-30 22:09:11"/>
    <n v="4"/>
    <x v="46"/>
    <x v="4"/>
    <x v="2"/>
    <n v="157291.71743880899"/>
    <n v="0"/>
    <s v="Unnamed ProjectProcess 1 Accum VA TimeAccum VA TimeProcess"/>
    <n v="10"/>
    <n v="157133.73428655442"/>
    <n v="123.15330812839177"/>
    <n v="0.95"/>
    <n v="88.098569462778244"/>
    <n v="156930.294881654"/>
    <n v="157303.990839153"/>
  </r>
  <r>
    <x v="0"/>
    <s v="2025-12-30 22:09:11"/>
    <n v="4"/>
    <x v="47"/>
    <x v="2"/>
    <x v="2"/>
    <n v="13088"/>
    <n v="0"/>
    <s v="Unnamed ProjectProcess 1 Number InNumber InProcess"/>
    <n v="10"/>
    <n v="13103.5"/>
    <n v="11.443095929181249"/>
    <n v="0.95"/>
    <n v="8.1858976986246059"/>
    <n v="13087"/>
    <n v="13120"/>
  </r>
  <r>
    <x v="0"/>
    <s v="2025-12-30 22:09:11"/>
    <n v="4"/>
    <x v="48"/>
    <x v="3"/>
    <x v="2"/>
    <n v="13088"/>
    <n v="0"/>
    <s v="Unnamed ProjectProcess 1 Number OutNumber OutProcess"/>
    <n v="10"/>
    <n v="13103.5"/>
    <n v="11.443095929181249"/>
    <n v="0.95"/>
    <n v="8.1858976986246059"/>
    <n v="13087"/>
    <n v="13120"/>
  </r>
  <r>
    <x v="0"/>
    <s v="2025-12-30 22:09:11"/>
    <n v="4"/>
    <x v="49"/>
    <x v="4"/>
    <x v="2"/>
    <n v="21737.561928445"/>
    <n v="0"/>
    <s v="Unnamed ProjectProcess 14 Accum VA TimeAccum VA TimeProcess"/>
    <n v="10"/>
    <n v="21817.897664333104"/>
    <n v="40.377465047897729"/>
    <n v="0.95"/>
    <n v="28.884298467602775"/>
    <n v="21737.561928445"/>
    <n v="21880.2668082411"/>
  </r>
  <r>
    <x v="0"/>
    <s v="2025-12-30 22:09:11"/>
    <n v="4"/>
    <x v="50"/>
    <x v="2"/>
    <x v="2"/>
    <n v="6540"/>
    <n v="0"/>
    <s v="Unnamed ProjectProcess 14 Number InNumber InProcess"/>
    <n v="10"/>
    <n v="6547.7"/>
    <n v="5.735852159879995"/>
    <n v="0.95"/>
    <n v="4.1031814541969078"/>
    <n v="6540"/>
    <n v="6557"/>
  </r>
  <r>
    <x v="0"/>
    <s v="2025-12-30 22:09:11"/>
    <n v="4"/>
    <x v="51"/>
    <x v="3"/>
    <x v="2"/>
    <n v="6540"/>
    <n v="0"/>
    <s v="Unnamed ProjectProcess 14 Number OutNumber OutProcess"/>
    <n v="10"/>
    <n v="6547.3"/>
    <n v="5.7164480035925962"/>
    <n v="0.95"/>
    <n v="4.0893005569921828"/>
    <n v="6539"/>
    <n v="6556"/>
  </r>
  <r>
    <x v="0"/>
    <s v="2025-12-30 22:09:11"/>
    <n v="4"/>
    <x v="52"/>
    <x v="4"/>
    <x v="2"/>
    <n v="78434.750255210005"/>
    <n v="0"/>
    <s v="Unnamed ProjectProcess 2 Accum VA TimeAccum VA TimeProcess"/>
    <n v="10"/>
    <n v="78656.282482549519"/>
    <n v="139.39621135358072"/>
    <n v="0.95"/>
    <n v="99.718042457930338"/>
    <n v="78434.750255210005"/>
    <n v="78879.0340749358"/>
  </r>
  <r>
    <x v="0"/>
    <s v="2025-12-30 22:09:11"/>
    <n v="4"/>
    <x v="53"/>
    <x v="2"/>
    <x v="2"/>
    <n v="13087"/>
    <n v="0"/>
    <s v="Unnamed ProjectProcess 2 Number InNumber InProcess"/>
    <n v="10"/>
    <n v="13100.1"/>
    <n v="11.46443776786866"/>
    <n v="0.95"/>
    <n v="8.2011647303157567"/>
    <n v="13083"/>
    <n v="13118"/>
  </r>
  <r>
    <x v="0"/>
    <s v="2025-12-30 22:09:11"/>
    <n v="4"/>
    <x v="54"/>
    <x v="3"/>
    <x v="2"/>
    <n v="13087"/>
    <n v="0"/>
    <s v="Unnamed ProjectProcess 2 Number OutNumber OutProcess"/>
    <n v="10"/>
    <n v="13100.1"/>
    <n v="11.46443776786866"/>
    <n v="0.95"/>
    <n v="8.2011647303157567"/>
    <n v="13083"/>
    <n v="13118"/>
  </r>
  <r>
    <x v="0"/>
    <s v="2025-12-30 22:09:11"/>
    <n v="4"/>
    <x v="55"/>
    <x v="4"/>
    <x v="2"/>
    <n v="143902.275868511"/>
    <n v="0"/>
    <s v="Unnamed ProjectProcess 3 Accum VA TimeAccum VA TimeProcess"/>
    <n v="10"/>
    <n v="144088.31566564049"/>
    <n v="147.41980686592098"/>
    <n v="0.95"/>
    <n v="105.45777691839817"/>
    <n v="143896.696561805"/>
    <n v="144298.22507098701"/>
  </r>
  <r>
    <x v="0"/>
    <s v="2025-12-30 22:09:11"/>
    <n v="4"/>
    <x v="56"/>
    <x v="2"/>
    <x v="2"/>
    <n v="13086"/>
    <n v="0"/>
    <s v="Unnamed ProjectProcess 3 Number InNumber InProcess"/>
    <n v="10"/>
    <n v="13099.9"/>
    <n v="11.761046816598522"/>
    <n v="0.95"/>
    <n v="8.4133460616980535"/>
    <n v="13082"/>
    <n v="13118"/>
  </r>
  <r>
    <x v="0"/>
    <s v="2025-12-30 22:09:11"/>
    <n v="4"/>
    <x v="57"/>
    <x v="3"/>
    <x v="2"/>
    <n v="13086"/>
    <n v="0"/>
    <s v="Unnamed ProjectProcess 3 Number OutNumber OutProcess"/>
    <n v="10"/>
    <n v="13099.9"/>
    <n v="11.761046816598522"/>
    <n v="0.95"/>
    <n v="8.4133460616980535"/>
    <n v="13082"/>
    <n v="13118"/>
  </r>
  <r>
    <x v="0"/>
    <s v="2025-12-30 22:09:11"/>
    <n v="4"/>
    <x v="58"/>
    <x v="4"/>
    <x v="2"/>
    <n v="57719.699277478503"/>
    <n v="0"/>
    <s v="Unnamed ProjectProcess 4 Accum VA TimeAccum VA TimeProcess"/>
    <n v="10"/>
    <n v="57657.842851106019"/>
    <n v="66.206976538127805"/>
    <n v="0.95"/>
    <n v="47.361617889987492"/>
    <n v="57569.6670912306"/>
    <n v="57778.887305354197"/>
  </r>
  <r>
    <x v="0"/>
    <s v="2025-12-30 22:09:11"/>
    <n v="4"/>
    <x v="59"/>
    <x v="2"/>
    <x v="2"/>
    <n v="8234"/>
    <n v="0"/>
    <s v="Unnamed ProjectProcess 4 Number InNumber InProcess"/>
    <n v="10"/>
    <n v="8235"/>
    <n v="6.5659052011974035"/>
    <n v="0.95"/>
    <n v="4.6969656296252689"/>
    <n v="8223"/>
    <n v="8245"/>
  </r>
  <r>
    <x v="0"/>
    <s v="2025-12-30 22:09:11"/>
    <n v="4"/>
    <x v="60"/>
    <x v="3"/>
    <x v="2"/>
    <n v="8234"/>
    <n v="0"/>
    <s v="Unnamed ProjectProcess 4 Number OutNumber OutProcess"/>
    <n v="10"/>
    <n v="8235"/>
    <n v="6.5659052011974035"/>
    <n v="0.95"/>
    <n v="4.6969656296252689"/>
    <n v="8223"/>
    <n v="8245"/>
  </r>
  <r>
    <x v="0"/>
    <s v="2025-12-30 22:09:11"/>
    <n v="4"/>
    <x v="61"/>
    <x v="4"/>
    <x v="2"/>
    <n v="82354.253371216502"/>
    <n v="0"/>
    <s v="Unnamed ProjectProcess 5 Accum VA TimeAccum VA TimeProcess"/>
    <n v="10"/>
    <n v="82354.925585571807"/>
    <n v="74.759806822996126"/>
    <n v="0.95"/>
    <n v="53.479944099863097"/>
    <n v="82287.012858407106"/>
    <n v="82509.9089339692"/>
  </r>
  <r>
    <x v="0"/>
    <s v="2025-12-30 22:09:11"/>
    <n v="4"/>
    <x v="62"/>
    <x v="2"/>
    <x v="2"/>
    <n v="8232"/>
    <n v="0"/>
    <s v="Unnamed ProjectProcess 5 Number InNumber InProcess"/>
    <n v="10"/>
    <n v="8233.5"/>
    <n v="6.5021364010437201"/>
    <n v="0.95"/>
    <n v="4.6513481780498687"/>
    <n v="8221"/>
    <n v="8243"/>
  </r>
  <r>
    <x v="0"/>
    <s v="2025-12-30 22:09:11"/>
    <n v="4"/>
    <x v="63"/>
    <x v="3"/>
    <x v="2"/>
    <n v="8232"/>
    <n v="0"/>
    <s v="Unnamed ProjectProcess 5 Number OutNumber OutProcess"/>
    <n v="10"/>
    <n v="8233.5"/>
    <n v="6.5021364010437201"/>
    <n v="0.95"/>
    <n v="4.6513481780498687"/>
    <n v="8221"/>
    <n v="8243"/>
  </r>
  <r>
    <x v="0"/>
    <s v="2025-12-30 22:09:11"/>
    <n v="4"/>
    <x v="64"/>
    <x v="4"/>
    <x v="2"/>
    <n v="205893.81887935"/>
    <n v="0"/>
    <s v="Unnamed ProjectProcess 6 Accum VA TimeAccum VA TimeProcess"/>
    <n v="10"/>
    <n v="205782.3721339902"/>
    <n v="135.17903819323379"/>
    <n v="0.95"/>
    <n v="96.701258514002035"/>
    <n v="205554.00796082799"/>
    <n v="205962.665291818"/>
  </r>
  <r>
    <x v="0"/>
    <s v="2025-12-30 22:09:11"/>
    <n v="4"/>
    <x v="65"/>
    <x v="2"/>
    <x v="2"/>
    <n v="8230"/>
    <n v="0"/>
    <s v="Unnamed ProjectProcess 6 Number InNumber InProcess"/>
    <n v="10"/>
    <n v="8231.5"/>
    <n v="6.3464775882199236"/>
    <n v="0.95"/>
    <n v="4.5399965713211703"/>
    <n v="8220"/>
    <n v="8241"/>
  </r>
  <r>
    <x v="0"/>
    <s v="2025-12-30 22:09:11"/>
    <n v="4"/>
    <x v="66"/>
    <x v="3"/>
    <x v="2"/>
    <n v="8230"/>
    <n v="0"/>
    <s v="Unnamed ProjectProcess 6 Number OutNumber OutProcess"/>
    <n v="10"/>
    <n v="8231.5"/>
    <n v="6.3464775882199236"/>
    <n v="0.95"/>
    <n v="4.5399965713211703"/>
    <n v="8220"/>
    <n v="8241"/>
  </r>
  <r>
    <x v="0"/>
    <s v="2025-12-30 22:09:11"/>
    <n v="4"/>
    <x v="67"/>
    <x v="4"/>
    <x v="2"/>
    <n v="98590.187897980606"/>
    <n v="0"/>
    <s v="Unnamed ProjectProcess 7 Accum VA TimeAccum VA TimeProcess"/>
    <n v="10"/>
    <n v="98625.180720296266"/>
    <n v="166.97558012409817"/>
    <n v="0.95"/>
    <n v="119.44713437023168"/>
    <n v="98434.330991768598"/>
    <n v="98993.883345143302"/>
  </r>
  <r>
    <x v="0"/>
    <s v="2025-12-30 22:09:11"/>
    <n v="4"/>
    <x v="68"/>
    <x v="2"/>
    <x v="2"/>
    <n v="8226"/>
    <n v="0"/>
    <s v="Unnamed ProjectProcess 7 Number InNumber InProcess"/>
    <n v="10"/>
    <n v="8227.7000000000007"/>
    <n v="6.2902040242480748"/>
    <n v="0.95"/>
    <n v="4.4997408887103267"/>
    <n v="8216"/>
    <n v="8237"/>
  </r>
  <r>
    <x v="0"/>
    <s v="2025-12-30 22:09:11"/>
    <n v="4"/>
    <x v="69"/>
    <x v="3"/>
    <x v="2"/>
    <n v="8226"/>
    <n v="0"/>
    <s v="Unnamed ProjectProcess 7 Number OutNumber OutProcess"/>
    <n v="10"/>
    <n v="8227.7000000000007"/>
    <n v="6.2902040242480748"/>
    <n v="0.95"/>
    <n v="4.4997408887103267"/>
    <n v="8216"/>
    <n v="8237"/>
  </r>
  <r>
    <x v="0"/>
    <s v="2025-12-30 22:09:11"/>
    <n v="4"/>
    <x v="70"/>
    <x v="4"/>
    <x v="2"/>
    <n v="91998.894900240295"/>
    <n v="0"/>
    <s v="Unnamed ProjectProcess 8 Accum VA TimeAccum VA TimeProcess"/>
    <n v="10"/>
    <n v="91917.034029149756"/>
    <n v="167.33037075092571"/>
    <n v="0.95"/>
    <n v="119.70093629530641"/>
    <n v="91632.276670136605"/>
    <n v="92162.594279262106"/>
  </r>
  <r>
    <x v="0"/>
    <s v="2025-12-30 22:09:11"/>
    <n v="4"/>
    <x v="71"/>
    <x v="2"/>
    <x v="2"/>
    <n v="18402"/>
    <n v="0"/>
    <s v="Unnamed ProjectProcess 8 Number InNumber InProcess"/>
    <n v="10"/>
    <n v="18392"/>
    <n v="12.884098726725126"/>
    <n v="0.95"/>
    <n v="9.2167290013706662"/>
    <n v="18376"/>
    <n v="18407"/>
  </r>
  <r>
    <x v="0"/>
    <s v="2025-12-30 22:09:11"/>
    <n v="4"/>
    <x v="72"/>
    <x v="3"/>
    <x v="2"/>
    <n v="18402"/>
    <n v="0"/>
    <s v="Unnamed ProjectProcess 8 Number OutNumber OutProcess"/>
    <n v="10"/>
    <n v="18392"/>
    <n v="12.884098726725126"/>
    <n v="0.95"/>
    <n v="9.2167290013706662"/>
    <n v="18376"/>
    <n v="18407"/>
  </r>
  <r>
    <x v="0"/>
    <s v="2025-12-30 22:09:11"/>
    <n v="4"/>
    <x v="73"/>
    <x v="4"/>
    <x v="2"/>
    <n v="104335.096217932"/>
    <n v="0"/>
    <s v="Unnamed ProjectProcess 9 Accum VA TimeAccum VA TimeProcess"/>
    <n v="10"/>
    <n v="104198.44406523299"/>
    <n v="99.045608472383734"/>
    <n v="0.95"/>
    <n v="70.852960026786278"/>
    <n v="104039.320720244"/>
    <n v="104335.096217932"/>
  </r>
  <r>
    <x v="0"/>
    <s v="2025-12-30 22:09:11"/>
    <n v="4"/>
    <x v="74"/>
    <x v="2"/>
    <x v="2"/>
    <n v="18399"/>
    <n v="0"/>
    <s v="Unnamed ProjectProcess 9 Number InNumber InProcess"/>
    <n v="10"/>
    <n v="18389.400000000001"/>
    <n v="12.103259432437566"/>
    <n v="0.95"/>
    <n v="8.6581502197487996"/>
    <n v="18376"/>
    <n v="18404"/>
  </r>
  <r>
    <x v="0"/>
    <s v="2025-12-30 22:09:11"/>
    <n v="4"/>
    <x v="75"/>
    <x v="3"/>
    <x v="2"/>
    <n v="18399"/>
    <n v="0"/>
    <s v="Unnamed ProjectProcess 9 Number OutNumber OutProcess"/>
    <n v="10"/>
    <n v="18389.400000000001"/>
    <n v="12.103259432437566"/>
    <n v="0.95"/>
    <n v="8.6581502197487996"/>
    <n v="18376"/>
    <n v="18404"/>
  </r>
  <r>
    <x v="0"/>
    <s v="2025-12-30 22:09:11"/>
    <n v="4"/>
    <x v="76"/>
    <x v="0"/>
    <x v="0"/>
    <n v="0"/>
    <n v="0"/>
    <s v="Unnamed ProjectSales Department.NumberSeizedTotal Number SeizedResource"/>
    <n v="10"/>
    <n v="0"/>
    <n v="0"/>
    <n v="0.95"/>
    <n v="0"/>
    <n v="0"/>
    <n v="0"/>
  </r>
  <r>
    <x v="0"/>
    <s v="2025-12-30 22:09:11"/>
    <n v="4"/>
    <x v="77"/>
    <x v="1"/>
    <x v="0"/>
    <n v="0"/>
    <n v="0"/>
    <s v="Unnamed ProjectSales Department.ScheduledUtilizationScheduled UtilizationResource"/>
    <n v="10"/>
    <n v="0"/>
    <n v="0"/>
    <n v="0.95"/>
    <n v="0"/>
    <n v="0"/>
    <n v="0"/>
  </r>
  <r>
    <x v="0"/>
    <s v="2025-12-30 22:09:11"/>
    <n v="4"/>
    <x v="78"/>
    <x v="0"/>
    <x v="0"/>
    <n v="116"/>
    <n v="0"/>
    <s v="Unnamed ProjectSales Rep.NumberSeizedTotal Number SeizedResource"/>
    <n v="10"/>
    <n v="118.7"/>
    <n v="12.587913073879887"/>
    <n v="0.95"/>
    <n v="9.0048505491583946"/>
    <n v="95"/>
    <n v="141"/>
  </r>
  <r>
    <x v="0"/>
    <s v="2025-12-30 22:09:11"/>
    <n v="4"/>
    <x v="79"/>
    <x v="1"/>
    <x v="0"/>
    <n v="0.330224506198316"/>
    <n v="0"/>
    <s v="Unnamed ProjectSales Rep.ScheduledUtilizationScheduled UtilizationResource"/>
    <n v="10"/>
    <n v="0.3273551167875815"/>
    <n v="3.5172818533154994E-2"/>
    <n v="0.95"/>
    <n v="2.5161118640145405E-2"/>
    <n v="0.26933581669894202"/>
    <n v="0.39321867243708603"/>
  </r>
  <r>
    <x v="0"/>
    <s v="2025-12-30 22:09:11"/>
    <n v="4"/>
    <x v="80"/>
    <x v="3"/>
    <x v="3"/>
    <n v="2464"/>
    <n v="0"/>
    <s v="Unnamed ProjectSystem.NumberOutNumber OutSystem"/>
    <n v="10"/>
    <n v="2503.1"/>
    <n v="29.72260643573059"/>
    <n v="0.95"/>
    <n v="21.262271777248003"/>
    <n v="2457"/>
    <n v="2546"/>
  </r>
  <r>
    <x v="0"/>
    <s v="2025-12-30 22:09:11"/>
    <n v="4"/>
    <x v="81"/>
    <x v="2"/>
    <x v="1"/>
    <n v="7823"/>
    <n v="0"/>
    <s v="Unnamed ProjectWire Harness.NumberInNumber InEntity"/>
    <n v="10"/>
    <n v="7832.8"/>
    <n v="7.8287220469811594"/>
    <n v="0.95"/>
    <n v="5.6003303812327712"/>
    <n v="7818"/>
    <n v="7845"/>
  </r>
  <r>
    <x v="0"/>
    <s v="2025-12-30 22:09:11"/>
    <n v="4"/>
    <x v="82"/>
    <x v="3"/>
    <x v="1"/>
    <n v="7819"/>
    <n v="0"/>
    <s v="Unnamed ProjectWire Harness.NumberOutNumber OutEntity"/>
    <n v="10"/>
    <n v="7828.3"/>
    <n v="7.1032074132433696"/>
    <n v="0.95"/>
    <n v="5.0813284776056653"/>
    <n v="7815"/>
    <n v="7840"/>
  </r>
  <r>
    <x v="0"/>
    <s v="2025-12-30 22:09:11"/>
    <n v="4"/>
    <x v="83"/>
    <x v="4"/>
    <x v="2"/>
    <n v="53496.370004127202"/>
    <n v="0"/>
    <s v="Unnamed Projectsales Accum VA TimeAccum VA TimeProcess"/>
    <n v="10"/>
    <n v="53031.528919588192"/>
    <n v="5697.9966023710867"/>
    <n v="0.95"/>
    <n v="4076.1012197035402"/>
    <n v="43632.402305228599"/>
    <n v="63701.424934807801"/>
  </r>
  <r>
    <x v="0"/>
    <s v="2025-12-30 22:09:11"/>
    <n v="4"/>
    <x v="84"/>
    <x v="2"/>
    <x v="2"/>
    <n v="116"/>
    <n v="0"/>
    <s v="Unnamed Projectsales Number InNumber InProcess"/>
    <n v="10"/>
    <n v="118.7"/>
    <n v="12.587913073879887"/>
    <n v="0.95"/>
    <n v="9.0048505491583946"/>
    <n v="95"/>
    <n v="141"/>
  </r>
  <r>
    <x v="0"/>
    <s v="2025-12-30 22:09:11"/>
    <n v="4"/>
    <x v="85"/>
    <x v="3"/>
    <x v="2"/>
    <n v="116"/>
    <n v="0"/>
    <s v="Unnamed Projectsales Number OutNumber OutProcess"/>
    <n v="10"/>
    <n v="118.7"/>
    <n v="12.587913073879887"/>
    <n v="0.95"/>
    <n v="9.0048505491583946"/>
    <n v="95"/>
    <n v="141"/>
  </r>
  <r>
    <x v="0"/>
    <s v="2025-12-30 22:09:11"/>
    <n v="5"/>
    <x v="0"/>
    <x v="0"/>
    <x v="0"/>
    <n v="6553"/>
    <n v="0"/>
    <s v="Unnamed ProjectAssembler.NumberSeizedTotal Number SeizedResource"/>
    <n v="10"/>
    <n v="6547.7"/>
    <n v="5.735852159879995"/>
    <n v="0.95"/>
    <n v="4.1031814541969078"/>
    <n v="6540"/>
    <n v="6557"/>
  </r>
  <r>
    <x v="0"/>
    <s v="2025-12-30 22:09:11"/>
    <n v="5"/>
    <x v="1"/>
    <x v="1"/>
    <x v="0"/>
    <n v="7.5851796513499298E-2"/>
    <n v="0"/>
    <s v="Unnamed ProjectAssembler.ScheduledUtilizationScheduled UtilizationResource"/>
    <n v="10"/>
    <n v="7.575658911226775E-2"/>
    <n v="1.4019953141627205E-4"/>
    <n v="0.95"/>
    <n v="1.0029270301248135E-4"/>
    <n v="7.5477645584878503E-2"/>
    <n v="7.5973148639726207E-2"/>
  </r>
  <r>
    <x v="0"/>
    <s v="2025-12-30 22:09:11"/>
    <n v="5"/>
    <x v="2"/>
    <x v="2"/>
    <x v="1"/>
    <n v="1122"/>
    <n v="0"/>
    <s v="Unnamed ProjectCustomer.NumberInNumber InEntity"/>
    <n v="10"/>
    <n v="1090.3"/>
    <n v="32.666836734251177"/>
    <n v="0.95"/>
    <n v="23.368447254062772"/>
    <n v="1042"/>
    <n v="1141"/>
  </r>
  <r>
    <x v="0"/>
    <s v="2025-12-30 22:09:11"/>
    <n v="5"/>
    <x v="3"/>
    <x v="3"/>
    <x v="1"/>
    <n v="1122"/>
    <n v="0"/>
    <s v="Unnamed ProjectCustomer.NumberOutNumber OutEntity"/>
    <n v="10"/>
    <n v="1090.3"/>
    <n v="32.666836734251177"/>
    <n v="0.95"/>
    <n v="23.368447254062772"/>
    <n v="1042"/>
    <n v="1141"/>
  </r>
  <r>
    <x v="0"/>
    <s v="2025-12-30 22:09:11"/>
    <n v="5"/>
    <x v="4"/>
    <x v="2"/>
    <x v="1"/>
    <n v="19832"/>
    <n v="0"/>
    <s v="Unnamed ProjectEntity 1.NumberInNumber InEntity"/>
    <n v="10"/>
    <n v="19822.900000000001"/>
    <n v="20.151922985164472"/>
    <n v="0.95"/>
    <n v="14.415817276026377"/>
    <n v="19788"/>
    <n v="19852"/>
  </r>
  <r>
    <x v="0"/>
    <s v="2025-12-30 22:09:11"/>
    <n v="5"/>
    <x v="5"/>
    <x v="3"/>
    <x v="1"/>
    <n v="19650"/>
    <n v="0"/>
    <s v="Unnamed ProjectEntity 1.NumberOutNumber OutEntity"/>
    <n v="10"/>
    <n v="19635.599999999999"/>
    <n v="15.086417732516889"/>
    <n v="0.95"/>
    <n v="10.792173111314252"/>
    <n v="19614"/>
    <n v="19662"/>
  </r>
  <r>
    <x v="0"/>
    <s v="2025-12-30 22:09:11"/>
    <n v="5"/>
    <x v="6"/>
    <x v="2"/>
    <x v="1"/>
    <n v="8431"/>
    <n v="0"/>
    <s v="Unnamed ProjectEntity 2.NumberInNumber InEntity"/>
    <n v="10"/>
    <n v="8398"/>
    <n v="24.133885813197271"/>
    <n v="0.95"/>
    <n v="17.264341884378119"/>
    <n v="8353"/>
    <n v="8437"/>
  </r>
  <r>
    <x v="0"/>
    <s v="2025-12-30 22:09:11"/>
    <n v="5"/>
    <x v="7"/>
    <x v="3"/>
    <x v="1"/>
    <n v="6550"/>
    <n v="0"/>
    <s v="Unnamed ProjectEntity 2.NumberOutNumber OutEntity"/>
    <n v="10"/>
    <n v="6545.2"/>
    <n v="5.0288059108389627"/>
    <n v="0.95"/>
    <n v="3.5973910371047504"/>
    <n v="6538"/>
    <n v="6554"/>
  </r>
  <r>
    <x v="0"/>
    <s v="2025-12-30 22:09:11"/>
    <n v="5"/>
    <x v="8"/>
    <x v="2"/>
    <x v="1"/>
    <n v="27746"/>
    <n v="0"/>
    <s v="Unnamed ProjectEntity 3.NumberInNumber InEntity"/>
    <n v="10"/>
    <n v="27753.7"/>
    <n v="25.447331228768697"/>
    <n v="0.95"/>
    <n v="18.203924133022646"/>
    <n v="27724"/>
    <n v="27792"/>
  </r>
  <r>
    <x v="0"/>
    <s v="2025-12-30 22:09:11"/>
    <n v="5"/>
    <x v="9"/>
    <x v="3"/>
    <x v="1"/>
    <n v="19650"/>
    <n v="0"/>
    <s v="Unnamed ProjectEntity 3.NumberOutNumber OutEntity"/>
    <n v="10"/>
    <n v="19635.599999999999"/>
    <n v="15.086417732516889"/>
    <n v="0.95"/>
    <n v="10.792173111314252"/>
    <n v="19614"/>
    <n v="19662"/>
  </r>
  <r>
    <x v="0"/>
    <s v="2025-12-30 22:09:11"/>
    <n v="5"/>
    <x v="10"/>
    <x v="0"/>
    <x v="0"/>
    <n v="13114"/>
    <n v="0"/>
    <s v="Unnamed ProjectKanban L1S1.NumberSeizedTotal Number SeizedResource"/>
    <n v="10"/>
    <n v="13103.5"/>
    <n v="11.443095929181249"/>
    <n v="0.95"/>
    <n v="8.1858976986246059"/>
    <n v="13087"/>
    <n v="13120"/>
  </r>
  <r>
    <x v="0"/>
    <s v="2025-12-30 22:09:11"/>
    <n v="5"/>
    <x v="11"/>
    <x v="1"/>
    <x v="0"/>
    <n v="0.43353510935495398"/>
    <n v="0"/>
    <s v="Unnamed ProjectKanban L1S1.ScheduledUtilizationScheduled UtilizationResource"/>
    <n v="10"/>
    <n v="0.48160620907873086"/>
    <n v="8.6686321722355061E-2"/>
    <n v="0.95"/>
    <n v="6.2011658897281531E-2"/>
    <n v="0.292184201252493"/>
    <n v="0.57167989674475905"/>
  </r>
  <r>
    <x v="0"/>
    <s v="2025-12-30 22:09:11"/>
    <n v="5"/>
    <x v="12"/>
    <x v="0"/>
    <x v="0"/>
    <n v="13111"/>
    <n v="0"/>
    <s v="Unnamed ProjectKanban L1S2.NumberSeizedTotal Number SeizedResource"/>
    <n v="10"/>
    <n v="13100.1"/>
    <n v="11.46443776786866"/>
    <n v="0.95"/>
    <n v="8.2011647303157567"/>
    <n v="13083"/>
    <n v="13118"/>
  </r>
  <r>
    <x v="0"/>
    <s v="2025-12-30 22:09:11"/>
    <n v="5"/>
    <x v="13"/>
    <x v="1"/>
    <x v="0"/>
    <n v="0.23696449062414601"/>
    <n v="0"/>
    <s v="Unnamed ProjectKanban L1S2.ScheduledUtilizationScheduled UtilizationResource"/>
    <n v="10"/>
    <n v="0.25269289312392168"/>
    <n v="4.921401008308305E-2"/>
    <n v="0.95"/>
    <n v="3.5205581983443382E-2"/>
    <n v="0.20500025225945601"/>
    <n v="0.33570777662711399"/>
  </r>
  <r>
    <x v="0"/>
    <s v="2025-12-30 22:09:11"/>
    <n v="5"/>
    <x v="14"/>
    <x v="0"/>
    <x v="0"/>
    <n v="13111"/>
    <n v="0"/>
    <s v="Unnamed ProjectKanban L1S3.NumberSeizedTotal Number SeizedResource"/>
    <n v="10"/>
    <n v="13099.9"/>
    <n v="11.761046816598522"/>
    <n v="0.95"/>
    <n v="8.4133460616980535"/>
    <n v="13082"/>
    <n v="13118"/>
  </r>
  <r>
    <x v="0"/>
    <s v="2025-12-30 22:09:11"/>
    <n v="5"/>
    <x v="15"/>
    <x v="1"/>
    <x v="0"/>
    <n v="0.151658430645772"/>
    <n v="0"/>
    <s v="Unnamed ProjectKanban L1S3.ScheduledUtilizationScheduled UtilizationResource"/>
    <n v="10"/>
    <n v="0.151561654865698"/>
    <n v="1.2198256688170919E-4"/>
    <n v="0.95"/>
    <n v="8.7261071626859165E-5"/>
    <n v="0.15134711042770399"/>
    <n v="0.15172806047441101"/>
  </r>
  <r>
    <x v="0"/>
    <s v="2025-12-30 22:09:11"/>
    <n v="5"/>
    <x v="16"/>
    <x v="0"/>
    <x v="0"/>
    <n v="8245"/>
    <n v="0"/>
    <s v="Unnamed ProjectKanban L2S1.NumberSeizedTotal Number SeizedResource"/>
    <n v="10"/>
    <n v="8235"/>
    <n v="6.5659052011974035"/>
    <n v="0.95"/>
    <n v="4.6969656296252689"/>
    <n v="8223"/>
    <n v="8245"/>
  </r>
  <r>
    <x v="0"/>
    <s v="2025-12-30 22:09:11"/>
    <n v="5"/>
    <x v="17"/>
    <x v="1"/>
    <x v="0"/>
    <n v="0.95234896906597499"/>
    <n v="0"/>
    <s v="Unnamed ProjectKanban L2S1.ScheduledUtilizationScheduled UtilizationResource"/>
    <n v="10"/>
    <n v="0.84558522180863771"/>
    <n v="0.11694354024491282"/>
    <n v="0.95"/>
    <n v="8.3656369122856733E-2"/>
    <n v="0.625269422960122"/>
    <n v="0.95234896906597499"/>
  </r>
  <r>
    <x v="0"/>
    <s v="2025-12-30 22:09:11"/>
    <n v="5"/>
    <x v="18"/>
    <x v="0"/>
    <x v="0"/>
    <n v="8243"/>
    <n v="0"/>
    <s v="Unnamed ProjectKanban L2S2.NumberSeizedTotal Number SeizedResource"/>
    <n v="10"/>
    <n v="8233.5"/>
    <n v="6.5021364010437201"/>
    <n v="0.95"/>
    <n v="4.6513481780498687"/>
    <n v="8221"/>
    <n v="8243"/>
  </r>
  <r>
    <x v="0"/>
    <s v="2025-12-30 22:09:11"/>
    <n v="5"/>
    <x v="19"/>
    <x v="1"/>
    <x v="0"/>
    <n v="0.69066103263237899"/>
    <n v="0"/>
    <s v="Unnamed ProjectKanban L2S2.ScheduledUtilizationScheduled UtilizationResource"/>
    <n v="10"/>
    <n v="0.74077431571180286"/>
    <n v="6.1280007141721847E-2"/>
    <n v="0.95"/>
    <n v="4.3837076306762375E-2"/>
    <n v="0.67060354368791897"/>
    <n v="0.87728997349342697"/>
  </r>
  <r>
    <x v="0"/>
    <s v="2025-12-30 22:09:11"/>
    <n v="5"/>
    <x v="20"/>
    <x v="0"/>
    <x v="0"/>
    <n v="8241"/>
    <n v="0"/>
    <s v="Unnamed ProjectKanban L2S3.NumberSeizedTotal Number SeizedResource"/>
    <n v="10"/>
    <n v="8231.5"/>
    <n v="6.3464775882199236"/>
    <n v="0.95"/>
    <n v="4.5399965713211703"/>
    <n v="8220"/>
    <n v="8241"/>
  </r>
  <r>
    <x v="0"/>
    <s v="2025-12-30 22:09:11"/>
    <n v="5"/>
    <x v="21"/>
    <x v="1"/>
    <x v="0"/>
    <n v="0.59886206518967"/>
    <n v="0"/>
    <s v="Unnamed ProjectKanban L2S3.ScheduledUtilizationScheduled UtilizationResource"/>
    <n v="10"/>
    <n v="0.52391445815006699"/>
    <n v="7.0460308415606909E-2"/>
    <n v="0.95"/>
    <n v="5.0404268221927347E-2"/>
    <n v="0.36555656561218303"/>
    <n v="0.59886206518967"/>
  </r>
  <r>
    <x v="0"/>
    <s v="2025-12-30 22:09:11"/>
    <n v="5"/>
    <x v="22"/>
    <x v="0"/>
    <x v="0"/>
    <n v="8237"/>
    <n v="0"/>
    <s v="Unnamed ProjectKanban L2S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5"/>
    <x v="23"/>
    <x v="1"/>
    <x v="0"/>
    <n v="0.14985050053976801"/>
    <n v="0"/>
    <s v="Unnamed ProjectKanban L2S4.ScheduledUtilizationScheduled UtilizationResource"/>
    <n v="10"/>
    <n v="0.14955853655775292"/>
    <n v="1.8487754554887928E-4"/>
    <n v="0.95"/>
    <n v="1.3225342896729691E-4"/>
    <n v="0.14921189842985499"/>
    <n v="0.14985050053976801"/>
  </r>
  <r>
    <x v="0"/>
    <s v="2025-12-30 22:09:11"/>
    <n v="5"/>
    <x v="24"/>
    <x v="0"/>
    <x v="0"/>
    <n v="18405"/>
    <n v="0"/>
    <s v="Unnamed ProjectKanban L3S1.NumberSeizedTotal Number SeizedResource"/>
    <n v="10"/>
    <n v="18392"/>
    <n v="12.884098726725126"/>
    <n v="0.95"/>
    <n v="9.2167290013706662"/>
    <n v="18376"/>
    <n v="18407"/>
  </r>
  <r>
    <x v="0"/>
    <s v="2025-12-30 22:09:11"/>
    <n v="5"/>
    <x v="25"/>
    <x v="1"/>
    <x v="0"/>
    <n v="0.90105208693160599"/>
    <n v="0"/>
    <s v="Unnamed ProjectKanban L3S1.ScheduledUtilizationScheduled UtilizationResource"/>
    <n v="10"/>
    <n v="0.78490250681152463"/>
    <n v="0.11345978752761485"/>
    <n v="0.95"/>
    <n v="8.1164242557843561E-2"/>
    <n v="0.58338388917401596"/>
    <n v="0.90111632059041802"/>
  </r>
  <r>
    <x v="0"/>
    <s v="2025-12-30 22:09:11"/>
    <n v="5"/>
    <x v="26"/>
    <x v="0"/>
    <x v="0"/>
    <n v="18401"/>
    <n v="0"/>
    <s v="Unnamed ProjectKanban L3S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5"/>
    <x v="27"/>
    <x v="1"/>
    <x v="0"/>
    <n v="0.15880301819842199"/>
    <n v="0"/>
    <s v="Unnamed ProjectKanban L3S2.ScheduledUtilizationScheduled UtilizationResource"/>
    <n v="10"/>
    <n v="0.15879210791146151"/>
    <n v="8.8786593843692651E-6"/>
    <n v="0.95"/>
    <n v="6.3514103063698042E-6"/>
    <n v="0.15877821852350199"/>
    <n v="0.15880443244107401"/>
  </r>
  <r>
    <x v="0"/>
    <s v="2025-12-30 22:09:11"/>
    <n v="5"/>
    <x v="28"/>
    <x v="0"/>
    <x v="0"/>
    <n v="13114"/>
    <n v="0"/>
    <s v="Unnamed ProjectL1 Station1.NumberSeizedTotal Number SeizedResource"/>
    <n v="10"/>
    <n v="13103.5"/>
    <n v="11.443095929181249"/>
    <n v="0.95"/>
    <n v="8.1858976986246059"/>
    <n v="13087"/>
    <n v="13120"/>
  </r>
  <r>
    <x v="0"/>
    <s v="2025-12-30 22:09:11"/>
    <n v="5"/>
    <x v="29"/>
    <x v="1"/>
    <x v="0"/>
    <n v="1.00041794935483"/>
    <n v="0"/>
    <s v="Unnamed ProjectL1 Station1.ScheduledUtilizationScheduled UtilizationResource"/>
    <n v="10"/>
    <n v="1.0004814685732331"/>
    <n v="7.4280555176725285E-5"/>
    <n v="0.95"/>
    <n v="5.3137108125005439E-5"/>
    <n v="1.00039897320567"/>
    <n v="1.00059414734778"/>
  </r>
  <r>
    <x v="0"/>
    <s v="2025-12-30 22:09:11"/>
    <n v="5"/>
    <x v="30"/>
    <x v="0"/>
    <x v="0"/>
    <n v="13111"/>
    <n v="0"/>
    <s v="Unnamed ProjectL1 Station2.NumberSeizedTotal Number SeizedResource"/>
    <n v="10"/>
    <n v="13100.1"/>
    <n v="11.46443776786866"/>
    <n v="0.95"/>
    <n v="8.2011647303157567"/>
    <n v="13083"/>
    <n v="13118"/>
  </r>
  <r>
    <x v="0"/>
    <s v="2025-12-30 22:09:11"/>
    <n v="5"/>
    <x v="31"/>
    <x v="1"/>
    <x v="0"/>
    <n v="0.72896261310967603"/>
    <n v="0"/>
    <s v="Unnamed ProjectL1 Station2.ScheduledUtilizationScheduled UtilizationResource"/>
    <n v="10"/>
    <n v="0.7279059511079462"/>
    <n v="7.0848304180243249E-4"/>
    <n v="0.95"/>
    <n v="5.0681823671647316E-4"/>
    <n v="0.72665767143328297"/>
    <n v="0.72896261310967603"/>
  </r>
  <r>
    <x v="0"/>
    <s v="2025-12-30 22:09:11"/>
    <n v="5"/>
    <x v="32"/>
    <x v="0"/>
    <x v="0"/>
    <n v="13111"/>
    <n v="0"/>
    <s v="Unnamed ProjectL1 Station3.NumberSeizedTotal Number SeizedResource"/>
    <n v="10"/>
    <n v="13099.9"/>
    <n v="11.761046816598522"/>
    <n v="0.95"/>
    <n v="8.4133460616980535"/>
    <n v="13082"/>
    <n v="13118"/>
  </r>
  <r>
    <x v="0"/>
    <s v="2025-12-30 22:09:11"/>
    <n v="5"/>
    <x v="33"/>
    <x v="1"/>
    <x v="0"/>
    <n v="0.95544811306836497"/>
    <n v="0"/>
    <s v="Unnamed ProjectL1 Station3.ScheduledUtilizationScheduled UtilizationResource"/>
    <n v="10"/>
    <n v="0.95483842565389732"/>
    <n v="7.6849017135544289E-4"/>
    <n v="0.95"/>
    <n v="5.497447512496955E-4"/>
    <n v="0.95348679569453398"/>
    <n v="0.95588678098879198"/>
  </r>
  <r>
    <x v="0"/>
    <s v="2025-12-30 22:09:11"/>
    <n v="5"/>
    <x v="34"/>
    <x v="0"/>
    <x v="0"/>
    <n v="8245"/>
    <n v="0"/>
    <s v="Unnamed ProjectL2 Station1.NumberSeizedTotal Number SeizedResource"/>
    <n v="10"/>
    <n v="8235"/>
    <n v="6.5659052011974035"/>
    <n v="0.95"/>
    <n v="4.6969656296252689"/>
    <n v="8223"/>
    <n v="8245"/>
  </r>
  <r>
    <x v="0"/>
    <s v="2025-12-30 22:09:11"/>
    <n v="5"/>
    <x v="35"/>
    <x v="1"/>
    <x v="0"/>
    <n v="0.48724920721519499"/>
    <n v="0"/>
    <s v="Unnamed ProjectL2 Station1.ScheduledUtilizationScheduled UtilizationResource"/>
    <n v="10"/>
    <n v="0.48622459141633045"/>
    <n v="7.2585329819825151E-4"/>
    <n v="0.95"/>
    <n v="5.1924416958770345E-4"/>
    <n v="0.48503601840289501"/>
    <n v="0.48724920721519499"/>
  </r>
  <r>
    <x v="0"/>
    <s v="2025-12-30 22:09:11"/>
    <n v="5"/>
    <x v="36"/>
    <x v="0"/>
    <x v="0"/>
    <n v="8243"/>
    <n v="0"/>
    <s v="Unnamed ProjectL2 Station2.NumberSeizedTotal Number SeizedResource"/>
    <n v="10"/>
    <n v="8233.5"/>
    <n v="6.5021364010437201"/>
    <n v="0.95"/>
    <n v="4.6513481780498687"/>
    <n v="8221"/>
    <n v="8243"/>
  </r>
  <r>
    <x v="0"/>
    <s v="2025-12-30 22:09:11"/>
    <n v="5"/>
    <x v="37"/>
    <x v="1"/>
    <x v="0"/>
    <n v="0.57170935216893504"/>
    <n v="0"/>
    <s v="Unnamed ProjectL2 Station2.ScheduledUtilizationScheduled UtilizationResource"/>
    <n v="10"/>
    <n v="0.57195959594019841"/>
    <n v="5.0695895005827636E-4"/>
    <n v="0.95"/>
    <n v="3.6265658596782525E-4"/>
    <n v="0.57115702440598504"/>
    <n v="0.57294957522841605"/>
  </r>
  <r>
    <x v="0"/>
    <s v="2025-12-30 22:09:11"/>
    <n v="5"/>
    <x v="38"/>
    <x v="0"/>
    <x v="0"/>
    <n v="8241"/>
    <n v="0"/>
    <s v="Unnamed ProjectL2 Station3.NumberSeizedTotal Number SeizedResource"/>
    <n v="10"/>
    <n v="8231.5"/>
    <n v="6.3464775882199236"/>
    <n v="0.95"/>
    <n v="4.5399965713211703"/>
    <n v="8220"/>
    <n v="8241"/>
  </r>
  <r>
    <x v="0"/>
    <s v="2025-12-30 22:09:11"/>
    <n v="5"/>
    <x v="39"/>
    <x v="1"/>
    <x v="0"/>
    <n v="1.0000655989645"/>
    <n v="0"/>
    <s v="Unnamed ProjectL2 Station3.ScheduledUtilizationScheduled UtilizationResource"/>
    <n v="10"/>
    <n v="1.0004557942559711"/>
    <n v="1.6760007580081014E-4"/>
    <n v="0.95"/>
    <n v="1.1989387166531641E-4"/>
    <n v="1.0000655989645"/>
    <n v="1.00068312738094"/>
  </r>
  <r>
    <x v="0"/>
    <s v="2025-12-30 22:09:11"/>
    <n v="5"/>
    <x v="40"/>
    <x v="0"/>
    <x v="0"/>
    <n v="8237"/>
    <n v="0"/>
    <s v="Unnamed ProjectL2 Station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5"/>
    <x v="41"/>
    <x v="1"/>
    <x v="0"/>
    <n v="0.629372102267024"/>
    <n v="0"/>
    <s v="Unnamed ProjectL2 Station4.ScheduledUtilizationScheduled UtilizationResource"/>
    <n v="10"/>
    <n v="0.62814585354256225"/>
    <n v="7.7648569130547428E-4"/>
    <n v="0.95"/>
    <n v="5.5546440166277669E-4"/>
    <n v="0.62668997340539101"/>
    <n v="0.629372102267024"/>
  </r>
  <r>
    <x v="0"/>
    <s v="2025-12-30 22:09:11"/>
    <n v="5"/>
    <x v="42"/>
    <x v="0"/>
    <x v="0"/>
    <n v="18405"/>
    <n v="0"/>
    <s v="Unnamed ProjectL3 Station1.NumberSeizedTotal Number SeizedResource"/>
    <n v="10"/>
    <n v="18392"/>
    <n v="12.884098726725126"/>
    <n v="0.95"/>
    <n v="9.2167290013706662"/>
    <n v="18376"/>
    <n v="18407"/>
  </r>
  <r>
    <x v="0"/>
    <s v="2025-12-30 22:09:11"/>
    <n v="5"/>
    <x v="43"/>
    <x v="1"/>
    <x v="0"/>
    <n v="0.95824164385305599"/>
    <n v="0"/>
    <s v="Unnamed ProjectL3 Station1.ScheduledUtilizationScheduled UtilizationResource"/>
    <n v="10"/>
    <n v="0.9578548406389944"/>
    <n v="7.0772834598480485E-4"/>
    <n v="0.95"/>
    <n v="5.0627835985142609E-4"/>
    <n v="0.95655010461043799"/>
    <n v="0.95869742508961697"/>
  </r>
  <r>
    <x v="0"/>
    <s v="2025-12-30 22:09:11"/>
    <n v="5"/>
    <x v="44"/>
    <x v="0"/>
    <x v="0"/>
    <n v="18401"/>
    <n v="0"/>
    <s v="Unnamed ProjectL3 Station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5"/>
    <x v="45"/>
    <x v="1"/>
    <x v="0"/>
    <n v="1.00045901465006"/>
    <n v="0"/>
    <s v="Unnamed ProjectL3 Station2.ScheduledUtilizationScheduled UtilizationResource"/>
    <n v="10"/>
    <n v="1.0003902798422071"/>
    <n v="5.593555412291058E-5"/>
    <n v="0.95"/>
    <n v="4.0013884931119971E-5"/>
    <n v="1.0003027766980599"/>
    <n v="1.00046792437877"/>
  </r>
  <r>
    <x v="0"/>
    <s v="2025-12-30 22:09:11"/>
    <n v="5"/>
    <x v="46"/>
    <x v="4"/>
    <x v="2"/>
    <n v="157168.28512127799"/>
    <n v="0"/>
    <s v="Unnamed ProjectProcess 1 Accum VA TimeAccum VA TimeProcess"/>
    <n v="10"/>
    <n v="157133.73428655442"/>
    <n v="123.15330812839177"/>
    <n v="0.95"/>
    <n v="88.098569462778244"/>
    <n v="156930.294881654"/>
    <n v="157303.990839153"/>
  </r>
  <r>
    <x v="0"/>
    <s v="2025-12-30 22:09:11"/>
    <n v="5"/>
    <x v="47"/>
    <x v="2"/>
    <x v="2"/>
    <n v="13114"/>
    <n v="0"/>
    <s v="Unnamed ProjectProcess 1 Number InNumber InProcess"/>
    <n v="10"/>
    <n v="13103.5"/>
    <n v="11.443095929181249"/>
    <n v="0.95"/>
    <n v="8.1858976986246059"/>
    <n v="13087"/>
    <n v="13120"/>
  </r>
  <r>
    <x v="0"/>
    <s v="2025-12-30 22:09:11"/>
    <n v="5"/>
    <x v="48"/>
    <x v="3"/>
    <x v="2"/>
    <n v="13114"/>
    <n v="0"/>
    <s v="Unnamed ProjectProcess 1 Number OutNumber OutProcess"/>
    <n v="10"/>
    <n v="13103.5"/>
    <n v="11.443095929181249"/>
    <n v="0.95"/>
    <n v="8.1858976986246059"/>
    <n v="13087"/>
    <n v="13120"/>
  </r>
  <r>
    <x v="0"/>
    <s v="2025-12-30 22:09:11"/>
    <n v="5"/>
    <x v="49"/>
    <x v="4"/>
    <x v="2"/>
    <n v="21845.3173958878"/>
    <n v="0"/>
    <s v="Unnamed ProjectProcess 14 Accum VA TimeAccum VA TimeProcess"/>
    <n v="10"/>
    <n v="21817.897664333104"/>
    <n v="40.377465047897729"/>
    <n v="0.95"/>
    <n v="28.884298467602775"/>
    <n v="21737.561928445"/>
    <n v="21880.2668082411"/>
  </r>
  <r>
    <x v="0"/>
    <s v="2025-12-30 22:09:11"/>
    <n v="5"/>
    <x v="50"/>
    <x v="2"/>
    <x v="2"/>
    <n v="6553"/>
    <n v="0"/>
    <s v="Unnamed ProjectProcess 14 Number InNumber InProcess"/>
    <n v="10"/>
    <n v="6547.7"/>
    <n v="5.735852159879995"/>
    <n v="0.95"/>
    <n v="4.1031814541969078"/>
    <n v="6540"/>
    <n v="6557"/>
  </r>
  <r>
    <x v="0"/>
    <s v="2025-12-30 22:09:11"/>
    <n v="5"/>
    <x v="51"/>
    <x v="3"/>
    <x v="2"/>
    <n v="6553"/>
    <n v="0"/>
    <s v="Unnamed ProjectProcess 14 Number OutNumber OutProcess"/>
    <n v="10"/>
    <n v="6547.3"/>
    <n v="5.7164480035925962"/>
    <n v="0.95"/>
    <n v="4.0893005569921828"/>
    <n v="6539"/>
    <n v="6556"/>
  </r>
  <r>
    <x v="0"/>
    <s v="2025-12-30 22:09:11"/>
    <n v="5"/>
    <x v="52"/>
    <x v="4"/>
    <x v="2"/>
    <n v="78795.634631101901"/>
    <n v="0"/>
    <s v="Unnamed ProjectProcess 2 Accum VA TimeAccum VA TimeProcess"/>
    <n v="10"/>
    <n v="78656.282482549519"/>
    <n v="139.39621135358072"/>
    <n v="0.95"/>
    <n v="99.718042457930338"/>
    <n v="78434.750255210005"/>
    <n v="78879.0340749358"/>
  </r>
  <r>
    <x v="0"/>
    <s v="2025-12-30 22:09:11"/>
    <n v="5"/>
    <x v="53"/>
    <x v="2"/>
    <x v="2"/>
    <n v="13111"/>
    <n v="0"/>
    <s v="Unnamed ProjectProcess 2 Number InNumber InProcess"/>
    <n v="10"/>
    <n v="13100.1"/>
    <n v="11.46443776786866"/>
    <n v="0.95"/>
    <n v="8.2011647303157567"/>
    <n v="13083"/>
    <n v="13118"/>
  </r>
  <r>
    <x v="0"/>
    <s v="2025-12-30 22:09:11"/>
    <n v="5"/>
    <x v="54"/>
    <x v="3"/>
    <x v="2"/>
    <n v="13111"/>
    <n v="0"/>
    <s v="Unnamed ProjectProcess 2 Number OutNumber OutProcess"/>
    <n v="10"/>
    <n v="13100.1"/>
    <n v="11.46443776786866"/>
    <n v="0.95"/>
    <n v="8.2011647303157567"/>
    <n v="13083"/>
    <n v="13118"/>
  </r>
  <r>
    <x v="0"/>
    <s v="2025-12-30 22:09:11"/>
    <n v="5"/>
    <x v="55"/>
    <x v="4"/>
    <x v="2"/>
    <n v="144131.964076345"/>
    <n v="0"/>
    <s v="Unnamed ProjectProcess 3 Accum VA TimeAccum VA TimeProcess"/>
    <n v="10"/>
    <n v="144088.31566564049"/>
    <n v="147.41980686592098"/>
    <n v="0.95"/>
    <n v="105.45777691839817"/>
    <n v="143896.696561805"/>
    <n v="144298.22507098701"/>
  </r>
  <r>
    <x v="0"/>
    <s v="2025-12-30 22:09:11"/>
    <n v="5"/>
    <x v="56"/>
    <x v="2"/>
    <x v="2"/>
    <n v="13111"/>
    <n v="0"/>
    <s v="Unnamed ProjectProcess 3 Number InNumber InProcess"/>
    <n v="10"/>
    <n v="13099.9"/>
    <n v="11.761046816598522"/>
    <n v="0.95"/>
    <n v="8.4133460616980535"/>
    <n v="13082"/>
    <n v="13118"/>
  </r>
  <r>
    <x v="0"/>
    <s v="2025-12-30 22:09:11"/>
    <n v="5"/>
    <x v="57"/>
    <x v="3"/>
    <x v="2"/>
    <n v="13111"/>
    <n v="0"/>
    <s v="Unnamed ProjectProcess 3 Number OutNumber OutProcess"/>
    <n v="10"/>
    <n v="13099.9"/>
    <n v="11.761046816598522"/>
    <n v="0.95"/>
    <n v="8.4133460616980535"/>
    <n v="13082"/>
    <n v="13118"/>
  </r>
  <r>
    <x v="0"/>
    <s v="2025-12-30 22:09:11"/>
    <n v="5"/>
    <x v="58"/>
    <x v="4"/>
    <x v="2"/>
    <n v="57698.785472968797"/>
    <n v="0"/>
    <s v="Unnamed ProjectProcess 4 Accum VA TimeAccum VA TimeProcess"/>
    <n v="10"/>
    <n v="57657.842851106019"/>
    <n v="66.206976538127805"/>
    <n v="0.95"/>
    <n v="47.361617889987492"/>
    <n v="57569.6670912306"/>
    <n v="57778.887305354197"/>
  </r>
  <r>
    <x v="0"/>
    <s v="2025-12-30 22:09:11"/>
    <n v="5"/>
    <x v="59"/>
    <x v="2"/>
    <x v="2"/>
    <n v="8245"/>
    <n v="0"/>
    <s v="Unnamed ProjectProcess 4 Number InNumber InProcess"/>
    <n v="10"/>
    <n v="8235"/>
    <n v="6.5659052011974035"/>
    <n v="0.95"/>
    <n v="4.6969656296252689"/>
    <n v="8223"/>
    <n v="8245"/>
  </r>
  <r>
    <x v="0"/>
    <s v="2025-12-30 22:09:11"/>
    <n v="5"/>
    <x v="60"/>
    <x v="3"/>
    <x v="2"/>
    <n v="8245"/>
    <n v="0"/>
    <s v="Unnamed ProjectProcess 4 Number OutNumber OutProcess"/>
    <n v="10"/>
    <n v="8235"/>
    <n v="6.5659052011974035"/>
    <n v="0.95"/>
    <n v="4.6969656296252689"/>
    <n v="8223"/>
    <n v="8245"/>
  </r>
  <r>
    <x v="0"/>
    <s v="2025-12-30 22:09:11"/>
    <n v="5"/>
    <x v="61"/>
    <x v="4"/>
    <x v="2"/>
    <n v="82463.395096232998"/>
    <n v="0"/>
    <s v="Unnamed ProjectProcess 5 Accum VA TimeAccum VA TimeProcess"/>
    <n v="10"/>
    <n v="82354.925585571807"/>
    <n v="74.759806822996126"/>
    <n v="0.95"/>
    <n v="53.479944099863097"/>
    <n v="82287.012858407106"/>
    <n v="82509.9089339692"/>
  </r>
  <r>
    <x v="0"/>
    <s v="2025-12-30 22:09:11"/>
    <n v="5"/>
    <x v="62"/>
    <x v="2"/>
    <x v="2"/>
    <n v="8243"/>
    <n v="0"/>
    <s v="Unnamed ProjectProcess 5 Number InNumber InProcess"/>
    <n v="10"/>
    <n v="8233.5"/>
    <n v="6.5021364010437201"/>
    <n v="0.95"/>
    <n v="4.6513481780498687"/>
    <n v="8221"/>
    <n v="8243"/>
  </r>
  <r>
    <x v="0"/>
    <s v="2025-12-30 22:09:11"/>
    <n v="5"/>
    <x v="63"/>
    <x v="3"/>
    <x v="2"/>
    <n v="8243"/>
    <n v="0"/>
    <s v="Unnamed ProjectProcess 5 Number OutNumber OutProcess"/>
    <n v="10"/>
    <n v="8233.5"/>
    <n v="6.5021364010437201"/>
    <n v="0.95"/>
    <n v="4.6513481780498687"/>
    <n v="8221"/>
    <n v="8243"/>
  </r>
  <r>
    <x v="0"/>
    <s v="2025-12-30 22:09:11"/>
    <n v="5"/>
    <x v="64"/>
    <x v="4"/>
    <x v="2"/>
    <n v="205554.00796082799"/>
    <n v="0"/>
    <s v="Unnamed ProjectProcess 6 Accum VA TimeAccum VA TimeProcess"/>
    <n v="10"/>
    <n v="205782.3721339902"/>
    <n v="135.17903819323379"/>
    <n v="0.95"/>
    <n v="96.701258514002035"/>
    <n v="205554.00796082799"/>
    <n v="205962.665291818"/>
  </r>
  <r>
    <x v="0"/>
    <s v="2025-12-30 22:09:11"/>
    <n v="5"/>
    <x v="65"/>
    <x v="2"/>
    <x v="2"/>
    <n v="8241"/>
    <n v="0"/>
    <s v="Unnamed ProjectProcess 6 Number InNumber InProcess"/>
    <n v="10"/>
    <n v="8231.5"/>
    <n v="6.3464775882199236"/>
    <n v="0.95"/>
    <n v="4.5399965713211703"/>
    <n v="8220"/>
    <n v="8241"/>
  </r>
  <r>
    <x v="0"/>
    <s v="2025-12-30 22:09:11"/>
    <n v="5"/>
    <x v="66"/>
    <x v="3"/>
    <x v="2"/>
    <n v="8241"/>
    <n v="0"/>
    <s v="Unnamed ProjectProcess 6 Number OutNumber OutProcess"/>
    <n v="10"/>
    <n v="8231.5"/>
    <n v="6.3464775882199236"/>
    <n v="0.95"/>
    <n v="4.5399965713211703"/>
    <n v="8220"/>
    <n v="8241"/>
  </r>
  <r>
    <x v="0"/>
    <s v="2025-12-30 22:09:11"/>
    <n v="5"/>
    <x v="67"/>
    <x v="4"/>
    <x v="2"/>
    <n v="98993.883345143302"/>
    <n v="0"/>
    <s v="Unnamed ProjectProcess 7 Accum VA TimeAccum VA TimeProcess"/>
    <n v="10"/>
    <n v="98625.180720296266"/>
    <n v="166.97558012409817"/>
    <n v="0.95"/>
    <n v="119.44713437023168"/>
    <n v="98434.330991768598"/>
    <n v="98993.883345143302"/>
  </r>
  <r>
    <x v="0"/>
    <s v="2025-12-30 22:09:11"/>
    <n v="5"/>
    <x v="68"/>
    <x v="2"/>
    <x v="2"/>
    <n v="8237"/>
    <n v="0"/>
    <s v="Unnamed ProjectProcess 7 Number InNumber InProcess"/>
    <n v="10"/>
    <n v="8227.7000000000007"/>
    <n v="6.2902040242480748"/>
    <n v="0.95"/>
    <n v="4.4997408887103267"/>
    <n v="8216"/>
    <n v="8237"/>
  </r>
  <r>
    <x v="0"/>
    <s v="2025-12-30 22:09:11"/>
    <n v="5"/>
    <x v="69"/>
    <x v="3"/>
    <x v="2"/>
    <n v="8237"/>
    <n v="0"/>
    <s v="Unnamed ProjectProcess 7 Number OutNumber OutProcess"/>
    <n v="10"/>
    <n v="8227.7000000000007"/>
    <n v="6.2902040242480748"/>
    <n v="0.95"/>
    <n v="4.4997408887103267"/>
    <n v="8216"/>
    <n v="8237"/>
  </r>
  <r>
    <x v="0"/>
    <s v="2025-12-30 22:09:11"/>
    <n v="5"/>
    <x v="70"/>
    <x v="4"/>
    <x v="2"/>
    <n v="91922.639276753995"/>
    <n v="0"/>
    <s v="Unnamed ProjectProcess 8 Accum VA TimeAccum VA TimeProcess"/>
    <n v="10"/>
    <n v="91917.034029149756"/>
    <n v="167.33037075092571"/>
    <n v="0.95"/>
    <n v="119.70093629530641"/>
    <n v="91632.276670136605"/>
    <n v="92162.594279262106"/>
  </r>
  <r>
    <x v="0"/>
    <s v="2025-12-30 22:09:11"/>
    <n v="5"/>
    <x v="71"/>
    <x v="2"/>
    <x v="2"/>
    <n v="18405"/>
    <n v="0"/>
    <s v="Unnamed ProjectProcess 8 Number InNumber InProcess"/>
    <n v="10"/>
    <n v="18392"/>
    <n v="12.884098726725126"/>
    <n v="0.95"/>
    <n v="9.2167290013706662"/>
    <n v="18376"/>
    <n v="18407"/>
  </r>
  <r>
    <x v="0"/>
    <s v="2025-12-30 22:09:11"/>
    <n v="5"/>
    <x v="72"/>
    <x v="3"/>
    <x v="2"/>
    <n v="18405"/>
    <n v="0"/>
    <s v="Unnamed ProjectProcess 8 Number OutNumber OutProcess"/>
    <n v="10"/>
    <n v="18392"/>
    <n v="12.884098726725126"/>
    <n v="0.95"/>
    <n v="9.2167290013706662"/>
    <n v="18376"/>
    <n v="18407"/>
  </r>
  <r>
    <x v="0"/>
    <s v="2025-12-30 22:09:11"/>
    <n v="5"/>
    <x v="73"/>
    <x v="4"/>
    <x v="2"/>
    <n v="104123.830349454"/>
    <n v="0"/>
    <s v="Unnamed ProjectProcess 9 Accum VA TimeAccum VA TimeProcess"/>
    <n v="10"/>
    <n v="104198.44406523299"/>
    <n v="99.045608472383734"/>
    <n v="0.95"/>
    <n v="70.852960026786278"/>
    <n v="104039.320720244"/>
    <n v="104335.096217932"/>
  </r>
  <r>
    <x v="0"/>
    <s v="2025-12-30 22:09:11"/>
    <n v="5"/>
    <x v="74"/>
    <x v="2"/>
    <x v="2"/>
    <n v="18401"/>
    <n v="0"/>
    <s v="Unnamed ProjectProcess 9 Number InNumber InProcess"/>
    <n v="10"/>
    <n v="18389.400000000001"/>
    <n v="12.103259432437566"/>
    <n v="0.95"/>
    <n v="8.6581502197487996"/>
    <n v="18376"/>
    <n v="18404"/>
  </r>
  <r>
    <x v="0"/>
    <s v="2025-12-30 22:09:11"/>
    <n v="5"/>
    <x v="75"/>
    <x v="3"/>
    <x v="2"/>
    <n v="18401"/>
    <n v="0"/>
    <s v="Unnamed ProjectProcess 9 Number OutNumber OutProcess"/>
    <n v="10"/>
    <n v="18389.400000000001"/>
    <n v="12.103259432437566"/>
    <n v="0.95"/>
    <n v="8.6581502197487996"/>
    <n v="18376"/>
    <n v="18404"/>
  </r>
  <r>
    <x v="0"/>
    <s v="2025-12-30 22:09:11"/>
    <n v="5"/>
    <x v="76"/>
    <x v="0"/>
    <x v="0"/>
    <n v="0"/>
    <n v="0"/>
    <s v="Unnamed ProjectSales Department.NumberSeizedTotal Number SeizedResource"/>
    <n v="10"/>
    <n v="0"/>
    <n v="0"/>
    <n v="0.95"/>
    <n v="0"/>
    <n v="0"/>
    <n v="0"/>
  </r>
  <r>
    <x v="0"/>
    <s v="2025-12-30 22:09:11"/>
    <n v="5"/>
    <x v="77"/>
    <x v="1"/>
    <x v="0"/>
    <n v="0"/>
    <n v="0"/>
    <s v="Unnamed ProjectSales Department.ScheduledUtilizationScheduled UtilizationResource"/>
    <n v="10"/>
    <n v="0"/>
    <n v="0"/>
    <n v="0.95"/>
    <n v="0"/>
    <n v="0"/>
    <n v="0"/>
  </r>
  <r>
    <x v="0"/>
    <s v="2025-12-30 22:09:11"/>
    <n v="5"/>
    <x v="78"/>
    <x v="0"/>
    <x v="0"/>
    <n v="116"/>
    <n v="0"/>
    <s v="Unnamed ProjectSales Rep.NumberSeizedTotal Number SeizedResource"/>
    <n v="10"/>
    <n v="118.7"/>
    <n v="12.587913073879887"/>
    <n v="0.95"/>
    <n v="9.0048505491583946"/>
    <n v="95"/>
    <n v="141"/>
  </r>
  <r>
    <x v="0"/>
    <s v="2025-12-30 22:09:11"/>
    <n v="5"/>
    <x v="79"/>
    <x v="1"/>
    <x v="0"/>
    <n v="0.32214962244370399"/>
    <n v="0"/>
    <s v="Unnamed ProjectSales Rep.ScheduledUtilizationScheduled UtilizationResource"/>
    <n v="10"/>
    <n v="0.3273551167875815"/>
    <n v="3.5172818533154994E-2"/>
    <n v="0.95"/>
    <n v="2.5161118640145405E-2"/>
    <n v="0.26933581669894202"/>
    <n v="0.39321867243708603"/>
  </r>
  <r>
    <x v="0"/>
    <s v="2025-12-30 22:09:11"/>
    <n v="5"/>
    <x v="80"/>
    <x v="3"/>
    <x v="3"/>
    <n v="2540"/>
    <n v="0"/>
    <s v="Unnamed ProjectSystem.NumberOutNumber OutSystem"/>
    <n v="10"/>
    <n v="2503.1"/>
    <n v="29.72260643573059"/>
    <n v="0.95"/>
    <n v="21.262271777248003"/>
    <n v="2457"/>
    <n v="2546"/>
  </r>
  <r>
    <x v="0"/>
    <s v="2025-12-30 22:09:11"/>
    <n v="5"/>
    <x v="81"/>
    <x v="2"/>
    <x v="1"/>
    <n v="7838"/>
    <n v="0"/>
    <s v="Unnamed ProjectWire Harness.NumberInNumber InEntity"/>
    <n v="10"/>
    <n v="7832.8"/>
    <n v="7.8287220469811594"/>
    <n v="0.95"/>
    <n v="5.6003303812327712"/>
    <n v="7818"/>
    <n v="7845"/>
  </r>
  <r>
    <x v="0"/>
    <s v="2025-12-30 22:09:11"/>
    <n v="5"/>
    <x v="82"/>
    <x v="3"/>
    <x v="1"/>
    <n v="7833"/>
    <n v="0"/>
    <s v="Unnamed ProjectWire Harness.NumberOutNumber OutEntity"/>
    <n v="10"/>
    <n v="7828.3"/>
    <n v="7.1032074132433696"/>
    <n v="0.95"/>
    <n v="5.0813284776056653"/>
    <n v="7815"/>
    <n v="7840"/>
  </r>
  <r>
    <x v="0"/>
    <s v="2025-12-30 22:09:11"/>
    <n v="5"/>
    <x v="83"/>
    <x v="4"/>
    <x v="2"/>
    <n v="52188.238835880104"/>
    <n v="0"/>
    <s v="Unnamed Projectsales Accum VA TimeAccum VA TimeProcess"/>
    <n v="10"/>
    <n v="53031.528919588192"/>
    <n v="5697.9966023710867"/>
    <n v="0.95"/>
    <n v="4076.1012197035402"/>
    <n v="43632.402305228599"/>
    <n v="63701.424934807801"/>
  </r>
  <r>
    <x v="0"/>
    <s v="2025-12-30 22:09:11"/>
    <n v="5"/>
    <x v="84"/>
    <x v="2"/>
    <x v="2"/>
    <n v="116"/>
    <n v="0"/>
    <s v="Unnamed Projectsales Number InNumber InProcess"/>
    <n v="10"/>
    <n v="118.7"/>
    <n v="12.587913073879887"/>
    <n v="0.95"/>
    <n v="9.0048505491583946"/>
    <n v="95"/>
    <n v="141"/>
  </r>
  <r>
    <x v="0"/>
    <s v="2025-12-30 22:09:11"/>
    <n v="5"/>
    <x v="85"/>
    <x v="3"/>
    <x v="2"/>
    <n v="116"/>
    <n v="0"/>
    <s v="Unnamed Projectsales Number OutNumber OutProcess"/>
    <n v="10"/>
    <n v="118.7"/>
    <n v="12.587913073879887"/>
    <n v="0.95"/>
    <n v="9.0048505491583946"/>
    <n v="95"/>
    <n v="141"/>
  </r>
  <r>
    <x v="0"/>
    <s v="2025-12-30 22:09:11"/>
    <n v="6"/>
    <x v="0"/>
    <x v="0"/>
    <x v="0"/>
    <n v="6550"/>
    <n v="0"/>
    <s v="Unnamed ProjectAssembler.NumberSeizedTotal Number SeizedResource"/>
    <n v="10"/>
    <n v="6547.7"/>
    <n v="5.735852159879995"/>
    <n v="0.95"/>
    <n v="4.1031814541969078"/>
    <n v="6540"/>
    <n v="6557"/>
  </r>
  <r>
    <x v="0"/>
    <s v="2025-12-30 22:09:11"/>
    <n v="6"/>
    <x v="1"/>
    <x v="1"/>
    <x v="0"/>
    <n v="7.5821070233143606E-2"/>
    <n v="0"/>
    <s v="Unnamed ProjectAssembler.ScheduledUtilizationScheduled UtilizationResource"/>
    <n v="10"/>
    <n v="7.575658911226775E-2"/>
    <n v="1.4019953141627205E-4"/>
    <n v="0.95"/>
    <n v="1.0029270301248135E-4"/>
    <n v="7.5477645584878503E-2"/>
    <n v="7.5973148639726207E-2"/>
  </r>
  <r>
    <x v="0"/>
    <s v="2025-12-30 22:09:11"/>
    <n v="6"/>
    <x v="2"/>
    <x v="2"/>
    <x v="1"/>
    <n v="1141"/>
    <n v="0"/>
    <s v="Unnamed ProjectCustomer.NumberInNumber InEntity"/>
    <n v="10"/>
    <n v="1090.3"/>
    <n v="32.666836734251177"/>
    <n v="0.95"/>
    <n v="23.368447254062772"/>
    <n v="1042"/>
    <n v="1141"/>
  </r>
  <r>
    <x v="0"/>
    <s v="2025-12-30 22:09:11"/>
    <n v="6"/>
    <x v="3"/>
    <x v="3"/>
    <x v="1"/>
    <n v="1141"/>
    <n v="0"/>
    <s v="Unnamed ProjectCustomer.NumberOutNumber OutEntity"/>
    <n v="10"/>
    <n v="1090.3"/>
    <n v="32.666836734251177"/>
    <n v="0.95"/>
    <n v="23.368447254062772"/>
    <n v="1042"/>
    <n v="1141"/>
  </r>
  <r>
    <x v="0"/>
    <s v="2025-12-30 22:09:11"/>
    <n v="6"/>
    <x v="4"/>
    <x v="2"/>
    <x v="1"/>
    <n v="19829"/>
    <n v="0"/>
    <s v="Unnamed ProjectEntity 1.NumberInNumber InEntity"/>
    <n v="10"/>
    <n v="19822.900000000001"/>
    <n v="20.151922985164472"/>
    <n v="0.95"/>
    <n v="14.415817276026377"/>
    <n v="19788"/>
    <n v="19852"/>
  </r>
  <r>
    <x v="0"/>
    <s v="2025-12-30 22:09:11"/>
    <n v="6"/>
    <x v="5"/>
    <x v="3"/>
    <x v="1"/>
    <n v="19635"/>
    <n v="0"/>
    <s v="Unnamed ProjectEntity 1.NumberOutNumber OutEntity"/>
    <n v="10"/>
    <n v="19635.599999999999"/>
    <n v="15.086417732516889"/>
    <n v="0.95"/>
    <n v="10.792173111314252"/>
    <n v="19614"/>
    <n v="19662"/>
  </r>
  <r>
    <x v="0"/>
    <s v="2025-12-30 22:09:11"/>
    <n v="6"/>
    <x v="6"/>
    <x v="2"/>
    <x v="1"/>
    <n v="8353"/>
    <n v="0"/>
    <s v="Unnamed ProjectEntity 2.NumberInNumber InEntity"/>
    <n v="10"/>
    <n v="8398"/>
    <n v="24.133885813197271"/>
    <n v="0.95"/>
    <n v="17.264341884378119"/>
    <n v="8353"/>
    <n v="8437"/>
  </r>
  <r>
    <x v="0"/>
    <s v="2025-12-30 22:09:11"/>
    <n v="6"/>
    <x v="7"/>
    <x v="3"/>
    <x v="1"/>
    <n v="6545"/>
    <n v="0"/>
    <s v="Unnamed ProjectEntity 2.NumberOutNumber OutEntity"/>
    <n v="10"/>
    <n v="6545.2"/>
    <n v="5.0288059108389627"/>
    <n v="0.95"/>
    <n v="3.5973910371047504"/>
    <n v="6538"/>
    <n v="6554"/>
  </r>
  <r>
    <x v="0"/>
    <s v="2025-12-30 22:09:11"/>
    <n v="6"/>
    <x v="8"/>
    <x v="2"/>
    <x v="1"/>
    <n v="27729"/>
    <n v="0"/>
    <s v="Unnamed ProjectEntity 3.NumberInNumber InEntity"/>
    <n v="10"/>
    <n v="27753.7"/>
    <n v="25.447331228768697"/>
    <n v="0.95"/>
    <n v="18.203924133022646"/>
    <n v="27724"/>
    <n v="27792"/>
  </r>
  <r>
    <x v="0"/>
    <s v="2025-12-30 22:09:11"/>
    <n v="6"/>
    <x v="9"/>
    <x v="3"/>
    <x v="1"/>
    <n v="19635"/>
    <n v="0"/>
    <s v="Unnamed ProjectEntity 3.NumberOutNumber OutEntity"/>
    <n v="10"/>
    <n v="19635.599999999999"/>
    <n v="15.086417732516889"/>
    <n v="0.95"/>
    <n v="10.792173111314252"/>
    <n v="19614"/>
    <n v="19662"/>
  </r>
  <r>
    <x v="0"/>
    <s v="2025-12-30 22:09:11"/>
    <n v="6"/>
    <x v="10"/>
    <x v="0"/>
    <x v="0"/>
    <n v="13107"/>
    <n v="0"/>
    <s v="Unnamed ProjectKanban L1S1.NumberSeizedTotal Number SeizedResource"/>
    <n v="10"/>
    <n v="13103.5"/>
    <n v="11.443095929181249"/>
    <n v="0.95"/>
    <n v="8.1858976986246059"/>
    <n v="13087"/>
    <n v="13120"/>
  </r>
  <r>
    <x v="0"/>
    <s v="2025-12-30 22:09:11"/>
    <n v="6"/>
    <x v="11"/>
    <x v="1"/>
    <x v="0"/>
    <n v="0.57167989674475905"/>
    <n v="0"/>
    <s v="Unnamed ProjectKanban L1S1.ScheduledUtilizationScheduled UtilizationResource"/>
    <n v="10"/>
    <n v="0.48160620907873086"/>
    <n v="8.6686321722355061E-2"/>
    <n v="0.95"/>
    <n v="6.2011658897281531E-2"/>
    <n v="0.292184201252493"/>
    <n v="0.57167989674475905"/>
  </r>
  <r>
    <x v="0"/>
    <s v="2025-12-30 22:09:11"/>
    <n v="6"/>
    <x v="12"/>
    <x v="0"/>
    <x v="0"/>
    <n v="13103"/>
    <n v="0"/>
    <s v="Unnamed ProjectKanban L1S2.NumberSeizedTotal Number SeizedResource"/>
    <n v="10"/>
    <n v="13100.1"/>
    <n v="11.46443776786866"/>
    <n v="0.95"/>
    <n v="8.2011647303157567"/>
    <n v="13083"/>
    <n v="13118"/>
  </r>
  <r>
    <x v="0"/>
    <s v="2025-12-30 22:09:11"/>
    <n v="6"/>
    <x v="13"/>
    <x v="1"/>
    <x v="0"/>
    <n v="0.20846694968872201"/>
    <n v="0"/>
    <s v="Unnamed ProjectKanban L1S2.ScheduledUtilizationScheduled UtilizationResource"/>
    <n v="10"/>
    <n v="0.25269289312392168"/>
    <n v="4.921401008308305E-2"/>
    <n v="0.95"/>
    <n v="3.5205581983443382E-2"/>
    <n v="0.20500025225945601"/>
    <n v="0.33570777662711399"/>
  </r>
  <r>
    <x v="0"/>
    <s v="2025-12-30 22:09:11"/>
    <n v="6"/>
    <x v="14"/>
    <x v="0"/>
    <x v="0"/>
    <n v="13103"/>
    <n v="0"/>
    <s v="Unnamed ProjectKanban L1S3.NumberSeizedTotal Number SeizedResource"/>
    <n v="10"/>
    <n v="13099.9"/>
    <n v="11.761046816598522"/>
    <n v="0.95"/>
    <n v="8.4133460616980535"/>
    <n v="13082"/>
    <n v="13118"/>
  </r>
  <r>
    <x v="0"/>
    <s v="2025-12-30 22:09:11"/>
    <n v="6"/>
    <x v="15"/>
    <x v="1"/>
    <x v="0"/>
    <n v="0.151561235045161"/>
    <n v="0"/>
    <s v="Unnamed ProjectKanban L1S3.ScheduledUtilizationScheduled UtilizationResource"/>
    <n v="10"/>
    <n v="0.151561654865698"/>
    <n v="1.2198256688170919E-4"/>
    <n v="0.95"/>
    <n v="8.7261071626859165E-5"/>
    <n v="0.15134711042770399"/>
    <n v="0.15172806047441101"/>
  </r>
  <r>
    <x v="0"/>
    <s v="2025-12-30 22:09:11"/>
    <n v="6"/>
    <x v="16"/>
    <x v="0"/>
    <x v="0"/>
    <n v="8223"/>
    <n v="0"/>
    <s v="Unnamed ProjectKanban L2S1.NumberSeizedTotal Number SeizedResource"/>
    <n v="10"/>
    <n v="8235"/>
    <n v="6.5659052011974035"/>
    <n v="0.95"/>
    <n v="4.6969656296252689"/>
    <n v="8223"/>
    <n v="8245"/>
  </r>
  <r>
    <x v="0"/>
    <s v="2025-12-30 22:09:11"/>
    <n v="6"/>
    <x v="17"/>
    <x v="1"/>
    <x v="0"/>
    <n v="0.91069583094839002"/>
    <n v="0"/>
    <s v="Unnamed ProjectKanban L2S1.ScheduledUtilizationScheduled UtilizationResource"/>
    <n v="10"/>
    <n v="0.84558522180863771"/>
    <n v="0.11694354024491282"/>
    <n v="0.95"/>
    <n v="8.3656369122856733E-2"/>
    <n v="0.625269422960122"/>
    <n v="0.95234896906597499"/>
  </r>
  <r>
    <x v="0"/>
    <s v="2025-12-30 22:09:11"/>
    <n v="6"/>
    <x v="18"/>
    <x v="0"/>
    <x v="0"/>
    <n v="8221"/>
    <n v="0"/>
    <s v="Unnamed ProjectKanban L2S2.NumberSeizedTotal Number SeizedResource"/>
    <n v="10"/>
    <n v="8233.5"/>
    <n v="6.5021364010437201"/>
    <n v="0.95"/>
    <n v="4.6513481780498687"/>
    <n v="8221"/>
    <n v="8243"/>
  </r>
  <r>
    <x v="0"/>
    <s v="2025-12-30 22:09:11"/>
    <n v="6"/>
    <x v="19"/>
    <x v="1"/>
    <x v="0"/>
    <n v="0.69080851286508305"/>
    <n v="0"/>
    <s v="Unnamed ProjectKanban L2S2.ScheduledUtilizationScheduled UtilizationResource"/>
    <n v="10"/>
    <n v="0.74077431571180286"/>
    <n v="6.1280007141721847E-2"/>
    <n v="0.95"/>
    <n v="4.3837076306762375E-2"/>
    <n v="0.67060354368791897"/>
    <n v="0.87728997349342697"/>
  </r>
  <r>
    <x v="0"/>
    <s v="2025-12-30 22:09:11"/>
    <n v="6"/>
    <x v="20"/>
    <x v="0"/>
    <x v="0"/>
    <n v="8220"/>
    <n v="0"/>
    <s v="Unnamed ProjectKanban L2S3.NumberSeizedTotal Number SeizedResource"/>
    <n v="10"/>
    <n v="8231.5"/>
    <n v="6.3464775882199236"/>
    <n v="0.95"/>
    <n v="4.5399965713211703"/>
    <n v="8220"/>
    <n v="8241"/>
  </r>
  <r>
    <x v="0"/>
    <s v="2025-12-30 22:09:11"/>
    <n v="6"/>
    <x v="21"/>
    <x v="1"/>
    <x v="0"/>
    <n v="0.47990655912621799"/>
    <n v="0"/>
    <s v="Unnamed ProjectKanban L2S3.ScheduledUtilizationScheduled UtilizationResource"/>
    <n v="10"/>
    <n v="0.52391445815006699"/>
    <n v="7.0460308415606909E-2"/>
    <n v="0.95"/>
    <n v="5.0404268221927347E-2"/>
    <n v="0.36555656561218303"/>
    <n v="0.59886206518967"/>
  </r>
  <r>
    <x v="0"/>
    <s v="2025-12-30 22:09:11"/>
    <n v="6"/>
    <x v="22"/>
    <x v="0"/>
    <x v="0"/>
    <n v="8216"/>
    <n v="0"/>
    <s v="Unnamed ProjectKanban L2S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6"/>
    <x v="23"/>
    <x v="1"/>
    <x v="0"/>
    <n v="0.149379358330504"/>
    <n v="0"/>
    <s v="Unnamed ProjectKanban L2S4.ScheduledUtilizationScheduled UtilizationResource"/>
    <n v="10"/>
    <n v="0.14955853655775292"/>
    <n v="1.8487754554887928E-4"/>
    <n v="0.95"/>
    <n v="1.3225342896729691E-4"/>
    <n v="0.14921189842985499"/>
    <n v="0.14985050053976801"/>
  </r>
  <r>
    <x v="0"/>
    <s v="2025-12-30 22:09:11"/>
    <n v="6"/>
    <x v="24"/>
    <x v="0"/>
    <x v="0"/>
    <n v="18376"/>
    <n v="0"/>
    <s v="Unnamed ProjectKanban L3S1.NumberSeizedTotal Number SeizedResource"/>
    <n v="10"/>
    <n v="18392"/>
    <n v="12.884098726725126"/>
    <n v="0.95"/>
    <n v="9.2167290013706662"/>
    <n v="18376"/>
    <n v="18407"/>
  </r>
  <r>
    <x v="0"/>
    <s v="2025-12-30 22:09:11"/>
    <n v="6"/>
    <x v="25"/>
    <x v="1"/>
    <x v="0"/>
    <n v="0.62044759961596896"/>
    <n v="0"/>
    <s v="Unnamed ProjectKanban L3S1.ScheduledUtilizationScheduled UtilizationResource"/>
    <n v="10"/>
    <n v="0.78490250681152463"/>
    <n v="0.11345978752761485"/>
    <n v="0.95"/>
    <n v="8.1164242557843561E-2"/>
    <n v="0.58338388917401596"/>
    <n v="0.90111632059041802"/>
  </r>
  <r>
    <x v="0"/>
    <s v="2025-12-30 22:09:11"/>
    <n v="6"/>
    <x v="26"/>
    <x v="0"/>
    <x v="0"/>
    <n v="18376"/>
    <n v="0"/>
    <s v="Unnamed ProjectKanban L3S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6"/>
    <x v="27"/>
    <x v="1"/>
    <x v="0"/>
    <n v="0.15880182157992101"/>
    <n v="0"/>
    <s v="Unnamed ProjectKanban L3S2.ScheduledUtilizationScheduled UtilizationResource"/>
    <n v="10"/>
    <n v="0.15879210791146151"/>
    <n v="8.8786593843692651E-6"/>
    <n v="0.95"/>
    <n v="6.3514103063698042E-6"/>
    <n v="0.15877821852350199"/>
    <n v="0.15880443244107401"/>
  </r>
  <r>
    <x v="0"/>
    <s v="2025-12-30 22:09:11"/>
    <n v="6"/>
    <x v="28"/>
    <x v="0"/>
    <x v="0"/>
    <n v="13107"/>
    <n v="0"/>
    <s v="Unnamed ProjectL1 Station1.NumberSeizedTotal Number SeizedResource"/>
    <n v="10"/>
    <n v="13103.5"/>
    <n v="11.443095929181249"/>
    <n v="0.95"/>
    <n v="8.1858976986246059"/>
    <n v="13087"/>
    <n v="13120"/>
  </r>
  <r>
    <x v="0"/>
    <s v="2025-12-30 22:09:11"/>
    <n v="6"/>
    <x v="29"/>
    <x v="1"/>
    <x v="0"/>
    <n v="1.00040272459251"/>
    <n v="0"/>
    <s v="Unnamed ProjectL1 Station1.ScheduledUtilizationScheduled UtilizationResource"/>
    <n v="10"/>
    <n v="1.0004814685732331"/>
    <n v="7.4280555176725285E-5"/>
    <n v="0.95"/>
    <n v="5.3137108125005439E-5"/>
    <n v="1.00039897320567"/>
    <n v="1.00059414734778"/>
  </r>
  <r>
    <x v="0"/>
    <s v="2025-12-30 22:09:11"/>
    <n v="6"/>
    <x v="30"/>
    <x v="0"/>
    <x v="0"/>
    <n v="13103"/>
    <n v="0"/>
    <s v="Unnamed ProjectL1 Station2.NumberSeizedTotal Number SeizedResource"/>
    <n v="10"/>
    <n v="13100.1"/>
    <n v="11.46443776786866"/>
    <n v="0.95"/>
    <n v="8.2011647303157567"/>
    <n v="13083"/>
    <n v="13118"/>
  </r>
  <r>
    <x v="0"/>
    <s v="2025-12-30 22:09:11"/>
    <n v="6"/>
    <x v="31"/>
    <x v="1"/>
    <x v="0"/>
    <n v="0.72754929177134597"/>
    <n v="0"/>
    <s v="Unnamed ProjectL1 Station2.ScheduledUtilizationScheduled UtilizationResource"/>
    <n v="10"/>
    <n v="0.7279059511079462"/>
    <n v="7.0848304180243249E-4"/>
    <n v="0.95"/>
    <n v="5.0681823671647316E-4"/>
    <n v="0.72665767143328297"/>
    <n v="0.72896261310967603"/>
  </r>
  <r>
    <x v="0"/>
    <s v="2025-12-30 22:09:11"/>
    <n v="6"/>
    <x v="32"/>
    <x v="0"/>
    <x v="0"/>
    <n v="13103"/>
    <n v="0"/>
    <s v="Unnamed ProjectL1 Station3.NumberSeizedTotal Number SeizedResource"/>
    <n v="10"/>
    <n v="13099.9"/>
    <n v="11.761046816598522"/>
    <n v="0.95"/>
    <n v="8.4133460616980535"/>
    <n v="13082"/>
    <n v="13118"/>
  </r>
  <r>
    <x v="0"/>
    <s v="2025-12-30 22:09:11"/>
    <n v="6"/>
    <x v="33"/>
    <x v="1"/>
    <x v="0"/>
    <n v="0.95483578078451303"/>
    <n v="0"/>
    <s v="Unnamed ProjectL1 Station3.ScheduledUtilizationScheduled UtilizationResource"/>
    <n v="10"/>
    <n v="0.95483842565389732"/>
    <n v="7.6849017135544289E-4"/>
    <n v="0.95"/>
    <n v="5.497447512496955E-4"/>
    <n v="0.95348679569453398"/>
    <n v="0.95588678098879198"/>
  </r>
  <r>
    <x v="0"/>
    <s v="2025-12-30 22:09:11"/>
    <n v="6"/>
    <x v="34"/>
    <x v="0"/>
    <x v="0"/>
    <n v="8223"/>
    <n v="0"/>
    <s v="Unnamed ProjectL2 Station1.NumberSeizedTotal Number SeizedResource"/>
    <n v="10"/>
    <n v="8235"/>
    <n v="6.5659052011974035"/>
    <n v="0.95"/>
    <n v="4.6969656296252689"/>
    <n v="8223"/>
    <n v="8245"/>
  </r>
  <r>
    <x v="0"/>
    <s v="2025-12-30 22:09:11"/>
    <n v="6"/>
    <x v="35"/>
    <x v="1"/>
    <x v="0"/>
    <n v="0.48503601840289501"/>
    <n v="0"/>
    <s v="Unnamed ProjectL2 Station1.ScheduledUtilizationScheduled UtilizationResource"/>
    <n v="10"/>
    <n v="0.48622459141633045"/>
    <n v="7.2585329819825151E-4"/>
    <n v="0.95"/>
    <n v="5.1924416958770345E-4"/>
    <n v="0.48503601840289501"/>
    <n v="0.48724920721519499"/>
  </r>
  <r>
    <x v="0"/>
    <s v="2025-12-30 22:09:11"/>
    <n v="6"/>
    <x v="36"/>
    <x v="0"/>
    <x v="0"/>
    <n v="8221"/>
    <n v="0"/>
    <s v="Unnamed ProjectL2 Station2.NumberSeizedTotal Number SeizedResource"/>
    <n v="10"/>
    <n v="8233.5"/>
    <n v="6.5021364010437201"/>
    <n v="0.95"/>
    <n v="4.6513481780498687"/>
    <n v="8221"/>
    <n v="8243"/>
  </r>
  <r>
    <x v="0"/>
    <s v="2025-12-30 22:09:11"/>
    <n v="6"/>
    <x v="37"/>
    <x v="1"/>
    <x v="0"/>
    <n v="0.57166809327927304"/>
    <n v="0"/>
    <s v="Unnamed ProjectL2 Station2.ScheduledUtilizationScheduled UtilizationResource"/>
    <n v="10"/>
    <n v="0.57195959594019841"/>
    <n v="5.0695895005827636E-4"/>
    <n v="0.95"/>
    <n v="3.6265658596782525E-4"/>
    <n v="0.57115702440598504"/>
    <n v="0.57294957522841605"/>
  </r>
  <r>
    <x v="0"/>
    <s v="2025-12-30 22:09:11"/>
    <n v="6"/>
    <x v="38"/>
    <x v="0"/>
    <x v="0"/>
    <n v="8220"/>
    <n v="0"/>
    <s v="Unnamed ProjectL2 Station3.NumberSeizedTotal Number SeizedResource"/>
    <n v="10"/>
    <n v="8231.5"/>
    <n v="6.3464775882199236"/>
    <n v="0.95"/>
    <n v="4.5399965713211703"/>
    <n v="8220"/>
    <n v="8241"/>
  </r>
  <r>
    <x v="0"/>
    <s v="2025-12-30 22:09:11"/>
    <n v="6"/>
    <x v="39"/>
    <x v="1"/>
    <x v="0"/>
    <n v="1.00068312738094"/>
    <n v="0"/>
    <s v="Unnamed ProjectL2 Station3.ScheduledUtilizationScheduled UtilizationResource"/>
    <n v="10"/>
    <n v="1.0004557942559711"/>
    <n v="1.6760007580081014E-4"/>
    <n v="0.95"/>
    <n v="1.1989387166531641E-4"/>
    <n v="1.0000655989645"/>
    <n v="1.00068312738094"/>
  </r>
  <r>
    <x v="0"/>
    <s v="2025-12-30 22:09:11"/>
    <n v="6"/>
    <x v="40"/>
    <x v="0"/>
    <x v="0"/>
    <n v="8216"/>
    <n v="0"/>
    <s v="Unnamed ProjectL2 Station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6"/>
    <x v="41"/>
    <x v="1"/>
    <x v="0"/>
    <n v="0.62739330498811596"/>
    <n v="0"/>
    <s v="Unnamed ProjectL2 Station4.ScheduledUtilizationScheduled UtilizationResource"/>
    <n v="10"/>
    <n v="0.62814585354256225"/>
    <n v="7.7648569130547428E-4"/>
    <n v="0.95"/>
    <n v="5.5546440166277669E-4"/>
    <n v="0.62668997340539101"/>
    <n v="0.629372102267024"/>
  </r>
  <r>
    <x v="0"/>
    <s v="2025-12-30 22:09:11"/>
    <n v="6"/>
    <x v="42"/>
    <x v="0"/>
    <x v="0"/>
    <n v="18376"/>
    <n v="0"/>
    <s v="Unnamed ProjectL3 Station1.NumberSeizedTotal Number SeizedResource"/>
    <n v="10"/>
    <n v="18392"/>
    <n v="12.884098726725126"/>
    <n v="0.95"/>
    <n v="9.2167290013706662"/>
    <n v="18376"/>
    <n v="18407"/>
  </r>
  <r>
    <x v="0"/>
    <s v="2025-12-30 22:09:11"/>
    <n v="6"/>
    <x v="43"/>
    <x v="1"/>
    <x v="0"/>
    <n v="0.95773186307206104"/>
    <n v="0"/>
    <s v="Unnamed ProjectL3 Station1.ScheduledUtilizationScheduled UtilizationResource"/>
    <n v="10"/>
    <n v="0.9578548406389944"/>
    <n v="7.0772834598480485E-4"/>
    <n v="0.95"/>
    <n v="5.0627835985142609E-4"/>
    <n v="0.95655010461043799"/>
    <n v="0.95869742508961697"/>
  </r>
  <r>
    <x v="0"/>
    <s v="2025-12-30 22:09:11"/>
    <n v="6"/>
    <x v="44"/>
    <x v="0"/>
    <x v="0"/>
    <n v="18376"/>
    <n v="0"/>
    <s v="Unnamed ProjectL3 Station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6"/>
    <x v="45"/>
    <x v="1"/>
    <x v="0"/>
    <n v="1.0004514759534999"/>
    <n v="0"/>
    <s v="Unnamed ProjectL3 Station2.ScheduledUtilizationScheduled UtilizationResource"/>
    <n v="10"/>
    <n v="1.0003902798422071"/>
    <n v="5.593555412291058E-5"/>
    <n v="0.95"/>
    <n v="4.0013884931119971E-5"/>
    <n v="1.0003027766980599"/>
    <n v="1.00046792437877"/>
  </r>
  <r>
    <x v="0"/>
    <s v="2025-12-30 22:09:11"/>
    <n v="6"/>
    <x v="46"/>
    <x v="4"/>
    <x v="2"/>
    <n v="157191.09564744099"/>
    <n v="0"/>
    <s v="Unnamed ProjectProcess 1 Accum VA TimeAccum VA TimeProcess"/>
    <n v="10"/>
    <n v="157133.73428655442"/>
    <n v="123.15330812839177"/>
    <n v="0.95"/>
    <n v="88.098569462778244"/>
    <n v="156930.294881654"/>
    <n v="157303.990839153"/>
  </r>
  <r>
    <x v="0"/>
    <s v="2025-12-30 22:09:11"/>
    <n v="6"/>
    <x v="47"/>
    <x v="2"/>
    <x v="2"/>
    <n v="13107"/>
    <n v="0"/>
    <s v="Unnamed ProjectProcess 1 Number InNumber InProcess"/>
    <n v="10"/>
    <n v="13103.5"/>
    <n v="11.443095929181249"/>
    <n v="0.95"/>
    <n v="8.1858976986246059"/>
    <n v="13087"/>
    <n v="13120"/>
  </r>
  <r>
    <x v="0"/>
    <s v="2025-12-30 22:09:11"/>
    <n v="6"/>
    <x v="48"/>
    <x v="3"/>
    <x v="2"/>
    <n v="13107"/>
    <n v="0"/>
    <s v="Unnamed ProjectProcess 1 Number OutNumber OutProcess"/>
    <n v="10"/>
    <n v="13103.5"/>
    <n v="11.443095929181249"/>
    <n v="0.95"/>
    <n v="8.1858976986246059"/>
    <n v="13087"/>
    <n v="13120"/>
  </r>
  <r>
    <x v="0"/>
    <s v="2025-12-30 22:09:11"/>
    <n v="6"/>
    <x v="49"/>
    <x v="4"/>
    <x v="2"/>
    <n v="21836.4682271454"/>
    <n v="0"/>
    <s v="Unnamed ProjectProcess 14 Accum VA TimeAccum VA TimeProcess"/>
    <n v="10"/>
    <n v="21817.897664333104"/>
    <n v="40.377465047897729"/>
    <n v="0.95"/>
    <n v="28.884298467602775"/>
    <n v="21737.561928445"/>
    <n v="21880.2668082411"/>
  </r>
  <r>
    <x v="0"/>
    <s v="2025-12-30 22:09:11"/>
    <n v="6"/>
    <x v="50"/>
    <x v="2"/>
    <x v="2"/>
    <n v="6550"/>
    <n v="0"/>
    <s v="Unnamed ProjectProcess 14 Number InNumber InProcess"/>
    <n v="10"/>
    <n v="6547.7"/>
    <n v="5.735852159879995"/>
    <n v="0.95"/>
    <n v="4.1031814541969078"/>
    <n v="6540"/>
    <n v="6557"/>
  </r>
  <r>
    <x v="0"/>
    <s v="2025-12-30 22:09:11"/>
    <n v="6"/>
    <x v="51"/>
    <x v="3"/>
    <x v="2"/>
    <n v="6549"/>
    <n v="0"/>
    <s v="Unnamed ProjectProcess 14 Number OutNumber OutProcess"/>
    <n v="10"/>
    <n v="6547.3"/>
    <n v="5.7164480035925962"/>
    <n v="0.95"/>
    <n v="4.0893005569921828"/>
    <n v="6539"/>
    <n v="6556"/>
  </r>
  <r>
    <x v="0"/>
    <s v="2025-12-30 22:09:11"/>
    <n v="6"/>
    <x v="52"/>
    <x v="4"/>
    <x v="2"/>
    <n v="78575.6151880947"/>
    <n v="0"/>
    <s v="Unnamed ProjectProcess 2 Accum VA TimeAccum VA TimeProcess"/>
    <n v="10"/>
    <n v="78656.282482549519"/>
    <n v="139.39621135358072"/>
    <n v="0.95"/>
    <n v="99.718042457930338"/>
    <n v="78434.750255210005"/>
    <n v="78879.0340749358"/>
  </r>
  <r>
    <x v="0"/>
    <s v="2025-12-30 22:09:11"/>
    <n v="6"/>
    <x v="53"/>
    <x v="2"/>
    <x v="2"/>
    <n v="13103"/>
    <n v="0"/>
    <s v="Unnamed ProjectProcess 2 Number InNumber InProcess"/>
    <n v="10"/>
    <n v="13100.1"/>
    <n v="11.46443776786866"/>
    <n v="0.95"/>
    <n v="8.2011647303157567"/>
    <n v="13083"/>
    <n v="13118"/>
  </r>
  <r>
    <x v="0"/>
    <s v="2025-12-30 22:09:11"/>
    <n v="6"/>
    <x v="54"/>
    <x v="3"/>
    <x v="2"/>
    <n v="13103"/>
    <n v="0"/>
    <s v="Unnamed ProjectProcess 2 Number OutNumber OutProcess"/>
    <n v="10"/>
    <n v="13100.1"/>
    <n v="11.46443776786866"/>
    <n v="0.95"/>
    <n v="8.2011647303157567"/>
    <n v="13083"/>
    <n v="13118"/>
  </r>
  <r>
    <x v="0"/>
    <s v="2025-12-30 22:09:11"/>
    <n v="6"/>
    <x v="55"/>
    <x v="4"/>
    <x v="2"/>
    <n v="144121.27580189201"/>
    <n v="0"/>
    <s v="Unnamed ProjectProcess 3 Accum VA TimeAccum VA TimeProcess"/>
    <n v="10"/>
    <n v="144088.31566564049"/>
    <n v="147.41980686592098"/>
    <n v="0.95"/>
    <n v="105.45777691839817"/>
    <n v="143896.696561805"/>
    <n v="144298.22507098701"/>
  </r>
  <r>
    <x v="0"/>
    <s v="2025-12-30 22:09:11"/>
    <n v="6"/>
    <x v="56"/>
    <x v="2"/>
    <x v="2"/>
    <n v="13103"/>
    <n v="0"/>
    <s v="Unnamed ProjectProcess 3 Number InNumber InProcess"/>
    <n v="10"/>
    <n v="13099.9"/>
    <n v="11.761046816598522"/>
    <n v="0.95"/>
    <n v="8.4133460616980535"/>
    <n v="13082"/>
    <n v="13118"/>
  </r>
  <r>
    <x v="0"/>
    <s v="2025-12-30 22:09:11"/>
    <n v="6"/>
    <x v="57"/>
    <x v="3"/>
    <x v="2"/>
    <n v="13103"/>
    <n v="0"/>
    <s v="Unnamed ProjectProcess 3 Number OutNumber OutProcess"/>
    <n v="10"/>
    <n v="13099.9"/>
    <n v="11.761046816598522"/>
    <n v="0.95"/>
    <n v="8.4133460616980535"/>
    <n v="13082"/>
    <n v="13118"/>
  </r>
  <r>
    <x v="0"/>
    <s v="2025-12-30 22:09:11"/>
    <n v="6"/>
    <x v="58"/>
    <x v="4"/>
    <x v="2"/>
    <n v="57591.928795891799"/>
    <n v="0"/>
    <s v="Unnamed ProjectProcess 4 Accum VA TimeAccum VA TimeProcess"/>
    <n v="10"/>
    <n v="57657.842851106019"/>
    <n v="66.206976538127805"/>
    <n v="0.95"/>
    <n v="47.361617889987492"/>
    <n v="57569.6670912306"/>
    <n v="57778.887305354197"/>
  </r>
  <r>
    <x v="0"/>
    <s v="2025-12-30 22:09:11"/>
    <n v="6"/>
    <x v="59"/>
    <x v="2"/>
    <x v="2"/>
    <n v="8223"/>
    <n v="0"/>
    <s v="Unnamed ProjectProcess 4 Number InNumber InProcess"/>
    <n v="10"/>
    <n v="8235"/>
    <n v="6.5659052011974035"/>
    <n v="0.95"/>
    <n v="4.6969656296252689"/>
    <n v="8223"/>
    <n v="8245"/>
  </r>
  <r>
    <x v="0"/>
    <s v="2025-12-30 22:09:11"/>
    <n v="6"/>
    <x v="60"/>
    <x v="3"/>
    <x v="2"/>
    <n v="8223"/>
    <n v="0"/>
    <s v="Unnamed ProjectProcess 4 Number OutNumber OutProcess"/>
    <n v="10"/>
    <n v="8235"/>
    <n v="6.5659052011974035"/>
    <n v="0.95"/>
    <n v="4.6969656296252689"/>
    <n v="8223"/>
    <n v="8245"/>
  </r>
  <r>
    <x v="0"/>
    <s v="2025-12-30 22:09:11"/>
    <n v="6"/>
    <x v="61"/>
    <x v="4"/>
    <x v="2"/>
    <n v="82308.443218053799"/>
    <n v="0"/>
    <s v="Unnamed ProjectProcess 5 Accum VA TimeAccum VA TimeProcess"/>
    <n v="10"/>
    <n v="82354.925585571807"/>
    <n v="74.759806822996126"/>
    <n v="0.95"/>
    <n v="53.479944099863097"/>
    <n v="82287.012858407106"/>
    <n v="82509.9089339692"/>
  </r>
  <r>
    <x v="0"/>
    <s v="2025-12-30 22:09:11"/>
    <n v="6"/>
    <x v="62"/>
    <x v="2"/>
    <x v="2"/>
    <n v="8221"/>
    <n v="0"/>
    <s v="Unnamed ProjectProcess 5 Number InNumber InProcess"/>
    <n v="10"/>
    <n v="8233.5"/>
    <n v="6.5021364010437201"/>
    <n v="0.95"/>
    <n v="4.6513481780498687"/>
    <n v="8221"/>
    <n v="8243"/>
  </r>
  <r>
    <x v="0"/>
    <s v="2025-12-30 22:09:11"/>
    <n v="6"/>
    <x v="63"/>
    <x v="3"/>
    <x v="2"/>
    <n v="8221"/>
    <n v="0"/>
    <s v="Unnamed ProjectProcess 5 Number OutNumber OutProcess"/>
    <n v="10"/>
    <n v="8233.5"/>
    <n v="6.5021364010437201"/>
    <n v="0.95"/>
    <n v="4.6513481780498687"/>
    <n v="8221"/>
    <n v="8243"/>
  </r>
  <r>
    <x v="0"/>
    <s v="2025-12-30 22:09:11"/>
    <n v="6"/>
    <x v="64"/>
    <x v="4"/>
    <x v="2"/>
    <n v="205962.665291818"/>
    <n v="0"/>
    <s v="Unnamed ProjectProcess 6 Accum VA TimeAccum VA TimeProcess"/>
    <n v="10"/>
    <n v="205782.3721339902"/>
    <n v="135.17903819323379"/>
    <n v="0.95"/>
    <n v="96.701258514002035"/>
    <n v="205554.00796082799"/>
    <n v="205962.665291818"/>
  </r>
  <r>
    <x v="0"/>
    <s v="2025-12-30 22:09:11"/>
    <n v="6"/>
    <x v="65"/>
    <x v="2"/>
    <x v="2"/>
    <n v="8220"/>
    <n v="0"/>
    <s v="Unnamed ProjectProcess 6 Number InNumber InProcess"/>
    <n v="10"/>
    <n v="8231.5"/>
    <n v="6.3464775882199236"/>
    <n v="0.95"/>
    <n v="4.5399965713211703"/>
    <n v="8220"/>
    <n v="8241"/>
  </r>
  <r>
    <x v="0"/>
    <s v="2025-12-30 22:09:11"/>
    <n v="6"/>
    <x v="66"/>
    <x v="3"/>
    <x v="2"/>
    <n v="8220"/>
    <n v="0"/>
    <s v="Unnamed ProjectProcess 6 Number OutNumber OutProcess"/>
    <n v="10"/>
    <n v="8231.5"/>
    <n v="6.3464775882199236"/>
    <n v="0.95"/>
    <n v="4.5399965713211703"/>
    <n v="8220"/>
    <n v="8241"/>
  </r>
  <r>
    <x v="0"/>
    <s v="2025-12-30 22:09:11"/>
    <n v="6"/>
    <x v="67"/>
    <x v="4"/>
    <x v="2"/>
    <n v="98434.330991768598"/>
    <n v="0"/>
    <s v="Unnamed ProjectProcess 7 Accum VA TimeAccum VA TimeProcess"/>
    <n v="10"/>
    <n v="98625.180720296266"/>
    <n v="166.97558012409817"/>
    <n v="0.95"/>
    <n v="119.44713437023168"/>
    <n v="98434.330991768598"/>
    <n v="98993.883345143302"/>
  </r>
  <r>
    <x v="0"/>
    <s v="2025-12-30 22:09:11"/>
    <n v="6"/>
    <x v="68"/>
    <x v="2"/>
    <x v="2"/>
    <n v="8216"/>
    <n v="0"/>
    <s v="Unnamed ProjectProcess 7 Number InNumber InProcess"/>
    <n v="10"/>
    <n v="8227.7000000000007"/>
    <n v="6.2902040242480748"/>
    <n v="0.95"/>
    <n v="4.4997408887103267"/>
    <n v="8216"/>
    <n v="8237"/>
  </r>
  <r>
    <x v="0"/>
    <s v="2025-12-30 22:09:11"/>
    <n v="6"/>
    <x v="69"/>
    <x v="3"/>
    <x v="2"/>
    <n v="8216"/>
    <n v="0"/>
    <s v="Unnamed ProjectProcess 7 Number OutNumber OutProcess"/>
    <n v="10"/>
    <n v="8227.7000000000007"/>
    <n v="6.2902040242480748"/>
    <n v="0.95"/>
    <n v="4.4997408887103267"/>
    <n v="8216"/>
    <n v="8237"/>
  </r>
  <r>
    <x v="0"/>
    <s v="2025-12-30 22:09:11"/>
    <n v="6"/>
    <x v="70"/>
    <x v="4"/>
    <x v="2"/>
    <n v="91818.172838960294"/>
    <n v="0"/>
    <s v="Unnamed ProjectProcess 8 Accum VA TimeAccum VA TimeProcess"/>
    <n v="10"/>
    <n v="91917.034029149756"/>
    <n v="167.33037075092571"/>
    <n v="0.95"/>
    <n v="119.70093629530641"/>
    <n v="91632.276670136605"/>
    <n v="92162.594279262106"/>
  </r>
  <r>
    <x v="0"/>
    <s v="2025-12-30 22:09:11"/>
    <n v="6"/>
    <x v="71"/>
    <x v="2"/>
    <x v="2"/>
    <n v="18376"/>
    <n v="0"/>
    <s v="Unnamed ProjectProcess 8 Number InNumber InProcess"/>
    <n v="10"/>
    <n v="18392"/>
    <n v="12.884098726725126"/>
    <n v="0.95"/>
    <n v="9.2167290013706662"/>
    <n v="18376"/>
    <n v="18407"/>
  </r>
  <r>
    <x v="0"/>
    <s v="2025-12-30 22:09:11"/>
    <n v="6"/>
    <x v="72"/>
    <x v="3"/>
    <x v="2"/>
    <n v="18376"/>
    <n v="0"/>
    <s v="Unnamed ProjectProcess 8 Number OutNumber OutProcess"/>
    <n v="10"/>
    <n v="18392"/>
    <n v="12.884098726725126"/>
    <n v="0.95"/>
    <n v="9.2167290013706662"/>
    <n v="18376"/>
    <n v="18407"/>
  </r>
  <r>
    <x v="0"/>
    <s v="2025-12-30 22:09:11"/>
    <n v="6"/>
    <x v="73"/>
    <x v="4"/>
    <x v="2"/>
    <n v="104278.360238451"/>
    <n v="0"/>
    <s v="Unnamed ProjectProcess 9 Accum VA TimeAccum VA TimeProcess"/>
    <n v="10"/>
    <n v="104198.44406523299"/>
    <n v="99.045608472383734"/>
    <n v="0.95"/>
    <n v="70.852960026786278"/>
    <n v="104039.320720244"/>
    <n v="104335.096217932"/>
  </r>
  <r>
    <x v="0"/>
    <s v="2025-12-30 22:09:11"/>
    <n v="6"/>
    <x v="74"/>
    <x v="2"/>
    <x v="2"/>
    <n v="18376"/>
    <n v="0"/>
    <s v="Unnamed ProjectProcess 9 Number InNumber InProcess"/>
    <n v="10"/>
    <n v="18389.400000000001"/>
    <n v="12.103259432437566"/>
    <n v="0.95"/>
    <n v="8.6581502197487996"/>
    <n v="18376"/>
    <n v="18404"/>
  </r>
  <r>
    <x v="0"/>
    <s v="2025-12-30 22:09:11"/>
    <n v="6"/>
    <x v="75"/>
    <x v="3"/>
    <x v="2"/>
    <n v="18376"/>
    <n v="0"/>
    <s v="Unnamed ProjectProcess 9 Number OutNumber OutProcess"/>
    <n v="10"/>
    <n v="18389.400000000001"/>
    <n v="12.103259432437566"/>
    <n v="0.95"/>
    <n v="8.6581502197487996"/>
    <n v="18376"/>
    <n v="18404"/>
  </r>
  <r>
    <x v="0"/>
    <s v="2025-12-30 22:09:11"/>
    <n v="6"/>
    <x v="76"/>
    <x v="0"/>
    <x v="0"/>
    <n v="0"/>
    <n v="0"/>
    <s v="Unnamed ProjectSales Department.NumberSeizedTotal Number SeizedResource"/>
    <n v="10"/>
    <n v="0"/>
    <n v="0"/>
    <n v="0.95"/>
    <n v="0"/>
    <n v="0"/>
    <n v="0"/>
  </r>
  <r>
    <x v="0"/>
    <s v="2025-12-30 22:09:11"/>
    <n v="6"/>
    <x v="77"/>
    <x v="1"/>
    <x v="0"/>
    <n v="0"/>
    <n v="0"/>
    <s v="Unnamed ProjectSales Department.ScheduledUtilizationScheduled UtilizationResource"/>
    <n v="10"/>
    <n v="0"/>
    <n v="0"/>
    <n v="0.95"/>
    <n v="0"/>
    <n v="0"/>
    <n v="0"/>
  </r>
  <r>
    <x v="0"/>
    <s v="2025-12-30 22:09:11"/>
    <n v="6"/>
    <x v="78"/>
    <x v="0"/>
    <x v="0"/>
    <n v="129"/>
    <n v="0"/>
    <s v="Unnamed ProjectSales Rep.NumberSeizedTotal Number SeizedResource"/>
    <n v="10"/>
    <n v="118.7"/>
    <n v="12.587913073879887"/>
    <n v="0.95"/>
    <n v="9.0048505491583946"/>
    <n v="95"/>
    <n v="141"/>
  </r>
  <r>
    <x v="0"/>
    <s v="2025-12-30 22:09:11"/>
    <n v="6"/>
    <x v="79"/>
    <x v="1"/>
    <x v="0"/>
    <n v="0.36088783142915698"/>
    <n v="0"/>
    <s v="Unnamed ProjectSales Rep.ScheduledUtilizationScheduled UtilizationResource"/>
    <n v="10"/>
    <n v="0.3273551167875815"/>
    <n v="3.5172818533154994E-2"/>
    <n v="0.95"/>
    <n v="2.5161118640145405E-2"/>
    <n v="0.26933581669894202"/>
    <n v="0.39321867243708603"/>
  </r>
  <r>
    <x v="0"/>
    <s v="2025-12-30 22:09:11"/>
    <n v="6"/>
    <x v="80"/>
    <x v="3"/>
    <x v="3"/>
    <n v="2534"/>
    <n v="0"/>
    <s v="Unnamed ProjectSystem.NumberOutNumber OutSystem"/>
    <n v="10"/>
    <n v="2503.1"/>
    <n v="29.72260643573059"/>
    <n v="0.95"/>
    <n v="21.262271777248003"/>
    <n v="2457"/>
    <n v="2546"/>
  </r>
  <r>
    <x v="0"/>
    <s v="2025-12-30 22:09:11"/>
    <n v="6"/>
    <x v="81"/>
    <x v="2"/>
    <x v="1"/>
    <n v="7839"/>
    <n v="0"/>
    <s v="Unnamed ProjectWire Harness.NumberInNumber InEntity"/>
    <n v="10"/>
    <n v="7832.8"/>
    <n v="7.8287220469811594"/>
    <n v="0.95"/>
    <n v="5.6003303812327712"/>
    <n v="7818"/>
    <n v="7845"/>
  </r>
  <r>
    <x v="0"/>
    <s v="2025-12-30 22:09:11"/>
    <n v="6"/>
    <x v="82"/>
    <x v="3"/>
    <x v="1"/>
    <n v="7833"/>
    <n v="0"/>
    <s v="Unnamed ProjectWire Harness.NumberOutNumber OutEntity"/>
    <n v="10"/>
    <n v="7828.3"/>
    <n v="7.1032074132433696"/>
    <n v="0.95"/>
    <n v="5.0813284776056653"/>
    <n v="7815"/>
    <n v="7840"/>
  </r>
  <r>
    <x v="0"/>
    <s v="2025-12-30 22:09:11"/>
    <n v="6"/>
    <x v="83"/>
    <x v="4"/>
    <x v="2"/>
    <n v="58463.828691523398"/>
    <n v="0"/>
    <s v="Unnamed Projectsales Accum VA TimeAccum VA TimeProcess"/>
    <n v="10"/>
    <n v="53031.528919588192"/>
    <n v="5697.9966023710867"/>
    <n v="0.95"/>
    <n v="4076.1012197035402"/>
    <n v="43632.402305228599"/>
    <n v="63701.424934807801"/>
  </r>
  <r>
    <x v="0"/>
    <s v="2025-12-30 22:09:11"/>
    <n v="6"/>
    <x v="84"/>
    <x v="2"/>
    <x v="2"/>
    <n v="129"/>
    <n v="0"/>
    <s v="Unnamed Projectsales Number InNumber InProcess"/>
    <n v="10"/>
    <n v="118.7"/>
    <n v="12.587913073879887"/>
    <n v="0.95"/>
    <n v="9.0048505491583946"/>
    <n v="95"/>
    <n v="141"/>
  </r>
  <r>
    <x v="0"/>
    <s v="2025-12-30 22:09:11"/>
    <n v="6"/>
    <x v="85"/>
    <x v="3"/>
    <x v="2"/>
    <n v="129"/>
    <n v="0"/>
    <s v="Unnamed Projectsales Number OutNumber OutProcess"/>
    <n v="10"/>
    <n v="118.7"/>
    <n v="12.587913073879887"/>
    <n v="0.95"/>
    <n v="9.0048505491583946"/>
    <n v="95"/>
    <n v="141"/>
  </r>
  <r>
    <x v="0"/>
    <s v="2025-12-30 22:09:11"/>
    <n v="7"/>
    <x v="0"/>
    <x v="0"/>
    <x v="0"/>
    <n v="6553"/>
    <n v="0"/>
    <s v="Unnamed ProjectAssembler.NumberSeizedTotal Number SeizedResource"/>
    <n v="10"/>
    <n v="6547.7"/>
    <n v="5.735852159879995"/>
    <n v="0.95"/>
    <n v="4.1031814541969078"/>
    <n v="6540"/>
    <n v="6557"/>
  </r>
  <r>
    <x v="0"/>
    <s v="2025-12-30 22:09:11"/>
    <n v="7"/>
    <x v="1"/>
    <x v="1"/>
    <x v="0"/>
    <n v="7.5801140762371502E-2"/>
    <n v="0"/>
    <s v="Unnamed ProjectAssembler.ScheduledUtilizationScheduled UtilizationResource"/>
    <n v="10"/>
    <n v="7.575658911226775E-2"/>
    <n v="1.4019953141627205E-4"/>
    <n v="0.95"/>
    <n v="1.0029270301248135E-4"/>
    <n v="7.5477645584878503E-2"/>
    <n v="7.5973148639726207E-2"/>
  </r>
  <r>
    <x v="0"/>
    <s v="2025-12-30 22:09:11"/>
    <n v="7"/>
    <x v="2"/>
    <x v="2"/>
    <x v="1"/>
    <n v="1121"/>
    <n v="0"/>
    <s v="Unnamed ProjectCustomer.NumberInNumber InEntity"/>
    <n v="10"/>
    <n v="1090.3"/>
    <n v="32.666836734251177"/>
    <n v="0.95"/>
    <n v="23.368447254062772"/>
    <n v="1042"/>
    <n v="1141"/>
  </r>
  <r>
    <x v="0"/>
    <s v="2025-12-30 22:09:11"/>
    <n v="7"/>
    <x v="3"/>
    <x v="3"/>
    <x v="1"/>
    <n v="1121"/>
    <n v="0"/>
    <s v="Unnamed ProjectCustomer.NumberOutNumber OutEntity"/>
    <n v="10"/>
    <n v="1090.3"/>
    <n v="32.666836734251177"/>
    <n v="0.95"/>
    <n v="23.368447254062772"/>
    <n v="1042"/>
    <n v="1141"/>
  </r>
  <r>
    <x v="0"/>
    <s v="2025-12-30 22:09:11"/>
    <n v="7"/>
    <x v="4"/>
    <x v="2"/>
    <x v="1"/>
    <n v="19837"/>
    <n v="0"/>
    <s v="Unnamed ProjectEntity 1.NumberInNumber InEntity"/>
    <n v="10"/>
    <n v="19822.900000000001"/>
    <n v="20.151922985164472"/>
    <n v="0.95"/>
    <n v="14.415817276026377"/>
    <n v="19788"/>
    <n v="19852"/>
  </r>
  <r>
    <x v="0"/>
    <s v="2025-12-30 22:09:11"/>
    <n v="7"/>
    <x v="5"/>
    <x v="3"/>
    <x v="1"/>
    <n v="19647"/>
    <n v="0"/>
    <s v="Unnamed ProjectEntity 1.NumberOutNumber OutEntity"/>
    <n v="10"/>
    <n v="19635.599999999999"/>
    <n v="15.086417732516889"/>
    <n v="0.95"/>
    <n v="10.792173111314252"/>
    <n v="19614"/>
    <n v="19662"/>
  </r>
  <r>
    <x v="0"/>
    <s v="2025-12-30 22:09:11"/>
    <n v="7"/>
    <x v="6"/>
    <x v="2"/>
    <x v="1"/>
    <n v="8401"/>
    <n v="0"/>
    <s v="Unnamed ProjectEntity 2.NumberInNumber InEntity"/>
    <n v="10"/>
    <n v="8398"/>
    <n v="24.133885813197271"/>
    <n v="0.95"/>
    <n v="17.264341884378119"/>
    <n v="8353"/>
    <n v="8437"/>
  </r>
  <r>
    <x v="0"/>
    <s v="2025-12-30 22:09:11"/>
    <n v="7"/>
    <x v="7"/>
    <x v="3"/>
    <x v="1"/>
    <n v="6549"/>
    <n v="0"/>
    <s v="Unnamed ProjectEntity 2.NumberOutNumber OutEntity"/>
    <n v="10"/>
    <n v="6545.2"/>
    <n v="5.0288059108389627"/>
    <n v="0.95"/>
    <n v="3.5973910371047504"/>
    <n v="6538"/>
    <n v="6554"/>
  </r>
  <r>
    <x v="0"/>
    <s v="2025-12-30 22:09:11"/>
    <n v="7"/>
    <x v="8"/>
    <x v="2"/>
    <x v="1"/>
    <n v="27773"/>
    <n v="0"/>
    <s v="Unnamed ProjectEntity 3.NumberInNumber InEntity"/>
    <n v="10"/>
    <n v="27753.7"/>
    <n v="25.447331228768697"/>
    <n v="0.95"/>
    <n v="18.203924133022646"/>
    <n v="27724"/>
    <n v="27792"/>
  </r>
  <r>
    <x v="0"/>
    <s v="2025-12-30 22:09:11"/>
    <n v="7"/>
    <x v="9"/>
    <x v="3"/>
    <x v="1"/>
    <n v="19647"/>
    <n v="0"/>
    <s v="Unnamed ProjectEntity 3.NumberOutNumber OutEntity"/>
    <n v="10"/>
    <n v="19635.599999999999"/>
    <n v="15.086417732516889"/>
    <n v="0.95"/>
    <n v="10.792173111314252"/>
    <n v="19614"/>
    <n v="19662"/>
  </r>
  <r>
    <x v="0"/>
    <s v="2025-12-30 22:09:11"/>
    <n v="7"/>
    <x v="10"/>
    <x v="0"/>
    <x v="0"/>
    <n v="13115"/>
    <n v="0"/>
    <s v="Unnamed ProjectKanban L1S1.NumberSeizedTotal Number SeizedResource"/>
    <n v="10"/>
    <n v="13103.5"/>
    <n v="11.443095929181249"/>
    <n v="0.95"/>
    <n v="8.1858976986246059"/>
    <n v="13087"/>
    <n v="13120"/>
  </r>
  <r>
    <x v="0"/>
    <s v="2025-12-30 22:09:11"/>
    <n v="7"/>
    <x v="11"/>
    <x v="1"/>
    <x v="0"/>
    <n v="0.503322475256885"/>
    <n v="0"/>
    <s v="Unnamed ProjectKanban L1S1.ScheduledUtilizationScheduled UtilizationResource"/>
    <n v="10"/>
    <n v="0.48160620907873086"/>
    <n v="8.6686321722355061E-2"/>
    <n v="0.95"/>
    <n v="6.2011658897281531E-2"/>
    <n v="0.292184201252493"/>
    <n v="0.57167989674475905"/>
  </r>
  <r>
    <x v="0"/>
    <s v="2025-12-30 22:09:11"/>
    <n v="7"/>
    <x v="12"/>
    <x v="0"/>
    <x v="0"/>
    <n v="13111"/>
    <n v="0"/>
    <s v="Unnamed ProjectKanban L1S2.NumberSeizedTotal Number SeizedResource"/>
    <n v="10"/>
    <n v="13100.1"/>
    <n v="11.46443776786866"/>
    <n v="0.95"/>
    <n v="8.2011647303157567"/>
    <n v="13083"/>
    <n v="13118"/>
  </r>
  <r>
    <x v="0"/>
    <s v="2025-12-30 22:09:11"/>
    <n v="7"/>
    <x v="13"/>
    <x v="1"/>
    <x v="0"/>
    <n v="0.33570777662711399"/>
    <n v="0"/>
    <s v="Unnamed ProjectKanban L1S2.ScheduledUtilizationScheduled UtilizationResource"/>
    <n v="10"/>
    <n v="0.25269289312392168"/>
    <n v="4.921401008308305E-2"/>
    <n v="0.95"/>
    <n v="3.5205581983443382E-2"/>
    <n v="0.20500025225945601"/>
    <n v="0.33570777662711399"/>
  </r>
  <r>
    <x v="0"/>
    <s v="2025-12-30 22:09:11"/>
    <n v="7"/>
    <x v="14"/>
    <x v="0"/>
    <x v="0"/>
    <n v="13111"/>
    <n v="0"/>
    <s v="Unnamed ProjectKanban L1S3.NumberSeizedTotal Number SeizedResource"/>
    <n v="10"/>
    <n v="13099.9"/>
    <n v="11.761046816598522"/>
    <n v="0.95"/>
    <n v="8.4133460616980535"/>
    <n v="13082"/>
    <n v="13118"/>
  </r>
  <r>
    <x v="0"/>
    <s v="2025-12-30 22:09:11"/>
    <n v="7"/>
    <x v="15"/>
    <x v="1"/>
    <x v="0"/>
    <n v="0.15167485045888399"/>
    <n v="0"/>
    <s v="Unnamed ProjectKanban L1S3.ScheduledUtilizationScheduled UtilizationResource"/>
    <n v="10"/>
    <n v="0.151561654865698"/>
    <n v="1.2198256688170919E-4"/>
    <n v="0.95"/>
    <n v="8.7261071626859165E-5"/>
    <n v="0.15134711042770399"/>
    <n v="0.15172806047441101"/>
  </r>
  <r>
    <x v="0"/>
    <s v="2025-12-30 22:09:11"/>
    <n v="7"/>
    <x v="16"/>
    <x v="0"/>
    <x v="0"/>
    <n v="8238"/>
    <n v="0"/>
    <s v="Unnamed ProjectKanban L2S1.NumberSeizedTotal Number SeizedResource"/>
    <n v="10"/>
    <n v="8235"/>
    <n v="6.5659052011974035"/>
    <n v="0.95"/>
    <n v="4.6969656296252689"/>
    <n v="8223"/>
    <n v="8245"/>
  </r>
  <r>
    <x v="0"/>
    <s v="2025-12-30 22:09:11"/>
    <n v="7"/>
    <x v="17"/>
    <x v="1"/>
    <x v="0"/>
    <n v="0.94640294028002103"/>
    <n v="0"/>
    <s v="Unnamed ProjectKanban L2S1.ScheduledUtilizationScheduled UtilizationResource"/>
    <n v="10"/>
    <n v="0.84558522180863771"/>
    <n v="0.11694354024491282"/>
    <n v="0.95"/>
    <n v="8.3656369122856733E-2"/>
    <n v="0.625269422960122"/>
    <n v="0.95234896906597499"/>
  </r>
  <r>
    <x v="0"/>
    <s v="2025-12-30 22:09:11"/>
    <n v="7"/>
    <x v="18"/>
    <x v="0"/>
    <x v="0"/>
    <n v="8236"/>
    <n v="0"/>
    <s v="Unnamed ProjectKanban L2S2.NumberSeizedTotal Number SeizedResource"/>
    <n v="10"/>
    <n v="8233.5"/>
    <n v="6.5021364010437201"/>
    <n v="0.95"/>
    <n v="4.6513481780498687"/>
    <n v="8221"/>
    <n v="8243"/>
  </r>
  <r>
    <x v="0"/>
    <s v="2025-12-30 22:09:11"/>
    <n v="7"/>
    <x v="19"/>
    <x v="1"/>
    <x v="0"/>
    <n v="0.80367374551252302"/>
    <n v="0"/>
    <s v="Unnamed ProjectKanban L2S2.ScheduledUtilizationScheduled UtilizationResource"/>
    <n v="10"/>
    <n v="0.74077431571180286"/>
    <n v="6.1280007141721847E-2"/>
    <n v="0.95"/>
    <n v="4.3837076306762375E-2"/>
    <n v="0.67060354368791897"/>
    <n v="0.87728997349342697"/>
  </r>
  <r>
    <x v="0"/>
    <s v="2025-12-30 22:09:11"/>
    <n v="7"/>
    <x v="20"/>
    <x v="0"/>
    <x v="0"/>
    <n v="8234"/>
    <n v="0"/>
    <s v="Unnamed ProjectKanban L2S3.NumberSeizedTotal Number SeizedResource"/>
    <n v="10"/>
    <n v="8231.5"/>
    <n v="6.3464775882199236"/>
    <n v="0.95"/>
    <n v="4.5399965713211703"/>
    <n v="8220"/>
    <n v="8241"/>
  </r>
  <r>
    <x v="0"/>
    <s v="2025-12-30 22:09:11"/>
    <n v="7"/>
    <x v="21"/>
    <x v="1"/>
    <x v="0"/>
    <n v="0.45750763212080597"/>
    <n v="0"/>
    <s v="Unnamed ProjectKanban L2S3.ScheduledUtilizationScheduled UtilizationResource"/>
    <n v="10"/>
    <n v="0.52391445815006699"/>
    <n v="7.0460308415606909E-2"/>
    <n v="0.95"/>
    <n v="5.0404268221927347E-2"/>
    <n v="0.36555656561218303"/>
    <n v="0.59886206518967"/>
  </r>
  <r>
    <x v="0"/>
    <s v="2025-12-30 22:09:11"/>
    <n v="7"/>
    <x v="22"/>
    <x v="0"/>
    <x v="0"/>
    <n v="8230"/>
    <n v="0"/>
    <s v="Unnamed ProjectKanban L2S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7"/>
    <x v="23"/>
    <x v="1"/>
    <x v="0"/>
    <n v="0.14921189842985499"/>
    <n v="0"/>
    <s v="Unnamed ProjectKanban L2S4.ScheduledUtilizationScheduled UtilizationResource"/>
    <n v="10"/>
    <n v="0.14955853655775292"/>
    <n v="1.8487754554887928E-4"/>
    <n v="0.95"/>
    <n v="1.3225342896729691E-4"/>
    <n v="0.14921189842985499"/>
    <n v="0.14985050053976801"/>
  </r>
  <r>
    <x v="0"/>
    <s v="2025-12-30 22:09:11"/>
    <n v="7"/>
    <x v="24"/>
    <x v="0"/>
    <x v="0"/>
    <n v="18398"/>
    <n v="0"/>
    <s v="Unnamed ProjectKanban L3S1.NumberSeizedTotal Number SeizedResource"/>
    <n v="10"/>
    <n v="18392"/>
    <n v="12.884098726725126"/>
    <n v="0.95"/>
    <n v="9.2167290013706662"/>
    <n v="18376"/>
    <n v="18407"/>
  </r>
  <r>
    <x v="0"/>
    <s v="2025-12-30 22:09:11"/>
    <n v="7"/>
    <x v="25"/>
    <x v="1"/>
    <x v="0"/>
    <n v="0.89992010424272495"/>
    <n v="0"/>
    <s v="Unnamed ProjectKanban L3S1.ScheduledUtilizationScheduled UtilizationResource"/>
    <n v="10"/>
    <n v="0.78490250681152463"/>
    <n v="0.11345978752761485"/>
    <n v="0.95"/>
    <n v="8.1164242557843561E-2"/>
    <n v="0.58338388917401596"/>
    <n v="0.90111632059041802"/>
  </r>
  <r>
    <x v="0"/>
    <s v="2025-12-30 22:09:11"/>
    <n v="7"/>
    <x v="26"/>
    <x v="0"/>
    <x v="0"/>
    <n v="18394"/>
    <n v="0"/>
    <s v="Unnamed ProjectKanban L3S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7"/>
    <x v="27"/>
    <x v="1"/>
    <x v="0"/>
    <n v="0.15878533453201499"/>
    <n v="0"/>
    <s v="Unnamed ProjectKanban L3S2.ScheduledUtilizationScheduled UtilizationResource"/>
    <n v="10"/>
    <n v="0.15879210791146151"/>
    <n v="8.8786593843692651E-6"/>
    <n v="0.95"/>
    <n v="6.3514103063698042E-6"/>
    <n v="0.15877821852350199"/>
    <n v="0.15880443244107401"/>
  </r>
  <r>
    <x v="0"/>
    <s v="2025-12-30 22:09:11"/>
    <n v="7"/>
    <x v="28"/>
    <x v="0"/>
    <x v="0"/>
    <n v="13115"/>
    <n v="0"/>
    <s v="Unnamed ProjectL1 Station1.NumberSeizedTotal Number SeizedResource"/>
    <n v="10"/>
    <n v="13103.5"/>
    <n v="11.443095929181249"/>
    <n v="0.95"/>
    <n v="8.1858976986246059"/>
    <n v="13087"/>
    <n v="13120"/>
  </r>
  <r>
    <x v="0"/>
    <s v="2025-12-30 22:09:11"/>
    <n v="7"/>
    <x v="29"/>
    <x v="1"/>
    <x v="0"/>
    <n v="1.0005802224770399"/>
    <n v="0"/>
    <s v="Unnamed ProjectL1 Station1.ScheduledUtilizationScheduled UtilizationResource"/>
    <n v="10"/>
    <n v="1.0004814685732331"/>
    <n v="7.4280555176725285E-5"/>
    <n v="0.95"/>
    <n v="5.3137108125005439E-5"/>
    <n v="1.00039897320567"/>
    <n v="1.00059414734778"/>
  </r>
  <r>
    <x v="0"/>
    <s v="2025-12-30 22:09:11"/>
    <n v="7"/>
    <x v="30"/>
    <x v="0"/>
    <x v="0"/>
    <n v="13111"/>
    <n v="0"/>
    <s v="Unnamed ProjectL1 Station2.NumberSeizedTotal Number SeizedResource"/>
    <n v="10"/>
    <n v="13100.1"/>
    <n v="11.46443776786866"/>
    <n v="0.95"/>
    <n v="8.2011647303157567"/>
    <n v="13083"/>
    <n v="13118"/>
  </r>
  <r>
    <x v="0"/>
    <s v="2025-12-30 22:09:11"/>
    <n v="7"/>
    <x v="31"/>
    <x v="1"/>
    <x v="0"/>
    <n v="0.72867591318948299"/>
    <n v="0"/>
    <s v="Unnamed ProjectL1 Station2.ScheduledUtilizationScheduled UtilizationResource"/>
    <n v="10"/>
    <n v="0.7279059511079462"/>
    <n v="7.0848304180243249E-4"/>
    <n v="0.95"/>
    <n v="5.0681823671647316E-4"/>
    <n v="0.72665767143328297"/>
    <n v="0.72896261310967603"/>
  </r>
  <r>
    <x v="0"/>
    <s v="2025-12-30 22:09:11"/>
    <n v="7"/>
    <x v="32"/>
    <x v="0"/>
    <x v="0"/>
    <n v="13111"/>
    <n v="0"/>
    <s v="Unnamed ProjectL1 Station3.NumberSeizedTotal Number SeizedResource"/>
    <n v="10"/>
    <n v="13099.9"/>
    <n v="11.761046816598522"/>
    <n v="0.95"/>
    <n v="8.4133460616980535"/>
    <n v="13082"/>
    <n v="13118"/>
  </r>
  <r>
    <x v="0"/>
    <s v="2025-12-30 22:09:11"/>
    <n v="7"/>
    <x v="33"/>
    <x v="1"/>
    <x v="0"/>
    <n v="0.95555155789096802"/>
    <n v="0"/>
    <s v="Unnamed ProjectL1 Station3.ScheduledUtilizationScheduled UtilizationResource"/>
    <n v="10"/>
    <n v="0.95483842565389732"/>
    <n v="7.6849017135544289E-4"/>
    <n v="0.95"/>
    <n v="5.497447512496955E-4"/>
    <n v="0.95348679569453398"/>
    <n v="0.95588678098879198"/>
  </r>
  <r>
    <x v="0"/>
    <s v="2025-12-30 22:09:11"/>
    <n v="7"/>
    <x v="34"/>
    <x v="0"/>
    <x v="0"/>
    <n v="8238"/>
    <n v="0"/>
    <s v="Unnamed ProjectL2 Station1.NumberSeizedTotal Number SeizedResource"/>
    <n v="10"/>
    <n v="8235"/>
    <n v="6.5659052011974035"/>
    <n v="0.95"/>
    <n v="4.6969656296252689"/>
    <n v="8223"/>
    <n v="8245"/>
  </r>
  <r>
    <x v="0"/>
    <s v="2025-12-30 22:09:11"/>
    <n v="7"/>
    <x v="35"/>
    <x v="1"/>
    <x v="0"/>
    <n v="0.48705635380753198"/>
    <n v="0"/>
    <s v="Unnamed ProjectL2 Station1.ScheduledUtilizationScheduled UtilizationResource"/>
    <n v="10"/>
    <n v="0.48622459141633045"/>
    <n v="7.2585329819825151E-4"/>
    <n v="0.95"/>
    <n v="5.1924416958770345E-4"/>
    <n v="0.48503601840289501"/>
    <n v="0.48724920721519499"/>
  </r>
  <r>
    <x v="0"/>
    <s v="2025-12-30 22:09:11"/>
    <n v="7"/>
    <x v="36"/>
    <x v="0"/>
    <x v="0"/>
    <n v="8236"/>
    <n v="0"/>
    <s v="Unnamed ProjectL2 Station2.NumberSeizedTotal Number SeizedResource"/>
    <n v="10"/>
    <n v="8233.5"/>
    <n v="6.5021364010437201"/>
    <n v="0.95"/>
    <n v="4.6513481780498687"/>
    <n v="8221"/>
    <n v="8243"/>
  </r>
  <r>
    <x v="0"/>
    <s v="2025-12-30 22:09:11"/>
    <n v="7"/>
    <x v="37"/>
    <x v="1"/>
    <x v="0"/>
    <n v="0.57218889353149305"/>
    <n v="0"/>
    <s v="Unnamed ProjectL2 Station2.ScheduledUtilizationScheduled UtilizationResource"/>
    <n v="10"/>
    <n v="0.57195959594019841"/>
    <n v="5.0695895005827636E-4"/>
    <n v="0.95"/>
    <n v="3.6265658596782525E-4"/>
    <n v="0.57115702440598504"/>
    <n v="0.57294957522841605"/>
  </r>
  <r>
    <x v="0"/>
    <s v="2025-12-30 22:09:11"/>
    <n v="7"/>
    <x v="38"/>
    <x v="0"/>
    <x v="0"/>
    <n v="8234"/>
    <n v="0"/>
    <s v="Unnamed ProjectL2 Station3.NumberSeizedTotal Number SeizedResource"/>
    <n v="10"/>
    <n v="8231.5"/>
    <n v="6.3464775882199236"/>
    <n v="0.95"/>
    <n v="4.5399965713211703"/>
    <n v="8220"/>
    <n v="8241"/>
  </r>
  <r>
    <x v="0"/>
    <s v="2025-12-30 22:09:11"/>
    <n v="7"/>
    <x v="39"/>
    <x v="1"/>
    <x v="0"/>
    <n v="1.00054878018042"/>
    <n v="0"/>
    <s v="Unnamed ProjectL2 Station3.ScheduledUtilizationScheduled UtilizationResource"/>
    <n v="10"/>
    <n v="1.0004557942559711"/>
    <n v="1.6760007580081014E-4"/>
    <n v="0.95"/>
    <n v="1.1989387166531641E-4"/>
    <n v="1.0000655989645"/>
    <n v="1.00068312738094"/>
  </r>
  <r>
    <x v="0"/>
    <s v="2025-12-30 22:09:11"/>
    <n v="7"/>
    <x v="40"/>
    <x v="0"/>
    <x v="0"/>
    <n v="8230"/>
    <n v="0"/>
    <s v="Unnamed ProjectL2 Station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7"/>
    <x v="41"/>
    <x v="1"/>
    <x v="0"/>
    <n v="0.62668997340539101"/>
    <n v="0"/>
    <s v="Unnamed ProjectL2 Station4.ScheduledUtilizationScheduled UtilizationResource"/>
    <n v="10"/>
    <n v="0.62814585354256225"/>
    <n v="7.7648569130547428E-4"/>
    <n v="0.95"/>
    <n v="5.5546440166277669E-4"/>
    <n v="0.62668997340539101"/>
    <n v="0.629372102267024"/>
  </r>
  <r>
    <x v="0"/>
    <s v="2025-12-30 22:09:11"/>
    <n v="7"/>
    <x v="42"/>
    <x v="0"/>
    <x v="0"/>
    <n v="18398"/>
    <n v="0"/>
    <s v="Unnamed ProjectL3 Station1.NumberSeizedTotal Number SeizedResource"/>
    <n v="10"/>
    <n v="18392"/>
    <n v="12.884098726725126"/>
    <n v="0.95"/>
    <n v="9.2167290013706662"/>
    <n v="18376"/>
    <n v="18407"/>
  </r>
  <r>
    <x v="0"/>
    <s v="2025-12-30 22:09:11"/>
    <n v="7"/>
    <x v="43"/>
    <x v="1"/>
    <x v="0"/>
    <n v="0.958151745151268"/>
    <n v="0"/>
    <s v="Unnamed ProjectL3 Station1.ScheduledUtilizationScheduled UtilizationResource"/>
    <n v="10"/>
    <n v="0.9578548406389944"/>
    <n v="7.0772834598480485E-4"/>
    <n v="0.95"/>
    <n v="5.0627835985142609E-4"/>
    <n v="0.95655010461043799"/>
    <n v="0.95869742508961697"/>
  </r>
  <r>
    <x v="0"/>
    <s v="2025-12-30 22:09:11"/>
    <n v="7"/>
    <x v="44"/>
    <x v="0"/>
    <x v="0"/>
    <n v="18394"/>
    <n v="0"/>
    <s v="Unnamed ProjectL3 Station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7"/>
    <x v="45"/>
    <x v="1"/>
    <x v="0"/>
    <n v="1.0003476075516899"/>
    <n v="0"/>
    <s v="Unnamed ProjectL3 Station2.ScheduledUtilizationScheduled UtilizationResource"/>
    <n v="10"/>
    <n v="1.0003902798422071"/>
    <n v="5.593555412291058E-5"/>
    <n v="0.95"/>
    <n v="4.0013884931119971E-5"/>
    <n v="1.0003027766980599"/>
    <n v="1.00046792437877"/>
  </r>
  <r>
    <x v="0"/>
    <s v="2025-12-30 22:09:11"/>
    <n v="7"/>
    <x v="46"/>
    <x v="4"/>
    <x v="2"/>
    <n v="156930.294881654"/>
    <n v="0"/>
    <s v="Unnamed ProjectProcess 1 Accum VA TimeAccum VA TimeProcess"/>
    <n v="10"/>
    <n v="157133.73428655442"/>
    <n v="123.15330812839177"/>
    <n v="0.95"/>
    <n v="88.098569462778244"/>
    <n v="156930.294881654"/>
    <n v="157303.990839153"/>
  </r>
  <r>
    <x v="0"/>
    <s v="2025-12-30 22:09:11"/>
    <n v="7"/>
    <x v="47"/>
    <x v="2"/>
    <x v="2"/>
    <n v="13115"/>
    <n v="0"/>
    <s v="Unnamed ProjectProcess 1 Number InNumber InProcess"/>
    <n v="10"/>
    <n v="13103.5"/>
    <n v="11.443095929181249"/>
    <n v="0.95"/>
    <n v="8.1858976986246059"/>
    <n v="13087"/>
    <n v="13120"/>
  </r>
  <r>
    <x v="0"/>
    <s v="2025-12-30 22:09:11"/>
    <n v="7"/>
    <x v="48"/>
    <x v="3"/>
    <x v="2"/>
    <n v="13115"/>
    <n v="0"/>
    <s v="Unnamed ProjectProcess 1 Number OutNumber OutProcess"/>
    <n v="10"/>
    <n v="13103.5"/>
    <n v="11.443095929181249"/>
    <n v="0.95"/>
    <n v="8.1858976986246059"/>
    <n v="13087"/>
    <n v="13120"/>
  </r>
  <r>
    <x v="0"/>
    <s v="2025-12-30 22:09:11"/>
    <n v="7"/>
    <x v="49"/>
    <x v="4"/>
    <x v="2"/>
    <n v="21830.728539563101"/>
    <n v="0"/>
    <s v="Unnamed ProjectProcess 14 Accum VA TimeAccum VA TimeProcess"/>
    <n v="10"/>
    <n v="21817.897664333104"/>
    <n v="40.377465047897729"/>
    <n v="0.95"/>
    <n v="28.884298467602775"/>
    <n v="21737.561928445"/>
    <n v="21880.2668082411"/>
  </r>
  <r>
    <x v="0"/>
    <s v="2025-12-30 22:09:11"/>
    <n v="7"/>
    <x v="50"/>
    <x v="2"/>
    <x v="2"/>
    <n v="6553"/>
    <n v="0"/>
    <s v="Unnamed ProjectProcess 14 Number InNumber InProcess"/>
    <n v="10"/>
    <n v="6547.7"/>
    <n v="5.735852159879995"/>
    <n v="0.95"/>
    <n v="4.1031814541969078"/>
    <n v="6540"/>
    <n v="6557"/>
  </r>
  <r>
    <x v="0"/>
    <s v="2025-12-30 22:09:11"/>
    <n v="7"/>
    <x v="51"/>
    <x v="3"/>
    <x v="2"/>
    <n v="6553"/>
    <n v="0"/>
    <s v="Unnamed ProjectProcess 14 Number OutNumber OutProcess"/>
    <n v="10"/>
    <n v="6547.3"/>
    <n v="5.7164480035925962"/>
    <n v="0.95"/>
    <n v="4.0893005569921828"/>
    <n v="6539"/>
    <n v="6556"/>
  </r>
  <r>
    <x v="0"/>
    <s v="2025-12-30 22:09:11"/>
    <n v="7"/>
    <x v="52"/>
    <x v="4"/>
    <x v="2"/>
    <n v="78813.563030885096"/>
    <n v="0"/>
    <s v="Unnamed ProjectProcess 2 Accum VA TimeAccum VA TimeProcess"/>
    <n v="10"/>
    <n v="78656.282482549519"/>
    <n v="139.39621135358072"/>
    <n v="0.95"/>
    <n v="99.718042457930338"/>
    <n v="78434.750255210005"/>
    <n v="78879.0340749358"/>
  </r>
  <r>
    <x v="0"/>
    <s v="2025-12-30 22:09:11"/>
    <n v="7"/>
    <x v="53"/>
    <x v="2"/>
    <x v="2"/>
    <n v="13111"/>
    <n v="0"/>
    <s v="Unnamed ProjectProcess 2 Number InNumber InProcess"/>
    <n v="10"/>
    <n v="13100.1"/>
    <n v="11.46443776786866"/>
    <n v="0.95"/>
    <n v="8.2011647303157567"/>
    <n v="13083"/>
    <n v="13118"/>
  </r>
  <r>
    <x v="0"/>
    <s v="2025-12-30 22:09:11"/>
    <n v="7"/>
    <x v="54"/>
    <x v="3"/>
    <x v="2"/>
    <n v="13111"/>
    <n v="0"/>
    <s v="Unnamed ProjectProcess 2 Number OutNumber OutProcess"/>
    <n v="10"/>
    <n v="13100.1"/>
    <n v="11.46443776786866"/>
    <n v="0.95"/>
    <n v="8.2011647303157567"/>
    <n v="13083"/>
    <n v="13118"/>
  </r>
  <r>
    <x v="0"/>
    <s v="2025-12-30 22:09:11"/>
    <n v="7"/>
    <x v="55"/>
    <x v="4"/>
    <x v="2"/>
    <n v="144261.870314292"/>
    <n v="0"/>
    <s v="Unnamed ProjectProcess 3 Accum VA TimeAccum VA TimeProcess"/>
    <n v="10"/>
    <n v="144088.31566564049"/>
    <n v="147.41980686592098"/>
    <n v="0.95"/>
    <n v="105.45777691839817"/>
    <n v="143896.696561805"/>
    <n v="144298.22507098701"/>
  </r>
  <r>
    <x v="0"/>
    <s v="2025-12-30 22:09:11"/>
    <n v="7"/>
    <x v="56"/>
    <x v="2"/>
    <x v="2"/>
    <n v="13111"/>
    <n v="0"/>
    <s v="Unnamed ProjectProcess 3 Number InNumber InProcess"/>
    <n v="10"/>
    <n v="13099.9"/>
    <n v="11.761046816598522"/>
    <n v="0.95"/>
    <n v="8.4133460616980535"/>
    <n v="13082"/>
    <n v="13118"/>
  </r>
  <r>
    <x v="0"/>
    <s v="2025-12-30 22:09:11"/>
    <n v="7"/>
    <x v="57"/>
    <x v="3"/>
    <x v="2"/>
    <n v="13111"/>
    <n v="0"/>
    <s v="Unnamed ProjectProcess 3 Number OutNumber OutProcess"/>
    <n v="10"/>
    <n v="13099.9"/>
    <n v="11.761046816598522"/>
    <n v="0.95"/>
    <n v="8.4133460616980535"/>
    <n v="13082"/>
    <n v="13118"/>
  </r>
  <r>
    <x v="0"/>
    <s v="2025-12-30 22:09:11"/>
    <n v="7"/>
    <x v="58"/>
    <x v="4"/>
    <x v="2"/>
    <n v="57660.085307982699"/>
    <n v="0"/>
    <s v="Unnamed ProjectProcess 4 Accum VA TimeAccum VA TimeProcess"/>
    <n v="10"/>
    <n v="57657.842851106019"/>
    <n v="66.206976538127805"/>
    <n v="0.95"/>
    <n v="47.361617889987492"/>
    <n v="57569.6670912306"/>
    <n v="57778.887305354197"/>
  </r>
  <r>
    <x v="0"/>
    <s v="2025-12-30 22:09:11"/>
    <n v="7"/>
    <x v="59"/>
    <x v="2"/>
    <x v="2"/>
    <n v="8238"/>
    <n v="0"/>
    <s v="Unnamed ProjectProcess 4 Number InNumber InProcess"/>
    <n v="10"/>
    <n v="8235"/>
    <n v="6.5659052011974035"/>
    <n v="0.95"/>
    <n v="4.6969656296252689"/>
    <n v="8223"/>
    <n v="8245"/>
  </r>
  <r>
    <x v="0"/>
    <s v="2025-12-30 22:09:11"/>
    <n v="7"/>
    <x v="60"/>
    <x v="3"/>
    <x v="2"/>
    <n v="8238"/>
    <n v="0"/>
    <s v="Unnamed ProjectProcess 4 Number OutNumber OutProcess"/>
    <n v="10"/>
    <n v="8235"/>
    <n v="6.5659052011974035"/>
    <n v="0.95"/>
    <n v="4.6969656296252689"/>
    <n v="8223"/>
    <n v="8245"/>
  </r>
  <r>
    <x v="0"/>
    <s v="2025-12-30 22:09:11"/>
    <n v="7"/>
    <x v="61"/>
    <x v="4"/>
    <x v="2"/>
    <n v="82287.012858407106"/>
    <n v="0"/>
    <s v="Unnamed ProjectProcess 5 Accum VA TimeAccum VA TimeProcess"/>
    <n v="10"/>
    <n v="82354.925585571807"/>
    <n v="74.759806822996126"/>
    <n v="0.95"/>
    <n v="53.479944099863097"/>
    <n v="82287.012858407106"/>
    <n v="82509.9089339692"/>
  </r>
  <r>
    <x v="0"/>
    <s v="2025-12-30 22:09:11"/>
    <n v="7"/>
    <x v="62"/>
    <x v="2"/>
    <x v="2"/>
    <n v="8236"/>
    <n v="0"/>
    <s v="Unnamed ProjectProcess 5 Number InNumber InProcess"/>
    <n v="10"/>
    <n v="8233.5"/>
    <n v="6.5021364010437201"/>
    <n v="0.95"/>
    <n v="4.6513481780498687"/>
    <n v="8221"/>
    <n v="8243"/>
  </r>
  <r>
    <x v="0"/>
    <s v="2025-12-30 22:09:11"/>
    <n v="7"/>
    <x v="63"/>
    <x v="3"/>
    <x v="2"/>
    <n v="8236"/>
    <n v="0"/>
    <s v="Unnamed ProjectProcess 5 Number OutNumber OutProcess"/>
    <n v="10"/>
    <n v="8233.5"/>
    <n v="6.5021364010437201"/>
    <n v="0.95"/>
    <n v="4.6513481780498687"/>
    <n v="8221"/>
    <n v="8243"/>
  </r>
  <r>
    <x v="0"/>
    <s v="2025-12-30 22:09:11"/>
    <n v="7"/>
    <x v="64"/>
    <x v="4"/>
    <x v="2"/>
    <n v="205732.27016869601"/>
    <n v="0"/>
    <s v="Unnamed ProjectProcess 6 Accum VA TimeAccum VA TimeProcess"/>
    <n v="10"/>
    <n v="205782.3721339902"/>
    <n v="135.17903819323379"/>
    <n v="0.95"/>
    <n v="96.701258514002035"/>
    <n v="205554.00796082799"/>
    <n v="205962.665291818"/>
  </r>
  <r>
    <x v="0"/>
    <s v="2025-12-30 22:09:11"/>
    <n v="7"/>
    <x v="65"/>
    <x v="2"/>
    <x v="2"/>
    <n v="8234"/>
    <n v="0"/>
    <s v="Unnamed ProjectProcess 6 Number InNumber InProcess"/>
    <n v="10"/>
    <n v="8231.5"/>
    <n v="6.3464775882199236"/>
    <n v="0.95"/>
    <n v="4.5399965713211703"/>
    <n v="8220"/>
    <n v="8241"/>
  </r>
  <r>
    <x v="0"/>
    <s v="2025-12-30 22:09:11"/>
    <n v="7"/>
    <x v="66"/>
    <x v="3"/>
    <x v="2"/>
    <n v="8234"/>
    <n v="0"/>
    <s v="Unnamed ProjectProcess 6 Number OutNumber OutProcess"/>
    <n v="10"/>
    <n v="8231.5"/>
    <n v="6.3464775882199236"/>
    <n v="0.95"/>
    <n v="4.5399965713211703"/>
    <n v="8220"/>
    <n v="8241"/>
  </r>
  <r>
    <x v="0"/>
    <s v="2025-12-30 22:09:11"/>
    <n v="7"/>
    <x v="67"/>
    <x v="4"/>
    <x v="2"/>
    <n v="98440.860367090107"/>
    <n v="0"/>
    <s v="Unnamed ProjectProcess 7 Accum VA TimeAccum VA TimeProcess"/>
    <n v="10"/>
    <n v="98625.180720296266"/>
    <n v="166.97558012409817"/>
    <n v="0.95"/>
    <n v="119.44713437023168"/>
    <n v="98434.330991768598"/>
    <n v="98993.883345143302"/>
  </r>
  <r>
    <x v="0"/>
    <s v="2025-12-30 22:09:11"/>
    <n v="7"/>
    <x v="68"/>
    <x v="2"/>
    <x v="2"/>
    <n v="8230"/>
    <n v="0"/>
    <s v="Unnamed ProjectProcess 7 Number InNumber InProcess"/>
    <n v="10"/>
    <n v="8227.7000000000007"/>
    <n v="6.2902040242480748"/>
    <n v="0.95"/>
    <n v="4.4997408887103267"/>
    <n v="8216"/>
    <n v="8237"/>
  </r>
  <r>
    <x v="0"/>
    <s v="2025-12-30 22:09:11"/>
    <n v="7"/>
    <x v="69"/>
    <x v="3"/>
    <x v="2"/>
    <n v="8230"/>
    <n v="0"/>
    <s v="Unnamed ProjectProcess 7 Number OutNumber OutProcess"/>
    <n v="10"/>
    <n v="8227.7000000000007"/>
    <n v="6.2902040242480748"/>
    <n v="0.95"/>
    <n v="4.4997408887103267"/>
    <n v="8216"/>
    <n v="8237"/>
  </r>
  <r>
    <x v="0"/>
    <s v="2025-12-30 22:09:11"/>
    <n v="7"/>
    <x v="70"/>
    <x v="4"/>
    <x v="2"/>
    <n v="91984.657622033395"/>
    <n v="0"/>
    <s v="Unnamed ProjectProcess 8 Accum VA TimeAccum VA TimeProcess"/>
    <n v="10"/>
    <n v="91917.034029149756"/>
    <n v="167.33037075092571"/>
    <n v="0.95"/>
    <n v="119.70093629530641"/>
    <n v="91632.276670136605"/>
    <n v="92162.594279262106"/>
  </r>
  <r>
    <x v="0"/>
    <s v="2025-12-30 22:09:11"/>
    <n v="7"/>
    <x v="71"/>
    <x v="2"/>
    <x v="2"/>
    <n v="18398"/>
    <n v="0"/>
    <s v="Unnamed ProjectProcess 8 Number InNumber InProcess"/>
    <n v="10"/>
    <n v="18392"/>
    <n v="12.884098726725126"/>
    <n v="0.95"/>
    <n v="9.2167290013706662"/>
    <n v="18376"/>
    <n v="18407"/>
  </r>
  <r>
    <x v="0"/>
    <s v="2025-12-30 22:09:11"/>
    <n v="7"/>
    <x v="72"/>
    <x v="3"/>
    <x v="2"/>
    <n v="18398"/>
    <n v="0"/>
    <s v="Unnamed ProjectProcess 8 Number OutNumber OutProcess"/>
    <n v="10"/>
    <n v="18392"/>
    <n v="12.884098726725126"/>
    <n v="0.95"/>
    <n v="9.2167290013706662"/>
    <n v="18376"/>
    <n v="18407"/>
  </r>
  <r>
    <x v="0"/>
    <s v="2025-12-30 22:09:11"/>
    <n v="7"/>
    <x v="73"/>
    <x v="4"/>
    <x v="2"/>
    <n v="104211.38013324099"/>
    <n v="0"/>
    <s v="Unnamed ProjectProcess 9 Accum VA TimeAccum VA TimeProcess"/>
    <n v="10"/>
    <n v="104198.44406523299"/>
    <n v="99.045608472383734"/>
    <n v="0.95"/>
    <n v="70.852960026786278"/>
    <n v="104039.320720244"/>
    <n v="104335.096217932"/>
  </r>
  <r>
    <x v="0"/>
    <s v="2025-12-30 22:09:11"/>
    <n v="7"/>
    <x v="74"/>
    <x v="2"/>
    <x v="2"/>
    <n v="18394"/>
    <n v="0"/>
    <s v="Unnamed ProjectProcess 9 Number InNumber InProcess"/>
    <n v="10"/>
    <n v="18389.400000000001"/>
    <n v="12.103259432437566"/>
    <n v="0.95"/>
    <n v="8.6581502197487996"/>
    <n v="18376"/>
    <n v="18404"/>
  </r>
  <r>
    <x v="0"/>
    <s v="2025-12-30 22:09:11"/>
    <n v="7"/>
    <x v="75"/>
    <x v="3"/>
    <x v="2"/>
    <n v="18394"/>
    <n v="0"/>
    <s v="Unnamed ProjectProcess 9 Number OutNumber OutProcess"/>
    <n v="10"/>
    <n v="18389.400000000001"/>
    <n v="12.103259432437566"/>
    <n v="0.95"/>
    <n v="8.6581502197487996"/>
    <n v="18376"/>
    <n v="18404"/>
  </r>
  <r>
    <x v="0"/>
    <s v="2025-12-30 22:09:11"/>
    <n v="7"/>
    <x v="76"/>
    <x v="0"/>
    <x v="0"/>
    <n v="0"/>
    <n v="0"/>
    <s v="Unnamed ProjectSales Department.NumberSeizedTotal Number SeizedResource"/>
    <n v="10"/>
    <n v="0"/>
    <n v="0"/>
    <n v="0.95"/>
    <n v="0"/>
    <n v="0"/>
    <n v="0"/>
  </r>
  <r>
    <x v="0"/>
    <s v="2025-12-30 22:09:11"/>
    <n v="7"/>
    <x v="77"/>
    <x v="1"/>
    <x v="0"/>
    <n v="0"/>
    <n v="0"/>
    <s v="Unnamed ProjectSales Department.ScheduledUtilizationScheduled UtilizationResource"/>
    <n v="10"/>
    <n v="0"/>
    <n v="0"/>
    <n v="0.95"/>
    <n v="0"/>
    <n v="0"/>
    <n v="0"/>
  </r>
  <r>
    <x v="0"/>
    <s v="2025-12-30 22:09:11"/>
    <n v="7"/>
    <x v="78"/>
    <x v="0"/>
    <x v="0"/>
    <n v="141"/>
    <n v="0"/>
    <s v="Unnamed ProjectSales Rep.NumberSeizedTotal Number SeizedResource"/>
    <n v="10"/>
    <n v="118.7"/>
    <n v="12.587913073879887"/>
    <n v="0.95"/>
    <n v="9.0048505491583946"/>
    <n v="95"/>
    <n v="141"/>
  </r>
  <r>
    <x v="0"/>
    <s v="2025-12-30 22:09:11"/>
    <n v="7"/>
    <x v="79"/>
    <x v="1"/>
    <x v="0"/>
    <n v="0.39321867243708603"/>
    <n v="0"/>
    <s v="Unnamed ProjectSales Rep.ScheduledUtilizationScheduled UtilizationResource"/>
    <n v="10"/>
    <n v="0.3273551167875815"/>
    <n v="3.5172818533154994E-2"/>
    <n v="0.95"/>
    <n v="2.5161118640145405E-2"/>
    <n v="0.26933581669894202"/>
    <n v="0.39321867243708603"/>
  </r>
  <r>
    <x v="0"/>
    <s v="2025-12-30 22:09:11"/>
    <n v="7"/>
    <x v="80"/>
    <x v="3"/>
    <x v="3"/>
    <n v="2546"/>
    <n v="0"/>
    <s v="Unnamed ProjectSystem.NumberOutNumber OutSystem"/>
    <n v="10"/>
    <n v="2503.1"/>
    <n v="29.72260643573059"/>
    <n v="0.95"/>
    <n v="21.262271777248003"/>
    <n v="2457"/>
    <n v="2546"/>
  </r>
  <r>
    <x v="0"/>
    <s v="2025-12-30 22:09:11"/>
    <n v="7"/>
    <x v="81"/>
    <x v="2"/>
    <x v="1"/>
    <n v="7836"/>
    <n v="0"/>
    <s v="Unnamed ProjectWire Harness.NumberInNumber InEntity"/>
    <n v="10"/>
    <n v="7832.8"/>
    <n v="7.8287220469811594"/>
    <n v="0.95"/>
    <n v="5.6003303812327712"/>
    <n v="7818"/>
    <n v="7845"/>
  </r>
  <r>
    <x v="0"/>
    <s v="2025-12-30 22:09:11"/>
    <n v="7"/>
    <x v="82"/>
    <x v="3"/>
    <x v="1"/>
    <n v="7830"/>
    <n v="0"/>
    <s v="Unnamed ProjectWire Harness.NumberOutNumber OutEntity"/>
    <n v="10"/>
    <n v="7828.3"/>
    <n v="7.1032074132433696"/>
    <n v="0.95"/>
    <n v="5.0813284776056653"/>
    <n v="7815"/>
    <n v="7840"/>
  </r>
  <r>
    <x v="0"/>
    <s v="2025-12-30 22:09:11"/>
    <n v="7"/>
    <x v="83"/>
    <x v="4"/>
    <x v="2"/>
    <n v="63701.424934807801"/>
    <n v="0"/>
    <s v="Unnamed Projectsales Accum VA TimeAccum VA TimeProcess"/>
    <n v="10"/>
    <n v="53031.528919588192"/>
    <n v="5697.9966023710867"/>
    <n v="0.95"/>
    <n v="4076.1012197035402"/>
    <n v="43632.402305228599"/>
    <n v="63701.424934807801"/>
  </r>
  <r>
    <x v="0"/>
    <s v="2025-12-30 22:09:11"/>
    <n v="7"/>
    <x v="84"/>
    <x v="2"/>
    <x v="2"/>
    <n v="141"/>
    <n v="0"/>
    <s v="Unnamed Projectsales Number InNumber InProcess"/>
    <n v="10"/>
    <n v="118.7"/>
    <n v="12.587913073879887"/>
    <n v="0.95"/>
    <n v="9.0048505491583946"/>
    <n v="95"/>
    <n v="141"/>
  </r>
  <r>
    <x v="0"/>
    <s v="2025-12-30 22:09:11"/>
    <n v="7"/>
    <x v="85"/>
    <x v="3"/>
    <x v="2"/>
    <n v="141"/>
    <n v="0"/>
    <s v="Unnamed Projectsales Number OutNumber OutProcess"/>
    <n v="10"/>
    <n v="118.7"/>
    <n v="12.587913073879887"/>
    <n v="0.95"/>
    <n v="9.0048505491583946"/>
    <n v="95"/>
    <n v="141"/>
  </r>
  <r>
    <x v="0"/>
    <s v="2025-12-30 22:09:11"/>
    <n v="8"/>
    <x v="0"/>
    <x v="0"/>
    <x v="0"/>
    <n v="6546"/>
    <n v="0"/>
    <s v="Unnamed ProjectAssembler.NumberSeizedTotal Number SeizedResource"/>
    <n v="10"/>
    <n v="6547.7"/>
    <n v="5.735852159879995"/>
    <n v="0.95"/>
    <n v="4.1031814541969078"/>
    <n v="6540"/>
    <n v="6557"/>
  </r>
  <r>
    <x v="0"/>
    <s v="2025-12-30 22:09:11"/>
    <n v="8"/>
    <x v="1"/>
    <x v="1"/>
    <x v="0"/>
    <n v="7.5817710089498197E-2"/>
    <n v="0"/>
    <s v="Unnamed ProjectAssembler.ScheduledUtilizationScheduled UtilizationResource"/>
    <n v="10"/>
    <n v="7.575658911226775E-2"/>
    <n v="1.4019953141627205E-4"/>
    <n v="0.95"/>
    <n v="1.0029270301248135E-4"/>
    <n v="7.5477645584878503E-2"/>
    <n v="7.5973148639726207E-2"/>
  </r>
  <r>
    <x v="0"/>
    <s v="2025-12-30 22:09:11"/>
    <n v="8"/>
    <x v="2"/>
    <x v="2"/>
    <x v="1"/>
    <n v="1088"/>
    <n v="0"/>
    <s v="Unnamed ProjectCustomer.NumberInNumber InEntity"/>
    <n v="10"/>
    <n v="1090.3"/>
    <n v="32.666836734251177"/>
    <n v="0.95"/>
    <n v="23.368447254062772"/>
    <n v="1042"/>
    <n v="1141"/>
  </r>
  <r>
    <x v="0"/>
    <s v="2025-12-30 22:09:11"/>
    <n v="8"/>
    <x v="3"/>
    <x v="3"/>
    <x v="1"/>
    <n v="1088"/>
    <n v="0"/>
    <s v="Unnamed ProjectCustomer.NumberOutNumber OutEntity"/>
    <n v="10"/>
    <n v="1090.3"/>
    <n v="32.666836734251177"/>
    <n v="0.95"/>
    <n v="23.368447254062772"/>
    <n v="1042"/>
    <n v="1141"/>
  </r>
  <r>
    <x v="0"/>
    <s v="2025-12-30 22:09:11"/>
    <n v="8"/>
    <x v="4"/>
    <x v="2"/>
    <x v="1"/>
    <n v="19816"/>
    <n v="0"/>
    <s v="Unnamed ProjectEntity 1.NumberInNumber InEntity"/>
    <n v="10"/>
    <n v="19822.900000000001"/>
    <n v="20.151922985164472"/>
    <n v="0.95"/>
    <n v="14.415817276026377"/>
    <n v="19788"/>
    <n v="19852"/>
  </r>
  <r>
    <x v="0"/>
    <s v="2025-12-30 22:09:11"/>
    <n v="8"/>
    <x v="5"/>
    <x v="3"/>
    <x v="1"/>
    <n v="19632"/>
    <n v="0"/>
    <s v="Unnamed ProjectEntity 1.NumberOutNumber OutEntity"/>
    <n v="10"/>
    <n v="19635.599999999999"/>
    <n v="15.086417732516889"/>
    <n v="0.95"/>
    <n v="10.792173111314252"/>
    <n v="19614"/>
    <n v="19662"/>
  </r>
  <r>
    <x v="0"/>
    <s v="2025-12-30 22:09:11"/>
    <n v="8"/>
    <x v="6"/>
    <x v="2"/>
    <x v="1"/>
    <n v="8402"/>
    <n v="0"/>
    <s v="Unnamed ProjectEntity 2.NumberInNumber InEntity"/>
    <n v="10"/>
    <n v="8398"/>
    <n v="24.133885813197271"/>
    <n v="0.95"/>
    <n v="17.264341884378119"/>
    <n v="8353"/>
    <n v="8437"/>
  </r>
  <r>
    <x v="0"/>
    <s v="2025-12-30 22:09:11"/>
    <n v="8"/>
    <x v="7"/>
    <x v="3"/>
    <x v="1"/>
    <n v="6544"/>
    <n v="0"/>
    <s v="Unnamed ProjectEntity 2.NumberOutNumber OutEntity"/>
    <n v="10"/>
    <n v="6545.2"/>
    <n v="5.0288059108389627"/>
    <n v="0.95"/>
    <n v="3.5973910371047504"/>
    <n v="6538"/>
    <n v="6554"/>
  </r>
  <r>
    <x v="0"/>
    <s v="2025-12-30 22:09:11"/>
    <n v="8"/>
    <x v="8"/>
    <x v="2"/>
    <x v="1"/>
    <n v="27734"/>
    <n v="0"/>
    <s v="Unnamed ProjectEntity 3.NumberInNumber InEntity"/>
    <n v="10"/>
    <n v="27753.7"/>
    <n v="25.447331228768697"/>
    <n v="0.95"/>
    <n v="18.203924133022646"/>
    <n v="27724"/>
    <n v="27792"/>
  </r>
  <r>
    <x v="0"/>
    <s v="2025-12-30 22:09:11"/>
    <n v="8"/>
    <x v="9"/>
    <x v="3"/>
    <x v="1"/>
    <n v="19632"/>
    <n v="0"/>
    <s v="Unnamed ProjectEntity 3.NumberOutNumber OutEntity"/>
    <n v="10"/>
    <n v="19635.599999999999"/>
    <n v="15.086417732516889"/>
    <n v="0.95"/>
    <n v="10.792173111314252"/>
    <n v="19614"/>
    <n v="19662"/>
  </r>
  <r>
    <x v="0"/>
    <s v="2025-12-30 22:09:11"/>
    <n v="8"/>
    <x v="10"/>
    <x v="0"/>
    <x v="0"/>
    <n v="13100"/>
    <n v="0"/>
    <s v="Unnamed ProjectKanban L1S1.NumberSeizedTotal Number SeizedResource"/>
    <n v="10"/>
    <n v="13103.5"/>
    <n v="11.443095929181249"/>
    <n v="0.95"/>
    <n v="8.1858976986246059"/>
    <n v="13087"/>
    <n v="13120"/>
  </r>
  <r>
    <x v="0"/>
    <s v="2025-12-30 22:09:11"/>
    <n v="8"/>
    <x v="11"/>
    <x v="1"/>
    <x v="0"/>
    <n v="0.524046412289632"/>
    <n v="0"/>
    <s v="Unnamed ProjectKanban L1S1.ScheduledUtilizationScheduled UtilizationResource"/>
    <n v="10"/>
    <n v="0.48160620907873086"/>
    <n v="8.6686321722355061E-2"/>
    <n v="0.95"/>
    <n v="6.2011658897281531E-2"/>
    <n v="0.292184201252493"/>
    <n v="0.57167989674475905"/>
  </r>
  <r>
    <x v="0"/>
    <s v="2025-12-30 22:09:11"/>
    <n v="8"/>
    <x v="12"/>
    <x v="0"/>
    <x v="0"/>
    <n v="13096"/>
    <n v="0"/>
    <s v="Unnamed ProjectKanban L1S2.NumberSeizedTotal Number SeizedResource"/>
    <n v="10"/>
    <n v="13100.1"/>
    <n v="11.46443776786866"/>
    <n v="0.95"/>
    <n v="8.2011647303157567"/>
    <n v="13083"/>
    <n v="13118"/>
  </r>
  <r>
    <x v="0"/>
    <s v="2025-12-30 22:09:11"/>
    <n v="8"/>
    <x v="13"/>
    <x v="1"/>
    <x v="0"/>
    <n v="0.20807621157933101"/>
    <n v="0"/>
    <s v="Unnamed ProjectKanban L1S2.ScheduledUtilizationScheduled UtilizationResource"/>
    <n v="10"/>
    <n v="0.25269289312392168"/>
    <n v="4.921401008308305E-2"/>
    <n v="0.95"/>
    <n v="3.5205581983443382E-2"/>
    <n v="0.20500025225945601"/>
    <n v="0.33570777662711399"/>
  </r>
  <r>
    <x v="0"/>
    <s v="2025-12-30 22:09:11"/>
    <n v="8"/>
    <x v="14"/>
    <x v="0"/>
    <x v="0"/>
    <n v="13096"/>
    <n v="0"/>
    <s v="Unnamed ProjectKanban L1S3.NumberSeizedTotal Number SeizedResource"/>
    <n v="10"/>
    <n v="13099.9"/>
    <n v="11.761046816598522"/>
    <n v="0.95"/>
    <n v="8.4133460616980535"/>
    <n v="13082"/>
    <n v="13118"/>
  </r>
  <r>
    <x v="0"/>
    <s v="2025-12-30 22:09:11"/>
    <n v="8"/>
    <x v="15"/>
    <x v="1"/>
    <x v="0"/>
    <n v="0.15142923347384599"/>
    <n v="0"/>
    <s v="Unnamed ProjectKanban L1S3.ScheduledUtilizationScheduled UtilizationResource"/>
    <n v="10"/>
    <n v="0.151561654865698"/>
    <n v="1.2198256688170919E-4"/>
    <n v="0.95"/>
    <n v="8.7261071626859165E-5"/>
    <n v="0.15134711042770399"/>
    <n v="0.15172806047441101"/>
  </r>
  <r>
    <x v="0"/>
    <s v="2025-12-30 22:09:11"/>
    <n v="8"/>
    <x v="16"/>
    <x v="0"/>
    <x v="0"/>
    <n v="8231"/>
    <n v="0"/>
    <s v="Unnamed ProjectKanban L2S1.NumberSeizedTotal Number SeizedResource"/>
    <n v="10"/>
    <n v="8235"/>
    <n v="6.5659052011974035"/>
    <n v="0.95"/>
    <n v="4.6969656296252689"/>
    <n v="8223"/>
    <n v="8245"/>
  </r>
  <r>
    <x v="0"/>
    <s v="2025-12-30 22:09:11"/>
    <n v="8"/>
    <x v="17"/>
    <x v="1"/>
    <x v="0"/>
    <n v="0.91068077194701702"/>
    <n v="0"/>
    <s v="Unnamed ProjectKanban L2S1.ScheduledUtilizationScheduled UtilizationResource"/>
    <n v="10"/>
    <n v="0.84558522180863771"/>
    <n v="0.11694354024491282"/>
    <n v="0.95"/>
    <n v="8.3656369122856733E-2"/>
    <n v="0.625269422960122"/>
    <n v="0.95234896906597499"/>
  </r>
  <r>
    <x v="0"/>
    <s v="2025-12-30 22:09:11"/>
    <n v="8"/>
    <x v="18"/>
    <x v="0"/>
    <x v="0"/>
    <n v="8229"/>
    <n v="0"/>
    <s v="Unnamed ProjectKanban L2S2.NumberSeizedTotal Number SeizedResource"/>
    <n v="10"/>
    <n v="8233.5"/>
    <n v="6.5021364010437201"/>
    <n v="0.95"/>
    <n v="4.6513481780498687"/>
    <n v="8221"/>
    <n v="8243"/>
  </r>
  <r>
    <x v="0"/>
    <s v="2025-12-30 22:09:11"/>
    <n v="8"/>
    <x v="19"/>
    <x v="1"/>
    <x v="0"/>
    <n v="0.72873074612662603"/>
    <n v="0"/>
    <s v="Unnamed ProjectKanban L2S2.ScheduledUtilizationScheduled UtilizationResource"/>
    <n v="10"/>
    <n v="0.74077431571180286"/>
    <n v="6.1280007141721847E-2"/>
    <n v="0.95"/>
    <n v="4.3837076306762375E-2"/>
    <n v="0.67060354368791897"/>
    <n v="0.87728997349342697"/>
  </r>
  <r>
    <x v="0"/>
    <s v="2025-12-30 22:09:11"/>
    <n v="8"/>
    <x v="20"/>
    <x v="0"/>
    <x v="0"/>
    <n v="8227"/>
    <n v="0"/>
    <s v="Unnamed ProjectKanban L2S3.NumberSeizedTotal Number SeizedResource"/>
    <n v="10"/>
    <n v="8231.5"/>
    <n v="6.3464775882199236"/>
    <n v="0.95"/>
    <n v="4.5399965713211703"/>
    <n v="8220"/>
    <n v="8241"/>
  </r>
  <r>
    <x v="0"/>
    <s v="2025-12-30 22:09:11"/>
    <n v="8"/>
    <x v="21"/>
    <x v="1"/>
    <x v="0"/>
    <n v="0.57216816243045499"/>
    <n v="0"/>
    <s v="Unnamed ProjectKanban L2S3.ScheduledUtilizationScheduled UtilizationResource"/>
    <n v="10"/>
    <n v="0.52391445815006699"/>
    <n v="7.0460308415606909E-2"/>
    <n v="0.95"/>
    <n v="5.0404268221927347E-2"/>
    <n v="0.36555656561218303"/>
    <n v="0.59886206518967"/>
  </r>
  <r>
    <x v="0"/>
    <s v="2025-12-30 22:09:11"/>
    <n v="8"/>
    <x v="22"/>
    <x v="0"/>
    <x v="0"/>
    <n v="8223"/>
    <n v="0"/>
    <s v="Unnamed ProjectKanban L2S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8"/>
    <x v="23"/>
    <x v="1"/>
    <x v="0"/>
    <n v="0.149751253119838"/>
    <n v="0"/>
    <s v="Unnamed ProjectKanban L2S4.ScheduledUtilizationScheduled UtilizationResource"/>
    <n v="10"/>
    <n v="0.14955853655775292"/>
    <n v="1.8487754554887928E-4"/>
    <n v="0.95"/>
    <n v="1.3225342896729691E-4"/>
    <n v="0.14921189842985499"/>
    <n v="0.14985050053976801"/>
  </r>
  <r>
    <x v="0"/>
    <s v="2025-12-30 22:09:11"/>
    <n v="8"/>
    <x v="24"/>
    <x v="0"/>
    <x v="0"/>
    <n v="18377"/>
    <n v="0"/>
    <s v="Unnamed ProjectKanban L3S1.NumberSeizedTotal Number SeizedResource"/>
    <n v="10"/>
    <n v="18392"/>
    <n v="12.884098726725126"/>
    <n v="0.95"/>
    <n v="9.2167290013706662"/>
    <n v="18376"/>
    <n v="18407"/>
  </r>
  <r>
    <x v="0"/>
    <s v="2025-12-30 22:09:11"/>
    <n v="8"/>
    <x v="25"/>
    <x v="1"/>
    <x v="0"/>
    <n v="0.58338388917401596"/>
    <n v="0"/>
    <s v="Unnamed ProjectKanban L3S1.ScheduledUtilizationScheduled UtilizationResource"/>
    <n v="10"/>
    <n v="0.78490250681152463"/>
    <n v="0.11345978752761485"/>
    <n v="0.95"/>
    <n v="8.1164242557843561E-2"/>
    <n v="0.58338388917401596"/>
    <n v="0.90111632059041802"/>
  </r>
  <r>
    <x v="0"/>
    <s v="2025-12-30 22:09:11"/>
    <n v="8"/>
    <x v="26"/>
    <x v="0"/>
    <x v="0"/>
    <n v="18377"/>
    <n v="0"/>
    <s v="Unnamed ProjectKanban L3S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8"/>
    <x v="27"/>
    <x v="1"/>
    <x v="0"/>
    <n v="0.15880443244107401"/>
    <n v="0"/>
    <s v="Unnamed ProjectKanban L3S2.ScheduledUtilizationScheduled UtilizationResource"/>
    <n v="10"/>
    <n v="0.15879210791146151"/>
    <n v="8.8786593843692651E-6"/>
    <n v="0.95"/>
    <n v="6.3514103063698042E-6"/>
    <n v="0.15877821852350199"/>
    <n v="0.15880443244107401"/>
  </r>
  <r>
    <x v="0"/>
    <s v="2025-12-30 22:09:11"/>
    <n v="8"/>
    <x v="28"/>
    <x v="0"/>
    <x v="0"/>
    <n v="13100"/>
    <n v="0"/>
    <s v="Unnamed ProjectL1 Station1.NumberSeizedTotal Number SeizedResource"/>
    <n v="10"/>
    <n v="13103.5"/>
    <n v="11.443095929181249"/>
    <n v="0.95"/>
    <n v="8.1858976986246059"/>
    <n v="13087"/>
    <n v="13120"/>
  </r>
  <r>
    <x v="0"/>
    <s v="2025-12-30 22:09:11"/>
    <n v="8"/>
    <x v="29"/>
    <x v="1"/>
    <x v="0"/>
    <n v="1.00059414734778"/>
    <n v="0"/>
    <s v="Unnamed ProjectL1 Station1.ScheduledUtilizationScheduled UtilizationResource"/>
    <n v="10"/>
    <n v="1.0004814685732331"/>
    <n v="7.4280555176725285E-5"/>
    <n v="0.95"/>
    <n v="5.3137108125005439E-5"/>
    <n v="1.00039897320567"/>
    <n v="1.00059414734778"/>
  </r>
  <r>
    <x v="0"/>
    <s v="2025-12-30 22:09:11"/>
    <n v="8"/>
    <x v="30"/>
    <x v="0"/>
    <x v="0"/>
    <n v="13096"/>
    <n v="0"/>
    <s v="Unnamed ProjectL1 Station2.NumberSeizedTotal Number SeizedResource"/>
    <n v="10"/>
    <n v="13100.1"/>
    <n v="11.46443776786866"/>
    <n v="0.95"/>
    <n v="8.2011647303157567"/>
    <n v="13083"/>
    <n v="13118"/>
  </r>
  <r>
    <x v="0"/>
    <s v="2025-12-30 22:09:11"/>
    <n v="8"/>
    <x v="31"/>
    <x v="1"/>
    <x v="0"/>
    <n v="0.72833650125062999"/>
    <n v="0"/>
    <s v="Unnamed ProjectL1 Station2.ScheduledUtilizationScheduled UtilizationResource"/>
    <n v="10"/>
    <n v="0.7279059511079462"/>
    <n v="7.0848304180243249E-4"/>
    <n v="0.95"/>
    <n v="5.0681823671647316E-4"/>
    <n v="0.72665767143328297"/>
    <n v="0.72896261310967603"/>
  </r>
  <r>
    <x v="0"/>
    <s v="2025-12-30 22:09:11"/>
    <n v="8"/>
    <x v="32"/>
    <x v="0"/>
    <x v="0"/>
    <n v="13096"/>
    <n v="0"/>
    <s v="Unnamed ProjectL1 Station3.NumberSeizedTotal Number SeizedResource"/>
    <n v="10"/>
    <n v="13099.9"/>
    <n v="11.761046816598522"/>
    <n v="0.95"/>
    <n v="8.4133460616980535"/>
    <n v="13082"/>
    <n v="13118"/>
  </r>
  <r>
    <x v="0"/>
    <s v="2025-12-30 22:09:11"/>
    <n v="8"/>
    <x v="33"/>
    <x v="1"/>
    <x v="0"/>
    <n v="0.95400417088523004"/>
    <n v="0"/>
    <s v="Unnamed ProjectL1 Station3.ScheduledUtilizationScheduled UtilizationResource"/>
    <n v="10"/>
    <n v="0.95483842565389732"/>
    <n v="7.6849017135544289E-4"/>
    <n v="0.95"/>
    <n v="5.497447512496955E-4"/>
    <n v="0.95348679569453398"/>
    <n v="0.95588678098879198"/>
  </r>
  <r>
    <x v="0"/>
    <s v="2025-12-30 22:09:11"/>
    <n v="8"/>
    <x v="34"/>
    <x v="0"/>
    <x v="0"/>
    <n v="8231"/>
    <n v="0"/>
    <s v="Unnamed ProjectL2 Station1.NumberSeizedTotal Number SeizedResource"/>
    <n v="10"/>
    <n v="8235"/>
    <n v="6.5659052011974035"/>
    <n v="0.95"/>
    <n v="4.6969656296252689"/>
    <n v="8223"/>
    <n v="8245"/>
  </r>
  <r>
    <x v="0"/>
    <s v="2025-12-30 22:09:11"/>
    <n v="8"/>
    <x v="35"/>
    <x v="1"/>
    <x v="0"/>
    <n v="0.48638773398865298"/>
    <n v="0"/>
    <s v="Unnamed ProjectL2 Station1.ScheduledUtilizationScheduled UtilizationResource"/>
    <n v="10"/>
    <n v="0.48622459141633045"/>
    <n v="7.2585329819825151E-4"/>
    <n v="0.95"/>
    <n v="5.1924416958770345E-4"/>
    <n v="0.48503601840289501"/>
    <n v="0.48724920721519499"/>
  </r>
  <r>
    <x v="0"/>
    <s v="2025-12-30 22:09:11"/>
    <n v="8"/>
    <x v="36"/>
    <x v="0"/>
    <x v="0"/>
    <n v="8229"/>
    <n v="0"/>
    <s v="Unnamed ProjectL2 Station2.NumberSeizedTotal Number SeizedResource"/>
    <n v="10"/>
    <n v="8233.5"/>
    <n v="6.5021364010437201"/>
    <n v="0.95"/>
    <n v="4.6513481780498687"/>
    <n v="8221"/>
    <n v="8243"/>
  </r>
  <r>
    <x v="0"/>
    <s v="2025-12-30 22:09:11"/>
    <n v="8"/>
    <x v="37"/>
    <x v="1"/>
    <x v="0"/>
    <n v="0.57231948566550495"/>
    <n v="0"/>
    <s v="Unnamed ProjectL2 Station2.ScheduledUtilizationScheduled UtilizationResource"/>
    <n v="10"/>
    <n v="0.57195959594019841"/>
    <n v="5.0695895005827636E-4"/>
    <n v="0.95"/>
    <n v="3.6265658596782525E-4"/>
    <n v="0.57115702440598504"/>
    <n v="0.57294957522841605"/>
  </r>
  <r>
    <x v="0"/>
    <s v="2025-12-30 22:09:11"/>
    <n v="8"/>
    <x v="38"/>
    <x v="0"/>
    <x v="0"/>
    <n v="8227"/>
    <n v="0"/>
    <s v="Unnamed ProjectL2 Station3.NumberSeizedTotal Number SeizedResource"/>
    <n v="10"/>
    <n v="8231.5"/>
    <n v="6.3464775882199236"/>
    <n v="0.95"/>
    <n v="4.5399965713211703"/>
    <n v="8220"/>
    <n v="8241"/>
  </r>
  <r>
    <x v="0"/>
    <s v="2025-12-30 22:09:11"/>
    <n v="8"/>
    <x v="39"/>
    <x v="1"/>
    <x v="0"/>
    <n v="1.0003633599411199"/>
    <n v="0"/>
    <s v="Unnamed ProjectL2 Station3.ScheduledUtilizationScheduled UtilizationResource"/>
    <n v="10"/>
    <n v="1.0004557942559711"/>
    <n v="1.6760007580081014E-4"/>
    <n v="0.95"/>
    <n v="1.1989387166531641E-4"/>
    <n v="1.0000655989645"/>
    <n v="1.00068312738094"/>
  </r>
  <r>
    <x v="0"/>
    <s v="2025-12-30 22:09:11"/>
    <n v="8"/>
    <x v="40"/>
    <x v="0"/>
    <x v="0"/>
    <n v="8223"/>
    <n v="0"/>
    <s v="Unnamed ProjectL2 Station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8"/>
    <x v="41"/>
    <x v="1"/>
    <x v="0"/>
    <n v="0.62895526310332095"/>
    <n v="0"/>
    <s v="Unnamed ProjectL2 Station4.ScheduledUtilizationScheduled UtilizationResource"/>
    <n v="10"/>
    <n v="0.62814585354256225"/>
    <n v="7.7648569130547428E-4"/>
    <n v="0.95"/>
    <n v="5.5546440166277669E-4"/>
    <n v="0.62668997340539101"/>
    <n v="0.629372102267024"/>
  </r>
  <r>
    <x v="0"/>
    <s v="2025-12-30 22:09:11"/>
    <n v="8"/>
    <x v="42"/>
    <x v="0"/>
    <x v="0"/>
    <n v="18377"/>
    <n v="0"/>
    <s v="Unnamed ProjectL3 Station1.NumberSeizedTotal Number SeizedResource"/>
    <n v="10"/>
    <n v="18392"/>
    <n v="12.884098726725126"/>
    <n v="0.95"/>
    <n v="9.2167290013706662"/>
    <n v="18376"/>
    <n v="18407"/>
  </r>
  <r>
    <x v="0"/>
    <s v="2025-12-30 22:09:11"/>
    <n v="8"/>
    <x v="43"/>
    <x v="1"/>
    <x v="0"/>
    <n v="0.95666273197671803"/>
    <n v="0"/>
    <s v="Unnamed ProjectL3 Station1.ScheduledUtilizationScheduled UtilizationResource"/>
    <n v="10"/>
    <n v="0.9578548406389944"/>
    <n v="7.0772834598480485E-4"/>
    <n v="0.95"/>
    <n v="5.0627835985142609E-4"/>
    <n v="0.95655010461043799"/>
    <n v="0.95869742508961697"/>
  </r>
  <r>
    <x v="0"/>
    <s v="2025-12-30 22:09:11"/>
    <n v="8"/>
    <x v="44"/>
    <x v="0"/>
    <x v="0"/>
    <n v="18377"/>
    <n v="0"/>
    <s v="Unnamed ProjectL3 Station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8"/>
    <x v="45"/>
    <x v="1"/>
    <x v="0"/>
    <n v="1.00046792437877"/>
    <n v="0"/>
    <s v="Unnamed ProjectL3 Station2.ScheduledUtilizationScheduled UtilizationResource"/>
    <n v="10"/>
    <n v="1.0003902798422071"/>
    <n v="5.593555412291058E-5"/>
    <n v="0.95"/>
    <n v="4.0013884931119971E-5"/>
    <n v="1.0003027766980599"/>
    <n v="1.00046792437877"/>
  </r>
  <r>
    <x v="0"/>
    <s v="2025-12-30 22:09:11"/>
    <n v="8"/>
    <x v="46"/>
    <x v="4"/>
    <x v="2"/>
    <n v="157303.990839153"/>
    <n v="0"/>
    <s v="Unnamed ProjectProcess 1 Accum VA TimeAccum VA TimeProcess"/>
    <n v="10"/>
    <n v="157133.73428655442"/>
    <n v="123.15330812839177"/>
    <n v="0.95"/>
    <n v="88.098569462778244"/>
    <n v="156930.294881654"/>
    <n v="157303.990839153"/>
  </r>
  <r>
    <x v="0"/>
    <s v="2025-12-30 22:09:11"/>
    <n v="8"/>
    <x v="47"/>
    <x v="2"/>
    <x v="2"/>
    <n v="13100"/>
    <n v="0"/>
    <s v="Unnamed ProjectProcess 1 Number InNumber InProcess"/>
    <n v="10"/>
    <n v="13103.5"/>
    <n v="11.443095929181249"/>
    <n v="0.95"/>
    <n v="8.1858976986246059"/>
    <n v="13087"/>
    <n v="13120"/>
  </r>
  <r>
    <x v="0"/>
    <s v="2025-12-30 22:09:11"/>
    <n v="8"/>
    <x v="48"/>
    <x v="3"/>
    <x v="2"/>
    <n v="13100"/>
    <n v="0"/>
    <s v="Unnamed ProjectProcess 1 Number OutNumber OutProcess"/>
    <n v="10"/>
    <n v="13103.5"/>
    <n v="11.443095929181249"/>
    <n v="0.95"/>
    <n v="8.1858976986246059"/>
    <n v="13087"/>
    <n v="13120"/>
  </r>
  <r>
    <x v="0"/>
    <s v="2025-12-30 22:09:11"/>
    <n v="8"/>
    <x v="49"/>
    <x v="4"/>
    <x v="2"/>
    <n v="21835.500505775501"/>
    <n v="0"/>
    <s v="Unnamed ProjectProcess 14 Accum VA TimeAccum VA TimeProcess"/>
    <n v="10"/>
    <n v="21817.897664333104"/>
    <n v="40.377465047897729"/>
    <n v="0.95"/>
    <n v="28.884298467602775"/>
    <n v="21737.561928445"/>
    <n v="21880.2668082411"/>
  </r>
  <r>
    <x v="0"/>
    <s v="2025-12-30 22:09:11"/>
    <n v="8"/>
    <x v="50"/>
    <x v="2"/>
    <x v="2"/>
    <n v="6546"/>
    <n v="0"/>
    <s v="Unnamed ProjectProcess 14 Number InNumber InProcess"/>
    <n v="10"/>
    <n v="6547.7"/>
    <n v="5.735852159879995"/>
    <n v="0.95"/>
    <n v="4.1031814541969078"/>
    <n v="6540"/>
    <n v="6557"/>
  </r>
  <r>
    <x v="0"/>
    <s v="2025-12-30 22:09:11"/>
    <n v="8"/>
    <x v="51"/>
    <x v="3"/>
    <x v="2"/>
    <n v="6545"/>
    <n v="0"/>
    <s v="Unnamed ProjectProcess 14 Number OutNumber OutProcess"/>
    <n v="10"/>
    <n v="6547.3"/>
    <n v="5.7164480035925962"/>
    <n v="0.95"/>
    <n v="4.0893005569921828"/>
    <n v="6539"/>
    <n v="6556"/>
  </r>
  <r>
    <x v="0"/>
    <s v="2025-12-30 22:09:11"/>
    <n v="8"/>
    <x v="52"/>
    <x v="4"/>
    <x v="2"/>
    <n v="78879.0340749358"/>
    <n v="0"/>
    <s v="Unnamed ProjectProcess 2 Accum VA TimeAccum VA TimeProcess"/>
    <n v="10"/>
    <n v="78656.282482549519"/>
    <n v="139.39621135358072"/>
    <n v="0.95"/>
    <n v="99.718042457930338"/>
    <n v="78434.750255210005"/>
    <n v="78879.0340749358"/>
  </r>
  <r>
    <x v="0"/>
    <s v="2025-12-30 22:09:11"/>
    <n v="8"/>
    <x v="53"/>
    <x v="2"/>
    <x v="2"/>
    <n v="13096"/>
    <n v="0"/>
    <s v="Unnamed ProjectProcess 2 Number InNumber InProcess"/>
    <n v="10"/>
    <n v="13100.1"/>
    <n v="11.46443776786866"/>
    <n v="0.95"/>
    <n v="8.2011647303157567"/>
    <n v="13083"/>
    <n v="13118"/>
  </r>
  <r>
    <x v="0"/>
    <s v="2025-12-30 22:09:11"/>
    <n v="8"/>
    <x v="54"/>
    <x v="3"/>
    <x v="2"/>
    <n v="13096"/>
    <n v="0"/>
    <s v="Unnamed ProjectProcess 2 Number OutNumber OutProcess"/>
    <n v="10"/>
    <n v="13100.1"/>
    <n v="11.46443776786866"/>
    <n v="0.95"/>
    <n v="8.2011647303157567"/>
    <n v="13083"/>
    <n v="13118"/>
  </r>
  <r>
    <x v="0"/>
    <s v="2025-12-30 22:09:11"/>
    <n v="8"/>
    <x v="55"/>
    <x v="4"/>
    <x v="2"/>
    <n v="143980.69569238499"/>
    <n v="0"/>
    <s v="Unnamed ProjectProcess 3 Accum VA TimeAccum VA TimeProcess"/>
    <n v="10"/>
    <n v="144088.31566564049"/>
    <n v="147.41980686592098"/>
    <n v="0.95"/>
    <n v="105.45777691839817"/>
    <n v="143896.696561805"/>
    <n v="144298.22507098701"/>
  </r>
  <r>
    <x v="0"/>
    <s v="2025-12-30 22:09:11"/>
    <n v="8"/>
    <x v="56"/>
    <x v="2"/>
    <x v="2"/>
    <n v="13096"/>
    <n v="0"/>
    <s v="Unnamed ProjectProcess 3 Number InNumber InProcess"/>
    <n v="10"/>
    <n v="13099.9"/>
    <n v="11.761046816598522"/>
    <n v="0.95"/>
    <n v="8.4133460616980535"/>
    <n v="13082"/>
    <n v="13118"/>
  </r>
  <r>
    <x v="0"/>
    <s v="2025-12-30 22:09:11"/>
    <n v="8"/>
    <x v="57"/>
    <x v="3"/>
    <x v="2"/>
    <n v="13096"/>
    <n v="0"/>
    <s v="Unnamed ProjectProcess 3 Number OutNumber OutProcess"/>
    <n v="10"/>
    <n v="13099.9"/>
    <n v="11.761046816598522"/>
    <n v="0.95"/>
    <n v="8.4133460616980535"/>
    <n v="13082"/>
    <n v="13118"/>
  </r>
  <r>
    <x v="0"/>
    <s v="2025-12-30 22:09:11"/>
    <n v="8"/>
    <x v="58"/>
    <x v="4"/>
    <x v="2"/>
    <n v="57679.978497650598"/>
    <n v="0"/>
    <s v="Unnamed ProjectProcess 4 Accum VA TimeAccum VA TimeProcess"/>
    <n v="10"/>
    <n v="57657.842851106019"/>
    <n v="66.206976538127805"/>
    <n v="0.95"/>
    <n v="47.361617889987492"/>
    <n v="57569.6670912306"/>
    <n v="57778.887305354197"/>
  </r>
  <r>
    <x v="0"/>
    <s v="2025-12-30 22:09:11"/>
    <n v="8"/>
    <x v="59"/>
    <x v="2"/>
    <x v="2"/>
    <n v="8231"/>
    <n v="0"/>
    <s v="Unnamed ProjectProcess 4 Number InNumber InProcess"/>
    <n v="10"/>
    <n v="8235"/>
    <n v="6.5659052011974035"/>
    <n v="0.95"/>
    <n v="4.6969656296252689"/>
    <n v="8223"/>
    <n v="8245"/>
  </r>
  <r>
    <x v="0"/>
    <s v="2025-12-30 22:09:11"/>
    <n v="8"/>
    <x v="60"/>
    <x v="3"/>
    <x v="2"/>
    <n v="8231"/>
    <n v="0"/>
    <s v="Unnamed ProjectProcess 4 Number OutNumber OutProcess"/>
    <n v="10"/>
    <n v="8235"/>
    <n v="6.5659052011974035"/>
    <n v="0.95"/>
    <n v="4.6969656296252689"/>
    <n v="8223"/>
    <n v="8245"/>
  </r>
  <r>
    <x v="0"/>
    <s v="2025-12-30 22:09:11"/>
    <n v="8"/>
    <x v="61"/>
    <x v="4"/>
    <x v="2"/>
    <n v="82315.776912688598"/>
    <n v="0"/>
    <s v="Unnamed ProjectProcess 5 Accum VA TimeAccum VA TimeProcess"/>
    <n v="10"/>
    <n v="82354.925585571807"/>
    <n v="74.759806822996126"/>
    <n v="0.95"/>
    <n v="53.479944099863097"/>
    <n v="82287.012858407106"/>
    <n v="82509.9089339692"/>
  </r>
  <r>
    <x v="0"/>
    <s v="2025-12-30 22:09:11"/>
    <n v="8"/>
    <x v="62"/>
    <x v="2"/>
    <x v="2"/>
    <n v="8229"/>
    <n v="0"/>
    <s v="Unnamed ProjectProcess 5 Number InNumber InProcess"/>
    <n v="10"/>
    <n v="8233.5"/>
    <n v="6.5021364010437201"/>
    <n v="0.95"/>
    <n v="4.6513481780498687"/>
    <n v="8221"/>
    <n v="8243"/>
  </r>
  <r>
    <x v="0"/>
    <s v="2025-12-30 22:09:11"/>
    <n v="8"/>
    <x v="63"/>
    <x v="3"/>
    <x v="2"/>
    <n v="8229"/>
    <n v="0"/>
    <s v="Unnamed ProjectProcess 5 Number OutNumber OutProcess"/>
    <n v="10"/>
    <n v="8233.5"/>
    <n v="6.5021364010437201"/>
    <n v="0.95"/>
    <n v="4.6513481780498687"/>
    <n v="8221"/>
    <n v="8243"/>
  </r>
  <r>
    <x v="0"/>
    <s v="2025-12-30 22:09:11"/>
    <n v="8"/>
    <x v="64"/>
    <x v="4"/>
    <x v="2"/>
    <n v="205625.98341924901"/>
    <n v="0"/>
    <s v="Unnamed ProjectProcess 6 Accum VA TimeAccum VA TimeProcess"/>
    <n v="10"/>
    <n v="205782.3721339902"/>
    <n v="135.17903819323379"/>
    <n v="0.95"/>
    <n v="96.701258514002035"/>
    <n v="205554.00796082799"/>
    <n v="205962.665291818"/>
  </r>
  <r>
    <x v="0"/>
    <s v="2025-12-30 22:09:11"/>
    <n v="8"/>
    <x v="65"/>
    <x v="2"/>
    <x v="2"/>
    <n v="8227"/>
    <n v="0"/>
    <s v="Unnamed ProjectProcess 6 Number InNumber InProcess"/>
    <n v="10"/>
    <n v="8231.5"/>
    <n v="6.3464775882199236"/>
    <n v="0.95"/>
    <n v="4.5399965713211703"/>
    <n v="8220"/>
    <n v="8241"/>
  </r>
  <r>
    <x v="0"/>
    <s v="2025-12-30 22:09:11"/>
    <n v="8"/>
    <x v="66"/>
    <x v="3"/>
    <x v="2"/>
    <n v="8227"/>
    <n v="0"/>
    <s v="Unnamed ProjectProcess 6 Number OutNumber OutProcess"/>
    <n v="10"/>
    <n v="8231.5"/>
    <n v="6.3464775882199236"/>
    <n v="0.95"/>
    <n v="4.5399965713211703"/>
    <n v="8220"/>
    <n v="8241"/>
  </r>
  <r>
    <x v="0"/>
    <s v="2025-12-30 22:09:11"/>
    <n v="8"/>
    <x v="67"/>
    <x v="4"/>
    <x v="2"/>
    <n v="98617.744501525507"/>
    <n v="0"/>
    <s v="Unnamed ProjectProcess 7 Accum VA TimeAccum VA TimeProcess"/>
    <n v="10"/>
    <n v="98625.180720296266"/>
    <n v="166.97558012409817"/>
    <n v="0.95"/>
    <n v="119.44713437023168"/>
    <n v="98434.330991768598"/>
    <n v="98993.883345143302"/>
  </r>
  <r>
    <x v="0"/>
    <s v="2025-12-30 22:09:11"/>
    <n v="8"/>
    <x v="68"/>
    <x v="2"/>
    <x v="2"/>
    <n v="8223"/>
    <n v="0"/>
    <s v="Unnamed ProjectProcess 7 Number InNumber InProcess"/>
    <n v="10"/>
    <n v="8227.7000000000007"/>
    <n v="6.2902040242480748"/>
    <n v="0.95"/>
    <n v="4.4997408887103267"/>
    <n v="8216"/>
    <n v="8237"/>
  </r>
  <r>
    <x v="0"/>
    <s v="2025-12-30 22:09:11"/>
    <n v="8"/>
    <x v="69"/>
    <x v="3"/>
    <x v="2"/>
    <n v="8223"/>
    <n v="0"/>
    <s v="Unnamed ProjectProcess 7 Number OutNumber OutProcess"/>
    <n v="10"/>
    <n v="8227.7000000000007"/>
    <n v="6.2902040242480748"/>
    <n v="0.95"/>
    <n v="4.4997408887103267"/>
    <n v="8216"/>
    <n v="8237"/>
  </r>
  <r>
    <x v="0"/>
    <s v="2025-12-30 22:09:11"/>
    <n v="8"/>
    <x v="70"/>
    <x v="4"/>
    <x v="2"/>
    <n v="91671.096702544004"/>
    <n v="0"/>
    <s v="Unnamed ProjectProcess 8 Accum VA TimeAccum VA TimeProcess"/>
    <n v="10"/>
    <n v="91917.034029149756"/>
    <n v="167.33037075092571"/>
    <n v="0.95"/>
    <n v="119.70093629530641"/>
    <n v="91632.276670136605"/>
    <n v="92162.594279262106"/>
  </r>
  <r>
    <x v="0"/>
    <s v="2025-12-30 22:09:11"/>
    <n v="8"/>
    <x v="71"/>
    <x v="2"/>
    <x v="2"/>
    <n v="18377"/>
    <n v="0"/>
    <s v="Unnamed ProjectProcess 8 Number InNumber InProcess"/>
    <n v="10"/>
    <n v="18392"/>
    <n v="12.884098726725126"/>
    <n v="0.95"/>
    <n v="9.2167290013706662"/>
    <n v="18376"/>
    <n v="18407"/>
  </r>
  <r>
    <x v="0"/>
    <s v="2025-12-30 22:09:11"/>
    <n v="8"/>
    <x v="72"/>
    <x v="3"/>
    <x v="2"/>
    <n v="18377"/>
    <n v="0"/>
    <s v="Unnamed ProjectProcess 8 Number OutNumber OutProcess"/>
    <n v="10"/>
    <n v="18392"/>
    <n v="12.884098726725126"/>
    <n v="0.95"/>
    <n v="9.2167290013706662"/>
    <n v="18376"/>
    <n v="18407"/>
  </r>
  <r>
    <x v="0"/>
    <s v="2025-12-30 22:09:11"/>
    <n v="8"/>
    <x v="73"/>
    <x v="4"/>
    <x v="2"/>
    <n v="104125.909991159"/>
    <n v="0"/>
    <s v="Unnamed ProjectProcess 9 Accum VA TimeAccum VA TimeProcess"/>
    <n v="10"/>
    <n v="104198.44406523299"/>
    <n v="99.045608472383734"/>
    <n v="0.95"/>
    <n v="70.852960026786278"/>
    <n v="104039.320720244"/>
    <n v="104335.096217932"/>
  </r>
  <r>
    <x v="0"/>
    <s v="2025-12-30 22:09:11"/>
    <n v="8"/>
    <x v="74"/>
    <x v="2"/>
    <x v="2"/>
    <n v="18377"/>
    <n v="0"/>
    <s v="Unnamed ProjectProcess 9 Number InNumber InProcess"/>
    <n v="10"/>
    <n v="18389.400000000001"/>
    <n v="12.103259432437566"/>
    <n v="0.95"/>
    <n v="8.6581502197487996"/>
    <n v="18376"/>
    <n v="18404"/>
  </r>
  <r>
    <x v="0"/>
    <s v="2025-12-30 22:09:11"/>
    <n v="8"/>
    <x v="75"/>
    <x v="3"/>
    <x v="2"/>
    <n v="18377"/>
    <n v="0"/>
    <s v="Unnamed ProjectProcess 9 Number OutNumber OutProcess"/>
    <n v="10"/>
    <n v="18389.400000000001"/>
    <n v="12.103259432437566"/>
    <n v="0.95"/>
    <n v="8.6581502197487996"/>
    <n v="18376"/>
    <n v="18404"/>
  </r>
  <r>
    <x v="0"/>
    <s v="2025-12-30 22:09:11"/>
    <n v="8"/>
    <x v="76"/>
    <x v="0"/>
    <x v="0"/>
    <n v="0"/>
    <n v="0"/>
    <s v="Unnamed ProjectSales Department.NumberSeizedTotal Number SeizedResource"/>
    <n v="10"/>
    <n v="0"/>
    <n v="0"/>
    <n v="0.95"/>
    <n v="0"/>
    <n v="0"/>
    <n v="0"/>
  </r>
  <r>
    <x v="0"/>
    <s v="2025-12-30 22:09:11"/>
    <n v="8"/>
    <x v="77"/>
    <x v="1"/>
    <x v="0"/>
    <n v="0"/>
    <n v="0"/>
    <s v="Unnamed ProjectSales Department.ScheduledUtilizationScheduled UtilizationResource"/>
    <n v="10"/>
    <n v="0"/>
    <n v="0"/>
    <n v="0.95"/>
    <n v="0"/>
    <n v="0"/>
    <n v="0"/>
  </r>
  <r>
    <x v="0"/>
    <s v="2025-12-30 22:09:11"/>
    <n v="8"/>
    <x v="78"/>
    <x v="0"/>
    <x v="0"/>
    <n v="117"/>
    <n v="0"/>
    <s v="Unnamed ProjectSales Rep.NumberSeizedTotal Number SeizedResource"/>
    <n v="10"/>
    <n v="118.7"/>
    <n v="12.587913073879887"/>
    <n v="0.95"/>
    <n v="9.0048505491583946"/>
    <n v="95"/>
    <n v="141"/>
  </r>
  <r>
    <x v="0"/>
    <s v="2025-12-30 22:09:11"/>
    <n v="8"/>
    <x v="79"/>
    <x v="1"/>
    <x v="0"/>
    <n v="0.32285820207833499"/>
    <n v="0"/>
    <s v="Unnamed ProjectSales Rep.ScheduledUtilizationScheduled UtilizationResource"/>
    <n v="10"/>
    <n v="0.3273551167875815"/>
    <n v="3.5172818533154994E-2"/>
    <n v="0.95"/>
    <n v="2.5161118640145405E-2"/>
    <n v="0.26933581669894202"/>
    <n v="0.39321867243708603"/>
  </r>
  <r>
    <x v="0"/>
    <s v="2025-12-30 22:09:11"/>
    <n v="8"/>
    <x v="80"/>
    <x v="3"/>
    <x v="3"/>
    <n v="2500"/>
    <n v="0"/>
    <s v="Unnamed ProjectSystem.NumberOutNumber OutSystem"/>
    <n v="10"/>
    <n v="2503.1"/>
    <n v="29.72260643573059"/>
    <n v="0.95"/>
    <n v="21.262271777248003"/>
    <n v="2457"/>
    <n v="2546"/>
  </r>
  <r>
    <x v="0"/>
    <s v="2025-12-30 22:09:11"/>
    <n v="8"/>
    <x v="81"/>
    <x v="2"/>
    <x v="1"/>
    <n v="7831"/>
    <n v="0"/>
    <s v="Unnamed ProjectWire Harness.NumberInNumber InEntity"/>
    <n v="10"/>
    <n v="7832.8"/>
    <n v="7.8287220469811594"/>
    <n v="0.95"/>
    <n v="5.6003303812327712"/>
    <n v="7818"/>
    <n v="7845"/>
  </r>
  <r>
    <x v="0"/>
    <s v="2025-12-30 22:09:11"/>
    <n v="8"/>
    <x v="82"/>
    <x v="3"/>
    <x v="1"/>
    <n v="7827"/>
    <n v="0"/>
    <s v="Unnamed ProjectWire Harness.NumberOutNumber OutEntity"/>
    <n v="10"/>
    <n v="7828.3"/>
    <n v="7.1032074132433696"/>
    <n v="0.95"/>
    <n v="5.0813284776056653"/>
    <n v="7815"/>
    <n v="7840"/>
  </r>
  <r>
    <x v="0"/>
    <s v="2025-12-30 22:09:11"/>
    <n v="8"/>
    <x v="83"/>
    <x v="4"/>
    <x v="2"/>
    <n v="52303.028736690299"/>
    <n v="0"/>
    <s v="Unnamed Projectsales Accum VA TimeAccum VA TimeProcess"/>
    <n v="10"/>
    <n v="53031.528919588192"/>
    <n v="5697.9966023710867"/>
    <n v="0.95"/>
    <n v="4076.1012197035402"/>
    <n v="43632.402305228599"/>
    <n v="63701.424934807801"/>
  </r>
  <r>
    <x v="0"/>
    <s v="2025-12-30 22:09:11"/>
    <n v="8"/>
    <x v="84"/>
    <x v="2"/>
    <x v="2"/>
    <n v="117"/>
    <n v="0"/>
    <s v="Unnamed Projectsales Number InNumber InProcess"/>
    <n v="10"/>
    <n v="118.7"/>
    <n v="12.587913073879887"/>
    <n v="0.95"/>
    <n v="9.0048505491583946"/>
    <n v="95"/>
    <n v="141"/>
  </r>
  <r>
    <x v="0"/>
    <s v="2025-12-30 22:09:11"/>
    <n v="8"/>
    <x v="85"/>
    <x v="3"/>
    <x v="2"/>
    <n v="117"/>
    <n v="0"/>
    <s v="Unnamed Projectsales Number OutNumber OutProcess"/>
    <n v="10"/>
    <n v="118.7"/>
    <n v="12.587913073879887"/>
    <n v="0.95"/>
    <n v="9.0048505491583946"/>
    <n v="95"/>
    <n v="141"/>
  </r>
  <r>
    <x v="0"/>
    <s v="2025-12-30 22:09:11"/>
    <n v="9"/>
    <x v="0"/>
    <x v="0"/>
    <x v="0"/>
    <n v="6549"/>
    <n v="0"/>
    <s v="Unnamed ProjectAssembler.NumberSeizedTotal Number SeizedResource"/>
    <n v="10"/>
    <n v="6547.7"/>
    <n v="5.735852159879995"/>
    <n v="0.95"/>
    <n v="4.1031814541969078"/>
    <n v="6540"/>
    <n v="6557"/>
  </r>
  <r>
    <x v="0"/>
    <s v="2025-12-30 22:09:11"/>
    <n v="9"/>
    <x v="1"/>
    <x v="1"/>
    <x v="0"/>
    <n v="7.5773828369295207E-2"/>
    <n v="0"/>
    <s v="Unnamed ProjectAssembler.ScheduledUtilizationScheduled UtilizationResource"/>
    <n v="10"/>
    <n v="7.575658911226775E-2"/>
    <n v="1.4019953141627205E-4"/>
    <n v="0.95"/>
    <n v="1.0029270301248135E-4"/>
    <n v="7.5477645584878503E-2"/>
    <n v="7.5973148639726207E-2"/>
  </r>
  <r>
    <x v="0"/>
    <s v="2025-12-30 22:09:11"/>
    <n v="9"/>
    <x v="2"/>
    <x v="2"/>
    <x v="1"/>
    <n v="1042"/>
    <n v="0"/>
    <s v="Unnamed ProjectCustomer.NumberInNumber InEntity"/>
    <n v="10"/>
    <n v="1090.3"/>
    <n v="32.666836734251177"/>
    <n v="0.95"/>
    <n v="23.368447254062772"/>
    <n v="1042"/>
    <n v="1141"/>
  </r>
  <r>
    <x v="0"/>
    <s v="2025-12-30 22:09:11"/>
    <n v="9"/>
    <x v="3"/>
    <x v="3"/>
    <x v="1"/>
    <n v="1042"/>
    <n v="0"/>
    <s v="Unnamed ProjectCustomer.NumberOutNumber OutEntity"/>
    <n v="10"/>
    <n v="1090.3"/>
    <n v="32.666836734251177"/>
    <n v="0.95"/>
    <n v="23.368447254062772"/>
    <n v="1042"/>
    <n v="1141"/>
  </r>
  <r>
    <x v="0"/>
    <s v="2025-12-30 22:09:11"/>
    <n v="9"/>
    <x v="4"/>
    <x v="2"/>
    <x v="1"/>
    <n v="19852"/>
    <n v="0"/>
    <s v="Unnamed ProjectEntity 1.NumberInNumber InEntity"/>
    <n v="10"/>
    <n v="19822.900000000001"/>
    <n v="20.151922985164472"/>
    <n v="0.95"/>
    <n v="14.415817276026377"/>
    <n v="19788"/>
    <n v="19852"/>
  </r>
  <r>
    <x v="0"/>
    <s v="2025-12-30 22:09:11"/>
    <n v="9"/>
    <x v="5"/>
    <x v="3"/>
    <x v="1"/>
    <n v="19641"/>
    <n v="0"/>
    <s v="Unnamed ProjectEntity 1.NumberOutNumber OutEntity"/>
    <n v="10"/>
    <n v="19635.599999999999"/>
    <n v="15.086417732516889"/>
    <n v="0.95"/>
    <n v="10.792173111314252"/>
    <n v="19614"/>
    <n v="19662"/>
  </r>
  <r>
    <x v="0"/>
    <s v="2025-12-30 22:09:11"/>
    <n v="9"/>
    <x v="6"/>
    <x v="2"/>
    <x v="1"/>
    <n v="8381"/>
    <n v="0"/>
    <s v="Unnamed ProjectEntity 2.NumberInNumber InEntity"/>
    <n v="10"/>
    <n v="8398"/>
    <n v="24.133885813197271"/>
    <n v="0.95"/>
    <n v="17.264341884378119"/>
    <n v="8353"/>
    <n v="8437"/>
  </r>
  <r>
    <x v="0"/>
    <s v="2025-12-30 22:09:11"/>
    <n v="9"/>
    <x v="7"/>
    <x v="3"/>
    <x v="1"/>
    <n v="6547"/>
    <n v="0"/>
    <s v="Unnamed ProjectEntity 2.NumberOutNumber OutEntity"/>
    <n v="10"/>
    <n v="6545.2"/>
    <n v="5.0288059108389627"/>
    <n v="0.95"/>
    <n v="3.5973910371047504"/>
    <n v="6538"/>
    <n v="6554"/>
  </r>
  <r>
    <x v="0"/>
    <s v="2025-12-30 22:09:11"/>
    <n v="9"/>
    <x v="8"/>
    <x v="2"/>
    <x v="1"/>
    <n v="27787"/>
    <n v="0"/>
    <s v="Unnamed ProjectEntity 3.NumberInNumber InEntity"/>
    <n v="10"/>
    <n v="27753.7"/>
    <n v="25.447331228768697"/>
    <n v="0.95"/>
    <n v="18.203924133022646"/>
    <n v="27724"/>
    <n v="27792"/>
  </r>
  <r>
    <x v="0"/>
    <s v="2025-12-30 22:09:11"/>
    <n v="9"/>
    <x v="9"/>
    <x v="3"/>
    <x v="1"/>
    <n v="19641"/>
    <n v="0"/>
    <s v="Unnamed ProjectEntity 3.NumberOutNumber OutEntity"/>
    <n v="10"/>
    <n v="19635.599999999999"/>
    <n v="15.086417732516889"/>
    <n v="0.95"/>
    <n v="10.792173111314252"/>
    <n v="19614"/>
    <n v="19662"/>
  </r>
  <r>
    <x v="0"/>
    <s v="2025-12-30 22:09:11"/>
    <n v="9"/>
    <x v="10"/>
    <x v="0"/>
    <x v="0"/>
    <n v="13109"/>
    <n v="0"/>
    <s v="Unnamed ProjectKanban L1S1.NumberSeizedTotal Number SeizedResource"/>
    <n v="10"/>
    <n v="13103.5"/>
    <n v="11.443095929181249"/>
    <n v="0.95"/>
    <n v="8.1858976986246059"/>
    <n v="13087"/>
    <n v="13120"/>
  </r>
  <r>
    <x v="0"/>
    <s v="2025-12-30 22:09:11"/>
    <n v="9"/>
    <x v="11"/>
    <x v="1"/>
    <x v="0"/>
    <n v="0.50180782276445501"/>
    <n v="0"/>
    <s v="Unnamed ProjectKanban L1S1.ScheduledUtilizationScheduled UtilizationResource"/>
    <n v="10"/>
    <n v="0.48160620907873086"/>
    <n v="8.6686321722355061E-2"/>
    <n v="0.95"/>
    <n v="6.2011658897281531E-2"/>
    <n v="0.292184201252493"/>
    <n v="0.57167989674475905"/>
  </r>
  <r>
    <x v="0"/>
    <s v="2025-12-30 22:09:11"/>
    <n v="9"/>
    <x v="12"/>
    <x v="0"/>
    <x v="0"/>
    <n v="13105"/>
    <n v="0"/>
    <s v="Unnamed ProjectKanban L1S2.NumberSeizedTotal Number SeizedResource"/>
    <n v="10"/>
    <n v="13100.1"/>
    <n v="11.46443776786866"/>
    <n v="0.95"/>
    <n v="8.2011647303157567"/>
    <n v="13083"/>
    <n v="13118"/>
  </r>
  <r>
    <x v="0"/>
    <s v="2025-12-30 22:09:11"/>
    <n v="9"/>
    <x v="13"/>
    <x v="1"/>
    <x v="0"/>
    <n v="0.20500025225945601"/>
    <n v="0"/>
    <s v="Unnamed ProjectKanban L1S2.ScheduledUtilizationScheduled UtilizationResource"/>
    <n v="10"/>
    <n v="0.25269289312392168"/>
    <n v="4.921401008308305E-2"/>
    <n v="0.95"/>
    <n v="3.5205581983443382E-2"/>
    <n v="0.20500025225945601"/>
    <n v="0.33570777662711399"/>
  </r>
  <r>
    <x v="0"/>
    <s v="2025-12-30 22:09:11"/>
    <n v="9"/>
    <x v="14"/>
    <x v="0"/>
    <x v="0"/>
    <n v="13105"/>
    <n v="0"/>
    <s v="Unnamed ProjectKanban L1S3.NumberSeizedTotal Number SeizedResource"/>
    <n v="10"/>
    <n v="13099.9"/>
    <n v="11.761046816598522"/>
    <n v="0.95"/>
    <n v="8.4133460616980535"/>
    <n v="13082"/>
    <n v="13118"/>
  </r>
  <r>
    <x v="0"/>
    <s v="2025-12-30 22:09:11"/>
    <n v="9"/>
    <x v="15"/>
    <x v="1"/>
    <x v="0"/>
    <n v="0.15161344276824301"/>
    <n v="0"/>
    <s v="Unnamed ProjectKanban L1S3.ScheduledUtilizationScheduled UtilizationResource"/>
    <n v="10"/>
    <n v="0.151561654865698"/>
    <n v="1.2198256688170919E-4"/>
    <n v="0.95"/>
    <n v="8.7261071626859165E-5"/>
    <n v="0.15134711042770399"/>
    <n v="0.15172806047441101"/>
  </r>
  <r>
    <x v="0"/>
    <s v="2025-12-30 22:09:11"/>
    <n v="9"/>
    <x v="16"/>
    <x v="0"/>
    <x v="0"/>
    <n v="8234"/>
    <n v="0"/>
    <s v="Unnamed ProjectKanban L2S1.NumberSeizedTotal Number SeizedResource"/>
    <n v="10"/>
    <n v="8235"/>
    <n v="6.5659052011974035"/>
    <n v="0.95"/>
    <n v="4.6969656296252689"/>
    <n v="8223"/>
    <n v="8245"/>
  </r>
  <r>
    <x v="0"/>
    <s v="2025-12-30 22:09:11"/>
    <n v="9"/>
    <x v="17"/>
    <x v="1"/>
    <x v="0"/>
    <n v="0.76791739835693196"/>
    <n v="0"/>
    <s v="Unnamed ProjectKanban L2S1.ScheduledUtilizationScheduled UtilizationResource"/>
    <n v="10"/>
    <n v="0.84558522180863771"/>
    <n v="0.11694354024491282"/>
    <n v="0.95"/>
    <n v="8.3656369122856733E-2"/>
    <n v="0.625269422960122"/>
    <n v="0.95234896906597499"/>
  </r>
  <r>
    <x v="0"/>
    <s v="2025-12-30 22:09:11"/>
    <n v="9"/>
    <x v="18"/>
    <x v="0"/>
    <x v="0"/>
    <n v="8233"/>
    <n v="0"/>
    <s v="Unnamed ProjectKanban L2S2.NumberSeizedTotal Number SeizedResource"/>
    <n v="10"/>
    <n v="8233.5"/>
    <n v="6.5021364010437201"/>
    <n v="0.95"/>
    <n v="4.6513481780498687"/>
    <n v="8221"/>
    <n v="8243"/>
  </r>
  <r>
    <x v="0"/>
    <s v="2025-12-30 22:09:11"/>
    <n v="9"/>
    <x v="19"/>
    <x v="1"/>
    <x v="0"/>
    <n v="0.67060354368791897"/>
    <n v="0"/>
    <s v="Unnamed ProjectKanban L2S2.ScheduledUtilizationScheduled UtilizationResource"/>
    <n v="10"/>
    <n v="0.74077431571180286"/>
    <n v="6.1280007141721847E-2"/>
    <n v="0.95"/>
    <n v="4.3837076306762375E-2"/>
    <n v="0.67060354368791897"/>
    <n v="0.87728997349342697"/>
  </r>
  <r>
    <x v="0"/>
    <s v="2025-12-30 22:09:11"/>
    <n v="9"/>
    <x v="20"/>
    <x v="0"/>
    <x v="0"/>
    <n v="8232"/>
    <n v="0"/>
    <s v="Unnamed ProjectKanban L2S3.NumberSeizedTotal Number SeizedResource"/>
    <n v="10"/>
    <n v="8231.5"/>
    <n v="6.3464775882199236"/>
    <n v="0.95"/>
    <n v="4.5399965713211703"/>
    <n v="8220"/>
    <n v="8241"/>
  </r>
  <r>
    <x v="0"/>
    <s v="2025-12-30 22:09:11"/>
    <n v="9"/>
    <x v="21"/>
    <x v="1"/>
    <x v="0"/>
    <n v="0.576472905152423"/>
    <n v="0"/>
    <s v="Unnamed ProjectKanban L2S3.ScheduledUtilizationScheduled UtilizationResource"/>
    <n v="10"/>
    <n v="0.52391445815006699"/>
    <n v="7.0460308415606909E-2"/>
    <n v="0.95"/>
    <n v="5.0404268221927347E-2"/>
    <n v="0.36555656561218303"/>
    <n v="0.59886206518967"/>
  </r>
  <r>
    <x v="0"/>
    <s v="2025-12-30 22:09:11"/>
    <n v="9"/>
    <x v="22"/>
    <x v="0"/>
    <x v="0"/>
    <n v="8228"/>
    <n v="0"/>
    <s v="Unnamed ProjectKanban L2S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9"/>
    <x v="23"/>
    <x v="1"/>
    <x v="0"/>
    <n v="0.14963690394859999"/>
    <n v="0"/>
    <s v="Unnamed ProjectKanban L2S4.ScheduledUtilizationScheduled UtilizationResource"/>
    <n v="10"/>
    <n v="0.14955853655775292"/>
    <n v="1.8487754554887928E-4"/>
    <n v="0.95"/>
    <n v="1.3225342896729691E-4"/>
    <n v="0.14921189842985499"/>
    <n v="0.14985050053976801"/>
  </r>
  <r>
    <x v="0"/>
    <s v="2025-12-30 22:09:11"/>
    <n v="9"/>
    <x v="24"/>
    <x v="0"/>
    <x v="0"/>
    <n v="18405"/>
    <n v="0"/>
    <s v="Unnamed ProjectKanban L3S1.NumberSeizedTotal Number SeizedResource"/>
    <n v="10"/>
    <n v="18392"/>
    <n v="12.884098726725126"/>
    <n v="0.95"/>
    <n v="9.2167290013706662"/>
    <n v="18376"/>
    <n v="18407"/>
  </r>
  <r>
    <x v="0"/>
    <s v="2025-12-30 22:09:11"/>
    <n v="9"/>
    <x v="25"/>
    <x v="1"/>
    <x v="0"/>
    <n v="0.71327089804470101"/>
    <n v="0"/>
    <s v="Unnamed ProjectKanban L3S1.ScheduledUtilizationScheduled UtilizationResource"/>
    <n v="10"/>
    <n v="0.78490250681152463"/>
    <n v="0.11345978752761485"/>
    <n v="0.95"/>
    <n v="8.1164242557843561E-2"/>
    <n v="0.58338388917401596"/>
    <n v="0.90111632059041802"/>
  </r>
  <r>
    <x v="0"/>
    <s v="2025-12-30 22:09:11"/>
    <n v="9"/>
    <x v="26"/>
    <x v="0"/>
    <x v="0"/>
    <n v="18403"/>
    <n v="0"/>
    <s v="Unnamed ProjectKanban L3S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9"/>
    <x v="27"/>
    <x v="1"/>
    <x v="0"/>
    <n v="0.158791905918479"/>
    <n v="0"/>
    <s v="Unnamed ProjectKanban L3S2.ScheduledUtilizationScheduled UtilizationResource"/>
    <n v="10"/>
    <n v="0.15879210791146151"/>
    <n v="8.8786593843692651E-6"/>
    <n v="0.95"/>
    <n v="6.3514103063698042E-6"/>
    <n v="0.15877821852350199"/>
    <n v="0.15880443244107401"/>
  </r>
  <r>
    <x v="0"/>
    <s v="2025-12-30 22:09:11"/>
    <n v="9"/>
    <x v="28"/>
    <x v="0"/>
    <x v="0"/>
    <n v="13109"/>
    <n v="0"/>
    <s v="Unnamed ProjectL1 Station1.NumberSeizedTotal Number SeizedResource"/>
    <n v="10"/>
    <n v="13103.5"/>
    <n v="11.443095929181249"/>
    <n v="0.95"/>
    <n v="8.1858976986246059"/>
    <n v="13087"/>
    <n v="13120"/>
  </r>
  <r>
    <x v="0"/>
    <s v="2025-12-30 22:09:11"/>
    <n v="9"/>
    <x v="29"/>
    <x v="1"/>
    <x v="0"/>
    <n v="1.0005692298036499"/>
    <n v="0"/>
    <s v="Unnamed ProjectL1 Station1.ScheduledUtilizationScheduled UtilizationResource"/>
    <n v="10"/>
    <n v="1.0004814685732331"/>
    <n v="7.4280555176725285E-5"/>
    <n v="0.95"/>
    <n v="5.3137108125005439E-5"/>
    <n v="1.00039897320567"/>
    <n v="1.00059414734778"/>
  </r>
  <r>
    <x v="0"/>
    <s v="2025-12-30 22:09:11"/>
    <n v="9"/>
    <x v="30"/>
    <x v="0"/>
    <x v="0"/>
    <n v="13105"/>
    <n v="0"/>
    <s v="Unnamed ProjectL1 Station2.NumberSeizedTotal Number SeizedResource"/>
    <n v="10"/>
    <n v="13100.1"/>
    <n v="11.46443776786866"/>
    <n v="0.95"/>
    <n v="8.2011647303157567"/>
    <n v="13083"/>
    <n v="13118"/>
  </r>
  <r>
    <x v="0"/>
    <s v="2025-12-30 22:09:11"/>
    <n v="9"/>
    <x v="31"/>
    <x v="1"/>
    <x v="0"/>
    <n v="0.72744804216956305"/>
    <n v="0"/>
    <s v="Unnamed ProjectL1 Station2.ScheduledUtilizationScheduled UtilizationResource"/>
    <n v="10"/>
    <n v="0.7279059511079462"/>
    <n v="7.0848304180243249E-4"/>
    <n v="0.95"/>
    <n v="5.0681823671647316E-4"/>
    <n v="0.72665767143328297"/>
    <n v="0.72896261310967603"/>
  </r>
  <r>
    <x v="0"/>
    <s v="2025-12-30 22:09:11"/>
    <n v="9"/>
    <x v="32"/>
    <x v="0"/>
    <x v="0"/>
    <n v="13105"/>
    <n v="0"/>
    <s v="Unnamed ProjectL1 Station3.NumberSeizedTotal Number SeizedResource"/>
    <n v="10"/>
    <n v="13099.9"/>
    <n v="11.761046816598522"/>
    <n v="0.95"/>
    <n v="8.4133460616980535"/>
    <n v="13082"/>
    <n v="13118"/>
  </r>
  <r>
    <x v="0"/>
    <s v="2025-12-30 22:09:11"/>
    <n v="9"/>
    <x v="33"/>
    <x v="1"/>
    <x v="0"/>
    <n v="0.95516468943993305"/>
    <n v="0"/>
    <s v="Unnamed ProjectL1 Station3.ScheduledUtilizationScheduled UtilizationResource"/>
    <n v="10"/>
    <n v="0.95483842565389732"/>
    <n v="7.6849017135544289E-4"/>
    <n v="0.95"/>
    <n v="5.497447512496955E-4"/>
    <n v="0.95348679569453398"/>
    <n v="0.95588678098879198"/>
  </r>
  <r>
    <x v="0"/>
    <s v="2025-12-30 22:09:11"/>
    <n v="9"/>
    <x v="34"/>
    <x v="0"/>
    <x v="0"/>
    <n v="8234"/>
    <n v="0"/>
    <s v="Unnamed ProjectL2 Station1.NumberSeizedTotal Number SeizedResource"/>
    <n v="10"/>
    <n v="8235"/>
    <n v="6.5659052011974035"/>
    <n v="0.95"/>
    <n v="4.6969656296252689"/>
    <n v="8223"/>
    <n v="8245"/>
  </r>
  <r>
    <x v="0"/>
    <s v="2025-12-30 22:09:11"/>
    <n v="9"/>
    <x v="35"/>
    <x v="1"/>
    <x v="0"/>
    <n v="0.48560638966303898"/>
    <n v="0"/>
    <s v="Unnamed ProjectL2 Station1.ScheduledUtilizationScheduled UtilizationResource"/>
    <n v="10"/>
    <n v="0.48622459141633045"/>
    <n v="7.2585329819825151E-4"/>
    <n v="0.95"/>
    <n v="5.1924416958770345E-4"/>
    <n v="0.48503601840289501"/>
    <n v="0.48724920721519499"/>
  </r>
  <r>
    <x v="0"/>
    <s v="2025-12-30 22:09:11"/>
    <n v="9"/>
    <x v="36"/>
    <x v="0"/>
    <x v="0"/>
    <n v="8233"/>
    <n v="0"/>
    <s v="Unnamed ProjectL2 Station2.NumberSeizedTotal Number SeizedResource"/>
    <n v="10"/>
    <n v="8233.5"/>
    <n v="6.5021364010437201"/>
    <n v="0.95"/>
    <n v="4.6513481780498687"/>
    <n v="8221"/>
    <n v="8243"/>
  </r>
  <r>
    <x v="0"/>
    <s v="2025-12-30 22:09:11"/>
    <n v="9"/>
    <x v="37"/>
    <x v="1"/>
    <x v="0"/>
    <n v="0.57192062592470805"/>
    <n v="0"/>
    <s v="Unnamed ProjectL2 Station2.ScheduledUtilizationScheduled UtilizationResource"/>
    <n v="10"/>
    <n v="0.57195959594019841"/>
    <n v="5.0695895005827636E-4"/>
    <n v="0.95"/>
    <n v="3.6265658596782525E-4"/>
    <n v="0.57115702440598504"/>
    <n v="0.57294957522841605"/>
  </r>
  <r>
    <x v="0"/>
    <s v="2025-12-30 22:09:11"/>
    <n v="9"/>
    <x v="38"/>
    <x v="0"/>
    <x v="0"/>
    <n v="8232"/>
    <n v="0"/>
    <s v="Unnamed ProjectL2 Station3.NumberSeizedTotal Number SeizedResource"/>
    <n v="10"/>
    <n v="8231.5"/>
    <n v="6.3464775882199236"/>
    <n v="0.95"/>
    <n v="4.5399965713211703"/>
    <n v="8220"/>
    <n v="8241"/>
  </r>
  <r>
    <x v="0"/>
    <s v="2025-12-30 22:09:11"/>
    <n v="9"/>
    <x v="39"/>
    <x v="1"/>
    <x v="0"/>
    <n v="1.0005682354656"/>
    <n v="0"/>
    <s v="Unnamed ProjectL2 Station3.ScheduledUtilizationScheduled UtilizationResource"/>
    <n v="10"/>
    <n v="1.0004557942559711"/>
    <n v="1.6760007580081014E-4"/>
    <n v="0.95"/>
    <n v="1.1989387166531641E-4"/>
    <n v="1.0000655989645"/>
    <n v="1.00068312738094"/>
  </r>
  <r>
    <x v="0"/>
    <s v="2025-12-30 22:09:11"/>
    <n v="9"/>
    <x v="40"/>
    <x v="0"/>
    <x v="0"/>
    <n v="8228"/>
    <n v="0"/>
    <s v="Unnamed ProjectL2 Station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9"/>
    <x v="41"/>
    <x v="1"/>
    <x v="0"/>
    <n v="0.62847499658412098"/>
    <n v="0"/>
    <s v="Unnamed ProjectL2 Station4.ScheduledUtilizationScheduled UtilizationResource"/>
    <n v="10"/>
    <n v="0.62814585354256225"/>
    <n v="7.7648569130547428E-4"/>
    <n v="0.95"/>
    <n v="5.5546440166277669E-4"/>
    <n v="0.62668997340539101"/>
    <n v="0.629372102267024"/>
  </r>
  <r>
    <x v="0"/>
    <s v="2025-12-30 22:09:11"/>
    <n v="9"/>
    <x v="42"/>
    <x v="0"/>
    <x v="0"/>
    <n v="18405"/>
    <n v="0"/>
    <s v="Unnamed ProjectL3 Station1.NumberSeizedTotal Number SeizedResource"/>
    <n v="10"/>
    <n v="18392"/>
    <n v="12.884098726725126"/>
    <n v="0.95"/>
    <n v="9.2167290013706662"/>
    <n v="18376"/>
    <n v="18407"/>
  </r>
  <r>
    <x v="0"/>
    <s v="2025-12-30 22:09:11"/>
    <n v="9"/>
    <x v="43"/>
    <x v="1"/>
    <x v="0"/>
    <n v="0.95813880859956901"/>
    <n v="0"/>
    <s v="Unnamed ProjectL3 Station1.ScheduledUtilizationScheduled UtilizationResource"/>
    <n v="10"/>
    <n v="0.9578548406389944"/>
    <n v="7.0772834598480485E-4"/>
    <n v="0.95"/>
    <n v="5.0627835985142609E-4"/>
    <n v="0.95655010461043799"/>
    <n v="0.95869742508961697"/>
  </r>
  <r>
    <x v="0"/>
    <s v="2025-12-30 22:09:11"/>
    <n v="9"/>
    <x v="44"/>
    <x v="0"/>
    <x v="0"/>
    <n v="18403"/>
    <n v="0"/>
    <s v="Unnamed ProjectL3 Station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9"/>
    <x v="45"/>
    <x v="1"/>
    <x v="0"/>
    <n v="1.0003890072864201"/>
    <n v="0"/>
    <s v="Unnamed ProjectL3 Station2.ScheduledUtilizationScheduled UtilizationResource"/>
    <n v="10"/>
    <n v="1.0003902798422071"/>
    <n v="5.593555412291058E-5"/>
    <n v="0.95"/>
    <n v="4.0013884931119971E-5"/>
    <n v="1.0003027766980599"/>
    <n v="1.00046792437877"/>
  </r>
  <r>
    <x v="0"/>
    <s v="2025-12-30 22:09:11"/>
    <n v="9"/>
    <x v="46"/>
    <x v="4"/>
    <x v="2"/>
    <n v="157064.62425213799"/>
    <n v="0"/>
    <s v="Unnamed ProjectProcess 1 Accum VA TimeAccum VA TimeProcess"/>
    <n v="10"/>
    <n v="157133.73428655442"/>
    <n v="123.15330812839177"/>
    <n v="0.95"/>
    <n v="88.098569462778244"/>
    <n v="156930.294881654"/>
    <n v="157303.990839153"/>
  </r>
  <r>
    <x v="0"/>
    <s v="2025-12-30 22:09:11"/>
    <n v="9"/>
    <x v="47"/>
    <x v="2"/>
    <x v="2"/>
    <n v="13109"/>
    <n v="0"/>
    <s v="Unnamed ProjectProcess 1 Number InNumber InProcess"/>
    <n v="10"/>
    <n v="13103.5"/>
    <n v="11.443095929181249"/>
    <n v="0.95"/>
    <n v="8.1858976986246059"/>
    <n v="13087"/>
    <n v="13120"/>
  </r>
  <r>
    <x v="0"/>
    <s v="2025-12-30 22:09:11"/>
    <n v="9"/>
    <x v="48"/>
    <x v="3"/>
    <x v="2"/>
    <n v="13109"/>
    <n v="0"/>
    <s v="Unnamed ProjectProcess 1 Number OutNumber OutProcess"/>
    <n v="10"/>
    <n v="13103.5"/>
    <n v="11.443095929181249"/>
    <n v="0.95"/>
    <n v="8.1858976986246059"/>
    <n v="13087"/>
    <n v="13120"/>
  </r>
  <r>
    <x v="0"/>
    <s v="2025-12-30 22:09:11"/>
    <n v="9"/>
    <x v="49"/>
    <x v="4"/>
    <x v="2"/>
    <n v="21822.862570357"/>
    <n v="0"/>
    <s v="Unnamed ProjectProcess 14 Accum VA TimeAccum VA TimeProcess"/>
    <n v="10"/>
    <n v="21817.897664333104"/>
    <n v="40.377465047897729"/>
    <n v="0.95"/>
    <n v="28.884298467602775"/>
    <n v="21737.561928445"/>
    <n v="21880.2668082411"/>
  </r>
  <r>
    <x v="0"/>
    <s v="2025-12-30 22:09:11"/>
    <n v="9"/>
    <x v="50"/>
    <x v="2"/>
    <x v="2"/>
    <n v="6549"/>
    <n v="0"/>
    <s v="Unnamed ProjectProcess 14 Number InNumber InProcess"/>
    <n v="10"/>
    <n v="6547.7"/>
    <n v="5.735852159879995"/>
    <n v="0.95"/>
    <n v="4.1031814541969078"/>
    <n v="6540"/>
    <n v="6557"/>
  </r>
  <r>
    <x v="0"/>
    <s v="2025-12-30 22:09:11"/>
    <n v="9"/>
    <x v="51"/>
    <x v="3"/>
    <x v="2"/>
    <n v="6549"/>
    <n v="0"/>
    <s v="Unnamed ProjectProcess 14 Number OutNumber OutProcess"/>
    <n v="10"/>
    <n v="6547.3"/>
    <n v="5.7164480035925962"/>
    <n v="0.95"/>
    <n v="4.0893005569921828"/>
    <n v="6539"/>
    <n v="6556"/>
  </r>
  <r>
    <x v="0"/>
    <s v="2025-12-30 22:09:11"/>
    <n v="9"/>
    <x v="52"/>
    <x v="4"/>
    <x v="2"/>
    <n v="78547.593491032807"/>
    <n v="0"/>
    <s v="Unnamed ProjectProcess 2 Accum VA TimeAccum VA TimeProcess"/>
    <n v="10"/>
    <n v="78656.282482549519"/>
    <n v="139.39621135358072"/>
    <n v="0.95"/>
    <n v="99.718042457930338"/>
    <n v="78434.750255210005"/>
    <n v="78879.0340749358"/>
  </r>
  <r>
    <x v="0"/>
    <s v="2025-12-30 22:09:11"/>
    <n v="9"/>
    <x v="53"/>
    <x v="2"/>
    <x v="2"/>
    <n v="13105"/>
    <n v="0"/>
    <s v="Unnamed ProjectProcess 2 Number InNumber InProcess"/>
    <n v="10"/>
    <n v="13100.1"/>
    <n v="11.46443776786866"/>
    <n v="0.95"/>
    <n v="8.2011647303157567"/>
    <n v="13083"/>
    <n v="13118"/>
  </r>
  <r>
    <x v="0"/>
    <s v="2025-12-30 22:09:11"/>
    <n v="9"/>
    <x v="54"/>
    <x v="3"/>
    <x v="2"/>
    <n v="13105"/>
    <n v="0"/>
    <s v="Unnamed ProjectProcess 2 Number OutNumber OutProcess"/>
    <n v="10"/>
    <n v="13100.1"/>
    <n v="11.46443776786866"/>
    <n v="0.95"/>
    <n v="8.2011647303157567"/>
    <n v="13083"/>
    <n v="13118"/>
  </r>
  <r>
    <x v="0"/>
    <s v="2025-12-30 22:09:11"/>
    <n v="9"/>
    <x v="55"/>
    <x v="4"/>
    <x v="2"/>
    <n v="144212.537612021"/>
    <n v="0"/>
    <s v="Unnamed ProjectProcess 3 Accum VA TimeAccum VA TimeProcess"/>
    <n v="10"/>
    <n v="144088.31566564049"/>
    <n v="147.41980686592098"/>
    <n v="0.95"/>
    <n v="105.45777691839817"/>
    <n v="143896.696561805"/>
    <n v="144298.22507098701"/>
  </r>
  <r>
    <x v="0"/>
    <s v="2025-12-30 22:09:11"/>
    <n v="9"/>
    <x v="56"/>
    <x v="2"/>
    <x v="2"/>
    <n v="13105"/>
    <n v="0"/>
    <s v="Unnamed ProjectProcess 3 Number InNumber InProcess"/>
    <n v="10"/>
    <n v="13099.9"/>
    <n v="11.761046816598522"/>
    <n v="0.95"/>
    <n v="8.4133460616980535"/>
    <n v="13082"/>
    <n v="13118"/>
  </r>
  <r>
    <x v="0"/>
    <s v="2025-12-30 22:09:11"/>
    <n v="9"/>
    <x v="57"/>
    <x v="3"/>
    <x v="2"/>
    <n v="13105"/>
    <n v="0"/>
    <s v="Unnamed ProjectProcess 3 Number OutNumber OutProcess"/>
    <n v="10"/>
    <n v="13099.9"/>
    <n v="11.761046816598522"/>
    <n v="0.95"/>
    <n v="8.4133460616980535"/>
    <n v="13082"/>
    <n v="13118"/>
  </r>
  <r>
    <x v="0"/>
    <s v="2025-12-30 22:09:11"/>
    <n v="9"/>
    <x v="58"/>
    <x v="4"/>
    <x v="2"/>
    <n v="57580.234661251197"/>
    <n v="0"/>
    <s v="Unnamed ProjectProcess 4 Accum VA TimeAccum VA TimeProcess"/>
    <n v="10"/>
    <n v="57657.842851106019"/>
    <n v="66.206976538127805"/>
    <n v="0.95"/>
    <n v="47.361617889987492"/>
    <n v="57569.6670912306"/>
    <n v="57778.887305354197"/>
  </r>
  <r>
    <x v="0"/>
    <s v="2025-12-30 22:09:11"/>
    <n v="9"/>
    <x v="59"/>
    <x v="2"/>
    <x v="2"/>
    <n v="8234"/>
    <n v="0"/>
    <s v="Unnamed ProjectProcess 4 Number InNumber InProcess"/>
    <n v="10"/>
    <n v="8235"/>
    <n v="6.5659052011974035"/>
    <n v="0.95"/>
    <n v="4.6969656296252689"/>
    <n v="8223"/>
    <n v="8245"/>
  </r>
  <r>
    <x v="0"/>
    <s v="2025-12-30 22:09:11"/>
    <n v="9"/>
    <x v="60"/>
    <x v="3"/>
    <x v="2"/>
    <n v="8234"/>
    <n v="0"/>
    <s v="Unnamed ProjectProcess 4 Number OutNumber OutProcess"/>
    <n v="10"/>
    <n v="8235"/>
    <n v="6.5659052011974035"/>
    <n v="0.95"/>
    <n v="4.6969656296252689"/>
    <n v="8223"/>
    <n v="8245"/>
  </r>
  <r>
    <x v="0"/>
    <s v="2025-12-30 22:09:11"/>
    <n v="9"/>
    <x v="61"/>
    <x v="4"/>
    <x v="2"/>
    <n v="82359.233074604301"/>
    <n v="0"/>
    <s v="Unnamed ProjectProcess 5 Accum VA TimeAccum VA TimeProcess"/>
    <n v="10"/>
    <n v="82354.925585571807"/>
    <n v="74.759806822996126"/>
    <n v="0.95"/>
    <n v="53.479944099863097"/>
    <n v="82287.012858407106"/>
    <n v="82509.9089339692"/>
  </r>
  <r>
    <x v="0"/>
    <s v="2025-12-30 22:09:11"/>
    <n v="9"/>
    <x v="62"/>
    <x v="2"/>
    <x v="2"/>
    <n v="8233"/>
    <n v="0"/>
    <s v="Unnamed ProjectProcess 5 Number InNumber InProcess"/>
    <n v="10"/>
    <n v="8233.5"/>
    <n v="6.5021364010437201"/>
    <n v="0.95"/>
    <n v="4.6513481780498687"/>
    <n v="8221"/>
    <n v="8243"/>
  </r>
  <r>
    <x v="0"/>
    <s v="2025-12-30 22:09:11"/>
    <n v="9"/>
    <x v="63"/>
    <x v="3"/>
    <x v="2"/>
    <n v="8233"/>
    <n v="0"/>
    <s v="Unnamed ProjectProcess 5 Number OutNumber OutProcess"/>
    <n v="10"/>
    <n v="8233.5"/>
    <n v="6.5021364010437201"/>
    <n v="0.95"/>
    <n v="4.6513481780498687"/>
    <n v="8221"/>
    <n v="8243"/>
  </r>
  <r>
    <x v="0"/>
    <s v="2025-12-30 22:09:11"/>
    <n v="9"/>
    <x v="64"/>
    <x v="4"/>
    <x v="2"/>
    <n v="205686.859289171"/>
    <n v="0"/>
    <s v="Unnamed ProjectProcess 6 Accum VA TimeAccum VA TimeProcess"/>
    <n v="10"/>
    <n v="205782.3721339902"/>
    <n v="135.17903819323379"/>
    <n v="0.95"/>
    <n v="96.701258514002035"/>
    <n v="205554.00796082799"/>
    <n v="205962.665291818"/>
  </r>
  <r>
    <x v="0"/>
    <s v="2025-12-30 22:09:11"/>
    <n v="9"/>
    <x v="65"/>
    <x v="2"/>
    <x v="2"/>
    <n v="8232"/>
    <n v="0"/>
    <s v="Unnamed ProjectProcess 6 Number InNumber InProcess"/>
    <n v="10"/>
    <n v="8231.5"/>
    <n v="6.3464775882199236"/>
    <n v="0.95"/>
    <n v="4.5399965713211703"/>
    <n v="8220"/>
    <n v="8241"/>
  </r>
  <r>
    <x v="0"/>
    <s v="2025-12-30 22:09:11"/>
    <n v="9"/>
    <x v="66"/>
    <x v="3"/>
    <x v="2"/>
    <n v="8232"/>
    <n v="0"/>
    <s v="Unnamed ProjectProcess 6 Number OutNumber OutProcess"/>
    <n v="10"/>
    <n v="8231.5"/>
    <n v="6.3464775882199236"/>
    <n v="0.95"/>
    <n v="4.5399965713211703"/>
    <n v="8220"/>
    <n v="8241"/>
  </r>
  <r>
    <x v="0"/>
    <s v="2025-12-30 22:09:11"/>
    <n v="9"/>
    <x v="67"/>
    <x v="4"/>
    <x v="2"/>
    <n v="98575.001200446495"/>
    <n v="0"/>
    <s v="Unnamed ProjectProcess 7 Accum VA TimeAccum VA TimeProcess"/>
    <n v="10"/>
    <n v="98625.180720296266"/>
    <n v="166.97558012409817"/>
    <n v="0.95"/>
    <n v="119.44713437023168"/>
    <n v="98434.330991768598"/>
    <n v="98993.883345143302"/>
  </r>
  <r>
    <x v="0"/>
    <s v="2025-12-30 22:09:11"/>
    <n v="9"/>
    <x v="68"/>
    <x v="2"/>
    <x v="2"/>
    <n v="8228"/>
    <n v="0"/>
    <s v="Unnamed ProjectProcess 7 Number InNumber InProcess"/>
    <n v="10"/>
    <n v="8227.7000000000007"/>
    <n v="6.2902040242480748"/>
    <n v="0.95"/>
    <n v="4.4997408887103267"/>
    <n v="8216"/>
    <n v="8237"/>
  </r>
  <r>
    <x v="0"/>
    <s v="2025-12-30 22:09:11"/>
    <n v="9"/>
    <x v="69"/>
    <x v="3"/>
    <x v="2"/>
    <n v="8228"/>
    <n v="0"/>
    <s v="Unnamed ProjectProcess 7 Number OutNumber OutProcess"/>
    <n v="10"/>
    <n v="8227.7000000000007"/>
    <n v="6.2902040242480748"/>
    <n v="0.95"/>
    <n v="4.4997408887103267"/>
    <n v="8216"/>
    <n v="8237"/>
  </r>
  <r>
    <x v="0"/>
    <s v="2025-12-30 22:09:11"/>
    <n v="9"/>
    <x v="70"/>
    <x v="4"/>
    <x v="2"/>
    <n v="92162.594279262106"/>
    <n v="0"/>
    <s v="Unnamed ProjectProcess 8 Accum VA TimeAccum VA TimeProcess"/>
    <n v="10"/>
    <n v="91917.034029149756"/>
    <n v="167.33037075092571"/>
    <n v="0.95"/>
    <n v="119.70093629530641"/>
    <n v="91632.276670136605"/>
    <n v="92162.594279262106"/>
  </r>
  <r>
    <x v="0"/>
    <s v="2025-12-30 22:09:11"/>
    <n v="9"/>
    <x v="71"/>
    <x v="2"/>
    <x v="2"/>
    <n v="18405"/>
    <n v="0"/>
    <s v="Unnamed ProjectProcess 8 Number InNumber InProcess"/>
    <n v="10"/>
    <n v="18392"/>
    <n v="12.884098726725126"/>
    <n v="0.95"/>
    <n v="9.2167290013706662"/>
    <n v="18376"/>
    <n v="18407"/>
  </r>
  <r>
    <x v="0"/>
    <s v="2025-12-30 22:09:11"/>
    <n v="9"/>
    <x v="72"/>
    <x v="3"/>
    <x v="2"/>
    <n v="18405"/>
    <n v="0"/>
    <s v="Unnamed ProjectProcess 8 Number OutNumber OutProcess"/>
    <n v="10"/>
    <n v="18392"/>
    <n v="12.884098726725126"/>
    <n v="0.95"/>
    <n v="9.2167290013706662"/>
    <n v="18376"/>
    <n v="18407"/>
  </r>
  <r>
    <x v="0"/>
    <s v="2025-12-30 22:09:11"/>
    <n v="9"/>
    <x v="73"/>
    <x v="4"/>
    <x v="2"/>
    <n v="104214.90812610299"/>
    <n v="0"/>
    <s v="Unnamed ProjectProcess 9 Accum VA TimeAccum VA TimeProcess"/>
    <n v="10"/>
    <n v="104198.44406523299"/>
    <n v="99.045608472383734"/>
    <n v="0.95"/>
    <n v="70.852960026786278"/>
    <n v="104039.320720244"/>
    <n v="104335.096217932"/>
  </r>
  <r>
    <x v="0"/>
    <s v="2025-12-30 22:09:11"/>
    <n v="9"/>
    <x v="74"/>
    <x v="2"/>
    <x v="2"/>
    <n v="18403"/>
    <n v="0"/>
    <s v="Unnamed ProjectProcess 9 Number InNumber InProcess"/>
    <n v="10"/>
    <n v="18389.400000000001"/>
    <n v="12.103259432437566"/>
    <n v="0.95"/>
    <n v="8.6581502197487996"/>
    <n v="18376"/>
    <n v="18404"/>
  </r>
  <r>
    <x v="0"/>
    <s v="2025-12-30 22:09:11"/>
    <n v="9"/>
    <x v="75"/>
    <x v="3"/>
    <x v="2"/>
    <n v="18403"/>
    <n v="0"/>
    <s v="Unnamed ProjectProcess 9 Number OutNumber OutProcess"/>
    <n v="10"/>
    <n v="18389.400000000001"/>
    <n v="12.103259432437566"/>
    <n v="0.95"/>
    <n v="8.6581502197487996"/>
    <n v="18376"/>
    <n v="18404"/>
  </r>
  <r>
    <x v="0"/>
    <s v="2025-12-30 22:09:11"/>
    <n v="9"/>
    <x v="76"/>
    <x v="0"/>
    <x v="0"/>
    <n v="0"/>
    <n v="0"/>
    <s v="Unnamed ProjectSales Department.NumberSeizedTotal Number SeizedResource"/>
    <n v="10"/>
    <n v="0"/>
    <n v="0"/>
    <n v="0.95"/>
    <n v="0"/>
    <n v="0"/>
    <n v="0"/>
  </r>
  <r>
    <x v="0"/>
    <s v="2025-12-30 22:09:11"/>
    <n v="9"/>
    <x v="77"/>
    <x v="1"/>
    <x v="0"/>
    <n v="0"/>
    <n v="0"/>
    <s v="Unnamed ProjectSales Department.ScheduledUtilizationScheduled UtilizationResource"/>
    <n v="10"/>
    <n v="0"/>
    <n v="0"/>
    <n v="0.95"/>
    <n v="0"/>
    <n v="0"/>
    <n v="0"/>
  </r>
  <r>
    <x v="0"/>
    <s v="2025-12-30 22:09:11"/>
    <n v="9"/>
    <x v="78"/>
    <x v="0"/>
    <x v="0"/>
    <n v="118"/>
    <n v="0"/>
    <s v="Unnamed ProjectSales Rep.NumberSeizedTotal Number SeizedResource"/>
    <n v="10"/>
    <n v="118.7"/>
    <n v="12.587913073879887"/>
    <n v="0.95"/>
    <n v="9.0048505491583946"/>
    <n v="95"/>
    <n v="141"/>
  </r>
  <r>
    <x v="0"/>
    <s v="2025-12-30 22:09:11"/>
    <n v="9"/>
    <x v="79"/>
    <x v="1"/>
    <x v="0"/>
    <n v="0.31356704004323499"/>
    <n v="0"/>
    <s v="Unnamed ProjectSales Rep.ScheduledUtilizationScheduled UtilizationResource"/>
    <n v="10"/>
    <n v="0.3273551167875815"/>
    <n v="3.5172818533154994E-2"/>
    <n v="0.95"/>
    <n v="2.5161118640145405E-2"/>
    <n v="0.26933581669894202"/>
    <n v="0.39321867243708603"/>
  </r>
  <r>
    <x v="0"/>
    <s v="2025-12-30 22:09:11"/>
    <n v="9"/>
    <x v="80"/>
    <x v="3"/>
    <x v="3"/>
    <n v="2457"/>
    <n v="0"/>
    <s v="Unnamed ProjectSystem.NumberOutNumber OutSystem"/>
    <n v="10"/>
    <n v="2503.1"/>
    <n v="29.72260643573059"/>
    <n v="0.95"/>
    <n v="21.262271777248003"/>
    <n v="2457"/>
    <n v="2546"/>
  </r>
  <r>
    <x v="0"/>
    <s v="2025-12-30 22:09:11"/>
    <n v="9"/>
    <x v="81"/>
    <x v="2"/>
    <x v="1"/>
    <n v="7835"/>
    <n v="0"/>
    <s v="Unnamed ProjectWire Harness.NumberInNumber InEntity"/>
    <n v="10"/>
    <n v="7832.8"/>
    <n v="7.8287220469811594"/>
    <n v="0.95"/>
    <n v="5.6003303812327712"/>
    <n v="7818"/>
    <n v="7845"/>
  </r>
  <r>
    <x v="0"/>
    <s v="2025-12-30 22:09:11"/>
    <n v="9"/>
    <x v="82"/>
    <x v="3"/>
    <x v="1"/>
    <n v="7830"/>
    <n v="0"/>
    <s v="Unnamed ProjectWire Harness.NumberOutNumber OutEntity"/>
    <n v="10"/>
    <n v="7828.3"/>
    <n v="7.1032074132433696"/>
    <n v="0.95"/>
    <n v="5.0813284776056653"/>
    <n v="7815"/>
    <n v="7840"/>
  </r>
  <r>
    <x v="0"/>
    <s v="2025-12-30 22:09:11"/>
    <n v="9"/>
    <x v="83"/>
    <x v="4"/>
    <x v="2"/>
    <n v="50797.860487004"/>
    <n v="0"/>
    <s v="Unnamed Projectsales Accum VA TimeAccum VA TimeProcess"/>
    <n v="10"/>
    <n v="53031.528919588192"/>
    <n v="5697.9966023710867"/>
    <n v="0.95"/>
    <n v="4076.1012197035402"/>
    <n v="43632.402305228599"/>
    <n v="63701.424934807801"/>
  </r>
  <r>
    <x v="0"/>
    <s v="2025-12-30 22:09:11"/>
    <n v="9"/>
    <x v="84"/>
    <x v="2"/>
    <x v="2"/>
    <n v="118"/>
    <n v="0"/>
    <s v="Unnamed Projectsales Number InNumber InProcess"/>
    <n v="10"/>
    <n v="118.7"/>
    <n v="12.587913073879887"/>
    <n v="0.95"/>
    <n v="9.0048505491583946"/>
    <n v="95"/>
    <n v="141"/>
  </r>
  <r>
    <x v="0"/>
    <s v="2025-12-30 22:09:11"/>
    <n v="9"/>
    <x v="85"/>
    <x v="3"/>
    <x v="2"/>
    <n v="118"/>
    <n v="0"/>
    <s v="Unnamed Projectsales Number OutNumber OutProcess"/>
    <n v="10"/>
    <n v="118.7"/>
    <n v="12.587913073879887"/>
    <n v="0.95"/>
    <n v="9.0048505491583946"/>
    <n v="95"/>
    <n v="141"/>
  </r>
  <r>
    <x v="0"/>
    <s v="2025-12-30 22:09:11"/>
    <n v="10"/>
    <x v="0"/>
    <x v="0"/>
    <x v="0"/>
    <n v="6540"/>
    <n v="0"/>
    <s v="Unnamed ProjectAssembler.NumberSeizedTotal Number SeizedResource"/>
    <n v="10"/>
    <n v="6547.7"/>
    <n v="5.735852159879995"/>
    <n v="0.95"/>
    <n v="4.1031814541969078"/>
    <n v="6540"/>
    <n v="6557"/>
  </r>
  <r>
    <x v="0"/>
    <s v="2025-12-30 22:09:11"/>
    <n v="10"/>
    <x v="1"/>
    <x v="1"/>
    <x v="0"/>
    <n v="7.5973148639726207E-2"/>
    <n v="0"/>
    <s v="Unnamed ProjectAssembler.ScheduledUtilizationScheduled UtilizationResource"/>
    <n v="10"/>
    <n v="7.575658911226775E-2"/>
    <n v="1.4019953141627205E-4"/>
    <n v="0.95"/>
    <n v="1.0029270301248135E-4"/>
    <n v="7.5477645584878503E-2"/>
    <n v="7.5973148639726207E-2"/>
  </r>
  <r>
    <x v="0"/>
    <s v="2025-12-30 22:09:11"/>
    <n v="10"/>
    <x v="2"/>
    <x v="2"/>
    <x v="1"/>
    <n v="1067"/>
    <n v="0"/>
    <s v="Unnamed ProjectCustomer.NumberInNumber InEntity"/>
    <n v="10"/>
    <n v="1090.3"/>
    <n v="32.666836734251177"/>
    <n v="0.95"/>
    <n v="23.368447254062772"/>
    <n v="1042"/>
    <n v="1141"/>
  </r>
  <r>
    <x v="0"/>
    <s v="2025-12-30 22:09:11"/>
    <n v="10"/>
    <x v="3"/>
    <x v="3"/>
    <x v="1"/>
    <n v="1067"/>
    <n v="0"/>
    <s v="Unnamed ProjectCustomer.NumberOutNumber OutEntity"/>
    <n v="10"/>
    <n v="1090.3"/>
    <n v="32.666836734251177"/>
    <n v="0.95"/>
    <n v="23.368447254062772"/>
    <n v="1042"/>
    <n v="1141"/>
  </r>
  <r>
    <x v="0"/>
    <s v="2025-12-30 22:09:11"/>
    <n v="10"/>
    <x v="4"/>
    <x v="2"/>
    <x v="1"/>
    <n v="19807"/>
    <n v="0"/>
    <s v="Unnamed ProjectEntity 1.NumberInNumber InEntity"/>
    <n v="10"/>
    <n v="19822.900000000001"/>
    <n v="20.151922985164472"/>
    <n v="0.95"/>
    <n v="14.415817276026377"/>
    <n v="19788"/>
    <n v="19852"/>
  </r>
  <r>
    <x v="0"/>
    <s v="2025-12-30 22:09:11"/>
    <n v="10"/>
    <x v="5"/>
    <x v="3"/>
    <x v="1"/>
    <n v="19614"/>
    <n v="0"/>
    <s v="Unnamed ProjectEntity 1.NumberOutNumber OutEntity"/>
    <n v="10"/>
    <n v="19635.599999999999"/>
    <n v="15.086417732516889"/>
    <n v="0.95"/>
    <n v="10.792173111314252"/>
    <n v="19614"/>
    <n v="19662"/>
  </r>
  <r>
    <x v="0"/>
    <s v="2025-12-30 22:09:11"/>
    <n v="10"/>
    <x v="6"/>
    <x v="2"/>
    <x v="1"/>
    <n v="8391"/>
    <n v="0"/>
    <s v="Unnamed ProjectEntity 2.NumberInNumber InEntity"/>
    <n v="10"/>
    <n v="8398"/>
    <n v="24.133885813197271"/>
    <n v="0.95"/>
    <n v="17.264341884378119"/>
    <n v="8353"/>
    <n v="8437"/>
  </r>
  <r>
    <x v="0"/>
    <s v="2025-12-30 22:09:11"/>
    <n v="10"/>
    <x v="7"/>
    <x v="3"/>
    <x v="1"/>
    <n v="6538"/>
    <n v="0"/>
    <s v="Unnamed ProjectEntity 2.NumberOutNumber OutEntity"/>
    <n v="10"/>
    <n v="6545.2"/>
    <n v="5.0288059108389627"/>
    <n v="0.95"/>
    <n v="3.5973910371047504"/>
    <n v="6538"/>
    <n v="6554"/>
  </r>
  <r>
    <x v="0"/>
    <s v="2025-12-30 22:09:11"/>
    <n v="10"/>
    <x v="8"/>
    <x v="2"/>
    <x v="1"/>
    <n v="27735"/>
    <n v="0"/>
    <s v="Unnamed ProjectEntity 3.NumberInNumber InEntity"/>
    <n v="10"/>
    <n v="27753.7"/>
    <n v="25.447331228768697"/>
    <n v="0.95"/>
    <n v="18.203924133022646"/>
    <n v="27724"/>
    <n v="27792"/>
  </r>
  <r>
    <x v="0"/>
    <s v="2025-12-30 22:09:11"/>
    <n v="10"/>
    <x v="9"/>
    <x v="3"/>
    <x v="1"/>
    <n v="19614"/>
    <n v="0"/>
    <s v="Unnamed ProjectEntity 3.NumberOutNumber OutEntity"/>
    <n v="10"/>
    <n v="19635.599999999999"/>
    <n v="15.086417732516889"/>
    <n v="0.95"/>
    <n v="10.792173111314252"/>
    <n v="19614"/>
    <n v="19662"/>
  </r>
  <r>
    <x v="0"/>
    <s v="2025-12-30 22:09:11"/>
    <n v="10"/>
    <x v="10"/>
    <x v="0"/>
    <x v="0"/>
    <n v="13087"/>
    <n v="0"/>
    <s v="Unnamed ProjectKanban L1S1.NumberSeizedTotal Number SeizedResource"/>
    <n v="10"/>
    <n v="13103.5"/>
    <n v="11.443095929181249"/>
    <n v="0.95"/>
    <n v="8.1858976986246059"/>
    <n v="13087"/>
    <n v="13120"/>
  </r>
  <r>
    <x v="0"/>
    <s v="2025-12-30 22:09:11"/>
    <n v="10"/>
    <x v="11"/>
    <x v="1"/>
    <x v="0"/>
    <n v="0.550753639344426"/>
    <n v="0"/>
    <s v="Unnamed ProjectKanban L1S1.ScheduledUtilizationScheduled UtilizationResource"/>
    <n v="10"/>
    <n v="0.48160620907873086"/>
    <n v="8.6686321722355061E-2"/>
    <n v="0.95"/>
    <n v="6.2011658897281531E-2"/>
    <n v="0.292184201252493"/>
    <n v="0.57167989674475905"/>
  </r>
  <r>
    <x v="0"/>
    <s v="2025-12-30 22:09:11"/>
    <n v="10"/>
    <x v="12"/>
    <x v="0"/>
    <x v="0"/>
    <n v="13083"/>
    <n v="0"/>
    <s v="Unnamed ProjectKanban L1S2.NumberSeizedTotal Number SeizedResource"/>
    <n v="10"/>
    <n v="13100.1"/>
    <n v="11.46443776786866"/>
    <n v="0.95"/>
    <n v="8.2011647303157567"/>
    <n v="13083"/>
    <n v="13118"/>
  </r>
  <r>
    <x v="0"/>
    <s v="2025-12-30 22:09:11"/>
    <n v="10"/>
    <x v="13"/>
    <x v="1"/>
    <x v="0"/>
    <n v="0.29666542624047798"/>
    <n v="0"/>
    <s v="Unnamed ProjectKanban L1S2.ScheduledUtilizationScheduled UtilizationResource"/>
    <n v="10"/>
    <n v="0.25269289312392168"/>
    <n v="4.921401008308305E-2"/>
    <n v="0.95"/>
    <n v="3.5205581983443382E-2"/>
    <n v="0.20500025225945601"/>
    <n v="0.33570777662711399"/>
  </r>
  <r>
    <x v="0"/>
    <s v="2025-12-30 22:09:11"/>
    <n v="10"/>
    <x v="14"/>
    <x v="0"/>
    <x v="0"/>
    <n v="13082"/>
    <n v="0"/>
    <s v="Unnamed ProjectKanban L1S3.NumberSeizedTotal Number SeizedResource"/>
    <n v="10"/>
    <n v="13099.9"/>
    <n v="11.761046816598522"/>
    <n v="0.95"/>
    <n v="8.4133460616980535"/>
    <n v="13082"/>
    <n v="13118"/>
  </r>
  <r>
    <x v="0"/>
    <s v="2025-12-30 22:09:11"/>
    <n v="10"/>
    <x v="15"/>
    <x v="1"/>
    <x v="0"/>
    <n v="0.15134711042770399"/>
    <n v="0"/>
    <s v="Unnamed ProjectKanban L1S3.ScheduledUtilizationScheduled UtilizationResource"/>
    <n v="10"/>
    <n v="0.151561654865698"/>
    <n v="1.2198256688170919E-4"/>
    <n v="0.95"/>
    <n v="8.7261071626859165E-5"/>
    <n v="0.15134711042770399"/>
    <n v="0.15172806047441101"/>
  </r>
  <r>
    <x v="0"/>
    <s v="2025-12-30 22:09:11"/>
    <n v="10"/>
    <x v="16"/>
    <x v="0"/>
    <x v="0"/>
    <n v="8234"/>
    <n v="0"/>
    <s v="Unnamed ProjectKanban L2S1.NumberSeizedTotal Number SeizedResource"/>
    <n v="10"/>
    <n v="8235"/>
    <n v="6.5659052011974035"/>
    <n v="0.95"/>
    <n v="4.6969656296252689"/>
    <n v="8223"/>
    <n v="8245"/>
  </r>
  <r>
    <x v="0"/>
    <s v="2025-12-30 22:09:11"/>
    <n v="10"/>
    <x v="17"/>
    <x v="1"/>
    <x v="0"/>
    <n v="0.76800145485650095"/>
    <n v="0"/>
    <s v="Unnamed ProjectKanban L2S1.ScheduledUtilizationScheduled UtilizationResource"/>
    <n v="10"/>
    <n v="0.84558522180863771"/>
    <n v="0.11694354024491282"/>
    <n v="0.95"/>
    <n v="8.3656369122856733E-2"/>
    <n v="0.625269422960122"/>
    <n v="0.95234896906597499"/>
  </r>
  <r>
    <x v="0"/>
    <s v="2025-12-30 22:09:11"/>
    <n v="10"/>
    <x v="18"/>
    <x v="0"/>
    <x v="0"/>
    <n v="8233"/>
    <n v="0"/>
    <s v="Unnamed ProjectKanban L2S2.NumberSeizedTotal Number SeizedResource"/>
    <n v="10"/>
    <n v="8233.5"/>
    <n v="6.5021364010437201"/>
    <n v="0.95"/>
    <n v="4.6513481780498687"/>
    <n v="8221"/>
    <n v="8243"/>
  </r>
  <r>
    <x v="0"/>
    <s v="2025-12-30 22:09:11"/>
    <n v="10"/>
    <x v="19"/>
    <x v="1"/>
    <x v="0"/>
    <n v="0.87728997349342697"/>
    <n v="0"/>
    <s v="Unnamed ProjectKanban L2S2.ScheduledUtilizationScheduled UtilizationResource"/>
    <n v="10"/>
    <n v="0.74077431571180286"/>
    <n v="6.1280007141721847E-2"/>
    <n v="0.95"/>
    <n v="4.3837076306762375E-2"/>
    <n v="0.67060354368791897"/>
    <n v="0.87728997349342697"/>
  </r>
  <r>
    <x v="0"/>
    <s v="2025-12-30 22:09:11"/>
    <n v="10"/>
    <x v="20"/>
    <x v="0"/>
    <x v="0"/>
    <n v="8229"/>
    <n v="0"/>
    <s v="Unnamed ProjectKanban L2S3.NumberSeizedTotal Number SeizedResource"/>
    <n v="10"/>
    <n v="8231.5"/>
    <n v="6.3464775882199236"/>
    <n v="0.95"/>
    <n v="4.5399965713211703"/>
    <n v="8220"/>
    <n v="8241"/>
  </r>
  <r>
    <x v="0"/>
    <s v="2025-12-30 22:09:11"/>
    <n v="10"/>
    <x v="21"/>
    <x v="1"/>
    <x v="0"/>
    <n v="0.36555656561218303"/>
    <n v="0"/>
    <s v="Unnamed ProjectKanban L2S3.ScheduledUtilizationScheduled UtilizationResource"/>
    <n v="10"/>
    <n v="0.52391445815006699"/>
    <n v="7.0460308415606909E-2"/>
    <n v="0.95"/>
    <n v="5.0404268221927347E-2"/>
    <n v="0.36555656561218303"/>
    <n v="0.59886206518967"/>
  </r>
  <r>
    <x v="0"/>
    <s v="2025-12-30 22:09:11"/>
    <n v="10"/>
    <x v="22"/>
    <x v="0"/>
    <x v="0"/>
    <n v="8227"/>
    <n v="0"/>
    <s v="Unnamed ProjectKanban L2S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10"/>
    <x v="23"/>
    <x v="1"/>
    <x v="0"/>
    <n v="0.149575791309499"/>
    <n v="0"/>
    <s v="Unnamed ProjectKanban L2S4.ScheduledUtilizationScheduled UtilizationResource"/>
    <n v="10"/>
    <n v="0.14955853655775292"/>
    <n v="1.8487754554887928E-4"/>
    <n v="0.95"/>
    <n v="1.3225342896729691E-4"/>
    <n v="0.14921189842985499"/>
    <n v="0.14985050053976801"/>
  </r>
  <r>
    <x v="0"/>
    <s v="2025-12-30 22:09:11"/>
    <n v="10"/>
    <x v="24"/>
    <x v="0"/>
    <x v="0"/>
    <n v="18380"/>
    <n v="0"/>
    <s v="Unnamed ProjectKanban L3S1.NumberSeizedTotal Number SeizedResource"/>
    <n v="10"/>
    <n v="18392"/>
    <n v="12.884098726725126"/>
    <n v="0.95"/>
    <n v="9.2167290013706662"/>
    <n v="18376"/>
    <n v="18407"/>
  </r>
  <r>
    <x v="0"/>
    <s v="2025-12-30 22:09:11"/>
    <n v="10"/>
    <x v="25"/>
    <x v="1"/>
    <x v="0"/>
    <n v="0.80781939617605003"/>
    <n v="0"/>
    <s v="Unnamed ProjectKanban L3S1.ScheduledUtilizationScheduled UtilizationResource"/>
    <n v="10"/>
    <n v="0.78490250681152463"/>
    <n v="0.11345978752761485"/>
    <n v="0.95"/>
    <n v="8.1164242557843561E-2"/>
    <n v="0.58338388917401596"/>
    <n v="0.90111632059041802"/>
  </r>
  <r>
    <x v="0"/>
    <s v="2025-12-30 22:09:11"/>
    <n v="10"/>
    <x v="26"/>
    <x v="0"/>
    <x v="0"/>
    <n v="18377"/>
    <n v="0"/>
    <s v="Unnamed ProjectKanban L3S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10"/>
    <x v="27"/>
    <x v="1"/>
    <x v="0"/>
    <n v="0.15879494389172899"/>
    <n v="0"/>
    <s v="Unnamed ProjectKanban L3S2.ScheduledUtilizationScheduled UtilizationResource"/>
    <n v="10"/>
    <n v="0.15879210791146151"/>
    <n v="8.8786593843692651E-6"/>
    <n v="0.95"/>
    <n v="6.3514103063698042E-6"/>
    <n v="0.15877821852350199"/>
    <n v="0.15880443244107401"/>
  </r>
  <r>
    <x v="0"/>
    <s v="2025-12-30 22:09:11"/>
    <n v="10"/>
    <x v="28"/>
    <x v="0"/>
    <x v="0"/>
    <n v="13087"/>
    <n v="0"/>
    <s v="Unnamed ProjectL1 Station1.NumberSeizedTotal Number SeizedResource"/>
    <n v="10"/>
    <n v="13103.5"/>
    <n v="11.443095929181249"/>
    <n v="0.95"/>
    <n v="8.1858976986246059"/>
    <n v="13087"/>
    <n v="13120"/>
  </r>
  <r>
    <x v="0"/>
    <s v="2025-12-30 22:09:11"/>
    <n v="10"/>
    <x v="29"/>
    <x v="1"/>
    <x v="0"/>
    <n v="1.00047098494938"/>
    <n v="0"/>
    <s v="Unnamed ProjectL1 Station1.ScheduledUtilizationScheduled UtilizationResource"/>
    <n v="10"/>
    <n v="1.0004814685732331"/>
    <n v="7.4280555176725285E-5"/>
    <n v="0.95"/>
    <n v="5.3137108125005439E-5"/>
    <n v="1.00039897320567"/>
    <n v="1.00059414734778"/>
  </r>
  <r>
    <x v="0"/>
    <s v="2025-12-30 22:09:11"/>
    <n v="10"/>
    <x v="30"/>
    <x v="0"/>
    <x v="0"/>
    <n v="13083"/>
    <n v="0"/>
    <s v="Unnamed ProjectL1 Station2.NumberSeizedTotal Number SeizedResource"/>
    <n v="10"/>
    <n v="13100.1"/>
    <n v="11.46443776786866"/>
    <n v="0.95"/>
    <n v="8.2011647303157567"/>
    <n v="13083"/>
    <n v="13118"/>
  </r>
  <r>
    <x v="0"/>
    <s v="2025-12-30 22:09:11"/>
    <n v="10"/>
    <x v="31"/>
    <x v="1"/>
    <x v="0"/>
    <n v="0.72718315208869699"/>
    <n v="0"/>
    <s v="Unnamed ProjectL1 Station2.ScheduledUtilizationScheduled UtilizationResource"/>
    <n v="10"/>
    <n v="0.7279059511079462"/>
    <n v="7.0848304180243249E-4"/>
    <n v="0.95"/>
    <n v="5.0681823671647316E-4"/>
    <n v="0.72665767143328297"/>
    <n v="0.72896261310967603"/>
  </r>
  <r>
    <x v="0"/>
    <s v="2025-12-30 22:09:11"/>
    <n v="10"/>
    <x v="32"/>
    <x v="0"/>
    <x v="0"/>
    <n v="13082"/>
    <n v="0"/>
    <s v="Unnamed ProjectL1 Station3.NumberSeizedTotal Number SeizedResource"/>
    <n v="10"/>
    <n v="13099.9"/>
    <n v="11.761046816598522"/>
    <n v="0.95"/>
    <n v="8.4133460616980535"/>
    <n v="13082"/>
    <n v="13118"/>
  </r>
  <r>
    <x v="0"/>
    <s v="2025-12-30 22:09:11"/>
    <n v="10"/>
    <x v="33"/>
    <x v="1"/>
    <x v="0"/>
    <n v="0.95348679569453398"/>
    <n v="0"/>
    <s v="Unnamed ProjectL1 Station3.ScheduledUtilizationScheduled UtilizationResource"/>
    <n v="10"/>
    <n v="0.95483842565389732"/>
    <n v="7.6849017135544289E-4"/>
    <n v="0.95"/>
    <n v="5.497447512496955E-4"/>
    <n v="0.95348679569453398"/>
    <n v="0.95588678098879198"/>
  </r>
  <r>
    <x v="0"/>
    <s v="2025-12-30 22:09:11"/>
    <n v="10"/>
    <x v="34"/>
    <x v="0"/>
    <x v="0"/>
    <n v="8234"/>
    <n v="0"/>
    <s v="Unnamed ProjectL2 Station1.NumberSeizedTotal Number SeizedResource"/>
    <n v="10"/>
    <n v="8235"/>
    <n v="6.5659052011974035"/>
    <n v="0.95"/>
    <n v="4.6969656296252689"/>
    <n v="8223"/>
    <n v="8245"/>
  </r>
  <r>
    <x v="0"/>
    <s v="2025-12-30 22:09:11"/>
    <n v="10"/>
    <x v="35"/>
    <x v="1"/>
    <x v="0"/>
    <n v="0.48565433932069701"/>
    <n v="0"/>
    <s v="Unnamed ProjectL2 Station1.ScheduledUtilizationScheduled UtilizationResource"/>
    <n v="10"/>
    <n v="0.48622459141633045"/>
    <n v="7.2585329819825151E-4"/>
    <n v="0.95"/>
    <n v="5.1924416958770345E-4"/>
    <n v="0.48503601840289501"/>
    <n v="0.48724920721519499"/>
  </r>
  <r>
    <x v="0"/>
    <s v="2025-12-30 22:09:11"/>
    <n v="10"/>
    <x v="36"/>
    <x v="0"/>
    <x v="0"/>
    <n v="8233"/>
    <n v="0"/>
    <s v="Unnamed ProjectL2 Station2.NumberSeizedTotal Number SeizedResource"/>
    <n v="10"/>
    <n v="8233.5"/>
    <n v="6.5021364010437201"/>
    <n v="0.95"/>
    <n v="4.6513481780498687"/>
    <n v="8221"/>
    <n v="8243"/>
  </r>
  <r>
    <x v="0"/>
    <s v="2025-12-30 22:09:11"/>
    <n v="10"/>
    <x v="37"/>
    <x v="1"/>
    <x v="0"/>
    <n v="0.57115702440598504"/>
    <n v="0"/>
    <s v="Unnamed ProjectL2 Station2.ScheduledUtilizationScheduled UtilizationResource"/>
    <n v="10"/>
    <n v="0.57195959594019841"/>
    <n v="5.0695895005827636E-4"/>
    <n v="0.95"/>
    <n v="3.6265658596782525E-4"/>
    <n v="0.57115702440598504"/>
    <n v="0.57294957522841605"/>
  </r>
  <r>
    <x v="0"/>
    <s v="2025-12-30 22:09:11"/>
    <n v="10"/>
    <x v="38"/>
    <x v="0"/>
    <x v="0"/>
    <n v="8229"/>
    <n v="0"/>
    <s v="Unnamed ProjectL2 Station3.NumberSeizedTotal Number SeizedResource"/>
    <n v="10"/>
    <n v="8231.5"/>
    <n v="6.3464775882199236"/>
    <n v="0.95"/>
    <n v="4.5399965713211703"/>
    <n v="8220"/>
    <n v="8241"/>
  </r>
  <r>
    <x v="0"/>
    <s v="2025-12-30 22:09:11"/>
    <n v="10"/>
    <x v="39"/>
    <x v="1"/>
    <x v="0"/>
    <n v="1.0003993479336799"/>
    <n v="0"/>
    <s v="Unnamed ProjectL2 Station3.ScheduledUtilizationScheduled UtilizationResource"/>
    <n v="10"/>
    <n v="1.0004557942559711"/>
    <n v="1.6760007580081014E-4"/>
    <n v="0.95"/>
    <n v="1.1989387166531641E-4"/>
    <n v="1.0000655989645"/>
    <n v="1.00068312738094"/>
  </r>
  <r>
    <x v="0"/>
    <s v="2025-12-30 22:09:11"/>
    <n v="10"/>
    <x v="40"/>
    <x v="0"/>
    <x v="0"/>
    <n v="8227"/>
    <n v="0"/>
    <s v="Unnamed ProjectL2 Station4.NumberSeizedTotal Number SeizedResource"/>
    <n v="10"/>
    <n v="8227.7000000000007"/>
    <n v="6.2902040242480748"/>
    <n v="0.95"/>
    <n v="4.4997408887103267"/>
    <n v="8216"/>
    <n v="8237"/>
  </r>
  <r>
    <x v="0"/>
    <s v="2025-12-30 22:09:11"/>
    <n v="10"/>
    <x v="41"/>
    <x v="1"/>
    <x v="0"/>
    <n v="0.62821832349989604"/>
    <n v="0"/>
    <s v="Unnamed ProjectL2 Station4.ScheduledUtilizationScheduled UtilizationResource"/>
    <n v="10"/>
    <n v="0.62814585354256225"/>
    <n v="7.7648569130547428E-4"/>
    <n v="0.95"/>
    <n v="5.5546440166277669E-4"/>
    <n v="0.62668997340539101"/>
    <n v="0.629372102267024"/>
  </r>
  <r>
    <x v="0"/>
    <s v="2025-12-30 22:09:11"/>
    <n v="10"/>
    <x v="42"/>
    <x v="0"/>
    <x v="0"/>
    <n v="18380"/>
    <n v="0"/>
    <s v="Unnamed ProjectL3 Station1.NumberSeizedTotal Number SeizedResource"/>
    <n v="10"/>
    <n v="18392"/>
    <n v="12.884098726725126"/>
    <n v="0.95"/>
    <n v="9.2167290013706662"/>
    <n v="18376"/>
    <n v="18407"/>
  </r>
  <r>
    <x v="0"/>
    <s v="2025-12-30 22:09:11"/>
    <n v="10"/>
    <x v="43"/>
    <x v="1"/>
    <x v="0"/>
    <n v="0.95655010461043799"/>
    <n v="0"/>
    <s v="Unnamed ProjectL3 Station1.ScheduledUtilizationScheduled UtilizationResource"/>
    <n v="10"/>
    <n v="0.9578548406389944"/>
    <n v="7.0772834598480485E-4"/>
    <n v="0.95"/>
    <n v="5.0627835985142609E-4"/>
    <n v="0.95655010461043799"/>
    <n v="0.95869742508961697"/>
  </r>
  <r>
    <x v="0"/>
    <s v="2025-12-30 22:09:11"/>
    <n v="10"/>
    <x v="44"/>
    <x v="0"/>
    <x v="0"/>
    <n v="18377"/>
    <n v="0"/>
    <s v="Unnamed ProjectL3 Station2.NumberSeizedTotal Number SeizedResource"/>
    <n v="10"/>
    <n v="18389.400000000001"/>
    <n v="12.103259432437566"/>
    <n v="0.95"/>
    <n v="8.6581502197487996"/>
    <n v="18376"/>
    <n v="18404"/>
  </r>
  <r>
    <x v="0"/>
    <s v="2025-12-30 22:09:11"/>
    <n v="10"/>
    <x v="45"/>
    <x v="1"/>
    <x v="0"/>
    <n v="1.00040814651789"/>
    <n v="0"/>
    <s v="Unnamed ProjectL3 Station2.ScheduledUtilizationScheduled UtilizationResource"/>
    <n v="10"/>
    <n v="1.0003902798422071"/>
    <n v="5.593555412291058E-5"/>
    <n v="0.95"/>
    <n v="4.0013884931119971E-5"/>
    <n v="1.0003027766980599"/>
    <n v="1.00046792437877"/>
  </r>
  <r>
    <x v="0"/>
    <s v="2025-12-30 22:09:11"/>
    <n v="10"/>
    <x v="46"/>
    <x v="4"/>
    <x v="2"/>
    <n v="157105.13790975901"/>
    <n v="0"/>
    <s v="Unnamed ProjectProcess 1 Accum VA TimeAccum VA TimeProcess"/>
    <n v="10"/>
    <n v="157133.73428655442"/>
    <n v="123.15330812839177"/>
    <n v="0.95"/>
    <n v="88.098569462778244"/>
    <n v="156930.294881654"/>
    <n v="157303.990839153"/>
  </r>
  <r>
    <x v="0"/>
    <s v="2025-12-30 22:09:11"/>
    <n v="10"/>
    <x v="47"/>
    <x v="2"/>
    <x v="2"/>
    <n v="13087"/>
    <n v="0"/>
    <s v="Unnamed ProjectProcess 1 Number InNumber InProcess"/>
    <n v="10"/>
    <n v="13103.5"/>
    <n v="11.443095929181249"/>
    <n v="0.95"/>
    <n v="8.1858976986246059"/>
    <n v="13087"/>
    <n v="13120"/>
  </r>
  <r>
    <x v="0"/>
    <s v="2025-12-30 22:09:11"/>
    <n v="10"/>
    <x v="48"/>
    <x v="3"/>
    <x v="2"/>
    <n v="13087"/>
    <n v="0"/>
    <s v="Unnamed ProjectProcess 1 Number OutNumber OutProcess"/>
    <n v="10"/>
    <n v="13103.5"/>
    <n v="11.443095929181249"/>
    <n v="0.95"/>
    <n v="8.1858976986246059"/>
    <n v="13087"/>
    <n v="13120"/>
  </r>
  <r>
    <x v="0"/>
    <s v="2025-12-30 22:09:11"/>
    <n v="10"/>
    <x v="49"/>
    <x v="4"/>
    <x v="2"/>
    <n v="21880.2668082411"/>
    <n v="0"/>
    <s v="Unnamed ProjectProcess 14 Accum VA TimeAccum VA TimeProcess"/>
    <n v="10"/>
    <n v="21817.897664333104"/>
    <n v="40.377465047897729"/>
    <n v="0.95"/>
    <n v="28.884298467602775"/>
    <n v="21737.561928445"/>
    <n v="21880.2668082411"/>
  </r>
  <r>
    <x v="0"/>
    <s v="2025-12-30 22:09:11"/>
    <n v="10"/>
    <x v="50"/>
    <x v="2"/>
    <x v="2"/>
    <n v="6540"/>
    <n v="0"/>
    <s v="Unnamed ProjectProcess 14 Number InNumber InProcess"/>
    <n v="10"/>
    <n v="6547.7"/>
    <n v="5.735852159879995"/>
    <n v="0.95"/>
    <n v="4.1031814541969078"/>
    <n v="6540"/>
    <n v="6557"/>
  </r>
  <r>
    <x v="0"/>
    <s v="2025-12-30 22:09:11"/>
    <n v="10"/>
    <x v="51"/>
    <x v="3"/>
    <x v="2"/>
    <n v="6539"/>
    <n v="0"/>
    <s v="Unnamed ProjectProcess 14 Number OutNumber OutProcess"/>
    <n v="10"/>
    <n v="6547.3"/>
    <n v="5.7164480035925962"/>
    <n v="0.95"/>
    <n v="4.0893005569921828"/>
    <n v="6539"/>
    <n v="6556"/>
  </r>
  <r>
    <x v="0"/>
    <s v="2025-12-30 22:09:11"/>
    <n v="10"/>
    <x v="52"/>
    <x v="4"/>
    <x v="2"/>
    <n v="78677.962556306797"/>
    <n v="0"/>
    <s v="Unnamed ProjectProcess 2 Accum VA TimeAccum VA TimeProcess"/>
    <n v="10"/>
    <n v="78656.282482549519"/>
    <n v="139.39621135358072"/>
    <n v="0.95"/>
    <n v="99.718042457930338"/>
    <n v="78434.750255210005"/>
    <n v="78879.0340749358"/>
  </r>
  <r>
    <x v="0"/>
    <s v="2025-12-30 22:09:11"/>
    <n v="10"/>
    <x v="53"/>
    <x v="2"/>
    <x v="2"/>
    <n v="13083"/>
    <n v="0"/>
    <s v="Unnamed ProjectProcess 2 Number InNumber InProcess"/>
    <n v="10"/>
    <n v="13100.1"/>
    <n v="11.46443776786866"/>
    <n v="0.95"/>
    <n v="8.2011647303157567"/>
    <n v="13083"/>
    <n v="13118"/>
  </r>
  <r>
    <x v="0"/>
    <s v="2025-12-30 22:09:11"/>
    <n v="10"/>
    <x v="54"/>
    <x v="3"/>
    <x v="2"/>
    <n v="13083"/>
    <n v="0"/>
    <s v="Unnamed ProjectProcess 2 Number OutNumber OutProcess"/>
    <n v="10"/>
    <n v="13100.1"/>
    <n v="11.46443776786866"/>
    <n v="0.95"/>
    <n v="8.2011647303157567"/>
    <n v="13083"/>
    <n v="13118"/>
  </r>
  <r>
    <x v="0"/>
    <s v="2025-12-30 22:09:11"/>
    <n v="10"/>
    <x v="55"/>
    <x v="4"/>
    <x v="2"/>
    <n v="143896.696561805"/>
    <n v="0"/>
    <s v="Unnamed ProjectProcess 3 Accum VA TimeAccum VA TimeProcess"/>
    <n v="10"/>
    <n v="144088.31566564049"/>
    <n v="147.41980686592098"/>
    <n v="0.95"/>
    <n v="105.45777691839817"/>
    <n v="143896.696561805"/>
    <n v="144298.22507098701"/>
  </r>
  <r>
    <x v="0"/>
    <s v="2025-12-30 22:09:11"/>
    <n v="10"/>
    <x v="56"/>
    <x v="2"/>
    <x v="2"/>
    <n v="13082"/>
    <n v="0"/>
    <s v="Unnamed ProjectProcess 3 Number InNumber InProcess"/>
    <n v="10"/>
    <n v="13099.9"/>
    <n v="11.761046816598522"/>
    <n v="0.95"/>
    <n v="8.4133460616980535"/>
    <n v="13082"/>
    <n v="13118"/>
  </r>
  <r>
    <x v="0"/>
    <s v="2025-12-30 22:09:11"/>
    <n v="10"/>
    <x v="57"/>
    <x v="3"/>
    <x v="2"/>
    <n v="13082"/>
    <n v="0"/>
    <s v="Unnamed ProjectProcess 3 Number OutNumber OutProcess"/>
    <n v="10"/>
    <n v="13099.9"/>
    <n v="11.761046816598522"/>
    <n v="0.95"/>
    <n v="8.4133460616980535"/>
    <n v="13082"/>
    <n v="13118"/>
  </r>
  <r>
    <x v="0"/>
    <s v="2025-12-30 22:09:11"/>
    <n v="10"/>
    <x v="58"/>
    <x v="4"/>
    <x v="2"/>
    <n v="57665.733595564699"/>
    <n v="0"/>
    <s v="Unnamed ProjectProcess 4 Accum VA TimeAccum VA TimeProcess"/>
    <n v="10"/>
    <n v="57657.842851106019"/>
    <n v="66.206976538127805"/>
    <n v="0.95"/>
    <n v="47.361617889987492"/>
    <n v="57569.6670912306"/>
    <n v="57778.887305354197"/>
  </r>
  <r>
    <x v="0"/>
    <s v="2025-12-30 22:09:11"/>
    <n v="10"/>
    <x v="59"/>
    <x v="2"/>
    <x v="2"/>
    <n v="8234"/>
    <n v="0"/>
    <s v="Unnamed ProjectProcess 4 Number InNumber InProcess"/>
    <n v="10"/>
    <n v="8235"/>
    <n v="6.5659052011974035"/>
    <n v="0.95"/>
    <n v="4.6969656296252689"/>
    <n v="8223"/>
    <n v="8245"/>
  </r>
  <r>
    <x v="0"/>
    <s v="2025-12-30 22:09:11"/>
    <n v="10"/>
    <x v="60"/>
    <x v="3"/>
    <x v="2"/>
    <n v="8234"/>
    <n v="0"/>
    <s v="Unnamed ProjectProcess 4 Number OutNumber OutProcess"/>
    <n v="10"/>
    <n v="8235"/>
    <n v="6.5659052011974035"/>
    <n v="0.95"/>
    <n v="4.6969656296252689"/>
    <n v="8223"/>
    <n v="8245"/>
  </r>
  <r>
    <x v="0"/>
    <s v="2025-12-30 22:09:11"/>
    <n v="10"/>
    <x v="61"/>
    <x v="4"/>
    <x v="2"/>
    <n v="82315.576478386502"/>
    <n v="0"/>
    <s v="Unnamed ProjectProcess 5 Accum VA TimeAccum VA TimeProcess"/>
    <n v="10"/>
    <n v="82354.925585571807"/>
    <n v="74.759806822996126"/>
    <n v="0.95"/>
    <n v="53.479944099863097"/>
    <n v="82287.012858407106"/>
    <n v="82509.9089339692"/>
  </r>
  <r>
    <x v="0"/>
    <s v="2025-12-30 22:09:11"/>
    <n v="10"/>
    <x v="62"/>
    <x v="2"/>
    <x v="2"/>
    <n v="8233"/>
    <n v="0"/>
    <s v="Unnamed ProjectProcess 5 Number InNumber InProcess"/>
    <n v="10"/>
    <n v="8233.5"/>
    <n v="6.5021364010437201"/>
    <n v="0.95"/>
    <n v="4.6513481780498687"/>
    <n v="8221"/>
    <n v="8243"/>
  </r>
  <r>
    <x v="0"/>
    <s v="2025-12-30 22:09:11"/>
    <n v="10"/>
    <x v="63"/>
    <x v="3"/>
    <x v="2"/>
    <n v="8233"/>
    <n v="0"/>
    <s v="Unnamed ProjectProcess 5 Number OutNumber OutProcess"/>
    <n v="10"/>
    <n v="8233.5"/>
    <n v="6.5021364010437201"/>
    <n v="0.95"/>
    <n v="4.6513481780498687"/>
    <n v="8221"/>
    <n v="8243"/>
  </r>
  <r>
    <x v="0"/>
    <s v="2025-12-30 22:09:11"/>
    <n v="10"/>
    <x v="64"/>
    <x v="4"/>
    <x v="2"/>
    <n v="205888.07578343301"/>
    <n v="0"/>
    <s v="Unnamed ProjectProcess 6 Accum VA TimeAccum VA TimeProcess"/>
    <n v="10"/>
    <n v="205782.3721339902"/>
    <n v="135.17903819323379"/>
    <n v="0.95"/>
    <n v="96.701258514002035"/>
    <n v="205554.00796082799"/>
    <n v="205962.665291818"/>
  </r>
  <r>
    <x v="0"/>
    <s v="2025-12-30 22:09:11"/>
    <n v="10"/>
    <x v="65"/>
    <x v="2"/>
    <x v="2"/>
    <n v="8229"/>
    <n v="0"/>
    <s v="Unnamed ProjectProcess 6 Number InNumber InProcess"/>
    <n v="10"/>
    <n v="8231.5"/>
    <n v="6.3464775882199236"/>
    <n v="0.95"/>
    <n v="4.5399965713211703"/>
    <n v="8220"/>
    <n v="8241"/>
  </r>
  <r>
    <x v="0"/>
    <s v="2025-12-30 22:09:11"/>
    <n v="10"/>
    <x v="66"/>
    <x v="3"/>
    <x v="2"/>
    <n v="8229"/>
    <n v="0"/>
    <s v="Unnamed ProjectProcess 6 Number OutNumber OutProcess"/>
    <n v="10"/>
    <n v="8231.5"/>
    <n v="6.3464775882199236"/>
    <n v="0.95"/>
    <n v="4.5399965713211703"/>
    <n v="8220"/>
    <n v="8241"/>
  </r>
  <r>
    <x v="0"/>
    <s v="2025-12-30 22:09:11"/>
    <n v="10"/>
    <x v="67"/>
    <x v="4"/>
    <x v="2"/>
    <n v="98807.261865613298"/>
    <n v="0"/>
    <s v="Unnamed ProjectProcess 7 Accum VA TimeAccum VA TimeProcess"/>
    <n v="10"/>
    <n v="98625.180720296266"/>
    <n v="166.97558012409817"/>
    <n v="0.95"/>
    <n v="119.44713437023168"/>
    <n v="98434.330991768598"/>
    <n v="98993.883345143302"/>
  </r>
  <r>
    <x v="0"/>
    <s v="2025-12-30 22:09:11"/>
    <n v="10"/>
    <x v="68"/>
    <x v="2"/>
    <x v="2"/>
    <n v="8227"/>
    <n v="0"/>
    <s v="Unnamed ProjectProcess 7 Number InNumber InProcess"/>
    <n v="10"/>
    <n v="8227.7000000000007"/>
    <n v="6.2902040242480748"/>
    <n v="0.95"/>
    <n v="4.4997408887103267"/>
    <n v="8216"/>
    <n v="8237"/>
  </r>
  <r>
    <x v="0"/>
    <s v="2025-12-30 22:09:11"/>
    <n v="10"/>
    <x v="69"/>
    <x v="3"/>
    <x v="2"/>
    <n v="8227"/>
    <n v="0"/>
    <s v="Unnamed ProjectProcess 7 Number OutNumber OutProcess"/>
    <n v="10"/>
    <n v="8227.7000000000007"/>
    <n v="6.2902040242480748"/>
    <n v="0.95"/>
    <n v="4.4997408887103267"/>
    <n v="8216"/>
    <n v="8237"/>
  </r>
  <r>
    <x v="0"/>
    <s v="2025-12-30 22:09:11"/>
    <n v="10"/>
    <x v="70"/>
    <x v="4"/>
    <x v="2"/>
    <n v="91632.276670136605"/>
    <n v="0"/>
    <s v="Unnamed ProjectProcess 8 Accum VA TimeAccum VA TimeProcess"/>
    <n v="10"/>
    <n v="91917.034029149756"/>
    <n v="167.33037075092571"/>
    <n v="0.95"/>
    <n v="119.70093629530641"/>
    <n v="91632.276670136605"/>
    <n v="92162.594279262106"/>
  </r>
  <r>
    <x v="0"/>
    <s v="2025-12-30 22:09:11"/>
    <n v="10"/>
    <x v="71"/>
    <x v="2"/>
    <x v="2"/>
    <n v="18380"/>
    <n v="0"/>
    <s v="Unnamed ProjectProcess 8 Number InNumber InProcess"/>
    <n v="10"/>
    <n v="18392"/>
    <n v="12.884098726725126"/>
    <n v="0.95"/>
    <n v="9.2167290013706662"/>
    <n v="18376"/>
    <n v="18407"/>
  </r>
  <r>
    <x v="0"/>
    <s v="2025-12-30 22:09:11"/>
    <n v="10"/>
    <x v="72"/>
    <x v="3"/>
    <x v="2"/>
    <n v="18380"/>
    <n v="0"/>
    <s v="Unnamed ProjectProcess 8 Number OutNumber OutProcess"/>
    <n v="10"/>
    <n v="18392"/>
    <n v="12.884098726725126"/>
    <n v="0.95"/>
    <n v="9.2167290013706662"/>
    <n v="18376"/>
    <n v="18407"/>
  </r>
  <r>
    <x v="0"/>
    <s v="2025-12-30 22:09:11"/>
    <n v="10"/>
    <x v="73"/>
    <x v="4"/>
    <x v="2"/>
    <n v="104039.320720244"/>
    <n v="0"/>
    <s v="Unnamed ProjectProcess 9 Accum VA TimeAccum VA TimeProcess"/>
    <n v="10"/>
    <n v="104198.44406523299"/>
    <n v="99.045608472383734"/>
    <n v="0.95"/>
    <n v="70.852960026786278"/>
    <n v="104039.320720244"/>
    <n v="104335.096217932"/>
  </r>
  <r>
    <x v="0"/>
    <s v="2025-12-30 22:09:11"/>
    <n v="10"/>
    <x v="74"/>
    <x v="2"/>
    <x v="2"/>
    <n v="18377"/>
    <n v="0"/>
    <s v="Unnamed ProjectProcess 9 Number InNumber InProcess"/>
    <n v="10"/>
    <n v="18389.400000000001"/>
    <n v="12.103259432437566"/>
    <n v="0.95"/>
    <n v="8.6581502197487996"/>
    <n v="18376"/>
    <n v="18404"/>
  </r>
  <r>
    <x v="0"/>
    <s v="2025-12-30 22:09:11"/>
    <n v="10"/>
    <x v="75"/>
    <x v="3"/>
    <x v="2"/>
    <n v="18377"/>
    <n v="0"/>
    <s v="Unnamed ProjectProcess 9 Number OutNumber OutProcess"/>
    <n v="10"/>
    <n v="18389.400000000001"/>
    <n v="12.103259432437566"/>
    <n v="0.95"/>
    <n v="8.6581502197487996"/>
    <n v="18376"/>
    <n v="18404"/>
  </r>
  <r>
    <x v="0"/>
    <s v="2025-12-30 22:09:11"/>
    <n v="10"/>
    <x v="76"/>
    <x v="0"/>
    <x v="0"/>
    <n v="0"/>
    <n v="0"/>
    <s v="Unnamed ProjectSales Department.NumberSeizedTotal Number SeizedResource"/>
    <n v="10"/>
    <n v="0"/>
    <n v="0"/>
    <n v="0.95"/>
    <n v="0"/>
    <n v="0"/>
    <n v="0"/>
  </r>
  <r>
    <x v="0"/>
    <s v="2025-12-30 22:09:11"/>
    <n v="10"/>
    <x v="77"/>
    <x v="1"/>
    <x v="0"/>
    <n v="0"/>
    <n v="0"/>
    <s v="Unnamed ProjectSales Department.ScheduledUtilizationScheduled UtilizationResource"/>
    <n v="10"/>
    <n v="0"/>
    <n v="0"/>
    <n v="0.95"/>
    <n v="0"/>
    <n v="0"/>
    <n v="0"/>
  </r>
  <r>
    <x v="0"/>
    <s v="2025-12-30 22:09:11"/>
    <n v="10"/>
    <x v="78"/>
    <x v="0"/>
    <x v="0"/>
    <n v="119"/>
    <n v="0"/>
    <s v="Unnamed ProjectSales Rep.NumberSeizedTotal Number SeizedResource"/>
    <n v="10"/>
    <n v="118.7"/>
    <n v="12.587913073879887"/>
    <n v="0.95"/>
    <n v="9.0048505491583946"/>
    <n v="95"/>
    <n v="141"/>
  </r>
  <r>
    <x v="0"/>
    <s v="2025-12-30 22:09:11"/>
    <n v="10"/>
    <x v="79"/>
    <x v="1"/>
    <x v="0"/>
    <n v="0.32028528579217302"/>
    <n v="0"/>
    <s v="Unnamed ProjectSales Rep.ScheduledUtilizationScheduled UtilizationResource"/>
    <n v="10"/>
    <n v="0.3273551167875815"/>
    <n v="3.5172818533154994E-2"/>
    <n v="0.95"/>
    <n v="2.5161118640145405E-2"/>
    <n v="0.26933581669894202"/>
    <n v="0.39321867243708603"/>
  </r>
  <r>
    <x v="0"/>
    <s v="2025-12-30 22:09:11"/>
    <n v="10"/>
    <x v="80"/>
    <x v="3"/>
    <x v="3"/>
    <n v="2497"/>
    <n v="0"/>
    <s v="Unnamed ProjectSystem.NumberOutNumber OutSystem"/>
    <n v="10"/>
    <n v="2503.1"/>
    <n v="29.72260643573059"/>
    <n v="0.95"/>
    <n v="21.262271777248003"/>
    <n v="2457"/>
    <n v="2546"/>
  </r>
  <r>
    <x v="0"/>
    <s v="2025-12-30 22:09:11"/>
    <n v="10"/>
    <x v="81"/>
    <x v="2"/>
    <x v="1"/>
    <n v="7818"/>
    <n v="0"/>
    <s v="Unnamed ProjectWire Harness.NumberInNumber InEntity"/>
    <n v="10"/>
    <n v="7832.8"/>
    <n v="7.8287220469811594"/>
    <n v="0.95"/>
    <n v="5.6003303812327712"/>
    <n v="7818"/>
    <n v="7845"/>
  </r>
  <r>
    <x v="0"/>
    <s v="2025-12-30 22:09:11"/>
    <n v="10"/>
    <x v="82"/>
    <x v="3"/>
    <x v="1"/>
    <n v="7815"/>
    <n v="0"/>
    <s v="Unnamed ProjectWire Harness.NumberOutNumber OutEntity"/>
    <n v="10"/>
    <n v="7828.3"/>
    <n v="7.1032074132433696"/>
    <n v="0.95"/>
    <n v="5.0813284776056653"/>
    <n v="7815"/>
    <n v="7840"/>
  </r>
  <r>
    <x v="0"/>
    <s v="2025-12-30 22:09:11"/>
    <n v="10"/>
    <x v="83"/>
    <x v="4"/>
    <x v="2"/>
    <n v="51886.216298332103"/>
    <n v="0"/>
    <s v="Unnamed Projectsales Accum VA TimeAccum VA TimeProcess"/>
    <n v="10"/>
    <n v="53031.528919588192"/>
    <n v="5697.9966023710867"/>
    <n v="0.95"/>
    <n v="4076.1012197035402"/>
    <n v="43632.402305228599"/>
    <n v="63701.424934807801"/>
  </r>
  <r>
    <x v="0"/>
    <s v="2025-12-30 22:09:11"/>
    <n v="10"/>
    <x v="84"/>
    <x v="2"/>
    <x v="2"/>
    <n v="119"/>
    <n v="0"/>
    <s v="Unnamed Projectsales Number InNumber InProcess"/>
    <n v="10"/>
    <n v="118.7"/>
    <n v="12.587913073879887"/>
    <n v="0.95"/>
    <n v="9.0048505491583946"/>
    <n v="95"/>
    <n v="141"/>
  </r>
  <r>
    <x v="0"/>
    <s v="2025-12-30 22:09:11"/>
    <n v="10"/>
    <x v="85"/>
    <x v="3"/>
    <x v="2"/>
    <n v="119"/>
    <n v="0"/>
    <s v="Unnamed Projectsales Number OutNumber OutProcess"/>
    <n v="10"/>
    <n v="118.7"/>
    <n v="12.587913073879887"/>
    <n v="0.95"/>
    <n v="9.0048505491583946"/>
    <n v="95"/>
    <n v="14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x v="0"/>
    <s v="2025-12-30 22:09:11"/>
    <n v="1"/>
    <x v="0"/>
    <x v="0"/>
    <x v="0"/>
    <n v="1286"/>
    <s v="Unnamed ProjectBoxCountUser Specified"/>
    <n v="10"/>
    <n v="1283.0999999999999"/>
    <n v="3.2128215360057308"/>
    <n v="0.95"/>
    <n v="2.2983140734329779"/>
    <n v="1277"/>
    <n v="1288"/>
  </r>
  <r>
    <x v="0"/>
    <s v="2025-12-30 22:09:11"/>
    <n v="1"/>
    <x v="1"/>
    <x v="0"/>
    <x v="0"/>
    <n v="995"/>
    <s v="Unnamed ProjectDissatisfied CustomerCountUser Specified"/>
    <n v="10"/>
    <n v="971.6"/>
    <n v="31.116983572747966"/>
    <n v="0.95"/>
    <n v="22.259749091740982"/>
    <n v="924"/>
    <n v="1012"/>
  </r>
  <r>
    <x v="0"/>
    <s v="2025-12-30 22:09:11"/>
    <n v="1"/>
    <x v="2"/>
    <x v="0"/>
    <x v="0"/>
    <n v="6545"/>
    <s v="Unnamed ProjectLabel 1CountUser Specified"/>
    <n v="10"/>
    <n v="6549.7"/>
    <n v="5.7551908936387353"/>
    <n v="0.95"/>
    <n v="4.1170155509439503"/>
    <n v="6541"/>
    <n v="6559"/>
  </r>
  <r>
    <x v="0"/>
    <s v="2025-12-30 22:09:11"/>
    <n v="1"/>
    <x v="3"/>
    <x v="0"/>
    <x v="0"/>
    <n v="8229"/>
    <s v="Unnamed ProjectLabel 2CountUser Specified"/>
    <n v="10"/>
    <n v="8227.7000000000007"/>
    <n v="6.2902040242480748"/>
    <n v="0.95"/>
    <n v="4.4997408887103267"/>
    <n v="8216"/>
    <n v="8237"/>
  </r>
  <r>
    <x v="0"/>
    <s v="2025-12-30 22:09:11"/>
    <n v="1"/>
    <x v="4"/>
    <x v="0"/>
    <x v="0"/>
    <n v="9188"/>
    <s v="Unnamed ProjectLabel 3CountUser Specified"/>
    <n v="10"/>
    <n v="9194.4"/>
    <n v="6.0221812216726489"/>
    <n v="0.95"/>
    <n v="4.3080089259303831"/>
    <n v="9188"/>
    <n v="9202"/>
  </r>
  <r>
    <x v="0"/>
    <s v="2025-12-30 22:09:11"/>
    <n v="1"/>
    <x v="5"/>
    <x v="0"/>
    <x v="0"/>
    <n v="107"/>
    <s v="Unnamed ProjectSatisfied customerCountUser Specified"/>
    <n v="10"/>
    <n v="118.7"/>
    <n v="12.587913073879887"/>
    <n v="0.95"/>
    <n v="9.0048505491583946"/>
    <n v="95"/>
    <n v="141"/>
  </r>
  <r>
    <x v="0"/>
    <s v="2025-12-30 22:09:11"/>
    <n v="1"/>
    <x v="6"/>
    <x v="0"/>
    <x v="0"/>
    <n v="111"/>
    <s v="Unnamed ProjectScrapCountUser Specified"/>
    <n v="10"/>
    <n v="129.69999999999999"/>
    <n v="14.461058820923967"/>
    <n v="0.95"/>
    <n v="10.344818295195957"/>
    <n v="105"/>
    <n v="153"/>
  </r>
  <r>
    <x v="0"/>
    <s v="2025-12-30 22:09:11"/>
    <n v="2"/>
    <x v="0"/>
    <x v="0"/>
    <x v="0"/>
    <n v="1286"/>
    <s v="Unnamed ProjectBoxCountUser Specified"/>
    <n v="10"/>
    <n v="1283.0999999999999"/>
    <n v="3.2128215360057308"/>
    <n v="0.95"/>
    <n v="2.2983140734329779"/>
    <n v="1277"/>
    <n v="1288"/>
  </r>
  <r>
    <x v="0"/>
    <s v="2025-12-30 22:09:11"/>
    <n v="2"/>
    <x v="1"/>
    <x v="0"/>
    <x v="0"/>
    <n v="993"/>
    <s v="Unnamed ProjectDissatisfied CustomerCountUser Specified"/>
    <n v="10"/>
    <n v="971.6"/>
    <n v="31.116983572747966"/>
    <n v="0.95"/>
    <n v="22.259749091740982"/>
    <n v="924"/>
    <n v="1012"/>
  </r>
  <r>
    <x v="0"/>
    <s v="2025-12-30 22:09:11"/>
    <n v="2"/>
    <x v="2"/>
    <x v="0"/>
    <x v="0"/>
    <n v="6559"/>
    <s v="Unnamed ProjectLabel 1CountUser Specified"/>
    <n v="10"/>
    <n v="6549.7"/>
    <n v="5.7551908936387353"/>
    <n v="0.95"/>
    <n v="4.1170155509439503"/>
    <n v="6541"/>
    <n v="6559"/>
  </r>
  <r>
    <x v="0"/>
    <s v="2025-12-30 22:09:11"/>
    <n v="2"/>
    <x v="3"/>
    <x v="0"/>
    <x v="0"/>
    <n v="8224"/>
    <s v="Unnamed ProjectLabel 2CountUser Specified"/>
    <n v="10"/>
    <n v="8227.7000000000007"/>
    <n v="6.2902040242480748"/>
    <n v="0.95"/>
    <n v="4.4997408887103267"/>
    <n v="8216"/>
    <n v="8237"/>
  </r>
  <r>
    <x v="0"/>
    <s v="2025-12-30 22:09:11"/>
    <n v="2"/>
    <x v="4"/>
    <x v="0"/>
    <x v="0"/>
    <n v="9193"/>
    <s v="Unnamed ProjectLabel 3CountUser Specified"/>
    <n v="10"/>
    <n v="9194.4"/>
    <n v="6.0221812216726489"/>
    <n v="0.95"/>
    <n v="4.3080089259303831"/>
    <n v="9188"/>
    <n v="9202"/>
  </r>
  <r>
    <x v="0"/>
    <s v="2025-12-30 22:09:11"/>
    <n v="2"/>
    <x v="5"/>
    <x v="0"/>
    <x v="0"/>
    <n v="95"/>
    <s v="Unnamed ProjectSatisfied customerCountUser Specified"/>
    <n v="10"/>
    <n v="118.7"/>
    <n v="12.587913073879887"/>
    <n v="0.95"/>
    <n v="9.0048505491583946"/>
    <n v="95"/>
    <n v="141"/>
  </r>
  <r>
    <x v="0"/>
    <s v="2025-12-30 22:09:11"/>
    <n v="2"/>
    <x v="6"/>
    <x v="0"/>
    <x v="0"/>
    <n v="124"/>
    <s v="Unnamed ProjectScrapCountUser Specified"/>
    <n v="10"/>
    <n v="129.69999999999999"/>
    <n v="14.461058820923967"/>
    <n v="0.95"/>
    <n v="10.344818295195957"/>
    <n v="105"/>
    <n v="153"/>
  </r>
  <r>
    <x v="0"/>
    <s v="2025-12-30 22:09:11"/>
    <n v="3"/>
    <x v="0"/>
    <x v="0"/>
    <x v="0"/>
    <n v="1284"/>
    <s v="Unnamed ProjectBoxCountUser Specified"/>
    <n v="10"/>
    <n v="1283.0999999999999"/>
    <n v="3.2128215360057308"/>
    <n v="0.95"/>
    <n v="2.2983140734329779"/>
    <n v="1277"/>
    <n v="1288"/>
  </r>
  <r>
    <x v="0"/>
    <s v="2025-12-30 22:09:11"/>
    <n v="3"/>
    <x v="1"/>
    <x v="0"/>
    <x v="0"/>
    <n v="958"/>
    <s v="Unnamed ProjectDissatisfied CustomerCountUser Specified"/>
    <n v="10"/>
    <n v="971.6"/>
    <n v="31.116983572747966"/>
    <n v="0.95"/>
    <n v="22.259749091740982"/>
    <n v="924"/>
    <n v="1012"/>
  </r>
  <r>
    <x v="0"/>
    <s v="2025-12-30 22:09:11"/>
    <n v="3"/>
    <x v="2"/>
    <x v="0"/>
    <x v="0"/>
    <n v="6548"/>
    <s v="Unnamed ProjectLabel 1CountUser Specified"/>
    <n v="10"/>
    <n v="6549.7"/>
    <n v="5.7551908936387353"/>
    <n v="0.95"/>
    <n v="4.1170155509439503"/>
    <n v="6541"/>
    <n v="6559"/>
  </r>
  <r>
    <x v="0"/>
    <s v="2025-12-30 22:09:11"/>
    <n v="3"/>
    <x v="3"/>
    <x v="0"/>
    <x v="0"/>
    <n v="8237"/>
    <s v="Unnamed ProjectLabel 2CountUser Specified"/>
    <n v="10"/>
    <n v="8227.7000000000007"/>
    <n v="6.2902040242480748"/>
    <n v="0.95"/>
    <n v="4.4997408887103267"/>
    <n v="8216"/>
    <n v="8237"/>
  </r>
  <r>
    <x v="0"/>
    <s v="2025-12-30 22:09:11"/>
    <n v="3"/>
    <x v="4"/>
    <x v="0"/>
    <x v="0"/>
    <n v="9202"/>
    <s v="Unnamed ProjectLabel 3CountUser Specified"/>
    <n v="10"/>
    <n v="9194.4"/>
    <n v="6.0221812216726489"/>
    <n v="0.95"/>
    <n v="4.3080089259303831"/>
    <n v="9188"/>
    <n v="9202"/>
  </r>
  <r>
    <x v="0"/>
    <s v="2025-12-30 22:09:11"/>
    <n v="3"/>
    <x v="5"/>
    <x v="0"/>
    <x v="0"/>
    <n v="129"/>
    <s v="Unnamed ProjectSatisfied customerCountUser Specified"/>
    <n v="10"/>
    <n v="118.7"/>
    <n v="12.587913073879887"/>
    <n v="0.95"/>
    <n v="9.0048505491583946"/>
    <n v="95"/>
    <n v="141"/>
  </r>
  <r>
    <x v="0"/>
    <s v="2025-12-30 22:09:11"/>
    <n v="3"/>
    <x v="6"/>
    <x v="0"/>
    <x v="0"/>
    <n v="125"/>
    <s v="Unnamed ProjectScrapCountUser Specified"/>
    <n v="10"/>
    <n v="129.69999999999999"/>
    <n v="14.461058820923967"/>
    <n v="0.95"/>
    <n v="10.344818295195957"/>
    <n v="105"/>
    <n v="153"/>
  </r>
  <r>
    <x v="0"/>
    <s v="2025-12-30 22:09:11"/>
    <n v="4"/>
    <x v="0"/>
    <x v="0"/>
    <x v="0"/>
    <n v="1280"/>
    <s v="Unnamed ProjectBoxCountUser Specified"/>
    <n v="10"/>
    <n v="1283.0999999999999"/>
    <n v="3.2128215360057308"/>
    <n v="0.95"/>
    <n v="2.2983140734329779"/>
    <n v="1277"/>
    <n v="1288"/>
  </r>
  <r>
    <x v="0"/>
    <s v="2025-12-30 22:09:11"/>
    <n v="4"/>
    <x v="1"/>
    <x v="0"/>
    <x v="0"/>
    <n v="929"/>
    <s v="Unnamed ProjectDissatisfied CustomerCountUser Specified"/>
    <n v="10"/>
    <n v="971.6"/>
    <n v="31.116983572747966"/>
    <n v="0.95"/>
    <n v="22.259749091740982"/>
    <n v="924"/>
    <n v="1012"/>
  </r>
  <r>
    <x v="0"/>
    <s v="2025-12-30 22:09:11"/>
    <n v="4"/>
    <x v="2"/>
    <x v="0"/>
    <x v="0"/>
    <n v="6543"/>
    <s v="Unnamed ProjectLabel 1CountUser Specified"/>
    <n v="10"/>
    <n v="6549.7"/>
    <n v="5.7551908936387353"/>
    <n v="0.95"/>
    <n v="4.1170155509439503"/>
    <n v="6541"/>
    <n v="6559"/>
  </r>
  <r>
    <x v="0"/>
    <s v="2025-12-30 22:09:11"/>
    <n v="4"/>
    <x v="3"/>
    <x v="0"/>
    <x v="0"/>
    <n v="8226"/>
    <s v="Unnamed ProjectLabel 2CountUser Specified"/>
    <n v="10"/>
    <n v="8227.7000000000007"/>
    <n v="6.2902040242480748"/>
    <n v="0.95"/>
    <n v="4.4997408887103267"/>
    <n v="8216"/>
    <n v="8237"/>
  </r>
  <r>
    <x v="0"/>
    <s v="2025-12-30 22:09:11"/>
    <n v="4"/>
    <x v="4"/>
    <x v="0"/>
    <x v="0"/>
    <n v="9199"/>
    <s v="Unnamed ProjectLabel 3CountUser Specified"/>
    <n v="10"/>
    <n v="9194.4"/>
    <n v="6.0221812216726489"/>
    <n v="0.95"/>
    <n v="4.3080089259303831"/>
    <n v="9188"/>
    <n v="9202"/>
  </r>
  <r>
    <x v="0"/>
    <s v="2025-12-30 22:09:11"/>
    <n v="4"/>
    <x v="5"/>
    <x v="0"/>
    <x v="0"/>
    <n v="116"/>
    <s v="Unnamed ProjectSatisfied customerCountUser Specified"/>
    <n v="10"/>
    <n v="118.7"/>
    <n v="12.587913073879887"/>
    <n v="0.95"/>
    <n v="9.0048505491583946"/>
    <n v="95"/>
    <n v="141"/>
  </r>
  <r>
    <x v="0"/>
    <s v="2025-12-30 22:09:11"/>
    <n v="4"/>
    <x v="6"/>
    <x v="0"/>
    <x v="0"/>
    <n v="139"/>
    <s v="Unnamed ProjectScrapCountUser Specified"/>
    <n v="10"/>
    <n v="129.69999999999999"/>
    <n v="14.461058820923967"/>
    <n v="0.95"/>
    <n v="10.344818295195957"/>
    <n v="105"/>
    <n v="153"/>
  </r>
  <r>
    <x v="0"/>
    <s v="2025-12-30 22:09:11"/>
    <n v="5"/>
    <x v="0"/>
    <x v="0"/>
    <x v="0"/>
    <n v="1283"/>
    <s v="Unnamed ProjectBoxCountUser Specified"/>
    <n v="10"/>
    <n v="1283.0999999999999"/>
    <n v="3.2128215360057308"/>
    <n v="0.95"/>
    <n v="2.2983140734329779"/>
    <n v="1277"/>
    <n v="1288"/>
  </r>
  <r>
    <x v="0"/>
    <s v="2025-12-30 22:09:11"/>
    <n v="5"/>
    <x v="1"/>
    <x v="0"/>
    <x v="0"/>
    <n v="1006"/>
    <s v="Unnamed ProjectDissatisfied CustomerCountUser Specified"/>
    <n v="10"/>
    <n v="971.6"/>
    <n v="31.116983572747966"/>
    <n v="0.95"/>
    <n v="22.259749091740982"/>
    <n v="924"/>
    <n v="1012"/>
  </r>
  <r>
    <x v="0"/>
    <s v="2025-12-30 22:09:11"/>
    <n v="5"/>
    <x v="2"/>
    <x v="0"/>
    <x v="0"/>
    <n v="6555"/>
    <s v="Unnamed ProjectLabel 1CountUser Specified"/>
    <n v="10"/>
    <n v="6549.7"/>
    <n v="5.7551908936387353"/>
    <n v="0.95"/>
    <n v="4.1170155509439503"/>
    <n v="6541"/>
    <n v="6559"/>
  </r>
  <r>
    <x v="0"/>
    <s v="2025-12-30 22:09:11"/>
    <n v="5"/>
    <x v="3"/>
    <x v="0"/>
    <x v="0"/>
    <n v="8237"/>
    <s v="Unnamed ProjectLabel 2CountUser Specified"/>
    <n v="10"/>
    <n v="8227.7000000000007"/>
    <n v="6.2902040242480748"/>
    <n v="0.95"/>
    <n v="4.4997408887103267"/>
    <n v="8216"/>
    <n v="8237"/>
  </r>
  <r>
    <x v="0"/>
    <s v="2025-12-30 22:09:11"/>
    <n v="5"/>
    <x v="4"/>
    <x v="0"/>
    <x v="0"/>
    <n v="9200"/>
    <s v="Unnamed ProjectLabel 3CountUser Specified"/>
    <n v="10"/>
    <n v="9194.4"/>
    <n v="6.0221812216726489"/>
    <n v="0.95"/>
    <n v="4.3080089259303831"/>
    <n v="9188"/>
    <n v="9202"/>
  </r>
  <r>
    <x v="0"/>
    <s v="2025-12-30 22:09:11"/>
    <n v="5"/>
    <x v="5"/>
    <x v="0"/>
    <x v="0"/>
    <n v="116"/>
    <s v="Unnamed ProjectSatisfied customerCountUser Specified"/>
    <n v="10"/>
    <n v="118.7"/>
    <n v="12.587913073879887"/>
    <n v="0.95"/>
    <n v="9.0048505491583946"/>
    <n v="95"/>
    <n v="141"/>
  </r>
  <r>
    <x v="0"/>
    <s v="2025-12-30 22:09:11"/>
    <n v="5"/>
    <x v="6"/>
    <x v="0"/>
    <x v="0"/>
    <n v="135"/>
    <s v="Unnamed ProjectScrapCountUser Specified"/>
    <n v="10"/>
    <n v="129.69999999999999"/>
    <n v="14.461058820923967"/>
    <n v="0.95"/>
    <n v="10.344818295195957"/>
    <n v="105"/>
    <n v="153"/>
  </r>
  <r>
    <x v="0"/>
    <s v="2025-12-30 22:09:11"/>
    <n v="6"/>
    <x v="0"/>
    <x v="0"/>
    <x v="0"/>
    <n v="1288"/>
    <s v="Unnamed ProjectBoxCountUser Specified"/>
    <n v="10"/>
    <n v="1283.0999999999999"/>
    <n v="3.2128215360057308"/>
    <n v="0.95"/>
    <n v="2.2983140734329779"/>
    <n v="1277"/>
    <n v="1288"/>
  </r>
  <r>
    <x v="0"/>
    <s v="2025-12-30 22:09:11"/>
    <n v="6"/>
    <x v="1"/>
    <x v="0"/>
    <x v="0"/>
    <n v="1012"/>
    <s v="Unnamed ProjectDissatisfied CustomerCountUser Specified"/>
    <n v="10"/>
    <n v="971.6"/>
    <n v="31.116983572747966"/>
    <n v="0.95"/>
    <n v="22.259749091740982"/>
    <n v="924"/>
    <n v="1012"/>
  </r>
  <r>
    <x v="0"/>
    <s v="2025-12-30 22:09:11"/>
    <n v="6"/>
    <x v="2"/>
    <x v="0"/>
    <x v="0"/>
    <n v="6551"/>
    <s v="Unnamed ProjectLabel 1CountUser Specified"/>
    <n v="10"/>
    <n v="6549.7"/>
    <n v="5.7551908936387353"/>
    <n v="0.95"/>
    <n v="4.1170155509439503"/>
    <n v="6541"/>
    <n v="6559"/>
  </r>
  <r>
    <x v="0"/>
    <s v="2025-12-30 22:09:11"/>
    <n v="6"/>
    <x v="3"/>
    <x v="0"/>
    <x v="0"/>
    <n v="8216"/>
    <s v="Unnamed ProjectLabel 2CountUser Specified"/>
    <n v="10"/>
    <n v="8227.7000000000007"/>
    <n v="6.2902040242480748"/>
    <n v="0.95"/>
    <n v="4.4997408887103267"/>
    <n v="8216"/>
    <n v="8237"/>
  </r>
  <r>
    <x v="0"/>
    <s v="2025-12-30 22:09:11"/>
    <n v="6"/>
    <x v="4"/>
    <x v="0"/>
    <x v="0"/>
    <n v="9188"/>
    <s v="Unnamed ProjectLabel 3CountUser Specified"/>
    <n v="10"/>
    <n v="9194.4"/>
    <n v="6.0221812216726489"/>
    <n v="0.95"/>
    <n v="4.3080089259303831"/>
    <n v="9188"/>
    <n v="9202"/>
  </r>
  <r>
    <x v="0"/>
    <s v="2025-12-30 22:09:11"/>
    <n v="6"/>
    <x v="5"/>
    <x v="0"/>
    <x v="0"/>
    <n v="129"/>
    <s v="Unnamed ProjectSatisfied customerCountUser Specified"/>
    <n v="10"/>
    <n v="118.7"/>
    <n v="12.587913073879887"/>
    <n v="0.95"/>
    <n v="9.0048505491583946"/>
    <n v="95"/>
    <n v="141"/>
  </r>
  <r>
    <x v="0"/>
    <s v="2025-12-30 22:09:11"/>
    <n v="6"/>
    <x v="6"/>
    <x v="0"/>
    <x v="0"/>
    <n v="105"/>
    <s v="Unnamed ProjectScrapCountUser Specified"/>
    <n v="10"/>
    <n v="129.69999999999999"/>
    <n v="14.461058820923967"/>
    <n v="0.95"/>
    <n v="10.344818295195957"/>
    <n v="105"/>
    <n v="153"/>
  </r>
  <r>
    <x v="0"/>
    <s v="2025-12-30 22:09:11"/>
    <n v="7"/>
    <x v="0"/>
    <x v="0"/>
    <x v="0"/>
    <n v="1281"/>
    <s v="Unnamed ProjectBoxCountUser Specified"/>
    <n v="10"/>
    <n v="1283.0999999999999"/>
    <n v="3.2128215360057308"/>
    <n v="0.95"/>
    <n v="2.2983140734329779"/>
    <n v="1277"/>
    <n v="1288"/>
  </r>
  <r>
    <x v="0"/>
    <s v="2025-12-30 22:09:11"/>
    <n v="7"/>
    <x v="1"/>
    <x v="0"/>
    <x v="0"/>
    <n v="980"/>
    <s v="Unnamed ProjectDissatisfied CustomerCountUser Specified"/>
    <n v="10"/>
    <n v="971.6"/>
    <n v="31.116983572747966"/>
    <n v="0.95"/>
    <n v="22.259749091740982"/>
    <n v="924"/>
    <n v="1012"/>
  </r>
  <r>
    <x v="0"/>
    <s v="2025-12-30 22:09:11"/>
    <n v="7"/>
    <x v="2"/>
    <x v="0"/>
    <x v="0"/>
    <n v="6555"/>
    <s v="Unnamed ProjectLabel 1CountUser Specified"/>
    <n v="10"/>
    <n v="6549.7"/>
    <n v="5.7551908936387353"/>
    <n v="0.95"/>
    <n v="4.1170155509439503"/>
    <n v="6541"/>
    <n v="6559"/>
  </r>
  <r>
    <x v="0"/>
    <s v="2025-12-30 22:09:11"/>
    <n v="7"/>
    <x v="3"/>
    <x v="0"/>
    <x v="0"/>
    <n v="8230"/>
    <s v="Unnamed ProjectLabel 2CountUser Specified"/>
    <n v="10"/>
    <n v="8227.7000000000007"/>
    <n v="6.2902040242480748"/>
    <n v="0.95"/>
    <n v="4.4997408887103267"/>
    <n v="8216"/>
    <n v="8237"/>
  </r>
  <r>
    <x v="0"/>
    <s v="2025-12-30 22:09:11"/>
    <n v="7"/>
    <x v="4"/>
    <x v="0"/>
    <x v="0"/>
    <n v="9197"/>
    <s v="Unnamed ProjectLabel 3CountUser Specified"/>
    <n v="10"/>
    <n v="9194.4"/>
    <n v="6.0221812216726489"/>
    <n v="0.95"/>
    <n v="4.3080089259303831"/>
    <n v="9188"/>
    <n v="9202"/>
  </r>
  <r>
    <x v="0"/>
    <s v="2025-12-30 22:09:11"/>
    <n v="7"/>
    <x v="5"/>
    <x v="0"/>
    <x v="0"/>
    <n v="141"/>
    <s v="Unnamed ProjectSatisfied customerCountUser Specified"/>
    <n v="10"/>
    <n v="118.7"/>
    <n v="12.587913073879887"/>
    <n v="0.95"/>
    <n v="9.0048505491583946"/>
    <n v="95"/>
    <n v="141"/>
  </r>
  <r>
    <x v="0"/>
    <s v="2025-12-30 22:09:11"/>
    <n v="7"/>
    <x v="6"/>
    <x v="0"/>
    <x v="0"/>
    <n v="144"/>
    <s v="Unnamed ProjectScrapCountUser Specified"/>
    <n v="10"/>
    <n v="129.69999999999999"/>
    <n v="14.461058820923967"/>
    <n v="0.95"/>
    <n v="10.344818295195957"/>
    <n v="105"/>
    <n v="153"/>
  </r>
  <r>
    <x v="0"/>
    <s v="2025-12-30 22:09:11"/>
    <n v="8"/>
    <x v="0"/>
    <x v="0"/>
    <x v="0"/>
    <n v="1283"/>
    <s v="Unnamed ProjectBoxCountUser Specified"/>
    <n v="10"/>
    <n v="1283.0999999999999"/>
    <n v="3.2128215360057308"/>
    <n v="0.95"/>
    <n v="2.2983140734329779"/>
    <n v="1277"/>
    <n v="1288"/>
  </r>
  <r>
    <x v="0"/>
    <s v="2025-12-30 22:09:11"/>
    <n v="8"/>
    <x v="1"/>
    <x v="0"/>
    <x v="0"/>
    <n v="971"/>
    <s v="Unnamed ProjectDissatisfied CustomerCountUser Specified"/>
    <n v="10"/>
    <n v="971.6"/>
    <n v="31.116983572747966"/>
    <n v="0.95"/>
    <n v="22.259749091740982"/>
    <n v="924"/>
    <n v="1012"/>
  </r>
  <r>
    <x v="0"/>
    <s v="2025-12-30 22:09:11"/>
    <n v="8"/>
    <x v="2"/>
    <x v="0"/>
    <x v="0"/>
    <n v="6548"/>
    <s v="Unnamed ProjectLabel 1CountUser Specified"/>
    <n v="10"/>
    <n v="6549.7"/>
    <n v="5.7551908936387353"/>
    <n v="0.95"/>
    <n v="4.1170155509439503"/>
    <n v="6541"/>
    <n v="6559"/>
  </r>
  <r>
    <x v="0"/>
    <s v="2025-12-30 22:09:11"/>
    <n v="8"/>
    <x v="3"/>
    <x v="0"/>
    <x v="0"/>
    <n v="8223"/>
    <s v="Unnamed ProjectLabel 2CountUser Specified"/>
    <n v="10"/>
    <n v="8227.7000000000007"/>
    <n v="6.2902040242480748"/>
    <n v="0.95"/>
    <n v="4.4997408887103267"/>
    <n v="8216"/>
    <n v="8237"/>
  </r>
  <r>
    <x v="0"/>
    <s v="2025-12-30 22:09:11"/>
    <n v="8"/>
    <x v="4"/>
    <x v="0"/>
    <x v="0"/>
    <n v="9188"/>
    <s v="Unnamed ProjectLabel 3CountUser Specified"/>
    <n v="10"/>
    <n v="9194.4"/>
    <n v="6.0221812216726489"/>
    <n v="0.95"/>
    <n v="4.3080089259303831"/>
    <n v="9188"/>
    <n v="9202"/>
  </r>
  <r>
    <x v="0"/>
    <s v="2025-12-30 22:09:11"/>
    <n v="8"/>
    <x v="5"/>
    <x v="0"/>
    <x v="0"/>
    <n v="117"/>
    <s v="Unnamed ProjectSatisfied customerCountUser Specified"/>
    <n v="10"/>
    <n v="118.7"/>
    <n v="12.587913073879887"/>
    <n v="0.95"/>
    <n v="9.0048505491583946"/>
    <n v="95"/>
    <n v="141"/>
  </r>
  <r>
    <x v="0"/>
    <s v="2025-12-30 22:09:11"/>
    <n v="8"/>
    <x v="6"/>
    <x v="0"/>
    <x v="0"/>
    <n v="129"/>
    <s v="Unnamed ProjectScrapCountUser Specified"/>
    <n v="10"/>
    <n v="129.69999999999999"/>
    <n v="14.461058820923967"/>
    <n v="0.95"/>
    <n v="10.344818295195957"/>
    <n v="105"/>
    <n v="153"/>
  </r>
  <r>
    <x v="0"/>
    <s v="2025-12-30 22:09:11"/>
    <n v="9"/>
    <x v="0"/>
    <x v="0"/>
    <x v="0"/>
    <n v="1283"/>
    <s v="Unnamed ProjectBoxCountUser Specified"/>
    <n v="10"/>
    <n v="1283.0999999999999"/>
    <n v="3.2128215360057308"/>
    <n v="0.95"/>
    <n v="2.2983140734329779"/>
    <n v="1277"/>
    <n v="1288"/>
  </r>
  <r>
    <x v="0"/>
    <s v="2025-12-30 22:09:11"/>
    <n v="9"/>
    <x v="1"/>
    <x v="0"/>
    <x v="0"/>
    <n v="924"/>
    <s v="Unnamed ProjectDissatisfied CustomerCountUser Specified"/>
    <n v="10"/>
    <n v="971.6"/>
    <n v="31.116983572747966"/>
    <n v="0.95"/>
    <n v="22.259749091740982"/>
    <n v="924"/>
    <n v="1012"/>
  </r>
  <r>
    <x v="0"/>
    <s v="2025-12-30 22:09:11"/>
    <n v="9"/>
    <x v="2"/>
    <x v="0"/>
    <x v="0"/>
    <n v="6552"/>
    <s v="Unnamed ProjectLabel 1CountUser Specified"/>
    <n v="10"/>
    <n v="6549.7"/>
    <n v="5.7551908936387353"/>
    <n v="0.95"/>
    <n v="4.1170155509439503"/>
    <n v="6541"/>
    <n v="6559"/>
  </r>
  <r>
    <x v="0"/>
    <s v="2025-12-30 22:09:11"/>
    <n v="9"/>
    <x v="3"/>
    <x v="0"/>
    <x v="0"/>
    <n v="8228"/>
    <s v="Unnamed ProjectLabel 2CountUser Specified"/>
    <n v="10"/>
    <n v="8227.7000000000007"/>
    <n v="6.2902040242480748"/>
    <n v="0.95"/>
    <n v="4.4997408887103267"/>
    <n v="8216"/>
    <n v="8237"/>
  </r>
  <r>
    <x v="0"/>
    <s v="2025-12-30 22:09:11"/>
    <n v="9"/>
    <x v="4"/>
    <x v="0"/>
    <x v="0"/>
    <n v="9201"/>
    <s v="Unnamed ProjectLabel 3CountUser Specified"/>
    <n v="10"/>
    <n v="9194.4"/>
    <n v="6.0221812216726489"/>
    <n v="0.95"/>
    <n v="4.3080089259303831"/>
    <n v="9188"/>
    <n v="9202"/>
  </r>
  <r>
    <x v="0"/>
    <s v="2025-12-30 22:09:11"/>
    <n v="9"/>
    <x v="5"/>
    <x v="0"/>
    <x v="0"/>
    <n v="118"/>
    <s v="Unnamed ProjectSatisfied customerCountUser Specified"/>
    <n v="10"/>
    <n v="118.7"/>
    <n v="12.587913073879887"/>
    <n v="0.95"/>
    <n v="9.0048505491583946"/>
    <n v="95"/>
    <n v="141"/>
  </r>
  <r>
    <x v="0"/>
    <s v="2025-12-30 22:09:11"/>
    <n v="9"/>
    <x v="6"/>
    <x v="0"/>
    <x v="0"/>
    <n v="132"/>
    <s v="Unnamed ProjectScrapCountUser Specified"/>
    <n v="10"/>
    <n v="129.69999999999999"/>
    <n v="14.461058820923967"/>
    <n v="0.95"/>
    <n v="10.344818295195957"/>
    <n v="105"/>
    <n v="153"/>
  </r>
  <r>
    <x v="0"/>
    <s v="2025-12-30 22:09:11"/>
    <n v="10"/>
    <x v="0"/>
    <x v="0"/>
    <x v="0"/>
    <n v="1277"/>
    <s v="Unnamed ProjectBoxCountUser Specified"/>
    <n v="10"/>
    <n v="1283.0999999999999"/>
    <n v="3.2128215360057308"/>
    <n v="0.95"/>
    <n v="2.2983140734329779"/>
    <n v="1277"/>
    <n v="1288"/>
  </r>
  <r>
    <x v="0"/>
    <s v="2025-12-30 22:09:11"/>
    <n v="10"/>
    <x v="1"/>
    <x v="0"/>
    <x v="0"/>
    <n v="948"/>
    <s v="Unnamed ProjectDissatisfied CustomerCountUser Specified"/>
    <n v="10"/>
    <n v="971.6"/>
    <n v="31.116983572747966"/>
    <n v="0.95"/>
    <n v="22.259749091740982"/>
    <n v="924"/>
    <n v="1012"/>
  </r>
  <r>
    <x v="0"/>
    <s v="2025-12-30 22:09:11"/>
    <n v="10"/>
    <x v="2"/>
    <x v="0"/>
    <x v="0"/>
    <n v="6541"/>
    <s v="Unnamed ProjectLabel 1CountUser Specified"/>
    <n v="10"/>
    <n v="6549.7"/>
    <n v="5.7551908936387353"/>
    <n v="0.95"/>
    <n v="4.1170155509439503"/>
    <n v="6541"/>
    <n v="6559"/>
  </r>
  <r>
    <x v="0"/>
    <s v="2025-12-30 22:09:11"/>
    <n v="10"/>
    <x v="3"/>
    <x v="0"/>
    <x v="0"/>
    <n v="8227"/>
    <s v="Unnamed ProjectLabel 2CountUser Specified"/>
    <n v="10"/>
    <n v="8227.7000000000007"/>
    <n v="6.2902040242480748"/>
    <n v="0.95"/>
    <n v="4.4997408887103267"/>
    <n v="8216"/>
    <n v="8237"/>
  </r>
  <r>
    <x v="0"/>
    <s v="2025-12-30 22:09:11"/>
    <n v="10"/>
    <x v="4"/>
    <x v="0"/>
    <x v="0"/>
    <n v="9188"/>
    <s v="Unnamed ProjectLabel 3CountUser Specified"/>
    <n v="10"/>
    <n v="9194.4"/>
    <n v="6.0221812216726489"/>
    <n v="0.95"/>
    <n v="4.3080089259303831"/>
    <n v="9188"/>
    <n v="9202"/>
  </r>
  <r>
    <x v="0"/>
    <s v="2025-12-30 22:09:11"/>
    <n v="10"/>
    <x v="5"/>
    <x v="0"/>
    <x v="0"/>
    <n v="119"/>
    <s v="Unnamed ProjectSatisfied customerCountUser Specified"/>
    <n v="10"/>
    <n v="118.7"/>
    <n v="12.587913073879887"/>
    <n v="0.95"/>
    <n v="9.0048505491583946"/>
    <n v="95"/>
    <n v="141"/>
  </r>
  <r>
    <x v="0"/>
    <s v="2025-12-30 22:09:11"/>
    <n v="10"/>
    <x v="6"/>
    <x v="0"/>
    <x v="0"/>
    <n v="153"/>
    <s v="Unnamed ProjectScrapCountUser Specified"/>
    <n v="10"/>
    <n v="129.69999999999999"/>
    <n v="14.461058820923967"/>
    <n v="0.95"/>
    <n v="10.344818295195957"/>
    <n v="105"/>
    <n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8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6">
        <item m="1" x="58"/>
        <item m="1" x="49"/>
        <item m="1" x="65"/>
        <item m="1" x="74"/>
        <item m="1" x="87"/>
        <item m="1" x="86"/>
        <item m="1" x="50"/>
        <item m="1" x="151"/>
        <item m="1" x="129"/>
        <item m="1" x="92"/>
        <item m="1" x="79"/>
        <item m="1" x="83"/>
        <item x="5"/>
        <item m="1" x="68"/>
        <item m="1" x="150"/>
        <item m="1" x="72"/>
        <item m="1" x="123"/>
        <item m="1" x="137"/>
        <item m="1" x="47"/>
        <item m="1" x="73"/>
        <item m="1" x="160"/>
        <item m="1" x="62"/>
        <item m="1" x="152"/>
        <item m="1" x="51"/>
        <item m="1" x="78"/>
        <item m="1" x="104"/>
        <item m="1" x="48"/>
        <item m="1" x="54"/>
        <item m="1" x="124"/>
        <item m="1" x="105"/>
        <item m="1" x="139"/>
        <item m="1" x="95"/>
        <item m="1" x="59"/>
        <item m="1" x="89"/>
        <item m="1" x="125"/>
        <item m="1" x="110"/>
        <item m="1" x="60"/>
        <item m="1" x="70"/>
        <item m="1" x="132"/>
        <item m="1" x="46"/>
        <item m="1" x="159"/>
        <item m="1" x="117"/>
        <item m="1" x="57"/>
        <item m="1" x="142"/>
        <item m="1" x="88"/>
        <item m="1" x="161"/>
        <item m="1" x="122"/>
        <item m="1" x="64"/>
        <item m="1" x="109"/>
        <item m="1" x="128"/>
        <item m="1" x="141"/>
        <item m="1" x="149"/>
        <item m="1" x="158"/>
        <item m="1" x="45"/>
        <item m="1" x="63"/>
        <item m="1" x="77"/>
        <item m="1" x="66"/>
        <item m="1" x="44"/>
        <item m="1" x="138"/>
        <item m="1" x="155"/>
        <item m="1" x="81"/>
        <item m="1" x="116"/>
        <item m="1" x="69"/>
        <item m="1" x="90"/>
        <item m="1" x="75"/>
        <item m="1" x="99"/>
        <item m="1" x="84"/>
        <item m="1" x="106"/>
        <item m="1" x="91"/>
        <item m="1" x="118"/>
        <item m="1" x="100"/>
        <item m="1" x="126"/>
        <item m="1" x="107"/>
        <item m="1" x="135"/>
        <item m="1" x="119"/>
        <item m="1" x="140"/>
        <item m="1" x="127"/>
        <item m="1" x="144"/>
        <item m="1" x="156"/>
        <item m="1" x="146"/>
        <item m="1" x="130"/>
        <item m="1" x="103"/>
        <item m="1" x="82"/>
        <item m="1" x="97"/>
        <item m="1" x="61"/>
        <item m="1" x="67"/>
        <item m="1" x="76"/>
        <item m="1" x="80"/>
        <item m="1" x="112"/>
        <item m="1" x="157"/>
        <item m="1" x="147"/>
        <item m="1" x="131"/>
        <item m="1" x="98"/>
        <item m="1" x="165"/>
        <item m="1" x="114"/>
        <item m="1" x="102"/>
        <item m="1" x="134"/>
        <item m="1" x="115"/>
        <item m="1" x="94"/>
        <item m="1" x="101"/>
        <item m="1" x="55"/>
        <item m="1" x="120"/>
        <item m="1" x="136"/>
        <item m="1" x="145"/>
        <item m="1" x="153"/>
        <item m="1" x="164"/>
        <item m="1" x="52"/>
        <item m="1" x="71"/>
        <item m="1" x="163"/>
        <item m="1" x="53"/>
        <item m="1" x="121"/>
        <item m="1" x="96"/>
        <item m="1" x="111"/>
        <item m="1" x="56"/>
        <item m="1" x="162"/>
        <item m="1" x="143"/>
        <item m="1" x="93"/>
        <item m="1" x="154"/>
        <item m="1" x="113"/>
        <item m="1" x="133"/>
        <item m="1" x="148"/>
        <item m="1" x="85"/>
        <item m="1" x="108"/>
        <item m="1" x="43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85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4"/>
      <x/>
    </i>
    <i r="1">
      <x v="129"/>
      <x v="4"/>
      <x/>
    </i>
    <i r="1">
      <x v="130"/>
      <x v="4"/>
      <x/>
    </i>
    <i r="1">
      <x v="131"/>
      <x/>
      <x v="2"/>
    </i>
    <i r="2">
      <x v="1"/>
      <x v="2"/>
    </i>
    <i r="2">
      <x v="2"/>
      <x v="2"/>
    </i>
    <i r="1">
      <x v="132"/>
      <x/>
      <x v="2"/>
    </i>
    <i r="2">
      <x v="1"/>
      <x v="2"/>
    </i>
    <i r="2">
      <x v="2"/>
      <x v="2"/>
    </i>
    <i r="1">
      <x v="133"/>
      <x/>
      <x v="2"/>
    </i>
    <i r="2">
      <x v="1"/>
      <x v="2"/>
    </i>
    <i r="2">
      <x v="2"/>
      <x v="2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  <i r="1">
      <x v="137"/>
      <x/>
      <x v="2"/>
    </i>
    <i r="2">
      <x v="1"/>
      <x v="2"/>
    </i>
    <i r="2">
      <x v="2"/>
      <x v="2"/>
    </i>
    <i r="1">
      <x v="138"/>
      <x/>
      <x v="2"/>
    </i>
    <i r="2">
      <x v="1"/>
      <x v="2"/>
    </i>
    <i r="2">
      <x v="2"/>
      <x v="2"/>
    </i>
    <i r="1">
      <x v="139"/>
      <x/>
      <x v="2"/>
    </i>
    <i r="2">
      <x v="1"/>
      <x v="2"/>
    </i>
    <i r="2">
      <x v="2"/>
      <x v="2"/>
    </i>
    <i r="1">
      <x v="140"/>
      <x/>
      <x v="2"/>
    </i>
    <i r="2">
      <x v="1"/>
      <x v="2"/>
    </i>
    <i r="2">
      <x v="2"/>
      <x v="2"/>
    </i>
    <i r="1">
      <x v="141"/>
      <x/>
      <x v="2"/>
    </i>
    <i r="2">
      <x v="1"/>
      <x v="2"/>
    </i>
    <i r="2">
      <x v="2"/>
      <x v="2"/>
    </i>
    <i r="1">
      <x v="142"/>
      <x/>
      <x v="2"/>
    </i>
    <i r="2">
      <x v="1"/>
      <x v="2"/>
    </i>
    <i r="2">
      <x v="2"/>
      <x v="2"/>
    </i>
    <i r="1">
      <x v="143"/>
      <x/>
      <x v="2"/>
    </i>
    <i r="2">
      <x v="1"/>
      <x v="2"/>
    </i>
    <i r="2">
      <x v="2"/>
      <x v="2"/>
    </i>
    <i r="1">
      <x v="144"/>
      <x/>
      <x v="2"/>
    </i>
    <i r="2">
      <x v="1"/>
      <x v="2"/>
    </i>
    <i r="2">
      <x v="2"/>
      <x v="2"/>
    </i>
    <i r="1">
      <x v="145"/>
      <x/>
      <x v="2"/>
    </i>
    <i r="2">
      <x v="1"/>
      <x v="2"/>
    </i>
    <i r="2">
      <x v="2"/>
      <x v="2"/>
    </i>
    <i r="1">
      <x v="146"/>
      <x/>
      <x v="2"/>
    </i>
    <i r="2">
      <x v="1"/>
      <x v="2"/>
    </i>
    <i r="2">
      <x v="2"/>
      <x v="2"/>
    </i>
    <i r="1">
      <x v="147"/>
      <x/>
      <x v="2"/>
    </i>
    <i r="2">
      <x v="1"/>
      <x v="2"/>
    </i>
    <i r="2">
      <x v="2"/>
      <x v="2"/>
    </i>
    <i r="1">
      <x v="148"/>
      <x/>
      <x v="2"/>
    </i>
    <i r="2">
      <x v="1"/>
      <x v="2"/>
    </i>
    <i r="2">
      <x v="2"/>
      <x v="2"/>
    </i>
    <i r="1">
      <x v="149"/>
      <x v="3"/>
      <x v="1"/>
    </i>
    <i r="1">
      <x v="150"/>
      <x v="3"/>
      <x v="1"/>
    </i>
    <i r="1">
      <x v="151"/>
      <x v="3"/>
      <x v="1"/>
    </i>
    <i r="1">
      <x v="152"/>
      <x/>
      <x v="2"/>
    </i>
    <i r="2">
      <x v="1"/>
      <x v="2"/>
    </i>
    <i r="2">
      <x v="2"/>
      <x v="2"/>
    </i>
    <i r="1">
      <x v="153"/>
      <x/>
      <x v="2"/>
    </i>
    <i r="2">
      <x v="1"/>
      <x v="2"/>
    </i>
    <i r="2">
      <x v="2"/>
      <x v="2"/>
    </i>
    <i r="1">
      <x v="154"/>
      <x v="3"/>
      <x v="1"/>
    </i>
    <i r="1">
      <x v="155"/>
      <x v="3"/>
      <x v="1"/>
    </i>
    <i r="1">
      <x v="156"/>
      <x v="3"/>
      <x v="1"/>
    </i>
    <i r="1">
      <x v="157"/>
      <x v="3"/>
      <x v="1"/>
    </i>
    <i r="1">
      <x v="158"/>
      <x v="3"/>
      <x v="1"/>
    </i>
    <i r="1">
      <x v="159"/>
      <x v="3"/>
      <x v="1"/>
    </i>
    <i r="1">
      <x v="160"/>
      <x v="3"/>
      <x v="1"/>
    </i>
    <i r="1">
      <x v="161"/>
      <x v="3"/>
      <x v="1"/>
    </i>
    <i r="1">
      <x v="162"/>
      <x v="3"/>
      <x v="1"/>
    </i>
    <i r="1">
      <x v="163"/>
      <x v="3"/>
      <x v="1"/>
    </i>
    <i r="1">
      <x v="164"/>
      <x v="3"/>
      <x v="1"/>
    </i>
    <i r="1">
      <x v="165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5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40"/>
        <item m="1" x="63"/>
        <item m="1" x="35"/>
        <item m="1" x="115"/>
        <item m="1" x="98"/>
        <item m="1" x="68"/>
        <item m="1" x="124"/>
        <item m="1" x="56"/>
        <item m="1" x="60"/>
        <item m="1" x="127"/>
        <item m="1" x="93"/>
        <item m="1" x="105"/>
        <item m="1" x="110"/>
        <item m="1" x="34"/>
        <item m="1" x="62"/>
        <item m="1" x="52"/>
        <item m="1" x="128"/>
        <item m="1" x="122"/>
        <item m="1" x="50"/>
        <item m="1" x="44"/>
        <item m="1" x="116"/>
        <item m="1" x="36"/>
        <item m="1" x="69"/>
        <item m="1" x="55"/>
        <item m="1" x="80"/>
        <item m="1" x="107"/>
        <item m="1" x="71"/>
        <item m="1" x="41"/>
        <item m="1" x="65"/>
        <item m="1" x="94"/>
        <item m="1" x="84"/>
        <item m="1" x="42"/>
        <item m="1" x="101"/>
        <item m="1" x="33"/>
        <item m="1" x="121"/>
        <item m="1" x="89"/>
        <item m="1" x="109"/>
        <item m="1" x="64"/>
        <item m="1" x="123"/>
        <item m="1" x="92"/>
        <item m="1" x="46"/>
        <item m="1" x="83"/>
        <item m="1" x="97"/>
        <item m="1" x="108"/>
        <item m="1" x="114"/>
        <item m="1" x="32"/>
        <item m="1" x="45"/>
        <item m="1" x="54"/>
        <item m="1" x="47"/>
        <item m="1" x="31"/>
        <item m="1" x="106"/>
        <item m="1" x="118"/>
        <item m="1" x="58"/>
        <item m="1" x="88"/>
        <item m="1" x="49"/>
        <item m="1" x="66"/>
        <item m="1" x="53"/>
        <item m="1" x="74"/>
        <item m="1" x="61"/>
        <item m="1" x="81"/>
        <item m="1" x="67"/>
        <item m="1" x="90"/>
        <item m="1" x="75"/>
        <item m="1" x="95"/>
        <item m="1" x="82"/>
        <item m="1" x="103"/>
        <item m="1" x="96"/>
        <item m="1" x="111"/>
        <item m="1" x="119"/>
        <item m="1" x="99"/>
        <item m="1" x="78"/>
        <item m="1" x="59"/>
        <item m="1" x="72"/>
        <item m="1" x="43"/>
        <item m="1" x="48"/>
        <item m="1" x="57"/>
        <item m="1" x="85"/>
        <item m="1" x="120"/>
        <item m="1" x="113"/>
        <item m="1" x="100"/>
        <item m="1" x="73"/>
        <item m="1" x="86"/>
        <item m="1" x="77"/>
        <item m="1" x="102"/>
        <item m="1" x="87"/>
        <item m="1" x="70"/>
        <item m="1" x="76"/>
        <item m="1" x="39"/>
        <item m="1" x="79"/>
        <item m="1" x="91"/>
        <item m="1" x="104"/>
        <item m="1" x="112"/>
        <item m="1" x="117"/>
        <item m="1" x="126"/>
        <item m="1" x="37"/>
        <item m="1" x="51"/>
        <item m="1" x="125"/>
        <item m="1" x="38"/>
        <item m="1" x="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  <pivotField axis="axisRow" compact="0" outline="0" showAll="0" defaultSubtotal="0">
      <items count="21">
        <item m="1" x="20"/>
        <item x="1"/>
        <item x="2"/>
        <item x="3"/>
        <item x="4"/>
        <item x="5"/>
        <item x="6"/>
        <item x="0"/>
        <item x="7"/>
        <item x="8"/>
        <item m="1" x="19"/>
        <item m="1" x="18"/>
        <item m="1" x="9"/>
        <item m="1" x="10"/>
        <item m="1" x="11"/>
        <item m="1" x="12"/>
        <item m="1" x="13"/>
        <item m="1" x="14"/>
        <item m="1" x="15"/>
        <item m="1" x="16"/>
        <item m="1" x="17"/>
      </items>
    </pivotField>
    <pivotField axis="axisRow" compact="0" outline="0" showAll="0" defaultSubtotal="0">
      <items count="5">
        <item x="1"/>
        <item x="0"/>
        <item m="1" x="4"/>
        <item x="2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51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8"/>
      <x v="3"/>
    </i>
    <i r="2">
      <x v="9"/>
      <x v="3"/>
    </i>
    <i r="1">
      <x v="107"/>
      <x v="8"/>
      <x v="3"/>
    </i>
    <i r="2">
      <x v="9"/>
      <x v="3"/>
    </i>
    <i r="1">
      <x v="108"/>
      <x v="8"/>
      <x v="3"/>
    </i>
    <i r="2">
      <x v="9"/>
      <x v="3"/>
    </i>
    <i r="1">
      <x v="109"/>
      <x v="8"/>
      <x v="3"/>
    </i>
    <i r="2">
      <x v="9"/>
      <x v="3"/>
    </i>
    <i r="1">
      <x v="110"/>
      <x v="8"/>
      <x v="3"/>
    </i>
    <i r="2">
      <x v="9"/>
      <x v="3"/>
    </i>
    <i r="1">
      <x v="111"/>
      <x v="8"/>
      <x v="3"/>
    </i>
    <i r="2">
      <x v="9"/>
      <x v="3"/>
    </i>
    <i r="1">
      <x v="112"/>
      <x v="8"/>
      <x v="3"/>
    </i>
    <i r="2">
      <x v="9"/>
      <x v="3"/>
    </i>
    <i r="1">
      <x v="113"/>
      <x v="8"/>
      <x v="3"/>
    </i>
    <i r="2">
      <x v="9"/>
      <x v="3"/>
    </i>
    <i r="1">
      <x v="114"/>
      <x v="8"/>
      <x v="3"/>
    </i>
    <i r="2">
      <x v="9"/>
      <x v="3"/>
    </i>
    <i r="1">
      <x v="115"/>
      <x v="8"/>
      <x v="3"/>
    </i>
    <i r="2">
      <x v="9"/>
      <x v="3"/>
    </i>
    <i r="1">
      <x v="116"/>
      <x v="8"/>
      <x v="3"/>
    </i>
    <i r="2">
      <x v="9"/>
      <x v="3"/>
    </i>
    <i r="1">
      <x v="117"/>
      <x v="7"/>
      <x v="1"/>
    </i>
    <i r="1">
      <x v="118"/>
      <x v="7"/>
      <x v="1"/>
    </i>
    <i r="1">
      <x v="119"/>
      <x v="7"/>
      <x v="1"/>
    </i>
    <i r="1">
      <x v="120"/>
      <x v="7"/>
      <x v="1"/>
    </i>
    <i r="1">
      <x v="121"/>
      <x v="7"/>
      <x v="1"/>
    </i>
    <i r="1">
      <x v="122"/>
      <x v="7"/>
      <x v="1"/>
    </i>
    <i r="1">
      <x v="123"/>
      <x v="7"/>
      <x v="1"/>
    </i>
    <i r="1">
      <x v="124"/>
      <x v="7"/>
      <x v="1"/>
    </i>
    <i r="1">
      <x v="125"/>
      <x v="7"/>
      <x v="1"/>
    </i>
    <i r="1">
      <x v="126"/>
      <x v="7"/>
      <x v="1"/>
    </i>
    <i r="1">
      <x v="127"/>
      <x v="7"/>
      <x v="1"/>
    </i>
    <i r="1">
      <x v="128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88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69">
        <item m="1" x="218"/>
        <item m="1" x="194"/>
        <item m="1" x="219"/>
        <item m="1" x="195"/>
        <item m="1" x="220"/>
        <item m="1" x="196"/>
        <item m="1" x="221"/>
        <item m="1" x="197"/>
        <item m="1" x="253"/>
        <item m="1" x="208"/>
        <item x="80"/>
        <item m="1" x="252"/>
        <item m="1" x="239"/>
        <item m="1" x="256"/>
        <item m="1" x="241"/>
        <item x="4"/>
        <item x="5"/>
        <item m="1" x="233"/>
        <item m="1" x="201"/>
        <item m="1" x="250"/>
        <item m="1" x="240"/>
        <item m="1" x="238"/>
        <item m="1" x="204"/>
        <item m="1" x="248"/>
        <item m="1" x="213"/>
        <item m="1" x="249"/>
        <item m="1" x="214"/>
        <item m="1" x="247"/>
        <item m="1" x="265"/>
        <item m="1" x="207"/>
        <item m="1" x="268"/>
        <item m="1" x="235"/>
        <item m="1" x="202"/>
        <item m="1" x="263"/>
        <item m="1" x="259"/>
        <item m="1" x="236"/>
        <item m="1" x="203"/>
        <item m="1" x="264"/>
        <item m="1" x="260"/>
        <item m="1" x="198"/>
        <item m="1" x="232"/>
        <item m="1" x="216"/>
        <item m="1" x="206"/>
        <item m="1" x="257"/>
        <item m="1" x="228"/>
        <item m="1" x="258"/>
        <item m="1" x="229"/>
        <item m="1" x="215"/>
        <item m="1" x="210"/>
        <item m="1" x="237"/>
        <item m="1" x="212"/>
        <item m="1" x="267"/>
        <item m="1" x="261"/>
        <item m="1" x="211"/>
        <item m="1" x="209"/>
        <item m="1" x="254"/>
        <item m="1" x="262"/>
        <item m="1" x="199"/>
        <item m="1" x="217"/>
        <item m="1" x="230"/>
        <item m="1" x="251"/>
        <item m="1" x="266"/>
        <item m="1" x="200"/>
        <item m="1" x="227"/>
        <item m="1" x="231"/>
        <item m="1" x="255"/>
        <item m="1" x="234"/>
        <item m="1" x="205"/>
        <item m="1" x="222"/>
        <item m="1" x="242"/>
        <item m="1" x="223"/>
        <item m="1" x="243"/>
        <item m="1" x="224"/>
        <item m="1" x="244"/>
        <item m="1" x="225"/>
        <item m="1" x="245"/>
        <item m="1" x="226"/>
        <item m="1" x="246"/>
        <item m="1" x="193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x="0"/>
        <item x="1"/>
        <item m="1" x="98"/>
        <item x="2"/>
        <item x="3"/>
        <item x="6"/>
        <item x="7"/>
        <item x="8"/>
        <item x="9"/>
        <item m="1" x="99"/>
        <item m="1" x="100"/>
        <item x="10"/>
        <item x="11"/>
        <item m="1" x="101"/>
        <item m="1" x="102"/>
        <item m="1" x="103"/>
        <item x="12"/>
        <item x="13"/>
        <item m="1" x="104"/>
        <item m="1" x="105"/>
        <item m="1" x="106"/>
        <item x="14"/>
        <item x="15"/>
        <item m="1" x="107"/>
        <item m="1" x="108"/>
        <item m="1" x="109"/>
        <item x="16"/>
        <item x="17"/>
        <item m="1" x="110"/>
        <item m="1" x="111"/>
        <item m="1" x="112"/>
        <item x="18"/>
        <item x="19"/>
        <item m="1" x="113"/>
        <item m="1" x="114"/>
        <item m="1" x="115"/>
        <item x="20"/>
        <item x="21"/>
        <item m="1" x="116"/>
        <item m="1" x="117"/>
        <item m="1" x="118"/>
        <item x="22"/>
        <item x="23"/>
        <item m="1" x="119"/>
        <item m="1" x="120"/>
        <item m="1" x="121"/>
        <item x="24"/>
        <item x="25"/>
        <item m="1" x="122"/>
        <item m="1" x="123"/>
        <item m="1" x="124"/>
        <item x="26"/>
        <item x="27"/>
        <item m="1" x="125"/>
        <item m="1" x="126"/>
        <item m="1" x="127"/>
        <item x="28"/>
        <item x="29"/>
        <item m="1" x="128"/>
        <item m="1" x="129"/>
        <item m="1" x="130"/>
        <item x="30"/>
        <item x="31"/>
        <item m="1" x="131"/>
        <item m="1" x="132"/>
        <item m="1" x="133"/>
        <item x="32"/>
        <item x="33"/>
        <item m="1" x="134"/>
        <item m="1" x="135"/>
        <item m="1" x="136"/>
        <item x="34"/>
        <item x="35"/>
        <item m="1" x="137"/>
        <item m="1" x="138"/>
        <item m="1" x="139"/>
        <item x="36"/>
        <item x="37"/>
        <item m="1" x="140"/>
        <item m="1" x="141"/>
        <item m="1" x="142"/>
        <item x="38"/>
        <item x="39"/>
        <item m="1" x="143"/>
        <item m="1" x="144"/>
        <item m="1" x="145"/>
        <item x="40"/>
        <item x="41"/>
        <item m="1" x="146"/>
        <item m="1" x="147"/>
        <item m="1" x="148"/>
        <item x="42"/>
        <item x="43"/>
        <item m="1" x="149"/>
        <item m="1" x="150"/>
        <item m="1" x="151"/>
        <item x="44"/>
        <item x="45"/>
        <item m="1" x="152"/>
        <item m="1" x="153"/>
        <item x="46"/>
        <item x="47"/>
        <item x="48"/>
        <item m="1" x="154"/>
        <item m="1" x="155"/>
        <item m="1" x="156"/>
        <item x="49"/>
        <item x="50"/>
        <item x="51"/>
        <item m="1" x="157"/>
        <item m="1" x="158"/>
        <item m="1" x="159"/>
        <item x="52"/>
        <item x="53"/>
        <item x="54"/>
        <item m="1" x="160"/>
        <item m="1" x="161"/>
        <item m="1" x="162"/>
        <item x="55"/>
        <item x="56"/>
        <item x="57"/>
        <item m="1" x="163"/>
        <item m="1" x="164"/>
        <item m="1" x="165"/>
        <item x="58"/>
        <item x="59"/>
        <item x="60"/>
        <item m="1" x="166"/>
        <item m="1" x="167"/>
        <item m="1" x="168"/>
        <item x="61"/>
        <item x="62"/>
        <item x="63"/>
        <item m="1" x="169"/>
        <item m="1" x="170"/>
        <item m="1" x="171"/>
        <item x="64"/>
        <item x="65"/>
        <item x="66"/>
        <item m="1" x="172"/>
        <item m="1" x="173"/>
        <item m="1" x="174"/>
        <item x="67"/>
        <item x="68"/>
        <item x="69"/>
        <item m="1" x="175"/>
        <item m="1" x="176"/>
        <item m="1" x="177"/>
        <item x="70"/>
        <item x="71"/>
        <item x="72"/>
        <item m="1" x="178"/>
        <item m="1" x="179"/>
        <item m="1" x="180"/>
        <item x="73"/>
        <item x="74"/>
        <item x="75"/>
        <item m="1" x="181"/>
        <item m="1" x="182"/>
        <item m="1" x="183"/>
        <item m="1" x="184"/>
        <item x="76"/>
        <item x="77"/>
        <item m="1" x="185"/>
        <item m="1" x="186"/>
        <item m="1" x="187"/>
        <item x="78"/>
        <item x="79"/>
        <item m="1" x="188"/>
        <item m="1" x="189"/>
        <item x="81"/>
        <item x="82"/>
        <item m="1" x="190"/>
        <item x="83"/>
        <item x="84"/>
        <item x="85"/>
        <item m="1" x="191"/>
        <item m="1" x="192"/>
      </items>
    </pivotField>
    <pivotField axis="axisRow" compact="0" outline="0" showAll="0" defaultSubtotal="0">
      <items count="19">
        <item x="2"/>
        <item x="3"/>
        <item x="1"/>
        <item x="0"/>
        <item x="4"/>
        <item m="1" x="18"/>
        <item m="1" x="17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</items>
    </pivotField>
    <pivotField axis="axisRow" compact="0" outline="0" showAll="0" defaultSubtotal="0">
      <items count="5">
        <item x="1"/>
        <item x="0"/>
        <item x="3"/>
        <item x="2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86">
    <i>
      <x v="3"/>
      <x v="10"/>
      <x v="1"/>
      <x v="2"/>
    </i>
    <i r="1">
      <x v="15"/>
      <x/>
      <x/>
    </i>
    <i r="1">
      <x v="16"/>
      <x v="1"/>
      <x/>
    </i>
    <i r="1">
      <x v="91"/>
      <x v="3"/>
      <x v="1"/>
    </i>
    <i r="1">
      <x v="92"/>
      <x v="2"/>
      <x v="1"/>
    </i>
    <i r="1">
      <x v="94"/>
      <x/>
      <x/>
    </i>
    <i r="1">
      <x v="95"/>
      <x v="1"/>
      <x/>
    </i>
    <i r="1">
      <x v="96"/>
      <x/>
      <x/>
    </i>
    <i r="1">
      <x v="97"/>
      <x v="1"/>
      <x/>
    </i>
    <i r="1">
      <x v="98"/>
      <x/>
      <x/>
    </i>
    <i r="1">
      <x v="99"/>
      <x v="1"/>
      <x/>
    </i>
    <i r="1">
      <x v="102"/>
      <x v="3"/>
      <x v="1"/>
    </i>
    <i r="1">
      <x v="103"/>
      <x v="2"/>
      <x v="1"/>
    </i>
    <i r="1">
      <x v="107"/>
      <x v="3"/>
      <x v="1"/>
    </i>
    <i r="1">
      <x v="108"/>
      <x v="2"/>
      <x v="1"/>
    </i>
    <i r="1">
      <x v="112"/>
      <x v="3"/>
      <x v="1"/>
    </i>
    <i r="1">
      <x v="113"/>
      <x v="2"/>
      <x v="1"/>
    </i>
    <i r="1">
      <x v="117"/>
      <x v="3"/>
      <x v="1"/>
    </i>
    <i r="1">
      <x v="118"/>
      <x v="2"/>
      <x v="1"/>
    </i>
    <i r="1">
      <x v="122"/>
      <x v="3"/>
      <x v="1"/>
    </i>
    <i r="1">
      <x v="123"/>
      <x v="2"/>
      <x v="1"/>
    </i>
    <i r="1">
      <x v="127"/>
      <x v="3"/>
      <x v="1"/>
    </i>
    <i r="1">
      <x v="128"/>
      <x v="2"/>
      <x v="1"/>
    </i>
    <i r="1">
      <x v="132"/>
      <x v="3"/>
      <x v="1"/>
    </i>
    <i r="1">
      <x v="133"/>
      <x v="2"/>
      <x v="1"/>
    </i>
    <i r="1">
      <x v="137"/>
      <x v="3"/>
      <x v="1"/>
    </i>
    <i r="1">
      <x v="138"/>
      <x v="2"/>
      <x v="1"/>
    </i>
    <i r="1">
      <x v="142"/>
      <x v="3"/>
      <x v="1"/>
    </i>
    <i r="1">
      <x v="143"/>
      <x v="2"/>
      <x v="1"/>
    </i>
    <i r="1">
      <x v="147"/>
      <x v="3"/>
      <x v="1"/>
    </i>
    <i r="1">
      <x v="148"/>
      <x v="2"/>
      <x v="1"/>
    </i>
    <i r="1">
      <x v="152"/>
      <x v="3"/>
      <x v="1"/>
    </i>
    <i r="1">
      <x v="153"/>
      <x v="2"/>
      <x v="1"/>
    </i>
    <i r="1">
      <x v="157"/>
      <x v="3"/>
      <x v="1"/>
    </i>
    <i r="1">
      <x v="158"/>
      <x v="2"/>
      <x v="1"/>
    </i>
    <i r="1">
      <x v="162"/>
      <x v="3"/>
      <x v="1"/>
    </i>
    <i r="1">
      <x v="163"/>
      <x v="2"/>
      <x v="1"/>
    </i>
    <i r="1">
      <x v="167"/>
      <x v="3"/>
      <x v="1"/>
    </i>
    <i r="1">
      <x v="168"/>
      <x v="2"/>
      <x v="1"/>
    </i>
    <i r="1">
      <x v="172"/>
      <x v="3"/>
      <x v="1"/>
    </i>
    <i r="1">
      <x v="173"/>
      <x v="2"/>
      <x v="1"/>
    </i>
    <i r="1">
      <x v="177"/>
      <x v="3"/>
      <x v="1"/>
    </i>
    <i r="1">
      <x v="178"/>
      <x v="2"/>
      <x v="1"/>
    </i>
    <i r="1">
      <x v="182"/>
      <x v="3"/>
      <x v="1"/>
    </i>
    <i r="1">
      <x v="183"/>
      <x v="2"/>
      <x v="1"/>
    </i>
    <i r="1">
      <x v="187"/>
      <x v="3"/>
      <x v="1"/>
    </i>
    <i r="1">
      <x v="188"/>
      <x v="2"/>
      <x v="1"/>
    </i>
    <i r="1">
      <x v="191"/>
      <x v="4"/>
      <x v="3"/>
    </i>
    <i r="1">
      <x v="192"/>
      <x/>
      <x v="3"/>
    </i>
    <i r="1">
      <x v="193"/>
      <x v="1"/>
      <x v="3"/>
    </i>
    <i r="1">
      <x v="197"/>
      <x v="4"/>
      <x v="3"/>
    </i>
    <i r="1">
      <x v="198"/>
      <x/>
      <x v="3"/>
    </i>
    <i r="1">
      <x v="199"/>
      <x v="1"/>
      <x v="3"/>
    </i>
    <i r="1">
      <x v="203"/>
      <x v="4"/>
      <x v="3"/>
    </i>
    <i r="1">
      <x v="204"/>
      <x/>
      <x v="3"/>
    </i>
    <i r="1">
      <x v="205"/>
      <x v="1"/>
      <x v="3"/>
    </i>
    <i r="1">
      <x v="209"/>
      <x v="4"/>
      <x v="3"/>
    </i>
    <i r="1">
      <x v="210"/>
      <x/>
      <x v="3"/>
    </i>
    <i r="1">
      <x v="211"/>
      <x v="1"/>
      <x v="3"/>
    </i>
    <i r="1">
      <x v="215"/>
      <x v="4"/>
      <x v="3"/>
    </i>
    <i r="1">
      <x v="216"/>
      <x/>
      <x v="3"/>
    </i>
    <i r="1">
      <x v="217"/>
      <x v="1"/>
      <x v="3"/>
    </i>
    <i r="1">
      <x v="221"/>
      <x v="4"/>
      <x v="3"/>
    </i>
    <i r="1">
      <x v="222"/>
      <x/>
      <x v="3"/>
    </i>
    <i r="1">
      <x v="223"/>
      <x v="1"/>
      <x v="3"/>
    </i>
    <i r="1">
      <x v="227"/>
      <x v="4"/>
      <x v="3"/>
    </i>
    <i r="1">
      <x v="228"/>
      <x/>
      <x v="3"/>
    </i>
    <i r="1">
      <x v="229"/>
      <x v="1"/>
      <x v="3"/>
    </i>
    <i r="1">
      <x v="233"/>
      <x v="4"/>
      <x v="3"/>
    </i>
    <i r="1">
      <x v="234"/>
      <x/>
      <x v="3"/>
    </i>
    <i r="1">
      <x v="235"/>
      <x v="1"/>
      <x v="3"/>
    </i>
    <i r="1">
      <x v="239"/>
      <x v="4"/>
      <x v="3"/>
    </i>
    <i r="1">
      <x v="240"/>
      <x/>
      <x v="3"/>
    </i>
    <i r="1">
      <x v="241"/>
      <x v="1"/>
      <x v="3"/>
    </i>
    <i r="1">
      <x v="245"/>
      <x v="4"/>
      <x v="3"/>
    </i>
    <i r="1">
      <x v="246"/>
      <x/>
      <x v="3"/>
    </i>
    <i r="1">
      <x v="247"/>
      <x v="1"/>
      <x v="3"/>
    </i>
    <i r="1">
      <x v="252"/>
      <x v="3"/>
      <x v="1"/>
    </i>
    <i r="1">
      <x v="253"/>
      <x v="2"/>
      <x v="1"/>
    </i>
    <i r="1">
      <x v="257"/>
      <x v="3"/>
      <x v="1"/>
    </i>
    <i r="1">
      <x v="258"/>
      <x v="2"/>
      <x v="1"/>
    </i>
    <i r="1">
      <x v="261"/>
      <x/>
      <x/>
    </i>
    <i r="1">
      <x v="262"/>
      <x v="1"/>
      <x/>
    </i>
    <i r="1">
      <x v="264"/>
      <x v="4"/>
      <x v="3"/>
    </i>
    <i r="1">
      <x v="265"/>
      <x/>
      <x v="3"/>
    </i>
    <i r="1">
      <x v="266"/>
      <x v="1"/>
      <x v="3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9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">
        <item m="1" x="10"/>
        <item m="1" x="9"/>
        <item m="1" x="8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4"/>
      <x/>
      <x/>
    </i>
    <i r="1">
      <x v="5"/>
      <x/>
      <x/>
    </i>
    <i r="1">
      <x v="6"/>
      <x/>
      <x/>
    </i>
    <i r="1">
      <x v="7"/>
      <x/>
      <x/>
    </i>
    <i r="1">
      <x v="8"/>
      <x/>
      <x/>
    </i>
    <i r="1">
      <x v="9"/>
      <x/>
      <x/>
    </i>
    <i r="1">
      <x v="10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511" tableType="queryTable" totalsRowShown="0">
  <autoFilter ref="A1:Y511" xr:uid="{C3D003CA-1AFF-426C-A03D-D3AF5760DF1A}"/>
  <sortState xmlns:xlrd2="http://schemas.microsoft.com/office/spreadsheetml/2017/richdata2" ref="A2:Y511">
    <sortCondition ref="D1:D5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851" tableType="queryTable" totalsRowShown="0">
  <autoFilter ref="A1:U8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71" tableType="queryTable" totalsRowShown="0">
  <autoFilter ref="A1:O7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61" tableType="queryTable" totalsRowShown="0">
  <autoFilter ref="A1:P86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51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243</v>
      </c>
      <c r="D2">
        <v>1</v>
      </c>
      <c r="E2">
        <v>10</v>
      </c>
      <c r="F2">
        <v>604800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88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3.85546875" bestFit="1" customWidth="1"/>
    <col min="31" max="31" width="26.28515625" bestFit="1" customWidth="1"/>
    <col min="32" max="32" width="12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72</v>
      </c>
      <c r="D3" t="s">
        <v>71</v>
      </c>
      <c r="E3" s="5">
        <v>170.47199803339521</v>
      </c>
      <c r="F3" s="5">
        <v>1</v>
      </c>
      <c r="G3" s="5">
        <v>21.503139325011034</v>
      </c>
      <c r="H3" s="5">
        <v>30.059316049844405</v>
      </c>
      <c r="I3" s="5">
        <v>120.507270325354</v>
      </c>
      <c r="J3" s="5">
        <v>209.03793617917299</v>
      </c>
      <c r="K3" s="5">
        <v>0</v>
      </c>
      <c r="L3" s="5">
        <v>50618.374492511401</v>
      </c>
      <c r="M3" s="5">
        <v>6415.5</v>
      </c>
      <c r="O3" t="s">
        <v>67</v>
      </c>
      <c r="P3" t="s">
        <v>118</v>
      </c>
      <c r="Q3" t="s">
        <v>117</v>
      </c>
      <c r="R3" t="s">
        <v>76</v>
      </c>
      <c r="S3" s="5">
        <v>95.041511376368575</v>
      </c>
      <c r="T3" s="5">
        <v>4.6900867955271215</v>
      </c>
      <c r="U3" s="5">
        <v>6.556289254191463</v>
      </c>
      <c r="V3" s="5">
        <v>81.860988802888798</v>
      </c>
      <c r="W3" s="5">
        <v>104.034812219697</v>
      </c>
      <c r="X3" s="5">
        <v>0</v>
      </c>
      <c r="Y3" s="5">
        <v>211</v>
      </c>
      <c r="AA3" t="s">
        <v>67</v>
      </c>
      <c r="AB3" t="s">
        <v>141</v>
      </c>
      <c r="AC3" t="s">
        <v>142</v>
      </c>
      <c r="AD3" t="s">
        <v>143</v>
      </c>
      <c r="AE3" s="5">
        <v>1283.0999999999999</v>
      </c>
      <c r="AF3" s="5">
        <v>2.2983140734329779</v>
      </c>
      <c r="AG3" s="5">
        <v>3.2128215360057308</v>
      </c>
      <c r="AH3" s="5">
        <v>1277</v>
      </c>
      <c r="AI3" s="5">
        <v>1288</v>
      </c>
      <c r="AK3" t="s">
        <v>67</v>
      </c>
      <c r="AL3" t="s">
        <v>236</v>
      </c>
      <c r="AM3" t="s">
        <v>158</v>
      </c>
      <c r="AN3" t="s">
        <v>150</v>
      </c>
      <c r="AO3" s="5">
        <v>2503.1</v>
      </c>
      <c r="AP3" s="5">
        <v>21.262271777248003</v>
      </c>
      <c r="AQ3" s="5">
        <v>29.72260643573059</v>
      </c>
      <c r="AR3" s="5">
        <v>2457</v>
      </c>
      <c r="AS3" s="5">
        <v>2546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73</v>
      </c>
      <c r="C4" t="s">
        <v>72</v>
      </c>
      <c r="D4" t="s">
        <v>71</v>
      </c>
      <c r="E4" s="5">
        <v>20.195659319651877</v>
      </c>
      <c r="F4" s="5">
        <v>1</v>
      </c>
      <c r="G4" s="5">
        <v>3.7490314020010005</v>
      </c>
      <c r="H4" s="5">
        <v>5.2407845240746731</v>
      </c>
      <c r="I4" s="5">
        <v>11.8244227773218</v>
      </c>
      <c r="J4" s="5">
        <v>27.492403120005601</v>
      </c>
      <c r="K4" s="5">
        <v>0</v>
      </c>
      <c r="L4" s="5">
        <v>50432.030782025897</v>
      </c>
      <c r="M4" s="5">
        <v>13099.4</v>
      </c>
      <c r="P4" t="s">
        <v>111</v>
      </c>
      <c r="Q4" t="s">
        <v>112</v>
      </c>
      <c r="R4" t="s">
        <v>113</v>
      </c>
      <c r="S4" s="5">
        <v>3.6074566243936998E-2</v>
      </c>
      <c r="T4" s="5">
        <v>4.7758430005936653E-5</v>
      </c>
      <c r="U4" s="5">
        <v>6.6761681626786623E-5</v>
      </c>
      <c r="V4" s="5">
        <v>3.5941735992799297E-2</v>
      </c>
      <c r="W4" s="5">
        <v>3.6177689828441002E-2</v>
      </c>
      <c r="X4" s="5">
        <v>0</v>
      </c>
      <c r="Y4" s="5">
        <v>1</v>
      </c>
      <c r="AB4" t="s">
        <v>144</v>
      </c>
      <c r="AC4" t="s">
        <v>142</v>
      </c>
      <c r="AD4" t="s">
        <v>143</v>
      </c>
      <c r="AE4" s="5">
        <v>971.6</v>
      </c>
      <c r="AF4" s="5">
        <v>22.259749091740982</v>
      </c>
      <c r="AG4" s="5">
        <v>31.116983572747966</v>
      </c>
      <c r="AH4" s="5">
        <v>924</v>
      </c>
      <c r="AI4" s="5">
        <v>1012</v>
      </c>
      <c r="AL4" t="s">
        <v>159</v>
      </c>
      <c r="AM4" t="s">
        <v>156</v>
      </c>
      <c r="AN4" t="s">
        <v>76</v>
      </c>
      <c r="AO4" s="5">
        <v>19822.900000000001</v>
      </c>
      <c r="AP4" s="5">
        <v>14.415817276026377</v>
      </c>
      <c r="AQ4" s="5">
        <v>20.151922985164472</v>
      </c>
      <c r="AR4" s="5">
        <v>19788</v>
      </c>
      <c r="AS4" s="5">
        <v>19852</v>
      </c>
    </row>
    <row r="5" spans="1:52" x14ac:dyDescent="0.25">
      <c r="B5" t="s">
        <v>74</v>
      </c>
      <c r="C5" t="s">
        <v>72</v>
      </c>
      <c r="D5" t="s">
        <v>71</v>
      </c>
      <c r="E5" s="5">
        <v>12.100658836843866</v>
      </c>
      <c r="F5" s="5">
        <v>1</v>
      </c>
      <c r="G5" s="5">
        <v>3.1568012921002597</v>
      </c>
      <c r="H5" s="5">
        <v>4.4129039165656891</v>
      </c>
      <c r="I5" s="5">
        <v>8.4362246192315506</v>
      </c>
      <c r="J5" s="5">
        <v>19.7718299749537</v>
      </c>
      <c r="K5" s="5">
        <v>0</v>
      </c>
      <c r="L5" s="5">
        <v>50417.572064709399</v>
      </c>
      <c r="M5" s="5">
        <v>18388.8</v>
      </c>
      <c r="Q5" t="s">
        <v>114</v>
      </c>
      <c r="R5" t="s">
        <v>113</v>
      </c>
      <c r="S5" s="5">
        <v>3.6074566243937005E-2</v>
      </c>
      <c r="T5" s="5">
        <v>4.7758430005935684E-5</v>
      </c>
      <c r="U5" s="5">
        <v>6.6761681626785268E-5</v>
      </c>
      <c r="V5" s="5">
        <v>3.5941735992799297E-2</v>
      </c>
      <c r="W5" s="5">
        <v>3.6177689828441002E-2</v>
      </c>
      <c r="X5" s="5">
        <v>0</v>
      </c>
      <c r="Y5" s="5">
        <v>1</v>
      </c>
      <c r="AB5" t="s">
        <v>145</v>
      </c>
      <c r="AC5" t="s">
        <v>142</v>
      </c>
      <c r="AD5" t="s">
        <v>143</v>
      </c>
      <c r="AE5" s="5">
        <v>6549.7</v>
      </c>
      <c r="AF5" s="5">
        <v>4.1170155509439503</v>
      </c>
      <c r="AG5" s="5">
        <v>5.7551908936387353</v>
      </c>
      <c r="AH5" s="5">
        <v>6541</v>
      </c>
      <c r="AI5" s="5">
        <v>6559</v>
      </c>
      <c r="AL5" t="s">
        <v>160</v>
      </c>
      <c r="AM5" t="s">
        <v>158</v>
      </c>
      <c r="AN5" t="s">
        <v>76</v>
      </c>
      <c r="AO5" s="5">
        <v>19635.599999999999</v>
      </c>
      <c r="AP5" s="5">
        <v>10.792173111314252</v>
      </c>
      <c r="AQ5" s="5">
        <v>15.086417732516889</v>
      </c>
      <c r="AR5" s="5">
        <v>19614</v>
      </c>
      <c r="AS5" s="5">
        <v>19662</v>
      </c>
    </row>
    <row r="6" spans="1:52" x14ac:dyDescent="0.25">
      <c r="B6" t="s">
        <v>75</v>
      </c>
      <c r="C6" t="s">
        <v>77</v>
      </c>
      <c r="D6" t="s">
        <v>76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1090.3</v>
      </c>
      <c r="Q6" t="s">
        <v>115</v>
      </c>
      <c r="R6" t="s">
        <v>113</v>
      </c>
      <c r="S6" s="5">
        <v>0.476190476190476</v>
      </c>
      <c r="T6" s="5">
        <v>0</v>
      </c>
      <c r="U6" s="5">
        <v>0</v>
      </c>
      <c r="V6" s="5">
        <v>0.476190476190476</v>
      </c>
      <c r="W6" s="5">
        <v>0.476190476190476</v>
      </c>
      <c r="X6" s="5">
        <v>0</v>
      </c>
      <c r="Y6" s="5">
        <v>1</v>
      </c>
      <c r="AB6" t="s">
        <v>146</v>
      </c>
      <c r="AC6" t="s">
        <v>142</v>
      </c>
      <c r="AD6" t="s">
        <v>143</v>
      </c>
      <c r="AE6" s="5">
        <v>8227.7000000000007</v>
      </c>
      <c r="AF6" s="5">
        <v>4.4997408887103267</v>
      </c>
      <c r="AG6" s="5">
        <v>6.2902040242480748</v>
      </c>
      <c r="AH6" s="5">
        <v>8216</v>
      </c>
      <c r="AI6" s="5">
        <v>8237</v>
      </c>
      <c r="AL6" t="s">
        <v>151</v>
      </c>
      <c r="AM6" t="s">
        <v>152</v>
      </c>
      <c r="AN6" t="s">
        <v>113</v>
      </c>
      <c r="AO6" s="5">
        <v>6547.7</v>
      </c>
      <c r="AP6" s="5">
        <v>4.1031814541969078</v>
      </c>
      <c r="AQ6" s="5">
        <v>5.735852159879995</v>
      </c>
      <c r="AR6" s="5">
        <v>6540</v>
      </c>
      <c r="AS6" s="5">
        <v>6557</v>
      </c>
    </row>
    <row r="7" spans="1:52" x14ac:dyDescent="0.25">
      <c r="C7" t="s">
        <v>78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1090.3</v>
      </c>
      <c r="P7" t="s">
        <v>70</v>
      </c>
      <c r="Q7" t="s">
        <v>116</v>
      </c>
      <c r="R7" t="s">
        <v>71</v>
      </c>
      <c r="S7" s="5">
        <v>1.983224619189873</v>
      </c>
      <c r="T7" s="5">
        <v>0.21453731828040576</v>
      </c>
      <c r="U7" s="5">
        <v>0.29990249131557767</v>
      </c>
      <c r="V7" s="5">
        <v>1.4478959937017499</v>
      </c>
      <c r="W7" s="5">
        <v>2.3267973127516899</v>
      </c>
      <c r="X7" s="5">
        <v>0</v>
      </c>
      <c r="Y7" s="5">
        <v>5</v>
      </c>
      <c r="AB7" t="s">
        <v>147</v>
      </c>
      <c r="AC7" t="s">
        <v>142</v>
      </c>
      <c r="AD7" t="s">
        <v>143</v>
      </c>
      <c r="AE7" s="5">
        <v>9194.4</v>
      </c>
      <c r="AF7" s="5">
        <v>4.3080089259303831</v>
      </c>
      <c r="AG7" s="5">
        <v>6.0221812216726489</v>
      </c>
      <c r="AH7" s="5">
        <v>9188</v>
      </c>
      <c r="AI7" s="5">
        <v>9202</v>
      </c>
      <c r="AL7" t="s">
        <v>153</v>
      </c>
      <c r="AM7" t="s">
        <v>154</v>
      </c>
      <c r="AN7" t="s">
        <v>113</v>
      </c>
      <c r="AO7" s="5">
        <v>7.575658911226775E-2</v>
      </c>
      <c r="AP7" s="5">
        <v>1.0029270301248135E-4</v>
      </c>
      <c r="AQ7" s="5">
        <v>1.4019953141627205E-4</v>
      </c>
      <c r="AR7" s="5">
        <v>7.5477645584878503E-2</v>
      </c>
      <c r="AS7" s="5">
        <v>7.5973148639726207E-2</v>
      </c>
    </row>
    <row r="8" spans="1:52" x14ac:dyDescent="0.25">
      <c r="C8" t="s">
        <v>79</v>
      </c>
      <c r="D8" t="s">
        <v>76</v>
      </c>
      <c r="E8" s="5">
        <v>9742.1197042971507</v>
      </c>
      <c r="F8" s="5">
        <v>1</v>
      </c>
      <c r="G8" s="5">
        <v>1574.7085020875541</v>
      </c>
      <c r="H8" s="5">
        <v>2201.2906969156033</v>
      </c>
      <c r="I8" s="5">
        <v>6027.1337102524203</v>
      </c>
      <c r="J8" s="5">
        <v>13957.3299192006</v>
      </c>
      <c r="K8" s="5">
        <v>0</v>
      </c>
      <c r="L8" s="5">
        <v>157886.223189824</v>
      </c>
      <c r="M8" s="5">
        <v>1090.3</v>
      </c>
      <c r="P8" t="s">
        <v>73</v>
      </c>
      <c r="Q8" t="s">
        <v>116</v>
      </c>
      <c r="R8" t="s">
        <v>71</v>
      </c>
      <c r="S8" s="5">
        <v>0.47900820660242172</v>
      </c>
      <c r="T8" s="5">
        <v>9.8127530789884315E-2</v>
      </c>
      <c r="U8" s="5">
        <v>0.13717282935395095</v>
      </c>
      <c r="V8" s="5">
        <v>0.25584390949740998</v>
      </c>
      <c r="W8" s="5">
        <v>0.66613303676888702</v>
      </c>
      <c r="X8" s="5">
        <v>0</v>
      </c>
      <c r="Y8" s="5">
        <v>2</v>
      </c>
      <c r="AB8" t="s">
        <v>148</v>
      </c>
      <c r="AC8" t="s">
        <v>142</v>
      </c>
      <c r="AD8" t="s">
        <v>143</v>
      </c>
      <c r="AE8" s="5">
        <v>118.7</v>
      </c>
      <c r="AF8" s="5">
        <v>9.0048505491583946</v>
      </c>
      <c r="AG8" s="5">
        <v>12.587913073879887</v>
      </c>
      <c r="AH8" s="5">
        <v>95</v>
      </c>
      <c r="AI8" s="5">
        <v>141</v>
      </c>
      <c r="AL8" t="s">
        <v>155</v>
      </c>
      <c r="AM8" t="s">
        <v>156</v>
      </c>
      <c r="AN8" t="s">
        <v>76</v>
      </c>
      <c r="AO8" s="5">
        <v>1090.3</v>
      </c>
      <c r="AP8" s="5">
        <v>23.368447254062772</v>
      </c>
      <c r="AQ8" s="5">
        <v>32.666836734251177</v>
      </c>
      <c r="AR8" s="5">
        <v>1042</v>
      </c>
      <c r="AS8" s="5">
        <v>1141</v>
      </c>
    </row>
    <row r="9" spans="1:52" x14ac:dyDescent="0.25">
      <c r="C9" t="s">
        <v>80</v>
      </c>
      <c r="D9" t="s">
        <v>76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1090.3</v>
      </c>
      <c r="P9" t="s">
        <v>74</v>
      </c>
      <c r="Q9" t="s">
        <v>116</v>
      </c>
      <c r="R9" t="s">
        <v>71</v>
      </c>
      <c r="S9" s="5">
        <v>0.41775820490048837</v>
      </c>
      <c r="T9" s="5">
        <v>0.1080150491722195</v>
      </c>
      <c r="U9" s="5">
        <v>0.15099462697666188</v>
      </c>
      <c r="V9" s="5">
        <v>0.25632285648643699</v>
      </c>
      <c r="W9" s="5">
        <v>0.68422762922173497</v>
      </c>
      <c r="X9" s="5">
        <v>0</v>
      </c>
      <c r="Y9" s="5">
        <v>2</v>
      </c>
      <c r="AB9" t="s">
        <v>149</v>
      </c>
      <c r="AC9" t="s">
        <v>142</v>
      </c>
      <c r="AD9" t="s">
        <v>143</v>
      </c>
      <c r="AE9" s="5">
        <v>129.69999999999999</v>
      </c>
      <c r="AF9" s="5">
        <v>10.344818295195957</v>
      </c>
      <c r="AG9" s="5">
        <v>14.461058820923967</v>
      </c>
      <c r="AH9" s="5">
        <v>105</v>
      </c>
      <c r="AI9" s="5">
        <v>153</v>
      </c>
      <c r="AL9" t="s">
        <v>157</v>
      </c>
      <c r="AM9" t="s">
        <v>158</v>
      </c>
      <c r="AN9" t="s">
        <v>76</v>
      </c>
      <c r="AO9" s="5">
        <v>1090.3</v>
      </c>
      <c r="AP9" s="5">
        <v>23.368447254062772</v>
      </c>
      <c r="AQ9" s="5">
        <v>32.666836734251177</v>
      </c>
      <c r="AR9" s="5">
        <v>1042</v>
      </c>
      <c r="AS9" s="5">
        <v>1141</v>
      </c>
    </row>
    <row r="10" spans="1:52" x14ac:dyDescent="0.25">
      <c r="C10" t="s">
        <v>81</v>
      </c>
      <c r="D10" t="s">
        <v>76</v>
      </c>
      <c r="E10" s="5">
        <v>48.627238016232184</v>
      </c>
      <c r="F10" s="5">
        <v>1</v>
      </c>
      <c r="G10" s="5">
        <v>3.4462520070109122</v>
      </c>
      <c r="H10" s="5">
        <v>4.817528115332455</v>
      </c>
      <c r="I10" s="5">
        <v>40.103310942305598</v>
      </c>
      <c r="J10" s="5">
        <v>56.8255351782406</v>
      </c>
      <c r="K10" s="5">
        <v>0</v>
      </c>
      <c r="L10" s="5">
        <v>599.937375794834</v>
      </c>
      <c r="M10" s="5">
        <v>1090.3</v>
      </c>
      <c r="P10" t="s">
        <v>75</v>
      </c>
      <c r="Q10" t="s">
        <v>117</v>
      </c>
      <c r="R10" t="s">
        <v>76</v>
      </c>
      <c r="S10" s="5">
        <v>17.583529006307167</v>
      </c>
      <c r="T10" s="5">
        <v>2.9801922229780646</v>
      </c>
      <c r="U10" s="5">
        <v>4.1660214616007023</v>
      </c>
      <c r="V10" s="5">
        <v>10.842462759184199</v>
      </c>
      <c r="W10" s="5">
        <v>25.8699848535447</v>
      </c>
      <c r="X10" s="5">
        <v>0</v>
      </c>
      <c r="Y10" s="5">
        <v>139</v>
      </c>
      <c r="AL10" t="s">
        <v>161</v>
      </c>
      <c r="AM10" t="s">
        <v>156</v>
      </c>
      <c r="AN10" t="s">
        <v>76</v>
      </c>
      <c r="AO10" s="5">
        <v>8398</v>
      </c>
      <c r="AP10" s="5">
        <v>17.264341884378119</v>
      </c>
      <c r="AQ10" s="5">
        <v>24.133885813197271</v>
      </c>
      <c r="AR10" s="5">
        <v>8353</v>
      </c>
      <c r="AS10" s="5">
        <v>8437</v>
      </c>
    </row>
    <row r="11" spans="1:52" x14ac:dyDescent="0.25">
      <c r="C11" t="s">
        <v>82</v>
      </c>
      <c r="D11" t="s">
        <v>76</v>
      </c>
      <c r="E11" s="5">
        <v>9693.4924662809171</v>
      </c>
      <c r="F11" s="5">
        <v>1</v>
      </c>
      <c r="G11" s="5">
        <v>1571.3301239944644</v>
      </c>
      <c r="H11" s="5">
        <v>2196.5680499894434</v>
      </c>
      <c r="I11" s="5">
        <v>5987.0303993100997</v>
      </c>
      <c r="J11" s="5">
        <v>13900.504384022301</v>
      </c>
      <c r="K11" s="5">
        <v>0</v>
      </c>
      <c r="L11" s="5">
        <v>157355.353923986</v>
      </c>
      <c r="M11" s="5">
        <v>1090.3</v>
      </c>
      <c r="P11" t="s">
        <v>119</v>
      </c>
      <c r="Q11" t="s">
        <v>117</v>
      </c>
      <c r="R11" t="s">
        <v>76</v>
      </c>
      <c r="S11" s="5">
        <v>959.25249800465133</v>
      </c>
      <c r="T11" s="5">
        <v>11.609088578376843</v>
      </c>
      <c r="U11" s="5">
        <v>16.228386811509871</v>
      </c>
      <c r="V11" s="5">
        <v>935.21729677519602</v>
      </c>
      <c r="W11" s="5">
        <v>986.61029939527498</v>
      </c>
      <c r="X11" s="5">
        <v>0</v>
      </c>
      <c r="Y11" s="5">
        <v>1892</v>
      </c>
      <c r="AL11" t="s">
        <v>162</v>
      </c>
      <c r="AM11" t="s">
        <v>158</v>
      </c>
      <c r="AN11" t="s">
        <v>76</v>
      </c>
      <c r="AO11" s="5">
        <v>6545.2</v>
      </c>
      <c r="AP11" s="5">
        <v>3.5973910371047504</v>
      </c>
      <c r="AQ11" s="5">
        <v>5.0288059108389627</v>
      </c>
      <c r="AR11" s="5">
        <v>6538</v>
      </c>
      <c r="AS11" s="5">
        <v>6554</v>
      </c>
    </row>
    <row r="12" spans="1:52" x14ac:dyDescent="0.25">
      <c r="B12" t="s">
        <v>83</v>
      </c>
      <c r="C12" t="s">
        <v>72</v>
      </c>
      <c r="D12" t="s">
        <v>71</v>
      </c>
      <c r="E12" s="5">
        <v>2.693376329348665E-3</v>
      </c>
      <c r="F12" s="5">
        <v>1</v>
      </c>
      <c r="G12" s="5">
        <v>5.1412891117744869E-4</v>
      </c>
      <c r="H12" s="5">
        <v>7.187026600097323E-4</v>
      </c>
      <c r="I12" s="5">
        <v>1.66388583370316E-3</v>
      </c>
      <c r="J12" s="5">
        <v>3.88575924677469E-3</v>
      </c>
      <c r="K12" s="5">
        <v>0</v>
      </c>
      <c r="L12" s="5">
        <v>15.208346494975601</v>
      </c>
      <c r="M12" s="5">
        <v>6549.7</v>
      </c>
      <c r="P12" t="s">
        <v>120</v>
      </c>
      <c r="Q12" t="s">
        <v>117</v>
      </c>
      <c r="R12" t="s">
        <v>76</v>
      </c>
      <c r="S12" s="5">
        <v>4203.5615331875215</v>
      </c>
      <c r="T12" s="5">
        <v>12.658470958503626</v>
      </c>
      <c r="U12" s="5">
        <v>17.695322227060075</v>
      </c>
      <c r="V12" s="5">
        <v>4170.1494074333395</v>
      </c>
      <c r="W12" s="5">
        <v>4233.0569788620896</v>
      </c>
      <c r="X12" s="5">
        <v>0</v>
      </c>
      <c r="Y12" s="5">
        <v>8158</v>
      </c>
      <c r="AL12" t="s">
        <v>163</v>
      </c>
      <c r="AM12" t="s">
        <v>156</v>
      </c>
      <c r="AN12" t="s">
        <v>76</v>
      </c>
      <c r="AO12" s="5">
        <v>27753.7</v>
      </c>
      <c r="AP12" s="5">
        <v>18.203924133022646</v>
      </c>
      <c r="AQ12" s="5">
        <v>25.447331228768697</v>
      </c>
      <c r="AR12" s="5">
        <v>27724</v>
      </c>
      <c r="AS12" s="5">
        <v>27792</v>
      </c>
    </row>
    <row r="13" spans="1:52" x14ac:dyDescent="0.25">
      <c r="B13" t="s">
        <v>84</v>
      </c>
      <c r="C13" t="s">
        <v>72</v>
      </c>
      <c r="D13" t="s">
        <v>71</v>
      </c>
      <c r="E13" s="5">
        <v>58533.653339929719</v>
      </c>
      <c r="F13" s="5">
        <v>1</v>
      </c>
      <c r="G13" s="5">
        <v>265.60922323549289</v>
      </c>
      <c r="H13" s="5">
        <v>371.29609152942885</v>
      </c>
      <c r="I13" s="5">
        <v>57893.147131323101</v>
      </c>
      <c r="J13" s="5">
        <v>59090.509244091503</v>
      </c>
      <c r="K13" s="5">
        <v>0</v>
      </c>
      <c r="L13" s="5">
        <v>116803.050812584</v>
      </c>
      <c r="M13" s="5">
        <v>6549.7</v>
      </c>
      <c r="P13" t="s">
        <v>121</v>
      </c>
      <c r="Q13" t="s">
        <v>112</v>
      </c>
      <c r="R13" t="s">
        <v>113</v>
      </c>
      <c r="S13" s="5">
        <v>0.48160620907873086</v>
      </c>
      <c r="T13" s="5">
        <v>6.2011658897281531E-2</v>
      </c>
      <c r="U13" s="5">
        <v>8.6686321722355061E-2</v>
      </c>
      <c r="V13" s="5">
        <v>0.292184201252493</v>
      </c>
      <c r="W13" s="5">
        <v>0.57167989674475905</v>
      </c>
      <c r="X13" s="5">
        <v>0</v>
      </c>
      <c r="Y13" s="5">
        <v>1</v>
      </c>
      <c r="AL13" t="s">
        <v>164</v>
      </c>
      <c r="AM13" t="s">
        <v>158</v>
      </c>
      <c r="AN13" t="s">
        <v>76</v>
      </c>
      <c r="AO13" s="5">
        <v>19635.599999999999</v>
      </c>
      <c r="AP13" s="5">
        <v>10.792173111314252</v>
      </c>
      <c r="AQ13" s="5">
        <v>15.086417732516889</v>
      </c>
      <c r="AR13" s="5">
        <v>19614</v>
      </c>
      <c r="AS13" s="5">
        <v>19662</v>
      </c>
    </row>
    <row r="14" spans="1:52" x14ac:dyDescent="0.25">
      <c r="B14" t="s">
        <v>85</v>
      </c>
      <c r="C14" t="s">
        <v>72</v>
      </c>
      <c r="D14" t="s">
        <v>71</v>
      </c>
      <c r="E14" s="5">
        <v>81089.790442311642</v>
      </c>
      <c r="F14" s="5">
        <v>1</v>
      </c>
      <c r="G14" s="5">
        <v>246.30022629256547</v>
      </c>
      <c r="H14" s="5">
        <v>344.30397503238157</v>
      </c>
      <c r="I14" s="5">
        <v>80322.790937868805</v>
      </c>
      <c r="J14" s="5">
        <v>81461.732866104401</v>
      </c>
      <c r="K14" s="5">
        <v>39.787285097176202</v>
      </c>
      <c r="L14" s="5">
        <v>178174.15735445099</v>
      </c>
      <c r="M14" s="5">
        <v>6549.7</v>
      </c>
      <c r="Q14" t="s">
        <v>114</v>
      </c>
      <c r="R14" t="s">
        <v>113</v>
      </c>
      <c r="S14" s="5">
        <v>1.9264248363149217</v>
      </c>
      <c r="T14" s="5">
        <v>0.24804663558912532</v>
      </c>
      <c r="U14" s="5">
        <v>0.34674528688941914</v>
      </c>
      <c r="V14" s="5">
        <v>1.16873680500997</v>
      </c>
      <c r="W14" s="5">
        <v>2.28671958697903</v>
      </c>
      <c r="X14" s="5">
        <v>0</v>
      </c>
      <c r="Y14" s="5">
        <v>4</v>
      </c>
      <c r="AL14" t="s">
        <v>165</v>
      </c>
      <c r="AM14" t="s">
        <v>152</v>
      </c>
      <c r="AN14" t="s">
        <v>113</v>
      </c>
      <c r="AO14" s="5">
        <v>13103.5</v>
      </c>
      <c r="AP14" s="5">
        <v>8.1858976986246059</v>
      </c>
      <c r="AQ14" s="5">
        <v>11.443095929181249</v>
      </c>
      <c r="AR14" s="5">
        <v>13087</v>
      </c>
      <c r="AS14" s="5">
        <v>13120</v>
      </c>
    </row>
    <row r="15" spans="1:52" x14ac:dyDescent="0.25">
      <c r="B15" t="s">
        <v>86</v>
      </c>
      <c r="C15" t="s">
        <v>88</v>
      </c>
      <c r="D15" t="s">
        <v>87</v>
      </c>
      <c r="E15" s="5">
        <v>11.991749290187201</v>
      </c>
      <c r="F15" s="5">
        <v>1</v>
      </c>
      <c r="G15" s="5">
        <v>1.2157469171512588E-2</v>
      </c>
      <c r="H15" s="5">
        <v>1.6994970021315683E-2</v>
      </c>
      <c r="I15" s="5">
        <v>11.9657106276518</v>
      </c>
      <c r="J15" s="5">
        <v>12.018010195507999</v>
      </c>
      <c r="K15" s="5">
        <v>8.0268919270602108</v>
      </c>
      <c r="L15" s="5">
        <v>15.988991653197401</v>
      </c>
      <c r="M15" s="5">
        <v>13103.5</v>
      </c>
      <c r="Q15" t="s">
        <v>115</v>
      </c>
      <c r="R15" t="s">
        <v>113</v>
      </c>
      <c r="S15" s="5">
        <v>4</v>
      </c>
      <c r="T15" s="5">
        <v>0</v>
      </c>
      <c r="U15" s="5">
        <v>0</v>
      </c>
      <c r="V15" s="5">
        <v>4</v>
      </c>
      <c r="W15" s="5">
        <v>4</v>
      </c>
      <c r="X15" s="5">
        <v>4</v>
      </c>
      <c r="Y15" s="5">
        <v>4</v>
      </c>
      <c r="AL15" t="s">
        <v>166</v>
      </c>
      <c r="AM15" t="s">
        <v>154</v>
      </c>
      <c r="AN15" t="s">
        <v>113</v>
      </c>
      <c r="AO15" s="5">
        <v>0.48160620907873086</v>
      </c>
      <c r="AP15" s="5">
        <v>6.2011658897281531E-2</v>
      </c>
      <c r="AQ15" s="5">
        <v>8.6686321722355061E-2</v>
      </c>
      <c r="AR15" s="5">
        <v>0.292184201252493</v>
      </c>
      <c r="AS15" s="5">
        <v>0.57167989674475905</v>
      </c>
    </row>
    <row r="16" spans="1:52" x14ac:dyDescent="0.25">
      <c r="C16" t="s">
        <v>89</v>
      </c>
      <c r="D16" t="s">
        <v>87</v>
      </c>
      <c r="E16" s="5">
        <v>11.991749290187201</v>
      </c>
      <c r="F16" s="5">
        <v>1</v>
      </c>
      <c r="G16" s="5">
        <v>1.2157469171512588E-2</v>
      </c>
      <c r="H16" s="5">
        <v>1.6994970021315683E-2</v>
      </c>
      <c r="I16" s="5">
        <v>11.9657106276518</v>
      </c>
      <c r="J16" s="5">
        <v>12.018010195507999</v>
      </c>
      <c r="K16" s="5">
        <v>8.0268919270602108</v>
      </c>
      <c r="L16" s="5">
        <v>15.988991653197401</v>
      </c>
      <c r="M16" s="5">
        <v>13103.5</v>
      </c>
      <c r="P16" t="s">
        <v>122</v>
      </c>
      <c r="Q16" t="s">
        <v>112</v>
      </c>
      <c r="R16" t="s">
        <v>113</v>
      </c>
      <c r="S16" s="5">
        <v>0.25269289312392118</v>
      </c>
      <c r="T16" s="5">
        <v>3.5205581983442397E-2</v>
      </c>
      <c r="U16" s="5">
        <v>4.9214010083081669E-2</v>
      </c>
      <c r="V16" s="5">
        <v>0.20500025225945401</v>
      </c>
      <c r="W16" s="5">
        <v>0.33570777662711199</v>
      </c>
      <c r="X16" s="5">
        <v>0</v>
      </c>
      <c r="Y16" s="5">
        <v>1</v>
      </c>
      <c r="AL16" t="s">
        <v>167</v>
      </c>
      <c r="AM16" t="s">
        <v>152</v>
      </c>
      <c r="AN16" t="s">
        <v>113</v>
      </c>
      <c r="AO16" s="5">
        <v>13100.1</v>
      </c>
      <c r="AP16" s="5">
        <v>8.2011647303157567</v>
      </c>
      <c r="AQ16" s="5">
        <v>11.46443776786866</v>
      </c>
      <c r="AR16" s="5">
        <v>13083</v>
      </c>
      <c r="AS16" s="5">
        <v>13118</v>
      </c>
    </row>
    <row r="17" spans="2:45" x14ac:dyDescent="0.25">
      <c r="B17" t="s">
        <v>90</v>
      </c>
      <c r="C17" t="s">
        <v>88</v>
      </c>
      <c r="D17" t="s">
        <v>87</v>
      </c>
      <c r="E17" s="5">
        <v>3.3323515397240668</v>
      </c>
      <c r="F17" s="5">
        <v>1</v>
      </c>
      <c r="G17" s="5">
        <v>4.4213120792160878E-3</v>
      </c>
      <c r="H17" s="5">
        <v>6.180568108470035E-3</v>
      </c>
      <c r="I17" s="5">
        <v>3.32378622759098</v>
      </c>
      <c r="J17" s="5">
        <v>3.34611818446874</v>
      </c>
      <c r="K17" s="5">
        <v>2.01056383305695</v>
      </c>
      <c r="L17" s="5">
        <v>4.9923538390357898</v>
      </c>
      <c r="M17" s="5">
        <v>6547.3</v>
      </c>
      <c r="Q17" t="s">
        <v>114</v>
      </c>
      <c r="R17" t="s">
        <v>113</v>
      </c>
      <c r="S17" s="5">
        <v>0.75807867937176476</v>
      </c>
      <c r="T17" s="5">
        <v>0.10561674595032908</v>
      </c>
      <c r="U17" s="5">
        <v>0.14764203024924766</v>
      </c>
      <c r="V17" s="5">
        <v>0.61500075677836796</v>
      </c>
      <c r="W17" s="5">
        <v>1.00712332988134</v>
      </c>
      <c r="X17" s="5">
        <v>0</v>
      </c>
      <c r="Y17" s="5">
        <v>3</v>
      </c>
      <c r="AL17" t="s">
        <v>168</v>
      </c>
      <c r="AM17" t="s">
        <v>154</v>
      </c>
      <c r="AN17" t="s">
        <v>113</v>
      </c>
      <c r="AO17" s="5">
        <v>0.25269289312392168</v>
      </c>
      <c r="AP17" s="5">
        <v>3.5205581983443382E-2</v>
      </c>
      <c r="AQ17" s="5">
        <v>4.921401008308305E-2</v>
      </c>
      <c r="AR17" s="5">
        <v>0.20500025225945601</v>
      </c>
      <c r="AS17" s="5">
        <v>0.33570777662711399</v>
      </c>
    </row>
    <row r="18" spans="2:45" x14ac:dyDescent="0.25">
      <c r="C18" t="s">
        <v>89</v>
      </c>
      <c r="D18" t="s">
        <v>87</v>
      </c>
      <c r="E18" s="5">
        <v>3.3323515397240668</v>
      </c>
      <c r="F18" s="5">
        <v>1</v>
      </c>
      <c r="G18" s="5">
        <v>4.4213120792160878E-3</v>
      </c>
      <c r="H18" s="5">
        <v>6.180568108470035E-3</v>
      </c>
      <c r="I18" s="5">
        <v>3.32378622759098</v>
      </c>
      <c r="J18" s="5">
        <v>3.34611818446874</v>
      </c>
      <c r="K18" s="5">
        <v>2.01056383305695</v>
      </c>
      <c r="L18" s="5">
        <v>4.9923538390357898</v>
      </c>
      <c r="M18" s="5">
        <v>6547.3</v>
      </c>
      <c r="Q18" t="s">
        <v>115</v>
      </c>
      <c r="R18" t="s">
        <v>113</v>
      </c>
      <c r="S18" s="5">
        <v>3</v>
      </c>
      <c r="T18" s="5">
        <v>0</v>
      </c>
      <c r="U18" s="5">
        <v>0</v>
      </c>
      <c r="V18" s="5">
        <v>3</v>
      </c>
      <c r="W18" s="5">
        <v>3</v>
      </c>
      <c r="X18" s="5">
        <v>3</v>
      </c>
      <c r="Y18" s="5">
        <v>3</v>
      </c>
      <c r="AL18" t="s">
        <v>169</v>
      </c>
      <c r="AM18" t="s">
        <v>152</v>
      </c>
      <c r="AN18" t="s">
        <v>113</v>
      </c>
      <c r="AO18" s="5">
        <v>13099.9</v>
      </c>
      <c r="AP18" s="5">
        <v>8.4133460616980535</v>
      </c>
      <c r="AQ18" s="5">
        <v>11.761046816598522</v>
      </c>
      <c r="AR18" s="5">
        <v>13082</v>
      </c>
      <c r="AS18" s="5">
        <v>13118</v>
      </c>
    </row>
    <row r="19" spans="2:45" x14ac:dyDescent="0.25">
      <c r="B19" t="s">
        <v>91</v>
      </c>
      <c r="C19" t="s">
        <v>88</v>
      </c>
      <c r="D19" t="s">
        <v>87</v>
      </c>
      <c r="E19" s="5">
        <v>6.0042533719220117</v>
      </c>
      <c r="F19" s="5">
        <v>1</v>
      </c>
      <c r="G19" s="5">
        <v>7.9471463002660225E-3</v>
      </c>
      <c r="H19" s="5">
        <v>1.1109344487955385E-2</v>
      </c>
      <c r="I19" s="5">
        <v>5.9884596822991698</v>
      </c>
      <c r="J19" s="5">
        <v>6.0231394376096299</v>
      </c>
      <c r="K19" s="5">
        <v>3.0160888143000202</v>
      </c>
      <c r="L19" s="5">
        <v>8.9875693768262899</v>
      </c>
      <c r="M19" s="5">
        <v>13100.1</v>
      </c>
      <c r="P19" t="s">
        <v>123</v>
      </c>
      <c r="Q19" t="s">
        <v>112</v>
      </c>
      <c r="R19" t="s">
        <v>113</v>
      </c>
      <c r="S19" s="5">
        <v>0.151561654865698</v>
      </c>
      <c r="T19" s="5">
        <v>8.7261071626739862E-5</v>
      </c>
      <c r="U19" s="5">
        <v>1.2198256688154243E-4</v>
      </c>
      <c r="V19" s="5">
        <v>0.15134711042770499</v>
      </c>
      <c r="W19" s="5">
        <v>0.15172806047441101</v>
      </c>
      <c r="X19" s="5">
        <v>0</v>
      </c>
      <c r="Y19" s="5">
        <v>0.66666666666666696</v>
      </c>
      <c r="AL19" t="s">
        <v>170</v>
      </c>
      <c r="AM19" t="s">
        <v>154</v>
      </c>
      <c r="AN19" t="s">
        <v>113</v>
      </c>
      <c r="AO19" s="5">
        <v>0.151561654865698</v>
      </c>
      <c r="AP19" s="5">
        <v>8.7261071626859165E-5</v>
      </c>
      <c r="AQ19" s="5">
        <v>1.2198256688170919E-4</v>
      </c>
      <c r="AR19" s="5">
        <v>0.15134711042770399</v>
      </c>
      <c r="AS19" s="5">
        <v>0.15172806047441101</v>
      </c>
    </row>
    <row r="20" spans="2:45" x14ac:dyDescent="0.25">
      <c r="C20" t="s">
        <v>89</v>
      </c>
      <c r="D20" t="s">
        <v>87</v>
      </c>
      <c r="E20" s="5">
        <v>6.0042533719220117</v>
      </c>
      <c r="F20" s="5">
        <v>1</v>
      </c>
      <c r="G20" s="5">
        <v>7.9471463002660225E-3</v>
      </c>
      <c r="H20" s="5">
        <v>1.1109344487955385E-2</v>
      </c>
      <c r="I20" s="5">
        <v>5.9884596822991698</v>
      </c>
      <c r="J20" s="5">
        <v>6.0231394376096299</v>
      </c>
      <c r="K20" s="5">
        <v>3.0160888143000202</v>
      </c>
      <c r="L20" s="5">
        <v>8.9875693768262899</v>
      </c>
      <c r="M20" s="5">
        <v>13100.1</v>
      </c>
      <c r="Q20" t="s">
        <v>114</v>
      </c>
      <c r="R20" t="s">
        <v>113</v>
      </c>
      <c r="S20" s="5">
        <v>0.45468496459709407</v>
      </c>
      <c r="T20" s="5">
        <v>2.6178321488092363E-4</v>
      </c>
      <c r="U20" s="5">
        <v>3.659477006456115E-4</v>
      </c>
      <c r="V20" s="5">
        <v>0.45404133128311103</v>
      </c>
      <c r="W20" s="5">
        <v>0.45518418142323402</v>
      </c>
      <c r="X20" s="5">
        <v>0</v>
      </c>
      <c r="Y20" s="5">
        <v>2</v>
      </c>
      <c r="AL20" t="s">
        <v>171</v>
      </c>
      <c r="AM20" t="s">
        <v>152</v>
      </c>
      <c r="AN20" t="s">
        <v>113</v>
      </c>
      <c r="AO20" s="5">
        <v>8235</v>
      </c>
      <c r="AP20" s="5">
        <v>4.6969656296252689</v>
      </c>
      <c r="AQ20" s="5">
        <v>6.5659052011974035</v>
      </c>
      <c r="AR20" s="5">
        <v>8223</v>
      </c>
      <c r="AS20" s="5">
        <v>8245</v>
      </c>
    </row>
    <row r="21" spans="2:45" x14ac:dyDescent="0.25">
      <c r="B21" t="s">
        <v>92</v>
      </c>
      <c r="C21" t="s">
        <v>88</v>
      </c>
      <c r="D21" t="s">
        <v>87</v>
      </c>
      <c r="E21" s="5">
        <v>10.99919148588766</v>
      </c>
      <c r="F21" s="5">
        <v>1</v>
      </c>
      <c r="G21" s="5">
        <v>2.8471016672894389E-3</v>
      </c>
      <c r="H21" s="5">
        <v>3.9799736935875654E-3</v>
      </c>
      <c r="I21" s="5">
        <v>10.9932090669167</v>
      </c>
      <c r="J21" s="5">
        <v>11.0044982397086</v>
      </c>
      <c r="K21" s="5">
        <v>10.0056447622483</v>
      </c>
      <c r="L21" s="5">
        <v>11.997286937461499</v>
      </c>
      <c r="M21" s="5">
        <v>13099.9</v>
      </c>
      <c r="Q21" t="s">
        <v>115</v>
      </c>
      <c r="R21" t="s">
        <v>113</v>
      </c>
      <c r="S21" s="5">
        <v>3</v>
      </c>
      <c r="T21" s="5">
        <v>0</v>
      </c>
      <c r="U21" s="5">
        <v>0</v>
      </c>
      <c r="V21" s="5">
        <v>3</v>
      </c>
      <c r="W21" s="5">
        <v>3</v>
      </c>
      <c r="X21" s="5">
        <v>3</v>
      </c>
      <c r="Y21" s="5">
        <v>3</v>
      </c>
      <c r="AL21" t="s">
        <v>172</v>
      </c>
      <c r="AM21" t="s">
        <v>154</v>
      </c>
      <c r="AN21" t="s">
        <v>113</v>
      </c>
      <c r="AO21" s="5">
        <v>0.84558522180863771</v>
      </c>
      <c r="AP21" s="5">
        <v>8.3656369122856733E-2</v>
      </c>
      <c r="AQ21" s="5">
        <v>0.11694354024491282</v>
      </c>
      <c r="AR21" s="5">
        <v>0.625269422960122</v>
      </c>
      <c r="AS21" s="5">
        <v>0.95234896906597499</v>
      </c>
    </row>
    <row r="22" spans="2:45" x14ac:dyDescent="0.25">
      <c r="C22" t="s">
        <v>89</v>
      </c>
      <c r="D22" t="s">
        <v>87</v>
      </c>
      <c r="E22" s="5">
        <v>10.99919148588766</v>
      </c>
      <c r="F22" s="5">
        <v>1</v>
      </c>
      <c r="G22" s="5">
        <v>2.8471016672894389E-3</v>
      </c>
      <c r="H22" s="5">
        <v>3.9799736935875654E-3</v>
      </c>
      <c r="I22" s="5">
        <v>10.9932090669167</v>
      </c>
      <c r="J22" s="5">
        <v>11.0044982397086</v>
      </c>
      <c r="K22" s="5">
        <v>10.0056447622483</v>
      </c>
      <c r="L22" s="5">
        <v>11.997286937461499</v>
      </c>
      <c r="M22" s="5">
        <v>13099.9</v>
      </c>
      <c r="P22" t="s">
        <v>124</v>
      </c>
      <c r="Q22" t="s">
        <v>112</v>
      </c>
      <c r="R22" t="s">
        <v>113</v>
      </c>
      <c r="S22" s="5">
        <v>0.84558522180863771</v>
      </c>
      <c r="T22" s="5">
        <v>8.3656369122856733E-2</v>
      </c>
      <c r="U22" s="5">
        <v>0.11694354024491282</v>
      </c>
      <c r="V22" s="5">
        <v>0.625269422960122</v>
      </c>
      <c r="W22" s="5">
        <v>0.95234896906597499</v>
      </c>
      <c r="X22" s="5">
        <v>0</v>
      </c>
      <c r="Y22" s="5">
        <v>1</v>
      </c>
      <c r="AL22" t="s">
        <v>173</v>
      </c>
      <c r="AM22" t="s">
        <v>152</v>
      </c>
      <c r="AN22" t="s">
        <v>113</v>
      </c>
      <c r="AO22" s="5">
        <v>8233.5</v>
      </c>
      <c r="AP22" s="5">
        <v>4.6513481780498687</v>
      </c>
      <c r="AQ22" s="5">
        <v>6.5021364010437201</v>
      </c>
      <c r="AR22" s="5">
        <v>8221</v>
      </c>
      <c r="AS22" s="5">
        <v>8243</v>
      </c>
    </row>
    <row r="23" spans="2:45" x14ac:dyDescent="0.25">
      <c r="B23" t="s">
        <v>93</v>
      </c>
      <c r="C23" t="s">
        <v>88</v>
      </c>
      <c r="D23" t="s">
        <v>87</v>
      </c>
      <c r="E23" s="5">
        <v>7.0015599616752224</v>
      </c>
      <c r="F23" s="5">
        <v>1</v>
      </c>
      <c r="G23" s="5">
        <v>4.5209112709374685E-3</v>
      </c>
      <c r="H23" s="5">
        <v>6.3197981779501569E-3</v>
      </c>
      <c r="I23" s="5">
        <v>6.9908521057960602</v>
      </c>
      <c r="J23" s="5">
        <v>7.0099221857515897</v>
      </c>
      <c r="K23" s="5">
        <v>2.78570367523935</v>
      </c>
      <c r="L23" s="5">
        <v>11.702881005418</v>
      </c>
      <c r="M23" s="5">
        <v>8235</v>
      </c>
      <c r="Q23" t="s">
        <v>114</v>
      </c>
      <c r="R23" t="s">
        <v>113</v>
      </c>
      <c r="S23" s="5">
        <v>1.6911704436172748</v>
      </c>
      <c r="T23" s="5">
        <v>0.16731273824571591</v>
      </c>
      <c r="U23" s="5">
        <v>0.23388708048982901</v>
      </c>
      <c r="V23" s="5">
        <v>1.25053884592024</v>
      </c>
      <c r="W23" s="5">
        <v>1.90469793813195</v>
      </c>
      <c r="X23" s="5">
        <v>0</v>
      </c>
      <c r="Y23" s="5">
        <v>2</v>
      </c>
      <c r="AL23" t="s">
        <v>174</v>
      </c>
      <c r="AM23" t="s">
        <v>154</v>
      </c>
      <c r="AN23" t="s">
        <v>113</v>
      </c>
      <c r="AO23" s="5">
        <v>0.74077431571180286</v>
      </c>
      <c r="AP23" s="5">
        <v>4.3837076306762375E-2</v>
      </c>
      <c r="AQ23" s="5">
        <v>6.1280007141721847E-2</v>
      </c>
      <c r="AR23" s="5">
        <v>0.67060354368791897</v>
      </c>
      <c r="AS23" s="5">
        <v>0.87728997349342697</v>
      </c>
    </row>
    <row r="24" spans="2:45" x14ac:dyDescent="0.25">
      <c r="C24" t="s">
        <v>89</v>
      </c>
      <c r="D24" t="s">
        <v>87</v>
      </c>
      <c r="E24" s="5">
        <v>7.0015599616752224</v>
      </c>
      <c r="F24" s="5">
        <v>1</v>
      </c>
      <c r="G24" s="5">
        <v>4.5209112709374685E-3</v>
      </c>
      <c r="H24" s="5">
        <v>6.3197981779501569E-3</v>
      </c>
      <c r="I24" s="5">
        <v>6.9908521057960602</v>
      </c>
      <c r="J24" s="5">
        <v>7.0099221857515897</v>
      </c>
      <c r="K24" s="5">
        <v>2.78570367523935</v>
      </c>
      <c r="L24" s="5">
        <v>11.702881005418</v>
      </c>
      <c r="M24" s="5">
        <v>8235</v>
      </c>
      <c r="Q24" t="s">
        <v>115</v>
      </c>
      <c r="R24" t="s">
        <v>113</v>
      </c>
      <c r="S24" s="5">
        <v>2</v>
      </c>
      <c r="T24" s="5">
        <v>0</v>
      </c>
      <c r="U24" s="5">
        <v>0</v>
      </c>
      <c r="V24" s="5">
        <v>2</v>
      </c>
      <c r="W24" s="5">
        <v>2</v>
      </c>
      <c r="X24" s="5">
        <v>2</v>
      </c>
      <c r="Y24" s="5">
        <v>2</v>
      </c>
      <c r="AL24" t="s">
        <v>175</v>
      </c>
      <c r="AM24" t="s">
        <v>152</v>
      </c>
      <c r="AN24" t="s">
        <v>113</v>
      </c>
      <c r="AO24" s="5">
        <v>8231.5</v>
      </c>
      <c r="AP24" s="5">
        <v>4.5399965713211703</v>
      </c>
      <c r="AQ24" s="5">
        <v>6.3464775882199236</v>
      </c>
      <c r="AR24" s="5">
        <v>8220</v>
      </c>
      <c r="AS24" s="5">
        <v>8241</v>
      </c>
    </row>
    <row r="25" spans="2:45" x14ac:dyDescent="0.25">
      <c r="B25" t="s">
        <v>94</v>
      </c>
      <c r="C25" t="s">
        <v>88</v>
      </c>
      <c r="D25" t="s">
        <v>87</v>
      </c>
      <c r="E25" s="5">
        <v>10.002421211701932</v>
      </c>
      <c r="F25" s="5">
        <v>1</v>
      </c>
      <c r="G25" s="5">
        <v>4.8265450428722455E-3</v>
      </c>
      <c r="H25" s="5">
        <v>6.7470447305224895E-3</v>
      </c>
      <c r="I25" s="5">
        <v>9.9911380352607004</v>
      </c>
      <c r="J25" s="5">
        <v>10.011974603825999</v>
      </c>
      <c r="K25" s="5">
        <v>8.0092385134193993</v>
      </c>
      <c r="L25" s="5">
        <v>11.9866256384412</v>
      </c>
      <c r="M25" s="5">
        <v>8233.5</v>
      </c>
      <c r="P25" t="s">
        <v>125</v>
      </c>
      <c r="Q25" t="s">
        <v>112</v>
      </c>
      <c r="R25" t="s">
        <v>113</v>
      </c>
      <c r="S25" s="5">
        <v>0.74077431571180252</v>
      </c>
      <c r="T25" s="5">
        <v>4.3837076306763374E-2</v>
      </c>
      <c r="U25" s="5">
        <v>6.1280007141723249E-2</v>
      </c>
      <c r="V25" s="5">
        <v>0.67060354368791797</v>
      </c>
      <c r="W25" s="5">
        <v>0.87728997349342996</v>
      </c>
      <c r="X25" s="5">
        <v>0</v>
      </c>
      <c r="Y25" s="5">
        <v>1</v>
      </c>
      <c r="AL25" t="s">
        <v>176</v>
      </c>
      <c r="AM25" t="s">
        <v>154</v>
      </c>
      <c r="AN25" t="s">
        <v>113</v>
      </c>
      <c r="AO25" s="5">
        <v>0.52391445815006699</v>
      </c>
      <c r="AP25" s="5">
        <v>5.0404268221927347E-2</v>
      </c>
      <c r="AQ25" s="5">
        <v>7.0460308415606909E-2</v>
      </c>
      <c r="AR25" s="5">
        <v>0.36555656561218303</v>
      </c>
      <c r="AS25" s="5">
        <v>0.59886206518967</v>
      </c>
    </row>
    <row r="26" spans="2:45" x14ac:dyDescent="0.25">
      <c r="C26" t="s">
        <v>89</v>
      </c>
      <c r="D26" t="s">
        <v>87</v>
      </c>
      <c r="E26" s="5">
        <v>10.002421211701932</v>
      </c>
      <c r="F26" s="5">
        <v>1</v>
      </c>
      <c r="G26" s="5">
        <v>4.8265450428722455E-3</v>
      </c>
      <c r="H26" s="5">
        <v>6.7470447305224895E-3</v>
      </c>
      <c r="I26" s="5">
        <v>9.9911380352607004</v>
      </c>
      <c r="J26" s="5">
        <v>10.011974603825999</v>
      </c>
      <c r="K26" s="5">
        <v>8.0092385134193993</v>
      </c>
      <c r="L26" s="5">
        <v>11.9866256384412</v>
      </c>
      <c r="M26" s="5">
        <v>8233.5</v>
      </c>
      <c r="Q26" t="s">
        <v>114</v>
      </c>
      <c r="R26" t="s">
        <v>113</v>
      </c>
      <c r="S26" s="5">
        <v>3.7038715785590122</v>
      </c>
      <c r="T26" s="5">
        <v>0.21918538153381359</v>
      </c>
      <c r="U26" s="5">
        <v>0.30640003570861163</v>
      </c>
      <c r="V26" s="5">
        <v>3.35301771843959</v>
      </c>
      <c r="W26" s="5">
        <v>4.3864498674671397</v>
      </c>
      <c r="X26" s="5">
        <v>0</v>
      </c>
      <c r="Y26" s="5">
        <v>5</v>
      </c>
      <c r="AL26" t="s">
        <v>177</v>
      </c>
      <c r="AM26" t="s">
        <v>152</v>
      </c>
      <c r="AN26" t="s">
        <v>113</v>
      </c>
      <c r="AO26" s="5">
        <v>8227.7000000000007</v>
      </c>
      <c r="AP26" s="5">
        <v>4.4997408887103267</v>
      </c>
      <c r="AQ26" s="5">
        <v>6.2902040242480748</v>
      </c>
      <c r="AR26" s="5">
        <v>8216</v>
      </c>
      <c r="AS26" s="5">
        <v>8237</v>
      </c>
    </row>
    <row r="27" spans="2:45" x14ac:dyDescent="0.25">
      <c r="B27" t="s">
        <v>95</v>
      </c>
      <c r="C27" t="s">
        <v>88</v>
      </c>
      <c r="D27" t="s">
        <v>87</v>
      </c>
      <c r="E27" s="5">
        <v>24.999394482822233</v>
      </c>
      <c r="F27" s="5">
        <v>1</v>
      </c>
      <c r="G27" s="5">
        <v>2.1064482318963271E-2</v>
      </c>
      <c r="H27" s="5">
        <v>2.944611583833243E-2</v>
      </c>
      <c r="I27" s="5">
        <v>24.942847707903098</v>
      </c>
      <c r="J27" s="5">
        <v>25.056285315306301</v>
      </c>
      <c r="K27" s="5">
        <v>20.016987700117198</v>
      </c>
      <c r="L27" s="5">
        <v>29.972357785853099</v>
      </c>
      <c r="M27" s="5">
        <v>8231.5</v>
      </c>
      <c r="Q27" t="s">
        <v>115</v>
      </c>
      <c r="R27" t="s">
        <v>113</v>
      </c>
      <c r="S27" s="5">
        <v>5</v>
      </c>
      <c r="T27" s="5">
        <v>0</v>
      </c>
      <c r="U27" s="5">
        <v>0</v>
      </c>
      <c r="V27" s="5">
        <v>5</v>
      </c>
      <c r="W27" s="5">
        <v>5</v>
      </c>
      <c r="X27" s="5">
        <v>5</v>
      </c>
      <c r="Y27" s="5">
        <v>5</v>
      </c>
      <c r="AL27" t="s">
        <v>178</v>
      </c>
      <c r="AM27" t="s">
        <v>154</v>
      </c>
      <c r="AN27" t="s">
        <v>113</v>
      </c>
      <c r="AO27" s="5">
        <v>0.14955853655775292</v>
      </c>
      <c r="AP27" s="5">
        <v>1.3225342896729691E-4</v>
      </c>
      <c r="AQ27" s="5">
        <v>1.8487754554887928E-4</v>
      </c>
      <c r="AR27" s="5">
        <v>0.14921189842985499</v>
      </c>
      <c r="AS27" s="5">
        <v>0.14985050053976801</v>
      </c>
    </row>
    <row r="28" spans="2:45" x14ac:dyDescent="0.25">
      <c r="C28" t="s">
        <v>89</v>
      </c>
      <c r="D28" t="s">
        <v>87</v>
      </c>
      <c r="E28" s="5">
        <v>24.999394482822233</v>
      </c>
      <c r="F28" s="5">
        <v>1</v>
      </c>
      <c r="G28" s="5">
        <v>2.1064482318963271E-2</v>
      </c>
      <c r="H28" s="5">
        <v>2.944611583833243E-2</v>
      </c>
      <c r="I28" s="5">
        <v>24.942847707903098</v>
      </c>
      <c r="J28" s="5">
        <v>25.056285315306301</v>
      </c>
      <c r="K28" s="5">
        <v>20.016987700117198</v>
      </c>
      <c r="L28" s="5">
        <v>29.972357785853099</v>
      </c>
      <c r="M28" s="5">
        <v>8231.5</v>
      </c>
      <c r="P28" t="s">
        <v>126</v>
      </c>
      <c r="Q28" t="s">
        <v>112</v>
      </c>
      <c r="R28" t="s">
        <v>113</v>
      </c>
      <c r="S28" s="5">
        <v>0.52391445815006699</v>
      </c>
      <c r="T28" s="5">
        <v>5.0404268221927347E-2</v>
      </c>
      <c r="U28" s="5">
        <v>7.0460308415606909E-2</v>
      </c>
      <c r="V28" s="5">
        <v>0.36555656561218303</v>
      </c>
      <c r="W28" s="5">
        <v>0.59886206518967</v>
      </c>
      <c r="X28" s="5">
        <v>0</v>
      </c>
      <c r="Y28" s="5">
        <v>1</v>
      </c>
      <c r="AL28" t="s">
        <v>179</v>
      </c>
      <c r="AM28" t="s">
        <v>152</v>
      </c>
      <c r="AN28" t="s">
        <v>113</v>
      </c>
      <c r="AO28" s="5">
        <v>18392</v>
      </c>
      <c r="AP28" s="5">
        <v>9.2167290013706662</v>
      </c>
      <c r="AQ28" s="5">
        <v>12.884098726725126</v>
      </c>
      <c r="AR28" s="5">
        <v>18376</v>
      </c>
      <c r="AS28" s="5">
        <v>18407</v>
      </c>
    </row>
    <row r="29" spans="2:45" x14ac:dyDescent="0.25">
      <c r="B29" t="s">
        <v>96</v>
      </c>
      <c r="C29" t="s">
        <v>88</v>
      </c>
      <c r="D29" t="s">
        <v>87</v>
      </c>
      <c r="E29" s="5">
        <v>11.986968421133957</v>
      </c>
      <c r="F29" s="5">
        <v>1</v>
      </c>
      <c r="G29" s="5">
        <v>1.2904371196416789E-2</v>
      </c>
      <c r="H29" s="5">
        <v>1.8039067056893655E-2</v>
      </c>
      <c r="I29" s="5">
        <v>11.961222401833499</v>
      </c>
      <c r="J29" s="5">
        <v>12.018196351237499</v>
      </c>
      <c r="K29" s="5">
        <v>3.64786699385149</v>
      </c>
      <c r="L29" s="5">
        <v>21.037537163822002</v>
      </c>
      <c r="M29" s="5">
        <v>8227.7000000000007</v>
      </c>
      <c r="Q29" t="s">
        <v>114</v>
      </c>
      <c r="R29" t="s">
        <v>113</v>
      </c>
      <c r="S29" s="5">
        <v>2.0956578326002671</v>
      </c>
      <c r="T29" s="5">
        <v>0.20161707288771036</v>
      </c>
      <c r="U29" s="5">
        <v>0.28184123366242902</v>
      </c>
      <c r="V29" s="5">
        <v>1.4622262624487301</v>
      </c>
      <c r="W29" s="5">
        <v>2.39544826075868</v>
      </c>
      <c r="X29" s="5">
        <v>0</v>
      </c>
      <c r="Y29" s="5">
        <v>4</v>
      </c>
      <c r="AL29" t="s">
        <v>180</v>
      </c>
      <c r="AM29" t="s">
        <v>154</v>
      </c>
      <c r="AN29" t="s">
        <v>113</v>
      </c>
      <c r="AO29" s="5">
        <v>0.78490250681152463</v>
      </c>
      <c r="AP29" s="5">
        <v>8.1164242557843561E-2</v>
      </c>
      <c r="AQ29" s="5">
        <v>0.11345978752761485</v>
      </c>
      <c r="AR29" s="5">
        <v>0.58338388917401596</v>
      </c>
      <c r="AS29" s="5">
        <v>0.90111632059041802</v>
      </c>
    </row>
    <row r="30" spans="2:45" x14ac:dyDescent="0.25">
      <c r="C30" t="s">
        <v>89</v>
      </c>
      <c r="D30" t="s">
        <v>87</v>
      </c>
      <c r="E30" s="5">
        <v>11.986968421133957</v>
      </c>
      <c r="F30" s="5">
        <v>1</v>
      </c>
      <c r="G30" s="5">
        <v>1.2904371196416789E-2</v>
      </c>
      <c r="H30" s="5">
        <v>1.8039067056893655E-2</v>
      </c>
      <c r="I30" s="5">
        <v>11.961222401833499</v>
      </c>
      <c r="J30" s="5">
        <v>12.018196351237499</v>
      </c>
      <c r="K30" s="5">
        <v>3.64786699385149</v>
      </c>
      <c r="L30" s="5">
        <v>21.037537163822002</v>
      </c>
      <c r="M30" s="5">
        <v>8227.7000000000007</v>
      </c>
      <c r="Q30" t="s">
        <v>115</v>
      </c>
      <c r="R30" t="s">
        <v>113</v>
      </c>
      <c r="S30" s="5">
        <v>4</v>
      </c>
      <c r="T30" s="5">
        <v>0</v>
      </c>
      <c r="U30" s="5">
        <v>0</v>
      </c>
      <c r="V30" s="5">
        <v>4</v>
      </c>
      <c r="W30" s="5">
        <v>4</v>
      </c>
      <c r="X30" s="5">
        <v>4</v>
      </c>
      <c r="Y30" s="5">
        <v>4</v>
      </c>
      <c r="AL30" t="s">
        <v>181</v>
      </c>
      <c r="AM30" t="s">
        <v>152</v>
      </c>
      <c r="AN30" t="s">
        <v>113</v>
      </c>
      <c r="AO30" s="5">
        <v>18389.400000000001</v>
      </c>
      <c r="AP30" s="5">
        <v>8.6581502197487996</v>
      </c>
      <c r="AQ30" s="5">
        <v>12.103259432437566</v>
      </c>
      <c r="AR30" s="5">
        <v>18376</v>
      </c>
      <c r="AS30" s="5">
        <v>18404</v>
      </c>
    </row>
    <row r="31" spans="2:45" x14ac:dyDescent="0.25">
      <c r="B31" t="s">
        <v>97</v>
      </c>
      <c r="C31" t="s">
        <v>88</v>
      </c>
      <c r="D31" t="s">
        <v>87</v>
      </c>
      <c r="E31" s="5">
        <v>4.9976623193993781</v>
      </c>
      <c r="F31" s="5">
        <v>1</v>
      </c>
      <c r="G31" s="5">
        <v>5.2200975502667557E-3</v>
      </c>
      <c r="H31" s="5">
        <v>7.2971932006214834E-3</v>
      </c>
      <c r="I31" s="5">
        <v>4.9854339864056998</v>
      </c>
      <c r="J31" s="5">
        <v>5.0074759184603197</v>
      </c>
      <c r="K31" s="5">
        <v>0.63562201993772804</v>
      </c>
      <c r="L31" s="5">
        <v>9.6698289319465403</v>
      </c>
      <c r="M31" s="5">
        <v>18392</v>
      </c>
      <c r="P31" t="s">
        <v>127</v>
      </c>
      <c r="Q31" t="s">
        <v>112</v>
      </c>
      <c r="R31" t="s">
        <v>113</v>
      </c>
      <c r="S31" s="5">
        <v>0.14955853655775292</v>
      </c>
      <c r="T31" s="5">
        <v>1.3225342896729691E-4</v>
      </c>
      <c r="U31" s="5">
        <v>1.8487754554887928E-4</v>
      </c>
      <c r="V31" s="5">
        <v>0.14921189842985499</v>
      </c>
      <c r="W31" s="5">
        <v>0.14985050053976801</v>
      </c>
      <c r="X31" s="5">
        <v>0</v>
      </c>
      <c r="Y31" s="5">
        <v>1</v>
      </c>
      <c r="AL31" t="s">
        <v>182</v>
      </c>
      <c r="AM31" t="s">
        <v>154</v>
      </c>
      <c r="AN31" t="s">
        <v>113</v>
      </c>
      <c r="AO31" s="5">
        <v>0.15879210791146151</v>
      </c>
      <c r="AP31" s="5">
        <v>6.3514103063698042E-6</v>
      </c>
      <c r="AQ31" s="5">
        <v>8.8786593843692651E-6</v>
      </c>
      <c r="AR31" s="5">
        <v>0.15877821852350199</v>
      </c>
      <c r="AS31" s="5">
        <v>0.15880443244107401</v>
      </c>
    </row>
    <row r="32" spans="2:45" x14ac:dyDescent="0.25">
      <c r="C32" t="s">
        <v>89</v>
      </c>
      <c r="D32" t="s">
        <v>87</v>
      </c>
      <c r="E32" s="5">
        <v>4.9976623193993781</v>
      </c>
      <c r="F32" s="5">
        <v>1</v>
      </c>
      <c r="G32" s="5">
        <v>5.2200975502667557E-3</v>
      </c>
      <c r="H32" s="5">
        <v>7.2971932006214834E-3</v>
      </c>
      <c r="I32" s="5">
        <v>4.9854339864056998</v>
      </c>
      <c r="J32" s="5">
        <v>5.0074759184603197</v>
      </c>
      <c r="K32" s="5">
        <v>0.63562201993772804</v>
      </c>
      <c r="L32" s="5">
        <v>9.6698289319465403</v>
      </c>
      <c r="M32" s="5">
        <v>18392</v>
      </c>
      <c r="Q32" t="s">
        <v>114</v>
      </c>
      <c r="R32" t="s">
        <v>113</v>
      </c>
      <c r="S32" s="5">
        <v>0.29911707311550589</v>
      </c>
      <c r="T32" s="5">
        <v>2.6450685793468105E-4</v>
      </c>
      <c r="U32" s="5">
        <v>3.6975509109788047E-4</v>
      </c>
      <c r="V32" s="5">
        <v>0.29842379685970999</v>
      </c>
      <c r="W32" s="5">
        <v>0.29970100107953501</v>
      </c>
      <c r="X32" s="5">
        <v>0</v>
      </c>
      <c r="Y32" s="5">
        <v>2</v>
      </c>
      <c r="AL32" t="s">
        <v>183</v>
      </c>
      <c r="AM32" t="s">
        <v>152</v>
      </c>
      <c r="AN32" t="s">
        <v>113</v>
      </c>
      <c r="AO32" s="5">
        <v>13103.5</v>
      </c>
      <c r="AP32" s="5">
        <v>8.1858976986246059</v>
      </c>
      <c r="AQ32" s="5">
        <v>11.443095929181249</v>
      </c>
      <c r="AR32" s="5">
        <v>13087</v>
      </c>
      <c r="AS32" s="5">
        <v>13120</v>
      </c>
    </row>
    <row r="33" spans="2:45" x14ac:dyDescent="0.25">
      <c r="B33" t="s">
        <v>98</v>
      </c>
      <c r="C33" t="s">
        <v>88</v>
      </c>
      <c r="D33" t="s">
        <v>87</v>
      </c>
      <c r="E33" s="5">
        <v>5.6662240506038115</v>
      </c>
      <c r="F33" s="5">
        <v>1</v>
      </c>
      <c r="G33" s="5">
        <v>3.6752746911933721E-3</v>
      </c>
      <c r="H33" s="5">
        <v>5.1376797519084661E-3</v>
      </c>
      <c r="I33" s="5">
        <v>5.6585962909327998</v>
      </c>
      <c r="J33" s="5">
        <v>5.67470397466536</v>
      </c>
      <c r="K33" s="5">
        <v>4.0032314787386003</v>
      </c>
      <c r="L33" s="5">
        <v>6.9991346772876604</v>
      </c>
      <c r="M33" s="5">
        <v>18389.400000000001</v>
      </c>
      <c r="Q33" t="s">
        <v>115</v>
      </c>
      <c r="R33" t="s">
        <v>113</v>
      </c>
      <c r="S33" s="5">
        <v>2</v>
      </c>
      <c r="T33" s="5">
        <v>0</v>
      </c>
      <c r="U33" s="5">
        <v>0</v>
      </c>
      <c r="V33" s="5">
        <v>2</v>
      </c>
      <c r="W33" s="5">
        <v>2</v>
      </c>
      <c r="X33" s="5">
        <v>2</v>
      </c>
      <c r="Y33" s="5">
        <v>2</v>
      </c>
      <c r="AL33" t="s">
        <v>184</v>
      </c>
      <c r="AM33" t="s">
        <v>154</v>
      </c>
      <c r="AN33" t="s">
        <v>113</v>
      </c>
      <c r="AO33" s="5">
        <v>1.0004814685732331</v>
      </c>
      <c r="AP33" s="5">
        <v>5.3137108125005439E-5</v>
      </c>
      <c r="AQ33" s="5">
        <v>7.4280555176725285E-5</v>
      </c>
      <c r="AR33" s="5">
        <v>1.00039897320567</v>
      </c>
      <c r="AS33" s="5">
        <v>1.00059414734778</v>
      </c>
    </row>
    <row r="34" spans="2:45" x14ac:dyDescent="0.25">
      <c r="C34" t="s">
        <v>89</v>
      </c>
      <c r="D34" t="s">
        <v>87</v>
      </c>
      <c r="E34" s="5">
        <v>5.6662240506038115</v>
      </c>
      <c r="F34" s="5">
        <v>1</v>
      </c>
      <c r="G34" s="5">
        <v>3.6752746911933721E-3</v>
      </c>
      <c r="H34" s="5">
        <v>5.1376797519084661E-3</v>
      </c>
      <c r="I34" s="5">
        <v>5.6585962909327998</v>
      </c>
      <c r="J34" s="5">
        <v>5.67470397466536</v>
      </c>
      <c r="K34" s="5">
        <v>4.0032314787386003</v>
      </c>
      <c r="L34" s="5">
        <v>6.9991346772876604</v>
      </c>
      <c r="M34" s="5">
        <v>18389.400000000001</v>
      </c>
      <c r="P34" t="s">
        <v>128</v>
      </c>
      <c r="Q34" t="s">
        <v>112</v>
      </c>
      <c r="R34" t="s">
        <v>113</v>
      </c>
      <c r="S34" s="5">
        <v>0.78490250681152507</v>
      </c>
      <c r="T34" s="5">
        <v>8.1164242557846045E-2</v>
      </c>
      <c r="U34" s="5">
        <v>0.11345978752761832</v>
      </c>
      <c r="V34" s="5">
        <v>0.58338388917401696</v>
      </c>
      <c r="W34" s="5">
        <v>0.90111632059041802</v>
      </c>
      <c r="X34" s="5">
        <v>0</v>
      </c>
      <c r="Y34" s="5">
        <v>1</v>
      </c>
      <c r="AL34" t="s">
        <v>185</v>
      </c>
      <c r="AM34" t="s">
        <v>152</v>
      </c>
      <c r="AN34" t="s">
        <v>113</v>
      </c>
      <c r="AO34" s="5">
        <v>13100.1</v>
      </c>
      <c r="AP34" s="5">
        <v>8.2011647303157567</v>
      </c>
      <c r="AQ34" s="5">
        <v>11.46443776786866</v>
      </c>
      <c r="AR34" s="5">
        <v>13083</v>
      </c>
      <c r="AS34" s="5">
        <v>13118</v>
      </c>
    </row>
    <row r="35" spans="2:45" x14ac:dyDescent="0.25">
      <c r="B35" t="s">
        <v>242</v>
      </c>
      <c r="C35" t="s">
        <v>88</v>
      </c>
      <c r="D35" t="s">
        <v>87</v>
      </c>
      <c r="E35" s="5">
        <v>446.86698906668488</v>
      </c>
      <c r="F35" s="5">
        <v>1</v>
      </c>
      <c r="G35" s="5">
        <v>7.2341658183478312</v>
      </c>
      <c r="H35" s="5">
        <v>10.112666499712928</v>
      </c>
      <c r="I35" s="5">
        <v>430.49034311020301</v>
      </c>
      <c r="J35" s="5">
        <v>461.17560348385501</v>
      </c>
      <c r="K35" s="5">
        <v>300.33280676452</v>
      </c>
      <c r="L35" s="5">
        <v>599.937375794834</v>
      </c>
      <c r="M35" s="5">
        <v>118.7</v>
      </c>
      <c r="Q35" t="s">
        <v>114</v>
      </c>
      <c r="R35" t="s">
        <v>113</v>
      </c>
      <c r="S35" s="5">
        <v>3.9245125340576221</v>
      </c>
      <c r="T35" s="5">
        <v>0.40582121278922129</v>
      </c>
      <c r="U35" s="5">
        <v>0.56729893763807904</v>
      </c>
      <c r="V35" s="5">
        <v>2.91691944587008</v>
      </c>
      <c r="W35" s="5">
        <v>4.5055816029520903</v>
      </c>
      <c r="X35" s="5">
        <v>0</v>
      </c>
      <c r="Y35" s="5">
        <v>5</v>
      </c>
      <c r="AL35" t="s">
        <v>186</v>
      </c>
      <c r="AM35" t="s">
        <v>154</v>
      </c>
      <c r="AN35" t="s">
        <v>113</v>
      </c>
      <c r="AO35" s="5">
        <v>0.7279059511079462</v>
      </c>
      <c r="AP35" s="5">
        <v>5.0681823671647316E-4</v>
      </c>
      <c r="AQ35" s="5">
        <v>7.0848304180243249E-4</v>
      </c>
      <c r="AR35" s="5">
        <v>0.72665767143328297</v>
      </c>
      <c r="AS35" s="5">
        <v>0.72896261310967603</v>
      </c>
    </row>
    <row r="36" spans="2:45" x14ac:dyDescent="0.25">
      <c r="C36" t="s">
        <v>89</v>
      </c>
      <c r="D36" t="s">
        <v>87</v>
      </c>
      <c r="E36" s="5">
        <v>446.86698906668488</v>
      </c>
      <c r="F36" s="5">
        <v>1</v>
      </c>
      <c r="G36" s="5">
        <v>7.2341658183478312</v>
      </c>
      <c r="H36" s="5">
        <v>10.112666499712928</v>
      </c>
      <c r="I36" s="5">
        <v>430.49034311020301</v>
      </c>
      <c r="J36" s="5">
        <v>461.17560348385501</v>
      </c>
      <c r="K36" s="5">
        <v>300.33280676452</v>
      </c>
      <c r="L36" s="5">
        <v>599.937375794834</v>
      </c>
      <c r="M36" s="5">
        <v>118.7</v>
      </c>
      <c r="Q36" t="s">
        <v>115</v>
      </c>
      <c r="R36" t="s">
        <v>113</v>
      </c>
      <c r="S36" s="5">
        <v>5</v>
      </c>
      <c r="T36" s="5">
        <v>0</v>
      </c>
      <c r="U36" s="5">
        <v>0</v>
      </c>
      <c r="V36" s="5">
        <v>5</v>
      </c>
      <c r="W36" s="5">
        <v>5</v>
      </c>
      <c r="X36" s="5">
        <v>5</v>
      </c>
      <c r="Y36" s="5">
        <v>5</v>
      </c>
      <c r="AL36" t="s">
        <v>187</v>
      </c>
      <c r="AM36" t="s">
        <v>152</v>
      </c>
      <c r="AN36" t="s">
        <v>113</v>
      </c>
      <c r="AO36" s="5">
        <v>13099.9</v>
      </c>
      <c r="AP36" s="5">
        <v>8.4133460616980535</v>
      </c>
      <c r="AQ36" s="5">
        <v>11.761046816598522</v>
      </c>
      <c r="AR36" s="5">
        <v>13082</v>
      </c>
      <c r="AS36" s="5">
        <v>13118</v>
      </c>
    </row>
    <row r="37" spans="2:45" x14ac:dyDescent="0.25">
      <c r="B37" t="s">
        <v>99</v>
      </c>
      <c r="C37" t="s">
        <v>72</v>
      </c>
      <c r="D37" t="s">
        <v>71</v>
      </c>
      <c r="E37" s="5">
        <v>3214.1574517420095</v>
      </c>
      <c r="F37" s="5">
        <v>1</v>
      </c>
      <c r="G37" s="5">
        <v>168.14249882809111</v>
      </c>
      <c r="H37" s="5">
        <v>235.04700580186517</v>
      </c>
      <c r="I37" s="5">
        <v>2781.1008030870698</v>
      </c>
      <c r="J37" s="5">
        <v>3506.3255654525101</v>
      </c>
      <c r="K37" s="5">
        <v>56.275670389641199</v>
      </c>
      <c r="L37" s="5">
        <v>53362.6000961518</v>
      </c>
      <c r="M37" s="5">
        <v>13103.5</v>
      </c>
      <c r="P37" t="s">
        <v>129</v>
      </c>
      <c r="Q37" t="s">
        <v>112</v>
      </c>
      <c r="R37" t="s">
        <v>113</v>
      </c>
      <c r="S37" s="5">
        <v>0.15879210791146137</v>
      </c>
      <c r="T37" s="5">
        <v>6.3514103064755986E-6</v>
      </c>
      <c r="U37" s="5">
        <v>8.8786593845171554E-6</v>
      </c>
      <c r="V37" s="5">
        <v>0.15877821852350199</v>
      </c>
      <c r="W37" s="5">
        <v>0.15880443244107401</v>
      </c>
      <c r="X37" s="5">
        <v>0</v>
      </c>
      <c r="Y37" s="5">
        <v>0.66666666666666696</v>
      </c>
      <c r="AL37" t="s">
        <v>188</v>
      </c>
      <c r="AM37" t="s">
        <v>154</v>
      </c>
      <c r="AN37" t="s">
        <v>113</v>
      </c>
      <c r="AO37" s="5">
        <v>0.95483842565389732</v>
      </c>
      <c r="AP37" s="5">
        <v>5.497447512496955E-4</v>
      </c>
      <c r="AQ37" s="5">
        <v>7.6849017135544289E-4</v>
      </c>
      <c r="AR37" s="5">
        <v>0.95348679569453398</v>
      </c>
      <c r="AS37" s="5">
        <v>0.95588678098879198</v>
      </c>
    </row>
    <row r="38" spans="2:45" x14ac:dyDescent="0.25">
      <c r="B38" t="s">
        <v>100</v>
      </c>
      <c r="C38" t="s">
        <v>72</v>
      </c>
      <c r="D38" t="s">
        <v>71</v>
      </c>
      <c r="E38" s="5">
        <v>56.164806958974978</v>
      </c>
      <c r="F38" s="5">
        <v>1</v>
      </c>
      <c r="G38" s="5">
        <v>8.7648574161327222</v>
      </c>
      <c r="H38" s="5">
        <v>12.252425807282485</v>
      </c>
      <c r="I38" s="5">
        <v>37.857616642272703</v>
      </c>
      <c r="J38" s="5">
        <v>71.836270525000302</v>
      </c>
      <c r="K38" s="5">
        <v>0</v>
      </c>
      <c r="L38" s="5">
        <v>50396.317941052599</v>
      </c>
      <c r="M38" s="5">
        <v>6547.7</v>
      </c>
      <c r="Q38" t="s">
        <v>114</v>
      </c>
      <c r="R38" t="s">
        <v>113</v>
      </c>
      <c r="S38" s="5">
        <v>0.47637632373438443</v>
      </c>
      <c r="T38" s="5">
        <v>1.9054230919217752E-5</v>
      </c>
      <c r="U38" s="5">
        <v>2.6635978153259248E-5</v>
      </c>
      <c r="V38" s="5">
        <v>0.47633465557050603</v>
      </c>
      <c r="W38" s="5">
        <v>0.47641329732322302</v>
      </c>
      <c r="X38" s="5">
        <v>0</v>
      </c>
      <c r="Y38" s="5">
        <v>2</v>
      </c>
      <c r="AL38" t="s">
        <v>189</v>
      </c>
      <c r="AM38" t="s">
        <v>152</v>
      </c>
      <c r="AN38" t="s">
        <v>113</v>
      </c>
      <c r="AO38" s="5">
        <v>8235</v>
      </c>
      <c r="AP38" s="5">
        <v>4.6969656296252689</v>
      </c>
      <c r="AQ38" s="5">
        <v>6.5659052011974035</v>
      </c>
      <c r="AR38" s="5">
        <v>8223</v>
      </c>
      <c r="AS38" s="5">
        <v>8245</v>
      </c>
    </row>
    <row r="39" spans="2:45" x14ac:dyDescent="0.25">
      <c r="B39" t="s">
        <v>101</v>
      </c>
      <c r="C39" t="s">
        <v>72</v>
      </c>
      <c r="D39" t="s">
        <v>71</v>
      </c>
      <c r="E39" s="5">
        <v>88046.738172937825</v>
      </c>
      <c r="F39" s="5">
        <v>1</v>
      </c>
      <c r="G39" s="5">
        <v>8425.3104481274768</v>
      </c>
      <c r="H39" s="5">
        <v>11777.771875557994</v>
      </c>
      <c r="I39" s="5">
        <v>68567.253415256797</v>
      </c>
      <c r="J39" s="5">
        <v>110513.939109851</v>
      </c>
      <c r="K39" s="5">
        <v>0</v>
      </c>
      <c r="L39" s="5">
        <v>157355.353923986</v>
      </c>
      <c r="M39" s="5">
        <v>118.7</v>
      </c>
      <c r="Q39" t="s">
        <v>115</v>
      </c>
      <c r="R39" t="s">
        <v>113</v>
      </c>
      <c r="S39" s="5">
        <v>3</v>
      </c>
      <c r="T39" s="5">
        <v>0</v>
      </c>
      <c r="U39" s="5">
        <v>0</v>
      </c>
      <c r="V39" s="5">
        <v>3</v>
      </c>
      <c r="W39" s="5">
        <v>3</v>
      </c>
      <c r="X39" s="5">
        <v>3</v>
      </c>
      <c r="Y39" s="5">
        <v>3</v>
      </c>
      <c r="AL39" t="s">
        <v>190</v>
      </c>
      <c r="AM39" t="s">
        <v>154</v>
      </c>
      <c r="AN39" t="s">
        <v>113</v>
      </c>
      <c r="AO39" s="5">
        <v>0.48622459141633045</v>
      </c>
      <c r="AP39" s="5">
        <v>5.1924416958770345E-4</v>
      </c>
      <c r="AQ39" s="5">
        <v>7.2585329819825151E-4</v>
      </c>
      <c r="AR39" s="5">
        <v>0.48503601840289501</v>
      </c>
      <c r="AS39" s="5">
        <v>0.48724920721519499</v>
      </c>
    </row>
    <row r="40" spans="2:45" x14ac:dyDescent="0.25">
      <c r="B40" t="s">
        <v>102</v>
      </c>
      <c r="C40" t="s">
        <v>72</v>
      </c>
      <c r="D40" t="s">
        <v>71</v>
      </c>
      <c r="E40" s="5">
        <v>43.895956091204496</v>
      </c>
      <c r="F40" s="5">
        <v>1</v>
      </c>
      <c r="G40" s="5">
        <v>8.6699786854535752</v>
      </c>
      <c r="H40" s="5">
        <v>12.119794487325622</v>
      </c>
      <c r="I40" s="5">
        <v>18.156136666344501</v>
      </c>
      <c r="J40" s="5">
        <v>58.212092015181497</v>
      </c>
      <c r="K40" s="5">
        <v>0</v>
      </c>
      <c r="L40" s="5">
        <v>50399.169114564698</v>
      </c>
      <c r="M40" s="5">
        <v>13100.1</v>
      </c>
      <c r="P40" t="s">
        <v>130</v>
      </c>
      <c r="Q40" t="s">
        <v>112</v>
      </c>
      <c r="R40" t="s">
        <v>113</v>
      </c>
      <c r="S40" s="5">
        <v>0.4764197469396344</v>
      </c>
      <c r="T40" s="5">
        <v>2.530338482140405E-5</v>
      </c>
      <c r="U40" s="5">
        <v>3.5371692941259857E-5</v>
      </c>
      <c r="V40" s="5">
        <v>0.47638046343127</v>
      </c>
      <c r="W40" s="5">
        <v>0.47647340349894202</v>
      </c>
      <c r="X40" s="5">
        <v>0</v>
      </c>
      <c r="Y40" s="5">
        <v>1</v>
      </c>
      <c r="AL40" t="s">
        <v>191</v>
      </c>
      <c r="AM40" t="s">
        <v>152</v>
      </c>
      <c r="AN40" t="s">
        <v>113</v>
      </c>
      <c r="AO40" s="5">
        <v>8233.5</v>
      </c>
      <c r="AP40" s="5">
        <v>4.6513481780498687</v>
      </c>
      <c r="AQ40" s="5">
        <v>6.5021364010437201</v>
      </c>
      <c r="AR40" s="5">
        <v>8221</v>
      </c>
      <c r="AS40" s="5">
        <v>8243</v>
      </c>
    </row>
    <row r="41" spans="2:45" x14ac:dyDescent="0.25">
      <c r="B41" t="s">
        <v>103</v>
      </c>
      <c r="C41" t="s">
        <v>72</v>
      </c>
      <c r="D41" t="s">
        <v>71</v>
      </c>
      <c r="E41" s="5">
        <v>8.2359994067495084</v>
      </c>
      <c r="F41" s="5">
        <v>1</v>
      </c>
      <c r="G41" s="5">
        <v>4.2315555817401149</v>
      </c>
      <c r="H41" s="5">
        <v>5.9153068159708839</v>
      </c>
      <c r="I41" s="5">
        <v>2.4091971467410902</v>
      </c>
      <c r="J41" s="5">
        <v>20.464689844814199</v>
      </c>
      <c r="K41" s="5">
        <v>0</v>
      </c>
      <c r="L41" s="5">
        <v>50416.267475569599</v>
      </c>
      <c r="M41" s="5">
        <v>13099.9</v>
      </c>
      <c r="Q41" t="s">
        <v>114</v>
      </c>
      <c r="R41" t="s">
        <v>113</v>
      </c>
      <c r="S41" s="5">
        <v>0.4764197469396344</v>
      </c>
      <c r="T41" s="5">
        <v>2.530338482140405E-5</v>
      </c>
      <c r="U41" s="5">
        <v>3.5371692941259857E-5</v>
      </c>
      <c r="V41" s="5">
        <v>0.47638046343127</v>
      </c>
      <c r="W41" s="5">
        <v>0.47647340349894202</v>
      </c>
      <c r="X41" s="5">
        <v>0</v>
      </c>
      <c r="Y41" s="5">
        <v>1</v>
      </c>
      <c r="AL41" t="s">
        <v>192</v>
      </c>
      <c r="AM41" t="s">
        <v>154</v>
      </c>
      <c r="AN41" t="s">
        <v>113</v>
      </c>
      <c r="AO41" s="5">
        <v>0.57195959594019841</v>
      </c>
      <c r="AP41" s="5">
        <v>3.6265658596782525E-4</v>
      </c>
      <c r="AQ41" s="5">
        <v>5.0695895005827636E-4</v>
      </c>
      <c r="AR41" s="5">
        <v>0.57115702440598504</v>
      </c>
      <c r="AS41" s="5">
        <v>0.57294957522841605</v>
      </c>
    </row>
    <row r="42" spans="2:45" x14ac:dyDescent="0.25">
      <c r="B42" t="s">
        <v>104</v>
      </c>
      <c r="C42" t="s">
        <v>72</v>
      </c>
      <c r="D42" t="s">
        <v>71</v>
      </c>
      <c r="E42" s="5">
        <v>4963.4386674412362</v>
      </c>
      <c r="F42" s="5">
        <v>1</v>
      </c>
      <c r="G42" s="5">
        <v>496.42582374691045</v>
      </c>
      <c r="H42" s="5">
        <v>693.95545021448061</v>
      </c>
      <c r="I42" s="5">
        <v>4084.20093509158</v>
      </c>
      <c r="J42" s="5">
        <v>6194.5743580777498</v>
      </c>
      <c r="K42" s="5">
        <v>31.828723795293602</v>
      </c>
      <c r="L42" s="5">
        <v>55484.8116657914</v>
      </c>
      <c r="M42" s="5">
        <v>8235</v>
      </c>
      <c r="Q42" t="s">
        <v>115</v>
      </c>
      <c r="R42" t="s">
        <v>113</v>
      </c>
      <c r="S42" s="5">
        <v>0.476190476190476</v>
      </c>
      <c r="T42" s="5">
        <v>0</v>
      </c>
      <c r="U42" s="5">
        <v>0</v>
      </c>
      <c r="V42" s="5">
        <v>0.476190476190476</v>
      </c>
      <c r="W42" s="5">
        <v>0.476190476190476</v>
      </c>
      <c r="X42" s="5">
        <v>0</v>
      </c>
      <c r="Y42" s="5">
        <v>1</v>
      </c>
      <c r="AL42" t="s">
        <v>193</v>
      </c>
      <c r="AM42" t="s">
        <v>152</v>
      </c>
      <c r="AN42" t="s">
        <v>113</v>
      </c>
      <c r="AO42" s="5">
        <v>8231.5</v>
      </c>
      <c r="AP42" s="5">
        <v>4.5399965713211703</v>
      </c>
      <c r="AQ42" s="5">
        <v>6.3464775882199236</v>
      </c>
      <c r="AR42" s="5">
        <v>8220</v>
      </c>
      <c r="AS42" s="5">
        <v>8241</v>
      </c>
    </row>
    <row r="43" spans="2:45" x14ac:dyDescent="0.25">
      <c r="B43" t="s">
        <v>105</v>
      </c>
      <c r="C43" t="s">
        <v>72</v>
      </c>
      <c r="D43" t="s">
        <v>71</v>
      </c>
      <c r="E43" s="5">
        <v>88.040125893874716</v>
      </c>
      <c r="F43" s="5">
        <v>1</v>
      </c>
      <c r="G43" s="5">
        <v>9.2716673090812414</v>
      </c>
      <c r="H43" s="5">
        <v>12.96089718530159</v>
      </c>
      <c r="I43" s="5">
        <v>64.818570391141506</v>
      </c>
      <c r="J43" s="5">
        <v>100.525218123304</v>
      </c>
      <c r="K43" s="5">
        <v>0</v>
      </c>
      <c r="L43" s="5">
        <v>50449.588001419703</v>
      </c>
      <c r="M43" s="5">
        <v>8233.5</v>
      </c>
      <c r="P43" t="s">
        <v>131</v>
      </c>
      <c r="Q43" t="s">
        <v>112</v>
      </c>
      <c r="R43" t="s">
        <v>113</v>
      </c>
      <c r="S43" s="5">
        <v>0.34662188147997436</v>
      </c>
      <c r="T43" s="5">
        <v>2.4134201748419608E-4</v>
      </c>
      <c r="U43" s="5">
        <v>3.3737287704900277E-4</v>
      </c>
      <c r="V43" s="5">
        <v>0.34602746258727701</v>
      </c>
      <c r="W43" s="5">
        <v>0.34712505386175102</v>
      </c>
      <c r="X43" s="5">
        <v>0</v>
      </c>
      <c r="Y43" s="5">
        <v>1</v>
      </c>
      <c r="AL43" t="s">
        <v>194</v>
      </c>
      <c r="AM43" t="s">
        <v>154</v>
      </c>
      <c r="AN43" t="s">
        <v>113</v>
      </c>
      <c r="AO43" s="5">
        <v>1.0004557942559711</v>
      </c>
      <c r="AP43" s="5">
        <v>1.1989387166531641E-4</v>
      </c>
      <c r="AQ43" s="5">
        <v>1.6760007580081014E-4</v>
      </c>
      <c r="AR43" s="5">
        <v>1.0000655989645</v>
      </c>
      <c r="AS43" s="5">
        <v>1.00068312738094</v>
      </c>
    </row>
    <row r="44" spans="2:45" x14ac:dyDescent="0.25">
      <c r="B44" t="s">
        <v>106</v>
      </c>
      <c r="C44" t="s">
        <v>72</v>
      </c>
      <c r="D44" t="s">
        <v>71</v>
      </c>
      <c r="E44" s="5">
        <v>229.8897737798377</v>
      </c>
      <c r="F44" s="5">
        <v>1</v>
      </c>
      <c r="G44" s="5">
        <v>13.119516055011427</v>
      </c>
      <c r="H44" s="5">
        <v>18.339818831006617</v>
      </c>
      <c r="I44" s="5">
        <v>210.201039016267</v>
      </c>
      <c r="J44" s="5">
        <v>267.93355402142498</v>
      </c>
      <c r="K44" s="5">
        <v>0</v>
      </c>
      <c r="L44" s="5">
        <v>50557.121858719198</v>
      </c>
      <c r="M44" s="5">
        <v>8231.5</v>
      </c>
      <c r="Q44" t="s">
        <v>114</v>
      </c>
      <c r="R44" t="s">
        <v>113</v>
      </c>
      <c r="S44" s="5">
        <v>0.34662188147997436</v>
      </c>
      <c r="T44" s="5">
        <v>2.4134201748419608E-4</v>
      </c>
      <c r="U44" s="5">
        <v>3.3737287704900277E-4</v>
      </c>
      <c r="V44" s="5">
        <v>0.34602746258727701</v>
      </c>
      <c r="W44" s="5">
        <v>0.34712505386175102</v>
      </c>
      <c r="X44" s="5">
        <v>0</v>
      </c>
      <c r="Y44" s="5">
        <v>1</v>
      </c>
      <c r="AL44" t="s">
        <v>195</v>
      </c>
      <c r="AM44" t="s">
        <v>152</v>
      </c>
      <c r="AN44" t="s">
        <v>113</v>
      </c>
      <c r="AO44" s="5">
        <v>8227.7000000000007</v>
      </c>
      <c r="AP44" s="5">
        <v>4.4997408887103267</v>
      </c>
      <c r="AQ44" s="5">
        <v>6.2902040242480748</v>
      </c>
      <c r="AR44" s="5">
        <v>8216</v>
      </c>
      <c r="AS44" s="5">
        <v>8237</v>
      </c>
    </row>
    <row r="45" spans="2:45" x14ac:dyDescent="0.25">
      <c r="B45" t="s">
        <v>107</v>
      </c>
      <c r="C45" t="s">
        <v>72</v>
      </c>
      <c r="D45" t="s">
        <v>71</v>
      </c>
      <c r="E45" s="5">
        <v>85.807400359907859</v>
      </c>
      <c r="F45" s="5">
        <v>1</v>
      </c>
      <c r="G45" s="5">
        <v>12.722581416970771</v>
      </c>
      <c r="H45" s="5">
        <v>17.784942468274007</v>
      </c>
      <c r="I45" s="5">
        <v>50.2715784556584</v>
      </c>
      <c r="J45" s="5">
        <v>106.488424563889</v>
      </c>
      <c r="K45" s="5">
        <v>0</v>
      </c>
      <c r="L45" s="5">
        <v>50399.558469181902</v>
      </c>
      <c r="M45" s="5">
        <v>8227.7000000000007</v>
      </c>
      <c r="Q45" t="s">
        <v>115</v>
      </c>
      <c r="R45" t="s">
        <v>113</v>
      </c>
      <c r="S45" s="5">
        <v>0.476190476190476</v>
      </c>
      <c r="T45" s="5">
        <v>0</v>
      </c>
      <c r="U45" s="5">
        <v>0</v>
      </c>
      <c r="V45" s="5">
        <v>0.476190476190476</v>
      </c>
      <c r="W45" s="5">
        <v>0.476190476190476</v>
      </c>
      <c r="X45" s="5">
        <v>0</v>
      </c>
      <c r="Y45" s="5">
        <v>1</v>
      </c>
      <c r="AL45" t="s">
        <v>196</v>
      </c>
      <c r="AM45" t="s">
        <v>154</v>
      </c>
      <c r="AN45" t="s">
        <v>113</v>
      </c>
      <c r="AO45" s="5">
        <v>0.62814585354256225</v>
      </c>
      <c r="AP45" s="5">
        <v>5.5546440166277669E-4</v>
      </c>
      <c r="AQ45" s="5">
        <v>7.7648569130547428E-4</v>
      </c>
      <c r="AR45" s="5">
        <v>0.62668997340539101</v>
      </c>
      <c r="AS45" s="5">
        <v>0.629372102267024</v>
      </c>
    </row>
    <row r="46" spans="2:45" x14ac:dyDescent="0.25">
      <c r="B46" t="s">
        <v>108</v>
      </c>
      <c r="C46" t="s">
        <v>72</v>
      </c>
      <c r="D46" t="s">
        <v>71</v>
      </c>
      <c r="E46" s="5">
        <v>2333.0370366652432</v>
      </c>
      <c r="F46" s="5">
        <v>1</v>
      </c>
      <c r="G46" s="5">
        <v>125.08268890798421</v>
      </c>
      <c r="H46" s="5">
        <v>174.85354214657374</v>
      </c>
      <c r="I46" s="5">
        <v>1988.7663340255599</v>
      </c>
      <c r="J46" s="5">
        <v>2606.8224721424099</v>
      </c>
      <c r="K46" s="5">
        <v>66.189341504752505</v>
      </c>
      <c r="L46" s="5">
        <v>52568.073271626301</v>
      </c>
      <c r="M46" s="5">
        <v>18392</v>
      </c>
      <c r="P46" t="s">
        <v>132</v>
      </c>
      <c r="Q46" t="s">
        <v>112</v>
      </c>
      <c r="R46" t="s">
        <v>113</v>
      </c>
      <c r="S46" s="5">
        <v>0.45468496459709407</v>
      </c>
      <c r="T46" s="5">
        <v>2.6178321488092363E-4</v>
      </c>
      <c r="U46" s="5">
        <v>3.659477006456115E-4</v>
      </c>
      <c r="V46" s="5">
        <v>0.45404133128311103</v>
      </c>
      <c r="W46" s="5">
        <v>0.45518418142323402</v>
      </c>
      <c r="X46" s="5">
        <v>0</v>
      </c>
      <c r="Y46" s="5">
        <v>1</v>
      </c>
      <c r="AL46" t="s">
        <v>197</v>
      </c>
      <c r="AM46" t="s">
        <v>152</v>
      </c>
      <c r="AN46" t="s">
        <v>113</v>
      </c>
      <c r="AO46" s="5">
        <v>18392</v>
      </c>
      <c r="AP46" s="5">
        <v>9.2167290013706662</v>
      </c>
      <c r="AQ46" s="5">
        <v>12.884098726725126</v>
      </c>
      <c r="AR46" s="5">
        <v>18376</v>
      </c>
      <c r="AS46" s="5">
        <v>18407</v>
      </c>
    </row>
    <row r="47" spans="2:45" x14ac:dyDescent="0.25">
      <c r="B47" t="s">
        <v>109</v>
      </c>
      <c r="C47" t="s">
        <v>72</v>
      </c>
      <c r="D47" t="s">
        <v>71</v>
      </c>
      <c r="E47" s="5">
        <v>96.952802100337834</v>
      </c>
      <c r="F47" s="5">
        <v>1</v>
      </c>
      <c r="G47" s="5">
        <v>10.430562589323509</v>
      </c>
      <c r="H47" s="5">
        <v>14.580921079066574</v>
      </c>
      <c r="I47" s="5">
        <v>70.992281755618393</v>
      </c>
      <c r="J47" s="5">
        <v>112.231730524293</v>
      </c>
      <c r="K47" s="5">
        <v>0</v>
      </c>
      <c r="L47" s="5">
        <v>50459.332896561798</v>
      </c>
      <c r="M47" s="5">
        <v>18389.400000000001</v>
      </c>
      <c r="Q47" t="s">
        <v>114</v>
      </c>
      <c r="R47" t="s">
        <v>113</v>
      </c>
      <c r="S47" s="5">
        <v>0.45468496459709407</v>
      </c>
      <c r="T47" s="5">
        <v>2.6178321488092363E-4</v>
      </c>
      <c r="U47" s="5">
        <v>3.659477006456115E-4</v>
      </c>
      <c r="V47" s="5">
        <v>0.45404133128311103</v>
      </c>
      <c r="W47" s="5">
        <v>0.45518418142323402</v>
      </c>
      <c r="X47" s="5">
        <v>0</v>
      </c>
      <c r="Y47" s="5">
        <v>1</v>
      </c>
      <c r="AL47" t="s">
        <v>198</v>
      </c>
      <c r="AM47" t="s">
        <v>154</v>
      </c>
      <c r="AN47" t="s">
        <v>113</v>
      </c>
      <c r="AO47" s="5">
        <v>0.9578548406389944</v>
      </c>
      <c r="AP47" s="5">
        <v>5.0627835985142609E-4</v>
      </c>
      <c r="AQ47" s="5">
        <v>7.0772834598480485E-4</v>
      </c>
      <c r="AR47" s="5">
        <v>0.95655010461043799</v>
      </c>
      <c r="AS47" s="5">
        <v>0.95869742508961697</v>
      </c>
    </row>
    <row r="48" spans="2:45" x14ac:dyDescent="0.25">
      <c r="B48" t="s">
        <v>110</v>
      </c>
      <c r="C48" t="s">
        <v>77</v>
      </c>
      <c r="D48" t="s">
        <v>76</v>
      </c>
      <c r="E48" s="5">
        <v>0</v>
      </c>
      <c r="F48" s="5">
        <v>1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1412.8</v>
      </c>
      <c r="Q48" t="s">
        <v>115</v>
      </c>
      <c r="R48" t="s">
        <v>113</v>
      </c>
      <c r="S48" s="5">
        <v>0.476190476190476</v>
      </c>
      <c r="T48" s="5">
        <v>0</v>
      </c>
      <c r="U48" s="5">
        <v>0</v>
      </c>
      <c r="V48" s="5">
        <v>0.476190476190476</v>
      </c>
      <c r="W48" s="5">
        <v>0.476190476190476</v>
      </c>
      <c r="X48" s="5">
        <v>0</v>
      </c>
      <c r="Y48" s="5">
        <v>1</v>
      </c>
      <c r="AL48" t="s">
        <v>199</v>
      </c>
      <c r="AM48" t="s">
        <v>152</v>
      </c>
      <c r="AN48" t="s">
        <v>113</v>
      </c>
      <c r="AO48" s="5">
        <v>18389.400000000001</v>
      </c>
      <c r="AP48" s="5">
        <v>8.6581502197487996</v>
      </c>
      <c r="AQ48" s="5">
        <v>12.103259432437566</v>
      </c>
      <c r="AR48" s="5">
        <v>18376</v>
      </c>
      <c r="AS48" s="5">
        <v>18404</v>
      </c>
    </row>
    <row r="49" spans="3:45" x14ac:dyDescent="0.25">
      <c r="C49" t="s">
        <v>78</v>
      </c>
      <c r="D49" t="s">
        <v>76</v>
      </c>
      <c r="E49" s="5">
        <v>648.63734791108345</v>
      </c>
      <c r="F49" s="5">
        <v>1</v>
      </c>
      <c r="G49" s="5">
        <v>3.8695763547528403</v>
      </c>
      <c r="H49" s="5">
        <v>5.4092947484755589</v>
      </c>
      <c r="I49" s="5">
        <v>639.97478427335204</v>
      </c>
      <c r="J49" s="5">
        <v>657.59073514207705</v>
      </c>
      <c r="K49" s="5">
        <v>126.191556433689</v>
      </c>
      <c r="L49" s="5">
        <v>738.20739202885295</v>
      </c>
      <c r="M49" s="5">
        <v>1412.8</v>
      </c>
      <c r="P49" t="s">
        <v>133</v>
      </c>
      <c r="Q49" t="s">
        <v>112</v>
      </c>
      <c r="R49" t="s">
        <v>113</v>
      </c>
      <c r="S49" s="5">
        <v>0.2315355197220621</v>
      </c>
      <c r="T49" s="5">
        <v>2.4725912837525509E-4</v>
      </c>
      <c r="U49" s="5">
        <v>3.4564442771367425E-4</v>
      </c>
      <c r="V49" s="5">
        <v>0.230969532572807</v>
      </c>
      <c r="W49" s="5">
        <v>0.23202343200723599</v>
      </c>
      <c r="X49" s="5">
        <v>0</v>
      </c>
      <c r="Y49" s="5">
        <v>1</v>
      </c>
      <c r="AL49" t="s">
        <v>200</v>
      </c>
      <c r="AM49" t="s">
        <v>154</v>
      </c>
      <c r="AN49" t="s">
        <v>113</v>
      </c>
      <c r="AO49" s="5">
        <v>1.0003902798422071</v>
      </c>
      <c r="AP49" s="5">
        <v>4.0013884931119971E-5</v>
      </c>
      <c r="AQ49" s="5">
        <v>5.593555412291058E-5</v>
      </c>
      <c r="AR49" s="5">
        <v>1.0003027766980599</v>
      </c>
      <c r="AS49" s="5">
        <v>1.00046792437877</v>
      </c>
    </row>
    <row r="50" spans="3:45" x14ac:dyDescent="0.25">
      <c r="C50" t="s">
        <v>79</v>
      </c>
      <c r="D50" t="s">
        <v>76</v>
      </c>
      <c r="E50" s="5">
        <v>83209.725766173768</v>
      </c>
      <c r="F50" s="5">
        <v>1</v>
      </c>
      <c r="G50" s="5">
        <v>321.02238709664016</v>
      </c>
      <c r="H50" s="5">
        <v>448.75835323214818</v>
      </c>
      <c r="I50" s="5">
        <v>82701.3289873717</v>
      </c>
      <c r="J50" s="5">
        <v>84117.798290527702</v>
      </c>
      <c r="K50" s="5">
        <v>340.54300832225601</v>
      </c>
      <c r="L50" s="5">
        <v>184239.085713487</v>
      </c>
      <c r="M50" s="5">
        <v>1412.8</v>
      </c>
      <c r="Q50" t="s">
        <v>114</v>
      </c>
      <c r="R50" t="s">
        <v>113</v>
      </c>
      <c r="S50" s="5">
        <v>0.2315355197220621</v>
      </c>
      <c r="T50" s="5">
        <v>2.4725912837525509E-4</v>
      </c>
      <c r="U50" s="5">
        <v>3.4564442771367425E-4</v>
      </c>
      <c r="V50" s="5">
        <v>0.230969532572807</v>
      </c>
      <c r="W50" s="5">
        <v>0.23202343200723599</v>
      </c>
      <c r="X50" s="5">
        <v>0</v>
      </c>
      <c r="Y50" s="5">
        <v>1</v>
      </c>
      <c r="AL50" t="s">
        <v>201</v>
      </c>
      <c r="AM50" t="s">
        <v>202</v>
      </c>
      <c r="AN50" t="s">
        <v>87</v>
      </c>
      <c r="AO50" s="5">
        <v>157133.73428655442</v>
      </c>
      <c r="AP50" s="5">
        <v>88.098569462778244</v>
      </c>
      <c r="AQ50" s="5">
        <v>123.15330812839177</v>
      </c>
      <c r="AR50" s="5">
        <v>156930.294881654</v>
      </c>
      <c r="AS50" s="5">
        <v>157303.990839153</v>
      </c>
    </row>
    <row r="51" spans="3:45" x14ac:dyDescent="0.25">
      <c r="C51" t="s">
        <v>80</v>
      </c>
      <c r="D51" t="s">
        <v>76</v>
      </c>
      <c r="E51" s="5">
        <v>0</v>
      </c>
      <c r="F51" s="5">
        <v>1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1412.8</v>
      </c>
      <c r="Q51" t="s">
        <v>115</v>
      </c>
      <c r="R51" t="s">
        <v>113</v>
      </c>
      <c r="S51" s="5">
        <v>0.476190476190476</v>
      </c>
      <c r="T51" s="5">
        <v>0</v>
      </c>
      <c r="U51" s="5">
        <v>0</v>
      </c>
      <c r="V51" s="5">
        <v>0.476190476190476</v>
      </c>
      <c r="W51" s="5">
        <v>0.476190476190476</v>
      </c>
      <c r="X51" s="5">
        <v>0</v>
      </c>
      <c r="Y51" s="5">
        <v>1</v>
      </c>
      <c r="AL51" t="s">
        <v>203</v>
      </c>
      <c r="AM51" t="s">
        <v>156</v>
      </c>
      <c r="AN51" t="s">
        <v>87</v>
      </c>
      <c r="AO51" s="5">
        <v>13103.5</v>
      </c>
      <c r="AP51" s="5">
        <v>8.1858976986246059</v>
      </c>
      <c r="AQ51" s="5">
        <v>11.443095929181249</v>
      </c>
      <c r="AR51" s="5">
        <v>13087</v>
      </c>
      <c r="AS51" s="5">
        <v>13120</v>
      </c>
    </row>
    <row r="52" spans="3:45" x14ac:dyDescent="0.25">
      <c r="C52" t="s">
        <v>81</v>
      </c>
      <c r="D52" t="s">
        <v>76</v>
      </c>
      <c r="E52" s="5">
        <v>633.11198951993958</v>
      </c>
      <c r="F52" s="5">
        <v>1</v>
      </c>
      <c r="G52" s="5">
        <v>3.733160898240417</v>
      </c>
      <c r="H52" s="5">
        <v>5.2185990896039609</v>
      </c>
      <c r="I52" s="5">
        <v>625.13033962757504</v>
      </c>
      <c r="J52" s="5">
        <v>642.37502414826099</v>
      </c>
      <c r="K52" s="5">
        <v>121.89425635771499</v>
      </c>
      <c r="L52" s="5">
        <v>725.62892145654803</v>
      </c>
      <c r="M52" s="5">
        <v>1412.8</v>
      </c>
      <c r="P52" t="s">
        <v>134</v>
      </c>
      <c r="Q52" t="s">
        <v>112</v>
      </c>
      <c r="R52" t="s">
        <v>113</v>
      </c>
      <c r="S52" s="5">
        <v>0.2723617123524753</v>
      </c>
      <c r="T52" s="5">
        <v>1.7269361236560142E-4</v>
      </c>
      <c r="U52" s="5">
        <v>2.4140902383723299E-4</v>
      </c>
      <c r="V52" s="5">
        <v>0.271979535431421</v>
      </c>
      <c r="W52" s="5">
        <v>0.27283313106114998</v>
      </c>
      <c r="X52" s="5">
        <v>0</v>
      </c>
      <c r="Y52" s="5">
        <v>1</v>
      </c>
      <c r="AL52" t="s">
        <v>204</v>
      </c>
      <c r="AM52" t="s">
        <v>158</v>
      </c>
      <c r="AN52" t="s">
        <v>87</v>
      </c>
      <c r="AO52" s="5">
        <v>13103.5</v>
      </c>
      <c r="AP52" s="5">
        <v>8.1858976986246059</v>
      </c>
      <c r="AQ52" s="5">
        <v>11.443095929181249</v>
      </c>
      <c r="AR52" s="5">
        <v>13087</v>
      </c>
      <c r="AS52" s="5">
        <v>13120</v>
      </c>
    </row>
    <row r="53" spans="3:45" x14ac:dyDescent="0.25">
      <c r="C53" t="s">
        <v>82</v>
      </c>
      <c r="D53" t="s">
        <v>76</v>
      </c>
      <c r="E53" s="5">
        <v>715621.63686177903</v>
      </c>
      <c r="F53" s="5">
        <v>1</v>
      </c>
      <c r="G53" s="5">
        <v>5081.5565772188193</v>
      </c>
      <c r="H53" s="5">
        <v>7103.5262745156242</v>
      </c>
      <c r="I53" s="5">
        <v>706040.14193379204</v>
      </c>
      <c r="J53" s="5">
        <v>728712.78790280595</v>
      </c>
      <c r="K53" s="5">
        <v>942.11081602343995</v>
      </c>
      <c r="L53" s="5">
        <v>1975788.7077699299</v>
      </c>
      <c r="M53" s="5">
        <v>1412.8</v>
      </c>
      <c r="Q53" t="s">
        <v>114</v>
      </c>
      <c r="R53" t="s">
        <v>113</v>
      </c>
      <c r="S53" s="5">
        <v>0.2723617123524753</v>
      </c>
      <c r="T53" s="5">
        <v>1.7269361236560142E-4</v>
      </c>
      <c r="U53" s="5">
        <v>2.4140902383723299E-4</v>
      </c>
      <c r="V53" s="5">
        <v>0.271979535431421</v>
      </c>
      <c r="W53" s="5">
        <v>0.27283313106114998</v>
      </c>
      <c r="X53" s="5">
        <v>0</v>
      </c>
      <c r="Y53" s="5">
        <v>1</v>
      </c>
      <c r="AL53" t="s">
        <v>205</v>
      </c>
      <c r="AM53" t="s">
        <v>202</v>
      </c>
      <c r="AN53" t="s">
        <v>87</v>
      </c>
      <c r="AO53" s="5">
        <v>21817.897664333104</v>
      </c>
      <c r="AP53" s="5">
        <v>28.884298467602775</v>
      </c>
      <c r="AQ53" s="5">
        <v>40.377465047897729</v>
      </c>
      <c r="AR53" s="5">
        <v>21737.561928445</v>
      </c>
      <c r="AS53" s="5">
        <v>21880.2668082411</v>
      </c>
    </row>
    <row r="54" spans="3:45" x14ac:dyDescent="0.25">
      <c r="Q54" t="s">
        <v>115</v>
      </c>
      <c r="R54" t="s">
        <v>113</v>
      </c>
      <c r="S54" s="5">
        <v>0.476190476190476</v>
      </c>
      <c r="T54" s="5">
        <v>0</v>
      </c>
      <c r="U54" s="5">
        <v>0</v>
      </c>
      <c r="V54" s="5">
        <v>0.476190476190476</v>
      </c>
      <c r="W54" s="5">
        <v>0.476190476190476</v>
      </c>
      <c r="X54" s="5">
        <v>0</v>
      </c>
      <c r="Y54" s="5">
        <v>1</v>
      </c>
      <c r="AL54" t="s">
        <v>206</v>
      </c>
      <c r="AM54" t="s">
        <v>156</v>
      </c>
      <c r="AN54" t="s">
        <v>87</v>
      </c>
      <c r="AO54" s="5">
        <v>6547.7</v>
      </c>
      <c r="AP54" s="5">
        <v>4.1031814541969078</v>
      </c>
      <c r="AQ54" s="5">
        <v>5.735852159879995</v>
      </c>
      <c r="AR54" s="5">
        <v>6540</v>
      </c>
      <c r="AS54" s="5">
        <v>6557</v>
      </c>
    </row>
    <row r="55" spans="3:45" x14ac:dyDescent="0.25">
      <c r="P55" t="s">
        <v>135</v>
      </c>
      <c r="Q55" t="s">
        <v>112</v>
      </c>
      <c r="R55" t="s">
        <v>113</v>
      </c>
      <c r="S55" s="5">
        <v>0.47640752107427203</v>
      </c>
      <c r="T55" s="5">
        <v>5.7092319840390197E-5</v>
      </c>
      <c r="U55" s="5">
        <v>7.9809559904816854E-5</v>
      </c>
      <c r="V55" s="5">
        <v>0.47622171379262102</v>
      </c>
      <c r="W55" s="5">
        <v>0.47651577494330499</v>
      </c>
      <c r="X55" s="5">
        <v>0</v>
      </c>
      <c r="Y55" s="5">
        <v>1</v>
      </c>
      <c r="AL55" t="s">
        <v>207</v>
      </c>
      <c r="AM55" t="s">
        <v>158</v>
      </c>
      <c r="AN55" t="s">
        <v>87</v>
      </c>
      <c r="AO55" s="5">
        <v>6547.3</v>
      </c>
      <c r="AP55" s="5">
        <v>4.0893005569921828</v>
      </c>
      <c r="AQ55" s="5">
        <v>5.7164480035925962</v>
      </c>
      <c r="AR55" s="5">
        <v>6539</v>
      </c>
      <c r="AS55" s="5">
        <v>6556</v>
      </c>
    </row>
    <row r="56" spans="3:45" x14ac:dyDescent="0.25">
      <c r="Q56" t="s">
        <v>114</v>
      </c>
      <c r="R56" t="s">
        <v>113</v>
      </c>
      <c r="S56" s="5">
        <v>0.47640752107427209</v>
      </c>
      <c r="T56" s="5">
        <v>5.7092319840434263E-5</v>
      </c>
      <c r="U56" s="5">
        <v>7.980955990487845E-5</v>
      </c>
      <c r="V56" s="5">
        <v>0.47622171379262102</v>
      </c>
      <c r="W56" s="5">
        <v>0.47651577494330499</v>
      </c>
      <c r="X56" s="5">
        <v>0</v>
      </c>
      <c r="Y56" s="5">
        <v>1</v>
      </c>
      <c r="AL56" t="s">
        <v>208</v>
      </c>
      <c r="AM56" t="s">
        <v>202</v>
      </c>
      <c r="AN56" t="s">
        <v>87</v>
      </c>
      <c r="AO56" s="5">
        <v>78656.282482549519</v>
      </c>
      <c r="AP56" s="5">
        <v>99.718042457930338</v>
      </c>
      <c r="AQ56" s="5">
        <v>139.39621135358072</v>
      </c>
      <c r="AR56" s="5">
        <v>78434.750255210005</v>
      </c>
      <c r="AS56" s="5">
        <v>78879.0340749358</v>
      </c>
    </row>
    <row r="57" spans="3:45" x14ac:dyDescent="0.25">
      <c r="Q57" t="s">
        <v>115</v>
      </c>
      <c r="R57" t="s">
        <v>113</v>
      </c>
      <c r="S57" s="5">
        <v>0.476190476190476</v>
      </c>
      <c r="T57" s="5">
        <v>0</v>
      </c>
      <c r="U57" s="5">
        <v>0</v>
      </c>
      <c r="V57" s="5">
        <v>0.476190476190476</v>
      </c>
      <c r="W57" s="5">
        <v>0.476190476190476</v>
      </c>
      <c r="X57" s="5">
        <v>0</v>
      </c>
      <c r="Y57" s="5">
        <v>1</v>
      </c>
      <c r="AL57" t="s">
        <v>209</v>
      </c>
      <c r="AM57" t="s">
        <v>156</v>
      </c>
      <c r="AN57" t="s">
        <v>87</v>
      </c>
      <c r="AO57" s="5">
        <v>13100.1</v>
      </c>
      <c r="AP57" s="5">
        <v>8.2011647303157567</v>
      </c>
      <c r="AQ57" s="5">
        <v>11.46443776786866</v>
      </c>
      <c r="AR57" s="5">
        <v>13083</v>
      </c>
      <c r="AS57" s="5">
        <v>13118</v>
      </c>
    </row>
    <row r="58" spans="3:45" x14ac:dyDescent="0.25">
      <c r="P58" t="s">
        <v>136</v>
      </c>
      <c r="Q58" t="s">
        <v>112</v>
      </c>
      <c r="R58" t="s">
        <v>113</v>
      </c>
      <c r="S58" s="5">
        <v>0.29911707311550589</v>
      </c>
      <c r="T58" s="5">
        <v>2.6450685793468105E-4</v>
      </c>
      <c r="U58" s="5">
        <v>3.6975509109788047E-4</v>
      </c>
      <c r="V58" s="5">
        <v>0.29842379685970999</v>
      </c>
      <c r="W58" s="5">
        <v>0.29970100107953501</v>
      </c>
      <c r="X58" s="5">
        <v>0</v>
      </c>
      <c r="Y58" s="5">
        <v>1</v>
      </c>
      <c r="AL58" t="s">
        <v>210</v>
      </c>
      <c r="AM58" t="s">
        <v>158</v>
      </c>
      <c r="AN58" t="s">
        <v>87</v>
      </c>
      <c r="AO58" s="5">
        <v>13100.1</v>
      </c>
      <c r="AP58" s="5">
        <v>8.2011647303157567</v>
      </c>
      <c r="AQ58" s="5">
        <v>11.46443776786866</v>
      </c>
      <c r="AR58" s="5">
        <v>13083</v>
      </c>
      <c r="AS58" s="5">
        <v>13118</v>
      </c>
    </row>
    <row r="59" spans="3:45" x14ac:dyDescent="0.25">
      <c r="Q59" t="s">
        <v>114</v>
      </c>
      <c r="R59" t="s">
        <v>113</v>
      </c>
      <c r="S59" s="5">
        <v>0.29911707311550589</v>
      </c>
      <c r="T59" s="5">
        <v>2.6450685793468105E-4</v>
      </c>
      <c r="U59" s="5">
        <v>3.6975509109788047E-4</v>
      </c>
      <c r="V59" s="5">
        <v>0.29842379685970999</v>
      </c>
      <c r="W59" s="5">
        <v>0.29970100107953501</v>
      </c>
      <c r="X59" s="5">
        <v>0</v>
      </c>
      <c r="Y59" s="5">
        <v>1</v>
      </c>
      <c r="AL59" t="s">
        <v>211</v>
      </c>
      <c r="AM59" t="s">
        <v>202</v>
      </c>
      <c r="AN59" t="s">
        <v>87</v>
      </c>
      <c r="AO59" s="5">
        <v>144088.31566564049</v>
      </c>
      <c r="AP59" s="5">
        <v>105.45777691839817</v>
      </c>
      <c r="AQ59" s="5">
        <v>147.41980686592098</v>
      </c>
      <c r="AR59" s="5">
        <v>143896.696561805</v>
      </c>
      <c r="AS59" s="5">
        <v>144298.22507098701</v>
      </c>
    </row>
    <row r="60" spans="3:45" x14ac:dyDescent="0.25">
      <c r="Q60" t="s">
        <v>115</v>
      </c>
      <c r="R60" t="s">
        <v>113</v>
      </c>
      <c r="S60" s="5">
        <v>0.476190476190476</v>
      </c>
      <c r="T60" s="5">
        <v>0</v>
      </c>
      <c r="U60" s="5">
        <v>0</v>
      </c>
      <c r="V60" s="5">
        <v>0.476190476190476</v>
      </c>
      <c r="W60" s="5">
        <v>0.476190476190476</v>
      </c>
      <c r="X60" s="5">
        <v>0</v>
      </c>
      <c r="Y60" s="5">
        <v>1</v>
      </c>
      <c r="AL60" t="s">
        <v>212</v>
      </c>
      <c r="AM60" t="s">
        <v>156</v>
      </c>
      <c r="AN60" t="s">
        <v>87</v>
      </c>
      <c r="AO60" s="5">
        <v>13099.9</v>
      </c>
      <c r="AP60" s="5">
        <v>8.4133460616980535</v>
      </c>
      <c r="AQ60" s="5">
        <v>11.761046816598522</v>
      </c>
      <c r="AR60" s="5">
        <v>13082</v>
      </c>
      <c r="AS60" s="5">
        <v>13118</v>
      </c>
    </row>
    <row r="61" spans="3:45" x14ac:dyDescent="0.25">
      <c r="P61" t="s">
        <v>137</v>
      </c>
      <c r="Q61" t="s">
        <v>112</v>
      </c>
      <c r="R61" t="s">
        <v>113</v>
      </c>
      <c r="S61" s="5">
        <v>0.45612135268523524</v>
      </c>
      <c r="T61" s="5">
        <v>2.4108493326261801E-4</v>
      </c>
      <c r="U61" s="5">
        <v>3.3701349808805007E-4</v>
      </c>
      <c r="V61" s="5">
        <v>0.45550004981449399</v>
      </c>
      <c r="W61" s="5">
        <v>0.45652258337600798</v>
      </c>
      <c r="X61" s="5">
        <v>0</v>
      </c>
      <c r="Y61" s="5">
        <v>1</v>
      </c>
      <c r="AL61" t="s">
        <v>213</v>
      </c>
      <c r="AM61" t="s">
        <v>158</v>
      </c>
      <c r="AN61" t="s">
        <v>87</v>
      </c>
      <c r="AO61" s="5">
        <v>13099.9</v>
      </c>
      <c r="AP61" s="5">
        <v>8.4133460616980535</v>
      </c>
      <c r="AQ61" s="5">
        <v>11.761046816598522</v>
      </c>
      <c r="AR61" s="5">
        <v>13082</v>
      </c>
      <c r="AS61" s="5">
        <v>13118</v>
      </c>
    </row>
    <row r="62" spans="3:45" x14ac:dyDescent="0.25">
      <c r="Q62" t="s">
        <v>114</v>
      </c>
      <c r="R62" t="s">
        <v>113</v>
      </c>
      <c r="S62" s="5">
        <v>0.45612135268523524</v>
      </c>
      <c r="T62" s="5">
        <v>2.4108493326261801E-4</v>
      </c>
      <c r="U62" s="5">
        <v>3.3701349808805007E-4</v>
      </c>
      <c r="V62" s="5">
        <v>0.45550004981449399</v>
      </c>
      <c r="W62" s="5">
        <v>0.45652258337600798</v>
      </c>
      <c r="X62" s="5">
        <v>0</v>
      </c>
      <c r="Y62" s="5">
        <v>1</v>
      </c>
      <c r="AL62" t="s">
        <v>214</v>
      </c>
      <c r="AM62" t="s">
        <v>202</v>
      </c>
      <c r="AN62" t="s">
        <v>87</v>
      </c>
      <c r="AO62" s="5">
        <v>57657.842851106019</v>
      </c>
      <c r="AP62" s="5">
        <v>47.361617889987492</v>
      </c>
      <c r="AQ62" s="5">
        <v>66.206976538127805</v>
      </c>
      <c r="AR62" s="5">
        <v>57569.6670912306</v>
      </c>
      <c r="AS62" s="5">
        <v>57778.887305354197</v>
      </c>
    </row>
    <row r="63" spans="3:45" x14ac:dyDescent="0.25">
      <c r="Q63" t="s">
        <v>115</v>
      </c>
      <c r="R63" t="s">
        <v>113</v>
      </c>
      <c r="S63" s="5">
        <v>0.476190476190476</v>
      </c>
      <c r="T63" s="5">
        <v>0</v>
      </c>
      <c r="U63" s="5">
        <v>0</v>
      </c>
      <c r="V63" s="5">
        <v>0.476190476190476</v>
      </c>
      <c r="W63" s="5">
        <v>0.476190476190476</v>
      </c>
      <c r="X63" s="5">
        <v>0</v>
      </c>
      <c r="Y63" s="5">
        <v>1</v>
      </c>
      <c r="AL63" t="s">
        <v>215</v>
      </c>
      <c r="AM63" t="s">
        <v>156</v>
      </c>
      <c r="AN63" t="s">
        <v>87</v>
      </c>
      <c r="AO63" s="5">
        <v>8235</v>
      </c>
      <c r="AP63" s="5">
        <v>4.6969656296252689</v>
      </c>
      <c r="AQ63" s="5">
        <v>6.5659052011974035</v>
      </c>
      <c r="AR63" s="5">
        <v>8223</v>
      </c>
      <c r="AS63" s="5">
        <v>8245</v>
      </c>
    </row>
    <row r="64" spans="3:45" x14ac:dyDescent="0.25">
      <c r="P64" t="s">
        <v>138</v>
      </c>
      <c r="Q64" t="s">
        <v>112</v>
      </c>
      <c r="R64" t="s">
        <v>113</v>
      </c>
      <c r="S64" s="5">
        <v>0.47637632373438449</v>
      </c>
      <c r="T64" s="5">
        <v>1.9054230919149366E-5</v>
      </c>
      <c r="U64" s="5">
        <v>2.6635978153163645E-5</v>
      </c>
      <c r="V64" s="5">
        <v>0.47633465557050603</v>
      </c>
      <c r="W64" s="5">
        <v>0.47641329732322302</v>
      </c>
      <c r="X64" s="5">
        <v>0</v>
      </c>
      <c r="Y64" s="5">
        <v>1</v>
      </c>
      <c r="AL64" t="s">
        <v>216</v>
      </c>
      <c r="AM64" t="s">
        <v>158</v>
      </c>
      <c r="AN64" t="s">
        <v>87</v>
      </c>
      <c r="AO64" s="5">
        <v>8235</v>
      </c>
      <c r="AP64" s="5">
        <v>4.6969656296252689</v>
      </c>
      <c r="AQ64" s="5">
        <v>6.5659052011974035</v>
      </c>
      <c r="AR64" s="5">
        <v>8223</v>
      </c>
      <c r="AS64" s="5">
        <v>8245</v>
      </c>
    </row>
    <row r="65" spans="16:45" x14ac:dyDescent="0.25">
      <c r="Q65" t="s">
        <v>114</v>
      </c>
      <c r="R65" t="s">
        <v>113</v>
      </c>
      <c r="S65" s="5">
        <v>0.47637632373438443</v>
      </c>
      <c r="T65" s="5">
        <v>1.9054230919217752E-5</v>
      </c>
      <c r="U65" s="5">
        <v>2.6635978153259248E-5</v>
      </c>
      <c r="V65" s="5">
        <v>0.47633465557050603</v>
      </c>
      <c r="W65" s="5">
        <v>0.47641329732322302</v>
      </c>
      <c r="X65" s="5">
        <v>0</v>
      </c>
      <c r="Y65" s="5">
        <v>1</v>
      </c>
      <c r="AL65" t="s">
        <v>217</v>
      </c>
      <c r="AM65" t="s">
        <v>202</v>
      </c>
      <c r="AN65" t="s">
        <v>87</v>
      </c>
      <c r="AO65" s="5">
        <v>82354.925585571807</v>
      </c>
      <c r="AP65" s="5">
        <v>53.479944099863097</v>
      </c>
      <c r="AQ65" s="5">
        <v>74.759806822996126</v>
      </c>
      <c r="AR65" s="5">
        <v>82287.012858407106</v>
      </c>
      <c r="AS65" s="5">
        <v>82509.9089339692</v>
      </c>
    </row>
    <row r="66" spans="16:45" x14ac:dyDescent="0.25">
      <c r="Q66" t="s">
        <v>115</v>
      </c>
      <c r="R66" t="s">
        <v>113</v>
      </c>
      <c r="S66" s="5">
        <v>0.476190476190476</v>
      </c>
      <c r="T66" s="5">
        <v>0</v>
      </c>
      <c r="U66" s="5">
        <v>0</v>
      </c>
      <c r="V66" s="5">
        <v>0.476190476190476</v>
      </c>
      <c r="W66" s="5">
        <v>0.476190476190476</v>
      </c>
      <c r="X66" s="5">
        <v>0</v>
      </c>
      <c r="Y66" s="5">
        <v>1</v>
      </c>
      <c r="AL66" t="s">
        <v>218</v>
      </c>
      <c r="AM66" t="s">
        <v>156</v>
      </c>
      <c r="AN66" t="s">
        <v>87</v>
      </c>
      <c r="AO66" s="5">
        <v>8233.5</v>
      </c>
      <c r="AP66" s="5">
        <v>4.6513481780498687</v>
      </c>
      <c r="AQ66" s="5">
        <v>6.5021364010437201</v>
      </c>
      <c r="AR66" s="5">
        <v>8221</v>
      </c>
      <c r="AS66" s="5">
        <v>8243</v>
      </c>
    </row>
    <row r="67" spans="16:45" x14ac:dyDescent="0.25">
      <c r="P67" t="s">
        <v>83</v>
      </c>
      <c r="Q67" t="s">
        <v>116</v>
      </c>
      <c r="R67" t="s">
        <v>71</v>
      </c>
      <c r="S67" s="5">
        <v>2.9170315053456471E-5</v>
      </c>
      <c r="T67" s="5">
        <v>5.5749987786968959E-6</v>
      </c>
      <c r="U67" s="5">
        <v>7.7933109083950271E-6</v>
      </c>
      <c r="V67" s="5">
        <v>1.80144253291803E-5</v>
      </c>
      <c r="W67" s="5">
        <v>4.21406992387485E-5</v>
      </c>
      <c r="X67" s="5">
        <v>0</v>
      </c>
      <c r="Y67" s="5">
        <v>1</v>
      </c>
      <c r="AL67" t="s">
        <v>219</v>
      </c>
      <c r="AM67" t="s">
        <v>158</v>
      </c>
      <c r="AN67" t="s">
        <v>87</v>
      </c>
      <c r="AO67" s="5">
        <v>8233.5</v>
      </c>
      <c r="AP67" s="5">
        <v>4.6513481780498687</v>
      </c>
      <c r="AQ67" s="5">
        <v>6.5021364010437201</v>
      </c>
      <c r="AR67" s="5">
        <v>8221</v>
      </c>
      <c r="AS67" s="5">
        <v>8243</v>
      </c>
    </row>
    <row r="68" spans="16:45" x14ac:dyDescent="0.25">
      <c r="P68" t="s">
        <v>84</v>
      </c>
      <c r="Q68" t="s">
        <v>116</v>
      </c>
      <c r="R68" t="s">
        <v>71</v>
      </c>
      <c r="S68" s="5">
        <v>867.85098767897125</v>
      </c>
      <c r="T68" s="5">
        <v>4.2795170775550373</v>
      </c>
      <c r="U68" s="5">
        <v>5.9823523640247513</v>
      </c>
      <c r="V68" s="5">
        <v>858.49288388840398</v>
      </c>
      <c r="W68" s="5">
        <v>875.80608811200398</v>
      </c>
      <c r="X68" s="5">
        <v>0</v>
      </c>
      <c r="Y68" s="5">
        <v>1689</v>
      </c>
      <c r="AL68" t="s">
        <v>220</v>
      </c>
      <c r="AM68" t="s">
        <v>202</v>
      </c>
      <c r="AN68" t="s">
        <v>87</v>
      </c>
      <c r="AO68" s="5">
        <v>205782.3721339902</v>
      </c>
      <c r="AP68" s="5">
        <v>96.701258514002035</v>
      </c>
      <c r="AQ68" s="5">
        <v>135.17903819323379</v>
      </c>
      <c r="AR68" s="5">
        <v>205554.00796082799</v>
      </c>
      <c r="AS68" s="5">
        <v>205962.665291818</v>
      </c>
    </row>
    <row r="69" spans="16:45" x14ac:dyDescent="0.25">
      <c r="P69" t="s">
        <v>85</v>
      </c>
      <c r="Q69" t="s">
        <v>116</v>
      </c>
      <c r="R69" t="s">
        <v>71</v>
      </c>
      <c r="S69" s="5">
        <v>1368.6640709815952</v>
      </c>
      <c r="T69" s="5">
        <v>3.860203002204456</v>
      </c>
      <c r="U69" s="5">
        <v>5.3961917051273351</v>
      </c>
      <c r="V69" s="5">
        <v>1357.5761788714599</v>
      </c>
      <c r="W69" s="5">
        <v>1375.17190829069</v>
      </c>
      <c r="X69" s="5">
        <v>0</v>
      </c>
      <c r="Y69" s="5">
        <v>2657</v>
      </c>
      <c r="AL69" t="s">
        <v>221</v>
      </c>
      <c r="AM69" t="s">
        <v>156</v>
      </c>
      <c r="AN69" t="s">
        <v>87</v>
      </c>
      <c r="AO69" s="5">
        <v>8231.5</v>
      </c>
      <c r="AP69" s="5">
        <v>4.5399965713211703</v>
      </c>
      <c r="AQ69" s="5">
        <v>6.3464775882199236</v>
      </c>
      <c r="AR69" s="5">
        <v>8220</v>
      </c>
      <c r="AS69" s="5">
        <v>8241</v>
      </c>
    </row>
    <row r="70" spans="16:45" x14ac:dyDescent="0.25">
      <c r="P70" t="s">
        <v>139</v>
      </c>
      <c r="Q70" t="s">
        <v>112</v>
      </c>
      <c r="R70" t="s">
        <v>113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L70" t="s">
        <v>222</v>
      </c>
      <c r="AM70" t="s">
        <v>158</v>
      </c>
      <c r="AN70" t="s">
        <v>87</v>
      </c>
      <c r="AO70" s="5">
        <v>8231.5</v>
      </c>
      <c r="AP70" s="5">
        <v>4.5399965713211703</v>
      </c>
      <c r="AQ70" s="5">
        <v>6.3464775882199236</v>
      </c>
      <c r="AR70" s="5">
        <v>8220</v>
      </c>
      <c r="AS70" s="5">
        <v>8241</v>
      </c>
    </row>
    <row r="71" spans="16:45" x14ac:dyDescent="0.25">
      <c r="Q71" t="s">
        <v>114</v>
      </c>
      <c r="R71" t="s">
        <v>113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L71" t="s">
        <v>223</v>
      </c>
      <c r="AM71" t="s">
        <v>202</v>
      </c>
      <c r="AN71" t="s">
        <v>87</v>
      </c>
      <c r="AO71" s="5">
        <v>98625.180720296266</v>
      </c>
      <c r="AP71" s="5">
        <v>119.44713437023168</v>
      </c>
      <c r="AQ71" s="5">
        <v>166.97558012409817</v>
      </c>
      <c r="AR71" s="5">
        <v>98434.330991768598</v>
      </c>
      <c r="AS71" s="5">
        <v>98993.883345143302</v>
      </c>
    </row>
    <row r="72" spans="16:45" x14ac:dyDescent="0.25">
      <c r="Q72" t="s">
        <v>115</v>
      </c>
      <c r="R72" t="s">
        <v>113</v>
      </c>
      <c r="S72" s="5">
        <v>0.26785714285714307</v>
      </c>
      <c r="T72" s="5">
        <v>4.1858316124321422E-17</v>
      </c>
      <c r="U72" s="5">
        <v>5.851389114294502E-17</v>
      </c>
      <c r="V72" s="5">
        <v>0.26785714285714302</v>
      </c>
      <c r="W72" s="5">
        <v>0.26785714285714302</v>
      </c>
      <c r="X72" s="5">
        <v>0</v>
      </c>
      <c r="Y72" s="5">
        <v>1</v>
      </c>
      <c r="AL72" t="s">
        <v>224</v>
      </c>
      <c r="AM72" t="s">
        <v>156</v>
      </c>
      <c r="AN72" t="s">
        <v>87</v>
      </c>
      <c r="AO72" s="5">
        <v>8227.7000000000007</v>
      </c>
      <c r="AP72" s="5">
        <v>4.4997408887103267</v>
      </c>
      <c r="AQ72" s="5">
        <v>6.2902040242480748</v>
      </c>
      <c r="AR72" s="5">
        <v>8216</v>
      </c>
      <c r="AS72" s="5">
        <v>8237</v>
      </c>
    </row>
    <row r="73" spans="16:45" x14ac:dyDescent="0.25">
      <c r="P73" t="s">
        <v>140</v>
      </c>
      <c r="Q73" t="s">
        <v>112</v>
      </c>
      <c r="R73" t="s">
        <v>113</v>
      </c>
      <c r="S73" s="5">
        <v>8.7684406282387828E-2</v>
      </c>
      <c r="T73" s="5">
        <v>6.7395853500387742E-3</v>
      </c>
      <c r="U73" s="5">
        <v>9.4212906785234151E-3</v>
      </c>
      <c r="V73" s="5">
        <v>7.2143522330073706E-2</v>
      </c>
      <c r="W73" s="5">
        <v>0.105326430117076</v>
      </c>
      <c r="X73" s="5">
        <v>0</v>
      </c>
      <c r="Y73" s="5">
        <v>1</v>
      </c>
      <c r="AL73" t="s">
        <v>225</v>
      </c>
      <c r="AM73" t="s">
        <v>158</v>
      </c>
      <c r="AN73" t="s">
        <v>87</v>
      </c>
      <c r="AO73" s="5">
        <v>8227.7000000000007</v>
      </c>
      <c r="AP73" s="5">
        <v>4.4997408887103267</v>
      </c>
      <c r="AQ73" s="5">
        <v>6.2902040242480748</v>
      </c>
      <c r="AR73" s="5">
        <v>8216</v>
      </c>
      <c r="AS73" s="5">
        <v>8237</v>
      </c>
    </row>
    <row r="74" spans="16:45" x14ac:dyDescent="0.25">
      <c r="Q74" t="s">
        <v>114</v>
      </c>
      <c r="R74" t="s">
        <v>113</v>
      </c>
      <c r="S74" s="5">
        <v>8.7684406282387842E-2</v>
      </c>
      <c r="T74" s="5">
        <v>6.7395853500387742E-3</v>
      </c>
      <c r="U74" s="5">
        <v>9.4212906785234151E-3</v>
      </c>
      <c r="V74" s="5">
        <v>7.2143522330073706E-2</v>
      </c>
      <c r="W74" s="5">
        <v>0.105326430117076</v>
      </c>
      <c r="X74" s="5">
        <v>0</v>
      </c>
      <c r="Y74" s="5">
        <v>1</v>
      </c>
      <c r="AL74" t="s">
        <v>226</v>
      </c>
      <c r="AM74" t="s">
        <v>202</v>
      </c>
      <c r="AN74" t="s">
        <v>87</v>
      </c>
      <c r="AO74" s="5">
        <v>91917.034029149756</v>
      </c>
      <c r="AP74" s="5">
        <v>119.70093629530641</v>
      </c>
      <c r="AQ74" s="5">
        <v>167.33037075092571</v>
      </c>
      <c r="AR74" s="5">
        <v>91632.276670136605</v>
      </c>
      <c r="AS74" s="5">
        <v>92162.594279262106</v>
      </c>
    </row>
    <row r="75" spans="16:45" x14ac:dyDescent="0.25">
      <c r="Q75" t="s">
        <v>115</v>
      </c>
      <c r="R75" t="s">
        <v>113</v>
      </c>
      <c r="S75" s="5">
        <v>0.26785714285714307</v>
      </c>
      <c r="T75" s="5">
        <v>4.1858316124321422E-17</v>
      </c>
      <c r="U75" s="5">
        <v>5.851389114294502E-17</v>
      </c>
      <c r="V75" s="5">
        <v>0.26785714285714302</v>
      </c>
      <c r="W75" s="5">
        <v>0.26785714285714302</v>
      </c>
      <c r="X75" s="5">
        <v>0</v>
      </c>
      <c r="Y75" s="5">
        <v>1</v>
      </c>
      <c r="AL75" t="s">
        <v>227</v>
      </c>
      <c r="AM75" t="s">
        <v>156</v>
      </c>
      <c r="AN75" t="s">
        <v>87</v>
      </c>
      <c r="AO75" s="5">
        <v>18392</v>
      </c>
      <c r="AP75" s="5">
        <v>9.2167290013706662</v>
      </c>
      <c r="AQ75" s="5">
        <v>12.884098726725126</v>
      </c>
      <c r="AR75" s="5">
        <v>18376</v>
      </c>
      <c r="AS75" s="5">
        <v>18407</v>
      </c>
    </row>
    <row r="76" spans="16:45" x14ac:dyDescent="0.25">
      <c r="P76" t="s">
        <v>99</v>
      </c>
      <c r="Q76" t="s">
        <v>116</v>
      </c>
      <c r="R76" t="s">
        <v>71</v>
      </c>
      <c r="S76" s="5">
        <v>83.474789654582125</v>
      </c>
      <c r="T76" s="5">
        <v>4.358718705180836</v>
      </c>
      <c r="U76" s="5">
        <v>6.0930686050573728</v>
      </c>
      <c r="V76" s="5">
        <v>72.152998246910798</v>
      </c>
      <c r="W76" s="5">
        <v>91.653675793565498</v>
      </c>
      <c r="X76" s="5">
        <v>0</v>
      </c>
      <c r="Y76" s="5">
        <v>191</v>
      </c>
      <c r="AL76" t="s">
        <v>228</v>
      </c>
      <c r="AM76" t="s">
        <v>158</v>
      </c>
      <c r="AN76" t="s">
        <v>87</v>
      </c>
      <c r="AO76" s="5">
        <v>18392</v>
      </c>
      <c r="AP76" s="5">
        <v>9.2167290013706662</v>
      </c>
      <c r="AQ76" s="5">
        <v>12.884098726725126</v>
      </c>
      <c r="AR76" s="5">
        <v>18376</v>
      </c>
      <c r="AS76" s="5">
        <v>18407</v>
      </c>
    </row>
    <row r="77" spans="16:45" x14ac:dyDescent="0.25">
      <c r="P77" t="s">
        <v>100</v>
      </c>
      <c r="Q77" t="s">
        <v>116</v>
      </c>
      <c r="R77" t="s">
        <v>71</v>
      </c>
      <c r="S77" s="5">
        <v>0.77451739131190445</v>
      </c>
      <c r="T77" s="5">
        <v>0.10039397809151185</v>
      </c>
      <c r="U77" s="5">
        <v>0.14034110421466847</v>
      </c>
      <c r="V77" s="5">
        <v>0.57599630674201496</v>
      </c>
      <c r="W77" s="5">
        <v>0.944128153448903</v>
      </c>
      <c r="X77" s="5">
        <v>0</v>
      </c>
      <c r="Y77" s="5">
        <v>3</v>
      </c>
      <c r="AL77" t="s">
        <v>229</v>
      </c>
      <c r="AM77" t="s">
        <v>202</v>
      </c>
      <c r="AN77" t="s">
        <v>87</v>
      </c>
      <c r="AO77" s="5">
        <v>104198.44406523299</v>
      </c>
      <c r="AP77" s="5">
        <v>70.852960026786278</v>
      </c>
      <c r="AQ77" s="5">
        <v>99.045608472383734</v>
      </c>
      <c r="AR77" s="5">
        <v>104039.320720244</v>
      </c>
      <c r="AS77" s="5">
        <v>104335.096217932</v>
      </c>
    </row>
    <row r="78" spans="16:45" x14ac:dyDescent="0.25">
      <c r="P78" t="s">
        <v>101</v>
      </c>
      <c r="Q78" t="s">
        <v>116</v>
      </c>
      <c r="R78" t="s">
        <v>71</v>
      </c>
      <c r="S78" s="5">
        <v>17.495844600024782</v>
      </c>
      <c r="T78" s="5">
        <v>2.9735466034142406</v>
      </c>
      <c r="U78" s="5">
        <v>4.1567315260337745</v>
      </c>
      <c r="V78" s="5">
        <v>10.770319236854199</v>
      </c>
      <c r="W78" s="5">
        <v>25.764658423427701</v>
      </c>
      <c r="X78" s="5">
        <v>0</v>
      </c>
      <c r="Y78" s="5">
        <v>139</v>
      </c>
      <c r="AL78" t="s">
        <v>230</v>
      </c>
      <c r="AM78" t="s">
        <v>156</v>
      </c>
      <c r="AN78" t="s">
        <v>87</v>
      </c>
      <c r="AO78" s="5">
        <v>18389.400000000001</v>
      </c>
      <c r="AP78" s="5">
        <v>8.6581502197487996</v>
      </c>
      <c r="AQ78" s="5">
        <v>12.103259432437566</v>
      </c>
      <c r="AR78" s="5">
        <v>18376</v>
      </c>
      <c r="AS78" s="5">
        <v>18404</v>
      </c>
    </row>
    <row r="79" spans="16:45" x14ac:dyDescent="0.25">
      <c r="P79" t="s">
        <v>102</v>
      </c>
      <c r="Q79" t="s">
        <v>116</v>
      </c>
      <c r="R79" t="s">
        <v>71</v>
      </c>
      <c r="S79" s="5">
        <v>1.2334365850159306</v>
      </c>
      <c r="T79" s="5">
        <v>0.24807059349154728</v>
      </c>
      <c r="U79" s="5">
        <v>0.34677877772765942</v>
      </c>
      <c r="V79" s="5">
        <v>0.47601596605360202</v>
      </c>
      <c r="W79" s="5">
        <v>1.5938052921300001</v>
      </c>
      <c r="X79" s="5">
        <v>0</v>
      </c>
      <c r="Y79" s="5">
        <v>4</v>
      </c>
      <c r="AL79" t="s">
        <v>231</v>
      </c>
      <c r="AM79" t="s">
        <v>158</v>
      </c>
      <c r="AN79" t="s">
        <v>87</v>
      </c>
      <c r="AO79" s="5">
        <v>18389.400000000001</v>
      </c>
      <c r="AP79" s="5">
        <v>8.6581502197487996</v>
      </c>
      <c r="AQ79" s="5">
        <v>12.103259432437566</v>
      </c>
      <c r="AR79" s="5">
        <v>18376</v>
      </c>
      <c r="AS79" s="5">
        <v>18404</v>
      </c>
    </row>
    <row r="80" spans="16:45" x14ac:dyDescent="0.25">
      <c r="P80" t="s">
        <v>103</v>
      </c>
      <c r="Q80" t="s">
        <v>116</v>
      </c>
      <c r="R80" t="s">
        <v>71</v>
      </c>
      <c r="S80" s="5">
        <v>0.19501309596936622</v>
      </c>
      <c r="T80" s="5">
        <v>0.10567146802209269</v>
      </c>
      <c r="U80" s="5">
        <v>0.14771852643081365</v>
      </c>
      <c r="V80" s="5">
        <v>5.2203254973614402E-2</v>
      </c>
      <c r="W80" s="5">
        <v>0.443638473140476</v>
      </c>
      <c r="X80" s="5">
        <v>0</v>
      </c>
      <c r="Y80" s="5">
        <v>2</v>
      </c>
      <c r="AL80" t="s">
        <v>232</v>
      </c>
      <c r="AM80" t="s">
        <v>152</v>
      </c>
      <c r="AN80" t="s">
        <v>113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</row>
    <row r="81" spans="16:45" x14ac:dyDescent="0.25">
      <c r="P81" t="s">
        <v>104</v>
      </c>
      <c r="Q81" t="s">
        <v>116</v>
      </c>
      <c r="R81" t="s">
        <v>71</v>
      </c>
      <c r="S81" s="5">
        <v>81.226274902651596</v>
      </c>
      <c r="T81" s="5">
        <v>7.9829085618136846</v>
      </c>
      <c r="U81" s="5">
        <v>11.159336682409895</v>
      </c>
      <c r="V81" s="5">
        <v>66.053444809788303</v>
      </c>
      <c r="W81" s="5">
        <v>100.586340982454</v>
      </c>
      <c r="X81" s="5">
        <v>0</v>
      </c>
      <c r="Y81" s="5">
        <v>192</v>
      </c>
      <c r="AL81" t="s">
        <v>233</v>
      </c>
      <c r="AM81" t="s">
        <v>154</v>
      </c>
      <c r="AN81" t="s">
        <v>113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</row>
    <row r="82" spans="16:45" x14ac:dyDescent="0.25">
      <c r="P82" t="s">
        <v>105</v>
      </c>
      <c r="Q82" t="s">
        <v>116</v>
      </c>
      <c r="R82" t="s">
        <v>71</v>
      </c>
      <c r="S82" s="5">
        <v>1.3234420699844864</v>
      </c>
      <c r="T82" s="5">
        <v>0.1672228724069392</v>
      </c>
      <c r="U82" s="5">
        <v>0.23376145670955006</v>
      </c>
      <c r="V82" s="5">
        <v>0.88257428434366503</v>
      </c>
      <c r="W82" s="5">
        <v>1.5367801636504701</v>
      </c>
      <c r="X82" s="5">
        <v>0</v>
      </c>
      <c r="Y82" s="5">
        <v>2</v>
      </c>
      <c r="AL82" t="s">
        <v>234</v>
      </c>
      <c r="AM82" t="s">
        <v>152</v>
      </c>
      <c r="AN82" t="s">
        <v>113</v>
      </c>
      <c r="AO82" s="5">
        <v>118.7</v>
      </c>
      <c r="AP82" s="5">
        <v>9.0048505491583946</v>
      </c>
      <c r="AQ82" s="5">
        <v>12.587913073879887</v>
      </c>
      <c r="AR82" s="5">
        <v>95</v>
      </c>
      <c r="AS82" s="5">
        <v>141</v>
      </c>
    </row>
    <row r="83" spans="16:45" x14ac:dyDescent="0.25">
      <c r="P83" t="s">
        <v>106</v>
      </c>
      <c r="Q83" t="s">
        <v>116</v>
      </c>
      <c r="R83" t="s">
        <v>71</v>
      </c>
      <c r="S83" s="5">
        <v>3.295350976306183</v>
      </c>
      <c r="T83" s="5">
        <v>0.21927221530309879</v>
      </c>
      <c r="U83" s="5">
        <v>0.30652142094800816</v>
      </c>
      <c r="V83" s="5">
        <v>2.9443042052265702</v>
      </c>
      <c r="W83" s="5">
        <v>3.9785130958891202</v>
      </c>
      <c r="X83" s="5">
        <v>0</v>
      </c>
      <c r="Y83" s="5">
        <v>5</v>
      </c>
      <c r="AL83" t="s">
        <v>235</v>
      </c>
      <c r="AM83" t="s">
        <v>154</v>
      </c>
      <c r="AN83" t="s">
        <v>113</v>
      </c>
      <c r="AO83" s="5">
        <v>0.3273551167875815</v>
      </c>
      <c r="AP83" s="5">
        <v>2.5161118640145405E-2</v>
      </c>
      <c r="AQ83" s="5">
        <v>3.5172818533154994E-2</v>
      </c>
      <c r="AR83" s="5">
        <v>0.26933581669894202</v>
      </c>
      <c r="AS83" s="5">
        <v>0.39321867243708603</v>
      </c>
    </row>
    <row r="84" spans="16:45" x14ac:dyDescent="0.25">
      <c r="P84" t="s">
        <v>107</v>
      </c>
      <c r="Q84" t="s">
        <v>116</v>
      </c>
      <c r="R84" t="s">
        <v>71</v>
      </c>
      <c r="S84" s="5">
        <v>1.4832039737284362</v>
      </c>
      <c r="T84" s="5">
        <v>0.20151782911486205</v>
      </c>
      <c r="U84" s="5">
        <v>0.28170250043427397</v>
      </c>
      <c r="V84" s="5">
        <v>0.850065833369271</v>
      </c>
      <c r="W84" s="5">
        <v>1.78320590856036</v>
      </c>
      <c r="X84" s="5">
        <v>0</v>
      </c>
      <c r="Y84" s="5">
        <v>4</v>
      </c>
      <c r="AL84" t="s">
        <v>237</v>
      </c>
      <c r="AM84" t="s">
        <v>156</v>
      </c>
      <c r="AN84" t="s">
        <v>76</v>
      </c>
      <c r="AO84" s="5">
        <v>7832.8</v>
      </c>
      <c r="AP84" s="5">
        <v>5.6003303812327712</v>
      </c>
      <c r="AQ84" s="5">
        <v>7.8287220469811594</v>
      </c>
      <c r="AR84" s="5">
        <v>7818</v>
      </c>
      <c r="AS84" s="5">
        <v>7845</v>
      </c>
    </row>
    <row r="85" spans="16:45" x14ac:dyDescent="0.25">
      <c r="P85" t="s">
        <v>108</v>
      </c>
      <c r="Q85" t="s">
        <v>116</v>
      </c>
      <c r="R85" t="s">
        <v>71</v>
      </c>
      <c r="S85" s="5">
        <v>84.673313986400757</v>
      </c>
      <c r="T85" s="5">
        <v>4.5103449375003528</v>
      </c>
      <c r="U85" s="5">
        <v>6.3050274623130749</v>
      </c>
      <c r="V85" s="5">
        <v>72.004631303705096</v>
      </c>
      <c r="W85" s="5">
        <v>94.488584180465494</v>
      </c>
      <c r="X85" s="5">
        <v>0</v>
      </c>
      <c r="Y85" s="5">
        <v>183</v>
      </c>
      <c r="AL85" t="s">
        <v>238</v>
      </c>
      <c r="AM85" t="s">
        <v>158</v>
      </c>
      <c r="AN85" t="s">
        <v>76</v>
      </c>
      <c r="AO85" s="5">
        <v>7828.3</v>
      </c>
      <c r="AP85" s="5">
        <v>5.0813284776056653</v>
      </c>
      <c r="AQ85" s="5">
        <v>7.1032074132433696</v>
      </c>
      <c r="AR85" s="5">
        <v>7815</v>
      </c>
      <c r="AS85" s="5">
        <v>7840</v>
      </c>
    </row>
    <row r="86" spans="16:45" x14ac:dyDescent="0.25">
      <c r="P86" t="s">
        <v>109</v>
      </c>
      <c r="Q86" t="s">
        <v>116</v>
      </c>
      <c r="R86" t="s">
        <v>71</v>
      </c>
      <c r="S86" s="5">
        <v>3.1643006447829118</v>
      </c>
      <c r="T86" s="5">
        <v>0.40567751338350572</v>
      </c>
      <c r="U86" s="5">
        <v>0.56709805972033456</v>
      </c>
      <c r="V86" s="5">
        <v>2.1571183231200299</v>
      </c>
      <c r="W86" s="5">
        <v>3.7448575603137102</v>
      </c>
      <c r="X86" s="5">
        <v>0</v>
      </c>
      <c r="Y86" s="5">
        <v>5</v>
      </c>
      <c r="AL86" t="s">
        <v>239</v>
      </c>
      <c r="AM86" t="s">
        <v>202</v>
      </c>
      <c r="AN86" t="s">
        <v>87</v>
      </c>
      <c r="AO86" s="5">
        <v>53031.528919588192</v>
      </c>
      <c r="AP86" s="5">
        <v>4076.1012197035402</v>
      </c>
      <c r="AQ86" s="5">
        <v>5697.9966023710867</v>
      </c>
      <c r="AR86" s="5">
        <v>43632.402305228599</v>
      </c>
      <c r="AS86" s="5">
        <v>63701.424934807801</v>
      </c>
    </row>
    <row r="87" spans="16:45" x14ac:dyDescent="0.25">
      <c r="P87" t="s">
        <v>110</v>
      </c>
      <c r="Q87" t="s">
        <v>117</v>
      </c>
      <c r="R87" t="s">
        <v>76</v>
      </c>
      <c r="S87" s="5">
        <v>2.7938165767457108</v>
      </c>
      <c r="T87" s="5">
        <v>0.26545299708849601</v>
      </c>
      <c r="U87" s="5">
        <v>0.37107770243484822</v>
      </c>
      <c r="V87" s="5">
        <v>2.05988155680273</v>
      </c>
      <c r="W87" s="5">
        <v>3.2132100714910901</v>
      </c>
      <c r="X87" s="5">
        <v>0</v>
      </c>
      <c r="Y87" s="5">
        <v>8</v>
      </c>
      <c r="AL87" t="s">
        <v>240</v>
      </c>
      <c r="AM87" t="s">
        <v>156</v>
      </c>
      <c r="AN87" t="s">
        <v>87</v>
      </c>
      <c r="AO87" s="5">
        <v>118.7</v>
      </c>
      <c r="AP87" s="5">
        <v>9.0048505491583946</v>
      </c>
      <c r="AQ87" s="5">
        <v>12.587913073879887</v>
      </c>
      <c r="AR87" s="5">
        <v>95</v>
      </c>
      <c r="AS87" s="5">
        <v>141</v>
      </c>
    </row>
    <row r="88" spans="16:45" x14ac:dyDescent="0.25">
      <c r="AL88" t="s">
        <v>241</v>
      </c>
      <c r="AM88" t="s">
        <v>158</v>
      </c>
      <c r="AN88" t="s">
        <v>87</v>
      </c>
      <c r="AO88" s="5">
        <v>118.7</v>
      </c>
      <c r="AP88" s="5">
        <v>9.0048505491583946</v>
      </c>
      <c r="AQ88" s="5">
        <v>12.587913073879887</v>
      </c>
      <c r="AR88" s="5">
        <v>95</v>
      </c>
      <c r="AS88" s="5">
        <v>141</v>
      </c>
    </row>
  </sheetData>
  <dataConsolidate/>
  <conditionalFormatting pivot="1" sqref="G3:G53">
    <cfRule type="expression" dxfId="63" priority="14">
      <formula>G3=200000000000000000000</formula>
    </cfRule>
  </conditionalFormatting>
  <conditionalFormatting pivot="1" sqref="T3:T87">
    <cfRule type="expression" dxfId="62" priority="13">
      <formula>T3=200000000000000000000</formula>
    </cfRule>
  </conditionalFormatting>
  <conditionalFormatting pivot="1" sqref="T3:T87">
    <cfRule type="expression" dxfId="61" priority="12">
      <formula>T3=300000000000000000000</formula>
    </cfRule>
  </conditionalFormatting>
  <conditionalFormatting pivot="1" sqref="G3:G53">
    <cfRule type="expression" dxfId="60" priority="11">
      <formula>G3=300000000000000000000</formula>
    </cfRule>
  </conditionalFormatting>
  <conditionalFormatting pivot="1" sqref="F3:F53">
    <cfRule type="expression" dxfId="59" priority="10">
      <formula>F3=0</formula>
    </cfRule>
  </conditionalFormatting>
  <conditionalFormatting pivot="1" sqref="F3:F53">
    <cfRule type="expression" dxfId="58" priority="9">
      <formula>F3=1</formula>
    </cfRule>
  </conditionalFormatting>
  <conditionalFormatting pivot="1" sqref="T3:T87">
    <cfRule type="expression" dxfId="57" priority="8">
      <formula>T3=400000000000000000000</formula>
    </cfRule>
  </conditionalFormatting>
  <conditionalFormatting pivot="1" sqref="AP3:AP88">
    <cfRule type="expression" dxfId="56" priority="7">
      <formula>AP3=400000000000000000000</formula>
    </cfRule>
  </conditionalFormatting>
  <conditionalFormatting pivot="1" sqref="AF3:AF9">
    <cfRule type="expression" dxfId="55" priority="6">
      <formula>AF3=400000000000000000000</formula>
    </cfRule>
  </conditionalFormatting>
  <conditionalFormatting pivot="1" sqref="G3:G53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511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1.8554687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6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243</v>
      </c>
      <c r="C2">
        <v>1</v>
      </c>
      <c r="D2" t="s">
        <v>70</v>
      </c>
      <c r="E2" t="s">
        <v>72</v>
      </c>
      <c r="F2" t="s">
        <v>71</v>
      </c>
      <c r="G2">
        <v>120.507270325354</v>
      </c>
      <c r="H2">
        <v>26.506996975335099</v>
      </c>
      <c r="I2">
        <v>0</v>
      </c>
      <c r="J2">
        <v>50594.479708503597</v>
      </c>
      <c r="K2">
        <v>6430</v>
      </c>
      <c r="L2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170.47199803339521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30.059316049844405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21.503139325011034</v>
      </c>
      <c r="R2" cm="1">
        <f t="array" ref="R2">MIN(IF((DiscreteStatsTable[GroupByKey]=DiscreteStatsTable[[#This Row],[GroupByKey]]),(DiscreteStatsTable[GroupByKey]=DiscreteStatsTable[[#This Row],[GroupByKey]])*DiscreteStatsTable[Average]))</f>
        <v>120.507270325354</v>
      </c>
      <c r="S2" cm="1">
        <f t="array" ref="S2">MAX(IF((DiscreteStatsTable[GroupByKey]=DiscreteStatsTable[[#This Row],[GroupByKey]]),(DiscreteStatsTable[GroupByKey]=DiscreteStatsTable[[#This Row],[GroupByKey]])*DiscreteStatsTable[Average]))</f>
        <v>209.03793617917299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50618.374492511401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6415.5</v>
      </c>
      <c r="W2">
        <f>IF((DiscreteStatsTable[[#This Row],[RepsRequested]]&gt;1),DiscreteStatsTable[[#This Row],[HalfWidth]],DiscreteStatsTable[[#This Row],[BatchMeansHalfWidth]])</f>
        <v>21.503139325011034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243</v>
      </c>
      <c r="C3">
        <v>2</v>
      </c>
      <c r="D3" t="s">
        <v>70</v>
      </c>
      <c r="E3" t="s">
        <v>72</v>
      </c>
      <c r="F3" t="s">
        <v>71</v>
      </c>
      <c r="G3">
        <v>194.34945434137001</v>
      </c>
      <c r="H3">
        <v>92.516432480998603</v>
      </c>
      <c r="I3">
        <v>0</v>
      </c>
      <c r="J3">
        <v>50584.230825484497</v>
      </c>
      <c r="K3">
        <v>6430</v>
      </c>
      <c r="L3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170.47199803339521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30.059316049844405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21.503139325011034</v>
      </c>
      <c r="R3" cm="1">
        <f t="array" ref="R3">MIN(IF((DiscreteStatsTable[GroupByKey]=DiscreteStatsTable[[#This Row],[GroupByKey]]),(DiscreteStatsTable[GroupByKey]=DiscreteStatsTable[[#This Row],[GroupByKey]])*DiscreteStatsTable[Average]))</f>
        <v>120.507270325354</v>
      </c>
      <c r="S3" cm="1">
        <f t="array" ref="S3">MAX(IF((DiscreteStatsTable[GroupByKey]=DiscreteStatsTable[[#This Row],[GroupByKey]]),(DiscreteStatsTable[GroupByKey]=DiscreteStatsTable[[#This Row],[GroupByKey]])*DiscreteStatsTable[Average]))</f>
        <v>209.03793617917299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50618.374492511401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6415.5</v>
      </c>
      <c r="W3">
        <f>IF((DiscreteStatsTable[[#This Row],[RepsRequested]]&gt;1),DiscreteStatsTable[[#This Row],[HalfWidth]],DiscreteStatsTable[[#This Row],[BatchMeansHalfWidth]])</f>
        <v>21.503139325011034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243</v>
      </c>
      <c r="C4">
        <v>3</v>
      </c>
      <c r="D4" t="s">
        <v>70</v>
      </c>
      <c r="E4" t="s">
        <v>72</v>
      </c>
      <c r="F4" t="s">
        <v>71</v>
      </c>
      <c r="G4">
        <v>205.70298957704401</v>
      </c>
      <c r="H4">
        <v>105.923544428733</v>
      </c>
      <c r="I4">
        <v>0</v>
      </c>
      <c r="J4">
        <v>50612.848597321099</v>
      </c>
      <c r="K4">
        <v>6420</v>
      </c>
      <c r="L4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170.47199803339521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30.059316049844405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21.503139325011034</v>
      </c>
      <c r="R4" cm="1">
        <f t="array" ref="R4">MIN(IF((DiscreteStatsTable[GroupByKey]=DiscreteStatsTable[[#This Row],[GroupByKey]]),(DiscreteStatsTable[GroupByKey]=DiscreteStatsTable[[#This Row],[GroupByKey]])*DiscreteStatsTable[Average]))</f>
        <v>120.507270325354</v>
      </c>
      <c r="S4" cm="1">
        <f t="array" ref="S4">MAX(IF((DiscreteStatsTable[GroupByKey]=DiscreteStatsTable[[#This Row],[GroupByKey]]),(DiscreteStatsTable[GroupByKey]=DiscreteStatsTable[[#This Row],[GroupByKey]])*DiscreteStatsTable[Average]))</f>
        <v>209.03793617917299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50618.374492511401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6415.5</v>
      </c>
      <c r="W4">
        <f>IF((DiscreteStatsTable[[#This Row],[RepsRequested]]&gt;1),DiscreteStatsTable[[#This Row],[HalfWidth]],DiscreteStatsTable[[#This Row],[BatchMeansHalfWidth]])</f>
        <v>21.503139325011034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243</v>
      </c>
      <c r="C5">
        <v>4</v>
      </c>
      <c r="D5" t="s">
        <v>70</v>
      </c>
      <c r="E5" t="s">
        <v>72</v>
      </c>
      <c r="F5" t="s">
        <v>71</v>
      </c>
      <c r="G5">
        <v>209.03793617917299</v>
      </c>
      <c r="H5">
        <v>105.33813238813499</v>
      </c>
      <c r="I5">
        <v>0</v>
      </c>
      <c r="J5">
        <v>50569.1361464203</v>
      </c>
      <c r="K5">
        <v>6400</v>
      </c>
      <c r="L5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170.47199803339521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30.059316049844405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21.503139325011034</v>
      </c>
      <c r="R5" cm="1">
        <f t="array" ref="R5">MIN(IF((DiscreteStatsTable[GroupByKey]=DiscreteStatsTable[[#This Row],[GroupByKey]]),(DiscreteStatsTable[GroupByKey]=DiscreteStatsTable[[#This Row],[GroupByKey]])*DiscreteStatsTable[Average]))</f>
        <v>120.507270325354</v>
      </c>
      <c r="S5" cm="1">
        <f t="array" ref="S5">MAX(IF((DiscreteStatsTable[GroupByKey]=DiscreteStatsTable[[#This Row],[GroupByKey]]),(DiscreteStatsTable[GroupByKey]=DiscreteStatsTable[[#This Row],[GroupByKey]])*DiscreteStatsTable[Average]))</f>
        <v>209.03793617917299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50618.374492511401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6415.5</v>
      </c>
      <c r="W5">
        <f>IF((DiscreteStatsTable[[#This Row],[RepsRequested]]&gt;1),DiscreteStatsTable[[#This Row],[HalfWidth]],DiscreteStatsTable[[#This Row],[BatchMeansHalfWidth]])</f>
        <v>21.503139325011034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243</v>
      </c>
      <c r="C6">
        <v>5</v>
      </c>
      <c r="D6" t="s">
        <v>70</v>
      </c>
      <c r="E6" t="s">
        <v>72</v>
      </c>
      <c r="F6" t="s">
        <v>71</v>
      </c>
      <c r="G6">
        <v>136.83706146206799</v>
      </c>
      <c r="H6">
        <v>56.671502773627601</v>
      </c>
      <c r="I6">
        <v>0</v>
      </c>
      <c r="J6">
        <v>50576.573584935701</v>
      </c>
      <c r="K6">
        <v>6415</v>
      </c>
      <c r="L6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170.47199803339521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30.059316049844405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21.503139325011034</v>
      </c>
      <c r="R6" cm="1">
        <f t="array" ref="R6">MIN(IF((DiscreteStatsTable[GroupByKey]=DiscreteStatsTable[[#This Row],[GroupByKey]]),(DiscreteStatsTable[GroupByKey]=DiscreteStatsTable[[#This Row],[GroupByKey]])*DiscreteStatsTable[Average]))</f>
        <v>120.507270325354</v>
      </c>
      <c r="S6" cm="1">
        <f t="array" ref="S6">MAX(IF((DiscreteStatsTable[GroupByKey]=DiscreteStatsTable[[#This Row],[GroupByKey]]),(DiscreteStatsTable[GroupByKey]=DiscreteStatsTable[[#This Row],[GroupByKey]])*DiscreteStatsTable[Average]))</f>
        <v>209.03793617917299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50618.374492511401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6415.5</v>
      </c>
      <c r="W6">
        <f>IF((DiscreteStatsTable[[#This Row],[RepsRequested]]&gt;1),DiscreteStatsTable[[#This Row],[HalfWidth]],DiscreteStatsTable[[#This Row],[BatchMeansHalfWidth]])</f>
        <v>21.503139325011034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243</v>
      </c>
      <c r="C7">
        <v>6</v>
      </c>
      <c r="D7" t="s">
        <v>70</v>
      </c>
      <c r="E7" t="s">
        <v>72</v>
      </c>
      <c r="F7" t="s">
        <v>71</v>
      </c>
      <c r="G7">
        <v>144.82748984899001</v>
      </c>
      <c r="H7">
        <v>57.892287216645997</v>
      </c>
      <c r="I7">
        <v>0</v>
      </c>
      <c r="J7">
        <v>50579.027903635397</v>
      </c>
      <c r="K7">
        <v>6440</v>
      </c>
      <c r="L7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170.47199803339521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30.059316049844405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21.503139325011034</v>
      </c>
      <c r="R7" cm="1">
        <f t="array" ref="R7">MIN(IF((DiscreteStatsTable[GroupByKey]=DiscreteStatsTable[[#This Row],[GroupByKey]]),(DiscreteStatsTable[GroupByKey]=DiscreteStatsTable[[#This Row],[GroupByKey]])*DiscreteStatsTable[Average]))</f>
        <v>120.507270325354</v>
      </c>
      <c r="S7" cm="1">
        <f t="array" ref="S7">MAX(IF((DiscreteStatsTable[GroupByKey]=DiscreteStatsTable[[#This Row],[GroupByKey]]),(DiscreteStatsTable[GroupByKey]=DiscreteStatsTable[[#This Row],[GroupByKey]])*DiscreteStatsTable[Average]))</f>
        <v>209.03793617917299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50618.374492511401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6415.5</v>
      </c>
      <c r="W7">
        <f>IF((DiscreteStatsTable[[#This Row],[RepsRequested]]&gt;1),DiscreteStatsTable[[#This Row],[HalfWidth]],DiscreteStatsTable[[#This Row],[BatchMeansHalfWidth]])</f>
        <v>21.503139325011034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243</v>
      </c>
      <c r="C8">
        <v>7</v>
      </c>
      <c r="D8" t="s">
        <v>70</v>
      </c>
      <c r="E8" t="s">
        <v>72</v>
      </c>
      <c r="F8" t="s">
        <v>71</v>
      </c>
      <c r="G8">
        <v>188.19413851294499</v>
      </c>
      <c r="H8">
        <v>86.385120628402106</v>
      </c>
      <c r="I8">
        <v>0</v>
      </c>
      <c r="J8">
        <v>50618.374492511401</v>
      </c>
      <c r="K8">
        <v>6405</v>
      </c>
      <c r="L8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170.47199803339521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30.059316049844405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21.503139325011034</v>
      </c>
      <c r="R8" cm="1">
        <f t="array" ref="R8">MIN(IF((DiscreteStatsTable[GroupByKey]=DiscreteStatsTable[[#This Row],[GroupByKey]]),(DiscreteStatsTable[GroupByKey]=DiscreteStatsTable[[#This Row],[GroupByKey]])*DiscreteStatsTable[Average]))</f>
        <v>120.507270325354</v>
      </c>
      <c r="S8" cm="1">
        <f t="array" ref="S8">MAX(IF((DiscreteStatsTable[GroupByKey]=DiscreteStatsTable[[#This Row],[GroupByKey]]),(DiscreteStatsTable[GroupByKey]=DiscreteStatsTable[[#This Row],[GroupByKey]])*DiscreteStatsTable[Average]))</f>
        <v>209.03793617917299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50618.374492511401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6415.5</v>
      </c>
      <c r="W8">
        <f>IF((DiscreteStatsTable[[#This Row],[RepsRequested]]&gt;1),DiscreteStatsTable[[#This Row],[HalfWidth]],DiscreteStatsTable[[#This Row],[BatchMeansHalfWidth]])</f>
        <v>21.503139325011034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243</v>
      </c>
      <c r="C9">
        <v>8</v>
      </c>
      <c r="D9" t="s">
        <v>70</v>
      </c>
      <c r="E9" t="s">
        <v>72</v>
      </c>
      <c r="F9" t="s">
        <v>71</v>
      </c>
      <c r="G9">
        <v>158.86975106048101</v>
      </c>
      <c r="H9">
        <v>62.711003278433601</v>
      </c>
      <c r="I9">
        <v>0</v>
      </c>
      <c r="J9">
        <v>50578.831559354403</v>
      </c>
      <c r="K9">
        <v>6415</v>
      </c>
      <c r="L9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170.47199803339521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30.059316049844405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21.503139325011034</v>
      </c>
      <c r="R9" cm="1">
        <f t="array" ref="R9">MIN(IF((DiscreteStatsTable[GroupByKey]=DiscreteStatsTable[[#This Row],[GroupByKey]]),(DiscreteStatsTable[GroupByKey]=DiscreteStatsTable[[#This Row],[GroupByKey]])*DiscreteStatsTable[Average]))</f>
        <v>120.507270325354</v>
      </c>
      <c r="S9" cm="1">
        <f t="array" ref="S9">MAX(IF((DiscreteStatsTable[GroupByKey]=DiscreteStatsTable[[#This Row],[GroupByKey]]),(DiscreteStatsTable[GroupByKey]=DiscreteStatsTable[[#This Row],[GroupByKey]])*DiscreteStatsTable[Average]))</f>
        <v>209.03793617917299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50618.374492511401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6415.5</v>
      </c>
      <c r="W9">
        <f>IF((DiscreteStatsTable[[#This Row],[RepsRequested]]&gt;1),DiscreteStatsTable[[#This Row],[HalfWidth]],DiscreteStatsTable[[#This Row],[BatchMeansHalfWidth]])</f>
        <v>21.503139325011034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243</v>
      </c>
      <c r="C10">
        <v>9</v>
      </c>
      <c r="D10" t="s">
        <v>70</v>
      </c>
      <c r="E10" t="s">
        <v>72</v>
      </c>
      <c r="F10" t="s">
        <v>71</v>
      </c>
      <c r="G10">
        <v>179.69364462787999</v>
      </c>
      <c r="H10">
        <v>92.615729442306105</v>
      </c>
      <c r="I10">
        <v>0</v>
      </c>
      <c r="J10">
        <v>50565.785465310299</v>
      </c>
      <c r="K10">
        <v>6415</v>
      </c>
      <c r="L10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170.47199803339521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30.059316049844405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21.503139325011034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120.507270325354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209.03793617917299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50618.374492511401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6415.5</v>
      </c>
      <c r="W10">
        <f>IF((DiscreteStatsTable[[#This Row],[RepsRequested]]&gt;1),DiscreteStatsTable[[#This Row],[HalfWidth]],DiscreteStatsTable[[#This Row],[BatchMeansHalfWidth]])</f>
        <v>21.503139325011034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243</v>
      </c>
      <c r="C11">
        <v>10</v>
      </c>
      <c r="D11" t="s">
        <v>70</v>
      </c>
      <c r="E11" t="s">
        <v>72</v>
      </c>
      <c r="F11" t="s">
        <v>71</v>
      </c>
      <c r="G11">
        <v>166.70024439864699</v>
      </c>
      <c r="H11">
        <v>86.855454949919803</v>
      </c>
      <c r="I11">
        <v>0</v>
      </c>
      <c r="J11">
        <v>50577.370072466299</v>
      </c>
      <c r="K11">
        <v>6385</v>
      </c>
      <c r="L11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170.47199803339521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30.059316049844405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21.503139325011034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120.507270325354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209.03793617917299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50618.374492511401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6415.5</v>
      </c>
      <c r="W11">
        <f>IF((DiscreteStatsTable[[#This Row],[RepsRequested]]&gt;1),DiscreteStatsTable[[#This Row],[HalfWidth]],DiscreteStatsTable[[#This Row],[BatchMeansHalfWidth]])</f>
        <v>21.503139325011034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243</v>
      </c>
      <c r="C12">
        <v>1</v>
      </c>
      <c r="D12" t="s">
        <v>73</v>
      </c>
      <c r="E12" t="s">
        <v>72</v>
      </c>
      <c r="F12" t="s">
        <v>71</v>
      </c>
      <c r="G12">
        <v>27.492403120005601</v>
      </c>
      <c r="H12">
        <v>15.0297163572586</v>
      </c>
      <c r="I12">
        <v>0</v>
      </c>
      <c r="J12">
        <v>50432.030782025897</v>
      </c>
      <c r="K12">
        <v>13090</v>
      </c>
      <c r="L12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20.195659319651877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5.2407845240746731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3.7490314020010005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11.8244227773218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27.492403120005601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50432.030782025897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13099.4</v>
      </c>
      <c r="W12">
        <f>IF((DiscreteStatsTable[[#This Row],[RepsRequested]]&gt;1),DiscreteStatsTable[[#This Row],[HalfWidth]],DiscreteStatsTable[[#This Row],[BatchMeansHalfWidth]])</f>
        <v>3.7490314020010005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243</v>
      </c>
      <c r="C13">
        <v>2</v>
      </c>
      <c r="D13" t="s">
        <v>73</v>
      </c>
      <c r="E13" t="s">
        <v>72</v>
      </c>
      <c r="F13" t="s">
        <v>71</v>
      </c>
      <c r="G13">
        <v>16.473373851777001</v>
      </c>
      <c r="H13">
        <v>8.0776538052432496</v>
      </c>
      <c r="I13">
        <v>0</v>
      </c>
      <c r="J13">
        <v>50422.474479141201</v>
      </c>
      <c r="K13">
        <v>13118</v>
      </c>
      <c r="L13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20.195659319651877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5.2407845240746731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3.7490314020010005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11.8244227773218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27.492403120005601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50432.030782025897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13099.4</v>
      </c>
      <c r="W13">
        <f>IF((DiscreteStatsTable[[#This Row],[RepsRequested]]&gt;1),DiscreteStatsTable[[#This Row],[HalfWidth]],DiscreteStatsTable[[#This Row],[BatchMeansHalfWidth]])</f>
        <v>3.7490314020010005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243</v>
      </c>
      <c r="C14">
        <v>3</v>
      </c>
      <c r="D14" t="s">
        <v>73</v>
      </c>
      <c r="E14" t="s">
        <v>72</v>
      </c>
      <c r="F14" t="s">
        <v>71</v>
      </c>
      <c r="G14">
        <v>23.371273325588799</v>
      </c>
      <c r="H14">
        <v>13.3702493646386</v>
      </c>
      <c r="I14">
        <v>0</v>
      </c>
      <c r="J14">
        <v>50421.109835665797</v>
      </c>
      <c r="K14">
        <v>13096</v>
      </c>
      <c r="L14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20.195659319651877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5.2407845240746731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3.7490314020010005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11.8244227773218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27.492403120005601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50432.030782025897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13099.4</v>
      </c>
      <c r="W14">
        <f>IF((DiscreteStatsTable[[#This Row],[RepsRequested]]&gt;1),DiscreteStatsTable[[#This Row],[HalfWidth]],DiscreteStatsTable[[#This Row],[BatchMeansHalfWidth]])</f>
        <v>3.7490314020010005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243</v>
      </c>
      <c r="C15">
        <v>4</v>
      </c>
      <c r="D15" t="s">
        <v>73</v>
      </c>
      <c r="E15" t="s">
        <v>72</v>
      </c>
      <c r="F15" t="s">
        <v>71</v>
      </c>
      <c r="G15">
        <v>11.8244227773218</v>
      </c>
      <c r="H15">
        <v>0.96581376455540302</v>
      </c>
      <c r="I15">
        <v>0</v>
      </c>
      <c r="J15">
        <v>3621.98346888775</v>
      </c>
      <c r="K15">
        <v>13086</v>
      </c>
      <c r="L15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20.195659319651877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5.2407845240746731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3.7490314020010005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11.8244227773218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27.492403120005601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50432.030782025897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13099.4</v>
      </c>
      <c r="W15">
        <f>IF((DiscreteStatsTable[[#This Row],[RepsRequested]]&gt;1),DiscreteStatsTable[[#This Row],[HalfWidth]],DiscreteStatsTable[[#This Row],[BatchMeansHalfWidth]])</f>
        <v>3.7490314020010005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243</v>
      </c>
      <c r="C16">
        <v>5</v>
      </c>
      <c r="D16" t="s">
        <v>73</v>
      </c>
      <c r="E16" t="s">
        <v>72</v>
      </c>
      <c r="F16" t="s">
        <v>71</v>
      </c>
      <c r="G16">
        <v>20.034470690076901</v>
      </c>
      <c r="H16">
        <v>11.132517519458</v>
      </c>
      <c r="I16">
        <v>0</v>
      </c>
      <c r="J16">
        <v>50421.650786835598</v>
      </c>
      <c r="K16">
        <v>13110</v>
      </c>
      <c r="L16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20.195659319651877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5.2407845240746731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3.7490314020010005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11.8244227773218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27.492403120005601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50432.030782025897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13099.4</v>
      </c>
      <c r="W16">
        <f>IF((DiscreteStatsTable[[#This Row],[RepsRequested]]&gt;1),DiscreteStatsTable[[#This Row],[HalfWidth]],DiscreteStatsTable[[#This Row],[BatchMeansHalfWidth]])</f>
        <v>3.7490314020010005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243</v>
      </c>
      <c r="C17">
        <v>6</v>
      </c>
      <c r="D17" t="s">
        <v>73</v>
      </c>
      <c r="E17" t="s">
        <v>72</v>
      </c>
      <c r="F17" t="s">
        <v>71</v>
      </c>
      <c r="G17">
        <v>26.909370448544198</v>
      </c>
      <c r="H17">
        <v>15.1338282086778</v>
      </c>
      <c r="I17">
        <v>0</v>
      </c>
      <c r="J17">
        <v>50428.458383801102</v>
      </c>
      <c r="K17">
        <v>13102</v>
      </c>
      <c r="L17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20.195659319651877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5.2407845240746731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3.7490314020010005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11.8244227773218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27.492403120005601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50432.030782025897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13099.4</v>
      </c>
      <c r="W17">
        <f>IF((DiscreteStatsTable[[#This Row],[RepsRequested]]&gt;1),DiscreteStatsTable[[#This Row],[HalfWidth]],DiscreteStatsTable[[#This Row],[BatchMeansHalfWidth]])</f>
        <v>3.7490314020010005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243</v>
      </c>
      <c r="C18">
        <v>7</v>
      </c>
      <c r="D18" t="s">
        <v>73</v>
      </c>
      <c r="E18" t="s">
        <v>72</v>
      </c>
      <c r="F18" t="s">
        <v>71</v>
      </c>
      <c r="G18">
        <v>16.2105199646725</v>
      </c>
      <c r="H18">
        <v>8.1019838866443994</v>
      </c>
      <c r="I18">
        <v>0</v>
      </c>
      <c r="J18">
        <v>50422.452389477301</v>
      </c>
      <c r="K18">
        <v>13110</v>
      </c>
      <c r="L18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20.195659319651877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5.2407845240746731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3.7490314020010005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11.8244227773218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27.492403120005601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50432.030782025897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13099.4</v>
      </c>
      <c r="W18">
        <f>IF((DiscreteStatsTable[[#This Row],[RepsRequested]]&gt;1),DiscreteStatsTable[[#This Row],[HalfWidth]],DiscreteStatsTable[[#This Row],[BatchMeansHalfWidth]])</f>
        <v>3.7490314020010005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243</v>
      </c>
      <c r="C19">
        <v>8</v>
      </c>
      <c r="D19" t="s">
        <v>73</v>
      </c>
      <c r="E19" t="s">
        <v>72</v>
      </c>
      <c r="F19" t="s">
        <v>71</v>
      </c>
      <c r="G19">
        <v>19.5267424064773</v>
      </c>
      <c r="H19">
        <v>11.201836992333201</v>
      </c>
      <c r="I19">
        <v>0</v>
      </c>
      <c r="J19">
        <v>50420.644811328202</v>
      </c>
      <c r="K19">
        <v>13096</v>
      </c>
      <c r="L19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20.195659319651877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5.2407845240746731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3.7490314020010005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11.8244227773218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27.492403120005601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50432.030782025897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13099.4</v>
      </c>
      <c r="W19">
        <f>IF((DiscreteStatsTable[[#This Row],[RepsRequested]]&gt;1),DiscreteStatsTable[[#This Row],[HalfWidth]],DiscreteStatsTable[[#This Row],[BatchMeansHalfWidth]])</f>
        <v>3.7490314020010005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243</v>
      </c>
      <c r="C20">
        <v>9</v>
      </c>
      <c r="D20" t="s">
        <v>73</v>
      </c>
      <c r="E20" t="s">
        <v>72</v>
      </c>
      <c r="F20" t="s">
        <v>71</v>
      </c>
      <c r="G20">
        <v>24.442510812942299</v>
      </c>
      <c r="H20">
        <v>13.2294195232221</v>
      </c>
      <c r="I20">
        <v>0</v>
      </c>
      <c r="J20">
        <v>50429.658087087497</v>
      </c>
      <c r="K20">
        <v>13104</v>
      </c>
      <c r="L20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20.195659319651877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5.2407845240746731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3.7490314020010005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11.8244227773218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27.492403120005601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50432.030782025897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13099.4</v>
      </c>
      <c r="W20">
        <f>IF((DiscreteStatsTable[[#This Row],[RepsRequested]]&gt;1),DiscreteStatsTable[[#This Row],[HalfWidth]],DiscreteStatsTable[[#This Row],[BatchMeansHalfWidth]])</f>
        <v>3.7490314020010005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243</v>
      </c>
      <c r="C21">
        <v>10</v>
      </c>
      <c r="D21" t="s">
        <v>73</v>
      </c>
      <c r="E21" t="s">
        <v>72</v>
      </c>
      <c r="F21" t="s">
        <v>71</v>
      </c>
      <c r="G21">
        <v>15.671505799112399</v>
      </c>
      <c r="H21">
        <v>8.1193380888760007</v>
      </c>
      <c r="I21">
        <v>0</v>
      </c>
      <c r="J21">
        <v>50422.393495154101</v>
      </c>
      <c r="K21">
        <v>13082</v>
      </c>
      <c r="L21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20.195659319651877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5.2407845240746731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3.7490314020010005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11.8244227773218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27.492403120005601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50432.030782025897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13099.4</v>
      </c>
      <c r="W21">
        <f>IF((DiscreteStatsTable[[#This Row],[RepsRequested]]&gt;1),DiscreteStatsTable[[#This Row],[HalfWidth]],DiscreteStatsTable[[#This Row],[BatchMeansHalfWidth]])</f>
        <v>3.7490314020010005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243</v>
      </c>
      <c r="C22">
        <v>1</v>
      </c>
      <c r="D22" t="s">
        <v>74</v>
      </c>
      <c r="E22" t="s">
        <v>72</v>
      </c>
      <c r="F22" t="s">
        <v>71</v>
      </c>
      <c r="G22">
        <v>8.4362246192315506</v>
      </c>
      <c r="H22">
        <v>0.68453944377716802</v>
      </c>
      <c r="I22">
        <v>0</v>
      </c>
      <c r="J22">
        <v>3616.2760157862699</v>
      </c>
      <c r="K22">
        <v>18376</v>
      </c>
      <c r="L22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12.100658836843866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4.4129039165656891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3.1568012921002597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8.4362246192315506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19.7718299749537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50417.572064709399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18388.8</v>
      </c>
      <c r="W22">
        <f>IF((DiscreteStatsTable[[#This Row],[RepsRequested]]&gt;1),DiscreteStatsTable[[#This Row],[HalfWidth]],DiscreteStatsTable[[#This Row],[BatchMeansHalfWidth]])</f>
        <v>3.1568012921002597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243</v>
      </c>
      <c r="C23">
        <v>2</v>
      </c>
      <c r="D23" t="s">
        <v>74</v>
      </c>
      <c r="E23" t="s">
        <v>72</v>
      </c>
      <c r="F23" t="s">
        <v>71</v>
      </c>
      <c r="G23">
        <v>19.7718299749537</v>
      </c>
      <c r="H23">
        <v>10.865084051592101</v>
      </c>
      <c r="I23">
        <v>0</v>
      </c>
      <c r="J23">
        <v>50415.357897296803</v>
      </c>
      <c r="K23">
        <v>18386</v>
      </c>
      <c r="L23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12.100658836843866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4.4129039165656891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3.1568012921002597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8.4362246192315506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19.7718299749537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50417.572064709399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18388.8</v>
      </c>
      <c r="W23">
        <f>IF((DiscreteStatsTable[[#This Row],[RepsRequested]]&gt;1),DiscreteStatsTable[[#This Row],[HalfWidth]],DiscreteStatsTable[[#This Row],[BatchMeansHalfWidth]])</f>
        <v>3.1568012921002597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243</v>
      </c>
      <c r="C24">
        <v>3</v>
      </c>
      <c r="D24" t="s">
        <v>74</v>
      </c>
      <c r="E24" t="s">
        <v>72</v>
      </c>
      <c r="F24" t="s">
        <v>71</v>
      </c>
      <c r="G24">
        <v>8.9941152408504799</v>
      </c>
      <c r="H24">
        <v>0.92898771878394204</v>
      </c>
      <c r="I24">
        <v>0</v>
      </c>
      <c r="J24">
        <v>3616.9197090100502</v>
      </c>
      <c r="K24">
        <v>18404</v>
      </c>
      <c r="L24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12.100658836843866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4.4129039165656891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3.1568012921002597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8.4362246192315506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19.7718299749537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50417.572064709399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18388.8</v>
      </c>
      <c r="W24">
        <f>IF((DiscreteStatsTable[[#This Row],[RepsRequested]]&gt;1),DiscreteStatsTable[[#This Row],[HalfWidth]],DiscreteStatsTable[[#This Row],[BatchMeansHalfWidth]])</f>
        <v>3.1568012921002597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243</v>
      </c>
      <c r="C25">
        <v>4</v>
      </c>
      <c r="D25" t="s">
        <v>74</v>
      </c>
      <c r="E25" t="s">
        <v>72</v>
      </c>
      <c r="F25" t="s">
        <v>71</v>
      </c>
      <c r="G25">
        <v>11.5449023977193</v>
      </c>
      <c r="H25">
        <v>5.7389455257193598</v>
      </c>
      <c r="I25">
        <v>0</v>
      </c>
      <c r="J25">
        <v>50415.087119640499</v>
      </c>
      <c r="K25">
        <v>18398</v>
      </c>
      <c r="L25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12.100658836843866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4.4129039165656891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3.1568012921002597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8.4362246192315506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19.7718299749537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50417.572064709399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18388.8</v>
      </c>
      <c r="W25">
        <f>IF((DiscreteStatsTable[[#This Row],[RepsRequested]]&gt;1),DiscreteStatsTable[[#This Row],[HalfWidth]],DiscreteStatsTable[[#This Row],[BatchMeansHalfWidth]])</f>
        <v>3.1568012921002597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243</v>
      </c>
      <c r="C26">
        <v>5</v>
      </c>
      <c r="D26" t="s">
        <v>74</v>
      </c>
      <c r="E26" t="s">
        <v>72</v>
      </c>
      <c r="F26" t="s">
        <v>71</v>
      </c>
      <c r="G26">
        <v>8.8022839622089908</v>
      </c>
      <c r="H26">
        <v>0.85903151564777902</v>
      </c>
      <c r="I26">
        <v>0</v>
      </c>
      <c r="J26">
        <v>3616.7594737139898</v>
      </c>
      <c r="K26">
        <v>18400</v>
      </c>
      <c r="L26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12.100658836843866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4.4129039165656891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3.1568012921002597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8.4362246192315506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19.7718299749537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50417.572064709399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18388.8</v>
      </c>
      <c r="W26">
        <f>IF((DiscreteStatsTable[[#This Row],[RepsRequested]]&gt;1),DiscreteStatsTable[[#This Row],[HalfWidth]],DiscreteStatsTable[[#This Row],[BatchMeansHalfWidth]])</f>
        <v>3.1568012921002597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243</v>
      </c>
      <c r="C27">
        <v>6</v>
      </c>
      <c r="D27" t="s">
        <v>74</v>
      </c>
      <c r="E27" t="s">
        <v>72</v>
      </c>
      <c r="F27" t="s">
        <v>71</v>
      </c>
      <c r="G27">
        <v>17.0448631983949</v>
      </c>
      <c r="H27">
        <v>9.5743059393918397</v>
      </c>
      <c r="I27">
        <v>0</v>
      </c>
      <c r="J27">
        <v>50417.572064709399</v>
      </c>
      <c r="K27">
        <v>18376</v>
      </c>
      <c r="L27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12.100658836843866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4.4129039165656891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3.1568012921002597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8.4362246192315506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19.7718299749537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50417.572064709399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18388.8</v>
      </c>
      <c r="W27">
        <f>IF((DiscreteStatsTable[[#This Row],[RepsRequested]]&gt;1),DiscreteStatsTable[[#This Row],[HalfWidth]],DiscreteStatsTable[[#This Row],[BatchMeansHalfWidth]])</f>
        <v>3.1568012921002597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243</v>
      </c>
      <c r="C28">
        <v>7</v>
      </c>
      <c r="D28" t="s">
        <v>74</v>
      </c>
      <c r="E28" t="s">
        <v>72</v>
      </c>
      <c r="F28" t="s">
        <v>71</v>
      </c>
      <c r="G28">
        <v>8.6108633168619697</v>
      </c>
      <c r="H28">
        <v>0.78454356224871802</v>
      </c>
      <c r="I28">
        <v>0</v>
      </c>
      <c r="J28">
        <v>3617.5858844133299</v>
      </c>
      <c r="K28">
        <v>18394</v>
      </c>
      <c r="L28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12.100658836843866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4.4129039165656891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3.1568012921002597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8.4362246192315506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19.7718299749537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50417.572064709399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18388.8</v>
      </c>
      <c r="W28">
        <f>IF((DiscreteStatsTable[[#This Row],[RepsRequested]]&gt;1),DiscreteStatsTable[[#This Row],[HalfWidth]],DiscreteStatsTable[[#This Row],[BatchMeansHalfWidth]])</f>
        <v>3.1568012921002597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243</v>
      </c>
      <c r="C29">
        <v>8</v>
      </c>
      <c r="D29" t="s">
        <v>74</v>
      </c>
      <c r="E29" t="s">
        <v>72</v>
      </c>
      <c r="F29" t="s">
        <v>71</v>
      </c>
      <c r="G29">
        <v>17.831029737032999</v>
      </c>
      <c r="H29">
        <v>9.5076931677754093</v>
      </c>
      <c r="I29">
        <v>0</v>
      </c>
      <c r="J29">
        <v>50416.363080323201</v>
      </c>
      <c r="K29">
        <v>18376</v>
      </c>
      <c r="L29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12.100658836843866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4.4129039165656891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3.1568012921002597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8.4362246192315506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19.7718299749537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50417.572064709399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18388.8</v>
      </c>
      <c r="W29">
        <f>IF((DiscreteStatsTable[[#This Row],[RepsRequested]]&gt;1),DiscreteStatsTable[[#This Row],[HalfWidth]],DiscreteStatsTable[[#This Row],[BatchMeansHalfWidth]])</f>
        <v>3.1568012921002597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243</v>
      </c>
      <c r="C30">
        <v>9</v>
      </c>
      <c r="D30" t="s">
        <v>74</v>
      </c>
      <c r="E30" t="s">
        <v>72</v>
      </c>
      <c r="F30" t="s">
        <v>71</v>
      </c>
      <c r="G30">
        <v>11.352497577119101</v>
      </c>
      <c r="H30">
        <v>5.7464222362043298</v>
      </c>
      <c r="I30">
        <v>0</v>
      </c>
      <c r="J30">
        <v>50415.985795768298</v>
      </c>
      <c r="K30">
        <v>18402</v>
      </c>
      <c r="L30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12.100658836843866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4.4129039165656891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3.1568012921002597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8.4362246192315506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19.7718299749537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50417.572064709399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18388.8</v>
      </c>
      <c r="W30">
        <f>IF((DiscreteStatsTable[[#This Row],[RepsRequested]]&gt;1),DiscreteStatsTable[[#This Row],[HalfWidth]],DiscreteStatsTable[[#This Row],[BatchMeansHalfWidth]])</f>
        <v>3.1568012921002597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243</v>
      </c>
      <c r="C31">
        <v>10</v>
      </c>
      <c r="D31" t="s">
        <v>74</v>
      </c>
      <c r="E31" t="s">
        <v>72</v>
      </c>
      <c r="F31" t="s">
        <v>71</v>
      </c>
      <c r="G31">
        <v>8.6179783440656905</v>
      </c>
      <c r="H31">
        <v>0.77988411591745099</v>
      </c>
      <c r="I31">
        <v>0</v>
      </c>
      <c r="J31">
        <v>3616.9429116053202</v>
      </c>
      <c r="K31">
        <v>18376</v>
      </c>
      <c r="L31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12.100658836843866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4.4129039165656891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3.1568012921002597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8.4362246192315506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19.7718299749537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50417.572064709399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18388.8</v>
      </c>
      <c r="W31">
        <f>IF((DiscreteStatsTable[[#This Row],[RepsRequested]]&gt;1),DiscreteStatsTable[[#This Row],[HalfWidth]],DiscreteStatsTable[[#This Row],[BatchMeansHalfWidth]])</f>
        <v>3.1568012921002597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243</v>
      </c>
      <c r="C32">
        <v>1</v>
      </c>
      <c r="D32" t="s">
        <v>75</v>
      </c>
      <c r="E32" t="s">
        <v>77</v>
      </c>
      <c r="F32" t="s">
        <v>76</v>
      </c>
      <c r="G32">
        <v>0</v>
      </c>
      <c r="H32">
        <v>0</v>
      </c>
      <c r="I32">
        <v>0</v>
      </c>
      <c r="J32">
        <v>0</v>
      </c>
      <c r="K32">
        <v>1102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1090.3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243</v>
      </c>
      <c r="C33">
        <v>1</v>
      </c>
      <c r="D33" t="s">
        <v>75</v>
      </c>
      <c r="E33" t="s">
        <v>78</v>
      </c>
      <c r="F33" t="s">
        <v>76</v>
      </c>
      <c r="G33">
        <v>0</v>
      </c>
      <c r="H33">
        <v>0</v>
      </c>
      <c r="I33">
        <v>0</v>
      </c>
      <c r="J33">
        <v>0</v>
      </c>
      <c r="K33">
        <v>1102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1090.3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243</v>
      </c>
      <c r="C34">
        <v>1</v>
      </c>
      <c r="D34" t="s">
        <v>75</v>
      </c>
      <c r="E34" t="s">
        <v>79</v>
      </c>
      <c r="F34" t="s">
        <v>76</v>
      </c>
      <c r="G34">
        <v>7496.7454934671996</v>
      </c>
      <c r="H34">
        <v>3E+20</v>
      </c>
      <c r="I34">
        <v>0</v>
      </c>
      <c r="J34">
        <v>132679.19527559</v>
      </c>
      <c r="K34">
        <v>1102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9742.1197042971507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2201.2906969156033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1574.7085020875541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6027.1337102524203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13957.3299192006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157886.223189824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1090.3</v>
      </c>
      <c r="W34">
        <f>IF((DiscreteStatsTable[[#This Row],[RepsRequested]]&gt;1),DiscreteStatsTable[[#This Row],[HalfWidth]],DiscreteStatsTable[[#This Row],[BatchMeansHalfWidth]])</f>
        <v>1574.7085020875541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243</v>
      </c>
      <c r="C35">
        <v>1</v>
      </c>
      <c r="D35" t="s">
        <v>75</v>
      </c>
      <c r="E35" t="s">
        <v>80</v>
      </c>
      <c r="F35" t="s">
        <v>76</v>
      </c>
      <c r="G35">
        <v>0</v>
      </c>
      <c r="H35">
        <v>0</v>
      </c>
      <c r="I35">
        <v>0</v>
      </c>
      <c r="J35">
        <v>0</v>
      </c>
      <c r="K35">
        <v>1102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1090.3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243</v>
      </c>
      <c r="C36">
        <v>1</v>
      </c>
      <c r="D36" t="s">
        <v>75</v>
      </c>
      <c r="E36" t="s">
        <v>81</v>
      </c>
      <c r="F36" t="s">
        <v>76</v>
      </c>
      <c r="G36">
        <v>42.566790052151497</v>
      </c>
      <c r="H36">
        <v>3E+20</v>
      </c>
      <c r="I36">
        <v>0</v>
      </c>
      <c r="J36">
        <v>592.92257682440697</v>
      </c>
      <c r="K36">
        <v>1102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48.627238016232184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4.817528115332455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3.4462520070109122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40.103310942305598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56.8255351782406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599.937375794834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1090.3</v>
      </c>
      <c r="W36">
        <f>IF((DiscreteStatsTable[[#This Row],[RepsRequested]]&gt;1),DiscreteStatsTable[[#This Row],[HalfWidth]],DiscreteStatsTable[[#This Row],[BatchMeansHalfWidth]])</f>
        <v>3.4462520070109122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67</v>
      </c>
      <c r="B37" t="s">
        <v>243</v>
      </c>
      <c r="C37">
        <v>1</v>
      </c>
      <c r="D37" t="s">
        <v>75</v>
      </c>
      <c r="E37" t="s">
        <v>82</v>
      </c>
      <c r="F37" t="s">
        <v>76</v>
      </c>
      <c r="G37">
        <v>7454.1787034150702</v>
      </c>
      <c r="H37">
        <v>3E+20</v>
      </c>
      <c r="I37">
        <v>0</v>
      </c>
      <c r="J37">
        <v>132377.01760926301</v>
      </c>
      <c r="K37">
        <v>1102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9693.4924662809171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2196.5680499894434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1571.3301239944644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5987.0303993100997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13900.504384022301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157355.353923986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1090.3</v>
      </c>
      <c r="W37">
        <f>IF((DiscreteStatsTable[[#This Row],[RepsRequested]]&gt;1),DiscreteStatsTable[[#This Row],[HalfWidth]],DiscreteStatsTable[[#This Row],[BatchMeansHalfWidth]])</f>
        <v>1571.3301239944644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67</v>
      </c>
      <c r="B38" t="s">
        <v>243</v>
      </c>
      <c r="C38">
        <v>2</v>
      </c>
      <c r="D38" t="s">
        <v>75</v>
      </c>
      <c r="E38" t="s">
        <v>77</v>
      </c>
      <c r="F38" t="s">
        <v>76</v>
      </c>
      <c r="G38">
        <v>0</v>
      </c>
      <c r="H38">
        <v>0</v>
      </c>
      <c r="I38">
        <v>0</v>
      </c>
      <c r="J38">
        <v>0</v>
      </c>
      <c r="K38">
        <v>1088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1090.3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67</v>
      </c>
      <c r="B39" t="s">
        <v>243</v>
      </c>
      <c r="C39">
        <v>2</v>
      </c>
      <c r="D39" t="s">
        <v>75</v>
      </c>
      <c r="E39" t="s">
        <v>78</v>
      </c>
      <c r="F39" t="s">
        <v>76</v>
      </c>
      <c r="G39">
        <v>0</v>
      </c>
      <c r="H39">
        <v>0</v>
      </c>
      <c r="I39">
        <v>0</v>
      </c>
      <c r="J39">
        <v>0</v>
      </c>
      <c r="K39">
        <v>1088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1090.3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67</v>
      </c>
      <c r="B40" t="s">
        <v>243</v>
      </c>
      <c r="C40">
        <v>2</v>
      </c>
      <c r="D40" t="s">
        <v>75</v>
      </c>
      <c r="E40" t="s">
        <v>79</v>
      </c>
      <c r="F40" t="s">
        <v>76</v>
      </c>
      <c r="G40">
        <v>6027.1337102524203</v>
      </c>
      <c r="H40">
        <v>3E+20</v>
      </c>
      <c r="I40">
        <v>0</v>
      </c>
      <c r="J40">
        <v>131279.39750489299</v>
      </c>
      <c r="K40">
        <v>1088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9742.1197042971507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2201.2906969156033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1574.7085020875541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6027.1337102524203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13957.3299192006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157886.223189824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1090.3</v>
      </c>
      <c r="W40">
        <f>IF((DiscreteStatsTable[[#This Row],[RepsRequested]]&gt;1),DiscreteStatsTable[[#This Row],[HalfWidth]],DiscreteStatsTable[[#This Row],[BatchMeansHalfWidth]])</f>
        <v>1574.7085020875541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67</v>
      </c>
      <c r="B41" t="s">
        <v>243</v>
      </c>
      <c r="C41">
        <v>2</v>
      </c>
      <c r="D41" t="s">
        <v>75</v>
      </c>
      <c r="E41" t="s">
        <v>80</v>
      </c>
      <c r="F41" t="s">
        <v>76</v>
      </c>
      <c r="G41">
        <v>0</v>
      </c>
      <c r="H41">
        <v>0</v>
      </c>
      <c r="I41">
        <v>0</v>
      </c>
      <c r="J41">
        <v>0</v>
      </c>
      <c r="K41">
        <v>1088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1090.3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67</v>
      </c>
      <c r="B42" t="s">
        <v>243</v>
      </c>
      <c r="C42">
        <v>2</v>
      </c>
      <c r="D42" t="s">
        <v>75</v>
      </c>
      <c r="E42" t="s">
        <v>81</v>
      </c>
      <c r="F42" t="s">
        <v>76</v>
      </c>
      <c r="G42">
        <v>40.103310942305598</v>
      </c>
      <c r="H42">
        <v>3E+20</v>
      </c>
      <c r="I42">
        <v>0</v>
      </c>
      <c r="J42">
        <v>597.759614822397</v>
      </c>
      <c r="K42">
        <v>1088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48.627238016232184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4.817528115332455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3.4462520070109122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40.103310942305598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56.8255351782406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599.937375794834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1090.3</v>
      </c>
      <c r="W42">
        <f>IF((DiscreteStatsTable[[#This Row],[RepsRequested]]&gt;1),DiscreteStatsTable[[#This Row],[HalfWidth]],DiscreteStatsTable[[#This Row],[BatchMeansHalfWidth]])</f>
        <v>3.4462520070109122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67</v>
      </c>
      <c r="B43" t="s">
        <v>243</v>
      </c>
      <c r="C43">
        <v>2</v>
      </c>
      <c r="D43" t="s">
        <v>75</v>
      </c>
      <c r="E43" t="s">
        <v>82</v>
      </c>
      <c r="F43" t="s">
        <v>76</v>
      </c>
      <c r="G43">
        <v>5987.0303993100997</v>
      </c>
      <c r="H43">
        <v>3E+20</v>
      </c>
      <c r="I43">
        <v>0</v>
      </c>
      <c r="J43">
        <v>130793.88854732399</v>
      </c>
      <c r="K43">
        <v>1088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9693.4924662809171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2196.5680499894434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1571.3301239944644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5987.0303993100997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13900.504384022301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157355.353923986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1090.3</v>
      </c>
      <c r="W43">
        <f>IF((DiscreteStatsTable[[#This Row],[RepsRequested]]&gt;1),DiscreteStatsTable[[#This Row],[HalfWidth]],DiscreteStatsTable[[#This Row],[BatchMeansHalfWidth]])</f>
        <v>1571.3301239944644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67</v>
      </c>
      <c r="B44" t="s">
        <v>243</v>
      </c>
      <c r="C44">
        <v>3</v>
      </c>
      <c r="D44" t="s">
        <v>75</v>
      </c>
      <c r="E44" t="s">
        <v>77</v>
      </c>
      <c r="F44" t="s">
        <v>76</v>
      </c>
      <c r="G44">
        <v>0</v>
      </c>
      <c r="H44">
        <v>0</v>
      </c>
      <c r="I44">
        <v>0</v>
      </c>
      <c r="J44">
        <v>0</v>
      </c>
      <c r="K44">
        <v>1087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1090.3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67</v>
      </c>
      <c r="B45" t="s">
        <v>243</v>
      </c>
      <c r="C45">
        <v>3</v>
      </c>
      <c r="D45" t="s">
        <v>75</v>
      </c>
      <c r="E45" t="s">
        <v>78</v>
      </c>
      <c r="F45" t="s">
        <v>76</v>
      </c>
      <c r="G45">
        <v>0</v>
      </c>
      <c r="H45">
        <v>0</v>
      </c>
      <c r="I45">
        <v>0</v>
      </c>
      <c r="J45">
        <v>0</v>
      </c>
      <c r="K45">
        <v>1087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1090.3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67</v>
      </c>
      <c r="B46" t="s">
        <v>243</v>
      </c>
      <c r="C46">
        <v>3</v>
      </c>
      <c r="D46" t="s">
        <v>75</v>
      </c>
      <c r="E46" t="s">
        <v>79</v>
      </c>
      <c r="F46" t="s">
        <v>76</v>
      </c>
      <c r="G46">
        <v>11462.2674394485</v>
      </c>
      <c r="H46">
        <v>3E+20</v>
      </c>
      <c r="I46">
        <v>0</v>
      </c>
      <c r="J46">
        <v>146686.28611555599</v>
      </c>
      <c r="K46">
        <v>1087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9742.1197042971507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2201.2906969156033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1574.7085020875541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6027.1337102524203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13957.3299192006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157886.223189824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1090.3</v>
      </c>
      <c r="W46">
        <f>IF((DiscreteStatsTable[[#This Row],[RepsRequested]]&gt;1),DiscreteStatsTable[[#This Row],[HalfWidth]],DiscreteStatsTable[[#This Row],[BatchMeansHalfWidth]])</f>
        <v>1574.7085020875541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67</v>
      </c>
      <c r="B47" t="s">
        <v>243</v>
      </c>
      <c r="C47">
        <v>3</v>
      </c>
      <c r="D47" t="s">
        <v>75</v>
      </c>
      <c r="E47" t="s">
        <v>80</v>
      </c>
      <c r="F47" t="s">
        <v>76</v>
      </c>
      <c r="G47">
        <v>0</v>
      </c>
      <c r="H47">
        <v>0</v>
      </c>
      <c r="I47">
        <v>0</v>
      </c>
      <c r="J47">
        <v>0</v>
      </c>
      <c r="K47">
        <v>1087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1090.3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67</v>
      </c>
      <c r="B48" t="s">
        <v>243</v>
      </c>
      <c r="C48">
        <v>3</v>
      </c>
      <c r="D48" t="s">
        <v>75</v>
      </c>
      <c r="E48" t="s">
        <v>81</v>
      </c>
      <c r="F48" t="s">
        <v>76</v>
      </c>
      <c r="G48">
        <v>52.380235754201699</v>
      </c>
      <c r="H48">
        <v>3E+20</v>
      </c>
      <c r="I48">
        <v>0</v>
      </c>
      <c r="J48">
        <v>599.937375794834</v>
      </c>
      <c r="K48">
        <v>1087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48.627238016232184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4.817528115332455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3.4462520070109122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40.103310942305598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56.8255351782406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599.937375794834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1090.3</v>
      </c>
      <c r="W48">
        <f>IF((DiscreteStatsTable[[#This Row],[RepsRequested]]&gt;1),DiscreteStatsTable[[#This Row],[HalfWidth]],DiscreteStatsTable[[#This Row],[BatchMeansHalfWidth]])</f>
        <v>3.4462520070109122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67</v>
      </c>
      <c r="B49" t="s">
        <v>243</v>
      </c>
      <c r="C49">
        <v>3</v>
      </c>
      <c r="D49" t="s">
        <v>75</v>
      </c>
      <c r="E49" t="s">
        <v>82</v>
      </c>
      <c r="F49" t="s">
        <v>76</v>
      </c>
      <c r="G49">
        <v>11409.887203694299</v>
      </c>
      <c r="H49">
        <v>3E+20</v>
      </c>
      <c r="I49">
        <v>0</v>
      </c>
      <c r="J49">
        <v>146289.36993855899</v>
      </c>
      <c r="K49">
        <v>1087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9693.4924662809171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2196.5680499894434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1571.3301239944644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5987.0303993100997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13900.504384022301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157355.353923986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1090.3</v>
      </c>
      <c r="W49">
        <f>IF((DiscreteStatsTable[[#This Row],[RepsRequested]]&gt;1),DiscreteStatsTable[[#This Row],[HalfWidth]],DiscreteStatsTable[[#This Row],[BatchMeansHalfWidth]])</f>
        <v>1571.3301239944644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67</v>
      </c>
      <c r="B50" t="s">
        <v>243</v>
      </c>
      <c r="C50">
        <v>4</v>
      </c>
      <c r="D50" t="s">
        <v>75</v>
      </c>
      <c r="E50" t="s">
        <v>77</v>
      </c>
      <c r="F50" t="s">
        <v>76</v>
      </c>
      <c r="G50">
        <v>0</v>
      </c>
      <c r="H50">
        <v>0</v>
      </c>
      <c r="I50">
        <v>0</v>
      </c>
      <c r="J50">
        <v>0</v>
      </c>
      <c r="K50">
        <v>1045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1090.3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67</v>
      </c>
      <c r="B51" t="s">
        <v>243</v>
      </c>
      <c r="C51">
        <v>4</v>
      </c>
      <c r="D51" t="s">
        <v>75</v>
      </c>
      <c r="E51" t="s">
        <v>78</v>
      </c>
      <c r="F51" t="s">
        <v>76</v>
      </c>
      <c r="G51">
        <v>0</v>
      </c>
      <c r="H51">
        <v>0</v>
      </c>
      <c r="I51">
        <v>0</v>
      </c>
      <c r="J51">
        <v>0</v>
      </c>
      <c r="K51">
        <v>1045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1090.3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67</v>
      </c>
      <c r="B52" t="s">
        <v>243</v>
      </c>
      <c r="C52">
        <v>4</v>
      </c>
      <c r="D52" t="s">
        <v>75</v>
      </c>
      <c r="E52" t="s">
        <v>79</v>
      </c>
      <c r="F52" t="s">
        <v>76</v>
      </c>
      <c r="G52">
        <v>10002.495116071999</v>
      </c>
      <c r="H52">
        <v>3E+20</v>
      </c>
      <c r="I52">
        <v>0</v>
      </c>
      <c r="J52">
        <v>141840.02635752101</v>
      </c>
      <c r="K52">
        <v>1045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9742.1197042971507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2201.2906969156033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1574.7085020875541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6027.1337102524203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13957.3299192006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157886.223189824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1090.3</v>
      </c>
      <c r="W52">
        <f>IF((DiscreteStatsTable[[#This Row],[RepsRequested]]&gt;1),DiscreteStatsTable[[#This Row],[HalfWidth]],DiscreteStatsTable[[#This Row],[BatchMeansHalfWidth]])</f>
        <v>1574.7085020875541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67</v>
      </c>
      <c r="B53" t="s">
        <v>243</v>
      </c>
      <c r="C53">
        <v>4</v>
      </c>
      <c r="D53" t="s">
        <v>75</v>
      </c>
      <c r="E53" t="s">
        <v>80</v>
      </c>
      <c r="F53" t="s">
        <v>76</v>
      </c>
      <c r="G53">
        <v>0</v>
      </c>
      <c r="H53">
        <v>0</v>
      </c>
      <c r="I53">
        <v>0</v>
      </c>
      <c r="J53">
        <v>0</v>
      </c>
      <c r="K53">
        <v>1045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1090.3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67</v>
      </c>
      <c r="B54" t="s">
        <v>243</v>
      </c>
      <c r="C54">
        <v>4</v>
      </c>
      <c r="D54" t="s">
        <v>75</v>
      </c>
      <c r="E54" t="s">
        <v>81</v>
      </c>
      <c r="F54" t="s">
        <v>76</v>
      </c>
      <c r="G54">
        <v>51.192698568542802</v>
      </c>
      <c r="H54">
        <v>3E+20</v>
      </c>
      <c r="I54">
        <v>0</v>
      </c>
      <c r="J54">
        <v>597.75906916047097</v>
      </c>
      <c r="K54">
        <v>1045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48.627238016232184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4.817528115332455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3.4462520070109122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40.103310942305598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56.8255351782406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599.937375794834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1090.3</v>
      </c>
      <c r="W54">
        <f>IF((DiscreteStatsTable[[#This Row],[RepsRequested]]&gt;1),DiscreteStatsTable[[#This Row],[HalfWidth]],DiscreteStatsTable[[#This Row],[BatchMeansHalfWidth]])</f>
        <v>3.4462520070109122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67</v>
      </c>
      <c r="B55" t="s">
        <v>243</v>
      </c>
      <c r="C55">
        <v>4</v>
      </c>
      <c r="D55" t="s">
        <v>75</v>
      </c>
      <c r="E55" t="s">
        <v>82</v>
      </c>
      <c r="F55" t="s">
        <v>76</v>
      </c>
      <c r="G55">
        <v>9951.3024175035207</v>
      </c>
      <c r="H55">
        <v>3E+20</v>
      </c>
      <c r="I55">
        <v>0</v>
      </c>
      <c r="J55">
        <v>141360.67932553301</v>
      </c>
      <c r="K55">
        <v>1045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9693.4924662809171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2196.5680499894434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1571.3301239944644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5987.0303993100997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13900.504384022301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157355.353923986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1090.3</v>
      </c>
      <c r="W55">
        <f>IF((DiscreteStatsTable[[#This Row],[RepsRequested]]&gt;1),DiscreteStatsTable[[#This Row],[HalfWidth]],DiscreteStatsTable[[#This Row],[BatchMeansHalfWidth]])</f>
        <v>1571.3301239944644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67</v>
      </c>
      <c r="B56" t="s">
        <v>243</v>
      </c>
      <c r="C56">
        <v>5</v>
      </c>
      <c r="D56" t="s">
        <v>75</v>
      </c>
      <c r="E56" t="s">
        <v>77</v>
      </c>
      <c r="F56" t="s">
        <v>76</v>
      </c>
      <c r="G56">
        <v>0</v>
      </c>
      <c r="H56">
        <v>0</v>
      </c>
      <c r="I56">
        <v>0</v>
      </c>
      <c r="J56">
        <v>0</v>
      </c>
      <c r="K56">
        <v>1122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1090.3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67</v>
      </c>
      <c r="B57" t="s">
        <v>243</v>
      </c>
      <c r="C57">
        <v>5</v>
      </c>
      <c r="D57" t="s">
        <v>75</v>
      </c>
      <c r="E57" t="s">
        <v>78</v>
      </c>
      <c r="F57" t="s">
        <v>76</v>
      </c>
      <c r="G57">
        <v>0</v>
      </c>
      <c r="H57">
        <v>0</v>
      </c>
      <c r="I57">
        <v>0</v>
      </c>
      <c r="J57">
        <v>0</v>
      </c>
      <c r="K57">
        <v>1122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1090.3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67</v>
      </c>
      <c r="B58" t="s">
        <v>243</v>
      </c>
      <c r="C58">
        <v>5</v>
      </c>
      <c r="D58" t="s">
        <v>75</v>
      </c>
      <c r="E58" t="s">
        <v>79</v>
      </c>
      <c r="F58" t="s">
        <v>76</v>
      </c>
      <c r="G58">
        <v>8490.3515415070196</v>
      </c>
      <c r="H58">
        <v>3E+20</v>
      </c>
      <c r="I58">
        <v>0</v>
      </c>
      <c r="J58">
        <v>136772.69150578199</v>
      </c>
      <c r="K58">
        <v>1122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9742.1197042971507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2201.2906969156033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1574.7085020875541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6027.1337102524203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13957.3299192006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157886.223189824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1090.3</v>
      </c>
      <c r="W58">
        <f>IF((DiscreteStatsTable[[#This Row],[RepsRequested]]&gt;1),DiscreteStatsTable[[#This Row],[HalfWidth]],DiscreteStatsTable[[#This Row],[BatchMeansHalfWidth]])</f>
        <v>1574.7085020875541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67</v>
      </c>
      <c r="B59" t="s">
        <v>243</v>
      </c>
      <c r="C59">
        <v>5</v>
      </c>
      <c r="D59" t="s">
        <v>75</v>
      </c>
      <c r="E59" t="s">
        <v>80</v>
      </c>
      <c r="F59" t="s">
        <v>76</v>
      </c>
      <c r="G59">
        <v>0</v>
      </c>
      <c r="H59">
        <v>0</v>
      </c>
      <c r="I59">
        <v>0</v>
      </c>
      <c r="J59">
        <v>0</v>
      </c>
      <c r="K59">
        <v>1122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1090.3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67</v>
      </c>
      <c r="B60" t="s">
        <v>243</v>
      </c>
      <c r="C60">
        <v>5</v>
      </c>
      <c r="D60" t="s">
        <v>75</v>
      </c>
      <c r="E60" t="s">
        <v>81</v>
      </c>
      <c r="F60" t="s">
        <v>76</v>
      </c>
      <c r="G60">
        <v>46.513581850160598</v>
      </c>
      <c r="H60">
        <v>3E+20</v>
      </c>
      <c r="I60">
        <v>0</v>
      </c>
      <c r="J60">
        <v>598.12280975925398</v>
      </c>
      <c r="K60">
        <v>1122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48.627238016232184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4.817528115332455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3.4462520070109122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40.103310942305598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56.8255351782406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599.937375794834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1090.3</v>
      </c>
      <c r="W60">
        <f>IF((DiscreteStatsTable[[#This Row],[RepsRequested]]&gt;1),DiscreteStatsTable[[#This Row],[HalfWidth]],DiscreteStatsTable[[#This Row],[BatchMeansHalfWidth]])</f>
        <v>3.4462520070109122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67</v>
      </c>
      <c r="B61" t="s">
        <v>243</v>
      </c>
      <c r="C61">
        <v>5</v>
      </c>
      <c r="D61" t="s">
        <v>75</v>
      </c>
      <c r="E61" t="s">
        <v>82</v>
      </c>
      <c r="F61" t="s">
        <v>76</v>
      </c>
      <c r="G61">
        <v>8443.8379596568393</v>
      </c>
      <c r="H61">
        <v>3E+20</v>
      </c>
      <c r="I61">
        <v>0</v>
      </c>
      <c r="J61">
        <v>136456.245959572</v>
      </c>
      <c r="K61">
        <v>1122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9693.4924662809171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2196.5680499894434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1571.3301239944644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5987.0303993100997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13900.504384022301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157355.353923986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1090.3</v>
      </c>
      <c r="W61">
        <f>IF((DiscreteStatsTable[[#This Row],[RepsRequested]]&gt;1),DiscreteStatsTable[[#This Row],[HalfWidth]],DiscreteStatsTable[[#This Row],[BatchMeansHalfWidth]])</f>
        <v>1571.3301239944644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67</v>
      </c>
      <c r="B62" t="s">
        <v>243</v>
      </c>
      <c r="C62">
        <v>6</v>
      </c>
      <c r="D62" t="s">
        <v>75</v>
      </c>
      <c r="E62" t="s">
        <v>77</v>
      </c>
      <c r="F62" t="s">
        <v>76</v>
      </c>
      <c r="G62">
        <v>0</v>
      </c>
      <c r="H62">
        <v>0</v>
      </c>
      <c r="I62">
        <v>0</v>
      </c>
      <c r="J62">
        <v>0</v>
      </c>
      <c r="K62">
        <v>1141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1090.3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>
        <f>IF(DiscreteStatsTable[[#This Row],[RepsRequested]]=DiscreteStatsTable[[#This Row],[RepsWithStatObserved]],1,0)</f>
        <v>1</v>
      </c>
    </row>
    <row r="63" spans="1:25" x14ac:dyDescent="0.25">
      <c r="A63" t="s">
        <v>67</v>
      </c>
      <c r="B63" t="s">
        <v>243</v>
      </c>
      <c r="C63">
        <v>6</v>
      </c>
      <c r="D63" t="s">
        <v>75</v>
      </c>
      <c r="E63" t="s">
        <v>78</v>
      </c>
      <c r="F63" t="s">
        <v>76</v>
      </c>
      <c r="G63">
        <v>0</v>
      </c>
      <c r="H63">
        <v>0</v>
      </c>
      <c r="I63">
        <v>0</v>
      </c>
      <c r="J63">
        <v>0</v>
      </c>
      <c r="K63">
        <v>1141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1090.3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>
        <f>IF(DiscreteStatsTable[[#This Row],[RepsRequested]]=DiscreteStatsTable[[#This Row],[RepsWithStatObserved]],1,0)</f>
        <v>1</v>
      </c>
    </row>
    <row r="64" spans="1:25" x14ac:dyDescent="0.25">
      <c r="A64" t="s">
        <v>67</v>
      </c>
      <c r="B64" t="s">
        <v>243</v>
      </c>
      <c r="C64">
        <v>6</v>
      </c>
      <c r="D64" t="s">
        <v>75</v>
      </c>
      <c r="E64" t="s">
        <v>79</v>
      </c>
      <c r="F64" t="s">
        <v>76</v>
      </c>
      <c r="G64">
        <v>11148.978121030699</v>
      </c>
      <c r="H64">
        <v>3E+20</v>
      </c>
      <c r="I64">
        <v>0</v>
      </c>
      <c r="J64">
        <v>148638.95234315301</v>
      </c>
      <c r="K64">
        <v>1141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9742.1197042971507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2201.2906969156033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1574.7085020875541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6027.1337102524203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13957.3299192006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157886.223189824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1090.3</v>
      </c>
      <c r="W64">
        <f>IF((DiscreteStatsTable[[#This Row],[RepsRequested]]&gt;1),DiscreteStatsTable[[#This Row],[HalfWidth]],DiscreteStatsTable[[#This Row],[BatchMeansHalfWidth]])</f>
        <v>1574.7085020875541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>
        <f>IF(DiscreteStatsTable[[#This Row],[RepsRequested]]=DiscreteStatsTable[[#This Row],[RepsWithStatObserved]],1,0)</f>
        <v>1</v>
      </c>
    </row>
    <row r="65" spans="1:25" x14ac:dyDescent="0.25">
      <c r="A65" t="s">
        <v>67</v>
      </c>
      <c r="B65" t="s">
        <v>243</v>
      </c>
      <c r="C65">
        <v>6</v>
      </c>
      <c r="D65" t="s">
        <v>75</v>
      </c>
      <c r="E65" t="s">
        <v>80</v>
      </c>
      <c r="F65" t="s">
        <v>76</v>
      </c>
      <c r="G65">
        <v>0</v>
      </c>
      <c r="H65">
        <v>0</v>
      </c>
      <c r="I65">
        <v>0</v>
      </c>
      <c r="J65">
        <v>0</v>
      </c>
      <c r="K65">
        <v>1141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1090.3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>
        <f>IF(DiscreteStatsTable[[#This Row],[RepsRequested]]=DiscreteStatsTable[[#This Row],[RepsWithStatObserved]],1,0)</f>
        <v>1</v>
      </c>
    </row>
    <row r="66" spans="1:25" x14ac:dyDescent="0.25">
      <c r="A66" t="s">
        <v>67</v>
      </c>
      <c r="B66" t="s">
        <v>243</v>
      </c>
      <c r="C66">
        <v>6</v>
      </c>
      <c r="D66" t="s">
        <v>75</v>
      </c>
      <c r="E66" t="s">
        <v>81</v>
      </c>
      <c r="F66" t="s">
        <v>76</v>
      </c>
      <c r="G66">
        <v>51.239113664788199</v>
      </c>
      <c r="H66">
        <v>3E+20</v>
      </c>
      <c r="I66">
        <v>0</v>
      </c>
      <c r="J66">
        <v>598.14608253363997</v>
      </c>
      <c r="K66">
        <v>1141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48.627238016232184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4.817528115332455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3.4462520070109122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40.103310942305598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56.8255351782406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599.937375794834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1090.3</v>
      </c>
      <c r="W66">
        <f>IF((DiscreteStatsTable[[#This Row],[RepsRequested]]&gt;1),DiscreteStatsTable[[#This Row],[HalfWidth]],DiscreteStatsTable[[#This Row],[BatchMeansHalfWidth]])</f>
        <v>3.4462520070109122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>
        <f>IF(DiscreteStatsTable[[#This Row],[RepsRequested]]=DiscreteStatsTable[[#This Row],[RepsWithStatObserved]],1,0)</f>
        <v>1</v>
      </c>
    </row>
    <row r="67" spans="1:25" x14ac:dyDescent="0.25">
      <c r="A67" t="s">
        <v>67</v>
      </c>
      <c r="B67" t="s">
        <v>243</v>
      </c>
      <c r="C67">
        <v>6</v>
      </c>
      <c r="D67" t="s">
        <v>75</v>
      </c>
      <c r="E67" t="s">
        <v>82</v>
      </c>
      <c r="F67" t="s">
        <v>76</v>
      </c>
      <c r="G67">
        <v>11097.739007365901</v>
      </c>
      <c r="H67">
        <v>3E+20</v>
      </c>
      <c r="I67">
        <v>0</v>
      </c>
      <c r="J67">
        <v>148057.332798369</v>
      </c>
      <c r="K67">
        <v>1141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9693.4924662809171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2196.5680499894434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1571.3301239944644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5987.0303993100997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13900.504384022301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157355.353923986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1090.3</v>
      </c>
      <c r="W67">
        <f>IF((DiscreteStatsTable[[#This Row],[RepsRequested]]&gt;1),DiscreteStatsTable[[#This Row],[HalfWidth]],DiscreteStatsTable[[#This Row],[BatchMeansHalfWidth]])</f>
        <v>1571.3301239944644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>
        <f>IF(DiscreteStatsTable[[#This Row],[RepsRequested]]=DiscreteStatsTable[[#This Row],[RepsWithStatObserved]],1,0)</f>
        <v>1</v>
      </c>
    </row>
    <row r="68" spans="1:25" x14ac:dyDescent="0.25">
      <c r="A68" t="s">
        <v>67</v>
      </c>
      <c r="B68" t="s">
        <v>243</v>
      </c>
      <c r="C68">
        <v>7</v>
      </c>
      <c r="D68" t="s">
        <v>75</v>
      </c>
      <c r="E68" t="s">
        <v>77</v>
      </c>
      <c r="F68" t="s">
        <v>76</v>
      </c>
      <c r="G68">
        <v>0</v>
      </c>
      <c r="H68">
        <v>0</v>
      </c>
      <c r="I68">
        <v>0</v>
      </c>
      <c r="J68">
        <v>0</v>
      </c>
      <c r="K68">
        <v>1121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1090.3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>
        <f>IF(DiscreteStatsTable[[#This Row],[RepsRequested]]=DiscreteStatsTable[[#This Row],[RepsWithStatObserved]],1,0)</f>
        <v>1</v>
      </c>
    </row>
    <row r="69" spans="1:25" x14ac:dyDescent="0.25">
      <c r="A69" t="s">
        <v>67</v>
      </c>
      <c r="B69" t="s">
        <v>243</v>
      </c>
      <c r="C69">
        <v>7</v>
      </c>
      <c r="D69" t="s">
        <v>75</v>
      </c>
      <c r="E69" t="s">
        <v>78</v>
      </c>
      <c r="F69" t="s">
        <v>76</v>
      </c>
      <c r="G69">
        <v>0</v>
      </c>
      <c r="H69">
        <v>0</v>
      </c>
      <c r="I69">
        <v>0</v>
      </c>
      <c r="J69">
        <v>0</v>
      </c>
      <c r="K69">
        <v>1121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1090.3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>
        <f>IF(DiscreteStatsTable[[#This Row],[RepsRequested]]=DiscreteStatsTable[[#This Row],[RepsWithStatObserved]],1,0)</f>
        <v>1</v>
      </c>
    </row>
    <row r="70" spans="1:25" x14ac:dyDescent="0.25">
      <c r="A70" t="s">
        <v>67</v>
      </c>
      <c r="B70" t="s">
        <v>243</v>
      </c>
      <c r="C70">
        <v>7</v>
      </c>
      <c r="D70" t="s">
        <v>75</v>
      </c>
      <c r="E70" t="s">
        <v>79</v>
      </c>
      <c r="F70" t="s">
        <v>76</v>
      </c>
      <c r="G70">
        <v>13957.3299192006</v>
      </c>
      <c r="H70">
        <v>3E+20</v>
      </c>
      <c r="I70">
        <v>0</v>
      </c>
      <c r="J70">
        <v>157886.223189824</v>
      </c>
      <c r="K70">
        <v>1121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9742.1197042971507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2201.2906969156033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1574.7085020875541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6027.1337102524203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13957.3299192006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157886.223189824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1090.3</v>
      </c>
      <c r="W70">
        <f>IF((DiscreteStatsTable[[#This Row],[RepsRequested]]&gt;1),DiscreteStatsTable[[#This Row],[HalfWidth]],DiscreteStatsTable[[#This Row],[BatchMeansHalfWidth]])</f>
        <v>1574.7085020875541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>
        <f>IF(DiscreteStatsTable[[#This Row],[RepsRequested]]=DiscreteStatsTable[[#This Row],[RepsWithStatObserved]],1,0)</f>
        <v>1</v>
      </c>
    </row>
    <row r="71" spans="1:25" x14ac:dyDescent="0.25">
      <c r="A71" t="s">
        <v>67</v>
      </c>
      <c r="B71" t="s">
        <v>243</v>
      </c>
      <c r="C71">
        <v>7</v>
      </c>
      <c r="D71" t="s">
        <v>75</v>
      </c>
      <c r="E71" t="s">
        <v>80</v>
      </c>
      <c r="F71" t="s">
        <v>76</v>
      </c>
      <c r="G71">
        <v>0</v>
      </c>
      <c r="H71">
        <v>0</v>
      </c>
      <c r="I71">
        <v>0</v>
      </c>
      <c r="J71">
        <v>0</v>
      </c>
      <c r="K71">
        <v>1121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1090.3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>
        <f>IF(DiscreteStatsTable[[#This Row],[RepsRequested]]=DiscreteStatsTable[[#This Row],[RepsWithStatObserved]],1,0)</f>
        <v>1</v>
      </c>
    </row>
    <row r="72" spans="1:25" x14ac:dyDescent="0.25">
      <c r="A72" t="s">
        <v>67</v>
      </c>
      <c r="B72" t="s">
        <v>243</v>
      </c>
      <c r="C72">
        <v>7</v>
      </c>
      <c r="D72" t="s">
        <v>75</v>
      </c>
      <c r="E72" t="s">
        <v>81</v>
      </c>
      <c r="F72" t="s">
        <v>76</v>
      </c>
      <c r="G72">
        <v>56.8255351782406</v>
      </c>
      <c r="H72">
        <v>3E+20</v>
      </c>
      <c r="I72">
        <v>0</v>
      </c>
      <c r="J72">
        <v>599.56500972830702</v>
      </c>
      <c r="K72">
        <v>1121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48.627238016232184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4.817528115332455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3.4462520070109122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40.103310942305598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56.8255351782406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599.937375794834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1090.3</v>
      </c>
      <c r="W72">
        <f>IF((DiscreteStatsTable[[#This Row],[RepsRequested]]&gt;1),DiscreteStatsTable[[#This Row],[HalfWidth]],DiscreteStatsTable[[#This Row],[BatchMeansHalfWidth]])</f>
        <v>3.4462520070109122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>
        <f>IF(DiscreteStatsTable[[#This Row],[RepsRequested]]=DiscreteStatsTable[[#This Row],[RepsWithStatObserved]],1,0)</f>
        <v>1</v>
      </c>
    </row>
    <row r="73" spans="1:25" x14ac:dyDescent="0.25">
      <c r="A73" t="s">
        <v>67</v>
      </c>
      <c r="B73" t="s">
        <v>243</v>
      </c>
      <c r="C73">
        <v>7</v>
      </c>
      <c r="D73" t="s">
        <v>75</v>
      </c>
      <c r="E73" t="s">
        <v>82</v>
      </c>
      <c r="F73" t="s">
        <v>76</v>
      </c>
      <c r="G73">
        <v>13900.504384022301</v>
      </c>
      <c r="H73">
        <v>3E+20</v>
      </c>
      <c r="I73">
        <v>0</v>
      </c>
      <c r="J73">
        <v>157355.353923986</v>
      </c>
      <c r="K73">
        <v>1121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9693.4924662809171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2196.5680499894434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1571.3301239944644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5987.0303993100997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13900.504384022301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157355.353923986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1090.3</v>
      </c>
      <c r="W73">
        <f>IF((DiscreteStatsTable[[#This Row],[RepsRequested]]&gt;1),DiscreteStatsTable[[#This Row],[HalfWidth]],DiscreteStatsTable[[#This Row],[BatchMeansHalfWidth]])</f>
        <v>1571.3301239944644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>
        <f>IF(DiscreteStatsTable[[#This Row],[RepsRequested]]=DiscreteStatsTable[[#This Row],[RepsWithStatObserved]],1,0)</f>
        <v>1</v>
      </c>
    </row>
    <row r="74" spans="1:25" x14ac:dyDescent="0.25">
      <c r="A74" t="s">
        <v>67</v>
      </c>
      <c r="B74" t="s">
        <v>243</v>
      </c>
      <c r="C74">
        <v>8</v>
      </c>
      <c r="D74" t="s">
        <v>75</v>
      </c>
      <c r="E74" t="s">
        <v>77</v>
      </c>
      <c r="F74" t="s">
        <v>76</v>
      </c>
      <c r="G74">
        <v>0</v>
      </c>
      <c r="H74">
        <v>0</v>
      </c>
      <c r="I74">
        <v>0</v>
      </c>
      <c r="J74">
        <v>0</v>
      </c>
      <c r="K74">
        <v>1088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1090.3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>
        <f>IF(DiscreteStatsTable[[#This Row],[RepsRequested]]=DiscreteStatsTable[[#This Row],[RepsWithStatObserved]],1,0)</f>
        <v>1</v>
      </c>
    </row>
    <row r="75" spans="1:25" x14ac:dyDescent="0.25">
      <c r="A75" t="s">
        <v>67</v>
      </c>
      <c r="B75" t="s">
        <v>243</v>
      </c>
      <c r="C75">
        <v>8</v>
      </c>
      <c r="D75" t="s">
        <v>75</v>
      </c>
      <c r="E75" t="s">
        <v>78</v>
      </c>
      <c r="F75" t="s">
        <v>76</v>
      </c>
      <c r="G75">
        <v>0</v>
      </c>
      <c r="H75">
        <v>0</v>
      </c>
      <c r="I75">
        <v>0</v>
      </c>
      <c r="J75">
        <v>0</v>
      </c>
      <c r="K75">
        <v>1088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1090.3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>
        <f>IF(DiscreteStatsTable[[#This Row],[RepsRequested]]=DiscreteStatsTable[[#This Row],[RepsWithStatObserved]],1,0)</f>
        <v>1</v>
      </c>
    </row>
    <row r="76" spans="1:25" x14ac:dyDescent="0.25">
      <c r="A76" t="s">
        <v>67</v>
      </c>
      <c r="B76" t="s">
        <v>243</v>
      </c>
      <c r="C76">
        <v>8</v>
      </c>
      <c r="D76" t="s">
        <v>75</v>
      </c>
      <c r="E76" t="s">
        <v>79</v>
      </c>
      <c r="F76" t="s">
        <v>76</v>
      </c>
      <c r="G76">
        <v>9185.0552621974693</v>
      </c>
      <c r="H76">
        <v>3E+20</v>
      </c>
      <c r="I76">
        <v>0</v>
      </c>
      <c r="J76">
        <v>138608.04586890701</v>
      </c>
      <c r="K76">
        <v>1088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9742.1197042971507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2201.2906969156033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1574.7085020875541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6027.1337102524203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13957.3299192006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157886.223189824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1090.3</v>
      </c>
      <c r="W76">
        <f>IF((DiscreteStatsTable[[#This Row],[RepsRequested]]&gt;1),DiscreteStatsTable[[#This Row],[HalfWidth]],DiscreteStatsTable[[#This Row],[BatchMeansHalfWidth]])</f>
        <v>1574.7085020875541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>
        <f>IF(DiscreteStatsTable[[#This Row],[RepsRequested]]=DiscreteStatsTable[[#This Row],[RepsWithStatObserved]],1,0)</f>
        <v>1</v>
      </c>
    </row>
    <row r="77" spans="1:25" x14ac:dyDescent="0.25">
      <c r="A77" t="s">
        <v>67</v>
      </c>
      <c r="B77" t="s">
        <v>243</v>
      </c>
      <c r="C77">
        <v>8</v>
      </c>
      <c r="D77" t="s">
        <v>75</v>
      </c>
      <c r="E77" t="s">
        <v>80</v>
      </c>
      <c r="F77" t="s">
        <v>76</v>
      </c>
      <c r="G77">
        <v>0</v>
      </c>
      <c r="H77">
        <v>0</v>
      </c>
      <c r="I77">
        <v>0</v>
      </c>
      <c r="J77">
        <v>0</v>
      </c>
      <c r="K77">
        <v>1088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1090.3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>
        <f>IF(DiscreteStatsTable[[#This Row],[RepsRequested]]=DiscreteStatsTable[[#This Row],[RepsWithStatObserved]],1,0)</f>
        <v>1</v>
      </c>
    </row>
    <row r="78" spans="1:25" x14ac:dyDescent="0.25">
      <c r="A78" t="s">
        <v>67</v>
      </c>
      <c r="B78" t="s">
        <v>243</v>
      </c>
      <c r="C78">
        <v>8</v>
      </c>
      <c r="D78" t="s">
        <v>75</v>
      </c>
      <c r="E78" t="s">
        <v>81</v>
      </c>
      <c r="F78" t="s">
        <v>76</v>
      </c>
      <c r="G78">
        <v>48.072636706517002</v>
      </c>
      <c r="H78">
        <v>3E+20</v>
      </c>
      <c r="I78">
        <v>0</v>
      </c>
      <c r="J78">
        <v>596.94835007243103</v>
      </c>
      <c r="K78">
        <v>1088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48.627238016232184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4.817528115332455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3.4462520070109122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40.103310942305598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56.8255351782406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599.937375794834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1090.3</v>
      </c>
      <c r="W78">
        <f>IF((DiscreteStatsTable[[#This Row],[RepsRequested]]&gt;1),DiscreteStatsTable[[#This Row],[HalfWidth]],DiscreteStatsTable[[#This Row],[BatchMeansHalfWidth]])</f>
        <v>3.4462520070109122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>
        <f>IF(DiscreteStatsTable[[#This Row],[RepsRequested]]=DiscreteStatsTable[[#This Row],[RepsWithStatObserved]],1,0)</f>
        <v>1</v>
      </c>
    </row>
    <row r="79" spans="1:25" x14ac:dyDescent="0.25">
      <c r="A79" t="s">
        <v>67</v>
      </c>
      <c r="B79" t="s">
        <v>243</v>
      </c>
      <c r="C79">
        <v>8</v>
      </c>
      <c r="D79" t="s">
        <v>75</v>
      </c>
      <c r="E79" t="s">
        <v>82</v>
      </c>
      <c r="F79" t="s">
        <v>76</v>
      </c>
      <c r="G79">
        <v>9136.9826254909403</v>
      </c>
      <c r="H79">
        <v>3E+20</v>
      </c>
      <c r="I79">
        <v>0</v>
      </c>
      <c r="J79">
        <v>138171.10398225501</v>
      </c>
      <c r="K79">
        <v>1088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9693.4924662809171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2196.5680499894434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1571.3301239944644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5987.0303993100997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13900.504384022301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157355.353923986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1090.3</v>
      </c>
      <c r="W79">
        <f>IF((DiscreteStatsTable[[#This Row],[RepsRequested]]&gt;1),DiscreteStatsTable[[#This Row],[HalfWidth]],DiscreteStatsTable[[#This Row],[BatchMeansHalfWidth]])</f>
        <v>1571.3301239944644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>
        <f>IF(DiscreteStatsTable[[#This Row],[RepsRequested]]=DiscreteStatsTable[[#This Row],[RepsWithStatObserved]],1,0)</f>
        <v>1</v>
      </c>
    </row>
    <row r="80" spans="1:25" x14ac:dyDescent="0.25">
      <c r="A80" t="s">
        <v>67</v>
      </c>
      <c r="B80" t="s">
        <v>243</v>
      </c>
      <c r="C80">
        <v>9</v>
      </c>
      <c r="D80" t="s">
        <v>75</v>
      </c>
      <c r="E80" t="s">
        <v>77</v>
      </c>
      <c r="F80" t="s">
        <v>76</v>
      </c>
      <c r="G80">
        <v>0</v>
      </c>
      <c r="H80">
        <v>0</v>
      </c>
      <c r="I80">
        <v>0</v>
      </c>
      <c r="J80">
        <v>0</v>
      </c>
      <c r="K80">
        <v>1042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1090.3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>
        <f>IF(DiscreteStatsTable[[#This Row],[RepsRequested]]=DiscreteStatsTable[[#This Row],[RepsWithStatObserved]],1,0)</f>
        <v>1</v>
      </c>
    </row>
    <row r="81" spans="1:25" x14ac:dyDescent="0.25">
      <c r="A81" t="s">
        <v>67</v>
      </c>
      <c r="B81" t="s">
        <v>243</v>
      </c>
      <c r="C81">
        <v>9</v>
      </c>
      <c r="D81" t="s">
        <v>75</v>
      </c>
      <c r="E81" t="s">
        <v>78</v>
      </c>
      <c r="F81" t="s">
        <v>76</v>
      </c>
      <c r="G81">
        <v>0</v>
      </c>
      <c r="H81">
        <v>0</v>
      </c>
      <c r="I81">
        <v>0</v>
      </c>
      <c r="J81">
        <v>0</v>
      </c>
      <c r="K81">
        <v>1042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1090.3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>
        <f>IF(DiscreteStatsTable[[#This Row],[RepsRequested]]=DiscreteStatsTable[[#This Row],[RepsWithStatObserved]],1,0)</f>
        <v>1</v>
      </c>
    </row>
    <row r="82" spans="1:25" x14ac:dyDescent="0.25">
      <c r="A82" t="s">
        <v>67</v>
      </c>
      <c r="B82" t="s">
        <v>243</v>
      </c>
      <c r="C82">
        <v>9</v>
      </c>
      <c r="D82" t="s">
        <v>75</v>
      </c>
      <c r="E82" t="s">
        <v>79</v>
      </c>
      <c r="F82" t="s">
        <v>76</v>
      </c>
      <c r="G82">
        <v>9598.23452036251</v>
      </c>
      <c r="H82">
        <v>3E+20</v>
      </c>
      <c r="I82">
        <v>0</v>
      </c>
      <c r="J82">
        <v>141998.106433579</v>
      </c>
      <c r="K82">
        <v>1042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9742.1197042971507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2201.2906969156033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1574.7085020875541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6027.1337102524203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13957.3299192006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157886.223189824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1090.3</v>
      </c>
      <c r="W82">
        <f>IF((DiscreteStatsTable[[#This Row],[RepsRequested]]&gt;1),DiscreteStatsTable[[#This Row],[HalfWidth]],DiscreteStatsTable[[#This Row],[BatchMeansHalfWidth]])</f>
        <v>1574.7085020875541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>
        <f>IF(DiscreteStatsTable[[#This Row],[RepsRequested]]=DiscreteStatsTable[[#This Row],[RepsWithStatObserved]],1,0)</f>
        <v>1</v>
      </c>
    </row>
    <row r="83" spans="1:25" x14ac:dyDescent="0.25">
      <c r="A83" t="s">
        <v>67</v>
      </c>
      <c r="B83" t="s">
        <v>243</v>
      </c>
      <c r="C83">
        <v>9</v>
      </c>
      <c r="D83" t="s">
        <v>75</v>
      </c>
      <c r="E83" t="s">
        <v>80</v>
      </c>
      <c r="F83" t="s">
        <v>76</v>
      </c>
      <c r="G83">
        <v>0</v>
      </c>
      <c r="H83">
        <v>0</v>
      </c>
      <c r="I83">
        <v>0</v>
      </c>
      <c r="J83">
        <v>0</v>
      </c>
      <c r="K83">
        <v>1042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1090.3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>
        <f>IF(DiscreteStatsTable[[#This Row],[RepsRequested]]=DiscreteStatsTable[[#This Row],[RepsWithStatObserved]],1,0)</f>
        <v>1</v>
      </c>
    </row>
    <row r="84" spans="1:25" x14ac:dyDescent="0.25">
      <c r="A84" t="s">
        <v>67</v>
      </c>
      <c r="B84" t="s">
        <v>243</v>
      </c>
      <c r="C84">
        <v>9</v>
      </c>
      <c r="D84" t="s">
        <v>75</v>
      </c>
      <c r="E84" t="s">
        <v>81</v>
      </c>
      <c r="F84" t="s">
        <v>76</v>
      </c>
      <c r="G84">
        <v>48.750345956817704</v>
      </c>
      <c r="H84">
        <v>3E+20</v>
      </c>
      <c r="I84">
        <v>0</v>
      </c>
      <c r="J84">
        <v>598.31204499286798</v>
      </c>
      <c r="K84">
        <v>1042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48.627238016232184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4.817528115332455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3.4462520070109122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40.103310942305598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56.8255351782406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599.937375794834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1090.3</v>
      </c>
      <c r="W84">
        <f>IF((DiscreteStatsTable[[#This Row],[RepsRequested]]&gt;1),DiscreteStatsTable[[#This Row],[HalfWidth]],DiscreteStatsTable[[#This Row],[BatchMeansHalfWidth]])</f>
        <v>3.4462520070109122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>
        <f>IF(DiscreteStatsTable[[#This Row],[RepsRequested]]=DiscreteStatsTable[[#This Row],[RepsWithStatObserved]],1,0)</f>
        <v>1</v>
      </c>
    </row>
    <row r="85" spans="1:25" x14ac:dyDescent="0.25">
      <c r="A85" t="s">
        <v>67</v>
      </c>
      <c r="B85" t="s">
        <v>243</v>
      </c>
      <c r="C85">
        <v>9</v>
      </c>
      <c r="D85" t="s">
        <v>75</v>
      </c>
      <c r="E85" t="s">
        <v>82</v>
      </c>
      <c r="F85" t="s">
        <v>76</v>
      </c>
      <c r="G85">
        <v>9549.4841744056903</v>
      </c>
      <c r="H85">
        <v>3E+20</v>
      </c>
      <c r="I85">
        <v>0</v>
      </c>
      <c r="J85">
        <v>141502.17881267899</v>
      </c>
      <c r="K85">
        <v>1042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9693.4924662809171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2196.5680499894434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1571.3301239944644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5987.0303993100997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13900.504384022301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157355.353923986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1090.3</v>
      </c>
      <c r="W85">
        <f>IF((DiscreteStatsTable[[#This Row],[RepsRequested]]&gt;1),DiscreteStatsTable[[#This Row],[HalfWidth]],DiscreteStatsTable[[#This Row],[BatchMeansHalfWidth]])</f>
        <v>1571.3301239944644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>
        <f>IF(DiscreteStatsTable[[#This Row],[RepsRequested]]=DiscreteStatsTable[[#This Row],[RepsWithStatObserved]],1,0)</f>
        <v>1</v>
      </c>
    </row>
    <row r="86" spans="1:25" x14ac:dyDescent="0.25">
      <c r="A86" t="s">
        <v>67</v>
      </c>
      <c r="B86" t="s">
        <v>243</v>
      </c>
      <c r="C86">
        <v>10</v>
      </c>
      <c r="D86" t="s">
        <v>75</v>
      </c>
      <c r="E86" t="s">
        <v>77</v>
      </c>
      <c r="F86" t="s">
        <v>76</v>
      </c>
      <c r="G86">
        <v>0</v>
      </c>
      <c r="H86">
        <v>0</v>
      </c>
      <c r="I86">
        <v>0</v>
      </c>
      <c r="J86">
        <v>0</v>
      </c>
      <c r="K86">
        <v>1067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1090.3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>
        <f>IF(DiscreteStatsTable[[#This Row],[RepsRequested]]=DiscreteStatsTable[[#This Row],[RepsWithStatObserved]],1,0)</f>
        <v>1</v>
      </c>
    </row>
    <row r="87" spans="1:25" x14ac:dyDescent="0.25">
      <c r="A87" t="s">
        <v>67</v>
      </c>
      <c r="B87" t="s">
        <v>243</v>
      </c>
      <c r="C87">
        <v>10</v>
      </c>
      <c r="D87" t="s">
        <v>75</v>
      </c>
      <c r="E87" t="s">
        <v>78</v>
      </c>
      <c r="F87" t="s">
        <v>76</v>
      </c>
      <c r="G87">
        <v>0</v>
      </c>
      <c r="H87">
        <v>0</v>
      </c>
      <c r="I87">
        <v>0</v>
      </c>
      <c r="J87">
        <v>0</v>
      </c>
      <c r="K87">
        <v>1067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1090.3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>
        <f>IF(DiscreteStatsTable[[#This Row],[RepsRequested]]=DiscreteStatsTable[[#This Row],[RepsWithStatObserved]],1,0)</f>
        <v>1</v>
      </c>
    </row>
    <row r="88" spans="1:25" x14ac:dyDescent="0.25">
      <c r="A88" t="s">
        <v>67</v>
      </c>
      <c r="B88" t="s">
        <v>243</v>
      </c>
      <c r="C88">
        <v>10</v>
      </c>
      <c r="D88" t="s">
        <v>75</v>
      </c>
      <c r="E88" t="s">
        <v>79</v>
      </c>
      <c r="F88" t="s">
        <v>76</v>
      </c>
      <c r="G88">
        <v>10052.605919433099</v>
      </c>
      <c r="H88">
        <v>3E+20</v>
      </c>
      <c r="I88">
        <v>0</v>
      </c>
      <c r="J88">
        <v>142019.33043751301</v>
      </c>
      <c r="K88">
        <v>1067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9742.1197042971507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2201.2906969156033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1574.7085020875541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6027.1337102524203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13957.3299192006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157886.223189824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1090.3</v>
      </c>
      <c r="W88">
        <f>IF((DiscreteStatsTable[[#This Row],[RepsRequested]]&gt;1),DiscreteStatsTable[[#This Row],[HalfWidth]],DiscreteStatsTable[[#This Row],[BatchMeansHalfWidth]])</f>
        <v>1574.7085020875541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>
        <f>IF(DiscreteStatsTable[[#This Row],[RepsRequested]]=DiscreteStatsTable[[#This Row],[RepsWithStatObserved]],1,0)</f>
        <v>1</v>
      </c>
    </row>
    <row r="89" spans="1:25" x14ac:dyDescent="0.25">
      <c r="A89" t="s">
        <v>67</v>
      </c>
      <c r="B89" t="s">
        <v>243</v>
      </c>
      <c r="C89">
        <v>10</v>
      </c>
      <c r="D89" t="s">
        <v>75</v>
      </c>
      <c r="E89" t="s">
        <v>80</v>
      </c>
      <c r="F89" t="s">
        <v>76</v>
      </c>
      <c r="G89">
        <v>0</v>
      </c>
      <c r="H89">
        <v>0</v>
      </c>
      <c r="I89">
        <v>0</v>
      </c>
      <c r="J89">
        <v>0</v>
      </c>
      <c r="K89">
        <v>1067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1090.3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>
        <f>IF(DiscreteStatsTable[[#This Row],[RepsRequested]]=DiscreteStatsTable[[#This Row],[RepsWithStatObserved]],1,0)</f>
        <v>1</v>
      </c>
    </row>
    <row r="90" spans="1:25" x14ac:dyDescent="0.25">
      <c r="A90" t="s">
        <v>67</v>
      </c>
      <c r="B90" t="s">
        <v>243</v>
      </c>
      <c r="C90">
        <v>10</v>
      </c>
      <c r="D90" t="s">
        <v>75</v>
      </c>
      <c r="E90" t="s">
        <v>81</v>
      </c>
      <c r="F90" t="s">
        <v>76</v>
      </c>
      <c r="G90">
        <v>48.628131488596097</v>
      </c>
      <c r="H90">
        <v>3E+20</v>
      </c>
      <c r="I90">
        <v>0</v>
      </c>
      <c r="J90">
        <v>597.90141854001604</v>
      </c>
      <c r="K90">
        <v>1067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48.627238016232184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4.817528115332455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3.4462520070109122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40.103310942305598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56.8255351782406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599.937375794834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1090.3</v>
      </c>
      <c r="W90">
        <f>IF((DiscreteStatsTable[[#This Row],[RepsRequested]]&gt;1),DiscreteStatsTable[[#This Row],[HalfWidth]],DiscreteStatsTable[[#This Row],[BatchMeansHalfWidth]])</f>
        <v>3.4462520070109122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>
        <f>IF(DiscreteStatsTable[[#This Row],[RepsRequested]]=DiscreteStatsTable[[#This Row],[RepsWithStatObserved]],1,0)</f>
        <v>1</v>
      </c>
    </row>
    <row r="91" spans="1:25" x14ac:dyDescent="0.25">
      <c r="A91" t="s">
        <v>67</v>
      </c>
      <c r="B91" t="s">
        <v>243</v>
      </c>
      <c r="C91">
        <v>10</v>
      </c>
      <c r="D91" t="s">
        <v>75</v>
      </c>
      <c r="E91" t="s">
        <v>82</v>
      </c>
      <c r="F91" t="s">
        <v>76</v>
      </c>
      <c r="G91">
        <v>10003.977787944499</v>
      </c>
      <c r="H91">
        <v>3E+20</v>
      </c>
      <c r="I91">
        <v>0</v>
      </c>
      <c r="J91">
        <v>141522.16344648699</v>
      </c>
      <c r="K91">
        <v>1067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9693.4924662809171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2196.5680499894434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1571.3301239944644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5987.0303993100997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13900.504384022301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157355.353923986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1090.3</v>
      </c>
      <c r="W91">
        <f>IF((DiscreteStatsTable[[#This Row],[RepsRequested]]&gt;1),DiscreteStatsTable[[#This Row],[HalfWidth]],DiscreteStatsTable[[#This Row],[BatchMeansHalfWidth]])</f>
        <v>1571.3301239944644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>
        <f>IF(DiscreteStatsTable[[#This Row],[RepsRequested]]=DiscreteStatsTable[[#This Row],[RepsWithStatObserved]],1,0)</f>
        <v>1</v>
      </c>
    </row>
    <row r="92" spans="1:25" x14ac:dyDescent="0.25">
      <c r="A92" t="s">
        <v>67</v>
      </c>
      <c r="B92" t="s">
        <v>243</v>
      </c>
      <c r="C92">
        <v>1</v>
      </c>
      <c r="D92" t="s">
        <v>83</v>
      </c>
      <c r="E92" t="s">
        <v>72</v>
      </c>
      <c r="F92" t="s">
        <v>71</v>
      </c>
      <c r="G92">
        <v>3.6075807712010999E-3</v>
      </c>
      <c r="H92">
        <v>3E+20</v>
      </c>
      <c r="I92">
        <v>0</v>
      </c>
      <c r="J92">
        <v>14.575546580967099</v>
      </c>
      <c r="K92">
        <v>6545</v>
      </c>
      <c r="L92" t="str">
        <f>DiscreteStatsTable[[#This Row],[ProjectName]]&amp;DiscreteStatsTable[[#This Row],[Name]]&amp;DiscreteStatsTable[[#This Row],[Type]]&amp;DiscreteStatsTable[[#This Row],[Source]]</f>
        <v>Unnamed ProjectMatch 1.Queue1Waiting TimeQueue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2.693376329348665E-3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7.187026600097323E-4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5.1412891117744869E-4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1.66388583370316E-3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3.88575924677469E-3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15.208346494975601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6549.7</v>
      </c>
      <c r="W92">
        <f>IF((DiscreteStatsTable[[#This Row],[RepsRequested]]&gt;1),DiscreteStatsTable[[#This Row],[HalfWidth]],DiscreteStatsTable[[#This Row],[BatchMeansHalfWidth]])</f>
        <v>5.1412891117744869E-4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>
        <f>IF(DiscreteStatsTable[[#This Row],[RepsRequested]]=DiscreteStatsTable[[#This Row],[RepsWithStatObserved]],1,0)</f>
        <v>1</v>
      </c>
    </row>
    <row r="93" spans="1:25" x14ac:dyDescent="0.25">
      <c r="A93" t="s">
        <v>67</v>
      </c>
      <c r="B93" t="s">
        <v>243</v>
      </c>
      <c r="C93">
        <v>2</v>
      </c>
      <c r="D93" t="s">
        <v>83</v>
      </c>
      <c r="E93" t="s">
        <v>72</v>
      </c>
      <c r="F93" t="s">
        <v>71</v>
      </c>
      <c r="G93">
        <v>3.88575924677469E-3</v>
      </c>
      <c r="H93">
        <v>3E+20</v>
      </c>
      <c r="I93">
        <v>0</v>
      </c>
      <c r="J93">
        <v>13.0376845924657</v>
      </c>
      <c r="K93">
        <v>6559</v>
      </c>
      <c r="L93" t="str">
        <f>DiscreteStatsTable[[#This Row],[ProjectName]]&amp;DiscreteStatsTable[[#This Row],[Name]]&amp;DiscreteStatsTable[[#This Row],[Type]]&amp;DiscreteStatsTable[[#This Row],[Source]]</f>
        <v>Unnamed ProjectMatch 1.Queue1Waiting TimeQueue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2.693376329348665E-3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7.187026600097323E-4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5.1412891117744869E-4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1.66388583370316E-3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3.88575924677469E-3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15.208346494975601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6549.7</v>
      </c>
      <c r="W93">
        <f>IF((DiscreteStatsTable[[#This Row],[RepsRequested]]&gt;1),DiscreteStatsTable[[#This Row],[HalfWidth]],DiscreteStatsTable[[#This Row],[BatchMeansHalfWidth]])</f>
        <v>5.1412891117744869E-4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>
        <f>IF(DiscreteStatsTable[[#This Row],[RepsRequested]]=DiscreteStatsTable[[#This Row],[RepsWithStatObserved]],1,0)</f>
        <v>1</v>
      </c>
    </row>
    <row r="94" spans="1:25" x14ac:dyDescent="0.25">
      <c r="A94" t="s">
        <v>67</v>
      </c>
      <c r="B94" t="s">
        <v>243</v>
      </c>
      <c r="C94">
        <v>3</v>
      </c>
      <c r="D94" t="s">
        <v>83</v>
      </c>
      <c r="E94" t="s">
        <v>72</v>
      </c>
      <c r="F94" t="s">
        <v>71</v>
      </c>
      <c r="G94">
        <v>2.2424912368713499E-3</v>
      </c>
      <c r="H94">
        <v>3E+20</v>
      </c>
      <c r="I94">
        <v>0</v>
      </c>
      <c r="J94">
        <v>12.2858896119506</v>
      </c>
      <c r="K94">
        <v>6548</v>
      </c>
      <c r="L94" t="str">
        <f>DiscreteStatsTable[[#This Row],[ProjectName]]&amp;DiscreteStatsTable[[#This Row],[Name]]&amp;DiscreteStatsTable[[#This Row],[Type]]&amp;DiscreteStatsTable[[#This Row],[Source]]</f>
        <v>Unnamed ProjectMatch 1.Queue1Waiting TimeQueue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2.693376329348665E-3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7.187026600097323E-4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5.1412891117744869E-4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1.66388583370316E-3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3.88575924677469E-3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15.208346494975601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6549.7</v>
      </c>
      <c r="W94">
        <f>IF((DiscreteStatsTable[[#This Row],[RepsRequested]]&gt;1),DiscreteStatsTable[[#This Row],[HalfWidth]],DiscreteStatsTable[[#This Row],[BatchMeansHalfWidth]])</f>
        <v>5.1412891117744869E-4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>
        <f>IF(DiscreteStatsTable[[#This Row],[RepsRequested]]=DiscreteStatsTable[[#This Row],[RepsWithStatObserved]],1,0)</f>
        <v>1</v>
      </c>
    </row>
    <row r="95" spans="1:25" x14ac:dyDescent="0.25">
      <c r="A95" t="s">
        <v>67</v>
      </c>
      <c r="B95" t="s">
        <v>243</v>
      </c>
      <c r="C95">
        <v>4</v>
      </c>
      <c r="D95" t="s">
        <v>83</v>
      </c>
      <c r="E95" t="s">
        <v>72</v>
      </c>
      <c r="F95" t="s">
        <v>71</v>
      </c>
      <c r="G95">
        <v>2.8605831958445002E-3</v>
      </c>
      <c r="H95">
        <v>3E+20</v>
      </c>
      <c r="I95">
        <v>0</v>
      </c>
      <c r="J95">
        <v>13.704968611116801</v>
      </c>
      <c r="K95">
        <v>6543</v>
      </c>
      <c r="L95" t="str">
        <f>DiscreteStatsTable[[#This Row],[ProjectName]]&amp;DiscreteStatsTable[[#This Row],[Name]]&amp;DiscreteStatsTable[[#This Row],[Type]]&amp;DiscreteStatsTable[[#This Row],[Source]]</f>
        <v>Unnamed ProjectMatch 1.Queue1Waiting TimeQueue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2.693376329348665E-3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7.187026600097323E-4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5.1412891117744869E-4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1.66388583370316E-3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3.88575924677469E-3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15.208346494975601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6549.7</v>
      </c>
      <c r="W95">
        <f>IF((DiscreteStatsTable[[#This Row],[RepsRequested]]&gt;1),DiscreteStatsTable[[#This Row],[HalfWidth]],DiscreteStatsTable[[#This Row],[BatchMeansHalfWidth]])</f>
        <v>5.1412891117744869E-4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>
        <f>IF(DiscreteStatsTable[[#This Row],[RepsRequested]]=DiscreteStatsTable[[#This Row],[RepsWithStatObserved]],1,0)</f>
        <v>1</v>
      </c>
    </row>
    <row r="96" spans="1:25" x14ac:dyDescent="0.25">
      <c r="A96" t="s">
        <v>67</v>
      </c>
      <c r="B96" t="s">
        <v>243</v>
      </c>
      <c r="C96">
        <v>5</v>
      </c>
      <c r="D96" t="s">
        <v>83</v>
      </c>
      <c r="E96" t="s">
        <v>72</v>
      </c>
      <c r="F96" t="s">
        <v>71</v>
      </c>
      <c r="G96">
        <v>2.6289430498753498E-3</v>
      </c>
      <c r="H96">
        <v>3E+20</v>
      </c>
      <c r="I96">
        <v>0</v>
      </c>
      <c r="J96">
        <v>13.2543408105339</v>
      </c>
      <c r="K96">
        <v>6555</v>
      </c>
      <c r="L96" t="str">
        <f>DiscreteStatsTable[[#This Row],[ProjectName]]&amp;DiscreteStatsTable[[#This Row],[Name]]&amp;DiscreteStatsTable[[#This Row],[Type]]&amp;DiscreteStatsTable[[#This Row],[Source]]</f>
        <v>Unnamed ProjectMatch 1.Queue1Waiting TimeQueue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2.693376329348665E-3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7.187026600097323E-4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5.1412891117744869E-4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1.66388583370316E-3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3.88575924677469E-3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15.208346494975601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6549.7</v>
      </c>
      <c r="W96">
        <f>IF((DiscreteStatsTable[[#This Row],[RepsRequested]]&gt;1),DiscreteStatsTable[[#This Row],[HalfWidth]],DiscreteStatsTable[[#This Row],[BatchMeansHalfWidth]])</f>
        <v>5.1412891117744869E-4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>
        <f>IF(DiscreteStatsTable[[#This Row],[RepsRequested]]=DiscreteStatsTable[[#This Row],[RepsWithStatObserved]],1,0)</f>
        <v>1</v>
      </c>
    </row>
    <row r="97" spans="1:25" x14ac:dyDescent="0.25">
      <c r="A97" t="s">
        <v>67</v>
      </c>
      <c r="B97" t="s">
        <v>243</v>
      </c>
      <c r="C97">
        <v>6</v>
      </c>
      <c r="D97" t="s">
        <v>83</v>
      </c>
      <c r="E97" t="s">
        <v>72</v>
      </c>
      <c r="F97" t="s">
        <v>71</v>
      </c>
      <c r="G97">
        <v>3.1655289951226001E-3</v>
      </c>
      <c r="H97">
        <v>3E+20</v>
      </c>
      <c r="I97">
        <v>0</v>
      </c>
      <c r="J97">
        <v>13.8239578449757</v>
      </c>
      <c r="K97">
        <v>6551</v>
      </c>
      <c r="L97" t="str">
        <f>DiscreteStatsTable[[#This Row],[ProjectName]]&amp;DiscreteStatsTable[[#This Row],[Name]]&amp;DiscreteStatsTable[[#This Row],[Type]]&amp;DiscreteStatsTable[[#This Row],[Source]]</f>
        <v>Unnamed ProjectMatch 1.Queue1Waiting TimeQueue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2.693376329348665E-3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7.187026600097323E-4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5.1412891117744869E-4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1.66388583370316E-3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3.88575924677469E-3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15.208346494975601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6549.7</v>
      </c>
      <c r="W97">
        <f>IF((DiscreteStatsTable[[#This Row],[RepsRequested]]&gt;1),DiscreteStatsTable[[#This Row],[HalfWidth]],DiscreteStatsTable[[#This Row],[BatchMeansHalfWidth]])</f>
        <v>5.1412891117744869E-4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>
        <f>IF(DiscreteStatsTable[[#This Row],[RepsRequested]]=DiscreteStatsTable[[#This Row],[RepsWithStatObserved]],1,0)</f>
        <v>1</v>
      </c>
    </row>
    <row r="98" spans="1:25" x14ac:dyDescent="0.25">
      <c r="A98" t="s">
        <v>67</v>
      </c>
      <c r="B98" t="s">
        <v>243</v>
      </c>
      <c r="C98">
        <v>7</v>
      </c>
      <c r="D98" t="s">
        <v>83</v>
      </c>
      <c r="E98" t="s">
        <v>72</v>
      </c>
      <c r="F98" t="s">
        <v>71</v>
      </c>
      <c r="G98">
        <v>2.3201138817659202E-3</v>
      </c>
      <c r="H98">
        <v>3E+20</v>
      </c>
      <c r="I98">
        <v>0</v>
      </c>
      <c r="J98">
        <v>15.208346494975601</v>
      </c>
      <c r="K98">
        <v>6555</v>
      </c>
      <c r="L98" t="str">
        <f>DiscreteStatsTable[[#This Row],[ProjectName]]&amp;DiscreteStatsTable[[#This Row],[Name]]&amp;DiscreteStatsTable[[#This Row],[Type]]&amp;DiscreteStatsTable[[#This Row],[Source]]</f>
        <v>Unnamed ProjectMatch 1.Queue1Waiting TimeQueue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2.693376329348665E-3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7.187026600097323E-4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5.1412891117744869E-4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1.66388583370316E-3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3.88575924677469E-3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15.208346494975601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6549.7</v>
      </c>
      <c r="W98">
        <f>IF((DiscreteStatsTable[[#This Row],[RepsRequested]]&gt;1),DiscreteStatsTable[[#This Row],[HalfWidth]],DiscreteStatsTable[[#This Row],[BatchMeansHalfWidth]])</f>
        <v>5.1412891117744869E-4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>
        <f>IF(DiscreteStatsTable[[#This Row],[RepsRequested]]=DiscreteStatsTable[[#This Row],[RepsWithStatObserved]],1,0)</f>
        <v>1</v>
      </c>
    </row>
    <row r="99" spans="1:25" x14ac:dyDescent="0.25">
      <c r="A99" t="s">
        <v>67</v>
      </c>
      <c r="B99" t="s">
        <v>243</v>
      </c>
      <c r="C99">
        <v>8</v>
      </c>
      <c r="D99" t="s">
        <v>83</v>
      </c>
      <c r="E99" t="s">
        <v>72</v>
      </c>
      <c r="F99" t="s">
        <v>71</v>
      </c>
      <c r="G99">
        <v>1.66388583370316E-3</v>
      </c>
      <c r="H99">
        <v>3E+20</v>
      </c>
      <c r="I99">
        <v>0</v>
      </c>
      <c r="J99">
        <v>7.6533313238323899</v>
      </c>
      <c r="K99">
        <v>6548</v>
      </c>
      <c r="L99" t="str">
        <f>DiscreteStatsTable[[#This Row],[ProjectName]]&amp;DiscreteStatsTable[[#This Row],[Name]]&amp;DiscreteStatsTable[[#This Row],[Type]]&amp;DiscreteStatsTable[[#This Row],[Source]]</f>
        <v>Unnamed ProjectMatch 1.Queue1Waiting TimeQueue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2.693376329348665E-3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7.187026600097323E-4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5.1412891117744869E-4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1.66388583370316E-3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3.88575924677469E-3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15.208346494975601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6549.7</v>
      </c>
      <c r="W99">
        <f>IF((DiscreteStatsTable[[#This Row],[RepsRequested]]&gt;1),DiscreteStatsTable[[#This Row],[HalfWidth]],DiscreteStatsTable[[#This Row],[BatchMeansHalfWidth]])</f>
        <v>5.1412891117744869E-4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>
        <f>IF(DiscreteStatsTable[[#This Row],[RepsRequested]]=DiscreteStatsTable[[#This Row],[RepsWithStatObserved]],1,0)</f>
        <v>1</v>
      </c>
    </row>
    <row r="100" spans="1:25" x14ac:dyDescent="0.25">
      <c r="A100" t="s">
        <v>67</v>
      </c>
      <c r="B100" t="s">
        <v>243</v>
      </c>
      <c r="C100">
        <v>9</v>
      </c>
      <c r="D100" t="s">
        <v>83</v>
      </c>
      <c r="E100" t="s">
        <v>72</v>
      </c>
      <c r="F100" t="s">
        <v>71</v>
      </c>
      <c r="G100">
        <v>2.7216234729382301E-3</v>
      </c>
      <c r="H100">
        <v>3E+20</v>
      </c>
      <c r="I100">
        <v>0</v>
      </c>
      <c r="J100">
        <v>11.5183953573833</v>
      </c>
      <c r="K100">
        <v>6552</v>
      </c>
      <c r="L100" t="str">
        <f>DiscreteStatsTable[[#This Row],[ProjectName]]&amp;DiscreteStatsTable[[#This Row],[Name]]&amp;DiscreteStatsTable[[#This Row],[Type]]&amp;DiscreteStatsTable[[#This Row],[Source]]</f>
        <v>Unnamed ProjectMatch 1.Queue1Waiting TimeQueue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2.693376329348665E-3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7.187026600097323E-4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5.1412891117744869E-4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1.66388583370316E-3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3.88575924677469E-3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15.208346494975601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6549.7</v>
      </c>
      <c r="W100">
        <f>IF((DiscreteStatsTable[[#This Row],[RepsRequested]]&gt;1),DiscreteStatsTable[[#This Row],[HalfWidth]],DiscreteStatsTable[[#This Row],[BatchMeansHalfWidth]])</f>
        <v>5.1412891117744869E-4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>
        <f>IF(DiscreteStatsTable[[#This Row],[RepsRequested]]=DiscreteStatsTable[[#This Row],[RepsWithStatObserved]],1,0)</f>
        <v>1</v>
      </c>
    </row>
    <row r="101" spans="1:25" x14ac:dyDescent="0.25">
      <c r="A101" t="s">
        <v>67</v>
      </c>
      <c r="B101" t="s">
        <v>243</v>
      </c>
      <c r="C101">
        <v>10</v>
      </c>
      <c r="D101" t="s">
        <v>83</v>
      </c>
      <c r="E101" t="s">
        <v>72</v>
      </c>
      <c r="F101" t="s">
        <v>71</v>
      </c>
      <c r="G101">
        <v>1.8372536093897501E-3</v>
      </c>
      <c r="H101">
        <v>3E+20</v>
      </c>
      <c r="I101">
        <v>0</v>
      </c>
      <c r="J101">
        <v>11.1760452675117</v>
      </c>
      <c r="K101">
        <v>6541</v>
      </c>
      <c r="L101" t="str">
        <f>DiscreteStatsTable[[#This Row],[ProjectName]]&amp;DiscreteStatsTable[[#This Row],[Name]]&amp;DiscreteStatsTable[[#This Row],[Type]]&amp;DiscreteStatsTable[[#This Row],[Source]]</f>
        <v>Unnamed ProjectMatch 1.Queue1Waiting TimeQueue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2.693376329348665E-3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7.187026600097323E-4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5.1412891117744869E-4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1.66388583370316E-3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3.88575924677469E-3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15.208346494975601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6549.7</v>
      </c>
      <c r="W101">
        <f>IF((DiscreteStatsTable[[#This Row],[RepsRequested]]&gt;1),DiscreteStatsTable[[#This Row],[HalfWidth]],DiscreteStatsTable[[#This Row],[BatchMeansHalfWidth]])</f>
        <v>5.1412891117744869E-4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>
        <f>IF(DiscreteStatsTable[[#This Row],[RepsRequested]]=DiscreteStatsTable[[#This Row],[RepsWithStatObserved]],1,0)</f>
        <v>1</v>
      </c>
    </row>
    <row r="102" spans="1:25" x14ac:dyDescent="0.25">
      <c r="A102" t="s">
        <v>67</v>
      </c>
      <c r="B102" t="s">
        <v>243</v>
      </c>
      <c r="C102">
        <v>1</v>
      </c>
      <c r="D102" t="s">
        <v>84</v>
      </c>
      <c r="E102" t="s">
        <v>72</v>
      </c>
      <c r="F102" t="s">
        <v>71</v>
      </c>
      <c r="G102">
        <v>58772.660433449098</v>
      </c>
      <c r="H102">
        <v>3E+20</v>
      </c>
      <c r="I102">
        <v>0</v>
      </c>
      <c r="J102">
        <v>116586.069482279</v>
      </c>
      <c r="K102">
        <v>6545</v>
      </c>
      <c r="L102" t="str">
        <f>DiscreteStatsTable[[#This Row],[ProjectName]]&amp;DiscreteStatsTable[[#This Row],[Name]]&amp;DiscreteStatsTable[[#This Row],[Type]]&amp;DiscreteStatsTable[[#This Row],[Source]]</f>
        <v>Unnamed ProjectMatch 1.Queue2Waiting TimeQueue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58533.653339929719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371.29609152942885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265.60922323549289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57893.147131323101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59090.509244091503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116803.050812584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6549.7</v>
      </c>
      <c r="W102">
        <f>IF((DiscreteStatsTable[[#This Row],[RepsRequested]]&gt;1),DiscreteStatsTable[[#This Row],[HalfWidth]],DiscreteStatsTable[[#This Row],[BatchMeansHalfWidth]])</f>
        <v>265.60922323549289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>
        <f>IF(DiscreteStatsTable[[#This Row],[RepsRequested]]=DiscreteStatsTable[[#This Row],[RepsWithStatObserved]],1,0)</f>
        <v>1</v>
      </c>
    </row>
    <row r="103" spans="1:25" x14ac:dyDescent="0.25">
      <c r="A103" t="s">
        <v>67</v>
      </c>
      <c r="B103" t="s">
        <v>243</v>
      </c>
      <c r="C103">
        <v>2</v>
      </c>
      <c r="D103" t="s">
        <v>84</v>
      </c>
      <c r="E103" t="s">
        <v>72</v>
      </c>
      <c r="F103" t="s">
        <v>71</v>
      </c>
      <c r="G103">
        <v>57893.147131323101</v>
      </c>
      <c r="H103">
        <v>3E+20</v>
      </c>
      <c r="I103">
        <v>0</v>
      </c>
      <c r="J103">
        <v>115986.400080619</v>
      </c>
      <c r="K103">
        <v>6559</v>
      </c>
      <c r="L103" t="str">
        <f>DiscreteStatsTable[[#This Row],[ProjectName]]&amp;DiscreteStatsTable[[#This Row],[Name]]&amp;DiscreteStatsTable[[#This Row],[Type]]&amp;DiscreteStatsTable[[#This Row],[Source]]</f>
        <v>Unnamed ProjectMatch 1.Queue2Waiting TimeQueue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58533.653339929719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371.29609152942885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265.60922323549289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57893.147131323101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59090.509244091503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116803.050812584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6549.7</v>
      </c>
      <c r="W103">
        <f>IF((DiscreteStatsTable[[#This Row],[RepsRequested]]&gt;1),DiscreteStatsTable[[#This Row],[HalfWidth]],DiscreteStatsTable[[#This Row],[BatchMeansHalfWidth]])</f>
        <v>265.60922323549289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>
        <f>IF(DiscreteStatsTable[[#This Row],[RepsRequested]]=DiscreteStatsTable[[#This Row],[RepsWithStatObserved]],1,0)</f>
        <v>1</v>
      </c>
    </row>
    <row r="104" spans="1:25" x14ac:dyDescent="0.25">
      <c r="A104" t="s">
        <v>67</v>
      </c>
      <c r="B104" t="s">
        <v>243</v>
      </c>
      <c r="C104">
        <v>3</v>
      </c>
      <c r="D104" t="s">
        <v>84</v>
      </c>
      <c r="E104" t="s">
        <v>72</v>
      </c>
      <c r="F104" t="s">
        <v>71</v>
      </c>
      <c r="G104">
        <v>58955.305794660002</v>
      </c>
      <c r="H104">
        <v>3E+20</v>
      </c>
      <c r="I104">
        <v>0</v>
      </c>
      <c r="J104">
        <v>116803.050812584</v>
      </c>
      <c r="K104">
        <v>6548</v>
      </c>
      <c r="L104" t="str">
        <f>DiscreteStatsTable[[#This Row],[ProjectName]]&amp;DiscreteStatsTable[[#This Row],[Name]]&amp;DiscreteStatsTable[[#This Row],[Type]]&amp;DiscreteStatsTable[[#This Row],[Source]]</f>
        <v>Unnamed ProjectMatch 1.Queue2Waiting TimeQueue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58533.653339929719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371.29609152942885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265.60922323549289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57893.147131323101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59090.509244091503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116803.050812584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6549.7</v>
      </c>
      <c r="W104">
        <f>IF((DiscreteStatsTable[[#This Row],[RepsRequested]]&gt;1),DiscreteStatsTable[[#This Row],[HalfWidth]],DiscreteStatsTable[[#This Row],[BatchMeansHalfWidth]])</f>
        <v>265.60922323549289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>
        <f>IF(DiscreteStatsTable[[#This Row],[RepsRequested]]=DiscreteStatsTable[[#This Row],[RepsWithStatObserved]],1,0)</f>
        <v>1</v>
      </c>
    </row>
    <row r="105" spans="1:25" x14ac:dyDescent="0.25">
      <c r="A105" t="s">
        <v>67</v>
      </c>
      <c r="B105" t="s">
        <v>243</v>
      </c>
      <c r="C105">
        <v>4</v>
      </c>
      <c r="D105" t="s">
        <v>84</v>
      </c>
      <c r="E105" t="s">
        <v>72</v>
      </c>
      <c r="F105" t="s">
        <v>71</v>
      </c>
      <c r="G105">
        <v>58598.722717179102</v>
      </c>
      <c r="H105">
        <v>3E+20</v>
      </c>
      <c r="I105">
        <v>0</v>
      </c>
      <c r="J105">
        <v>116563.880596341</v>
      </c>
      <c r="K105">
        <v>6543</v>
      </c>
      <c r="L105" t="str">
        <f>DiscreteStatsTable[[#This Row],[ProjectName]]&amp;DiscreteStatsTable[[#This Row],[Name]]&amp;DiscreteStatsTable[[#This Row],[Type]]&amp;DiscreteStatsTable[[#This Row],[Source]]</f>
        <v>Unnamed ProjectMatch 1.Queue2Waiting TimeQueue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58533.653339929719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371.29609152942885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265.60922323549289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57893.147131323101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59090.509244091503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116803.050812584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6549.7</v>
      </c>
      <c r="W105">
        <f>IF((DiscreteStatsTable[[#This Row],[RepsRequested]]&gt;1),DiscreteStatsTable[[#This Row],[HalfWidth]],DiscreteStatsTable[[#This Row],[BatchMeansHalfWidth]])</f>
        <v>265.60922323549289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>
        <f>IF(DiscreteStatsTable[[#This Row],[RepsRequested]]=DiscreteStatsTable[[#This Row],[RepsWithStatObserved]],1,0)</f>
        <v>1</v>
      </c>
    </row>
    <row r="106" spans="1:25" x14ac:dyDescent="0.25">
      <c r="A106" t="s">
        <v>67</v>
      </c>
      <c r="B106" t="s">
        <v>243</v>
      </c>
      <c r="C106">
        <v>5</v>
      </c>
      <c r="D106" t="s">
        <v>84</v>
      </c>
      <c r="E106" t="s">
        <v>72</v>
      </c>
      <c r="F106" t="s">
        <v>71</v>
      </c>
      <c r="G106">
        <v>59090.509244091503</v>
      </c>
      <c r="H106">
        <v>3E+20</v>
      </c>
      <c r="I106">
        <v>0</v>
      </c>
      <c r="J106">
        <v>116560.718102107</v>
      </c>
      <c r="K106">
        <v>6555</v>
      </c>
      <c r="L106" t="str">
        <f>DiscreteStatsTable[[#This Row],[ProjectName]]&amp;DiscreteStatsTable[[#This Row],[Name]]&amp;DiscreteStatsTable[[#This Row],[Type]]&amp;DiscreteStatsTable[[#This Row],[Source]]</f>
        <v>Unnamed ProjectMatch 1.Queue2Waiting TimeQueue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58533.653339929719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371.29609152942885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265.60922323549289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57893.147131323101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59090.509244091503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116803.050812584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6549.7</v>
      </c>
      <c r="W106">
        <f>IF((DiscreteStatsTable[[#This Row],[RepsRequested]]&gt;1),DiscreteStatsTable[[#This Row],[HalfWidth]],DiscreteStatsTable[[#This Row],[BatchMeansHalfWidth]])</f>
        <v>265.60922323549289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>
        <f>IF(DiscreteStatsTable[[#This Row],[RepsRequested]]=DiscreteStatsTable[[#This Row],[RepsWithStatObserved]],1,0)</f>
        <v>1</v>
      </c>
    </row>
    <row r="107" spans="1:25" x14ac:dyDescent="0.25">
      <c r="A107" t="s">
        <v>67</v>
      </c>
      <c r="B107" t="s">
        <v>243</v>
      </c>
      <c r="C107">
        <v>6</v>
      </c>
      <c r="D107" t="s">
        <v>84</v>
      </c>
      <c r="E107" t="s">
        <v>72</v>
      </c>
      <c r="F107" t="s">
        <v>71</v>
      </c>
      <c r="G107">
        <v>58120.975076691</v>
      </c>
      <c r="H107">
        <v>3E+20</v>
      </c>
      <c r="I107">
        <v>0</v>
      </c>
      <c r="J107">
        <v>115757.604442803</v>
      </c>
      <c r="K107">
        <v>6551</v>
      </c>
      <c r="L107" t="str">
        <f>DiscreteStatsTable[[#This Row],[ProjectName]]&amp;DiscreteStatsTable[[#This Row],[Name]]&amp;DiscreteStatsTable[[#This Row],[Type]]&amp;DiscreteStatsTable[[#This Row],[Source]]</f>
        <v>Unnamed ProjectMatch 1.Queue2Waiting TimeQueue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58533.653339929719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371.29609152942885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265.60922323549289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57893.147131323101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59090.509244091503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116803.050812584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6549.7</v>
      </c>
      <c r="W107">
        <f>IF((DiscreteStatsTable[[#This Row],[RepsRequested]]&gt;1),DiscreteStatsTable[[#This Row],[HalfWidth]],DiscreteStatsTable[[#This Row],[BatchMeansHalfWidth]])</f>
        <v>265.60922323549289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>
        <f>IF(DiscreteStatsTable[[#This Row],[RepsRequested]]=DiscreteStatsTable[[#This Row],[RepsWithStatObserved]],1,0)</f>
        <v>1</v>
      </c>
    </row>
    <row r="108" spans="1:25" x14ac:dyDescent="0.25">
      <c r="A108" t="s">
        <v>67</v>
      </c>
      <c r="B108" t="s">
        <v>243</v>
      </c>
      <c r="C108">
        <v>7</v>
      </c>
      <c r="D108" t="s">
        <v>84</v>
      </c>
      <c r="E108" t="s">
        <v>72</v>
      </c>
      <c r="F108" t="s">
        <v>71</v>
      </c>
      <c r="G108">
        <v>58357.645722618203</v>
      </c>
      <c r="H108">
        <v>3E+20</v>
      </c>
      <c r="I108">
        <v>0</v>
      </c>
      <c r="J108">
        <v>116281.631296643</v>
      </c>
      <c r="K108">
        <v>6555</v>
      </c>
      <c r="L108" t="str">
        <f>DiscreteStatsTable[[#This Row],[ProjectName]]&amp;DiscreteStatsTable[[#This Row],[Name]]&amp;DiscreteStatsTable[[#This Row],[Type]]&amp;DiscreteStatsTable[[#This Row],[Source]]</f>
        <v>Unnamed ProjectMatch 1.Queue2Waiting TimeQueue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58533.653339929719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371.29609152942885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265.60922323549289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57893.147131323101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59090.509244091503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116803.050812584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6549.7</v>
      </c>
      <c r="W108">
        <f>IF((DiscreteStatsTable[[#This Row],[RepsRequested]]&gt;1),DiscreteStatsTable[[#This Row],[HalfWidth]],DiscreteStatsTable[[#This Row],[BatchMeansHalfWidth]])</f>
        <v>265.60922323549289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>
        <f>IF(DiscreteStatsTable[[#This Row],[RepsRequested]]=DiscreteStatsTable[[#This Row],[RepsWithStatObserved]],1,0)</f>
        <v>1</v>
      </c>
    </row>
    <row r="109" spans="1:25" x14ac:dyDescent="0.25">
      <c r="A109" t="s">
        <v>67</v>
      </c>
      <c r="B109" t="s">
        <v>243</v>
      </c>
      <c r="C109">
        <v>8</v>
      </c>
      <c r="D109" t="s">
        <v>84</v>
      </c>
      <c r="E109" t="s">
        <v>72</v>
      </c>
      <c r="F109" t="s">
        <v>71</v>
      </c>
      <c r="G109">
        <v>58488.629238629903</v>
      </c>
      <c r="H109">
        <v>3E+20</v>
      </c>
      <c r="I109">
        <v>0</v>
      </c>
      <c r="J109">
        <v>116372.15815694</v>
      </c>
      <c r="K109">
        <v>6548</v>
      </c>
      <c r="L109" t="str">
        <f>DiscreteStatsTable[[#This Row],[ProjectName]]&amp;DiscreteStatsTable[[#This Row],[Name]]&amp;DiscreteStatsTable[[#This Row],[Type]]&amp;DiscreteStatsTable[[#This Row],[Source]]</f>
        <v>Unnamed ProjectMatch 1.Queue2Waiting TimeQueue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58533.653339929719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371.29609152942885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265.60922323549289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57893.147131323101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59090.509244091503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116803.050812584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6549.7</v>
      </c>
      <c r="W109">
        <f>IF((DiscreteStatsTable[[#This Row],[RepsRequested]]&gt;1),DiscreteStatsTable[[#This Row],[HalfWidth]],DiscreteStatsTable[[#This Row],[BatchMeansHalfWidth]])</f>
        <v>265.60922323549289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>
        <f>IF(DiscreteStatsTable[[#This Row],[RepsRequested]]=DiscreteStatsTable[[#This Row],[RepsWithStatObserved]],1,0)</f>
        <v>1</v>
      </c>
    </row>
    <row r="110" spans="1:25" x14ac:dyDescent="0.25">
      <c r="A110" t="s">
        <v>67</v>
      </c>
      <c r="B110" t="s">
        <v>243</v>
      </c>
      <c r="C110">
        <v>9</v>
      </c>
      <c r="D110" t="s">
        <v>84</v>
      </c>
      <c r="E110" t="s">
        <v>72</v>
      </c>
      <c r="F110" t="s">
        <v>71</v>
      </c>
      <c r="G110">
        <v>58332.089990599001</v>
      </c>
      <c r="H110">
        <v>3E+20</v>
      </c>
      <c r="I110">
        <v>0</v>
      </c>
      <c r="J110">
        <v>116176.22271457899</v>
      </c>
      <c r="K110">
        <v>6552</v>
      </c>
      <c r="L110" t="str">
        <f>DiscreteStatsTable[[#This Row],[ProjectName]]&amp;DiscreteStatsTable[[#This Row],[Name]]&amp;DiscreteStatsTable[[#This Row],[Type]]&amp;DiscreteStatsTable[[#This Row],[Source]]</f>
        <v>Unnamed ProjectMatch 1.Queue2Waiting TimeQueue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58533.653339929719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371.29609152942885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265.60922323549289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57893.147131323101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59090.509244091503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116803.050812584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6549.7</v>
      </c>
      <c r="W110">
        <f>IF((DiscreteStatsTable[[#This Row],[RepsRequested]]&gt;1),DiscreteStatsTable[[#This Row],[HalfWidth]],DiscreteStatsTable[[#This Row],[BatchMeansHalfWidth]])</f>
        <v>265.60922323549289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>
        <f>IF(DiscreteStatsTable[[#This Row],[RepsRequested]]=DiscreteStatsTable[[#This Row],[RepsWithStatObserved]],1,0)</f>
        <v>1</v>
      </c>
    </row>
    <row r="111" spans="1:25" x14ac:dyDescent="0.25">
      <c r="A111" t="s">
        <v>67</v>
      </c>
      <c r="B111" t="s">
        <v>243</v>
      </c>
      <c r="C111">
        <v>10</v>
      </c>
      <c r="D111" t="s">
        <v>84</v>
      </c>
      <c r="E111" t="s">
        <v>72</v>
      </c>
      <c r="F111" t="s">
        <v>71</v>
      </c>
      <c r="G111">
        <v>58726.8480500562</v>
      </c>
      <c r="H111">
        <v>3E+20</v>
      </c>
      <c r="I111">
        <v>0</v>
      </c>
      <c r="J111">
        <v>116538.672791228</v>
      </c>
      <c r="K111">
        <v>6541</v>
      </c>
      <c r="L111" t="str">
        <f>DiscreteStatsTable[[#This Row],[ProjectName]]&amp;DiscreteStatsTable[[#This Row],[Name]]&amp;DiscreteStatsTable[[#This Row],[Type]]&amp;DiscreteStatsTable[[#This Row],[Source]]</f>
        <v>Unnamed ProjectMatch 1.Queue2Waiting TimeQueue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58533.653339929719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371.29609152942885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265.60922323549289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57893.147131323101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59090.509244091503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116803.050812584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6549.7</v>
      </c>
      <c r="W111">
        <f>IF((DiscreteStatsTable[[#This Row],[RepsRequested]]&gt;1),DiscreteStatsTable[[#This Row],[HalfWidth]],DiscreteStatsTable[[#This Row],[BatchMeansHalfWidth]])</f>
        <v>265.60922323549289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>
        <f>IF(DiscreteStatsTable[[#This Row],[RepsRequested]]=DiscreteStatsTable[[#This Row],[RepsWithStatObserved]],1,0)</f>
        <v>1</v>
      </c>
    </row>
    <row r="112" spans="1:25" x14ac:dyDescent="0.25">
      <c r="A112" t="s">
        <v>67</v>
      </c>
      <c r="B112" t="s">
        <v>243</v>
      </c>
      <c r="C112">
        <v>1</v>
      </c>
      <c r="D112" t="s">
        <v>85</v>
      </c>
      <c r="E112" t="s">
        <v>72</v>
      </c>
      <c r="F112" t="s">
        <v>71</v>
      </c>
      <c r="G112">
        <v>81095.0545885397</v>
      </c>
      <c r="H112">
        <v>3E+20</v>
      </c>
      <c r="I112">
        <v>45.057947770190403</v>
      </c>
      <c r="J112">
        <v>177688.596375975</v>
      </c>
      <c r="K112">
        <v>6545</v>
      </c>
      <c r="L112" t="str">
        <f>DiscreteStatsTable[[#This Row],[ProjectName]]&amp;DiscreteStatsTable[[#This Row],[Name]]&amp;DiscreteStatsTable[[#This Row],[Type]]&amp;DiscreteStatsTable[[#This Row],[Source]]</f>
        <v>Unnamed ProjectMatch 1.Queue3Waiting TimeQueue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81089.790442311642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344.30397503238157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246.30022629256547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80322.790937868805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81461.732866104401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39.787285097176202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178174.15735445099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6549.7</v>
      </c>
      <c r="W112">
        <f>IF((DiscreteStatsTable[[#This Row],[RepsRequested]]&gt;1),DiscreteStatsTable[[#This Row],[HalfWidth]],DiscreteStatsTable[[#This Row],[BatchMeansHalfWidth]])</f>
        <v>246.30022629256547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>
        <f>IF(DiscreteStatsTable[[#This Row],[RepsRequested]]=DiscreteStatsTable[[#This Row],[RepsWithStatObserved]],1,0)</f>
        <v>1</v>
      </c>
    </row>
    <row r="113" spans="1:25" x14ac:dyDescent="0.25">
      <c r="A113" t="s">
        <v>67</v>
      </c>
      <c r="B113" t="s">
        <v>243</v>
      </c>
      <c r="C113">
        <v>2</v>
      </c>
      <c r="D113" t="s">
        <v>85</v>
      </c>
      <c r="E113" t="s">
        <v>72</v>
      </c>
      <c r="F113" t="s">
        <v>71</v>
      </c>
      <c r="G113">
        <v>80322.790937868805</v>
      </c>
      <c r="H113">
        <v>3E+20</v>
      </c>
      <c r="I113">
        <v>45.057532239807202</v>
      </c>
      <c r="J113">
        <v>176969.381746653</v>
      </c>
      <c r="K113">
        <v>6559</v>
      </c>
      <c r="L113" t="str">
        <f>DiscreteStatsTable[[#This Row],[ProjectName]]&amp;DiscreteStatsTable[[#This Row],[Name]]&amp;DiscreteStatsTable[[#This Row],[Type]]&amp;DiscreteStatsTable[[#This Row],[Source]]</f>
        <v>Unnamed ProjectMatch 1.Queue3Waiting TimeQueue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81089.790442311642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344.30397503238157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246.30022629256547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80322.790937868805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81461.732866104401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39.787285097176202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178174.15735445099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6549.7</v>
      </c>
      <c r="W113">
        <f>IF((DiscreteStatsTable[[#This Row],[RepsRequested]]&gt;1),DiscreteStatsTable[[#This Row],[HalfWidth]],DiscreteStatsTable[[#This Row],[BatchMeansHalfWidth]])</f>
        <v>246.30022629256547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>
        <f>IF(DiscreteStatsTable[[#This Row],[RepsRequested]]=DiscreteStatsTable[[#This Row],[RepsWithStatObserved]],1,0)</f>
        <v>1</v>
      </c>
    </row>
    <row r="114" spans="1:25" x14ac:dyDescent="0.25">
      <c r="A114" t="s">
        <v>67</v>
      </c>
      <c r="B114" t="s">
        <v>243</v>
      </c>
      <c r="C114">
        <v>3</v>
      </c>
      <c r="D114" t="s">
        <v>85</v>
      </c>
      <c r="E114" t="s">
        <v>72</v>
      </c>
      <c r="F114" t="s">
        <v>71</v>
      </c>
      <c r="G114">
        <v>81461.732866104401</v>
      </c>
      <c r="H114">
        <v>3E+20</v>
      </c>
      <c r="I114">
        <v>39.933992064325103</v>
      </c>
      <c r="J114">
        <v>178161.79849766099</v>
      </c>
      <c r="K114">
        <v>6548</v>
      </c>
      <c r="L114" t="str">
        <f>DiscreteStatsTable[[#This Row],[ProjectName]]&amp;DiscreteStatsTable[[#This Row],[Name]]&amp;DiscreteStatsTable[[#This Row],[Type]]&amp;DiscreteStatsTable[[#This Row],[Source]]</f>
        <v>Unnamed ProjectMatch 1.Queue3Waiting TimeQueue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81089.790442311642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344.30397503238157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246.30022629256547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80322.790937868805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81461.732866104401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39.787285097176202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178174.15735445099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6549.7</v>
      </c>
      <c r="W114">
        <f>IF((DiscreteStatsTable[[#This Row],[RepsRequested]]&gt;1),DiscreteStatsTable[[#This Row],[HalfWidth]],DiscreteStatsTable[[#This Row],[BatchMeansHalfWidth]])</f>
        <v>246.30022629256547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>
        <f>IF(DiscreteStatsTable[[#This Row],[RepsRequested]]=DiscreteStatsTable[[#This Row],[RepsWithStatObserved]],1,0)</f>
        <v>1</v>
      </c>
    </row>
    <row r="115" spans="1:25" x14ac:dyDescent="0.25">
      <c r="A115" t="s">
        <v>67</v>
      </c>
      <c r="B115" t="s">
        <v>243</v>
      </c>
      <c r="C115">
        <v>4</v>
      </c>
      <c r="D115" t="s">
        <v>85</v>
      </c>
      <c r="E115" t="s">
        <v>72</v>
      </c>
      <c r="F115" t="s">
        <v>71</v>
      </c>
      <c r="G115">
        <v>81440.761161792601</v>
      </c>
      <c r="H115">
        <v>3E+20</v>
      </c>
      <c r="I115">
        <v>51.174962860259299</v>
      </c>
      <c r="J115">
        <v>178174.15735445099</v>
      </c>
      <c r="K115">
        <v>6543</v>
      </c>
      <c r="L115" t="str">
        <f>DiscreteStatsTable[[#This Row],[ProjectName]]&amp;DiscreteStatsTable[[#This Row],[Name]]&amp;DiscreteStatsTable[[#This Row],[Type]]&amp;DiscreteStatsTable[[#This Row],[Source]]</f>
        <v>Unnamed ProjectMatch 1.Queue3Waiting TimeQueue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81089.790442311642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344.30397503238157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246.30022629256547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80322.790937868805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81461.732866104401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39.787285097176202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178174.15735445099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6549.7</v>
      </c>
      <c r="W115">
        <f>IF((DiscreteStatsTable[[#This Row],[RepsRequested]]&gt;1),DiscreteStatsTable[[#This Row],[HalfWidth]],DiscreteStatsTable[[#This Row],[BatchMeansHalfWidth]])</f>
        <v>246.30022629256547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>
        <f>IF(DiscreteStatsTable[[#This Row],[RepsRequested]]=DiscreteStatsTable[[#This Row],[RepsWithStatObserved]],1,0)</f>
        <v>1</v>
      </c>
    </row>
    <row r="116" spans="1:25" x14ac:dyDescent="0.25">
      <c r="A116" t="s">
        <v>67</v>
      </c>
      <c r="B116" t="s">
        <v>243</v>
      </c>
      <c r="C116">
        <v>5</v>
      </c>
      <c r="D116" t="s">
        <v>85</v>
      </c>
      <c r="E116" t="s">
        <v>72</v>
      </c>
      <c r="F116" t="s">
        <v>71</v>
      </c>
      <c r="G116">
        <v>81329.260269154795</v>
      </c>
      <c r="H116">
        <v>3E+20</v>
      </c>
      <c r="I116">
        <v>49.711660588771302</v>
      </c>
      <c r="J116">
        <v>177779.77199961201</v>
      </c>
      <c r="K116">
        <v>6555</v>
      </c>
      <c r="L116" t="str">
        <f>DiscreteStatsTable[[#This Row],[ProjectName]]&amp;DiscreteStatsTable[[#This Row],[Name]]&amp;DiscreteStatsTable[[#This Row],[Type]]&amp;DiscreteStatsTable[[#This Row],[Source]]</f>
        <v>Unnamed ProjectMatch 1.Queue3Waiting TimeQueue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81089.790442311642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344.30397503238157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246.30022629256547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80322.790937868805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81461.732866104401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39.787285097176202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178174.15735445099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6549.7</v>
      </c>
      <c r="W116">
        <f>IF((DiscreteStatsTable[[#This Row],[RepsRequested]]&gt;1),DiscreteStatsTable[[#This Row],[HalfWidth]],DiscreteStatsTable[[#This Row],[BatchMeansHalfWidth]])</f>
        <v>246.30022629256547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>
        <f>IF(DiscreteStatsTable[[#This Row],[RepsRequested]]=DiscreteStatsTable[[#This Row],[RepsWithStatObserved]],1,0)</f>
        <v>1</v>
      </c>
    </row>
    <row r="117" spans="1:25" x14ac:dyDescent="0.25">
      <c r="A117" t="s">
        <v>67</v>
      </c>
      <c r="B117" t="s">
        <v>243</v>
      </c>
      <c r="C117">
        <v>6</v>
      </c>
      <c r="D117" t="s">
        <v>85</v>
      </c>
      <c r="E117" t="s">
        <v>72</v>
      </c>
      <c r="F117" t="s">
        <v>71</v>
      </c>
      <c r="G117">
        <v>81144.218685939995</v>
      </c>
      <c r="H117">
        <v>3E+20</v>
      </c>
      <c r="I117">
        <v>42.043528397807698</v>
      </c>
      <c r="J117">
        <v>177620.428272138</v>
      </c>
      <c r="K117">
        <v>6551</v>
      </c>
      <c r="L117" t="str">
        <f>DiscreteStatsTable[[#This Row],[ProjectName]]&amp;DiscreteStatsTable[[#This Row],[Name]]&amp;DiscreteStatsTable[[#This Row],[Type]]&amp;DiscreteStatsTable[[#This Row],[Source]]</f>
        <v>Unnamed ProjectMatch 1.Queue3Waiting TimeQueue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81089.790442311642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344.30397503238157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246.30022629256547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80322.790937868805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81461.732866104401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39.787285097176202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178174.15735445099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6549.7</v>
      </c>
      <c r="W117">
        <f>IF((DiscreteStatsTable[[#This Row],[RepsRequested]]&gt;1),DiscreteStatsTable[[#This Row],[HalfWidth]],DiscreteStatsTable[[#This Row],[BatchMeansHalfWidth]])</f>
        <v>246.30022629256547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>
        <f>IF(DiscreteStatsTable[[#This Row],[RepsRequested]]=DiscreteStatsTable[[#This Row],[RepsWithStatObserved]],1,0)</f>
        <v>1</v>
      </c>
    </row>
    <row r="118" spans="1:25" x14ac:dyDescent="0.25">
      <c r="A118" t="s">
        <v>67</v>
      </c>
      <c r="B118" t="s">
        <v>243</v>
      </c>
      <c r="C118">
        <v>7</v>
      </c>
      <c r="D118" t="s">
        <v>85</v>
      </c>
      <c r="E118" t="s">
        <v>72</v>
      </c>
      <c r="F118" t="s">
        <v>71</v>
      </c>
      <c r="G118">
        <v>80754.008036148996</v>
      </c>
      <c r="H118">
        <v>3E+20</v>
      </c>
      <c r="I118">
        <v>47.042963828898799</v>
      </c>
      <c r="J118">
        <v>177548.911277081</v>
      </c>
      <c r="K118">
        <v>6555</v>
      </c>
      <c r="L118" t="str">
        <f>DiscreteStatsTable[[#This Row],[ProjectName]]&amp;DiscreteStatsTable[[#This Row],[Name]]&amp;DiscreteStatsTable[[#This Row],[Type]]&amp;DiscreteStatsTable[[#This Row],[Source]]</f>
        <v>Unnamed ProjectMatch 1.Queue3Waiting TimeQueue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81089.790442311642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344.30397503238157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246.30022629256547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80322.790937868805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81461.732866104401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39.787285097176202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178174.15735445099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6549.7</v>
      </c>
      <c r="W118">
        <f>IF((DiscreteStatsTable[[#This Row],[RepsRequested]]&gt;1),DiscreteStatsTable[[#This Row],[HalfWidth]],DiscreteStatsTable[[#This Row],[BatchMeansHalfWidth]])</f>
        <v>246.30022629256547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>
        <f>IF(DiscreteStatsTable[[#This Row],[RepsRequested]]=DiscreteStatsTable[[#This Row],[RepsWithStatObserved]],1,0)</f>
        <v>1</v>
      </c>
    </row>
    <row r="119" spans="1:25" x14ac:dyDescent="0.25">
      <c r="A119" t="s">
        <v>67</v>
      </c>
      <c r="B119" t="s">
        <v>243</v>
      </c>
      <c r="C119">
        <v>8</v>
      </c>
      <c r="D119" t="s">
        <v>85</v>
      </c>
      <c r="E119" t="s">
        <v>72</v>
      </c>
      <c r="F119" t="s">
        <v>71</v>
      </c>
      <c r="G119">
        <v>80950.686681289706</v>
      </c>
      <c r="H119">
        <v>3E+20</v>
      </c>
      <c r="I119">
        <v>43.958239669515002</v>
      </c>
      <c r="J119">
        <v>177468.73084656399</v>
      </c>
      <c r="K119">
        <v>6548</v>
      </c>
      <c r="L119" t="str">
        <f>DiscreteStatsTable[[#This Row],[ProjectName]]&amp;DiscreteStatsTable[[#This Row],[Name]]&amp;DiscreteStatsTable[[#This Row],[Type]]&amp;DiscreteStatsTable[[#This Row],[Source]]</f>
        <v>Unnamed ProjectMatch 1.Queue3Waiting TimeQueue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81089.790442311642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344.30397503238157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246.30022629256547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80322.790937868805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81461.732866104401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39.787285097176202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178174.15735445099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6549.7</v>
      </c>
      <c r="W119">
        <f>IF((DiscreteStatsTable[[#This Row],[RepsRequested]]&gt;1),DiscreteStatsTable[[#This Row],[HalfWidth]],DiscreteStatsTable[[#This Row],[BatchMeansHalfWidth]])</f>
        <v>246.30022629256547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>
        <f>IF(DiscreteStatsTable[[#This Row],[RepsRequested]]=DiscreteStatsTable[[#This Row],[RepsWithStatObserved]],1,0)</f>
        <v>1</v>
      </c>
    </row>
    <row r="120" spans="1:25" x14ac:dyDescent="0.25">
      <c r="A120" t="s">
        <v>67</v>
      </c>
      <c r="B120" t="s">
        <v>243</v>
      </c>
      <c r="C120">
        <v>9</v>
      </c>
      <c r="D120" t="s">
        <v>85</v>
      </c>
      <c r="E120" t="s">
        <v>72</v>
      </c>
      <c r="F120" t="s">
        <v>71</v>
      </c>
      <c r="G120">
        <v>81215.558803374195</v>
      </c>
      <c r="H120">
        <v>3E+20</v>
      </c>
      <c r="I120">
        <v>51.9677571756365</v>
      </c>
      <c r="J120">
        <v>177857.01252728401</v>
      </c>
      <c r="K120">
        <v>6552</v>
      </c>
      <c r="L120" t="str">
        <f>DiscreteStatsTable[[#This Row],[ProjectName]]&amp;DiscreteStatsTable[[#This Row],[Name]]&amp;DiscreteStatsTable[[#This Row],[Type]]&amp;DiscreteStatsTable[[#This Row],[Source]]</f>
        <v>Unnamed ProjectMatch 1.Queue3Waiting TimeQueue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81089.790442311642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344.30397503238157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246.30022629256547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80322.790937868805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81461.732866104401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39.787285097176202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178174.15735445099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6549.7</v>
      </c>
      <c r="W120">
        <f>IF((DiscreteStatsTable[[#This Row],[RepsRequested]]&gt;1),DiscreteStatsTable[[#This Row],[HalfWidth]],DiscreteStatsTable[[#This Row],[BatchMeansHalfWidth]])</f>
        <v>246.30022629256547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>
        <f>IF(DiscreteStatsTable[[#This Row],[RepsRequested]]=DiscreteStatsTable[[#This Row],[RepsWithStatObserved]],1,0)</f>
        <v>1</v>
      </c>
    </row>
    <row r="121" spans="1:25" x14ac:dyDescent="0.25">
      <c r="A121" t="s">
        <v>67</v>
      </c>
      <c r="B121" t="s">
        <v>243</v>
      </c>
      <c r="C121">
        <v>10</v>
      </c>
      <c r="D121" t="s">
        <v>85</v>
      </c>
      <c r="E121" t="s">
        <v>72</v>
      </c>
      <c r="F121" t="s">
        <v>71</v>
      </c>
      <c r="G121">
        <v>81183.832392903205</v>
      </c>
      <c r="H121">
        <v>3E+20</v>
      </c>
      <c r="I121">
        <v>39.787285097176202</v>
      </c>
      <c r="J121">
        <v>177899.38078940101</v>
      </c>
      <c r="K121">
        <v>6541</v>
      </c>
      <c r="L121" t="str">
        <f>DiscreteStatsTable[[#This Row],[ProjectName]]&amp;DiscreteStatsTable[[#This Row],[Name]]&amp;DiscreteStatsTable[[#This Row],[Type]]&amp;DiscreteStatsTable[[#This Row],[Source]]</f>
        <v>Unnamed ProjectMatch 1.Queue3Waiting TimeQueue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81089.790442311642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344.30397503238157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246.30022629256547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80322.790937868805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81461.732866104401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39.787285097176202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178174.15735445099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6549.7</v>
      </c>
      <c r="W121">
        <f>IF((DiscreteStatsTable[[#This Row],[RepsRequested]]&gt;1),DiscreteStatsTable[[#This Row],[HalfWidth]],DiscreteStatsTable[[#This Row],[BatchMeansHalfWidth]])</f>
        <v>246.30022629256547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>
        <f>IF(DiscreteStatsTable[[#This Row],[RepsRequested]]=DiscreteStatsTable[[#This Row],[RepsWithStatObserved]],1,0)</f>
        <v>1</v>
      </c>
    </row>
    <row r="122" spans="1:25" x14ac:dyDescent="0.25">
      <c r="A122" t="s">
        <v>67</v>
      </c>
      <c r="B122" t="s">
        <v>243</v>
      </c>
      <c r="C122">
        <v>1</v>
      </c>
      <c r="D122" t="s">
        <v>86</v>
      </c>
      <c r="E122" t="s">
        <v>88</v>
      </c>
      <c r="F122" t="s">
        <v>87</v>
      </c>
      <c r="G122">
        <v>11.992805765788701</v>
      </c>
      <c r="H122">
        <v>3E+20</v>
      </c>
      <c r="I122">
        <v>8.0548468733177305</v>
      </c>
      <c r="J122">
        <v>15.988991653197401</v>
      </c>
      <c r="K122">
        <v>13094</v>
      </c>
      <c r="L122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122" cm="1">
        <f t="array" ref="M122">MAX(IF((ProjectInfoTable[ProjectName]=DiscreteStatsTable[[#This Row],[ProjectName]]),(ProjectInfoTable[ProjectName]=DiscreteStatsTable[[#This Row],[ProjectName]])*ProjectInfoTable[NumberOfReplications]))</f>
        <v>10</v>
      </c>
      <c r="N122" cm="1">
        <f t="array" ref="N122">IFERROR(AVERAGE(IF((DiscreteStatsTable[GroupByKey]=DiscreteStatsTable[[#This Row],[GroupByKey]]),(DiscreteStatsTable[GroupByKey]=DiscreteStatsTable[[#This Row],[GroupByKey]])*DiscreteStatsTable[Average])),0)</f>
        <v>11.991749290187201</v>
      </c>
      <c r="O122" cm="1">
        <f t="array" ref="O122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22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22" cm="1">
        <f t="array" ref="R122">MIN(IF((DiscreteStatsTable[GroupByKey]=DiscreteStatsTable[[#This Row],[GroupByKey]]),(DiscreteStatsTable[GroupByKey]=DiscreteStatsTable[[#This Row],[GroupByKey]])*DiscreteStatsTable[Average]))</f>
        <v>11.9657106276518</v>
      </c>
      <c r="S122" cm="1">
        <f t="array" ref="S122">MAX(IF((DiscreteStatsTable[GroupByKey]=DiscreteStatsTable[[#This Row],[GroupByKey]]),(DiscreteStatsTable[GroupByKey]=DiscreteStatsTable[[#This Row],[GroupByKey]])*DiscreteStatsTable[Average]))</f>
        <v>12.018010195507999</v>
      </c>
      <c r="T122" cm="1">
        <f t="array" ref="T122">MIN(IF((DiscreteStatsTable[GroupByKey]=DiscreteStatsTable[[#This Row],[GroupByKey]]),(DiscreteStatsTable[GroupByKey]=DiscreteStatsTable[[#This Row],[GroupByKey]])*DiscreteStatsTable[Minimum]))</f>
        <v>8.0268919270602108</v>
      </c>
      <c r="U122" cm="1">
        <f t="array" ref="U122">MAX(IF((DiscreteStatsTable[GroupByKey]=DiscreteStatsTable[[#This Row],[GroupByKey]]),(DiscreteStatsTable[GroupByKey]=DiscreteStatsTable[[#This Row],[GroupByKey]])*DiscreteStatsTable[Maximum]))</f>
        <v>15.988991653197401</v>
      </c>
      <c r="V122" cm="1">
        <f t="array" ref="V122">IFERROR(AVERAGE(IF((DiscreteStatsTable[GroupByKey]=DiscreteStatsTable[[#This Row],[GroupByKey]]),(DiscreteStatsTable[GroupByKey]=DiscreteStatsTable[[#This Row],[GroupByKey]])*DiscreteStatsTable[NumberObservations])),0)</f>
        <v>13103.5</v>
      </c>
      <c r="W122">
        <f>IF((DiscreteStatsTable[[#This Row],[RepsRequested]]&gt;1),DiscreteStatsTable[[#This Row],[HalfWidth]],DiscreteStatsTable[[#This Row],[BatchMeansHalfWidth]])</f>
        <v>1.2157469171512588E-2</v>
      </c>
      <c r="X122" cm="1">
        <f t="array" ref="X122">COUNT(IF((DiscreteStatsTable[GroupByKey]=DiscreteStatsTable[[#This Row],[GroupByKey]]),(DiscreteStatsTable[GroupByKey]=DiscreteStatsTable[[#This Row],[GroupByKey]])*DiscreteStatsTable[Replication]))</f>
        <v>10</v>
      </c>
      <c r="Y122">
        <f>IF(DiscreteStatsTable[[#This Row],[RepsRequested]]=DiscreteStatsTable[[#This Row],[RepsWithStatObserved]],1,0)</f>
        <v>1</v>
      </c>
    </row>
    <row r="123" spans="1:25" x14ac:dyDescent="0.25">
      <c r="A123" t="s">
        <v>67</v>
      </c>
      <c r="B123" t="s">
        <v>243</v>
      </c>
      <c r="C123">
        <v>1</v>
      </c>
      <c r="D123" t="s">
        <v>86</v>
      </c>
      <c r="E123" t="s">
        <v>89</v>
      </c>
      <c r="F123" t="s">
        <v>87</v>
      </c>
      <c r="G123">
        <v>11.992805765788701</v>
      </c>
      <c r="H123">
        <v>3E+20</v>
      </c>
      <c r="I123">
        <v>8.0548468733177305</v>
      </c>
      <c r="J123">
        <v>15.988991653197401</v>
      </c>
      <c r="K123">
        <v>13094</v>
      </c>
      <c r="L123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123" cm="1">
        <f t="array" ref="M123">MAX(IF((ProjectInfoTable[ProjectName]=DiscreteStatsTable[[#This Row],[ProjectName]]),(ProjectInfoTable[ProjectName]=DiscreteStatsTable[[#This Row],[ProjectName]])*ProjectInfoTable[NumberOfReplications]))</f>
        <v>10</v>
      </c>
      <c r="N123" cm="1">
        <f t="array" ref="N123">IFERROR(AVERAGE(IF((DiscreteStatsTable[GroupByKey]=DiscreteStatsTable[[#This Row],[GroupByKey]]),(DiscreteStatsTable[GroupByKey]=DiscreteStatsTable[[#This Row],[GroupByKey]])*DiscreteStatsTable[Average])),0)</f>
        <v>11.991749290187201</v>
      </c>
      <c r="O123" cm="1">
        <f t="array" ref="O123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23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23" cm="1">
        <f t="array" ref="R123">MIN(IF((DiscreteStatsTable[GroupByKey]=DiscreteStatsTable[[#This Row],[GroupByKey]]),(DiscreteStatsTable[GroupByKey]=DiscreteStatsTable[[#This Row],[GroupByKey]])*DiscreteStatsTable[Average]))</f>
        <v>11.9657106276518</v>
      </c>
      <c r="S123" cm="1">
        <f t="array" ref="S123">MAX(IF((DiscreteStatsTable[GroupByKey]=DiscreteStatsTable[[#This Row],[GroupByKey]]),(DiscreteStatsTable[GroupByKey]=DiscreteStatsTable[[#This Row],[GroupByKey]])*DiscreteStatsTable[Average]))</f>
        <v>12.018010195507999</v>
      </c>
      <c r="T123" cm="1">
        <f t="array" ref="T123">MIN(IF((DiscreteStatsTable[GroupByKey]=DiscreteStatsTable[[#This Row],[GroupByKey]]),(DiscreteStatsTable[GroupByKey]=DiscreteStatsTable[[#This Row],[GroupByKey]])*DiscreteStatsTable[Minimum]))</f>
        <v>8.0268919270602108</v>
      </c>
      <c r="U123" cm="1">
        <f t="array" ref="U123">MAX(IF((DiscreteStatsTable[GroupByKey]=DiscreteStatsTable[[#This Row],[GroupByKey]]),(DiscreteStatsTable[GroupByKey]=DiscreteStatsTable[[#This Row],[GroupByKey]])*DiscreteStatsTable[Maximum]))</f>
        <v>15.988991653197401</v>
      </c>
      <c r="V123" cm="1">
        <f t="array" ref="V123">IFERROR(AVERAGE(IF((DiscreteStatsTable[GroupByKey]=DiscreteStatsTable[[#This Row],[GroupByKey]]),(DiscreteStatsTable[GroupByKey]=DiscreteStatsTable[[#This Row],[GroupByKey]])*DiscreteStatsTable[NumberObservations])),0)</f>
        <v>13103.5</v>
      </c>
      <c r="W123">
        <f>IF((DiscreteStatsTable[[#This Row],[RepsRequested]]&gt;1),DiscreteStatsTable[[#This Row],[HalfWidth]],DiscreteStatsTable[[#This Row],[BatchMeansHalfWidth]])</f>
        <v>1.2157469171512588E-2</v>
      </c>
      <c r="X123" cm="1">
        <f t="array" ref="X123">COUNT(IF((DiscreteStatsTable[GroupByKey]=DiscreteStatsTable[[#This Row],[GroupByKey]]),(DiscreteStatsTable[GroupByKey]=DiscreteStatsTable[[#This Row],[GroupByKey]])*DiscreteStatsTable[Replication]))</f>
        <v>10</v>
      </c>
      <c r="Y123">
        <f>IF(DiscreteStatsTable[[#This Row],[RepsRequested]]=DiscreteStatsTable[[#This Row],[RepsWithStatObserved]],1,0)</f>
        <v>1</v>
      </c>
    </row>
    <row r="124" spans="1:25" x14ac:dyDescent="0.25">
      <c r="A124" t="s">
        <v>67</v>
      </c>
      <c r="B124" t="s">
        <v>243</v>
      </c>
      <c r="C124">
        <v>2</v>
      </c>
      <c r="D124" t="s">
        <v>86</v>
      </c>
      <c r="E124" t="s">
        <v>88</v>
      </c>
      <c r="F124" t="s">
        <v>87</v>
      </c>
      <c r="G124">
        <v>11.968134505713</v>
      </c>
      <c r="H124">
        <v>2.8121669142907001E-2</v>
      </c>
      <c r="I124">
        <v>8.0565354931168294</v>
      </c>
      <c r="J124">
        <v>15.953494974586601</v>
      </c>
      <c r="K124">
        <v>13120</v>
      </c>
      <c r="L124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124" cm="1">
        <f t="array" ref="M124">MAX(IF((ProjectInfoTable[ProjectName]=DiscreteStatsTable[[#This Row],[ProjectName]]),(ProjectInfoTable[ProjectName]=DiscreteStatsTable[[#This Row],[ProjectName]])*ProjectInfoTable[NumberOfReplications]))</f>
        <v>10</v>
      </c>
      <c r="N124" cm="1">
        <f t="array" ref="N124">IFERROR(AVERAGE(IF((DiscreteStatsTable[GroupByKey]=DiscreteStatsTable[[#This Row],[GroupByKey]]),(DiscreteStatsTable[GroupByKey]=DiscreteStatsTable[[#This Row],[GroupByKey]])*DiscreteStatsTable[Average])),0)</f>
        <v>11.991749290187201</v>
      </c>
      <c r="O124" cm="1">
        <f t="array" ref="O124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24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24" cm="1">
        <f t="array" ref="R124">MIN(IF((DiscreteStatsTable[GroupByKey]=DiscreteStatsTable[[#This Row],[GroupByKey]]),(DiscreteStatsTable[GroupByKey]=DiscreteStatsTable[[#This Row],[GroupByKey]])*DiscreteStatsTable[Average]))</f>
        <v>11.9657106276518</v>
      </c>
      <c r="S124" cm="1">
        <f t="array" ref="S124">MAX(IF((DiscreteStatsTable[GroupByKey]=DiscreteStatsTable[[#This Row],[GroupByKey]]),(DiscreteStatsTable[GroupByKey]=DiscreteStatsTable[[#This Row],[GroupByKey]])*DiscreteStatsTable[Average]))</f>
        <v>12.018010195507999</v>
      </c>
      <c r="T124" cm="1">
        <f t="array" ref="T124">MIN(IF((DiscreteStatsTable[GroupByKey]=DiscreteStatsTable[[#This Row],[GroupByKey]]),(DiscreteStatsTable[GroupByKey]=DiscreteStatsTable[[#This Row],[GroupByKey]])*DiscreteStatsTable[Minimum]))</f>
        <v>8.0268919270602108</v>
      </c>
      <c r="U124" cm="1">
        <f t="array" ref="U124">MAX(IF((DiscreteStatsTable[GroupByKey]=DiscreteStatsTable[[#This Row],[GroupByKey]]),(DiscreteStatsTable[GroupByKey]=DiscreteStatsTable[[#This Row],[GroupByKey]])*DiscreteStatsTable[Maximum]))</f>
        <v>15.988991653197401</v>
      </c>
      <c r="V124" cm="1">
        <f t="array" ref="V124">IFERROR(AVERAGE(IF((DiscreteStatsTable[GroupByKey]=DiscreteStatsTable[[#This Row],[GroupByKey]]),(DiscreteStatsTable[GroupByKey]=DiscreteStatsTable[[#This Row],[GroupByKey]])*DiscreteStatsTable[NumberObservations])),0)</f>
        <v>13103.5</v>
      </c>
      <c r="W124">
        <f>IF((DiscreteStatsTable[[#This Row],[RepsRequested]]&gt;1),DiscreteStatsTable[[#This Row],[HalfWidth]],DiscreteStatsTable[[#This Row],[BatchMeansHalfWidth]])</f>
        <v>1.2157469171512588E-2</v>
      </c>
      <c r="X124" cm="1">
        <f t="array" ref="X124">COUNT(IF((DiscreteStatsTable[GroupByKey]=DiscreteStatsTable[[#This Row],[GroupByKey]]),(DiscreteStatsTable[GroupByKey]=DiscreteStatsTable[[#This Row],[GroupByKey]])*DiscreteStatsTable[Replication]))</f>
        <v>10</v>
      </c>
      <c r="Y124">
        <f>IF(DiscreteStatsTable[[#This Row],[RepsRequested]]=DiscreteStatsTable[[#This Row],[RepsWithStatObserved]],1,0)</f>
        <v>1</v>
      </c>
    </row>
    <row r="125" spans="1:25" x14ac:dyDescent="0.25">
      <c r="A125" t="s">
        <v>67</v>
      </c>
      <c r="B125" t="s">
        <v>243</v>
      </c>
      <c r="C125">
        <v>2</v>
      </c>
      <c r="D125" t="s">
        <v>86</v>
      </c>
      <c r="E125" t="s">
        <v>89</v>
      </c>
      <c r="F125" t="s">
        <v>87</v>
      </c>
      <c r="G125">
        <v>11.968134505713</v>
      </c>
      <c r="H125">
        <v>2.8121669142907001E-2</v>
      </c>
      <c r="I125">
        <v>8.0565354931168294</v>
      </c>
      <c r="J125">
        <v>15.953494974586601</v>
      </c>
      <c r="K125">
        <v>13120</v>
      </c>
      <c r="L125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125" cm="1">
        <f t="array" ref="M125">MAX(IF((ProjectInfoTable[ProjectName]=DiscreteStatsTable[[#This Row],[ProjectName]]),(ProjectInfoTable[ProjectName]=DiscreteStatsTable[[#This Row],[ProjectName]])*ProjectInfoTable[NumberOfReplications]))</f>
        <v>10</v>
      </c>
      <c r="N125" cm="1">
        <f t="array" ref="N125">IFERROR(AVERAGE(IF((DiscreteStatsTable[GroupByKey]=DiscreteStatsTable[[#This Row],[GroupByKey]]),(DiscreteStatsTable[GroupByKey]=DiscreteStatsTable[[#This Row],[GroupByKey]])*DiscreteStatsTable[Average])),0)</f>
        <v>11.991749290187201</v>
      </c>
      <c r="O125" cm="1">
        <f t="array" ref="O125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2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25" cm="1">
        <f t="array" ref="R125">MIN(IF((DiscreteStatsTable[GroupByKey]=DiscreteStatsTable[[#This Row],[GroupByKey]]),(DiscreteStatsTable[GroupByKey]=DiscreteStatsTable[[#This Row],[GroupByKey]])*DiscreteStatsTable[Average]))</f>
        <v>11.9657106276518</v>
      </c>
      <c r="S125" cm="1">
        <f t="array" ref="S125">MAX(IF((DiscreteStatsTable[GroupByKey]=DiscreteStatsTable[[#This Row],[GroupByKey]]),(DiscreteStatsTable[GroupByKey]=DiscreteStatsTable[[#This Row],[GroupByKey]])*DiscreteStatsTable[Average]))</f>
        <v>12.018010195507999</v>
      </c>
      <c r="T125" cm="1">
        <f t="array" ref="T125">MIN(IF((DiscreteStatsTable[GroupByKey]=DiscreteStatsTable[[#This Row],[GroupByKey]]),(DiscreteStatsTable[GroupByKey]=DiscreteStatsTable[[#This Row],[GroupByKey]])*DiscreteStatsTable[Minimum]))</f>
        <v>8.0268919270602108</v>
      </c>
      <c r="U125" cm="1">
        <f t="array" ref="U125">MAX(IF((DiscreteStatsTable[GroupByKey]=DiscreteStatsTable[[#This Row],[GroupByKey]]),(DiscreteStatsTable[GroupByKey]=DiscreteStatsTable[[#This Row],[GroupByKey]])*DiscreteStatsTable[Maximum]))</f>
        <v>15.988991653197401</v>
      </c>
      <c r="V125" cm="1">
        <f t="array" ref="V125">IFERROR(AVERAGE(IF((DiscreteStatsTable[GroupByKey]=DiscreteStatsTable[[#This Row],[GroupByKey]]),(DiscreteStatsTable[GroupByKey]=DiscreteStatsTable[[#This Row],[GroupByKey]])*DiscreteStatsTable[NumberObservations])),0)</f>
        <v>13103.5</v>
      </c>
      <c r="W125">
        <f>IF((DiscreteStatsTable[[#This Row],[RepsRequested]]&gt;1),DiscreteStatsTable[[#This Row],[HalfWidth]],DiscreteStatsTable[[#This Row],[BatchMeansHalfWidth]])</f>
        <v>1.2157469171512588E-2</v>
      </c>
      <c r="X125" cm="1">
        <f t="array" ref="X125">COUNT(IF((DiscreteStatsTable[GroupByKey]=DiscreteStatsTable[[#This Row],[GroupByKey]]),(DiscreteStatsTable[GroupByKey]=DiscreteStatsTable[[#This Row],[GroupByKey]])*DiscreteStatsTable[Replication]))</f>
        <v>10</v>
      </c>
      <c r="Y125">
        <f>IF(DiscreteStatsTable[[#This Row],[RepsRequested]]=DiscreteStatsTable[[#This Row],[RepsWithStatObserved]],1,0)</f>
        <v>1</v>
      </c>
    </row>
    <row r="126" spans="1:25" x14ac:dyDescent="0.25">
      <c r="A126" t="s">
        <v>67</v>
      </c>
      <c r="B126" t="s">
        <v>243</v>
      </c>
      <c r="C126">
        <v>3</v>
      </c>
      <c r="D126" t="s">
        <v>86</v>
      </c>
      <c r="E126" t="s">
        <v>88</v>
      </c>
      <c r="F126" t="s">
        <v>87</v>
      </c>
      <c r="G126">
        <v>12.0011047525471</v>
      </c>
      <c r="H126">
        <v>2.5545032888844799E-2</v>
      </c>
      <c r="I126">
        <v>8.0617535858182201</v>
      </c>
      <c r="J126">
        <v>15.9791944405588</v>
      </c>
      <c r="K126">
        <v>13101</v>
      </c>
      <c r="L126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126" cm="1">
        <f t="array" ref="M126">MAX(IF((ProjectInfoTable[ProjectName]=DiscreteStatsTable[[#This Row],[ProjectName]]),(ProjectInfoTable[ProjectName]=DiscreteStatsTable[[#This Row],[ProjectName]])*ProjectInfoTable[NumberOfReplications]))</f>
        <v>10</v>
      </c>
      <c r="N126" cm="1">
        <f t="array" ref="N126">IFERROR(AVERAGE(IF((DiscreteStatsTable[GroupByKey]=DiscreteStatsTable[[#This Row],[GroupByKey]]),(DiscreteStatsTable[GroupByKey]=DiscreteStatsTable[[#This Row],[GroupByKey]])*DiscreteStatsTable[Average])),0)</f>
        <v>11.991749290187201</v>
      </c>
      <c r="O126" cm="1">
        <f t="array" ref="O126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26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26" cm="1">
        <f t="array" ref="R126">MIN(IF((DiscreteStatsTable[GroupByKey]=DiscreteStatsTable[[#This Row],[GroupByKey]]),(DiscreteStatsTable[GroupByKey]=DiscreteStatsTable[[#This Row],[GroupByKey]])*DiscreteStatsTable[Average]))</f>
        <v>11.9657106276518</v>
      </c>
      <c r="S126" cm="1">
        <f t="array" ref="S126">MAX(IF((DiscreteStatsTable[GroupByKey]=DiscreteStatsTable[[#This Row],[GroupByKey]]),(DiscreteStatsTable[GroupByKey]=DiscreteStatsTable[[#This Row],[GroupByKey]])*DiscreteStatsTable[Average]))</f>
        <v>12.018010195507999</v>
      </c>
      <c r="T126" cm="1">
        <f t="array" ref="T126">MIN(IF((DiscreteStatsTable[GroupByKey]=DiscreteStatsTable[[#This Row],[GroupByKey]]),(DiscreteStatsTable[GroupByKey]=DiscreteStatsTable[[#This Row],[GroupByKey]])*DiscreteStatsTable[Minimum]))</f>
        <v>8.0268919270602108</v>
      </c>
      <c r="U126" cm="1">
        <f t="array" ref="U126">MAX(IF((DiscreteStatsTable[GroupByKey]=DiscreteStatsTable[[#This Row],[GroupByKey]]),(DiscreteStatsTable[GroupByKey]=DiscreteStatsTable[[#This Row],[GroupByKey]])*DiscreteStatsTable[Maximum]))</f>
        <v>15.988991653197401</v>
      </c>
      <c r="V126" cm="1">
        <f t="array" ref="V126">IFERROR(AVERAGE(IF((DiscreteStatsTable[GroupByKey]=DiscreteStatsTable[[#This Row],[GroupByKey]]),(DiscreteStatsTable[GroupByKey]=DiscreteStatsTable[[#This Row],[GroupByKey]])*DiscreteStatsTable[NumberObservations])),0)</f>
        <v>13103.5</v>
      </c>
      <c r="W126">
        <f>IF((DiscreteStatsTable[[#This Row],[RepsRequested]]&gt;1),DiscreteStatsTable[[#This Row],[HalfWidth]],DiscreteStatsTable[[#This Row],[BatchMeansHalfWidth]])</f>
        <v>1.2157469171512588E-2</v>
      </c>
      <c r="X126" cm="1">
        <f t="array" ref="X126">COUNT(IF((DiscreteStatsTable[GroupByKey]=DiscreteStatsTable[[#This Row],[GroupByKey]]),(DiscreteStatsTable[GroupByKey]=DiscreteStatsTable[[#This Row],[GroupByKey]])*DiscreteStatsTable[Replication]))</f>
        <v>10</v>
      </c>
      <c r="Y126">
        <f>IF(DiscreteStatsTable[[#This Row],[RepsRequested]]=DiscreteStatsTable[[#This Row],[RepsWithStatObserved]],1,0)</f>
        <v>1</v>
      </c>
    </row>
    <row r="127" spans="1:25" x14ac:dyDescent="0.25">
      <c r="A127" t="s">
        <v>67</v>
      </c>
      <c r="B127" t="s">
        <v>243</v>
      </c>
      <c r="C127">
        <v>3</v>
      </c>
      <c r="D127" t="s">
        <v>86</v>
      </c>
      <c r="E127" t="s">
        <v>89</v>
      </c>
      <c r="F127" t="s">
        <v>87</v>
      </c>
      <c r="G127">
        <v>12.0011047525471</v>
      </c>
      <c r="H127">
        <v>2.5545032888844799E-2</v>
      </c>
      <c r="I127">
        <v>8.0617535858182201</v>
      </c>
      <c r="J127">
        <v>15.9791944405588</v>
      </c>
      <c r="K127">
        <v>13101</v>
      </c>
      <c r="L127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127" cm="1">
        <f t="array" ref="M127">MAX(IF((ProjectInfoTable[ProjectName]=DiscreteStatsTable[[#This Row],[ProjectName]]),(ProjectInfoTable[ProjectName]=DiscreteStatsTable[[#This Row],[ProjectName]])*ProjectInfoTable[NumberOfReplications]))</f>
        <v>10</v>
      </c>
      <c r="N127" cm="1">
        <f t="array" ref="N127">IFERROR(AVERAGE(IF((DiscreteStatsTable[GroupByKey]=DiscreteStatsTable[[#This Row],[GroupByKey]]),(DiscreteStatsTable[GroupByKey]=DiscreteStatsTable[[#This Row],[GroupByKey]])*DiscreteStatsTable[Average])),0)</f>
        <v>11.991749290187201</v>
      </c>
      <c r="O127" cm="1">
        <f t="array" ref="O127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27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27" cm="1">
        <f t="array" ref="R127">MIN(IF((DiscreteStatsTable[GroupByKey]=DiscreteStatsTable[[#This Row],[GroupByKey]]),(DiscreteStatsTable[GroupByKey]=DiscreteStatsTable[[#This Row],[GroupByKey]])*DiscreteStatsTable[Average]))</f>
        <v>11.9657106276518</v>
      </c>
      <c r="S127" cm="1">
        <f t="array" ref="S127">MAX(IF((DiscreteStatsTable[GroupByKey]=DiscreteStatsTable[[#This Row],[GroupByKey]]),(DiscreteStatsTable[GroupByKey]=DiscreteStatsTable[[#This Row],[GroupByKey]])*DiscreteStatsTable[Average]))</f>
        <v>12.018010195507999</v>
      </c>
      <c r="T127" cm="1">
        <f t="array" ref="T127">MIN(IF((DiscreteStatsTable[GroupByKey]=DiscreteStatsTable[[#This Row],[GroupByKey]]),(DiscreteStatsTable[GroupByKey]=DiscreteStatsTable[[#This Row],[GroupByKey]])*DiscreteStatsTable[Minimum]))</f>
        <v>8.0268919270602108</v>
      </c>
      <c r="U127" cm="1">
        <f t="array" ref="U127">MAX(IF((DiscreteStatsTable[GroupByKey]=DiscreteStatsTable[[#This Row],[GroupByKey]]),(DiscreteStatsTable[GroupByKey]=DiscreteStatsTable[[#This Row],[GroupByKey]])*DiscreteStatsTable[Maximum]))</f>
        <v>15.988991653197401</v>
      </c>
      <c r="V127" cm="1">
        <f t="array" ref="V127">IFERROR(AVERAGE(IF((DiscreteStatsTable[GroupByKey]=DiscreteStatsTable[[#This Row],[GroupByKey]]),(DiscreteStatsTable[GroupByKey]=DiscreteStatsTable[[#This Row],[GroupByKey]])*DiscreteStatsTable[NumberObservations])),0)</f>
        <v>13103.5</v>
      </c>
      <c r="W127">
        <f>IF((DiscreteStatsTable[[#This Row],[RepsRequested]]&gt;1),DiscreteStatsTable[[#This Row],[HalfWidth]],DiscreteStatsTable[[#This Row],[BatchMeansHalfWidth]])</f>
        <v>1.2157469171512588E-2</v>
      </c>
      <c r="X127" cm="1">
        <f t="array" ref="X127">COUNT(IF((DiscreteStatsTable[GroupByKey]=DiscreteStatsTable[[#This Row],[GroupByKey]]),(DiscreteStatsTable[GroupByKey]=DiscreteStatsTable[[#This Row],[GroupByKey]])*DiscreteStatsTable[Replication]))</f>
        <v>10</v>
      </c>
      <c r="Y127">
        <f>IF(DiscreteStatsTable[[#This Row],[RepsRequested]]=DiscreteStatsTable[[#This Row],[RepsWithStatObserved]],1,0)</f>
        <v>1</v>
      </c>
    </row>
    <row r="128" spans="1:25" x14ac:dyDescent="0.25">
      <c r="A128" t="s">
        <v>67</v>
      </c>
      <c r="B128" t="s">
        <v>243</v>
      </c>
      <c r="C128">
        <v>4</v>
      </c>
      <c r="D128" t="s">
        <v>86</v>
      </c>
      <c r="E128" t="s">
        <v>88</v>
      </c>
      <c r="F128" t="s">
        <v>87</v>
      </c>
      <c r="G128">
        <v>12.018010195507999</v>
      </c>
      <c r="H128">
        <v>2.14048949781067E-2</v>
      </c>
      <c r="I128">
        <v>8.0363863743259607</v>
      </c>
      <c r="J128">
        <v>15.965223883162301</v>
      </c>
      <c r="K128">
        <v>13088</v>
      </c>
      <c r="L128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128" cm="1">
        <f t="array" ref="M128">MAX(IF((ProjectInfoTable[ProjectName]=DiscreteStatsTable[[#This Row],[ProjectName]]),(ProjectInfoTable[ProjectName]=DiscreteStatsTable[[#This Row],[ProjectName]])*ProjectInfoTable[NumberOfReplications]))</f>
        <v>10</v>
      </c>
      <c r="N128" cm="1">
        <f t="array" ref="N128">IFERROR(AVERAGE(IF((DiscreteStatsTable[GroupByKey]=DiscreteStatsTable[[#This Row],[GroupByKey]]),(DiscreteStatsTable[GroupByKey]=DiscreteStatsTable[[#This Row],[GroupByKey]])*DiscreteStatsTable[Average])),0)</f>
        <v>11.991749290187201</v>
      </c>
      <c r="O128" cm="1">
        <f t="array" ref="O128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28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28" cm="1">
        <f t="array" ref="R128">MIN(IF((DiscreteStatsTable[GroupByKey]=DiscreteStatsTable[[#This Row],[GroupByKey]]),(DiscreteStatsTable[GroupByKey]=DiscreteStatsTable[[#This Row],[GroupByKey]])*DiscreteStatsTable[Average]))</f>
        <v>11.9657106276518</v>
      </c>
      <c r="S128" cm="1">
        <f t="array" ref="S128">MAX(IF((DiscreteStatsTable[GroupByKey]=DiscreteStatsTable[[#This Row],[GroupByKey]]),(DiscreteStatsTable[GroupByKey]=DiscreteStatsTable[[#This Row],[GroupByKey]])*DiscreteStatsTable[Average]))</f>
        <v>12.018010195507999</v>
      </c>
      <c r="T128" cm="1">
        <f t="array" ref="T128">MIN(IF((DiscreteStatsTable[GroupByKey]=DiscreteStatsTable[[#This Row],[GroupByKey]]),(DiscreteStatsTable[GroupByKey]=DiscreteStatsTable[[#This Row],[GroupByKey]])*DiscreteStatsTable[Minimum]))</f>
        <v>8.0268919270602108</v>
      </c>
      <c r="U128" cm="1">
        <f t="array" ref="U128">MAX(IF((DiscreteStatsTable[GroupByKey]=DiscreteStatsTable[[#This Row],[GroupByKey]]),(DiscreteStatsTable[GroupByKey]=DiscreteStatsTable[[#This Row],[GroupByKey]])*DiscreteStatsTable[Maximum]))</f>
        <v>15.988991653197401</v>
      </c>
      <c r="V128" cm="1">
        <f t="array" ref="V128">IFERROR(AVERAGE(IF((DiscreteStatsTable[GroupByKey]=DiscreteStatsTable[[#This Row],[GroupByKey]]),(DiscreteStatsTable[GroupByKey]=DiscreteStatsTable[[#This Row],[GroupByKey]])*DiscreteStatsTable[NumberObservations])),0)</f>
        <v>13103.5</v>
      </c>
      <c r="W128">
        <f>IF((DiscreteStatsTable[[#This Row],[RepsRequested]]&gt;1),DiscreteStatsTable[[#This Row],[HalfWidth]],DiscreteStatsTable[[#This Row],[BatchMeansHalfWidth]])</f>
        <v>1.2157469171512588E-2</v>
      </c>
      <c r="X128" cm="1">
        <f t="array" ref="X128">COUNT(IF((DiscreteStatsTable[GroupByKey]=DiscreteStatsTable[[#This Row],[GroupByKey]]),(DiscreteStatsTable[GroupByKey]=DiscreteStatsTable[[#This Row],[GroupByKey]])*DiscreteStatsTable[Replication]))</f>
        <v>10</v>
      </c>
      <c r="Y128">
        <f>IF(DiscreteStatsTable[[#This Row],[RepsRequested]]=DiscreteStatsTable[[#This Row],[RepsWithStatObserved]],1,0)</f>
        <v>1</v>
      </c>
    </row>
    <row r="129" spans="1:25" x14ac:dyDescent="0.25">
      <c r="A129" t="s">
        <v>67</v>
      </c>
      <c r="B129" t="s">
        <v>243</v>
      </c>
      <c r="C129">
        <v>4</v>
      </c>
      <c r="D129" t="s">
        <v>86</v>
      </c>
      <c r="E129" t="s">
        <v>89</v>
      </c>
      <c r="F129" t="s">
        <v>87</v>
      </c>
      <c r="G129">
        <v>12.018010195507999</v>
      </c>
      <c r="H129">
        <v>2.14048949781067E-2</v>
      </c>
      <c r="I129">
        <v>8.0363863743259607</v>
      </c>
      <c r="J129">
        <v>15.965223883162301</v>
      </c>
      <c r="K129">
        <v>13088</v>
      </c>
      <c r="L129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129" cm="1">
        <f t="array" ref="M129">MAX(IF((ProjectInfoTable[ProjectName]=DiscreteStatsTable[[#This Row],[ProjectName]]),(ProjectInfoTable[ProjectName]=DiscreteStatsTable[[#This Row],[ProjectName]])*ProjectInfoTable[NumberOfReplications]))</f>
        <v>10</v>
      </c>
      <c r="N129" cm="1">
        <f t="array" ref="N129">IFERROR(AVERAGE(IF((DiscreteStatsTable[GroupByKey]=DiscreteStatsTable[[#This Row],[GroupByKey]]),(DiscreteStatsTable[GroupByKey]=DiscreteStatsTable[[#This Row],[GroupByKey]])*DiscreteStatsTable[Average])),0)</f>
        <v>11.991749290187201</v>
      </c>
      <c r="O129" cm="1">
        <f t="array" ref="O129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29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29" cm="1">
        <f t="array" ref="R129">MIN(IF((DiscreteStatsTable[GroupByKey]=DiscreteStatsTable[[#This Row],[GroupByKey]]),(DiscreteStatsTable[GroupByKey]=DiscreteStatsTable[[#This Row],[GroupByKey]])*DiscreteStatsTable[Average]))</f>
        <v>11.9657106276518</v>
      </c>
      <c r="S129" cm="1">
        <f t="array" ref="S129">MAX(IF((DiscreteStatsTable[GroupByKey]=DiscreteStatsTable[[#This Row],[GroupByKey]]),(DiscreteStatsTable[GroupByKey]=DiscreteStatsTable[[#This Row],[GroupByKey]])*DiscreteStatsTable[Average]))</f>
        <v>12.018010195507999</v>
      </c>
      <c r="T129" cm="1">
        <f t="array" ref="T129">MIN(IF((DiscreteStatsTable[GroupByKey]=DiscreteStatsTable[[#This Row],[GroupByKey]]),(DiscreteStatsTable[GroupByKey]=DiscreteStatsTable[[#This Row],[GroupByKey]])*DiscreteStatsTable[Minimum]))</f>
        <v>8.0268919270602108</v>
      </c>
      <c r="U129" cm="1">
        <f t="array" ref="U129">MAX(IF((DiscreteStatsTable[GroupByKey]=DiscreteStatsTable[[#This Row],[GroupByKey]]),(DiscreteStatsTable[GroupByKey]=DiscreteStatsTable[[#This Row],[GroupByKey]])*DiscreteStatsTable[Maximum]))</f>
        <v>15.988991653197401</v>
      </c>
      <c r="V129" cm="1">
        <f t="array" ref="V129">IFERROR(AVERAGE(IF((DiscreteStatsTable[GroupByKey]=DiscreteStatsTable[[#This Row],[GroupByKey]]),(DiscreteStatsTable[GroupByKey]=DiscreteStatsTable[[#This Row],[GroupByKey]])*DiscreteStatsTable[NumberObservations])),0)</f>
        <v>13103.5</v>
      </c>
      <c r="W129">
        <f>IF((DiscreteStatsTable[[#This Row],[RepsRequested]]&gt;1),DiscreteStatsTable[[#This Row],[HalfWidth]],DiscreteStatsTable[[#This Row],[BatchMeansHalfWidth]])</f>
        <v>1.2157469171512588E-2</v>
      </c>
      <c r="X129" cm="1">
        <f t="array" ref="X129">COUNT(IF((DiscreteStatsTable[GroupByKey]=DiscreteStatsTable[[#This Row],[GroupByKey]]),(DiscreteStatsTable[GroupByKey]=DiscreteStatsTable[[#This Row],[GroupByKey]])*DiscreteStatsTable[Replication]))</f>
        <v>10</v>
      </c>
      <c r="Y129">
        <f>IF(DiscreteStatsTable[[#This Row],[RepsRequested]]=DiscreteStatsTable[[#This Row],[RepsWithStatObserved]],1,0)</f>
        <v>1</v>
      </c>
    </row>
    <row r="130" spans="1:25" x14ac:dyDescent="0.25">
      <c r="A130" t="s">
        <v>67</v>
      </c>
      <c r="B130" t="s">
        <v>243</v>
      </c>
      <c r="C130">
        <v>5</v>
      </c>
      <c r="D130" t="s">
        <v>86</v>
      </c>
      <c r="E130" t="s">
        <v>88</v>
      </c>
      <c r="F130" t="s">
        <v>87</v>
      </c>
      <c r="G130">
        <v>11.984770864822201</v>
      </c>
      <c r="H130">
        <v>2.2455113422251399E-2</v>
      </c>
      <c r="I130">
        <v>8.0698057046974991</v>
      </c>
      <c r="J130">
        <v>15.9719800094608</v>
      </c>
      <c r="K130">
        <v>13114</v>
      </c>
      <c r="L130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130" cm="1">
        <f t="array" ref="M130">MAX(IF((ProjectInfoTable[ProjectName]=DiscreteStatsTable[[#This Row],[ProjectName]]),(ProjectInfoTable[ProjectName]=DiscreteStatsTable[[#This Row],[ProjectName]])*ProjectInfoTable[NumberOfReplications]))</f>
        <v>10</v>
      </c>
      <c r="N130" cm="1">
        <f t="array" ref="N130">IFERROR(AVERAGE(IF((DiscreteStatsTable[GroupByKey]=DiscreteStatsTable[[#This Row],[GroupByKey]]),(DiscreteStatsTable[GroupByKey]=DiscreteStatsTable[[#This Row],[GroupByKey]])*DiscreteStatsTable[Average])),0)</f>
        <v>11.991749290187201</v>
      </c>
      <c r="O130" cm="1">
        <f t="array" ref="O130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30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30" cm="1">
        <f t="array" ref="R130">MIN(IF((DiscreteStatsTable[GroupByKey]=DiscreteStatsTable[[#This Row],[GroupByKey]]),(DiscreteStatsTable[GroupByKey]=DiscreteStatsTable[[#This Row],[GroupByKey]])*DiscreteStatsTable[Average]))</f>
        <v>11.9657106276518</v>
      </c>
      <c r="S130" cm="1">
        <f t="array" ref="S130">MAX(IF((DiscreteStatsTable[GroupByKey]=DiscreteStatsTable[[#This Row],[GroupByKey]]),(DiscreteStatsTable[GroupByKey]=DiscreteStatsTable[[#This Row],[GroupByKey]])*DiscreteStatsTable[Average]))</f>
        <v>12.018010195507999</v>
      </c>
      <c r="T130" cm="1">
        <f t="array" ref="T130">MIN(IF((DiscreteStatsTable[GroupByKey]=DiscreteStatsTable[[#This Row],[GroupByKey]]),(DiscreteStatsTable[GroupByKey]=DiscreteStatsTable[[#This Row],[GroupByKey]])*DiscreteStatsTable[Minimum]))</f>
        <v>8.0268919270602108</v>
      </c>
      <c r="U130" cm="1">
        <f t="array" ref="U130">MAX(IF((DiscreteStatsTable[GroupByKey]=DiscreteStatsTable[[#This Row],[GroupByKey]]),(DiscreteStatsTable[GroupByKey]=DiscreteStatsTable[[#This Row],[GroupByKey]])*DiscreteStatsTable[Maximum]))</f>
        <v>15.988991653197401</v>
      </c>
      <c r="V130" cm="1">
        <f t="array" ref="V130">IFERROR(AVERAGE(IF((DiscreteStatsTable[GroupByKey]=DiscreteStatsTable[[#This Row],[GroupByKey]]),(DiscreteStatsTable[GroupByKey]=DiscreteStatsTable[[#This Row],[GroupByKey]])*DiscreteStatsTable[NumberObservations])),0)</f>
        <v>13103.5</v>
      </c>
      <c r="W130">
        <f>IF((DiscreteStatsTable[[#This Row],[RepsRequested]]&gt;1),DiscreteStatsTable[[#This Row],[HalfWidth]],DiscreteStatsTable[[#This Row],[BatchMeansHalfWidth]])</f>
        <v>1.2157469171512588E-2</v>
      </c>
      <c r="X130" cm="1">
        <f t="array" ref="X130">COUNT(IF((DiscreteStatsTable[GroupByKey]=DiscreteStatsTable[[#This Row],[GroupByKey]]),(DiscreteStatsTable[GroupByKey]=DiscreteStatsTable[[#This Row],[GroupByKey]])*DiscreteStatsTable[Replication]))</f>
        <v>10</v>
      </c>
      <c r="Y130">
        <f>IF(DiscreteStatsTable[[#This Row],[RepsRequested]]=DiscreteStatsTable[[#This Row],[RepsWithStatObserved]],1,0)</f>
        <v>1</v>
      </c>
    </row>
    <row r="131" spans="1:25" x14ac:dyDescent="0.25">
      <c r="A131" t="s">
        <v>67</v>
      </c>
      <c r="B131" t="s">
        <v>243</v>
      </c>
      <c r="C131">
        <v>5</v>
      </c>
      <c r="D131" t="s">
        <v>86</v>
      </c>
      <c r="E131" t="s">
        <v>89</v>
      </c>
      <c r="F131" t="s">
        <v>87</v>
      </c>
      <c r="G131">
        <v>11.984770864822201</v>
      </c>
      <c r="H131">
        <v>2.2455113422251399E-2</v>
      </c>
      <c r="I131">
        <v>8.0698057046974991</v>
      </c>
      <c r="J131">
        <v>15.9719800094608</v>
      </c>
      <c r="K131">
        <v>13114</v>
      </c>
      <c r="L131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131" cm="1">
        <f t="array" ref="M131">MAX(IF((ProjectInfoTable[ProjectName]=DiscreteStatsTable[[#This Row],[ProjectName]]),(ProjectInfoTable[ProjectName]=DiscreteStatsTable[[#This Row],[ProjectName]])*ProjectInfoTable[NumberOfReplications]))</f>
        <v>10</v>
      </c>
      <c r="N131" cm="1">
        <f t="array" ref="N131">IFERROR(AVERAGE(IF((DiscreteStatsTable[GroupByKey]=DiscreteStatsTable[[#This Row],[GroupByKey]]),(DiscreteStatsTable[GroupByKey]=DiscreteStatsTable[[#This Row],[GroupByKey]])*DiscreteStatsTable[Average])),0)</f>
        <v>11.991749290187201</v>
      </c>
      <c r="O131" cm="1">
        <f t="array" ref="O131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31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31" cm="1">
        <f t="array" ref="R131">MIN(IF((DiscreteStatsTable[GroupByKey]=DiscreteStatsTable[[#This Row],[GroupByKey]]),(DiscreteStatsTable[GroupByKey]=DiscreteStatsTable[[#This Row],[GroupByKey]])*DiscreteStatsTable[Average]))</f>
        <v>11.9657106276518</v>
      </c>
      <c r="S131" cm="1">
        <f t="array" ref="S131">MAX(IF((DiscreteStatsTable[GroupByKey]=DiscreteStatsTable[[#This Row],[GroupByKey]]),(DiscreteStatsTable[GroupByKey]=DiscreteStatsTable[[#This Row],[GroupByKey]])*DiscreteStatsTable[Average]))</f>
        <v>12.018010195507999</v>
      </c>
      <c r="T131" cm="1">
        <f t="array" ref="T131">MIN(IF((DiscreteStatsTable[GroupByKey]=DiscreteStatsTable[[#This Row],[GroupByKey]]),(DiscreteStatsTable[GroupByKey]=DiscreteStatsTable[[#This Row],[GroupByKey]])*DiscreteStatsTable[Minimum]))</f>
        <v>8.0268919270602108</v>
      </c>
      <c r="U131" cm="1">
        <f t="array" ref="U131">MAX(IF((DiscreteStatsTable[GroupByKey]=DiscreteStatsTable[[#This Row],[GroupByKey]]),(DiscreteStatsTable[GroupByKey]=DiscreteStatsTable[[#This Row],[GroupByKey]])*DiscreteStatsTable[Maximum]))</f>
        <v>15.988991653197401</v>
      </c>
      <c r="V131" cm="1">
        <f t="array" ref="V131">IFERROR(AVERAGE(IF((DiscreteStatsTable[GroupByKey]=DiscreteStatsTable[[#This Row],[GroupByKey]]),(DiscreteStatsTable[GroupByKey]=DiscreteStatsTable[[#This Row],[GroupByKey]])*DiscreteStatsTable[NumberObservations])),0)</f>
        <v>13103.5</v>
      </c>
      <c r="W131">
        <f>IF((DiscreteStatsTable[[#This Row],[RepsRequested]]&gt;1),DiscreteStatsTable[[#This Row],[HalfWidth]],DiscreteStatsTable[[#This Row],[BatchMeansHalfWidth]])</f>
        <v>1.2157469171512588E-2</v>
      </c>
      <c r="X131" cm="1">
        <f t="array" ref="X131">COUNT(IF((DiscreteStatsTable[GroupByKey]=DiscreteStatsTable[[#This Row],[GroupByKey]]),(DiscreteStatsTable[GroupByKey]=DiscreteStatsTable[[#This Row],[GroupByKey]])*DiscreteStatsTable[Replication]))</f>
        <v>10</v>
      </c>
      <c r="Y131">
        <f>IF(DiscreteStatsTable[[#This Row],[RepsRequested]]=DiscreteStatsTable[[#This Row],[RepsWithStatObserved]],1,0)</f>
        <v>1</v>
      </c>
    </row>
    <row r="132" spans="1:25" x14ac:dyDescent="0.25">
      <c r="A132" t="s">
        <v>67</v>
      </c>
      <c r="B132" t="s">
        <v>243</v>
      </c>
      <c r="C132">
        <v>6</v>
      </c>
      <c r="D132" t="s">
        <v>86</v>
      </c>
      <c r="E132" t="s">
        <v>88</v>
      </c>
      <c r="F132" t="s">
        <v>87</v>
      </c>
      <c r="G132">
        <v>11.99291185225</v>
      </c>
      <c r="H132">
        <v>3E+20</v>
      </c>
      <c r="I132">
        <v>8.0435377945541404</v>
      </c>
      <c r="J132">
        <v>15.9703607844276</v>
      </c>
      <c r="K132">
        <v>13107</v>
      </c>
      <c r="L132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132" cm="1">
        <f t="array" ref="M132">MAX(IF((ProjectInfoTable[ProjectName]=DiscreteStatsTable[[#This Row],[ProjectName]]),(ProjectInfoTable[ProjectName]=DiscreteStatsTable[[#This Row],[ProjectName]])*ProjectInfoTable[NumberOfReplications]))</f>
        <v>10</v>
      </c>
      <c r="N132" cm="1">
        <f t="array" ref="N132">IFERROR(AVERAGE(IF((DiscreteStatsTable[GroupByKey]=DiscreteStatsTable[[#This Row],[GroupByKey]]),(DiscreteStatsTable[GroupByKey]=DiscreteStatsTable[[#This Row],[GroupByKey]])*DiscreteStatsTable[Average])),0)</f>
        <v>11.991749290187201</v>
      </c>
      <c r="O132" cm="1">
        <f t="array" ref="O132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32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32" cm="1">
        <f t="array" ref="R132">MIN(IF((DiscreteStatsTable[GroupByKey]=DiscreteStatsTable[[#This Row],[GroupByKey]]),(DiscreteStatsTable[GroupByKey]=DiscreteStatsTable[[#This Row],[GroupByKey]])*DiscreteStatsTable[Average]))</f>
        <v>11.9657106276518</v>
      </c>
      <c r="S132" cm="1">
        <f t="array" ref="S132">MAX(IF((DiscreteStatsTable[GroupByKey]=DiscreteStatsTable[[#This Row],[GroupByKey]]),(DiscreteStatsTable[GroupByKey]=DiscreteStatsTable[[#This Row],[GroupByKey]])*DiscreteStatsTable[Average]))</f>
        <v>12.018010195507999</v>
      </c>
      <c r="T132" cm="1">
        <f t="array" ref="T132">MIN(IF((DiscreteStatsTable[GroupByKey]=DiscreteStatsTable[[#This Row],[GroupByKey]]),(DiscreteStatsTable[GroupByKey]=DiscreteStatsTable[[#This Row],[GroupByKey]])*DiscreteStatsTable[Minimum]))</f>
        <v>8.0268919270602108</v>
      </c>
      <c r="U132" cm="1">
        <f t="array" ref="U132">MAX(IF((DiscreteStatsTable[GroupByKey]=DiscreteStatsTable[[#This Row],[GroupByKey]]),(DiscreteStatsTable[GroupByKey]=DiscreteStatsTable[[#This Row],[GroupByKey]])*DiscreteStatsTable[Maximum]))</f>
        <v>15.988991653197401</v>
      </c>
      <c r="V132" cm="1">
        <f t="array" ref="V132">IFERROR(AVERAGE(IF((DiscreteStatsTable[GroupByKey]=DiscreteStatsTable[[#This Row],[GroupByKey]]),(DiscreteStatsTable[GroupByKey]=DiscreteStatsTable[[#This Row],[GroupByKey]])*DiscreteStatsTable[NumberObservations])),0)</f>
        <v>13103.5</v>
      </c>
      <c r="W132">
        <f>IF((DiscreteStatsTable[[#This Row],[RepsRequested]]&gt;1),DiscreteStatsTable[[#This Row],[HalfWidth]],DiscreteStatsTable[[#This Row],[BatchMeansHalfWidth]])</f>
        <v>1.2157469171512588E-2</v>
      </c>
      <c r="X132" cm="1">
        <f t="array" ref="X132">COUNT(IF((DiscreteStatsTable[GroupByKey]=DiscreteStatsTable[[#This Row],[GroupByKey]]),(DiscreteStatsTable[GroupByKey]=DiscreteStatsTable[[#This Row],[GroupByKey]])*DiscreteStatsTable[Replication]))</f>
        <v>10</v>
      </c>
      <c r="Y132">
        <f>IF(DiscreteStatsTable[[#This Row],[RepsRequested]]=DiscreteStatsTable[[#This Row],[RepsWithStatObserved]],1,0)</f>
        <v>1</v>
      </c>
    </row>
    <row r="133" spans="1:25" x14ac:dyDescent="0.25">
      <c r="A133" t="s">
        <v>67</v>
      </c>
      <c r="B133" t="s">
        <v>243</v>
      </c>
      <c r="C133">
        <v>6</v>
      </c>
      <c r="D133" t="s">
        <v>86</v>
      </c>
      <c r="E133" t="s">
        <v>89</v>
      </c>
      <c r="F133" t="s">
        <v>87</v>
      </c>
      <c r="G133">
        <v>11.99291185225</v>
      </c>
      <c r="H133">
        <v>3E+20</v>
      </c>
      <c r="I133">
        <v>8.0435377945541404</v>
      </c>
      <c r="J133">
        <v>15.9703607844276</v>
      </c>
      <c r="K133">
        <v>13107</v>
      </c>
      <c r="L133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133" cm="1">
        <f t="array" ref="M133">MAX(IF((ProjectInfoTable[ProjectName]=DiscreteStatsTable[[#This Row],[ProjectName]]),(ProjectInfoTable[ProjectName]=DiscreteStatsTable[[#This Row],[ProjectName]])*ProjectInfoTable[NumberOfReplications]))</f>
        <v>10</v>
      </c>
      <c r="N133" cm="1">
        <f t="array" ref="N133">IFERROR(AVERAGE(IF((DiscreteStatsTable[GroupByKey]=DiscreteStatsTable[[#This Row],[GroupByKey]]),(DiscreteStatsTable[GroupByKey]=DiscreteStatsTable[[#This Row],[GroupByKey]])*DiscreteStatsTable[Average])),0)</f>
        <v>11.991749290187201</v>
      </c>
      <c r="O133" cm="1">
        <f t="array" ref="O133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33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33" cm="1">
        <f t="array" ref="R133">MIN(IF((DiscreteStatsTable[GroupByKey]=DiscreteStatsTable[[#This Row],[GroupByKey]]),(DiscreteStatsTable[GroupByKey]=DiscreteStatsTable[[#This Row],[GroupByKey]])*DiscreteStatsTable[Average]))</f>
        <v>11.9657106276518</v>
      </c>
      <c r="S133" cm="1">
        <f t="array" ref="S133">MAX(IF((DiscreteStatsTable[GroupByKey]=DiscreteStatsTable[[#This Row],[GroupByKey]]),(DiscreteStatsTable[GroupByKey]=DiscreteStatsTable[[#This Row],[GroupByKey]])*DiscreteStatsTable[Average]))</f>
        <v>12.018010195507999</v>
      </c>
      <c r="T133" cm="1">
        <f t="array" ref="T133">MIN(IF((DiscreteStatsTable[GroupByKey]=DiscreteStatsTable[[#This Row],[GroupByKey]]),(DiscreteStatsTable[GroupByKey]=DiscreteStatsTable[[#This Row],[GroupByKey]])*DiscreteStatsTable[Minimum]))</f>
        <v>8.0268919270602108</v>
      </c>
      <c r="U133" cm="1">
        <f t="array" ref="U133">MAX(IF((DiscreteStatsTable[GroupByKey]=DiscreteStatsTable[[#This Row],[GroupByKey]]),(DiscreteStatsTable[GroupByKey]=DiscreteStatsTable[[#This Row],[GroupByKey]])*DiscreteStatsTable[Maximum]))</f>
        <v>15.988991653197401</v>
      </c>
      <c r="V133" cm="1">
        <f t="array" ref="V133">IFERROR(AVERAGE(IF((DiscreteStatsTable[GroupByKey]=DiscreteStatsTable[[#This Row],[GroupByKey]]),(DiscreteStatsTable[GroupByKey]=DiscreteStatsTable[[#This Row],[GroupByKey]])*DiscreteStatsTable[NumberObservations])),0)</f>
        <v>13103.5</v>
      </c>
      <c r="W133">
        <f>IF((DiscreteStatsTable[[#This Row],[RepsRequested]]&gt;1),DiscreteStatsTable[[#This Row],[HalfWidth]],DiscreteStatsTable[[#This Row],[BatchMeansHalfWidth]])</f>
        <v>1.2157469171512588E-2</v>
      </c>
      <c r="X133" cm="1">
        <f t="array" ref="X133">COUNT(IF((DiscreteStatsTable[GroupByKey]=DiscreteStatsTable[[#This Row],[GroupByKey]]),(DiscreteStatsTable[GroupByKey]=DiscreteStatsTable[[#This Row],[GroupByKey]])*DiscreteStatsTable[Replication]))</f>
        <v>10</v>
      </c>
      <c r="Y133">
        <f>IF(DiscreteStatsTable[[#This Row],[RepsRequested]]=DiscreteStatsTable[[#This Row],[RepsWithStatObserved]],1,0)</f>
        <v>1</v>
      </c>
    </row>
    <row r="134" spans="1:25" x14ac:dyDescent="0.25">
      <c r="A134" t="s">
        <v>67</v>
      </c>
      <c r="B134" t="s">
        <v>243</v>
      </c>
      <c r="C134">
        <v>7</v>
      </c>
      <c r="D134" t="s">
        <v>86</v>
      </c>
      <c r="E134" t="s">
        <v>88</v>
      </c>
      <c r="F134" t="s">
        <v>87</v>
      </c>
      <c r="G134">
        <v>11.9657106276518</v>
      </c>
      <c r="H134">
        <v>3.1837505727536103E-2</v>
      </c>
      <c r="I134">
        <v>8.0648794826920494</v>
      </c>
      <c r="J134">
        <v>15.9452776325634</v>
      </c>
      <c r="K134">
        <v>13115</v>
      </c>
      <c r="L134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134" cm="1">
        <f t="array" ref="M134">MAX(IF((ProjectInfoTable[ProjectName]=DiscreteStatsTable[[#This Row],[ProjectName]]),(ProjectInfoTable[ProjectName]=DiscreteStatsTable[[#This Row],[ProjectName]])*ProjectInfoTable[NumberOfReplications]))</f>
        <v>10</v>
      </c>
      <c r="N134" cm="1">
        <f t="array" ref="N134">IFERROR(AVERAGE(IF((DiscreteStatsTable[GroupByKey]=DiscreteStatsTable[[#This Row],[GroupByKey]]),(DiscreteStatsTable[GroupByKey]=DiscreteStatsTable[[#This Row],[GroupByKey]])*DiscreteStatsTable[Average])),0)</f>
        <v>11.991749290187201</v>
      </c>
      <c r="O134" cm="1">
        <f t="array" ref="O134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34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34" cm="1">
        <f t="array" ref="R134">MIN(IF((DiscreteStatsTable[GroupByKey]=DiscreteStatsTable[[#This Row],[GroupByKey]]),(DiscreteStatsTable[GroupByKey]=DiscreteStatsTable[[#This Row],[GroupByKey]])*DiscreteStatsTable[Average]))</f>
        <v>11.9657106276518</v>
      </c>
      <c r="S134" cm="1">
        <f t="array" ref="S134">MAX(IF((DiscreteStatsTable[GroupByKey]=DiscreteStatsTable[[#This Row],[GroupByKey]]),(DiscreteStatsTable[GroupByKey]=DiscreteStatsTable[[#This Row],[GroupByKey]])*DiscreteStatsTable[Average]))</f>
        <v>12.018010195507999</v>
      </c>
      <c r="T134" cm="1">
        <f t="array" ref="T134">MIN(IF((DiscreteStatsTable[GroupByKey]=DiscreteStatsTable[[#This Row],[GroupByKey]]),(DiscreteStatsTable[GroupByKey]=DiscreteStatsTable[[#This Row],[GroupByKey]])*DiscreteStatsTable[Minimum]))</f>
        <v>8.0268919270602108</v>
      </c>
      <c r="U134" cm="1">
        <f t="array" ref="U134">MAX(IF((DiscreteStatsTable[GroupByKey]=DiscreteStatsTable[[#This Row],[GroupByKey]]),(DiscreteStatsTable[GroupByKey]=DiscreteStatsTable[[#This Row],[GroupByKey]])*DiscreteStatsTable[Maximum]))</f>
        <v>15.988991653197401</v>
      </c>
      <c r="V134" cm="1">
        <f t="array" ref="V134">IFERROR(AVERAGE(IF((DiscreteStatsTable[GroupByKey]=DiscreteStatsTable[[#This Row],[GroupByKey]]),(DiscreteStatsTable[GroupByKey]=DiscreteStatsTable[[#This Row],[GroupByKey]])*DiscreteStatsTable[NumberObservations])),0)</f>
        <v>13103.5</v>
      </c>
      <c r="W134">
        <f>IF((DiscreteStatsTable[[#This Row],[RepsRequested]]&gt;1),DiscreteStatsTable[[#This Row],[HalfWidth]],DiscreteStatsTable[[#This Row],[BatchMeansHalfWidth]])</f>
        <v>1.2157469171512588E-2</v>
      </c>
      <c r="X134" cm="1">
        <f t="array" ref="X134">COUNT(IF((DiscreteStatsTable[GroupByKey]=DiscreteStatsTable[[#This Row],[GroupByKey]]),(DiscreteStatsTable[GroupByKey]=DiscreteStatsTable[[#This Row],[GroupByKey]])*DiscreteStatsTable[Replication]))</f>
        <v>10</v>
      </c>
      <c r="Y134">
        <f>IF(DiscreteStatsTable[[#This Row],[RepsRequested]]=DiscreteStatsTable[[#This Row],[RepsWithStatObserved]],1,0)</f>
        <v>1</v>
      </c>
    </row>
    <row r="135" spans="1:25" x14ac:dyDescent="0.25">
      <c r="A135" t="s">
        <v>67</v>
      </c>
      <c r="B135" t="s">
        <v>243</v>
      </c>
      <c r="C135">
        <v>7</v>
      </c>
      <c r="D135" t="s">
        <v>86</v>
      </c>
      <c r="E135" t="s">
        <v>89</v>
      </c>
      <c r="F135" t="s">
        <v>87</v>
      </c>
      <c r="G135">
        <v>11.9657106276518</v>
      </c>
      <c r="H135">
        <v>3.1837505727536103E-2</v>
      </c>
      <c r="I135">
        <v>8.0648794826920494</v>
      </c>
      <c r="J135">
        <v>15.9452776325634</v>
      </c>
      <c r="K135">
        <v>13115</v>
      </c>
      <c r="L135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135" cm="1">
        <f t="array" ref="M135">MAX(IF((ProjectInfoTable[ProjectName]=DiscreteStatsTable[[#This Row],[ProjectName]]),(ProjectInfoTable[ProjectName]=DiscreteStatsTable[[#This Row],[ProjectName]])*ProjectInfoTable[NumberOfReplications]))</f>
        <v>10</v>
      </c>
      <c r="N135" cm="1">
        <f t="array" ref="N135">IFERROR(AVERAGE(IF((DiscreteStatsTable[GroupByKey]=DiscreteStatsTable[[#This Row],[GroupByKey]]),(DiscreteStatsTable[GroupByKey]=DiscreteStatsTable[[#This Row],[GroupByKey]])*DiscreteStatsTable[Average])),0)</f>
        <v>11.991749290187201</v>
      </c>
      <c r="O135" cm="1">
        <f t="array" ref="O135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3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35" cm="1">
        <f t="array" ref="R135">MIN(IF((DiscreteStatsTable[GroupByKey]=DiscreteStatsTable[[#This Row],[GroupByKey]]),(DiscreteStatsTable[GroupByKey]=DiscreteStatsTable[[#This Row],[GroupByKey]])*DiscreteStatsTable[Average]))</f>
        <v>11.9657106276518</v>
      </c>
      <c r="S135" cm="1">
        <f t="array" ref="S135">MAX(IF((DiscreteStatsTable[GroupByKey]=DiscreteStatsTable[[#This Row],[GroupByKey]]),(DiscreteStatsTable[GroupByKey]=DiscreteStatsTable[[#This Row],[GroupByKey]])*DiscreteStatsTable[Average]))</f>
        <v>12.018010195507999</v>
      </c>
      <c r="T135" cm="1">
        <f t="array" ref="T135">MIN(IF((DiscreteStatsTable[GroupByKey]=DiscreteStatsTable[[#This Row],[GroupByKey]]),(DiscreteStatsTable[GroupByKey]=DiscreteStatsTable[[#This Row],[GroupByKey]])*DiscreteStatsTable[Minimum]))</f>
        <v>8.0268919270602108</v>
      </c>
      <c r="U135" cm="1">
        <f t="array" ref="U135">MAX(IF((DiscreteStatsTable[GroupByKey]=DiscreteStatsTable[[#This Row],[GroupByKey]]),(DiscreteStatsTable[GroupByKey]=DiscreteStatsTable[[#This Row],[GroupByKey]])*DiscreteStatsTable[Maximum]))</f>
        <v>15.988991653197401</v>
      </c>
      <c r="V135" cm="1">
        <f t="array" ref="V135">IFERROR(AVERAGE(IF((DiscreteStatsTable[GroupByKey]=DiscreteStatsTable[[#This Row],[GroupByKey]]),(DiscreteStatsTable[GroupByKey]=DiscreteStatsTable[[#This Row],[GroupByKey]])*DiscreteStatsTable[NumberObservations])),0)</f>
        <v>13103.5</v>
      </c>
      <c r="W135">
        <f>IF((DiscreteStatsTable[[#This Row],[RepsRequested]]&gt;1),DiscreteStatsTable[[#This Row],[HalfWidth]],DiscreteStatsTable[[#This Row],[BatchMeansHalfWidth]])</f>
        <v>1.2157469171512588E-2</v>
      </c>
      <c r="X135" cm="1">
        <f t="array" ref="X135">COUNT(IF((DiscreteStatsTable[GroupByKey]=DiscreteStatsTable[[#This Row],[GroupByKey]]),(DiscreteStatsTable[GroupByKey]=DiscreteStatsTable[[#This Row],[GroupByKey]])*DiscreteStatsTable[Replication]))</f>
        <v>10</v>
      </c>
      <c r="Y135">
        <f>IF(DiscreteStatsTable[[#This Row],[RepsRequested]]=DiscreteStatsTable[[#This Row],[RepsWithStatObserved]],1,0)</f>
        <v>1</v>
      </c>
    </row>
    <row r="136" spans="1:25" x14ac:dyDescent="0.25">
      <c r="A136" t="s">
        <v>67</v>
      </c>
      <c r="B136" t="s">
        <v>243</v>
      </c>
      <c r="C136">
        <v>8</v>
      </c>
      <c r="D136" t="s">
        <v>86</v>
      </c>
      <c r="E136" t="s">
        <v>88</v>
      </c>
      <c r="F136" t="s">
        <v>87</v>
      </c>
      <c r="G136">
        <v>12.0079382319965</v>
      </c>
      <c r="H136">
        <v>2.9859494710213801E-2</v>
      </c>
      <c r="I136">
        <v>8.0497950388380595</v>
      </c>
      <c r="J136">
        <v>15.8794522413518</v>
      </c>
      <c r="K136">
        <v>13100</v>
      </c>
      <c r="L136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136" cm="1">
        <f t="array" ref="M136">MAX(IF((ProjectInfoTable[ProjectName]=DiscreteStatsTable[[#This Row],[ProjectName]]),(ProjectInfoTable[ProjectName]=DiscreteStatsTable[[#This Row],[ProjectName]])*ProjectInfoTable[NumberOfReplications]))</f>
        <v>10</v>
      </c>
      <c r="N136" cm="1">
        <f t="array" ref="N136">IFERROR(AVERAGE(IF((DiscreteStatsTable[GroupByKey]=DiscreteStatsTable[[#This Row],[GroupByKey]]),(DiscreteStatsTable[GroupByKey]=DiscreteStatsTable[[#This Row],[GroupByKey]])*DiscreteStatsTable[Average])),0)</f>
        <v>11.991749290187201</v>
      </c>
      <c r="O136" cm="1">
        <f t="array" ref="O136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36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36" cm="1">
        <f t="array" ref="R136">MIN(IF((DiscreteStatsTable[GroupByKey]=DiscreteStatsTable[[#This Row],[GroupByKey]]),(DiscreteStatsTable[GroupByKey]=DiscreteStatsTable[[#This Row],[GroupByKey]])*DiscreteStatsTable[Average]))</f>
        <v>11.9657106276518</v>
      </c>
      <c r="S136" cm="1">
        <f t="array" ref="S136">MAX(IF((DiscreteStatsTable[GroupByKey]=DiscreteStatsTable[[#This Row],[GroupByKey]]),(DiscreteStatsTable[GroupByKey]=DiscreteStatsTable[[#This Row],[GroupByKey]])*DiscreteStatsTable[Average]))</f>
        <v>12.018010195507999</v>
      </c>
      <c r="T136" cm="1">
        <f t="array" ref="T136">MIN(IF((DiscreteStatsTable[GroupByKey]=DiscreteStatsTable[[#This Row],[GroupByKey]]),(DiscreteStatsTable[GroupByKey]=DiscreteStatsTable[[#This Row],[GroupByKey]])*DiscreteStatsTable[Minimum]))</f>
        <v>8.0268919270602108</v>
      </c>
      <c r="U136" cm="1">
        <f t="array" ref="U136">MAX(IF((DiscreteStatsTable[GroupByKey]=DiscreteStatsTable[[#This Row],[GroupByKey]]),(DiscreteStatsTable[GroupByKey]=DiscreteStatsTable[[#This Row],[GroupByKey]])*DiscreteStatsTable[Maximum]))</f>
        <v>15.988991653197401</v>
      </c>
      <c r="V136" cm="1">
        <f t="array" ref="V136">IFERROR(AVERAGE(IF((DiscreteStatsTable[GroupByKey]=DiscreteStatsTable[[#This Row],[GroupByKey]]),(DiscreteStatsTable[GroupByKey]=DiscreteStatsTable[[#This Row],[GroupByKey]])*DiscreteStatsTable[NumberObservations])),0)</f>
        <v>13103.5</v>
      </c>
      <c r="W136">
        <f>IF((DiscreteStatsTable[[#This Row],[RepsRequested]]&gt;1),DiscreteStatsTable[[#This Row],[HalfWidth]],DiscreteStatsTable[[#This Row],[BatchMeansHalfWidth]])</f>
        <v>1.2157469171512588E-2</v>
      </c>
      <c r="X136" cm="1">
        <f t="array" ref="X136">COUNT(IF((DiscreteStatsTable[GroupByKey]=DiscreteStatsTable[[#This Row],[GroupByKey]]),(DiscreteStatsTable[GroupByKey]=DiscreteStatsTable[[#This Row],[GroupByKey]])*DiscreteStatsTable[Replication]))</f>
        <v>10</v>
      </c>
      <c r="Y136">
        <f>IF(DiscreteStatsTable[[#This Row],[RepsRequested]]=DiscreteStatsTable[[#This Row],[RepsWithStatObserved]],1,0)</f>
        <v>1</v>
      </c>
    </row>
    <row r="137" spans="1:25" x14ac:dyDescent="0.25">
      <c r="A137" t="s">
        <v>67</v>
      </c>
      <c r="B137" t="s">
        <v>243</v>
      </c>
      <c r="C137">
        <v>8</v>
      </c>
      <c r="D137" t="s">
        <v>86</v>
      </c>
      <c r="E137" t="s">
        <v>89</v>
      </c>
      <c r="F137" t="s">
        <v>87</v>
      </c>
      <c r="G137">
        <v>12.0079382319965</v>
      </c>
      <c r="H137">
        <v>2.9859494710213801E-2</v>
      </c>
      <c r="I137">
        <v>8.0497950388380595</v>
      </c>
      <c r="J137">
        <v>15.8794522413518</v>
      </c>
      <c r="K137">
        <v>13100</v>
      </c>
      <c r="L137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137" cm="1">
        <f t="array" ref="M137">MAX(IF((ProjectInfoTable[ProjectName]=DiscreteStatsTable[[#This Row],[ProjectName]]),(ProjectInfoTable[ProjectName]=DiscreteStatsTable[[#This Row],[ProjectName]])*ProjectInfoTable[NumberOfReplications]))</f>
        <v>10</v>
      </c>
      <c r="N137" cm="1">
        <f t="array" ref="N137">IFERROR(AVERAGE(IF((DiscreteStatsTable[GroupByKey]=DiscreteStatsTable[[#This Row],[GroupByKey]]),(DiscreteStatsTable[GroupByKey]=DiscreteStatsTable[[#This Row],[GroupByKey]])*DiscreteStatsTable[Average])),0)</f>
        <v>11.991749290187201</v>
      </c>
      <c r="O137" cm="1">
        <f t="array" ref="O137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37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37" cm="1">
        <f t="array" ref="R137">MIN(IF((DiscreteStatsTable[GroupByKey]=DiscreteStatsTable[[#This Row],[GroupByKey]]),(DiscreteStatsTable[GroupByKey]=DiscreteStatsTable[[#This Row],[GroupByKey]])*DiscreteStatsTable[Average]))</f>
        <v>11.9657106276518</v>
      </c>
      <c r="S137" cm="1">
        <f t="array" ref="S137">MAX(IF((DiscreteStatsTable[GroupByKey]=DiscreteStatsTable[[#This Row],[GroupByKey]]),(DiscreteStatsTable[GroupByKey]=DiscreteStatsTable[[#This Row],[GroupByKey]])*DiscreteStatsTable[Average]))</f>
        <v>12.018010195507999</v>
      </c>
      <c r="T137" cm="1">
        <f t="array" ref="T137">MIN(IF((DiscreteStatsTable[GroupByKey]=DiscreteStatsTable[[#This Row],[GroupByKey]]),(DiscreteStatsTable[GroupByKey]=DiscreteStatsTable[[#This Row],[GroupByKey]])*DiscreteStatsTable[Minimum]))</f>
        <v>8.0268919270602108</v>
      </c>
      <c r="U137" cm="1">
        <f t="array" ref="U137">MAX(IF((DiscreteStatsTable[GroupByKey]=DiscreteStatsTable[[#This Row],[GroupByKey]]),(DiscreteStatsTable[GroupByKey]=DiscreteStatsTable[[#This Row],[GroupByKey]])*DiscreteStatsTable[Maximum]))</f>
        <v>15.988991653197401</v>
      </c>
      <c r="V137" cm="1">
        <f t="array" ref="V137">IFERROR(AVERAGE(IF((DiscreteStatsTable[GroupByKey]=DiscreteStatsTable[[#This Row],[GroupByKey]]),(DiscreteStatsTable[GroupByKey]=DiscreteStatsTable[[#This Row],[GroupByKey]])*DiscreteStatsTable[NumberObservations])),0)</f>
        <v>13103.5</v>
      </c>
      <c r="W137">
        <f>IF((DiscreteStatsTable[[#This Row],[RepsRequested]]&gt;1),DiscreteStatsTable[[#This Row],[HalfWidth]],DiscreteStatsTable[[#This Row],[BatchMeansHalfWidth]])</f>
        <v>1.2157469171512588E-2</v>
      </c>
      <c r="X137" cm="1">
        <f t="array" ref="X137">COUNT(IF((DiscreteStatsTable[GroupByKey]=DiscreteStatsTable[[#This Row],[GroupByKey]]),(DiscreteStatsTable[GroupByKey]=DiscreteStatsTable[[#This Row],[GroupByKey]])*DiscreteStatsTable[Replication]))</f>
        <v>10</v>
      </c>
      <c r="Y137">
        <f>IF(DiscreteStatsTable[[#This Row],[RepsRequested]]=DiscreteStatsTable[[#This Row],[RepsWithStatObserved]],1,0)</f>
        <v>1</v>
      </c>
    </row>
    <row r="138" spans="1:25" x14ac:dyDescent="0.25">
      <c r="A138" t="s">
        <v>67</v>
      </c>
      <c r="B138" t="s">
        <v>243</v>
      </c>
      <c r="C138">
        <v>9</v>
      </c>
      <c r="D138" t="s">
        <v>86</v>
      </c>
      <c r="E138" t="s">
        <v>88</v>
      </c>
      <c r="F138" t="s">
        <v>87</v>
      </c>
      <c r="G138">
        <v>11.981434453592099</v>
      </c>
      <c r="H138">
        <v>3.3302796440844502E-2</v>
      </c>
      <c r="I138">
        <v>8.0268919270602108</v>
      </c>
      <c r="J138">
        <v>15.9633818555158</v>
      </c>
      <c r="K138">
        <v>13109</v>
      </c>
      <c r="L138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138" cm="1">
        <f t="array" ref="M138">MAX(IF((ProjectInfoTable[ProjectName]=DiscreteStatsTable[[#This Row],[ProjectName]]),(ProjectInfoTable[ProjectName]=DiscreteStatsTable[[#This Row],[ProjectName]])*ProjectInfoTable[NumberOfReplications]))</f>
        <v>10</v>
      </c>
      <c r="N138" cm="1">
        <f t="array" ref="N138">IFERROR(AVERAGE(IF((DiscreteStatsTable[GroupByKey]=DiscreteStatsTable[[#This Row],[GroupByKey]]),(DiscreteStatsTable[GroupByKey]=DiscreteStatsTable[[#This Row],[GroupByKey]])*DiscreteStatsTable[Average])),0)</f>
        <v>11.991749290187201</v>
      </c>
      <c r="O138" cm="1">
        <f t="array" ref="O138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38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38" cm="1">
        <f t="array" ref="R138">MIN(IF((DiscreteStatsTable[GroupByKey]=DiscreteStatsTable[[#This Row],[GroupByKey]]),(DiscreteStatsTable[GroupByKey]=DiscreteStatsTable[[#This Row],[GroupByKey]])*DiscreteStatsTable[Average]))</f>
        <v>11.9657106276518</v>
      </c>
      <c r="S138" cm="1">
        <f t="array" ref="S138">MAX(IF((DiscreteStatsTable[GroupByKey]=DiscreteStatsTable[[#This Row],[GroupByKey]]),(DiscreteStatsTable[GroupByKey]=DiscreteStatsTable[[#This Row],[GroupByKey]])*DiscreteStatsTable[Average]))</f>
        <v>12.018010195507999</v>
      </c>
      <c r="T138" cm="1">
        <f t="array" ref="T138">MIN(IF((DiscreteStatsTable[GroupByKey]=DiscreteStatsTable[[#This Row],[GroupByKey]]),(DiscreteStatsTable[GroupByKey]=DiscreteStatsTable[[#This Row],[GroupByKey]])*DiscreteStatsTable[Minimum]))</f>
        <v>8.0268919270602108</v>
      </c>
      <c r="U138" cm="1">
        <f t="array" ref="U138">MAX(IF((DiscreteStatsTable[GroupByKey]=DiscreteStatsTable[[#This Row],[GroupByKey]]),(DiscreteStatsTable[GroupByKey]=DiscreteStatsTable[[#This Row],[GroupByKey]])*DiscreteStatsTable[Maximum]))</f>
        <v>15.988991653197401</v>
      </c>
      <c r="V138" cm="1">
        <f t="array" ref="V138">IFERROR(AVERAGE(IF((DiscreteStatsTable[GroupByKey]=DiscreteStatsTable[[#This Row],[GroupByKey]]),(DiscreteStatsTable[GroupByKey]=DiscreteStatsTable[[#This Row],[GroupByKey]])*DiscreteStatsTable[NumberObservations])),0)</f>
        <v>13103.5</v>
      </c>
      <c r="W138">
        <f>IF((DiscreteStatsTable[[#This Row],[RepsRequested]]&gt;1),DiscreteStatsTable[[#This Row],[HalfWidth]],DiscreteStatsTable[[#This Row],[BatchMeansHalfWidth]])</f>
        <v>1.2157469171512588E-2</v>
      </c>
      <c r="X138" cm="1">
        <f t="array" ref="X138">COUNT(IF((DiscreteStatsTable[GroupByKey]=DiscreteStatsTable[[#This Row],[GroupByKey]]),(DiscreteStatsTable[GroupByKey]=DiscreteStatsTable[[#This Row],[GroupByKey]])*DiscreteStatsTable[Replication]))</f>
        <v>10</v>
      </c>
      <c r="Y138">
        <f>IF(DiscreteStatsTable[[#This Row],[RepsRequested]]=DiscreteStatsTable[[#This Row],[RepsWithStatObserved]],1,0)</f>
        <v>1</v>
      </c>
    </row>
    <row r="139" spans="1:25" x14ac:dyDescent="0.25">
      <c r="A139" t="s">
        <v>67</v>
      </c>
      <c r="B139" t="s">
        <v>243</v>
      </c>
      <c r="C139">
        <v>9</v>
      </c>
      <c r="D139" t="s">
        <v>86</v>
      </c>
      <c r="E139" t="s">
        <v>89</v>
      </c>
      <c r="F139" t="s">
        <v>87</v>
      </c>
      <c r="G139">
        <v>11.981434453592099</v>
      </c>
      <c r="H139">
        <v>3.3302796440844502E-2</v>
      </c>
      <c r="I139">
        <v>8.0268919270602108</v>
      </c>
      <c r="J139">
        <v>15.9633818555158</v>
      </c>
      <c r="K139">
        <v>13109</v>
      </c>
      <c r="L139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139" cm="1">
        <f t="array" ref="M139">MAX(IF((ProjectInfoTable[ProjectName]=DiscreteStatsTable[[#This Row],[ProjectName]]),(ProjectInfoTable[ProjectName]=DiscreteStatsTable[[#This Row],[ProjectName]])*ProjectInfoTable[NumberOfReplications]))</f>
        <v>10</v>
      </c>
      <c r="N139" cm="1">
        <f t="array" ref="N139">IFERROR(AVERAGE(IF((DiscreteStatsTable[GroupByKey]=DiscreteStatsTable[[#This Row],[GroupByKey]]),(DiscreteStatsTable[GroupByKey]=DiscreteStatsTable[[#This Row],[GroupByKey]])*DiscreteStatsTable[Average])),0)</f>
        <v>11.991749290187201</v>
      </c>
      <c r="O139" cm="1">
        <f t="array" ref="O139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39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39" cm="1">
        <f t="array" ref="R139">MIN(IF((DiscreteStatsTable[GroupByKey]=DiscreteStatsTable[[#This Row],[GroupByKey]]),(DiscreteStatsTable[GroupByKey]=DiscreteStatsTable[[#This Row],[GroupByKey]])*DiscreteStatsTable[Average]))</f>
        <v>11.9657106276518</v>
      </c>
      <c r="S139" cm="1">
        <f t="array" ref="S139">MAX(IF((DiscreteStatsTable[GroupByKey]=DiscreteStatsTable[[#This Row],[GroupByKey]]),(DiscreteStatsTable[GroupByKey]=DiscreteStatsTable[[#This Row],[GroupByKey]])*DiscreteStatsTable[Average]))</f>
        <v>12.018010195507999</v>
      </c>
      <c r="T139" cm="1">
        <f t="array" ref="T139">MIN(IF((DiscreteStatsTable[GroupByKey]=DiscreteStatsTable[[#This Row],[GroupByKey]]),(DiscreteStatsTable[GroupByKey]=DiscreteStatsTable[[#This Row],[GroupByKey]])*DiscreteStatsTable[Minimum]))</f>
        <v>8.0268919270602108</v>
      </c>
      <c r="U139" cm="1">
        <f t="array" ref="U139">MAX(IF((DiscreteStatsTable[GroupByKey]=DiscreteStatsTable[[#This Row],[GroupByKey]]),(DiscreteStatsTable[GroupByKey]=DiscreteStatsTable[[#This Row],[GroupByKey]])*DiscreteStatsTable[Maximum]))</f>
        <v>15.988991653197401</v>
      </c>
      <c r="V139" cm="1">
        <f t="array" ref="V139">IFERROR(AVERAGE(IF((DiscreteStatsTable[GroupByKey]=DiscreteStatsTable[[#This Row],[GroupByKey]]),(DiscreteStatsTable[GroupByKey]=DiscreteStatsTable[[#This Row],[GroupByKey]])*DiscreteStatsTable[NumberObservations])),0)</f>
        <v>13103.5</v>
      </c>
      <c r="W139">
        <f>IF((DiscreteStatsTable[[#This Row],[RepsRequested]]&gt;1),DiscreteStatsTable[[#This Row],[HalfWidth]],DiscreteStatsTable[[#This Row],[BatchMeansHalfWidth]])</f>
        <v>1.2157469171512588E-2</v>
      </c>
      <c r="X139" cm="1">
        <f t="array" ref="X139">COUNT(IF((DiscreteStatsTable[GroupByKey]=DiscreteStatsTable[[#This Row],[GroupByKey]]),(DiscreteStatsTable[GroupByKey]=DiscreteStatsTable[[#This Row],[GroupByKey]])*DiscreteStatsTable[Replication]))</f>
        <v>10</v>
      </c>
      <c r="Y139">
        <f>IF(DiscreteStatsTable[[#This Row],[RepsRequested]]=DiscreteStatsTable[[#This Row],[RepsWithStatObserved]],1,0)</f>
        <v>1</v>
      </c>
    </row>
    <row r="140" spans="1:25" x14ac:dyDescent="0.25">
      <c r="A140" t="s">
        <v>67</v>
      </c>
      <c r="B140" t="s">
        <v>243</v>
      </c>
      <c r="C140">
        <v>10</v>
      </c>
      <c r="D140" t="s">
        <v>86</v>
      </c>
      <c r="E140" t="s">
        <v>88</v>
      </c>
      <c r="F140" t="s">
        <v>87</v>
      </c>
      <c r="G140">
        <v>12.0046716520026</v>
      </c>
      <c r="H140">
        <v>2.6525746770191899E-2</v>
      </c>
      <c r="I140">
        <v>8.0566511487122607</v>
      </c>
      <c r="J140">
        <v>15.9821047249025</v>
      </c>
      <c r="K140">
        <v>13087</v>
      </c>
      <c r="L140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140" cm="1">
        <f t="array" ref="M140">MAX(IF((ProjectInfoTable[ProjectName]=DiscreteStatsTable[[#This Row],[ProjectName]]),(ProjectInfoTable[ProjectName]=DiscreteStatsTable[[#This Row],[ProjectName]])*ProjectInfoTable[NumberOfReplications]))</f>
        <v>10</v>
      </c>
      <c r="N140" cm="1">
        <f t="array" ref="N140">IFERROR(AVERAGE(IF((DiscreteStatsTable[GroupByKey]=DiscreteStatsTable[[#This Row],[GroupByKey]]),(DiscreteStatsTable[GroupByKey]=DiscreteStatsTable[[#This Row],[GroupByKey]])*DiscreteStatsTable[Average])),0)</f>
        <v>11.991749290187201</v>
      </c>
      <c r="O140" cm="1">
        <f t="array" ref="O140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40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40" cm="1">
        <f t="array" ref="R140">MIN(IF((DiscreteStatsTable[GroupByKey]=DiscreteStatsTable[[#This Row],[GroupByKey]]),(DiscreteStatsTable[GroupByKey]=DiscreteStatsTable[[#This Row],[GroupByKey]])*DiscreteStatsTable[Average]))</f>
        <v>11.9657106276518</v>
      </c>
      <c r="S140" cm="1">
        <f t="array" ref="S140">MAX(IF((DiscreteStatsTable[GroupByKey]=DiscreteStatsTable[[#This Row],[GroupByKey]]),(DiscreteStatsTable[GroupByKey]=DiscreteStatsTable[[#This Row],[GroupByKey]])*DiscreteStatsTable[Average]))</f>
        <v>12.018010195507999</v>
      </c>
      <c r="T140" cm="1">
        <f t="array" ref="T140">MIN(IF((DiscreteStatsTable[GroupByKey]=DiscreteStatsTable[[#This Row],[GroupByKey]]),(DiscreteStatsTable[GroupByKey]=DiscreteStatsTable[[#This Row],[GroupByKey]])*DiscreteStatsTable[Minimum]))</f>
        <v>8.0268919270602108</v>
      </c>
      <c r="U140" cm="1">
        <f t="array" ref="U140">MAX(IF((DiscreteStatsTable[GroupByKey]=DiscreteStatsTable[[#This Row],[GroupByKey]]),(DiscreteStatsTable[GroupByKey]=DiscreteStatsTable[[#This Row],[GroupByKey]])*DiscreteStatsTable[Maximum]))</f>
        <v>15.988991653197401</v>
      </c>
      <c r="V140" cm="1">
        <f t="array" ref="V140">IFERROR(AVERAGE(IF((DiscreteStatsTable[GroupByKey]=DiscreteStatsTable[[#This Row],[GroupByKey]]),(DiscreteStatsTable[GroupByKey]=DiscreteStatsTable[[#This Row],[GroupByKey]])*DiscreteStatsTable[NumberObservations])),0)</f>
        <v>13103.5</v>
      </c>
      <c r="W140">
        <f>IF((DiscreteStatsTable[[#This Row],[RepsRequested]]&gt;1),DiscreteStatsTable[[#This Row],[HalfWidth]],DiscreteStatsTable[[#This Row],[BatchMeansHalfWidth]])</f>
        <v>1.2157469171512588E-2</v>
      </c>
      <c r="X140" cm="1">
        <f t="array" ref="X140">COUNT(IF((DiscreteStatsTable[GroupByKey]=DiscreteStatsTable[[#This Row],[GroupByKey]]),(DiscreteStatsTable[GroupByKey]=DiscreteStatsTable[[#This Row],[GroupByKey]])*DiscreteStatsTable[Replication]))</f>
        <v>10</v>
      </c>
      <c r="Y140">
        <f>IF(DiscreteStatsTable[[#This Row],[RepsRequested]]=DiscreteStatsTable[[#This Row],[RepsWithStatObserved]],1,0)</f>
        <v>1</v>
      </c>
    </row>
    <row r="141" spans="1:25" x14ac:dyDescent="0.25">
      <c r="A141" t="s">
        <v>67</v>
      </c>
      <c r="B141" t="s">
        <v>243</v>
      </c>
      <c r="C141">
        <v>10</v>
      </c>
      <c r="D141" t="s">
        <v>86</v>
      </c>
      <c r="E141" t="s">
        <v>89</v>
      </c>
      <c r="F141" t="s">
        <v>87</v>
      </c>
      <c r="G141">
        <v>12.0046716520026</v>
      </c>
      <c r="H141">
        <v>2.6525746770191899E-2</v>
      </c>
      <c r="I141">
        <v>8.0566511487122607</v>
      </c>
      <c r="J141">
        <v>15.9821047249025</v>
      </c>
      <c r="K141">
        <v>13087</v>
      </c>
      <c r="L141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141" cm="1">
        <f t="array" ref="M141">MAX(IF((ProjectInfoTable[ProjectName]=DiscreteStatsTable[[#This Row],[ProjectName]]),(ProjectInfoTable[ProjectName]=DiscreteStatsTable[[#This Row],[ProjectName]])*ProjectInfoTable[NumberOfReplications]))</f>
        <v>10</v>
      </c>
      <c r="N141" cm="1">
        <f t="array" ref="N141">IFERROR(AVERAGE(IF((DiscreteStatsTable[GroupByKey]=DiscreteStatsTable[[#This Row],[GroupByKey]]),(DiscreteStatsTable[GroupByKey]=DiscreteStatsTable[[#This Row],[GroupByKey]])*DiscreteStatsTable[Average])),0)</f>
        <v>11.991749290187201</v>
      </c>
      <c r="O141" cm="1">
        <f t="array" ref="O141">IFERROR(_xlfn.STDEV.S(IF((DiscreteStatsTable[GroupByKey]=DiscreteStatsTable[[#This Row],[GroupByKey]]),(DiscreteStatsTable[GroupByKey]=DiscreteStatsTable[[#This Row],[GroupByKey]])*DiscreteStatsTable[Average])),0)</f>
        <v>1.6994970021315683E-2</v>
      </c>
      <c r="P141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1.2157469171512588E-2</v>
      </c>
      <c r="R141" cm="1">
        <f t="array" ref="R141">MIN(IF((DiscreteStatsTable[GroupByKey]=DiscreteStatsTable[[#This Row],[GroupByKey]]),(DiscreteStatsTable[GroupByKey]=DiscreteStatsTable[[#This Row],[GroupByKey]])*DiscreteStatsTable[Average]))</f>
        <v>11.9657106276518</v>
      </c>
      <c r="S141" cm="1">
        <f t="array" ref="S141">MAX(IF((DiscreteStatsTable[GroupByKey]=DiscreteStatsTable[[#This Row],[GroupByKey]]),(DiscreteStatsTable[GroupByKey]=DiscreteStatsTable[[#This Row],[GroupByKey]])*DiscreteStatsTable[Average]))</f>
        <v>12.018010195507999</v>
      </c>
      <c r="T141" cm="1">
        <f t="array" ref="T141">MIN(IF((DiscreteStatsTable[GroupByKey]=DiscreteStatsTable[[#This Row],[GroupByKey]]),(DiscreteStatsTable[GroupByKey]=DiscreteStatsTable[[#This Row],[GroupByKey]])*DiscreteStatsTable[Minimum]))</f>
        <v>8.0268919270602108</v>
      </c>
      <c r="U141" cm="1">
        <f t="array" ref="U141">MAX(IF((DiscreteStatsTable[GroupByKey]=DiscreteStatsTable[[#This Row],[GroupByKey]]),(DiscreteStatsTable[GroupByKey]=DiscreteStatsTable[[#This Row],[GroupByKey]])*DiscreteStatsTable[Maximum]))</f>
        <v>15.988991653197401</v>
      </c>
      <c r="V141" cm="1">
        <f t="array" ref="V141">IFERROR(AVERAGE(IF((DiscreteStatsTable[GroupByKey]=DiscreteStatsTable[[#This Row],[GroupByKey]]),(DiscreteStatsTable[GroupByKey]=DiscreteStatsTable[[#This Row],[GroupByKey]])*DiscreteStatsTable[NumberObservations])),0)</f>
        <v>13103.5</v>
      </c>
      <c r="W141">
        <f>IF((DiscreteStatsTable[[#This Row],[RepsRequested]]&gt;1),DiscreteStatsTable[[#This Row],[HalfWidth]],DiscreteStatsTable[[#This Row],[BatchMeansHalfWidth]])</f>
        <v>1.2157469171512588E-2</v>
      </c>
      <c r="X141" cm="1">
        <f t="array" ref="X141">COUNT(IF((DiscreteStatsTable[GroupByKey]=DiscreteStatsTable[[#This Row],[GroupByKey]]),(DiscreteStatsTable[GroupByKey]=DiscreteStatsTable[[#This Row],[GroupByKey]])*DiscreteStatsTable[Replication]))</f>
        <v>10</v>
      </c>
      <c r="Y141">
        <f>IF(DiscreteStatsTable[[#This Row],[RepsRequested]]=DiscreteStatsTable[[#This Row],[RepsWithStatObserved]],1,0)</f>
        <v>1</v>
      </c>
    </row>
    <row r="142" spans="1:25" x14ac:dyDescent="0.25">
      <c r="A142" t="s">
        <v>67</v>
      </c>
      <c r="B142" t="s">
        <v>243</v>
      </c>
      <c r="C142">
        <v>1</v>
      </c>
      <c r="D142" t="s">
        <v>90</v>
      </c>
      <c r="E142" t="s">
        <v>88</v>
      </c>
      <c r="F142" t="s">
        <v>87</v>
      </c>
      <c r="G142">
        <v>3.3266547831131801</v>
      </c>
      <c r="H142">
        <v>1.6864554665410401E-2</v>
      </c>
      <c r="I142">
        <v>2.0203992324532001</v>
      </c>
      <c r="J142">
        <v>4.9661825497751098</v>
      </c>
      <c r="K142">
        <v>6543</v>
      </c>
      <c r="L142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142" cm="1">
        <f t="array" ref="M142">MAX(IF((ProjectInfoTable[ProjectName]=DiscreteStatsTable[[#This Row],[ProjectName]]),(ProjectInfoTable[ProjectName]=DiscreteStatsTable[[#This Row],[ProjectName]])*ProjectInfoTable[NumberOfReplications]))</f>
        <v>10</v>
      </c>
      <c r="N142" cm="1">
        <f t="array" ref="N142">IFERROR(AVERAGE(IF((DiscreteStatsTable[GroupByKey]=DiscreteStatsTable[[#This Row],[GroupByKey]]),(DiscreteStatsTable[GroupByKey]=DiscreteStatsTable[[#This Row],[GroupByKey]])*DiscreteStatsTable[Average])),0)</f>
        <v>3.3323515397240668</v>
      </c>
      <c r="O142" cm="1">
        <f t="array" ref="O142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42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42" cm="1">
        <f t="array" ref="R142">MIN(IF((DiscreteStatsTable[GroupByKey]=DiscreteStatsTable[[#This Row],[GroupByKey]]),(DiscreteStatsTable[GroupByKey]=DiscreteStatsTable[[#This Row],[GroupByKey]])*DiscreteStatsTable[Average]))</f>
        <v>3.32378622759098</v>
      </c>
      <c r="S142" cm="1">
        <f t="array" ref="S142">MAX(IF((DiscreteStatsTable[GroupByKey]=DiscreteStatsTable[[#This Row],[GroupByKey]]),(DiscreteStatsTable[GroupByKey]=DiscreteStatsTable[[#This Row],[GroupByKey]])*DiscreteStatsTable[Average]))</f>
        <v>3.34611818446874</v>
      </c>
      <c r="T142" cm="1">
        <f t="array" ref="T142">MIN(IF((DiscreteStatsTable[GroupByKey]=DiscreteStatsTable[[#This Row],[GroupByKey]]),(DiscreteStatsTable[GroupByKey]=DiscreteStatsTable[[#This Row],[GroupByKey]])*DiscreteStatsTable[Minimum]))</f>
        <v>2.01056383305695</v>
      </c>
      <c r="U142" cm="1">
        <f t="array" ref="U142">MAX(IF((DiscreteStatsTable[GroupByKey]=DiscreteStatsTable[[#This Row],[GroupByKey]]),(DiscreteStatsTable[GroupByKey]=DiscreteStatsTable[[#This Row],[GroupByKey]])*DiscreteStatsTable[Maximum]))</f>
        <v>4.9923538390357898</v>
      </c>
      <c r="V142" cm="1">
        <f t="array" ref="V142">IFERROR(AVERAGE(IF((DiscreteStatsTable[GroupByKey]=DiscreteStatsTable[[#This Row],[GroupByKey]]),(DiscreteStatsTable[GroupByKey]=DiscreteStatsTable[[#This Row],[GroupByKey]])*DiscreteStatsTable[NumberObservations])),0)</f>
        <v>6547.3</v>
      </c>
      <c r="W142">
        <f>IF((DiscreteStatsTable[[#This Row],[RepsRequested]]&gt;1),DiscreteStatsTable[[#This Row],[HalfWidth]],DiscreteStatsTable[[#This Row],[BatchMeansHalfWidth]])</f>
        <v>4.4213120792160878E-3</v>
      </c>
      <c r="X142" cm="1">
        <f t="array" ref="X142">COUNT(IF((DiscreteStatsTable[GroupByKey]=DiscreteStatsTable[[#This Row],[GroupByKey]]),(DiscreteStatsTable[GroupByKey]=DiscreteStatsTable[[#This Row],[GroupByKey]])*DiscreteStatsTable[Replication]))</f>
        <v>10</v>
      </c>
      <c r="Y142">
        <f>IF(DiscreteStatsTable[[#This Row],[RepsRequested]]=DiscreteStatsTable[[#This Row],[RepsWithStatObserved]],1,0)</f>
        <v>1</v>
      </c>
    </row>
    <row r="143" spans="1:25" x14ac:dyDescent="0.25">
      <c r="A143" t="s">
        <v>67</v>
      </c>
      <c r="B143" t="s">
        <v>243</v>
      </c>
      <c r="C143">
        <v>1</v>
      </c>
      <c r="D143" t="s">
        <v>90</v>
      </c>
      <c r="E143" t="s">
        <v>89</v>
      </c>
      <c r="F143" t="s">
        <v>87</v>
      </c>
      <c r="G143">
        <v>3.3266547831131801</v>
      </c>
      <c r="H143">
        <v>1.6864554665410401E-2</v>
      </c>
      <c r="I143">
        <v>2.0203992324532001</v>
      </c>
      <c r="J143">
        <v>4.9661825497751098</v>
      </c>
      <c r="K143">
        <v>6543</v>
      </c>
      <c r="L143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143" cm="1">
        <f t="array" ref="M143">MAX(IF((ProjectInfoTable[ProjectName]=DiscreteStatsTable[[#This Row],[ProjectName]]),(ProjectInfoTable[ProjectName]=DiscreteStatsTable[[#This Row],[ProjectName]])*ProjectInfoTable[NumberOfReplications]))</f>
        <v>10</v>
      </c>
      <c r="N143" cm="1">
        <f t="array" ref="N143">IFERROR(AVERAGE(IF((DiscreteStatsTable[GroupByKey]=DiscreteStatsTable[[#This Row],[GroupByKey]]),(DiscreteStatsTable[GroupByKey]=DiscreteStatsTable[[#This Row],[GroupByKey]])*DiscreteStatsTable[Average])),0)</f>
        <v>3.3323515397240668</v>
      </c>
      <c r="O143" cm="1">
        <f t="array" ref="O143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43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43" cm="1">
        <f t="array" ref="R143">MIN(IF((DiscreteStatsTable[GroupByKey]=DiscreteStatsTable[[#This Row],[GroupByKey]]),(DiscreteStatsTable[GroupByKey]=DiscreteStatsTable[[#This Row],[GroupByKey]])*DiscreteStatsTable[Average]))</f>
        <v>3.32378622759098</v>
      </c>
      <c r="S143" cm="1">
        <f t="array" ref="S143">MAX(IF((DiscreteStatsTable[GroupByKey]=DiscreteStatsTable[[#This Row],[GroupByKey]]),(DiscreteStatsTable[GroupByKey]=DiscreteStatsTable[[#This Row],[GroupByKey]])*DiscreteStatsTable[Average]))</f>
        <v>3.34611818446874</v>
      </c>
      <c r="T143" cm="1">
        <f t="array" ref="T143">MIN(IF((DiscreteStatsTable[GroupByKey]=DiscreteStatsTable[[#This Row],[GroupByKey]]),(DiscreteStatsTable[GroupByKey]=DiscreteStatsTable[[#This Row],[GroupByKey]])*DiscreteStatsTable[Minimum]))</f>
        <v>2.01056383305695</v>
      </c>
      <c r="U143" cm="1">
        <f t="array" ref="U143">MAX(IF((DiscreteStatsTable[GroupByKey]=DiscreteStatsTable[[#This Row],[GroupByKey]]),(DiscreteStatsTable[GroupByKey]=DiscreteStatsTable[[#This Row],[GroupByKey]])*DiscreteStatsTable[Maximum]))</f>
        <v>4.9923538390357898</v>
      </c>
      <c r="V143" cm="1">
        <f t="array" ref="V143">IFERROR(AVERAGE(IF((DiscreteStatsTable[GroupByKey]=DiscreteStatsTable[[#This Row],[GroupByKey]]),(DiscreteStatsTable[GroupByKey]=DiscreteStatsTable[[#This Row],[GroupByKey]])*DiscreteStatsTable[NumberObservations])),0)</f>
        <v>6547.3</v>
      </c>
      <c r="W143">
        <f>IF((DiscreteStatsTable[[#This Row],[RepsRequested]]&gt;1),DiscreteStatsTable[[#This Row],[HalfWidth]],DiscreteStatsTable[[#This Row],[BatchMeansHalfWidth]])</f>
        <v>4.4213120792160878E-3</v>
      </c>
      <c r="X143" cm="1">
        <f t="array" ref="X143">COUNT(IF((DiscreteStatsTable[GroupByKey]=DiscreteStatsTable[[#This Row],[GroupByKey]]),(DiscreteStatsTable[GroupByKey]=DiscreteStatsTable[[#This Row],[GroupByKey]])*DiscreteStatsTable[Replication]))</f>
        <v>10</v>
      </c>
      <c r="Y143">
        <f>IF(DiscreteStatsTable[[#This Row],[RepsRequested]]=DiscreteStatsTable[[#This Row],[RepsWithStatObserved]],1,0)</f>
        <v>1</v>
      </c>
    </row>
    <row r="144" spans="1:25" x14ac:dyDescent="0.25">
      <c r="A144" t="s">
        <v>67</v>
      </c>
      <c r="B144" t="s">
        <v>243</v>
      </c>
      <c r="C144">
        <v>2</v>
      </c>
      <c r="D144" t="s">
        <v>90</v>
      </c>
      <c r="E144" t="s">
        <v>88</v>
      </c>
      <c r="F144" t="s">
        <v>87</v>
      </c>
      <c r="G144">
        <v>3.3271558013561302</v>
      </c>
      <c r="H144">
        <v>1.9424464612463201E-2</v>
      </c>
      <c r="I144">
        <v>2.01056383305695</v>
      </c>
      <c r="J144">
        <v>4.9824457724171198</v>
      </c>
      <c r="K144">
        <v>6556</v>
      </c>
      <c r="L144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144" cm="1">
        <f t="array" ref="M144">MAX(IF((ProjectInfoTable[ProjectName]=DiscreteStatsTable[[#This Row],[ProjectName]]),(ProjectInfoTable[ProjectName]=DiscreteStatsTable[[#This Row],[ProjectName]])*ProjectInfoTable[NumberOfReplications]))</f>
        <v>10</v>
      </c>
      <c r="N144" cm="1">
        <f t="array" ref="N144">IFERROR(AVERAGE(IF((DiscreteStatsTable[GroupByKey]=DiscreteStatsTable[[#This Row],[GroupByKey]]),(DiscreteStatsTable[GroupByKey]=DiscreteStatsTable[[#This Row],[GroupByKey]])*DiscreteStatsTable[Average])),0)</f>
        <v>3.3323515397240668</v>
      </c>
      <c r="O144" cm="1">
        <f t="array" ref="O144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44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44" cm="1">
        <f t="array" ref="R144">MIN(IF((DiscreteStatsTable[GroupByKey]=DiscreteStatsTable[[#This Row],[GroupByKey]]),(DiscreteStatsTable[GroupByKey]=DiscreteStatsTable[[#This Row],[GroupByKey]])*DiscreteStatsTable[Average]))</f>
        <v>3.32378622759098</v>
      </c>
      <c r="S144" cm="1">
        <f t="array" ref="S144">MAX(IF((DiscreteStatsTable[GroupByKey]=DiscreteStatsTable[[#This Row],[GroupByKey]]),(DiscreteStatsTable[GroupByKey]=DiscreteStatsTable[[#This Row],[GroupByKey]])*DiscreteStatsTable[Average]))</f>
        <v>3.34611818446874</v>
      </c>
      <c r="T144" cm="1">
        <f t="array" ref="T144">MIN(IF((DiscreteStatsTable[GroupByKey]=DiscreteStatsTable[[#This Row],[GroupByKey]]),(DiscreteStatsTable[GroupByKey]=DiscreteStatsTable[[#This Row],[GroupByKey]])*DiscreteStatsTable[Minimum]))</f>
        <v>2.01056383305695</v>
      </c>
      <c r="U144" cm="1">
        <f t="array" ref="U144">MAX(IF((DiscreteStatsTable[GroupByKey]=DiscreteStatsTable[[#This Row],[GroupByKey]]),(DiscreteStatsTable[GroupByKey]=DiscreteStatsTable[[#This Row],[GroupByKey]])*DiscreteStatsTable[Maximum]))</f>
        <v>4.9923538390357898</v>
      </c>
      <c r="V144" cm="1">
        <f t="array" ref="V144">IFERROR(AVERAGE(IF((DiscreteStatsTable[GroupByKey]=DiscreteStatsTable[[#This Row],[GroupByKey]]),(DiscreteStatsTable[GroupByKey]=DiscreteStatsTable[[#This Row],[GroupByKey]])*DiscreteStatsTable[NumberObservations])),0)</f>
        <v>6547.3</v>
      </c>
      <c r="W144">
        <f>IF((DiscreteStatsTable[[#This Row],[RepsRequested]]&gt;1),DiscreteStatsTable[[#This Row],[HalfWidth]],DiscreteStatsTable[[#This Row],[BatchMeansHalfWidth]])</f>
        <v>4.4213120792160878E-3</v>
      </c>
      <c r="X144" cm="1">
        <f t="array" ref="X144">COUNT(IF((DiscreteStatsTable[GroupByKey]=DiscreteStatsTable[[#This Row],[GroupByKey]]),(DiscreteStatsTable[GroupByKey]=DiscreteStatsTable[[#This Row],[GroupByKey]])*DiscreteStatsTable[Replication]))</f>
        <v>10</v>
      </c>
      <c r="Y144">
        <f>IF(DiscreteStatsTable[[#This Row],[RepsRequested]]=DiscreteStatsTable[[#This Row],[RepsWithStatObserved]],1,0)</f>
        <v>1</v>
      </c>
    </row>
    <row r="145" spans="1:25" x14ac:dyDescent="0.25">
      <c r="A145" t="s">
        <v>67</v>
      </c>
      <c r="B145" t="s">
        <v>243</v>
      </c>
      <c r="C145">
        <v>2</v>
      </c>
      <c r="D145" t="s">
        <v>90</v>
      </c>
      <c r="E145" t="s">
        <v>89</v>
      </c>
      <c r="F145" t="s">
        <v>87</v>
      </c>
      <c r="G145">
        <v>3.3271558013561302</v>
      </c>
      <c r="H145">
        <v>1.9424464612463201E-2</v>
      </c>
      <c r="I145">
        <v>2.01056383305695</v>
      </c>
      <c r="J145">
        <v>4.9824457724171198</v>
      </c>
      <c r="K145">
        <v>6556</v>
      </c>
      <c r="L145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145" cm="1">
        <f t="array" ref="M145">MAX(IF((ProjectInfoTable[ProjectName]=DiscreteStatsTable[[#This Row],[ProjectName]]),(ProjectInfoTable[ProjectName]=DiscreteStatsTable[[#This Row],[ProjectName]])*ProjectInfoTable[NumberOfReplications]))</f>
        <v>10</v>
      </c>
      <c r="N145" cm="1">
        <f t="array" ref="N145">IFERROR(AVERAGE(IF((DiscreteStatsTable[GroupByKey]=DiscreteStatsTable[[#This Row],[GroupByKey]]),(DiscreteStatsTable[GroupByKey]=DiscreteStatsTable[[#This Row],[GroupByKey]])*DiscreteStatsTable[Average])),0)</f>
        <v>3.3323515397240668</v>
      </c>
      <c r="O145" cm="1">
        <f t="array" ref="O145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4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45" cm="1">
        <f t="array" ref="R145">MIN(IF((DiscreteStatsTable[GroupByKey]=DiscreteStatsTable[[#This Row],[GroupByKey]]),(DiscreteStatsTable[GroupByKey]=DiscreteStatsTable[[#This Row],[GroupByKey]])*DiscreteStatsTable[Average]))</f>
        <v>3.32378622759098</v>
      </c>
      <c r="S145" cm="1">
        <f t="array" ref="S145">MAX(IF((DiscreteStatsTable[GroupByKey]=DiscreteStatsTable[[#This Row],[GroupByKey]]),(DiscreteStatsTable[GroupByKey]=DiscreteStatsTable[[#This Row],[GroupByKey]])*DiscreteStatsTable[Average]))</f>
        <v>3.34611818446874</v>
      </c>
      <c r="T145" cm="1">
        <f t="array" ref="T145">MIN(IF((DiscreteStatsTable[GroupByKey]=DiscreteStatsTable[[#This Row],[GroupByKey]]),(DiscreteStatsTable[GroupByKey]=DiscreteStatsTable[[#This Row],[GroupByKey]])*DiscreteStatsTable[Minimum]))</f>
        <v>2.01056383305695</v>
      </c>
      <c r="U145" cm="1">
        <f t="array" ref="U145">MAX(IF((DiscreteStatsTable[GroupByKey]=DiscreteStatsTable[[#This Row],[GroupByKey]]),(DiscreteStatsTable[GroupByKey]=DiscreteStatsTable[[#This Row],[GroupByKey]])*DiscreteStatsTable[Maximum]))</f>
        <v>4.9923538390357898</v>
      </c>
      <c r="V145" cm="1">
        <f t="array" ref="V145">IFERROR(AVERAGE(IF((DiscreteStatsTable[GroupByKey]=DiscreteStatsTable[[#This Row],[GroupByKey]]),(DiscreteStatsTable[GroupByKey]=DiscreteStatsTable[[#This Row],[GroupByKey]])*DiscreteStatsTable[NumberObservations])),0)</f>
        <v>6547.3</v>
      </c>
      <c r="W145">
        <f>IF((DiscreteStatsTable[[#This Row],[RepsRequested]]&gt;1),DiscreteStatsTable[[#This Row],[HalfWidth]],DiscreteStatsTable[[#This Row],[BatchMeansHalfWidth]])</f>
        <v>4.4213120792160878E-3</v>
      </c>
      <c r="X145" cm="1">
        <f t="array" ref="X145">COUNT(IF((DiscreteStatsTable[GroupByKey]=DiscreteStatsTable[[#This Row],[GroupByKey]]),(DiscreteStatsTable[GroupByKey]=DiscreteStatsTable[[#This Row],[GroupByKey]])*DiscreteStatsTable[Replication]))</f>
        <v>10</v>
      </c>
      <c r="Y145">
        <f>IF(DiscreteStatsTable[[#This Row],[RepsRequested]]=DiscreteStatsTable[[#This Row],[RepsWithStatObserved]],1,0)</f>
        <v>1</v>
      </c>
    </row>
    <row r="146" spans="1:25" x14ac:dyDescent="0.25">
      <c r="A146" t="s">
        <v>67</v>
      </c>
      <c r="B146" t="s">
        <v>243</v>
      </c>
      <c r="C146">
        <v>3</v>
      </c>
      <c r="D146" t="s">
        <v>90</v>
      </c>
      <c r="E146" t="s">
        <v>88</v>
      </c>
      <c r="F146" t="s">
        <v>87</v>
      </c>
      <c r="G146">
        <v>3.3319790694035598</v>
      </c>
      <c r="H146">
        <v>1.5975320863168802E-2</v>
      </c>
      <c r="I146">
        <v>2.0188382779742802</v>
      </c>
      <c r="J146">
        <v>4.9834094921825498</v>
      </c>
      <c r="K146">
        <v>6546</v>
      </c>
      <c r="L146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146" cm="1">
        <f t="array" ref="M146">MAX(IF((ProjectInfoTable[ProjectName]=DiscreteStatsTable[[#This Row],[ProjectName]]),(ProjectInfoTable[ProjectName]=DiscreteStatsTable[[#This Row],[ProjectName]])*ProjectInfoTable[NumberOfReplications]))</f>
        <v>10</v>
      </c>
      <c r="N146" cm="1">
        <f t="array" ref="N146">IFERROR(AVERAGE(IF((DiscreteStatsTable[GroupByKey]=DiscreteStatsTable[[#This Row],[GroupByKey]]),(DiscreteStatsTable[GroupByKey]=DiscreteStatsTable[[#This Row],[GroupByKey]])*DiscreteStatsTable[Average])),0)</f>
        <v>3.3323515397240668</v>
      </c>
      <c r="O146" cm="1">
        <f t="array" ref="O146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46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46" cm="1">
        <f t="array" ref="R146">MIN(IF((DiscreteStatsTable[GroupByKey]=DiscreteStatsTable[[#This Row],[GroupByKey]]),(DiscreteStatsTable[GroupByKey]=DiscreteStatsTable[[#This Row],[GroupByKey]])*DiscreteStatsTable[Average]))</f>
        <v>3.32378622759098</v>
      </c>
      <c r="S146" cm="1">
        <f t="array" ref="S146">MAX(IF((DiscreteStatsTable[GroupByKey]=DiscreteStatsTable[[#This Row],[GroupByKey]]),(DiscreteStatsTable[GroupByKey]=DiscreteStatsTable[[#This Row],[GroupByKey]])*DiscreteStatsTable[Average]))</f>
        <v>3.34611818446874</v>
      </c>
      <c r="T146" cm="1">
        <f t="array" ref="T146">MIN(IF((DiscreteStatsTable[GroupByKey]=DiscreteStatsTable[[#This Row],[GroupByKey]]),(DiscreteStatsTable[GroupByKey]=DiscreteStatsTable[[#This Row],[GroupByKey]])*DiscreteStatsTable[Minimum]))</f>
        <v>2.01056383305695</v>
      </c>
      <c r="U146" cm="1">
        <f t="array" ref="U146">MAX(IF((DiscreteStatsTable[GroupByKey]=DiscreteStatsTable[[#This Row],[GroupByKey]]),(DiscreteStatsTable[GroupByKey]=DiscreteStatsTable[[#This Row],[GroupByKey]])*DiscreteStatsTable[Maximum]))</f>
        <v>4.9923538390357898</v>
      </c>
      <c r="V146" cm="1">
        <f t="array" ref="V146">IFERROR(AVERAGE(IF((DiscreteStatsTable[GroupByKey]=DiscreteStatsTable[[#This Row],[GroupByKey]]),(DiscreteStatsTable[GroupByKey]=DiscreteStatsTable[[#This Row],[GroupByKey]])*DiscreteStatsTable[NumberObservations])),0)</f>
        <v>6547.3</v>
      </c>
      <c r="W146">
        <f>IF((DiscreteStatsTable[[#This Row],[RepsRequested]]&gt;1),DiscreteStatsTable[[#This Row],[HalfWidth]],DiscreteStatsTable[[#This Row],[BatchMeansHalfWidth]])</f>
        <v>4.4213120792160878E-3</v>
      </c>
      <c r="X146" cm="1">
        <f t="array" ref="X146">COUNT(IF((DiscreteStatsTable[GroupByKey]=DiscreteStatsTable[[#This Row],[GroupByKey]]),(DiscreteStatsTable[GroupByKey]=DiscreteStatsTable[[#This Row],[GroupByKey]])*DiscreteStatsTable[Replication]))</f>
        <v>10</v>
      </c>
      <c r="Y146">
        <f>IF(DiscreteStatsTable[[#This Row],[RepsRequested]]=DiscreteStatsTable[[#This Row],[RepsWithStatObserved]],1,0)</f>
        <v>1</v>
      </c>
    </row>
    <row r="147" spans="1:25" x14ac:dyDescent="0.25">
      <c r="A147" t="s">
        <v>67</v>
      </c>
      <c r="B147" t="s">
        <v>243</v>
      </c>
      <c r="C147">
        <v>3</v>
      </c>
      <c r="D147" t="s">
        <v>90</v>
      </c>
      <c r="E147" t="s">
        <v>89</v>
      </c>
      <c r="F147" t="s">
        <v>87</v>
      </c>
      <c r="G147">
        <v>3.3319790694035598</v>
      </c>
      <c r="H147">
        <v>1.5975320863168802E-2</v>
      </c>
      <c r="I147">
        <v>2.0188382779742802</v>
      </c>
      <c r="J147">
        <v>4.9834094921825498</v>
      </c>
      <c r="K147">
        <v>6546</v>
      </c>
      <c r="L147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147" cm="1">
        <f t="array" ref="M147">MAX(IF((ProjectInfoTable[ProjectName]=DiscreteStatsTable[[#This Row],[ProjectName]]),(ProjectInfoTable[ProjectName]=DiscreteStatsTable[[#This Row],[ProjectName]])*ProjectInfoTable[NumberOfReplications]))</f>
        <v>10</v>
      </c>
      <c r="N147" cm="1">
        <f t="array" ref="N147">IFERROR(AVERAGE(IF((DiscreteStatsTable[GroupByKey]=DiscreteStatsTable[[#This Row],[GroupByKey]]),(DiscreteStatsTable[GroupByKey]=DiscreteStatsTable[[#This Row],[GroupByKey]])*DiscreteStatsTable[Average])),0)</f>
        <v>3.3323515397240668</v>
      </c>
      <c r="O147" cm="1">
        <f t="array" ref="O147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47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47" cm="1">
        <f t="array" ref="R147">MIN(IF((DiscreteStatsTable[GroupByKey]=DiscreteStatsTable[[#This Row],[GroupByKey]]),(DiscreteStatsTable[GroupByKey]=DiscreteStatsTable[[#This Row],[GroupByKey]])*DiscreteStatsTable[Average]))</f>
        <v>3.32378622759098</v>
      </c>
      <c r="S147" cm="1">
        <f t="array" ref="S147">MAX(IF((DiscreteStatsTable[GroupByKey]=DiscreteStatsTable[[#This Row],[GroupByKey]]),(DiscreteStatsTable[GroupByKey]=DiscreteStatsTable[[#This Row],[GroupByKey]])*DiscreteStatsTable[Average]))</f>
        <v>3.34611818446874</v>
      </c>
      <c r="T147" cm="1">
        <f t="array" ref="T147">MIN(IF((DiscreteStatsTable[GroupByKey]=DiscreteStatsTable[[#This Row],[GroupByKey]]),(DiscreteStatsTable[GroupByKey]=DiscreteStatsTable[[#This Row],[GroupByKey]])*DiscreteStatsTable[Minimum]))</f>
        <v>2.01056383305695</v>
      </c>
      <c r="U147" cm="1">
        <f t="array" ref="U147">MAX(IF((DiscreteStatsTable[GroupByKey]=DiscreteStatsTable[[#This Row],[GroupByKey]]),(DiscreteStatsTable[GroupByKey]=DiscreteStatsTable[[#This Row],[GroupByKey]])*DiscreteStatsTable[Maximum]))</f>
        <v>4.9923538390357898</v>
      </c>
      <c r="V147" cm="1">
        <f t="array" ref="V147">IFERROR(AVERAGE(IF((DiscreteStatsTable[GroupByKey]=DiscreteStatsTable[[#This Row],[GroupByKey]]),(DiscreteStatsTable[GroupByKey]=DiscreteStatsTable[[#This Row],[GroupByKey]])*DiscreteStatsTable[NumberObservations])),0)</f>
        <v>6547.3</v>
      </c>
      <c r="W147">
        <f>IF((DiscreteStatsTable[[#This Row],[RepsRequested]]&gt;1),DiscreteStatsTable[[#This Row],[HalfWidth]],DiscreteStatsTable[[#This Row],[BatchMeansHalfWidth]])</f>
        <v>4.4213120792160878E-3</v>
      </c>
      <c r="X147" cm="1">
        <f t="array" ref="X147">COUNT(IF((DiscreteStatsTable[GroupByKey]=DiscreteStatsTable[[#This Row],[GroupByKey]]),(DiscreteStatsTable[GroupByKey]=DiscreteStatsTable[[#This Row],[GroupByKey]])*DiscreteStatsTable[Replication]))</f>
        <v>10</v>
      </c>
      <c r="Y147">
        <f>IF(DiscreteStatsTable[[#This Row],[RepsRequested]]=DiscreteStatsTable[[#This Row],[RepsWithStatObserved]],1,0)</f>
        <v>1</v>
      </c>
    </row>
    <row r="148" spans="1:25" x14ac:dyDescent="0.25">
      <c r="A148" t="s">
        <v>67</v>
      </c>
      <c r="B148" t="s">
        <v>243</v>
      </c>
      <c r="C148">
        <v>4</v>
      </c>
      <c r="D148" t="s">
        <v>90</v>
      </c>
      <c r="E148" t="s">
        <v>88</v>
      </c>
      <c r="F148" t="s">
        <v>87</v>
      </c>
      <c r="G148">
        <v>3.32378622759098</v>
      </c>
      <c r="H148">
        <v>1.21384658105365E-2</v>
      </c>
      <c r="I148">
        <v>2.05301702563884</v>
      </c>
      <c r="J148">
        <v>4.9736223235377102</v>
      </c>
      <c r="K148">
        <v>6540</v>
      </c>
      <c r="L148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148" cm="1">
        <f t="array" ref="M148">MAX(IF((ProjectInfoTable[ProjectName]=DiscreteStatsTable[[#This Row],[ProjectName]]),(ProjectInfoTable[ProjectName]=DiscreteStatsTable[[#This Row],[ProjectName]])*ProjectInfoTable[NumberOfReplications]))</f>
        <v>10</v>
      </c>
      <c r="N148" cm="1">
        <f t="array" ref="N148">IFERROR(AVERAGE(IF((DiscreteStatsTable[GroupByKey]=DiscreteStatsTable[[#This Row],[GroupByKey]]),(DiscreteStatsTable[GroupByKey]=DiscreteStatsTable[[#This Row],[GroupByKey]])*DiscreteStatsTable[Average])),0)</f>
        <v>3.3323515397240668</v>
      </c>
      <c r="O148" cm="1">
        <f t="array" ref="O148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48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48" cm="1">
        <f t="array" ref="R148">MIN(IF((DiscreteStatsTable[GroupByKey]=DiscreteStatsTable[[#This Row],[GroupByKey]]),(DiscreteStatsTable[GroupByKey]=DiscreteStatsTable[[#This Row],[GroupByKey]])*DiscreteStatsTable[Average]))</f>
        <v>3.32378622759098</v>
      </c>
      <c r="S148" cm="1">
        <f t="array" ref="S148">MAX(IF((DiscreteStatsTable[GroupByKey]=DiscreteStatsTable[[#This Row],[GroupByKey]]),(DiscreteStatsTable[GroupByKey]=DiscreteStatsTable[[#This Row],[GroupByKey]])*DiscreteStatsTable[Average]))</f>
        <v>3.34611818446874</v>
      </c>
      <c r="T148" cm="1">
        <f t="array" ref="T148">MIN(IF((DiscreteStatsTable[GroupByKey]=DiscreteStatsTable[[#This Row],[GroupByKey]]),(DiscreteStatsTable[GroupByKey]=DiscreteStatsTable[[#This Row],[GroupByKey]])*DiscreteStatsTable[Minimum]))</f>
        <v>2.01056383305695</v>
      </c>
      <c r="U148" cm="1">
        <f t="array" ref="U148">MAX(IF((DiscreteStatsTable[GroupByKey]=DiscreteStatsTable[[#This Row],[GroupByKey]]),(DiscreteStatsTable[GroupByKey]=DiscreteStatsTable[[#This Row],[GroupByKey]])*DiscreteStatsTable[Maximum]))</f>
        <v>4.9923538390357898</v>
      </c>
      <c r="V148" cm="1">
        <f t="array" ref="V148">IFERROR(AVERAGE(IF((DiscreteStatsTable[GroupByKey]=DiscreteStatsTable[[#This Row],[GroupByKey]]),(DiscreteStatsTable[GroupByKey]=DiscreteStatsTable[[#This Row],[GroupByKey]])*DiscreteStatsTable[NumberObservations])),0)</f>
        <v>6547.3</v>
      </c>
      <c r="W148">
        <f>IF((DiscreteStatsTable[[#This Row],[RepsRequested]]&gt;1),DiscreteStatsTable[[#This Row],[HalfWidth]],DiscreteStatsTable[[#This Row],[BatchMeansHalfWidth]])</f>
        <v>4.4213120792160878E-3</v>
      </c>
      <c r="X148" cm="1">
        <f t="array" ref="X148">COUNT(IF((DiscreteStatsTable[GroupByKey]=DiscreteStatsTable[[#This Row],[GroupByKey]]),(DiscreteStatsTable[GroupByKey]=DiscreteStatsTable[[#This Row],[GroupByKey]])*DiscreteStatsTable[Replication]))</f>
        <v>10</v>
      </c>
      <c r="Y148">
        <f>IF(DiscreteStatsTable[[#This Row],[RepsRequested]]=DiscreteStatsTable[[#This Row],[RepsWithStatObserved]],1,0)</f>
        <v>1</v>
      </c>
    </row>
    <row r="149" spans="1:25" x14ac:dyDescent="0.25">
      <c r="A149" t="s">
        <v>67</v>
      </c>
      <c r="B149" t="s">
        <v>243</v>
      </c>
      <c r="C149">
        <v>4</v>
      </c>
      <c r="D149" t="s">
        <v>90</v>
      </c>
      <c r="E149" t="s">
        <v>89</v>
      </c>
      <c r="F149" t="s">
        <v>87</v>
      </c>
      <c r="G149">
        <v>3.32378622759098</v>
      </c>
      <c r="H149">
        <v>1.21384658105365E-2</v>
      </c>
      <c r="I149">
        <v>2.05301702563884</v>
      </c>
      <c r="J149">
        <v>4.9736223235377102</v>
      </c>
      <c r="K149">
        <v>6540</v>
      </c>
      <c r="L149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149" cm="1">
        <f t="array" ref="M149">MAX(IF((ProjectInfoTable[ProjectName]=DiscreteStatsTable[[#This Row],[ProjectName]]),(ProjectInfoTable[ProjectName]=DiscreteStatsTable[[#This Row],[ProjectName]])*ProjectInfoTable[NumberOfReplications]))</f>
        <v>10</v>
      </c>
      <c r="N149" cm="1">
        <f t="array" ref="N149">IFERROR(AVERAGE(IF((DiscreteStatsTable[GroupByKey]=DiscreteStatsTable[[#This Row],[GroupByKey]]),(DiscreteStatsTable[GroupByKey]=DiscreteStatsTable[[#This Row],[GroupByKey]])*DiscreteStatsTable[Average])),0)</f>
        <v>3.3323515397240668</v>
      </c>
      <c r="O149" cm="1">
        <f t="array" ref="O149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49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49" cm="1">
        <f t="array" ref="R149">MIN(IF((DiscreteStatsTable[GroupByKey]=DiscreteStatsTable[[#This Row],[GroupByKey]]),(DiscreteStatsTable[GroupByKey]=DiscreteStatsTable[[#This Row],[GroupByKey]])*DiscreteStatsTable[Average]))</f>
        <v>3.32378622759098</v>
      </c>
      <c r="S149" cm="1">
        <f t="array" ref="S149">MAX(IF((DiscreteStatsTable[GroupByKey]=DiscreteStatsTable[[#This Row],[GroupByKey]]),(DiscreteStatsTable[GroupByKey]=DiscreteStatsTable[[#This Row],[GroupByKey]])*DiscreteStatsTable[Average]))</f>
        <v>3.34611818446874</v>
      </c>
      <c r="T149" cm="1">
        <f t="array" ref="T149">MIN(IF((DiscreteStatsTable[GroupByKey]=DiscreteStatsTable[[#This Row],[GroupByKey]]),(DiscreteStatsTable[GroupByKey]=DiscreteStatsTable[[#This Row],[GroupByKey]])*DiscreteStatsTable[Minimum]))</f>
        <v>2.01056383305695</v>
      </c>
      <c r="U149" cm="1">
        <f t="array" ref="U149">MAX(IF((DiscreteStatsTable[GroupByKey]=DiscreteStatsTable[[#This Row],[GroupByKey]]),(DiscreteStatsTable[GroupByKey]=DiscreteStatsTable[[#This Row],[GroupByKey]])*DiscreteStatsTable[Maximum]))</f>
        <v>4.9923538390357898</v>
      </c>
      <c r="V149" cm="1">
        <f t="array" ref="V149">IFERROR(AVERAGE(IF((DiscreteStatsTable[GroupByKey]=DiscreteStatsTable[[#This Row],[GroupByKey]]),(DiscreteStatsTable[GroupByKey]=DiscreteStatsTable[[#This Row],[GroupByKey]])*DiscreteStatsTable[NumberObservations])),0)</f>
        <v>6547.3</v>
      </c>
      <c r="W149">
        <f>IF((DiscreteStatsTable[[#This Row],[RepsRequested]]&gt;1),DiscreteStatsTable[[#This Row],[HalfWidth]],DiscreteStatsTable[[#This Row],[BatchMeansHalfWidth]])</f>
        <v>4.4213120792160878E-3</v>
      </c>
      <c r="X149" cm="1">
        <f t="array" ref="X149">COUNT(IF((DiscreteStatsTable[GroupByKey]=DiscreteStatsTable[[#This Row],[GroupByKey]]),(DiscreteStatsTable[GroupByKey]=DiscreteStatsTable[[#This Row],[GroupByKey]])*DiscreteStatsTable[Replication]))</f>
        <v>10</v>
      </c>
      <c r="Y149">
        <f>IF(DiscreteStatsTable[[#This Row],[RepsRequested]]=DiscreteStatsTable[[#This Row],[RepsWithStatObserved]],1,0)</f>
        <v>1</v>
      </c>
    </row>
    <row r="150" spans="1:25" x14ac:dyDescent="0.25">
      <c r="A150" t="s">
        <v>67</v>
      </c>
      <c r="B150" t="s">
        <v>243</v>
      </c>
      <c r="C150">
        <v>5</v>
      </c>
      <c r="D150" t="s">
        <v>90</v>
      </c>
      <c r="E150" t="s">
        <v>88</v>
      </c>
      <c r="F150" t="s">
        <v>87</v>
      </c>
      <c r="G150">
        <v>3.3336361049729502</v>
      </c>
      <c r="H150">
        <v>1.84247944070072E-2</v>
      </c>
      <c r="I150">
        <v>2.0209072589641401</v>
      </c>
      <c r="J150">
        <v>4.9773191760759801</v>
      </c>
      <c r="K150">
        <v>6553</v>
      </c>
      <c r="L150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150" cm="1">
        <f t="array" ref="M150">MAX(IF((ProjectInfoTable[ProjectName]=DiscreteStatsTable[[#This Row],[ProjectName]]),(ProjectInfoTable[ProjectName]=DiscreteStatsTable[[#This Row],[ProjectName]])*ProjectInfoTable[NumberOfReplications]))</f>
        <v>10</v>
      </c>
      <c r="N150" cm="1">
        <f t="array" ref="N150">IFERROR(AVERAGE(IF((DiscreteStatsTable[GroupByKey]=DiscreteStatsTable[[#This Row],[GroupByKey]]),(DiscreteStatsTable[GroupByKey]=DiscreteStatsTable[[#This Row],[GroupByKey]])*DiscreteStatsTable[Average])),0)</f>
        <v>3.3323515397240668</v>
      </c>
      <c r="O150" cm="1">
        <f t="array" ref="O150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50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50" cm="1">
        <f t="array" ref="R150">MIN(IF((DiscreteStatsTable[GroupByKey]=DiscreteStatsTable[[#This Row],[GroupByKey]]),(DiscreteStatsTable[GroupByKey]=DiscreteStatsTable[[#This Row],[GroupByKey]])*DiscreteStatsTable[Average]))</f>
        <v>3.32378622759098</v>
      </c>
      <c r="S150" cm="1">
        <f t="array" ref="S150">MAX(IF((DiscreteStatsTable[GroupByKey]=DiscreteStatsTable[[#This Row],[GroupByKey]]),(DiscreteStatsTable[GroupByKey]=DiscreteStatsTable[[#This Row],[GroupByKey]])*DiscreteStatsTable[Average]))</f>
        <v>3.34611818446874</v>
      </c>
      <c r="T150" cm="1">
        <f t="array" ref="T150">MIN(IF((DiscreteStatsTable[GroupByKey]=DiscreteStatsTable[[#This Row],[GroupByKey]]),(DiscreteStatsTable[GroupByKey]=DiscreteStatsTable[[#This Row],[GroupByKey]])*DiscreteStatsTable[Minimum]))</f>
        <v>2.01056383305695</v>
      </c>
      <c r="U150" cm="1">
        <f t="array" ref="U150">MAX(IF((DiscreteStatsTable[GroupByKey]=DiscreteStatsTable[[#This Row],[GroupByKey]]),(DiscreteStatsTable[GroupByKey]=DiscreteStatsTable[[#This Row],[GroupByKey]])*DiscreteStatsTable[Maximum]))</f>
        <v>4.9923538390357898</v>
      </c>
      <c r="V150" cm="1">
        <f t="array" ref="V150">IFERROR(AVERAGE(IF((DiscreteStatsTable[GroupByKey]=DiscreteStatsTable[[#This Row],[GroupByKey]]),(DiscreteStatsTable[GroupByKey]=DiscreteStatsTable[[#This Row],[GroupByKey]])*DiscreteStatsTable[NumberObservations])),0)</f>
        <v>6547.3</v>
      </c>
      <c r="W150">
        <f>IF((DiscreteStatsTable[[#This Row],[RepsRequested]]&gt;1),DiscreteStatsTable[[#This Row],[HalfWidth]],DiscreteStatsTable[[#This Row],[BatchMeansHalfWidth]])</f>
        <v>4.4213120792160878E-3</v>
      </c>
      <c r="X150" cm="1">
        <f t="array" ref="X150">COUNT(IF((DiscreteStatsTable[GroupByKey]=DiscreteStatsTable[[#This Row],[GroupByKey]]),(DiscreteStatsTable[GroupByKey]=DiscreteStatsTable[[#This Row],[GroupByKey]])*DiscreteStatsTable[Replication]))</f>
        <v>10</v>
      </c>
      <c r="Y150">
        <f>IF(DiscreteStatsTable[[#This Row],[RepsRequested]]=DiscreteStatsTable[[#This Row],[RepsWithStatObserved]],1,0)</f>
        <v>1</v>
      </c>
    </row>
    <row r="151" spans="1:25" x14ac:dyDescent="0.25">
      <c r="A151" t="s">
        <v>67</v>
      </c>
      <c r="B151" t="s">
        <v>243</v>
      </c>
      <c r="C151">
        <v>5</v>
      </c>
      <c r="D151" t="s">
        <v>90</v>
      </c>
      <c r="E151" t="s">
        <v>89</v>
      </c>
      <c r="F151" t="s">
        <v>87</v>
      </c>
      <c r="G151">
        <v>3.3336361049729502</v>
      </c>
      <c r="H151">
        <v>1.84247944070072E-2</v>
      </c>
      <c r="I151">
        <v>2.0209072589641401</v>
      </c>
      <c r="J151">
        <v>4.9773191760759801</v>
      </c>
      <c r="K151">
        <v>6553</v>
      </c>
      <c r="L151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151" cm="1">
        <f t="array" ref="M151">MAX(IF((ProjectInfoTable[ProjectName]=DiscreteStatsTable[[#This Row],[ProjectName]]),(ProjectInfoTable[ProjectName]=DiscreteStatsTable[[#This Row],[ProjectName]])*ProjectInfoTable[NumberOfReplications]))</f>
        <v>10</v>
      </c>
      <c r="N151" cm="1">
        <f t="array" ref="N151">IFERROR(AVERAGE(IF((DiscreteStatsTable[GroupByKey]=DiscreteStatsTable[[#This Row],[GroupByKey]]),(DiscreteStatsTable[GroupByKey]=DiscreteStatsTable[[#This Row],[GroupByKey]])*DiscreteStatsTable[Average])),0)</f>
        <v>3.3323515397240668</v>
      </c>
      <c r="O151" cm="1">
        <f t="array" ref="O151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51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51" cm="1">
        <f t="array" ref="R151">MIN(IF((DiscreteStatsTable[GroupByKey]=DiscreteStatsTable[[#This Row],[GroupByKey]]),(DiscreteStatsTable[GroupByKey]=DiscreteStatsTable[[#This Row],[GroupByKey]])*DiscreteStatsTable[Average]))</f>
        <v>3.32378622759098</v>
      </c>
      <c r="S151" cm="1">
        <f t="array" ref="S151">MAX(IF((DiscreteStatsTable[GroupByKey]=DiscreteStatsTable[[#This Row],[GroupByKey]]),(DiscreteStatsTable[GroupByKey]=DiscreteStatsTable[[#This Row],[GroupByKey]])*DiscreteStatsTable[Average]))</f>
        <v>3.34611818446874</v>
      </c>
      <c r="T151" cm="1">
        <f t="array" ref="T151">MIN(IF((DiscreteStatsTable[GroupByKey]=DiscreteStatsTable[[#This Row],[GroupByKey]]),(DiscreteStatsTable[GroupByKey]=DiscreteStatsTable[[#This Row],[GroupByKey]])*DiscreteStatsTable[Minimum]))</f>
        <v>2.01056383305695</v>
      </c>
      <c r="U151" cm="1">
        <f t="array" ref="U151">MAX(IF((DiscreteStatsTable[GroupByKey]=DiscreteStatsTable[[#This Row],[GroupByKey]]),(DiscreteStatsTable[GroupByKey]=DiscreteStatsTable[[#This Row],[GroupByKey]])*DiscreteStatsTable[Maximum]))</f>
        <v>4.9923538390357898</v>
      </c>
      <c r="V151" cm="1">
        <f t="array" ref="V151">IFERROR(AVERAGE(IF((DiscreteStatsTable[GroupByKey]=DiscreteStatsTable[[#This Row],[GroupByKey]]),(DiscreteStatsTable[GroupByKey]=DiscreteStatsTable[[#This Row],[GroupByKey]])*DiscreteStatsTable[NumberObservations])),0)</f>
        <v>6547.3</v>
      </c>
      <c r="W151">
        <f>IF((DiscreteStatsTable[[#This Row],[RepsRequested]]&gt;1),DiscreteStatsTable[[#This Row],[HalfWidth]],DiscreteStatsTable[[#This Row],[BatchMeansHalfWidth]])</f>
        <v>4.4213120792160878E-3</v>
      </c>
      <c r="X151" cm="1">
        <f t="array" ref="X151">COUNT(IF((DiscreteStatsTable[GroupByKey]=DiscreteStatsTable[[#This Row],[GroupByKey]]),(DiscreteStatsTable[GroupByKey]=DiscreteStatsTable[[#This Row],[GroupByKey]])*DiscreteStatsTable[Replication]))</f>
        <v>10</v>
      </c>
      <c r="Y151">
        <f>IF(DiscreteStatsTable[[#This Row],[RepsRequested]]=DiscreteStatsTable[[#This Row],[RepsWithStatObserved]],1,0)</f>
        <v>1</v>
      </c>
    </row>
    <row r="152" spans="1:25" x14ac:dyDescent="0.25">
      <c r="A152" t="s">
        <v>67</v>
      </c>
      <c r="B152" t="s">
        <v>243</v>
      </c>
      <c r="C152">
        <v>6</v>
      </c>
      <c r="D152" t="s">
        <v>90</v>
      </c>
      <c r="E152" t="s">
        <v>88</v>
      </c>
      <c r="F152" t="s">
        <v>87</v>
      </c>
      <c r="G152">
        <v>3.3343209997168199</v>
      </c>
      <c r="H152">
        <v>1.09935422711711E-2</v>
      </c>
      <c r="I152">
        <v>2.0125613112468299</v>
      </c>
      <c r="J152">
        <v>4.9758473075926304</v>
      </c>
      <c r="K152">
        <v>6549</v>
      </c>
      <c r="L152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152" cm="1">
        <f t="array" ref="M152">MAX(IF((ProjectInfoTable[ProjectName]=DiscreteStatsTable[[#This Row],[ProjectName]]),(ProjectInfoTable[ProjectName]=DiscreteStatsTable[[#This Row],[ProjectName]])*ProjectInfoTable[NumberOfReplications]))</f>
        <v>10</v>
      </c>
      <c r="N152" cm="1">
        <f t="array" ref="N152">IFERROR(AVERAGE(IF((DiscreteStatsTable[GroupByKey]=DiscreteStatsTable[[#This Row],[GroupByKey]]),(DiscreteStatsTable[GroupByKey]=DiscreteStatsTable[[#This Row],[GroupByKey]])*DiscreteStatsTable[Average])),0)</f>
        <v>3.3323515397240668</v>
      </c>
      <c r="O152" cm="1">
        <f t="array" ref="O152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52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52" cm="1">
        <f t="array" ref="R152">MIN(IF((DiscreteStatsTable[GroupByKey]=DiscreteStatsTable[[#This Row],[GroupByKey]]),(DiscreteStatsTable[GroupByKey]=DiscreteStatsTable[[#This Row],[GroupByKey]])*DiscreteStatsTable[Average]))</f>
        <v>3.32378622759098</v>
      </c>
      <c r="S152" cm="1">
        <f t="array" ref="S152">MAX(IF((DiscreteStatsTable[GroupByKey]=DiscreteStatsTable[[#This Row],[GroupByKey]]),(DiscreteStatsTable[GroupByKey]=DiscreteStatsTable[[#This Row],[GroupByKey]])*DiscreteStatsTable[Average]))</f>
        <v>3.34611818446874</v>
      </c>
      <c r="T152" cm="1">
        <f t="array" ref="T152">MIN(IF((DiscreteStatsTable[GroupByKey]=DiscreteStatsTable[[#This Row],[GroupByKey]]),(DiscreteStatsTable[GroupByKey]=DiscreteStatsTable[[#This Row],[GroupByKey]])*DiscreteStatsTable[Minimum]))</f>
        <v>2.01056383305695</v>
      </c>
      <c r="U152" cm="1">
        <f t="array" ref="U152">MAX(IF((DiscreteStatsTable[GroupByKey]=DiscreteStatsTable[[#This Row],[GroupByKey]]),(DiscreteStatsTable[GroupByKey]=DiscreteStatsTable[[#This Row],[GroupByKey]])*DiscreteStatsTable[Maximum]))</f>
        <v>4.9923538390357898</v>
      </c>
      <c r="V152" cm="1">
        <f t="array" ref="V152">IFERROR(AVERAGE(IF((DiscreteStatsTable[GroupByKey]=DiscreteStatsTable[[#This Row],[GroupByKey]]),(DiscreteStatsTable[GroupByKey]=DiscreteStatsTable[[#This Row],[GroupByKey]])*DiscreteStatsTable[NumberObservations])),0)</f>
        <v>6547.3</v>
      </c>
      <c r="W152">
        <f>IF((DiscreteStatsTable[[#This Row],[RepsRequested]]&gt;1),DiscreteStatsTable[[#This Row],[HalfWidth]],DiscreteStatsTable[[#This Row],[BatchMeansHalfWidth]])</f>
        <v>4.4213120792160878E-3</v>
      </c>
      <c r="X152" cm="1">
        <f t="array" ref="X152">COUNT(IF((DiscreteStatsTable[GroupByKey]=DiscreteStatsTable[[#This Row],[GroupByKey]]),(DiscreteStatsTable[GroupByKey]=DiscreteStatsTable[[#This Row],[GroupByKey]])*DiscreteStatsTable[Replication]))</f>
        <v>10</v>
      </c>
      <c r="Y152">
        <f>IF(DiscreteStatsTable[[#This Row],[RepsRequested]]=DiscreteStatsTable[[#This Row],[RepsWithStatObserved]],1,0)</f>
        <v>1</v>
      </c>
    </row>
    <row r="153" spans="1:25" x14ac:dyDescent="0.25">
      <c r="A153" t="s">
        <v>67</v>
      </c>
      <c r="B153" t="s">
        <v>243</v>
      </c>
      <c r="C153">
        <v>6</v>
      </c>
      <c r="D153" t="s">
        <v>90</v>
      </c>
      <c r="E153" t="s">
        <v>89</v>
      </c>
      <c r="F153" t="s">
        <v>87</v>
      </c>
      <c r="G153">
        <v>3.3343209997168199</v>
      </c>
      <c r="H153">
        <v>1.09935422711711E-2</v>
      </c>
      <c r="I153">
        <v>2.0125613112468299</v>
      </c>
      <c r="J153">
        <v>4.9758473075926304</v>
      </c>
      <c r="K153">
        <v>6549</v>
      </c>
      <c r="L153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153" cm="1">
        <f t="array" ref="M153">MAX(IF((ProjectInfoTable[ProjectName]=DiscreteStatsTable[[#This Row],[ProjectName]]),(ProjectInfoTable[ProjectName]=DiscreteStatsTable[[#This Row],[ProjectName]])*ProjectInfoTable[NumberOfReplications]))</f>
        <v>10</v>
      </c>
      <c r="N153" cm="1">
        <f t="array" ref="N153">IFERROR(AVERAGE(IF((DiscreteStatsTable[GroupByKey]=DiscreteStatsTable[[#This Row],[GroupByKey]]),(DiscreteStatsTable[GroupByKey]=DiscreteStatsTable[[#This Row],[GroupByKey]])*DiscreteStatsTable[Average])),0)</f>
        <v>3.3323515397240668</v>
      </c>
      <c r="O153" cm="1">
        <f t="array" ref="O153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53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53" cm="1">
        <f t="array" ref="R153">MIN(IF((DiscreteStatsTable[GroupByKey]=DiscreteStatsTable[[#This Row],[GroupByKey]]),(DiscreteStatsTable[GroupByKey]=DiscreteStatsTable[[#This Row],[GroupByKey]])*DiscreteStatsTable[Average]))</f>
        <v>3.32378622759098</v>
      </c>
      <c r="S153" cm="1">
        <f t="array" ref="S153">MAX(IF((DiscreteStatsTable[GroupByKey]=DiscreteStatsTable[[#This Row],[GroupByKey]]),(DiscreteStatsTable[GroupByKey]=DiscreteStatsTable[[#This Row],[GroupByKey]])*DiscreteStatsTable[Average]))</f>
        <v>3.34611818446874</v>
      </c>
      <c r="T153" cm="1">
        <f t="array" ref="T153">MIN(IF((DiscreteStatsTable[GroupByKey]=DiscreteStatsTable[[#This Row],[GroupByKey]]),(DiscreteStatsTable[GroupByKey]=DiscreteStatsTable[[#This Row],[GroupByKey]])*DiscreteStatsTable[Minimum]))</f>
        <v>2.01056383305695</v>
      </c>
      <c r="U153" cm="1">
        <f t="array" ref="U153">MAX(IF((DiscreteStatsTable[GroupByKey]=DiscreteStatsTable[[#This Row],[GroupByKey]]),(DiscreteStatsTable[GroupByKey]=DiscreteStatsTable[[#This Row],[GroupByKey]])*DiscreteStatsTable[Maximum]))</f>
        <v>4.9923538390357898</v>
      </c>
      <c r="V153" cm="1">
        <f t="array" ref="V153">IFERROR(AVERAGE(IF((DiscreteStatsTable[GroupByKey]=DiscreteStatsTable[[#This Row],[GroupByKey]]),(DiscreteStatsTable[GroupByKey]=DiscreteStatsTable[[#This Row],[GroupByKey]])*DiscreteStatsTable[NumberObservations])),0)</f>
        <v>6547.3</v>
      </c>
      <c r="W153">
        <f>IF((DiscreteStatsTable[[#This Row],[RepsRequested]]&gt;1),DiscreteStatsTable[[#This Row],[HalfWidth]],DiscreteStatsTable[[#This Row],[BatchMeansHalfWidth]])</f>
        <v>4.4213120792160878E-3</v>
      </c>
      <c r="X153" cm="1">
        <f t="array" ref="X153">COUNT(IF((DiscreteStatsTable[GroupByKey]=DiscreteStatsTable[[#This Row],[GroupByKey]]),(DiscreteStatsTable[GroupByKey]=DiscreteStatsTable[[#This Row],[GroupByKey]])*DiscreteStatsTable[Replication]))</f>
        <v>10</v>
      </c>
      <c r="Y153">
        <f>IF(DiscreteStatsTable[[#This Row],[RepsRequested]]=DiscreteStatsTable[[#This Row],[RepsWithStatObserved]],1,0)</f>
        <v>1</v>
      </c>
    </row>
    <row r="154" spans="1:25" x14ac:dyDescent="0.25">
      <c r="A154" t="s">
        <v>67</v>
      </c>
      <c r="B154" t="s">
        <v>243</v>
      </c>
      <c r="C154">
        <v>7</v>
      </c>
      <c r="D154" t="s">
        <v>90</v>
      </c>
      <c r="E154" t="s">
        <v>88</v>
      </c>
      <c r="F154" t="s">
        <v>87</v>
      </c>
      <c r="G154">
        <v>3.3314098183371099</v>
      </c>
      <c r="H154">
        <v>1.30928995494142E-2</v>
      </c>
      <c r="I154">
        <v>2.0252966247353501</v>
      </c>
      <c r="J154">
        <v>4.9880546188796897</v>
      </c>
      <c r="K154">
        <v>6553</v>
      </c>
      <c r="L154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154" cm="1">
        <f t="array" ref="M154">MAX(IF((ProjectInfoTable[ProjectName]=DiscreteStatsTable[[#This Row],[ProjectName]]),(ProjectInfoTable[ProjectName]=DiscreteStatsTable[[#This Row],[ProjectName]])*ProjectInfoTable[NumberOfReplications]))</f>
        <v>10</v>
      </c>
      <c r="N154" cm="1">
        <f t="array" ref="N154">IFERROR(AVERAGE(IF((DiscreteStatsTable[GroupByKey]=DiscreteStatsTable[[#This Row],[GroupByKey]]),(DiscreteStatsTable[GroupByKey]=DiscreteStatsTable[[#This Row],[GroupByKey]])*DiscreteStatsTable[Average])),0)</f>
        <v>3.3323515397240668</v>
      </c>
      <c r="O154" cm="1">
        <f t="array" ref="O154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54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54" cm="1">
        <f t="array" ref="R154">MIN(IF((DiscreteStatsTable[GroupByKey]=DiscreteStatsTable[[#This Row],[GroupByKey]]),(DiscreteStatsTable[GroupByKey]=DiscreteStatsTable[[#This Row],[GroupByKey]])*DiscreteStatsTable[Average]))</f>
        <v>3.32378622759098</v>
      </c>
      <c r="S154" cm="1">
        <f t="array" ref="S154">MAX(IF((DiscreteStatsTable[GroupByKey]=DiscreteStatsTable[[#This Row],[GroupByKey]]),(DiscreteStatsTable[GroupByKey]=DiscreteStatsTable[[#This Row],[GroupByKey]])*DiscreteStatsTable[Average]))</f>
        <v>3.34611818446874</v>
      </c>
      <c r="T154" cm="1">
        <f t="array" ref="T154">MIN(IF((DiscreteStatsTable[GroupByKey]=DiscreteStatsTable[[#This Row],[GroupByKey]]),(DiscreteStatsTable[GroupByKey]=DiscreteStatsTable[[#This Row],[GroupByKey]])*DiscreteStatsTable[Minimum]))</f>
        <v>2.01056383305695</v>
      </c>
      <c r="U154" cm="1">
        <f t="array" ref="U154">MAX(IF((DiscreteStatsTable[GroupByKey]=DiscreteStatsTable[[#This Row],[GroupByKey]]),(DiscreteStatsTable[GroupByKey]=DiscreteStatsTable[[#This Row],[GroupByKey]])*DiscreteStatsTable[Maximum]))</f>
        <v>4.9923538390357898</v>
      </c>
      <c r="V154" cm="1">
        <f t="array" ref="V154">IFERROR(AVERAGE(IF((DiscreteStatsTable[GroupByKey]=DiscreteStatsTable[[#This Row],[GroupByKey]]),(DiscreteStatsTable[GroupByKey]=DiscreteStatsTable[[#This Row],[GroupByKey]])*DiscreteStatsTable[NumberObservations])),0)</f>
        <v>6547.3</v>
      </c>
      <c r="W154">
        <f>IF((DiscreteStatsTable[[#This Row],[RepsRequested]]&gt;1),DiscreteStatsTable[[#This Row],[HalfWidth]],DiscreteStatsTable[[#This Row],[BatchMeansHalfWidth]])</f>
        <v>4.4213120792160878E-3</v>
      </c>
      <c r="X154" cm="1">
        <f t="array" ref="X154">COUNT(IF((DiscreteStatsTable[GroupByKey]=DiscreteStatsTable[[#This Row],[GroupByKey]]),(DiscreteStatsTable[GroupByKey]=DiscreteStatsTable[[#This Row],[GroupByKey]])*DiscreteStatsTable[Replication]))</f>
        <v>10</v>
      </c>
      <c r="Y154">
        <f>IF(DiscreteStatsTable[[#This Row],[RepsRequested]]=DiscreteStatsTable[[#This Row],[RepsWithStatObserved]],1,0)</f>
        <v>1</v>
      </c>
    </row>
    <row r="155" spans="1:25" x14ac:dyDescent="0.25">
      <c r="A155" t="s">
        <v>67</v>
      </c>
      <c r="B155" t="s">
        <v>243</v>
      </c>
      <c r="C155">
        <v>7</v>
      </c>
      <c r="D155" t="s">
        <v>90</v>
      </c>
      <c r="E155" t="s">
        <v>89</v>
      </c>
      <c r="F155" t="s">
        <v>87</v>
      </c>
      <c r="G155">
        <v>3.3314098183371099</v>
      </c>
      <c r="H155">
        <v>1.30928995494142E-2</v>
      </c>
      <c r="I155">
        <v>2.0252966247353501</v>
      </c>
      <c r="J155">
        <v>4.9880546188796897</v>
      </c>
      <c r="K155">
        <v>6553</v>
      </c>
      <c r="L155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155" cm="1">
        <f t="array" ref="M155">MAX(IF((ProjectInfoTable[ProjectName]=DiscreteStatsTable[[#This Row],[ProjectName]]),(ProjectInfoTable[ProjectName]=DiscreteStatsTable[[#This Row],[ProjectName]])*ProjectInfoTable[NumberOfReplications]))</f>
        <v>10</v>
      </c>
      <c r="N155" cm="1">
        <f t="array" ref="N155">IFERROR(AVERAGE(IF((DiscreteStatsTable[GroupByKey]=DiscreteStatsTable[[#This Row],[GroupByKey]]),(DiscreteStatsTable[GroupByKey]=DiscreteStatsTable[[#This Row],[GroupByKey]])*DiscreteStatsTable[Average])),0)</f>
        <v>3.3323515397240668</v>
      </c>
      <c r="O155" cm="1">
        <f t="array" ref="O155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5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55" cm="1">
        <f t="array" ref="R155">MIN(IF((DiscreteStatsTable[GroupByKey]=DiscreteStatsTable[[#This Row],[GroupByKey]]),(DiscreteStatsTable[GroupByKey]=DiscreteStatsTable[[#This Row],[GroupByKey]])*DiscreteStatsTable[Average]))</f>
        <v>3.32378622759098</v>
      </c>
      <c r="S155" cm="1">
        <f t="array" ref="S155">MAX(IF((DiscreteStatsTable[GroupByKey]=DiscreteStatsTable[[#This Row],[GroupByKey]]),(DiscreteStatsTable[GroupByKey]=DiscreteStatsTable[[#This Row],[GroupByKey]])*DiscreteStatsTable[Average]))</f>
        <v>3.34611818446874</v>
      </c>
      <c r="T155" cm="1">
        <f t="array" ref="T155">MIN(IF((DiscreteStatsTable[GroupByKey]=DiscreteStatsTable[[#This Row],[GroupByKey]]),(DiscreteStatsTable[GroupByKey]=DiscreteStatsTable[[#This Row],[GroupByKey]])*DiscreteStatsTable[Minimum]))</f>
        <v>2.01056383305695</v>
      </c>
      <c r="U155" cm="1">
        <f t="array" ref="U155">MAX(IF((DiscreteStatsTable[GroupByKey]=DiscreteStatsTable[[#This Row],[GroupByKey]]),(DiscreteStatsTable[GroupByKey]=DiscreteStatsTable[[#This Row],[GroupByKey]])*DiscreteStatsTable[Maximum]))</f>
        <v>4.9923538390357898</v>
      </c>
      <c r="V155" cm="1">
        <f t="array" ref="V155">IFERROR(AVERAGE(IF((DiscreteStatsTable[GroupByKey]=DiscreteStatsTable[[#This Row],[GroupByKey]]),(DiscreteStatsTable[GroupByKey]=DiscreteStatsTable[[#This Row],[GroupByKey]])*DiscreteStatsTable[NumberObservations])),0)</f>
        <v>6547.3</v>
      </c>
      <c r="W155">
        <f>IF((DiscreteStatsTable[[#This Row],[RepsRequested]]&gt;1),DiscreteStatsTable[[#This Row],[HalfWidth]],DiscreteStatsTable[[#This Row],[BatchMeansHalfWidth]])</f>
        <v>4.4213120792160878E-3</v>
      </c>
      <c r="X155" cm="1">
        <f t="array" ref="X155">COUNT(IF((DiscreteStatsTable[GroupByKey]=DiscreteStatsTable[[#This Row],[GroupByKey]]),(DiscreteStatsTable[GroupByKey]=DiscreteStatsTable[[#This Row],[GroupByKey]])*DiscreteStatsTable[Replication]))</f>
        <v>10</v>
      </c>
      <c r="Y155">
        <f>IF(DiscreteStatsTable[[#This Row],[RepsRequested]]=DiscreteStatsTable[[#This Row],[RepsWithStatObserved]],1,0)</f>
        <v>1</v>
      </c>
    </row>
    <row r="156" spans="1:25" x14ac:dyDescent="0.25">
      <c r="A156" t="s">
        <v>67</v>
      </c>
      <c r="B156" t="s">
        <v>243</v>
      </c>
      <c r="C156">
        <v>8</v>
      </c>
      <c r="D156" t="s">
        <v>90</v>
      </c>
      <c r="E156" t="s">
        <v>88</v>
      </c>
      <c r="F156" t="s">
        <v>87</v>
      </c>
      <c r="G156">
        <v>3.3362109252521801</v>
      </c>
      <c r="H156">
        <v>1.41882274617397E-2</v>
      </c>
      <c r="I156">
        <v>2.0154066327959299</v>
      </c>
      <c r="J156">
        <v>4.9923538390357898</v>
      </c>
      <c r="K156">
        <v>6545</v>
      </c>
      <c r="L156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156" cm="1">
        <f t="array" ref="M156">MAX(IF((ProjectInfoTable[ProjectName]=DiscreteStatsTable[[#This Row],[ProjectName]]),(ProjectInfoTable[ProjectName]=DiscreteStatsTable[[#This Row],[ProjectName]])*ProjectInfoTable[NumberOfReplications]))</f>
        <v>10</v>
      </c>
      <c r="N156" cm="1">
        <f t="array" ref="N156">IFERROR(AVERAGE(IF((DiscreteStatsTable[GroupByKey]=DiscreteStatsTable[[#This Row],[GroupByKey]]),(DiscreteStatsTable[GroupByKey]=DiscreteStatsTable[[#This Row],[GroupByKey]])*DiscreteStatsTable[Average])),0)</f>
        <v>3.3323515397240668</v>
      </c>
      <c r="O156" cm="1">
        <f t="array" ref="O156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56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56" cm="1">
        <f t="array" ref="R156">MIN(IF((DiscreteStatsTable[GroupByKey]=DiscreteStatsTable[[#This Row],[GroupByKey]]),(DiscreteStatsTable[GroupByKey]=DiscreteStatsTable[[#This Row],[GroupByKey]])*DiscreteStatsTable[Average]))</f>
        <v>3.32378622759098</v>
      </c>
      <c r="S156" cm="1">
        <f t="array" ref="S156">MAX(IF((DiscreteStatsTable[GroupByKey]=DiscreteStatsTable[[#This Row],[GroupByKey]]),(DiscreteStatsTable[GroupByKey]=DiscreteStatsTable[[#This Row],[GroupByKey]])*DiscreteStatsTable[Average]))</f>
        <v>3.34611818446874</v>
      </c>
      <c r="T156" cm="1">
        <f t="array" ref="T156">MIN(IF((DiscreteStatsTable[GroupByKey]=DiscreteStatsTable[[#This Row],[GroupByKey]]),(DiscreteStatsTable[GroupByKey]=DiscreteStatsTable[[#This Row],[GroupByKey]])*DiscreteStatsTable[Minimum]))</f>
        <v>2.01056383305695</v>
      </c>
      <c r="U156" cm="1">
        <f t="array" ref="U156">MAX(IF((DiscreteStatsTable[GroupByKey]=DiscreteStatsTable[[#This Row],[GroupByKey]]),(DiscreteStatsTable[GroupByKey]=DiscreteStatsTable[[#This Row],[GroupByKey]])*DiscreteStatsTable[Maximum]))</f>
        <v>4.9923538390357898</v>
      </c>
      <c r="V156" cm="1">
        <f t="array" ref="V156">IFERROR(AVERAGE(IF((DiscreteStatsTable[GroupByKey]=DiscreteStatsTable[[#This Row],[GroupByKey]]),(DiscreteStatsTable[GroupByKey]=DiscreteStatsTable[[#This Row],[GroupByKey]])*DiscreteStatsTable[NumberObservations])),0)</f>
        <v>6547.3</v>
      </c>
      <c r="W156">
        <f>IF((DiscreteStatsTable[[#This Row],[RepsRequested]]&gt;1),DiscreteStatsTable[[#This Row],[HalfWidth]],DiscreteStatsTable[[#This Row],[BatchMeansHalfWidth]])</f>
        <v>4.4213120792160878E-3</v>
      </c>
      <c r="X156" cm="1">
        <f t="array" ref="X156">COUNT(IF((DiscreteStatsTable[GroupByKey]=DiscreteStatsTable[[#This Row],[GroupByKey]]),(DiscreteStatsTable[GroupByKey]=DiscreteStatsTable[[#This Row],[GroupByKey]])*DiscreteStatsTable[Replication]))</f>
        <v>10</v>
      </c>
      <c r="Y156">
        <f>IF(DiscreteStatsTable[[#This Row],[RepsRequested]]=DiscreteStatsTable[[#This Row],[RepsWithStatObserved]],1,0)</f>
        <v>1</v>
      </c>
    </row>
    <row r="157" spans="1:25" x14ac:dyDescent="0.25">
      <c r="A157" t="s">
        <v>67</v>
      </c>
      <c r="B157" t="s">
        <v>243</v>
      </c>
      <c r="C157">
        <v>8</v>
      </c>
      <c r="D157" t="s">
        <v>90</v>
      </c>
      <c r="E157" t="s">
        <v>89</v>
      </c>
      <c r="F157" t="s">
        <v>87</v>
      </c>
      <c r="G157">
        <v>3.3362109252521801</v>
      </c>
      <c r="H157">
        <v>1.41882274617397E-2</v>
      </c>
      <c r="I157">
        <v>2.0154066327959299</v>
      </c>
      <c r="J157">
        <v>4.9923538390357898</v>
      </c>
      <c r="K157">
        <v>6545</v>
      </c>
      <c r="L157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157" cm="1">
        <f t="array" ref="M157">MAX(IF((ProjectInfoTable[ProjectName]=DiscreteStatsTable[[#This Row],[ProjectName]]),(ProjectInfoTable[ProjectName]=DiscreteStatsTable[[#This Row],[ProjectName]])*ProjectInfoTable[NumberOfReplications]))</f>
        <v>10</v>
      </c>
      <c r="N157" cm="1">
        <f t="array" ref="N157">IFERROR(AVERAGE(IF((DiscreteStatsTable[GroupByKey]=DiscreteStatsTable[[#This Row],[GroupByKey]]),(DiscreteStatsTable[GroupByKey]=DiscreteStatsTable[[#This Row],[GroupByKey]])*DiscreteStatsTable[Average])),0)</f>
        <v>3.3323515397240668</v>
      </c>
      <c r="O157" cm="1">
        <f t="array" ref="O157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57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57" cm="1">
        <f t="array" ref="R157">MIN(IF((DiscreteStatsTable[GroupByKey]=DiscreteStatsTable[[#This Row],[GroupByKey]]),(DiscreteStatsTable[GroupByKey]=DiscreteStatsTable[[#This Row],[GroupByKey]])*DiscreteStatsTable[Average]))</f>
        <v>3.32378622759098</v>
      </c>
      <c r="S157" cm="1">
        <f t="array" ref="S157">MAX(IF((DiscreteStatsTable[GroupByKey]=DiscreteStatsTable[[#This Row],[GroupByKey]]),(DiscreteStatsTable[GroupByKey]=DiscreteStatsTable[[#This Row],[GroupByKey]])*DiscreteStatsTable[Average]))</f>
        <v>3.34611818446874</v>
      </c>
      <c r="T157" cm="1">
        <f t="array" ref="T157">MIN(IF((DiscreteStatsTable[GroupByKey]=DiscreteStatsTable[[#This Row],[GroupByKey]]),(DiscreteStatsTable[GroupByKey]=DiscreteStatsTable[[#This Row],[GroupByKey]])*DiscreteStatsTable[Minimum]))</f>
        <v>2.01056383305695</v>
      </c>
      <c r="U157" cm="1">
        <f t="array" ref="U157">MAX(IF((DiscreteStatsTable[GroupByKey]=DiscreteStatsTable[[#This Row],[GroupByKey]]),(DiscreteStatsTable[GroupByKey]=DiscreteStatsTable[[#This Row],[GroupByKey]])*DiscreteStatsTable[Maximum]))</f>
        <v>4.9923538390357898</v>
      </c>
      <c r="V157" cm="1">
        <f t="array" ref="V157">IFERROR(AVERAGE(IF((DiscreteStatsTable[GroupByKey]=DiscreteStatsTable[[#This Row],[GroupByKey]]),(DiscreteStatsTable[GroupByKey]=DiscreteStatsTable[[#This Row],[GroupByKey]])*DiscreteStatsTable[NumberObservations])),0)</f>
        <v>6547.3</v>
      </c>
      <c r="W157">
        <f>IF((DiscreteStatsTable[[#This Row],[RepsRequested]]&gt;1),DiscreteStatsTable[[#This Row],[HalfWidth]],DiscreteStatsTable[[#This Row],[BatchMeansHalfWidth]])</f>
        <v>4.4213120792160878E-3</v>
      </c>
      <c r="X157" cm="1">
        <f t="array" ref="X157">COUNT(IF((DiscreteStatsTable[GroupByKey]=DiscreteStatsTable[[#This Row],[GroupByKey]]),(DiscreteStatsTable[GroupByKey]=DiscreteStatsTable[[#This Row],[GroupByKey]])*DiscreteStatsTable[Replication]))</f>
        <v>10</v>
      </c>
      <c r="Y157">
        <f>IF(DiscreteStatsTable[[#This Row],[RepsRequested]]=DiscreteStatsTable[[#This Row],[RepsWithStatObserved]],1,0)</f>
        <v>1</v>
      </c>
    </row>
    <row r="158" spans="1:25" x14ac:dyDescent="0.25">
      <c r="A158" t="s">
        <v>67</v>
      </c>
      <c r="B158" t="s">
        <v>243</v>
      </c>
      <c r="C158">
        <v>9</v>
      </c>
      <c r="D158" t="s">
        <v>90</v>
      </c>
      <c r="E158" t="s">
        <v>88</v>
      </c>
      <c r="F158" t="s">
        <v>87</v>
      </c>
      <c r="G158">
        <v>3.33224348302902</v>
      </c>
      <c r="H158">
        <v>3E+20</v>
      </c>
      <c r="I158">
        <v>2.0155666801583698</v>
      </c>
      <c r="J158">
        <v>4.9878380077425399</v>
      </c>
      <c r="K158">
        <v>6549</v>
      </c>
      <c r="L158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158" cm="1">
        <f t="array" ref="M158">MAX(IF((ProjectInfoTable[ProjectName]=DiscreteStatsTable[[#This Row],[ProjectName]]),(ProjectInfoTable[ProjectName]=DiscreteStatsTable[[#This Row],[ProjectName]])*ProjectInfoTable[NumberOfReplications]))</f>
        <v>10</v>
      </c>
      <c r="N158" cm="1">
        <f t="array" ref="N158">IFERROR(AVERAGE(IF((DiscreteStatsTable[GroupByKey]=DiscreteStatsTable[[#This Row],[GroupByKey]]),(DiscreteStatsTable[GroupByKey]=DiscreteStatsTable[[#This Row],[GroupByKey]])*DiscreteStatsTable[Average])),0)</f>
        <v>3.3323515397240668</v>
      </c>
      <c r="O158" cm="1">
        <f t="array" ref="O158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58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58" cm="1">
        <f t="array" ref="R158">MIN(IF((DiscreteStatsTable[GroupByKey]=DiscreteStatsTable[[#This Row],[GroupByKey]]),(DiscreteStatsTable[GroupByKey]=DiscreteStatsTable[[#This Row],[GroupByKey]])*DiscreteStatsTable[Average]))</f>
        <v>3.32378622759098</v>
      </c>
      <c r="S158" cm="1">
        <f t="array" ref="S158">MAX(IF((DiscreteStatsTable[GroupByKey]=DiscreteStatsTable[[#This Row],[GroupByKey]]),(DiscreteStatsTable[GroupByKey]=DiscreteStatsTable[[#This Row],[GroupByKey]])*DiscreteStatsTable[Average]))</f>
        <v>3.34611818446874</v>
      </c>
      <c r="T158" cm="1">
        <f t="array" ref="T158">MIN(IF((DiscreteStatsTable[GroupByKey]=DiscreteStatsTable[[#This Row],[GroupByKey]]),(DiscreteStatsTable[GroupByKey]=DiscreteStatsTable[[#This Row],[GroupByKey]])*DiscreteStatsTable[Minimum]))</f>
        <v>2.01056383305695</v>
      </c>
      <c r="U158" cm="1">
        <f t="array" ref="U158">MAX(IF((DiscreteStatsTable[GroupByKey]=DiscreteStatsTable[[#This Row],[GroupByKey]]),(DiscreteStatsTable[GroupByKey]=DiscreteStatsTable[[#This Row],[GroupByKey]])*DiscreteStatsTable[Maximum]))</f>
        <v>4.9923538390357898</v>
      </c>
      <c r="V158" cm="1">
        <f t="array" ref="V158">IFERROR(AVERAGE(IF((DiscreteStatsTable[GroupByKey]=DiscreteStatsTable[[#This Row],[GroupByKey]]),(DiscreteStatsTable[GroupByKey]=DiscreteStatsTable[[#This Row],[GroupByKey]])*DiscreteStatsTable[NumberObservations])),0)</f>
        <v>6547.3</v>
      </c>
      <c r="W158">
        <f>IF((DiscreteStatsTable[[#This Row],[RepsRequested]]&gt;1),DiscreteStatsTable[[#This Row],[HalfWidth]],DiscreteStatsTable[[#This Row],[BatchMeansHalfWidth]])</f>
        <v>4.4213120792160878E-3</v>
      </c>
      <c r="X158" cm="1">
        <f t="array" ref="X158">COUNT(IF((DiscreteStatsTable[GroupByKey]=DiscreteStatsTable[[#This Row],[GroupByKey]]),(DiscreteStatsTable[GroupByKey]=DiscreteStatsTable[[#This Row],[GroupByKey]])*DiscreteStatsTable[Replication]))</f>
        <v>10</v>
      </c>
      <c r="Y158">
        <f>IF(DiscreteStatsTable[[#This Row],[RepsRequested]]=DiscreteStatsTable[[#This Row],[RepsWithStatObserved]],1,0)</f>
        <v>1</v>
      </c>
    </row>
    <row r="159" spans="1:25" x14ac:dyDescent="0.25">
      <c r="A159" t="s">
        <v>67</v>
      </c>
      <c r="B159" t="s">
        <v>243</v>
      </c>
      <c r="C159">
        <v>9</v>
      </c>
      <c r="D159" t="s">
        <v>90</v>
      </c>
      <c r="E159" t="s">
        <v>89</v>
      </c>
      <c r="F159" t="s">
        <v>87</v>
      </c>
      <c r="G159">
        <v>3.33224348302902</v>
      </c>
      <c r="H159">
        <v>3E+20</v>
      </c>
      <c r="I159">
        <v>2.0155666801583698</v>
      </c>
      <c r="J159">
        <v>4.9878380077425399</v>
      </c>
      <c r="K159">
        <v>6549</v>
      </c>
      <c r="L159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159" cm="1">
        <f t="array" ref="M159">MAX(IF((ProjectInfoTable[ProjectName]=DiscreteStatsTable[[#This Row],[ProjectName]]),(ProjectInfoTable[ProjectName]=DiscreteStatsTable[[#This Row],[ProjectName]])*ProjectInfoTable[NumberOfReplications]))</f>
        <v>10</v>
      </c>
      <c r="N159" cm="1">
        <f t="array" ref="N159">IFERROR(AVERAGE(IF((DiscreteStatsTable[GroupByKey]=DiscreteStatsTable[[#This Row],[GroupByKey]]),(DiscreteStatsTable[GroupByKey]=DiscreteStatsTable[[#This Row],[GroupByKey]])*DiscreteStatsTable[Average])),0)</f>
        <v>3.3323515397240668</v>
      </c>
      <c r="O159" cm="1">
        <f t="array" ref="O159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59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59" cm="1">
        <f t="array" ref="R159">MIN(IF((DiscreteStatsTable[GroupByKey]=DiscreteStatsTable[[#This Row],[GroupByKey]]),(DiscreteStatsTable[GroupByKey]=DiscreteStatsTable[[#This Row],[GroupByKey]])*DiscreteStatsTable[Average]))</f>
        <v>3.32378622759098</v>
      </c>
      <c r="S159" cm="1">
        <f t="array" ref="S159">MAX(IF((DiscreteStatsTable[GroupByKey]=DiscreteStatsTable[[#This Row],[GroupByKey]]),(DiscreteStatsTable[GroupByKey]=DiscreteStatsTable[[#This Row],[GroupByKey]])*DiscreteStatsTable[Average]))</f>
        <v>3.34611818446874</v>
      </c>
      <c r="T159" cm="1">
        <f t="array" ref="T159">MIN(IF((DiscreteStatsTable[GroupByKey]=DiscreteStatsTable[[#This Row],[GroupByKey]]),(DiscreteStatsTable[GroupByKey]=DiscreteStatsTable[[#This Row],[GroupByKey]])*DiscreteStatsTable[Minimum]))</f>
        <v>2.01056383305695</v>
      </c>
      <c r="U159" cm="1">
        <f t="array" ref="U159">MAX(IF((DiscreteStatsTable[GroupByKey]=DiscreteStatsTable[[#This Row],[GroupByKey]]),(DiscreteStatsTable[GroupByKey]=DiscreteStatsTable[[#This Row],[GroupByKey]])*DiscreteStatsTable[Maximum]))</f>
        <v>4.9923538390357898</v>
      </c>
      <c r="V159" cm="1">
        <f t="array" ref="V159">IFERROR(AVERAGE(IF((DiscreteStatsTable[GroupByKey]=DiscreteStatsTable[[#This Row],[GroupByKey]]),(DiscreteStatsTable[GroupByKey]=DiscreteStatsTable[[#This Row],[GroupByKey]])*DiscreteStatsTable[NumberObservations])),0)</f>
        <v>6547.3</v>
      </c>
      <c r="W159">
        <f>IF((DiscreteStatsTable[[#This Row],[RepsRequested]]&gt;1),DiscreteStatsTable[[#This Row],[HalfWidth]],DiscreteStatsTable[[#This Row],[BatchMeansHalfWidth]])</f>
        <v>4.4213120792160878E-3</v>
      </c>
      <c r="X159" cm="1">
        <f t="array" ref="X159">COUNT(IF((DiscreteStatsTable[GroupByKey]=DiscreteStatsTable[[#This Row],[GroupByKey]]),(DiscreteStatsTable[GroupByKey]=DiscreteStatsTable[[#This Row],[GroupByKey]])*DiscreteStatsTable[Replication]))</f>
        <v>10</v>
      </c>
      <c r="Y159">
        <f>IF(DiscreteStatsTable[[#This Row],[RepsRequested]]=DiscreteStatsTable[[#This Row],[RepsWithStatObserved]],1,0)</f>
        <v>1</v>
      </c>
    </row>
    <row r="160" spans="1:25" x14ac:dyDescent="0.25">
      <c r="A160" t="s">
        <v>67</v>
      </c>
      <c r="B160" t="s">
        <v>243</v>
      </c>
      <c r="C160">
        <v>10</v>
      </c>
      <c r="D160" t="s">
        <v>90</v>
      </c>
      <c r="E160" t="s">
        <v>88</v>
      </c>
      <c r="F160" t="s">
        <v>87</v>
      </c>
      <c r="G160">
        <v>3.34611818446874</v>
      </c>
      <c r="H160">
        <v>1.8173088043141199E-2</v>
      </c>
      <c r="I160">
        <v>2.0393634537467702</v>
      </c>
      <c r="J160">
        <v>4.9833276793942796</v>
      </c>
      <c r="K160">
        <v>6539</v>
      </c>
      <c r="L160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160" cm="1">
        <f t="array" ref="M160">MAX(IF((ProjectInfoTable[ProjectName]=DiscreteStatsTable[[#This Row],[ProjectName]]),(ProjectInfoTable[ProjectName]=DiscreteStatsTable[[#This Row],[ProjectName]])*ProjectInfoTable[NumberOfReplications]))</f>
        <v>10</v>
      </c>
      <c r="N160" cm="1">
        <f t="array" ref="N160">IFERROR(AVERAGE(IF((DiscreteStatsTable[GroupByKey]=DiscreteStatsTable[[#This Row],[GroupByKey]]),(DiscreteStatsTable[GroupByKey]=DiscreteStatsTable[[#This Row],[GroupByKey]])*DiscreteStatsTable[Average])),0)</f>
        <v>3.3323515397240668</v>
      </c>
      <c r="O160" cm="1">
        <f t="array" ref="O160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60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60" cm="1">
        <f t="array" ref="R160">MIN(IF((DiscreteStatsTable[GroupByKey]=DiscreteStatsTable[[#This Row],[GroupByKey]]),(DiscreteStatsTable[GroupByKey]=DiscreteStatsTable[[#This Row],[GroupByKey]])*DiscreteStatsTable[Average]))</f>
        <v>3.32378622759098</v>
      </c>
      <c r="S160" cm="1">
        <f t="array" ref="S160">MAX(IF((DiscreteStatsTable[GroupByKey]=DiscreteStatsTable[[#This Row],[GroupByKey]]),(DiscreteStatsTable[GroupByKey]=DiscreteStatsTable[[#This Row],[GroupByKey]])*DiscreteStatsTable[Average]))</f>
        <v>3.34611818446874</v>
      </c>
      <c r="T160" cm="1">
        <f t="array" ref="T160">MIN(IF((DiscreteStatsTable[GroupByKey]=DiscreteStatsTable[[#This Row],[GroupByKey]]),(DiscreteStatsTable[GroupByKey]=DiscreteStatsTable[[#This Row],[GroupByKey]])*DiscreteStatsTable[Minimum]))</f>
        <v>2.01056383305695</v>
      </c>
      <c r="U160" cm="1">
        <f t="array" ref="U160">MAX(IF((DiscreteStatsTable[GroupByKey]=DiscreteStatsTable[[#This Row],[GroupByKey]]),(DiscreteStatsTable[GroupByKey]=DiscreteStatsTable[[#This Row],[GroupByKey]])*DiscreteStatsTable[Maximum]))</f>
        <v>4.9923538390357898</v>
      </c>
      <c r="V160" cm="1">
        <f t="array" ref="V160">IFERROR(AVERAGE(IF((DiscreteStatsTable[GroupByKey]=DiscreteStatsTable[[#This Row],[GroupByKey]]),(DiscreteStatsTable[GroupByKey]=DiscreteStatsTable[[#This Row],[GroupByKey]])*DiscreteStatsTable[NumberObservations])),0)</f>
        <v>6547.3</v>
      </c>
      <c r="W160">
        <f>IF((DiscreteStatsTable[[#This Row],[RepsRequested]]&gt;1),DiscreteStatsTable[[#This Row],[HalfWidth]],DiscreteStatsTable[[#This Row],[BatchMeansHalfWidth]])</f>
        <v>4.4213120792160878E-3</v>
      </c>
      <c r="X160" cm="1">
        <f t="array" ref="X160">COUNT(IF((DiscreteStatsTable[GroupByKey]=DiscreteStatsTable[[#This Row],[GroupByKey]]),(DiscreteStatsTable[GroupByKey]=DiscreteStatsTable[[#This Row],[GroupByKey]])*DiscreteStatsTable[Replication]))</f>
        <v>10</v>
      </c>
      <c r="Y160">
        <f>IF(DiscreteStatsTable[[#This Row],[RepsRequested]]=DiscreteStatsTable[[#This Row],[RepsWithStatObserved]],1,0)</f>
        <v>1</v>
      </c>
    </row>
    <row r="161" spans="1:25" x14ac:dyDescent="0.25">
      <c r="A161" t="s">
        <v>67</v>
      </c>
      <c r="B161" t="s">
        <v>243</v>
      </c>
      <c r="C161">
        <v>10</v>
      </c>
      <c r="D161" t="s">
        <v>90</v>
      </c>
      <c r="E161" t="s">
        <v>89</v>
      </c>
      <c r="F161" t="s">
        <v>87</v>
      </c>
      <c r="G161">
        <v>3.34611818446874</v>
      </c>
      <c r="H161">
        <v>1.8173088043141199E-2</v>
      </c>
      <c r="I161">
        <v>2.0393634537467702</v>
      </c>
      <c r="J161">
        <v>4.9833276793942796</v>
      </c>
      <c r="K161">
        <v>6539</v>
      </c>
      <c r="L161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161" cm="1">
        <f t="array" ref="M161">MAX(IF((ProjectInfoTable[ProjectName]=DiscreteStatsTable[[#This Row],[ProjectName]]),(ProjectInfoTable[ProjectName]=DiscreteStatsTable[[#This Row],[ProjectName]])*ProjectInfoTable[NumberOfReplications]))</f>
        <v>10</v>
      </c>
      <c r="N161" cm="1">
        <f t="array" ref="N161">IFERROR(AVERAGE(IF((DiscreteStatsTable[GroupByKey]=DiscreteStatsTable[[#This Row],[GroupByKey]]),(DiscreteStatsTable[GroupByKey]=DiscreteStatsTable[[#This Row],[GroupByKey]])*DiscreteStatsTable[Average])),0)</f>
        <v>3.3323515397240668</v>
      </c>
      <c r="O161" cm="1">
        <f t="array" ref="O161">IFERROR(_xlfn.STDEV.S(IF((DiscreteStatsTable[GroupByKey]=DiscreteStatsTable[[#This Row],[GroupByKey]]),(DiscreteStatsTable[GroupByKey]=DiscreteStatsTable[[#This Row],[GroupByKey]])*DiscreteStatsTable[Average])),0)</f>
        <v>6.180568108470035E-3</v>
      </c>
      <c r="P161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4.4213120792160878E-3</v>
      </c>
      <c r="R161" cm="1">
        <f t="array" ref="R161">MIN(IF((DiscreteStatsTable[GroupByKey]=DiscreteStatsTable[[#This Row],[GroupByKey]]),(DiscreteStatsTable[GroupByKey]=DiscreteStatsTable[[#This Row],[GroupByKey]])*DiscreteStatsTable[Average]))</f>
        <v>3.32378622759098</v>
      </c>
      <c r="S161" cm="1">
        <f t="array" ref="S161">MAX(IF((DiscreteStatsTable[GroupByKey]=DiscreteStatsTable[[#This Row],[GroupByKey]]),(DiscreteStatsTable[GroupByKey]=DiscreteStatsTable[[#This Row],[GroupByKey]])*DiscreteStatsTable[Average]))</f>
        <v>3.34611818446874</v>
      </c>
      <c r="T161" cm="1">
        <f t="array" ref="T161">MIN(IF((DiscreteStatsTable[GroupByKey]=DiscreteStatsTable[[#This Row],[GroupByKey]]),(DiscreteStatsTable[GroupByKey]=DiscreteStatsTable[[#This Row],[GroupByKey]])*DiscreteStatsTable[Minimum]))</f>
        <v>2.01056383305695</v>
      </c>
      <c r="U161" cm="1">
        <f t="array" ref="U161">MAX(IF((DiscreteStatsTable[GroupByKey]=DiscreteStatsTable[[#This Row],[GroupByKey]]),(DiscreteStatsTable[GroupByKey]=DiscreteStatsTable[[#This Row],[GroupByKey]])*DiscreteStatsTable[Maximum]))</f>
        <v>4.9923538390357898</v>
      </c>
      <c r="V161" cm="1">
        <f t="array" ref="V161">IFERROR(AVERAGE(IF((DiscreteStatsTable[GroupByKey]=DiscreteStatsTable[[#This Row],[GroupByKey]]),(DiscreteStatsTable[GroupByKey]=DiscreteStatsTable[[#This Row],[GroupByKey]])*DiscreteStatsTable[NumberObservations])),0)</f>
        <v>6547.3</v>
      </c>
      <c r="W161">
        <f>IF((DiscreteStatsTable[[#This Row],[RepsRequested]]&gt;1),DiscreteStatsTable[[#This Row],[HalfWidth]],DiscreteStatsTable[[#This Row],[BatchMeansHalfWidth]])</f>
        <v>4.4213120792160878E-3</v>
      </c>
      <c r="X161" cm="1">
        <f t="array" ref="X161">COUNT(IF((DiscreteStatsTable[GroupByKey]=DiscreteStatsTable[[#This Row],[GroupByKey]]),(DiscreteStatsTable[GroupByKey]=DiscreteStatsTable[[#This Row],[GroupByKey]])*DiscreteStatsTable[Replication]))</f>
        <v>10</v>
      </c>
      <c r="Y161">
        <f>IF(DiscreteStatsTable[[#This Row],[RepsRequested]]=DiscreteStatsTable[[#This Row],[RepsWithStatObserved]],1,0)</f>
        <v>1</v>
      </c>
    </row>
    <row r="162" spans="1:25" x14ac:dyDescent="0.25">
      <c r="A162" t="s">
        <v>67</v>
      </c>
      <c r="B162" t="s">
        <v>243</v>
      </c>
      <c r="C162">
        <v>1</v>
      </c>
      <c r="D162" t="s">
        <v>91</v>
      </c>
      <c r="E162" t="s">
        <v>88</v>
      </c>
      <c r="F162" t="s">
        <v>87</v>
      </c>
      <c r="G162">
        <v>6.0105973053221398</v>
      </c>
      <c r="H162">
        <v>2.3113141367803701E-2</v>
      </c>
      <c r="I162">
        <v>3.0213339486508599</v>
      </c>
      <c r="J162">
        <v>8.9636074129302905</v>
      </c>
      <c r="K162">
        <v>13090</v>
      </c>
      <c r="L162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162" cm="1">
        <f t="array" ref="M162">MAX(IF((ProjectInfoTable[ProjectName]=DiscreteStatsTable[[#This Row],[ProjectName]]),(ProjectInfoTable[ProjectName]=DiscreteStatsTable[[#This Row],[ProjectName]])*ProjectInfoTable[NumberOfReplications]))</f>
        <v>10</v>
      </c>
      <c r="N162" cm="1">
        <f t="array" ref="N162">IFERROR(AVERAGE(IF((DiscreteStatsTable[GroupByKey]=DiscreteStatsTable[[#This Row],[GroupByKey]]),(DiscreteStatsTable[GroupByKey]=DiscreteStatsTable[[#This Row],[GroupByKey]])*DiscreteStatsTable[Average])),0)</f>
        <v>6.0042533719220117</v>
      </c>
      <c r="O162" cm="1">
        <f t="array" ref="O162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62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62" cm="1">
        <f t="array" ref="R162">MIN(IF((DiscreteStatsTable[GroupByKey]=DiscreteStatsTable[[#This Row],[GroupByKey]]),(DiscreteStatsTable[GroupByKey]=DiscreteStatsTable[[#This Row],[GroupByKey]])*DiscreteStatsTable[Average]))</f>
        <v>5.9884596822991698</v>
      </c>
      <c r="S162" cm="1">
        <f t="array" ref="S162">MAX(IF((DiscreteStatsTable[GroupByKey]=DiscreteStatsTable[[#This Row],[GroupByKey]]),(DiscreteStatsTable[GroupByKey]=DiscreteStatsTable[[#This Row],[GroupByKey]])*DiscreteStatsTable[Average]))</f>
        <v>6.0231394376096299</v>
      </c>
      <c r="T162" cm="1">
        <f t="array" ref="T162">MIN(IF((DiscreteStatsTable[GroupByKey]=DiscreteStatsTable[[#This Row],[GroupByKey]]),(DiscreteStatsTable[GroupByKey]=DiscreteStatsTable[[#This Row],[GroupByKey]])*DiscreteStatsTable[Minimum]))</f>
        <v>3.0160888143000202</v>
      </c>
      <c r="U162" cm="1">
        <f t="array" ref="U162">MAX(IF((DiscreteStatsTable[GroupByKey]=DiscreteStatsTable[[#This Row],[GroupByKey]]),(DiscreteStatsTable[GroupByKey]=DiscreteStatsTable[[#This Row],[GroupByKey]])*DiscreteStatsTable[Maximum]))</f>
        <v>8.9875693768262899</v>
      </c>
      <c r="V162" cm="1">
        <f t="array" ref="V162">IFERROR(AVERAGE(IF((DiscreteStatsTable[GroupByKey]=DiscreteStatsTable[[#This Row],[GroupByKey]]),(DiscreteStatsTable[GroupByKey]=DiscreteStatsTable[[#This Row],[GroupByKey]])*DiscreteStatsTable[NumberObservations])),0)</f>
        <v>13100.1</v>
      </c>
      <c r="W162">
        <f>IF((DiscreteStatsTable[[#This Row],[RepsRequested]]&gt;1),DiscreteStatsTable[[#This Row],[HalfWidth]],DiscreteStatsTable[[#This Row],[BatchMeansHalfWidth]])</f>
        <v>7.9471463002660225E-3</v>
      </c>
      <c r="X162" cm="1">
        <f t="array" ref="X162">COUNT(IF((DiscreteStatsTable[GroupByKey]=DiscreteStatsTable[[#This Row],[GroupByKey]]),(DiscreteStatsTable[GroupByKey]=DiscreteStatsTable[[#This Row],[GroupByKey]])*DiscreteStatsTable[Replication]))</f>
        <v>10</v>
      </c>
      <c r="Y162">
        <f>IF(DiscreteStatsTable[[#This Row],[RepsRequested]]=DiscreteStatsTable[[#This Row],[RepsWithStatObserved]],1,0)</f>
        <v>1</v>
      </c>
    </row>
    <row r="163" spans="1:25" x14ac:dyDescent="0.25">
      <c r="A163" t="s">
        <v>67</v>
      </c>
      <c r="B163" t="s">
        <v>243</v>
      </c>
      <c r="C163">
        <v>1</v>
      </c>
      <c r="D163" t="s">
        <v>91</v>
      </c>
      <c r="E163" t="s">
        <v>89</v>
      </c>
      <c r="F163" t="s">
        <v>87</v>
      </c>
      <c r="G163">
        <v>6.0105973053221398</v>
      </c>
      <c r="H163">
        <v>2.3113141367803701E-2</v>
      </c>
      <c r="I163">
        <v>3.0213339486508599</v>
      </c>
      <c r="J163">
        <v>8.9636074129302905</v>
      </c>
      <c r="K163">
        <v>13090</v>
      </c>
      <c r="L163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163" cm="1">
        <f t="array" ref="M163">MAX(IF((ProjectInfoTable[ProjectName]=DiscreteStatsTable[[#This Row],[ProjectName]]),(ProjectInfoTable[ProjectName]=DiscreteStatsTable[[#This Row],[ProjectName]])*ProjectInfoTable[NumberOfReplications]))</f>
        <v>10</v>
      </c>
      <c r="N163" cm="1">
        <f t="array" ref="N163">IFERROR(AVERAGE(IF((DiscreteStatsTable[GroupByKey]=DiscreteStatsTable[[#This Row],[GroupByKey]]),(DiscreteStatsTable[GroupByKey]=DiscreteStatsTable[[#This Row],[GroupByKey]])*DiscreteStatsTable[Average])),0)</f>
        <v>6.0042533719220117</v>
      </c>
      <c r="O163" cm="1">
        <f t="array" ref="O163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63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63" cm="1">
        <f t="array" ref="R163">MIN(IF((DiscreteStatsTable[GroupByKey]=DiscreteStatsTable[[#This Row],[GroupByKey]]),(DiscreteStatsTable[GroupByKey]=DiscreteStatsTable[[#This Row],[GroupByKey]])*DiscreteStatsTable[Average]))</f>
        <v>5.9884596822991698</v>
      </c>
      <c r="S163" cm="1">
        <f t="array" ref="S163">MAX(IF((DiscreteStatsTable[GroupByKey]=DiscreteStatsTable[[#This Row],[GroupByKey]]),(DiscreteStatsTable[GroupByKey]=DiscreteStatsTable[[#This Row],[GroupByKey]])*DiscreteStatsTable[Average]))</f>
        <v>6.0231394376096299</v>
      </c>
      <c r="T163" cm="1">
        <f t="array" ref="T163">MIN(IF((DiscreteStatsTable[GroupByKey]=DiscreteStatsTable[[#This Row],[GroupByKey]]),(DiscreteStatsTable[GroupByKey]=DiscreteStatsTable[[#This Row],[GroupByKey]])*DiscreteStatsTable[Minimum]))</f>
        <v>3.0160888143000202</v>
      </c>
      <c r="U163" cm="1">
        <f t="array" ref="U163">MAX(IF((DiscreteStatsTable[GroupByKey]=DiscreteStatsTable[[#This Row],[GroupByKey]]),(DiscreteStatsTable[GroupByKey]=DiscreteStatsTable[[#This Row],[GroupByKey]])*DiscreteStatsTable[Maximum]))</f>
        <v>8.9875693768262899</v>
      </c>
      <c r="V163" cm="1">
        <f t="array" ref="V163">IFERROR(AVERAGE(IF((DiscreteStatsTable[GroupByKey]=DiscreteStatsTable[[#This Row],[GroupByKey]]),(DiscreteStatsTable[GroupByKey]=DiscreteStatsTable[[#This Row],[GroupByKey]])*DiscreteStatsTable[NumberObservations])),0)</f>
        <v>13100.1</v>
      </c>
      <c r="W163">
        <f>IF((DiscreteStatsTable[[#This Row],[RepsRequested]]&gt;1),DiscreteStatsTable[[#This Row],[HalfWidth]],DiscreteStatsTable[[#This Row],[BatchMeansHalfWidth]])</f>
        <v>7.9471463002660225E-3</v>
      </c>
      <c r="X163" cm="1">
        <f t="array" ref="X163">COUNT(IF((DiscreteStatsTable[GroupByKey]=DiscreteStatsTable[[#This Row],[GroupByKey]]),(DiscreteStatsTable[GroupByKey]=DiscreteStatsTable[[#This Row],[GroupByKey]])*DiscreteStatsTable[Replication]))</f>
        <v>10</v>
      </c>
      <c r="Y163">
        <f>IF(DiscreteStatsTable[[#This Row],[RepsRequested]]=DiscreteStatsTable[[#This Row],[RepsWithStatObserved]],1,0)</f>
        <v>1</v>
      </c>
    </row>
    <row r="164" spans="1:25" x14ac:dyDescent="0.25">
      <c r="A164" t="s">
        <v>67</v>
      </c>
      <c r="B164" t="s">
        <v>243</v>
      </c>
      <c r="C164">
        <v>2</v>
      </c>
      <c r="D164" t="s">
        <v>91</v>
      </c>
      <c r="E164" t="s">
        <v>88</v>
      </c>
      <c r="F164" t="s">
        <v>87</v>
      </c>
      <c r="G164">
        <v>5.9884596822991698</v>
      </c>
      <c r="H164">
        <v>2.1177097420885999E-2</v>
      </c>
      <c r="I164">
        <v>3.0417104863445301</v>
      </c>
      <c r="J164">
        <v>8.9758182895602694</v>
      </c>
      <c r="K164">
        <v>13118</v>
      </c>
      <c r="L164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164" cm="1">
        <f t="array" ref="M164">MAX(IF((ProjectInfoTable[ProjectName]=DiscreteStatsTable[[#This Row],[ProjectName]]),(ProjectInfoTable[ProjectName]=DiscreteStatsTable[[#This Row],[ProjectName]])*ProjectInfoTable[NumberOfReplications]))</f>
        <v>10</v>
      </c>
      <c r="N164" cm="1">
        <f t="array" ref="N164">IFERROR(AVERAGE(IF((DiscreteStatsTable[GroupByKey]=DiscreteStatsTable[[#This Row],[GroupByKey]]),(DiscreteStatsTable[GroupByKey]=DiscreteStatsTable[[#This Row],[GroupByKey]])*DiscreteStatsTable[Average])),0)</f>
        <v>6.0042533719220117</v>
      </c>
      <c r="O164" cm="1">
        <f t="array" ref="O164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64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64" cm="1">
        <f t="array" ref="R164">MIN(IF((DiscreteStatsTable[GroupByKey]=DiscreteStatsTable[[#This Row],[GroupByKey]]),(DiscreteStatsTable[GroupByKey]=DiscreteStatsTable[[#This Row],[GroupByKey]])*DiscreteStatsTable[Average]))</f>
        <v>5.9884596822991698</v>
      </c>
      <c r="S164" cm="1">
        <f t="array" ref="S164">MAX(IF((DiscreteStatsTable[GroupByKey]=DiscreteStatsTable[[#This Row],[GroupByKey]]),(DiscreteStatsTable[GroupByKey]=DiscreteStatsTable[[#This Row],[GroupByKey]])*DiscreteStatsTable[Average]))</f>
        <v>6.0231394376096299</v>
      </c>
      <c r="T164" cm="1">
        <f t="array" ref="T164">MIN(IF((DiscreteStatsTable[GroupByKey]=DiscreteStatsTable[[#This Row],[GroupByKey]]),(DiscreteStatsTable[GroupByKey]=DiscreteStatsTable[[#This Row],[GroupByKey]])*DiscreteStatsTable[Minimum]))</f>
        <v>3.0160888143000202</v>
      </c>
      <c r="U164" cm="1">
        <f t="array" ref="U164">MAX(IF((DiscreteStatsTable[GroupByKey]=DiscreteStatsTable[[#This Row],[GroupByKey]]),(DiscreteStatsTable[GroupByKey]=DiscreteStatsTable[[#This Row],[GroupByKey]])*DiscreteStatsTable[Maximum]))</f>
        <v>8.9875693768262899</v>
      </c>
      <c r="V164" cm="1">
        <f t="array" ref="V164">IFERROR(AVERAGE(IF((DiscreteStatsTable[GroupByKey]=DiscreteStatsTable[[#This Row],[GroupByKey]]),(DiscreteStatsTable[GroupByKey]=DiscreteStatsTable[[#This Row],[GroupByKey]])*DiscreteStatsTable[NumberObservations])),0)</f>
        <v>13100.1</v>
      </c>
      <c r="W164">
        <f>IF((DiscreteStatsTable[[#This Row],[RepsRequested]]&gt;1),DiscreteStatsTable[[#This Row],[HalfWidth]],DiscreteStatsTable[[#This Row],[BatchMeansHalfWidth]])</f>
        <v>7.9471463002660225E-3</v>
      </c>
      <c r="X164" cm="1">
        <f t="array" ref="X164">COUNT(IF((DiscreteStatsTable[GroupByKey]=DiscreteStatsTable[[#This Row],[GroupByKey]]),(DiscreteStatsTable[GroupByKey]=DiscreteStatsTable[[#This Row],[GroupByKey]])*DiscreteStatsTable[Replication]))</f>
        <v>10</v>
      </c>
      <c r="Y164">
        <f>IF(DiscreteStatsTable[[#This Row],[RepsRequested]]=DiscreteStatsTable[[#This Row],[RepsWithStatObserved]],1,0)</f>
        <v>1</v>
      </c>
    </row>
    <row r="165" spans="1:25" x14ac:dyDescent="0.25">
      <c r="A165" t="s">
        <v>67</v>
      </c>
      <c r="B165" t="s">
        <v>243</v>
      </c>
      <c r="C165">
        <v>2</v>
      </c>
      <c r="D165" t="s">
        <v>91</v>
      </c>
      <c r="E165" t="s">
        <v>89</v>
      </c>
      <c r="F165" t="s">
        <v>87</v>
      </c>
      <c r="G165">
        <v>5.9884596822991698</v>
      </c>
      <c r="H165">
        <v>2.1177097420885999E-2</v>
      </c>
      <c r="I165">
        <v>3.0417104863445301</v>
      </c>
      <c r="J165">
        <v>8.9758182895602694</v>
      </c>
      <c r="K165">
        <v>13118</v>
      </c>
      <c r="L165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165" cm="1">
        <f t="array" ref="M165">MAX(IF((ProjectInfoTable[ProjectName]=DiscreteStatsTable[[#This Row],[ProjectName]]),(ProjectInfoTable[ProjectName]=DiscreteStatsTable[[#This Row],[ProjectName]])*ProjectInfoTable[NumberOfReplications]))</f>
        <v>10</v>
      </c>
      <c r="N165" cm="1">
        <f t="array" ref="N165">IFERROR(AVERAGE(IF((DiscreteStatsTable[GroupByKey]=DiscreteStatsTable[[#This Row],[GroupByKey]]),(DiscreteStatsTable[GroupByKey]=DiscreteStatsTable[[#This Row],[GroupByKey]])*DiscreteStatsTable[Average])),0)</f>
        <v>6.0042533719220117</v>
      </c>
      <c r="O165" cm="1">
        <f t="array" ref="O165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6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65" cm="1">
        <f t="array" ref="R165">MIN(IF((DiscreteStatsTable[GroupByKey]=DiscreteStatsTable[[#This Row],[GroupByKey]]),(DiscreteStatsTable[GroupByKey]=DiscreteStatsTable[[#This Row],[GroupByKey]])*DiscreteStatsTable[Average]))</f>
        <v>5.9884596822991698</v>
      </c>
      <c r="S165" cm="1">
        <f t="array" ref="S165">MAX(IF((DiscreteStatsTable[GroupByKey]=DiscreteStatsTable[[#This Row],[GroupByKey]]),(DiscreteStatsTable[GroupByKey]=DiscreteStatsTable[[#This Row],[GroupByKey]])*DiscreteStatsTable[Average]))</f>
        <v>6.0231394376096299</v>
      </c>
      <c r="T165" cm="1">
        <f t="array" ref="T165">MIN(IF((DiscreteStatsTable[GroupByKey]=DiscreteStatsTable[[#This Row],[GroupByKey]]),(DiscreteStatsTable[GroupByKey]=DiscreteStatsTable[[#This Row],[GroupByKey]])*DiscreteStatsTable[Minimum]))</f>
        <v>3.0160888143000202</v>
      </c>
      <c r="U165" cm="1">
        <f t="array" ref="U165">MAX(IF((DiscreteStatsTable[GroupByKey]=DiscreteStatsTable[[#This Row],[GroupByKey]]),(DiscreteStatsTable[GroupByKey]=DiscreteStatsTable[[#This Row],[GroupByKey]])*DiscreteStatsTable[Maximum]))</f>
        <v>8.9875693768262899</v>
      </c>
      <c r="V165" cm="1">
        <f t="array" ref="V165">IFERROR(AVERAGE(IF((DiscreteStatsTable[GroupByKey]=DiscreteStatsTable[[#This Row],[GroupByKey]]),(DiscreteStatsTable[GroupByKey]=DiscreteStatsTable[[#This Row],[GroupByKey]])*DiscreteStatsTable[NumberObservations])),0)</f>
        <v>13100.1</v>
      </c>
      <c r="W165">
        <f>IF((DiscreteStatsTable[[#This Row],[RepsRequested]]&gt;1),DiscreteStatsTable[[#This Row],[HalfWidth]],DiscreteStatsTable[[#This Row],[BatchMeansHalfWidth]])</f>
        <v>7.9471463002660225E-3</v>
      </c>
      <c r="X165" cm="1">
        <f t="array" ref="X165">COUNT(IF((DiscreteStatsTable[GroupByKey]=DiscreteStatsTable[[#This Row],[GroupByKey]]),(DiscreteStatsTable[GroupByKey]=DiscreteStatsTable[[#This Row],[GroupByKey]])*DiscreteStatsTable[Replication]))</f>
        <v>10</v>
      </c>
      <c r="Y165">
        <f>IF(DiscreteStatsTable[[#This Row],[RepsRequested]]=DiscreteStatsTable[[#This Row],[RepsWithStatObserved]],1,0)</f>
        <v>1</v>
      </c>
    </row>
    <row r="166" spans="1:25" x14ac:dyDescent="0.25">
      <c r="A166" t="s">
        <v>67</v>
      </c>
      <c r="B166" t="s">
        <v>243</v>
      </c>
      <c r="C166">
        <v>3</v>
      </c>
      <c r="D166" t="s">
        <v>91</v>
      </c>
      <c r="E166" t="s">
        <v>88</v>
      </c>
      <c r="F166" t="s">
        <v>87</v>
      </c>
      <c r="G166">
        <v>6.0016292860090497</v>
      </c>
      <c r="H166">
        <v>2.7996135241986901E-2</v>
      </c>
      <c r="I166">
        <v>3.0472935243160499</v>
      </c>
      <c r="J166">
        <v>8.9507529668626393</v>
      </c>
      <c r="K166">
        <v>13097</v>
      </c>
      <c r="L166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166" cm="1">
        <f t="array" ref="M166">MAX(IF((ProjectInfoTable[ProjectName]=DiscreteStatsTable[[#This Row],[ProjectName]]),(ProjectInfoTable[ProjectName]=DiscreteStatsTable[[#This Row],[ProjectName]])*ProjectInfoTable[NumberOfReplications]))</f>
        <v>10</v>
      </c>
      <c r="N166" cm="1">
        <f t="array" ref="N166">IFERROR(AVERAGE(IF((DiscreteStatsTable[GroupByKey]=DiscreteStatsTable[[#This Row],[GroupByKey]]),(DiscreteStatsTable[GroupByKey]=DiscreteStatsTable[[#This Row],[GroupByKey]])*DiscreteStatsTable[Average])),0)</f>
        <v>6.0042533719220117</v>
      </c>
      <c r="O166" cm="1">
        <f t="array" ref="O166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66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66" cm="1">
        <f t="array" ref="R166">MIN(IF((DiscreteStatsTable[GroupByKey]=DiscreteStatsTable[[#This Row],[GroupByKey]]),(DiscreteStatsTable[GroupByKey]=DiscreteStatsTable[[#This Row],[GroupByKey]])*DiscreteStatsTable[Average]))</f>
        <v>5.9884596822991698</v>
      </c>
      <c r="S166" cm="1">
        <f t="array" ref="S166">MAX(IF((DiscreteStatsTable[GroupByKey]=DiscreteStatsTable[[#This Row],[GroupByKey]]),(DiscreteStatsTable[GroupByKey]=DiscreteStatsTable[[#This Row],[GroupByKey]])*DiscreteStatsTable[Average]))</f>
        <v>6.0231394376096299</v>
      </c>
      <c r="T166" cm="1">
        <f t="array" ref="T166">MIN(IF((DiscreteStatsTable[GroupByKey]=DiscreteStatsTable[[#This Row],[GroupByKey]]),(DiscreteStatsTable[GroupByKey]=DiscreteStatsTable[[#This Row],[GroupByKey]])*DiscreteStatsTable[Minimum]))</f>
        <v>3.0160888143000202</v>
      </c>
      <c r="U166" cm="1">
        <f t="array" ref="U166">MAX(IF((DiscreteStatsTable[GroupByKey]=DiscreteStatsTable[[#This Row],[GroupByKey]]),(DiscreteStatsTable[GroupByKey]=DiscreteStatsTable[[#This Row],[GroupByKey]])*DiscreteStatsTable[Maximum]))</f>
        <v>8.9875693768262899</v>
      </c>
      <c r="V166" cm="1">
        <f t="array" ref="V166">IFERROR(AVERAGE(IF((DiscreteStatsTable[GroupByKey]=DiscreteStatsTable[[#This Row],[GroupByKey]]),(DiscreteStatsTable[GroupByKey]=DiscreteStatsTable[[#This Row],[GroupByKey]])*DiscreteStatsTable[NumberObservations])),0)</f>
        <v>13100.1</v>
      </c>
      <c r="W166">
        <f>IF((DiscreteStatsTable[[#This Row],[RepsRequested]]&gt;1),DiscreteStatsTable[[#This Row],[HalfWidth]],DiscreteStatsTable[[#This Row],[BatchMeansHalfWidth]])</f>
        <v>7.9471463002660225E-3</v>
      </c>
      <c r="X166" cm="1">
        <f t="array" ref="X166">COUNT(IF((DiscreteStatsTable[GroupByKey]=DiscreteStatsTable[[#This Row],[GroupByKey]]),(DiscreteStatsTable[GroupByKey]=DiscreteStatsTable[[#This Row],[GroupByKey]])*DiscreteStatsTable[Replication]))</f>
        <v>10</v>
      </c>
      <c r="Y166">
        <f>IF(DiscreteStatsTable[[#This Row],[RepsRequested]]=DiscreteStatsTable[[#This Row],[RepsWithStatObserved]],1,0)</f>
        <v>1</v>
      </c>
    </row>
    <row r="167" spans="1:25" x14ac:dyDescent="0.25">
      <c r="A167" t="s">
        <v>67</v>
      </c>
      <c r="B167" t="s">
        <v>243</v>
      </c>
      <c r="C167">
        <v>3</v>
      </c>
      <c r="D167" t="s">
        <v>91</v>
      </c>
      <c r="E167" t="s">
        <v>89</v>
      </c>
      <c r="F167" t="s">
        <v>87</v>
      </c>
      <c r="G167">
        <v>6.0016292860090497</v>
      </c>
      <c r="H167">
        <v>2.7996135241986901E-2</v>
      </c>
      <c r="I167">
        <v>3.0472935243160499</v>
      </c>
      <c r="J167">
        <v>8.9507529668626393</v>
      </c>
      <c r="K167">
        <v>13097</v>
      </c>
      <c r="L167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167" cm="1">
        <f t="array" ref="M167">MAX(IF((ProjectInfoTable[ProjectName]=DiscreteStatsTable[[#This Row],[ProjectName]]),(ProjectInfoTable[ProjectName]=DiscreteStatsTable[[#This Row],[ProjectName]])*ProjectInfoTable[NumberOfReplications]))</f>
        <v>10</v>
      </c>
      <c r="N167" cm="1">
        <f t="array" ref="N167">IFERROR(AVERAGE(IF((DiscreteStatsTable[GroupByKey]=DiscreteStatsTable[[#This Row],[GroupByKey]]),(DiscreteStatsTable[GroupByKey]=DiscreteStatsTable[[#This Row],[GroupByKey]])*DiscreteStatsTable[Average])),0)</f>
        <v>6.0042533719220117</v>
      </c>
      <c r="O167" cm="1">
        <f t="array" ref="O167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67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67" cm="1">
        <f t="array" ref="R167">MIN(IF((DiscreteStatsTable[GroupByKey]=DiscreteStatsTable[[#This Row],[GroupByKey]]),(DiscreteStatsTable[GroupByKey]=DiscreteStatsTable[[#This Row],[GroupByKey]])*DiscreteStatsTable[Average]))</f>
        <v>5.9884596822991698</v>
      </c>
      <c r="S167" cm="1">
        <f t="array" ref="S167">MAX(IF((DiscreteStatsTable[GroupByKey]=DiscreteStatsTable[[#This Row],[GroupByKey]]),(DiscreteStatsTable[GroupByKey]=DiscreteStatsTable[[#This Row],[GroupByKey]])*DiscreteStatsTable[Average]))</f>
        <v>6.0231394376096299</v>
      </c>
      <c r="T167" cm="1">
        <f t="array" ref="T167">MIN(IF((DiscreteStatsTable[GroupByKey]=DiscreteStatsTable[[#This Row],[GroupByKey]]),(DiscreteStatsTable[GroupByKey]=DiscreteStatsTable[[#This Row],[GroupByKey]])*DiscreteStatsTable[Minimum]))</f>
        <v>3.0160888143000202</v>
      </c>
      <c r="U167" cm="1">
        <f t="array" ref="U167">MAX(IF((DiscreteStatsTable[GroupByKey]=DiscreteStatsTable[[#This Row],[GroupByKey]]),(DiscreteStatsTable[GroupByKey]=DiscreteStatsTable[[#This Row],[GroupByKey]])*DiscreteStatsTable[Maximum]))</f>
        <v>8.9875693768262899</v>
      </c>
      <c r="V167" cm="1">
        <f t="array" ref="V167">IFERROR(AVERAGE(IF((DiscreteStatsTable[GroupByKey]=DiscreteStatsTable[[#This Row],[GroupByKey]]),(DiscreteStatsTable[GroupByKey]=DiscreteStatsTable[[#This Row],[GroupByKey]])*DiscreteStatsTable[NumberObservations])),0)</f>
        <v>13100.1</v>
      </c>
      <c r="W167">
        <f>IF((DiscreteStatsTable[[#This Row],[RepsRequested]]&gt;1),DiscreteStatsTable[[#This Row],[HalfWidth]],DiscreteStatsTable[[#This Row],[BatchMeansHalfWidth]])</f>
        <v>7.9471463002660225E-3</v>
      </c>
      <c r="X167" cm="1">
        <f t="array" ref="X167">COUNT(IF((DiscreteStatsTable[GroupByKey]=DiscreteStatsTable[[#This Row],[GroupByKey]]),(DiscreteStatsTable[GroupByKey]=DiscreteStatsTable[[#This Row],[GroupByKey]])*DiscreteStatsTable[Replication]))</f>
        <v>10</v>
      </c>
      <c r="Y167">
        <f>IF(DiscreteStatsTable[[#This Row],[RepsRequested]]=DiscreteStatsTable[[#This Row],[RepsWithStatObserved]],1,0)</f>
        <v>1</v>
      </c>
    </row>
    <row r="168" spans="1:25" x14ac:dyDescent="0.25">
      <c r="A168" t="s">
        <v>67</v>
      </c>
      <c r="B168" t="s">
        <v>243</v>
      </c>
      <c r="C168">
        <v>4</v>
      </c>
      <c r="D168" t="s">
        <v>91</v>
      </c>
      <c r="E168" t="s">
        <v>88</v>
      </c>
      <c r="F168" t="s">
        <v>87</v>
      </c>
      <c r="G168">
        <v>5.9933330981286703</v>
      </c>
      <c r="H168">
        <v>2.72073947571146E-2</v>
      </c>
      <c r="I168">
        <v>3.0160888143000202</v>
      </c>
      <c r="J168">
        <v>8.9447507110890001</v>
      </c>
      <c r="K168">
        <v>13087</v>
      </c>
      <c r="L168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168" cm="1">
        <f t="array" ref="M168">MAX(IF((ProjectInfoTable[ProjectName]=DiscreteStatsTable[[#This Row],[ProjectName]]),(ProjectInfoTable[ProjectName]=DiscreteStatsTable[[#This Row],[ProjectName]])*ProjectInfoTable[NumberOfReplications]))</f>
        <v>10</v>
      </c>
      <c r="N168" cm="1">
        <f t="array" ref="N168">IFERROR(AVERAGE(IF((DiscreteStatsTable[GroupByKey]=DiscreteStatsTable[[#This Row],[GroupByKey]]),(DiscreteStatsTable[GroupByKey]=DiscreteStatsTable[[#This Row],[GroupByKey]])*DiscreteStatsTable[Average])),0)</f>
        <v>6.0042533719220117</v>
      </c>
      <c r="O168" cm="1">
        <f t="array" ref="O168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68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68" cm="1">
        <f t="array" ref="R168">MIN(IF((DiscreteStatsTable[GroupByKey]=DiscreteStatsTable[[#This Row],[GroupByKey]]),(DiscreteStatsTable[GroupByKey]=DiscreteStatsTable[[#This Row],[GroupByKey]])*DiscreteStatsTable[Average]))</f>
        <v>5.9884596822991698</v>
      </c>
      <c r="S168" cm="1">
        <f t="array" ref="S168">MAX(IF((DiscreteStatsTable[GroupByKey]=DiscreteStatsTable[[#This Row],[GroupByKey]]),(DiscreteStatsTable[GroupByKey]=DiscreteStatsTable[[#This Row],[GroupByKey]])*DiscreteStatsTable[Average]))</f>
        <v>6.0231394376096299</v>
      </c>
      <c r="T168" cm="1">
        <f t="array" ref="T168">MIN(IF((DiscreteStatsTable[GroupByKey]=DiscreteStatsTable[[#This Row],[GroupByKey]]),(DiscreteStatsTable[GroupByKey]=DiscreteStatsTable[[#This Row],[GroupByKey]])*DiscreteStatsTable[Minimum]))</f>
        <v>3.0160888143000202</v>
      </c>
      <c r="U168" cm="1">
        <f t="array" ref="U168">MAX(IF((DiscreteStatsTable[GroupByKey]=DiscreteStatsTable[[#This Row],[GroupByKey]]),(DiscreteStatsTable[GroupByKey]=DiscreteStatsTable[[#This Row],[GroupByKey]])*DiscreteStatsTable[Maximum]))</f>
        <v>8.9875693768262899</v>
      </c>
      <c r="V168" cm="1">
        <f t="array" ref="V168">IFERROR(AVERAGE(IF((DiscreteStatsTable[GroupByKey]=DiscreteStatsTable[[#This Row],[GroupByKey]]),(DiscreteStatsTable[GroupByKey]=DiscreteStatsTable[[#This Row],[GroupByKey]])*DiscreteStatsTable[NumberObservations])),0)</f>
        <v>13100.1</v>
      </c>
      <c r="W168">
        <f>IF((DiscreteStatsTable[[#This Row],[RepsRequested]]&gt;1),DiscreteStatsTable[[#This Row],[HalfWidth]],DiscreteStatsTable[[#This Row],[BatchMeansHalfWidth]])</f>
        <v>7.9471463002660225E-3</v>
      </c>
      <c r="X168" cm="1">
        <f t="array" ref="X168">COUNT(IF((DiscreteStatsTable[GroupByKey]=DiscreteStatsTable[[#This Row],[GroupByKey]]),(DiscreteStatsTable[GroupByKey]=DiscreteStatsTable[[#This Row],[GroupByKey]])*DiscreteStatsTable[Replication]))</f>
        <v>10</v>
      </c>
      <c r="Y168">
        <f>IF(DiscreteStatsTable[[#This Row],[RepsRequested]]=DiscreteStatsTable[[#This Row],[RepsWithStatObserved]],1,0)</f>
        <v>1</v>
      </c>
    </row>
    <row r="169" spans="1:25" x14ac:dyDescent="0.25">
      <c r="A169" t="s">
        <v>67</v>
      </c>
      <c r="B169" t="s">
        <v>243</v>
      </c>
      <c r="C169">
        <v>4</v>
      </c>
      <c r="D169" t="s">
        <v>91</v>
      </c>
      <c r="E169" t="s">
        <v>89</v>
      </c>
      <c r="F169" t="s">
        <v>87</v>
      </c>
      <c r="G169">
        <v>5.9933330981286703</v>
      </c>
      <c r="H169">
        <v>2.72073947571146E-2</v>
      </c>
      <c r="I169">
        <v>3.0160888143000202</v>
      </c>
      <c r="J169">
        <v>8.9447507110890001</v>
      </c>
      <c r="K169">
        <v>13087</v>
      </c>
      <c r="L169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169" cm="1">
        <f t="array" ref="M169">MAX(IF((ProjectInfoTable[ProjectName]=DiscreteStatsTable[[#This Row],[ProjectName]]),(ProjectInfoTable[ProjectName]=DiscreteStatsTable[[#This Row],[ProjectName]])*ProjectInfoTable[NumberOfReplications]))</f>
        <v>10</v>
      </c>
      <c r="N169" cm="1">
        <f t="array" ref="N169">IFERROR(AVERAGE(IF((DiscreteStatsTable[GroupByKey]=DiscreteStatsTable[[#This Row],[GroupByKey]]),(DiscreteStatsTable[GroupByKey]=DiscreteStatsTable[[#This Row],[GroupByKey]])*DiscreteStatsTable[Average])),0)</f>
        <v>6.0042533719220117</v>
      </c>
      <c r="O169" cm="1">
        <f t="array" ref="O169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69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69" cm="1">
        <f t="array" ref="R169">MIN(IF((DiscreteStatsTable[GroupByKey]=DiscreteStatsTable[[#This Row],[GroupByKey]]),(DiscreteStatsTable[GroupByKey]=DiscreteStatsTable[[#This Row],[GroupByKey]])*DiscreteStatsTable[Average]))</f>
        <v>5.9884596822991698</v>
      </c>
      <c r="S169" cm="1">
        <f t="array" ref="S169">MAX(IF((DiscreteStatsTable[GroupByKey]=DiscreteStatsTable[[#This Row],[GroupByKey]]),(DiscreteStatsTable[GroupByKey]=DiscreteStatsTable[[#This Row],[GroupByKey]])*DiscreteStatsTable[Average]))</f>
        <v>6.0231394376096299</v>
      </c>
      <c r="T169" cm="1">
        <f t="array" ref="T169">MIN(IF((DiscreteStatsTable[GroupByKey]=DiscreteStatsTable[[#This Row],[GroupByKey]]),(DiscreteStatsTable[GroupByKey]=DiscreteStatsTable[[#This Row],[GroupByKey]])*DiscreteStatsTable[Minimum]))</f>
        <v>3.0160888143000202</v>
      </c>
      <c r="U169" cm="1">
        <f t="array" ref="U169">MAX(IF((DiscreteStatsTable[GroupByKey]=DiscreteStatsTable[[#This Row],[GroupByKey]]),(DiscreteStatsTable[GroupByKey]=DiscreteStatsTable[[#This Row],[GroupByKey]])*DiscreteStatsTable[Maximum]))</f>
        <v>8.9875693768262899</v>
      </c>
      <c r="V169" cm="1">
        <f t="array" ref="V169">IFERROR(AVERAGE(IF((DiscreteStatsTable[GroupByKey]=DiscreteStatsTable[[#This Row],[GroupByKey]]),(DiscreteStatsTable[GroupByKey]=DiscreteStatsTable[[#This Row],[GroupByKey]])*DiscreteStatsTable[NumberObservations])),0)</f>
        <v>13100.1</v>
      </c>
      <c r="W169">
        <f>IF((DiscreteStatsTable[[#This Row],[RepsRequested]]&gt;1),DiscreteStatsTable[[#This Row],[HalfWidth]],DiscreteStatsTable[[#This Row],[BatchMeansHalfWidth]])</f>
        <v>7.9471463002660225E-3</v>
      </c>
      <c r="X169" cm="1">
        <f t="array" ref="X169">COUNT(IF((DiscreteStatsTable[GroupByKey]=DiscreteStatsTable[[#This Row],[GroupByKey]]),(DiscreteStatsTable[GroupByKey]=DiscreteStatsTable[[#This Row],[GroupByKey]])*DiscreteStatsTable[Replication]))</f>
        <v>10</v>
      </c>
      <c r="Y169">
        <f>IF(DiscreteStatsTable[[#This Row],[RepsRequested]]=DiscreteStatsTable[[#This Row],[RepsWithStatObserved]],1,0)</f>
        <v>1</v>
      </c>
    </row>
    <row r="170" spans="1:25" x14ac:dyDescent="0.25">
      <c r="A170" t="s">
        <v>67</v>
      </c>
      <c r="B170" t="s">
        <v>243</v>
      </c>
      <c r="C170">
        <v>5</v>
      </c>
      <c r="D170" t="s">
        <v>91</v>
      </c>
      <c r="E170" t="s">
        <v>88</v>
      </c>
      <c r="F170" t="s">
        <v>87</v>
      </c>
      <c r="G170">
        <v>6.0098874709100603</v>
      </c>
      <c r="H170">
        <v>2.7219855066701801E-2</v>
      </c>
      <c r="I170">
        <v>3.0738276465563099</v>
      </c>
      <c r="J170">
        <v>8.9717484512875707</v>
      </c>
      <c r="K170">
        <v>13111</v>
      </c>
      <c r="L170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170" cm="1">
        <f t="array" ref="M170">MAX(IF((ProjectInfoTable[ProjectName]=DiscreteStatsTable[[#This Row],[ProjectName]]),(ProjectInfoTable[ProjectName]=DiscreteStatsTable[[#This Row],[ProjectName]])*ProjectInfoTable[NumberOfReplications]))</f>
        <v>10</v>
      </c>
      <c r="N170" cm="1">
        <f t="array" ref="N170">IFERROR(AVERAGE(IF((DiscreteStatsTable[GroupByKey]=DiscreteStatsTable[[#This Row],[GroupByKey]]),(DiscreteStatsTable[GroupByKey]=DiscreteStatsTable[[#This Row],[GroupByKey]])*DiscreteStatsTable[Average])),0)</f>
        <v>6.0042533719220117</v>
      </c>
      <c r="O170" cm="1">
        <f t="array" ref="O170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70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70" cm="1">
        <f t="array" ref="R170">MIN(IF((DiscreteStatsTable[GroupByKey]=DiscreteStatsTable[[#This Row],[GroupByKey]]),(DiscreteStatsTable[GroupByKey]=DiscreteStatsTable[[#This Row],[GroupByKey]])*DiscreteStatsTable[Average]))</f>
        <v>5.9884596822991698</v>
      </c>
      <c r="S170" cm="1">
        <f t="array" ref="S170">MAX(IF((DiscreteStatsTable[GroupByKey]=DiscreteStatsTable[[#This Row],[GroupByKey]]),(DiscreteStatsTable[GroupByKey]=DiscreteStatsTable[[#This Row],[GroupByKey]])*DiscreteStatsTable[Average]))</f>
        <v>6.0231394376096299</v>
      </c>
      <c r="T170" cm="1">
        <f t="array" ref="T170">MIN(IF((DiscreteStatsTable[GroupByKey]=DiscreteStatsTable[[#This Row],[GroupByKey]]),(DiscreteStatsTable[GroupByKey]=DiscreteStatsTable[[#This Row],[GroupByKey]])*DiscreteStatsTable[Minimum]))</f>
        <v>3.0160888143000202</v>
      </c>
      <c r="U170" cm="1">
        <f t="array" ref="U170">MAX(IF((DiscreteStatsTable[GroupByKey]=DiscreteStatsTable[[#This Row],[GroupByKey]]),(DiscreteStatsTable[GroupByKey]=DiscreteStatsTable[[#This Row],[GroupByKey]])*DiscreteStatsTable[Maximum]))</f>
        <v>8.9875693768262899</v>
      </c>
      <c r="V170" cm="1">
        <f t="array" ref="V170">IFERROR(AVERAGE(IF((DiscreteStatsTable[GroupByKey]=DiscreteStatsTable[[#This Row],[GroupByKey]]),(DiscreteStatsTable[GroupByKey]=DiscreteStatsTable[[#This Row],[GroupByKey]])*DiscreteStatsTable[NumberObservations])),0)</f>
        <v>13100.1</v>
      </c>
      <c r="W170">
        <f>IF((DiscreteStatsTable[[#This Row],[RepsRequested]]&gt;1),DiscreteStatsTable[[#This Row],[HalfWidth]],DiscreteStatsTable[[#This Row],[BatchMeansHalfWidth]])</f>
        <v>7.9471463002660225E-3</v>
      </c>
      <c r="X170" cm="1">
        <f t="array" ref="X170">COUNT(IF((DiscreteStatsTable[GroupByKey]=DiscreteStatsTable[[#This Row],[GroupByKey]]),(DiscreteStatsTable[GroupByKey]=DiscreteStatsTable[[#This Row],[GroupByKey]])*DiscreteStatsTable[Replication]))</f>
        <v>10</v>
      </c>
      <c r="Y170">
        <f>IF(DiscreteStatsTable[[#This Row],[RepsRequested]]=DiscreteStatsTable[[#This Row],[RepsWithStatObserved]],1,0)</f>
        <v>1</v>
      </c>
    </row>
    <row r="171" spans="1:25" x14ac:dyDescent="0.25">
      <c r="A171" t="s">
        <v>67</v>
      </c>
      <c r="B171" t="s">
        <v>243</v>
      </c>
      <c r="C171">
        <v>5</v>
      </c>
      <c r="D171" t="s">
        <v>91</v>
      </c>
      <c r="E171" t="s">
        <v>89</v>
      </c>
      <c r="F171" t="s">
        <v>87</v>
      </c>
      <c r="G171">
        <v>6.0098874709100603</v>
      </c>
      <c r="H171">
        <v>2.7219855066701801E-2</v>
      </c>
      <c r="I171">
        <v>3.0738276465563099</v>
      </c>
      <c r="J171">
        <v>8.9717484512875707</v>
      </c>
      <c r="K171">
        <v>13111</v>
      </c>
      <c r="L171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171" cm="1">
        <f t="array" ref="M171">MAX(IF((ProjectInfoTable[ProjectName]=DiscreteStatsTable[[#This Row],[ProjectName]]),(ProjectInfoTable[ProjectName]=DiscreteStatsTable[[#This Row],[ProjectName]])*ProjectInfoTable[NumberOfReplications]))</f>
        <v>10</v>
      </c>
      <c r="N171" cm="1">
        <f t="array" ref="N171">IFERROR(AVERAGE(IF((DiscreteStatsTable[GroupByKey]=DiscreteStatsTable[[#This Row],[GroupByKey]]),(DiscreteStatsTable[GroupByKey]=DiscreteStatsTable[[#This Row],[GroupByKey]])*DiscreteStatsTable[Average])),0)</f>
        <v>6.0042533719220117</v>
      </c>
      <c r="O171" cm="1">
        <f t="array" ref="O171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71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71" cm="1">
        <f t="array" ref="R171">MIN(IF((DiscreteStatsTable[GroupByKey]=DiscreteStatsTable[[#This Row],[GroupByKey]]),(DiscreteStatsTable[GroupByKey]=DiscreteStatsTable[[#This Row],[GroupByKey]])*DiscreteStatsTable[Average]))</f>
        <v>5.9884596822991698</v>
      </c>
      <c r="S171" cm="1">
        <f t="array" ref="S171">MAX(IF((DiscreteStatsTable[GroupByKey]=DiscreteStatsTable[[#This Row],[GroupByKey]]),(DiscreteStatsTable[GroupByKey]=DiscreteStatsTable[[#This Row],[GroupByKey]])*DiscreteStatsTable[Average]))</f>
        <v>6.0231394376096299</v>
      </c>
      <c r="T171" cm="1">
        <f t="array" ref="T171">MIN(IF((DiscreteStatsTable[GroupByKey]=DiscreteStatsTable[[#This Row],[GroupByKey]]),(DiscreteStatsTable[GroupByKey]=DiscreteStatsTable[[#This Row],[GroupByKey]])*DiscreteStatsTable[Minimum]))</f>
        <v>3.0160888143000202</v>
      </c>
      <c r="U171" cm="1">
        <f t="array" ref="U171">MAX(IF((DiscreteStatsTable[GroupByKey]=DiscreteStatsTable[[#This Row],[GroupByKey]]),(DiscreteStatsTable[GroupByKey]=DiscreteStatsTable[[#This Row],[GroupByKey]])*DiscreteStatsTable[Maximum]))</f>
        <v>8.9875693768262899</v>
      </c>
      <c r="V171" cm="1">
        <f t="array" ref="V171">IFERROR(AVERAGE(IF((DiscreteStatsTable[GroupByKey]=DiscreteStatsTable[[#This Row],[GroupByKey]]),(DiscreteStatsTable[GroupByKey]=DiscreteStatsTable[[#This Row],[GroupByKey]])*DiscreteStatsTable[NumberObservations])),0)</f>
        <v>13100.1</v>
      </c>
      <c r="W171">
        <f>IF((DiscreteStatsTable[[#This Row],[RepsRequested]]&gt;1),DiscreteStatsTable[[#This Row],[HalfWidth]],DiscreteStatsTable[[#This Row],[BatchMeansHalfWidth]])</f>
        <v>7.9471463002660225E-3</v>
      </c>
      <c r="X171" cm="1">
        <f t="array" ref="X171">COUNT(IF((DiscreteStatsTable[GroupByKey]=DiscreteStatsTable[[#This Row],[GroupByKey]]),(DiscreteStatsTable[GroupByKey]=DiscreteStatsTable[[#This Row],[GroupByKey]])*DiscreteStatsTable[Replication]))</f>
        <v>10</v>
      </c>
      <c r="Y171">
        <f>IF(DiscreteStatsTable[[#This Row],[RepsRequested]]=DiscreteStatsTable[[#This Row],[RepsWithStatObserved]],1,0)</f>
        <v>1</v>
      </c>
    </row>
    <row r="172" spans="1:25" x14ac:dyDescent="0.25">
      <c r="A172" t="s">
        <v>67</v>
      </c>
      <c r="B172" t="s">
        <v>243</v>
      </c>
      <c r="C172">
        <v>6</v>
      </c>
      <c r="D172" t="s">
        <v>91</v>
      </c>
      <c r="E172" t="s">
        <v>88</v>
      </c>
      <c r="F172" t="s">
        <v>87</v>
      </c>
      <c r="G172">
        <v>5.99676525895556</v>
      </c>
      <c r="H172">
        <v>1.8371362164113898E-2</v>
      </c>
      <c r="I172">
        <v>3.03007650227664</v>
      </c>
      <c r="J172">
        <v>8.9507994962623307</v>
      </c>
      <c r="K172">
        <v>13103</v>
      </c>
      <c r="L172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172" cm="1">
        <f t="array" ref="M172">MAX(IF((ProjectInfoTable[ProjectName]=DiscreteStatsTable[[#This Row],[ProjectName]]),(ProjectInfoTable[ProjectName]=DiscreteStatsTable[[#This Row],[ProjectName]])*ProjectInfoTable[NumberOfReplications]))</f>
        <v>10</v>
      </c>
      <c r="N172" cm="1">
        <f t="array" ref="N172">IFERROR(AVERAGE(IF((DiscreteStatsTable[GroupByKey]=DiscreteStatsTable[[#This Row],[GroupByKey]]),(DiscreteStatsTable[GroupByKey]=DiscreteStatsTable[[#This Row],[GroupByKey]])*DiscreteStatsTable[Average])),0)</f>
        <v>6.0042533719220117</v>
      </c>
      <c r="O172" cm="1">
        <f t="array" ref="O172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72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72" cm="1">
        <f t="array" ref="R172">MIN(IF((DiscreteStatsTable[GroupByKey]=DiscreteStatsTable[[#This Row],[GroupByKey]]),(DiscreteStatsTable[GroupByKey]=DiscreteStatsTable[[#This Row],[GroupByKey]])*DiscreteStatsTable[Average]))</f>
        <v>5.9884596822991698</v>
      </c>
      <c r="S172" cm="1">
        <f t="array" ref="S172">MAX(IF((DiscreteStatsTable[GroupByKey]=DiscreteStatsTable[[#This Row],[GroupByKey]]),(DiscreteStatsTable[GroupByKey]=DiscreteStatsTable[[#This Row],[GroupByKey]])*DiscreteStatsTable[Average]))</f>
        <v>6.0231394376096299</v>
      </c>
      <c r="T172" cm="1">
        <f t="array" ref="T172">MIN(IF((DiscreteStatsTable[GroupByKey]=DiscreteStatsTable[[#This Row],[GroupByKey]]),(DiscreteStatsTable[GroupByKey]=DiscreteStatsTable[[#This Row],[GroupByKey]])*DiscreteStatsTable[Minimum]))</f>
        <v>3.0160888143000202</v>
      </c>
      <c r="U172" cm="1">
        <f t="array" ref="U172">MAX(IF((DiscreteStatsTable[GroupByKey]=DiscreteStatsTable[[#This Row],[GroupByKey]]),(DiscreteStatsTable[GroupByKey]=DiscreteStatsTable[[#This Row],[GroupByKey]])*DiscreteStatsTable[Maximum]))</f>
        <v>8.9875693768262899</v>
      </c>
      <c r="V172" cm="1">
        <f t="array" ref="V172">IFERROR(AVERAGE(IF((DiscreteStatsTable[GroupByKey]=DiscreteStatsTable[[#This Row],[GroupByKey]]),(DiscreteStatsTable[GroupByKey]=DiscreteStatsTable[[#This Row],[GroupByKey]])*DiscreteStatsTable[NumberObservations])),0)</f>
        <v>13100.1</v>
      </c>
      <c r="W172">
        <f>IF((DiscreteStatsTable[[#This Row],[RepsRequested]]&gt;1),DiscreteStatsTable[[#This Row],[HalfWidth]],DiscreteStatsTable[[#This Row],[BatchMeansHalfWidth]])</f>
        <v>7.9471463002660225E-3</v>
      </c>
      <c r="X172" cm="1">
        <f t="array" ref="X172">COUNT(IF((DiscreteStatsTable[GroupByKey]=DiscreteStatsTable[[#This Row],[GroupByKey]]),(DiscreteStatsTable[GroupByKey]=DiscreteStatsTable[[#This Row],[GroupByKey]])*DiscreteStatsTable[Replication]))</f>
        <v>10</v>
      </c>
      <c r="Y172">
        <f>IF(DiscreteStatsTable[[#This Row],[RepsRequested]]=DiscreteStatsTable[[#This Row],[RepsWithStatObserved]],1,0)</f>
        <v>1</v>
      </c>
    </row>
    <row r="173" spans="1:25" x14ac:dyDescent="0.25">
      <c r="A173" t="s">
        <v>67</v>
      </c>
      <c r="B173" t="s">
        <v>243</v>
      </c>
      <c r="C173">
        <v>6</v>
      </c>
      <c r="D173" t="s">
        <v>91</v>
      </c>
      <c r="E173" t="s">
        <v>89</v>
      </c>
      <c r="F173" t="s">
        <v>87</v>
      </c>
      <c r="G173">
        <v>5.99676525895556</v>
      </c>
      <c r="H173">
        <v>1.8371362164113898E-2</v>
      </c>
      <c r="I173">
        <v>3.03007650227664</v>
      </c>
      <c r="J173">
        <v>8.9507994962623307</v>
      </c>
      <c r="K173">
        <v>13103</v>
      </c>
      <c r="L173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173" cm="1">
        <f t="array" ref="M173">MAX(IF((ProjectInfoTable[ProjectName]=DiscreteStatsTable[[#This Row],[ProjectName]]),(ProjectInfoTable[ProjectName]=DiscreteStatsTable[[#This Row],[ProjectName]])*ProjectInfoTable[NumberOfReplications]))</f>
        <v>10</v>
      </c>
      <c r="N173" cm="1">
        <f t="array" ref="N173">IFERROR(AVERAGE(IF((DiscreteStatsTable[GroupByKey]=DiscreteStatsTable[[#This Row],[GroupByKey]]),(DiscreteStatsTable[GroupByKey]=DiscreteStatsTable[[#This Row],[GroupByKey]])*DiscreteStatsTable[Average])),0)</f>
        <v>6.0042533719220117</v>
      </c>
      <c r="O173" cm="1">
        <f t="array" ref="O173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73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73" cm="1">
        <f t="array" ref="R173">MIN(IF((DiscreteStatsTable[GroupByKey]=DiscreteStatsTable[[#This Row],[GroupByKey]]),(DiscreteStatsTable[GroupByKey]=DiscreteStatsTable[[#This Row],[GroupByKey]])*DiscreteStatsTable[Average]))</f>
        <v>5.9884596822991698</v>
      </c>
      <c r="S173" cm="1">
        <f t="array" ref="S173">MAX(IF((DiscreteStatsTable[GroupByKey]=DiscreteStatsTable[[#This Row],[GroupByKey]]),(DiscreteStatsTable[GroupByKey]=DiscreteStatsTable[[#This Row],[GroupByKey]])*DiscreteStatsTable[Average]))</f>
        <v>6.0231394376096299</v>
      </c>
      <c r="T173" cm="1">
        <f t="array" ref="T173">MIN(IF((DiscreteStatsTable[GroupByKey]=DiscreteStatsTable[[#This Row],[GroupByKey]]),(DiscreteStatsTable[GroupByKey]=DiscreteStatsTable[[#This Row],[GroupByKey]])*DiscreteStatsTable[Minimum]))</f>
        <v>3.0160888143000202</v>
      </c>
      <c r="U173" cm="1">
        <f t="array" ref="U173">MAX(IF((DiscreteStatsTable[GroupByKey]=DiscreteStatsTable[[#This Row],[GroupByKey]]),(DiscreteStatsTable[GroupByKey]=DiscreteStatsTable[[#This Row],[GroupByKey]])*DiscreteStatsTable[Maximum]))</f>
        <v>8.9875693768262899</v>
      </c>
      <c r="V173" cm="1">
        <f t="array" ref="V173">IFERROR(AVERAGE(IF((DiscreteStatsTable[GroupByKey]=DiscreteStatsTable[[#This Row],[GroupByKey]]),(DiscreteStatsTable[GroupByKey]=DiscreteStatsTable[[#This Row],[GroupByKey]])*DiscreteStatsTable[NumberObservations])),0)</f>
        <v>13100.1</v>
      </c>
      <c r="W173">
        <f>IF((DiscreteStatsTable[[#This Row],[RepsRequested]]&gt;1),DiscreteStatsTable[[#This Row],[HalfWidth]],DiscreteStatsTable[[#This Row],[BatchMeansHalfWidth]])</f>
        <v>7.9471463002660225E-3</v>
      </c>
      <c r="X173" cm="1">
        <f t="array" ref="X173">COUNT(IF((DiscreteStatsTable[GroupByKey]=DiscreteStatsTable[[#This Row],[GroupByKey]]),(DiscreteStatsTable[GroupByKey]=DiscreteStatsTable[[#This Row],[GroupByKey]])*DiscreteStatsTable[Replication]))</f>
        <v>10</v>
      </c>
      <c r="Y173">
        <f>IF(DiscreteStatsTable[[#This Row],[RepsRequested]]=DiscreteStatsTable[[#This Row],[RepsWithStatObserved]],1,0)</f>
        <v>1</v>
      </c>
    </row>
    <row r="174" spans="1:25" x14ac:dyDescent="0.25">
      <c r="A174" t="s">
        <v>67</v>
      </c>
      <c r="B174" t="s">
        <v>243</v>
      </c>
      <c r="C174">
        <v>7</v>
      </c>
      <c r="D174" t="s">
        <v>91</v>
      </c>
      <c r="E174" t="s">
        <v>88</v>
      </c>
      <c r="F174" t="s">
        <v>87</v>
      </c>
      <c r="G174">
        <v>6.0112549028208999</v>
      </c>
      <c r="H174">
        <v>2.28577200152402E-2</v>
      </c>
      <c r="I174">
        <v>3.03105109289754</v>
      </c>
      <c r="J174">
        <v>8.9875693768262899</v>
      </c>
      <c r="K174">
        <v>13111</v>
      </c>
      <c r="L174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174" cm="1">
        <f t="array" ref="M174">MAX(IF((ProjectInfoTable[ProjectName]=DiscreteStatsTable[[#This Row],[ProjectName]]),(ProjectInfoTable[ProjectName]=DiscreteStatsTable[[#This Row],[ProjectName]])*ProjectInfoTable[NumberOfReplications]))</f>
        <v>10</v>
      </c>
      <c r="N174" cm="1">
        <f t="array" ref="N174">IFERROR(AVERAGE(IF((DiscreteStatsTable[GroupByKey]=DiscreteStatsTable[[#This Row],[GroupByKey]]),(DiscreteStatsTable[GroupByKey]=DiscreteStatsTable[[#This Row],[GroupByKey]])*DiscreteStatsTable[Average])),0)</f>
        <v>6.0042533719220117</v>
      </c>
      <c r="O174" cm="1">
        <f t="array" ref="O174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74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74" cm="1">
        <f t="array" ref="R174">MIN(IF((DiscreteStatsTable[GroupByKey]=DiscreteStatsTable[[#This Row],[GroupByKey]]),(DiscreteStatsTable[GroupByKey]=DiscreteStatsTable[[#This Row],[GroupByKey]])*DiscreteStatsTable[Average]))</f>
        <v>5.9884596822991698</v>
      </c>
      <c r="S174" cm="1">
        <f t="array" ref="S174">MAX(IF((DiscreteStatsTable[GroupByKey]=DiscreteStatsTable[[#This Row],[GroupByKey]]),(DiscreteStatsTable[GroupByKey]=DiscreteStatsTable[[#This Row],[GroupByKey]])*DiscreteStatsTable[Average]))</f>
        <v>6.0231394376096299</v>
      </c>
      <c r="T174" cm="1">
        <f t="array" ref="T174">MIN(IF((DiscreteStatsTable[GroupByKey]=DiscreteStatsTable[[#This Row],[GroupByKey]]),(DiscreteStatsTable[GroupByKey]=DiscreteStatsTable[[#This Row],[GroupByKey]])*DiscreteStatsTable[Minimum]))</f>
        <v>3.0160888143000202</v>
      </c>
      <c r="U174" cm="1">
        <f t="array" ref="U174">MAX(IF((DiscreteStatsTable[GroupByKey]=DiscreteStatsTable[[#This Row],[GroupByKey]]),(DiscreteStatsTable[GroupByKey]=DiscreteStatsTable[[#This Row],[GroupByKey]])*DiscreteStatsTable[Maximum]))</f>
        <v>8.9875693768262899</v>
      </c>
      <c r="V174" cm="1">
        <f t="array" ref="V174">IFERROR(AVERAGE(IF((DiscreteStatsTable[GroupByKey]=DiscreteStatsTable[[#This Row],[GroupByKey]]),(DiscreteStatsTable[GroupByKey]=DiscreteStatsTable[[#This Row],[GroupByKey]])*DiscreteStatsTable[NumberObservations])),0)</f>
        <v>13100.1</v>
      </c>
      <c r="W174">
        <f>IF((DiscreteStatsTable[[#This Row],[RepsRequested]]&gt;1),DiscreteStatsTable[[#This Row],[HalfWidth]],DiscreteStatsTable[[#This Row],[BatchMeansHalfWidth]])</f>
        <v>7.9471463002660225E-3</v>
      </c>
      <c r="X174" cm="1">
        <f t="array" ref="X174">COUNT(IF((DiscreteStatsTable[GroupByKey]=DiscreteStatsTable[[#This Row],[GroupByKey]]),(DiscreteStatsTable[GroupByKey]=DiscreteStatsTable[[#This Row],[GroupByKey]])*DiscreteStatsTable[Replication]))</f>
        <v>10</v>
      </c>
      <c r="Y174">
        <f>IF(DiscreteStatsTable[[#This Row],[RepsRequested]]=DiscreteStatsTable[[#This Row],[RepsWithStatObserved]],1,0)</f>
        <v>1</v>
      </c>
    </row>
    <row r="175" spans="1:25" x14ac:dyDescent="0.25">
      <c r="A175" t="s">
        <v>67</v>
      </c>
      <c r="B175" t="s">
        <v>243</v>
      </c>
      <c r="C175">
        <v>7</v>
      </c>
      <c r="D175" t="s">
        <v>91</v>
      </c>
      <c r="E175" t="s">
        <v>89</v>
      </c>
      <c r="F175" t="s">
        <v>87</v>
      </c>
      <c r="G175">
        <v>6.0112549028208999</v>
      </c>
      <c r="H175">
        <v>2.28577200152402E-2</v>
      </c>
      <c r="I175">
        <v>3.03105109289754</v>
      </c>
      <c r="J175">
        <v>8.9875693768262899</v>
      </c>
      <c r="K175">
        <v>13111</v>
      </c>
      <c r="L175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175" cm="1">
        <f t="array" ref="M175">MAX(IF((ProjectInfoTable[ProjectName]=DiscreteStatsTable[[#This Row],[ProjectName]]),(ProjectInfoTable[ProjectName]=DiscreteStatsTable[[#This Row],[ProjectName]])*ProjectInfoTable[NumberOfReplications]))</f>
        <v>10</v>
      </c>
      <c r="N175" cm="1">
        <f t="array" ref="N175">IFERROR(AVERAGE(IF((DiscreteStatsTable[GroupByKey]=DiscreteStatsTable[[#This Row],[GroupByKey]]),(DiscreteStatsTable[GroupByKey]=DiscreteStatsTable[[#This Row],[GroupByKey]])*DiscreteStatsTable[Average])),0)</f>
        <v>6.0042533719220117</v>
      </c>
      <c r="O175" cm="1">
        <f t="array" ref="O175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7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75" cm="1">
        <f t="array" ref="R175">MIN(IF((DiscreteStatsTable[GroupByKey]=DiscreteStatsTable[[#This Row],[GroupByKey]]),(DiscreteStatsTable[GroupByKey]=DiscreteStatsTable[[#This Row],[GroupByKey]])*DiscreteStatsTable[Average]))</f>
        <v>5.9884596822991698</v>
      </c>
      <c r="S175" cm="1">
        <f t="array" ref="S175">MAX(IF((DiscreteStatsTable[GroupByKey]=DiscreteStatsTable[[#This Row],[GroupByKey]]),(DiscreteStatsTable[GroupByKey]=DiscreteStatsTable[[#This Row],[GroupByKey]])*DiscreteStatsTable[Average]))</f>
        <v>6.0231394376096299</v>
      </c>
      <c r="T175" cm="1">
        <f t="array" ref="T175">MIN(IF((DiscreteStatsTable[GroupByKey]=DiscreteStatsTable[[#This Row],[GroupByKey]]),(DiscreteStatsTable[GroupByKey]=DiscreteStatsTable[[#This Row],[GroupByKey]])*DiscreteStatsTable[Minimum]))</f>
        <v>3.0160888143000202</v>
      </c>
      <c r="U175" cm="1">
        <f t="array" ref="U175">MAX(IF((DiscreteStatsTable[GroupByKey]=DiscreteStatsTable[[#This Row],[GroupByKey]]),(DiscreteStatsTable[GroupByKey]=DiscreteStatsTable[[#This Row],[GroupByKey]])*DiscreteStatsTable[Maximum]))</f>
        <v>8.9875693768262899</v>
      </c>
      <c r="V175" cm="1">
        <f t="array" ref="V175">IFERROR(AVERAGE(IF((DiscreteStatsTable[GroupByKey]=DiscreteStatsTable[[#This Row],[GroupByKey]]),(DiscreteStatsTable[GroupByKey]=DiscreteStatsTable[[#This Row],[GroupByKey]])*DiscreteStatsTable[NumberObservations])),0)</f>
        <v>13100.1</v>
      </c>
      <c r="W175">
        <f>IF((DiscreteStatsTable[[#This Row],[RepsRequested]]&gt;1),DiscreteStatsTable[[#This Row],[HalfWidth]],DiscreteStatsTable[[#This Row],[BatchMeansHalfWidth]])</f>
        <v>7.9471463002660225E-3</v>
      </c>
      <c r="X175" cm="1">
        <f t="array" ref="X175">COUNT(IF((DiscreteStatsTable[GroupByKey]=DiscreteStatsTable[[#This Row],[GroupByKey]]),(DiscreteStatsTable[GroupByKey]=DiscreteStatsTable[[#This Row],[GroupByKey]])*DiscreteStatsTable[Replication]))</f>
        <v>10</v>
      </c>
      <c r="Y175">
        <f>IF(DiscreteStatsTable[[#This Row],[RepsRequested]]=DiscreteStatsTable[[#This Row],[RepsWithStatObserved]],1,0)</f>
        <v>1</v>
      </c>
    </row>
    <row r="176" spans="1:25" x14ac:dyDescent="0.25">
      <c r="A176" t="s">
        <v>67</v>
      </c>
      <c r="B176" t="s">
        <v>243</v>
      </c>
      <c r="C176">
        <v>8</v>
      </c>
      <c r="D176" t="s">
        <v>91</v>
      </c>
      <c r="E176" t="s">
        <v>88</v>
      </c>
      <c r="F176" t="s">
        <v>87</v>
      </c>
      <c r="G176">
        <v>6.0231394376096299</v>
      </c>
      <c r="H176">
        <v>2.7145123656134699E-2</v>
      </c>
      <c r="I176">
        <v>3.0479700957875999</v>
      </c>
      <c r="J176">
        <v>8.9676855800207704</v>
      </c>
      <c r="K176">
        <v>13096</v>
      </c>
      <c r="L176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176" cm="1">
        <f t="array" ref="M176">MAX(IF((ProjectInfoTable[ProjectName]=DiscreteStatsTable[[#This Row],[ProjectName]]),(ProjectInfoTable[ProjectName]=DiscreteStatsTable[[#This Row],[ProjectName]])*ProjectInfoTable[NumberOfReplications]))</f>
        <v>10</v>
      </c>
      <c r="N176" cm="1">
        <f t="array" ref="N176">IFERROR(AVERAGE(IF((DiscreteStatsTable[GroupByKey]=DiscreteStatsTable[[#This Row],[GroupByKey]]),(DiscreteStatsTable[GroupByKey]=DiscreteStatsTable[[#This Row],[GroupByKey]])*DiscreteStatsTable[Average])),0)</f>
        <v>6.0042533719220117</v>
      </c>
      <c r="O176" cm="1">
        <f t="array" ref="O176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76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76" cm="1">
        <f t="array" ref="R176">MIN(IF((DiscreteStatsTable[GroupByKey]=DiscreteStatsTable[[#This Row],[GroupByKey]]),(DiscreteStatsTable[GroupByKey]=DiscreteStatsTable[[#This Row],[GroupByKey]])*DiscreteStatsTable[Average]))</f>
        <v>5.9884596822991698</v>
      </c>
      <c r="S176" cm="1">
        <f t="array" ref="S176">MAX(IF((DiscreteStatsTable[GroupByKey]=DiscreteStatsTable[[#This Row],[GroupByKey]]),(DiscreteStatsTable[GroupByKey]=DiscreteStatsTable[[#This Row],[GroupByKey]])*DiscreteStatsTable[Average]))</f>
        <v>6.0231394376096299</v>
      </c>
      <c r="T176" cm="1">
        <f t="array" ref="T176">MIN(IF((DiscreteStatsTable[GroupByKey]=DiscreteStatsTable[[#This Row],[GroupByKey]]),(DiscreteStatsTable[GroupByKey]=DiscreteStatsTable[[#This Row],[GroupByKey]])*DiscreteStatsTable[Minimum]))</f>
        <v>3.0160888143000202</v>
      </c>
      <c r="U176" cm="1">
        <f t="array" ref="U176">MAX(IF((DiscreteStatsTable[GroupByKey]=DiscreteStatsTable[[#This Row],[GroupByKey]]),(DiscreteStatsTable[GroupByKey]=DiscreteStatsTable[[#This Row],[GroupByKey]])*DiscreteStatsTable[Maximum]))</f>
        <v>8.9875693768262899</v>
      </c>
      <c r="V176" cm="1">
        <f t="array" ref="V176">IFERROR(AVERAGE(IF((DiscreteStatsTable[GroupByKey]=DiscreteStatsTable[[#This Row],[GroupByKey]]),(DiscreteStatsTable[GroupByKey]=DiscreteStatsTable[[#This Row],[GroupByKey]])*DiscreteStatsTable[NumberObservations])),0)</f>
        <v>13100.1</v>
      </c>
      <c r="W176">
        <f>IF((DiscreteStatsTable[[#This Row],[RepsRequested]]&gt;1),DiscreteStatsTable[[#This Row],[HalfWidth]],DiscreteStatsTable[[#This Row],[BatchMeansHalfWidth]])</f>
        <v>7.9471463002660225E-3</v>
      </c>
      <c r="X176" cm="1">
        <f t="array" ref="X176">COUNT(IF((DiscreteStatsTable[GroupByKey]=DiscreteStatsTable[[#This Row],[GroupByKey]]),(DiscreteStatsTable[GroupByKey]=DiscreteStatsTable[[#This Row],[GroupByKey]])*DiscreteStatsTable[Replication]))</f>
        <v>10</v>
      </c>
      <c r="Y176">
        <f>IF(DiscreteStatsTable[[#This Row],[RepsRequested]]=DiscreteStatsTable[[#This Row],[RepsWithStatObserved]],1,0)</f>
        <v>1</v>
      </c>
    </row>
    <row r="177" spans="1:25" x14ac:dyDescent="0.25">
      <c r="A177" t="s">
        <v>67</v>
      </c>
      <c r="B177" t="s">
        <v>243</v>
      </c>
      <c r="C177">
        <v>8</v>
      </c>
      <c r="D177" t="s">
        <v>91</v>
      </c>
      <c r="E177" t="s">
        <v>89</v>
      </c>
      <c r="F177" t="s">
        <v>87</v>
      </c>
      <c r="G177">
        <v>6.0231394376096299</v>
      </c>
      <c r="H177">
        <v>2.7145123656134699E-2</v>
      </c>
      <c r="I177">
        <v>3.0479700957875999</v>
      </c>
      <c r="J177">
        <v>8.9676855800207704</v>
      </c>
      <c r="K177">
        <v>13096</v>
      </c>
      <c r="L177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177" cm="1">
        <f t="array" ref="M177">MAX(IF((ProjectInfoTable[ProjectName]=DiscreteStatsTable[[#This Row],[ProjectName]]),(ProjectInfoTable[ProjectName]=DiscreteStatsTable[[#This Row],[ProjectName]])*ProjectInfoTable[NumberOfReplications]))</f>
        <v>10</v>
      </c>
      <c r="N177" cm="1">
        <f t="array" ref="N177">IFERROR(AVERAGE(IF((DiscreteStatsTable[GroupByKey]=DiscreteStatsTable[[#This Row],[GroupByKey]]),(DiscreteStatsTable[GroupByKey]=DiscreteStatsTable[[#This Row],[GroupByKey]])*DiscreteStatsTable[Average])),0)</f>
        <v>6.0042533719220117</v>
      </c>
      <c r="O177" cm="1">
        <f t="array" ref="O177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77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77" cm="1">
        <f t="array" ref="R177">MIN(IF((DiscreteStatsTable[GroupByKey]=DiscreteStatsTable[[#This Row],[GroupByKey]]),(DiscreteStatsTable[GroupByKey]=DiscreteStatsTable[[#This Row],[GroupByKey]])*DiscreteStatsTable[Average]))</f>
        <v>5.9884596822991698</v>
      </c>
      <c r="S177" cm="1">
        <f t="array" ref="S177">MAX(IF((DiscreteStatsTable[GroupByKey]=DiscreteStatsTable[[#This Row],[GroupByKey]]),(DiscreteStatsTable[GroupByKey]=DiscreteStatsTable[[#This Row],[GroupByKey]])*DiscreteStatsTable[Average]))</f>
        <v>6.0231394376096299</v>
      </c>
      <c r="T177" cm="1">
        <f t="array" ref="T177">MIN(IF((DiscreteStatsTable[GroupByKey]=DiscreteStatsTable[[#This Row],[GroupByKey]]),(DiscreteStatsTable[GroupByKey]=DiscreteStatsTable[[#This Row],[GroupByKey]])*DiscreteStatsTable[Minimum]))</f>
        <v>3.0160888143000202</v>
      </c>
      <c r="U177" cm="1">
        <f t="array" ref="U177">MAX(IF((DiscreteStatsTable[GroupByKey]=DiscreteStatsTable[[#This Row],[GroupByKey]]),(DiscreteStatsTable[GroupByKey]=DiscreteStatsTable[[#This Row],[GroupByKey]])*DiscreteStatsTable[Maximum]))</f>
        <v>8.9875693768262899</v>
      </c>
      <c r="V177" cm="1">
        <f t="array" ref="V177">IFERROR(AVERAGE(IF((DiscreteStatsTable[GroupByKey]=DiscreteStatsTable[[#This Row],[GroupByKey]]),(DiscreteStatsTable[GroupByKey]=DiscreteStatsTable[[#This Row],[GroupByKey]])*DiscreteStatsTable[NumberObservations])),0)</f>
        <v>13100.1</v>
      </c>
      <c r="W177">
        <f>IF((DiscreteStatsTable[[#This Row],[RepsRequested]]&gt;1),DiscreteStatsTable[[#This Row],[HalfWidth]],DiscreteStatsTable[[#This Row],[BatchMeansHalfWidth]])</f>
        <v>7.9471463002660225E-3</v>
      </c>
      <c r="X177" cm="1">
        <f t="array" ref="X177">COUNT(IF((DiscreteStatsTable[GroupByKey]=DiscreteStatsTable[[#This Row],[GroupByKey]]),(DiscreteStatsTable[GroupByKey]=DiscreteStatsTable[[#This Row],[GroupByKey]])*DiscreteStatsTable[Replication]))</f>
        <v>10</v>
      </c>
      <c r="Y177">
        <f>IF(DiscreteStatsTable[[#This Row],[RepsRequested]]=DiscreteStatsTable[[#This Row],[RepsWithStatObserved]],1,0)</f>
        <v>1</v>
      </c>
    </row>
    <row r="178" spans="1:25" x14ac:dyDescent="0.25">
      <c r="A178" t="s">
        <v>67</v>
      </c>
      <c r="B178" t="s">
        <v>243</v>
      </c>
      <c r="C178">
        <v>9</v>
      </c>
      <c r="D178" t="s">
        <v>91</v>
      </c>
      <c r="E178" t="s">
        <v>88</v>
      </c>
      <c r="F178" t="s">
        <v>87</v>
      </c>
      <c r="G178">
        <v>5.9937118268624898</v>
      </c>
      <c r="H178">
        <v>2.2195154548245999E-2</v>
      </c>
      <c r="I178">
        <v>3.0450538542281702</v>
      </c>
      <c r="J178">
        <v>8.9600454899482394</v>
      </c>
      <c r="K178">
        <v>13105</v>
      </c>
      <c r="L178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178" cm="1">
        <f t="array" ref="M178">MAX(IF((ProjectInfoTable[ProjectName]=DiscreteStatsTable[[#This Row],[ProjectName]]),(ProjectInfoTable[ProjectName]=DiscreteStatsTable[[#This Row],[ProjectName]])*ProjectInfoTable[NumberOfReplications]))</f>
        <v>10</v>
      </c>
      <c r="N178" cm="1">
        <f t="array" ref="N178">IFERROR(AVERAGE(IF((DiscreteStatsTable[GroupByKey]=DiscreteStatsTable[[#This Row],[GroupByKey]]),(DiscreteStatsTable[GroupByKey]=DiscreteStatsTable[[#This Row],[GroupByKey]])*DiscreteStatsTable[Average])),0)</f>
        <v>6.0042533719220117</v>
      </c>
      <c r="O178" cm="1">
        <f t="array" ref="O178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78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78" cm="1">
        <f t="array" ref="R178">MIN(IF((DiscreteStatsTable[GroupByKey]=DiscreteStatsTable[[#This Row],[GroupByKey]]),(DiscreteStatsTable[GroupByKey]=DiscreteStatsTable[[#This Row],[GroupByKey]])*DiscreteStatsTable[Average]))</f>
        <v>5.9884596822991698</v>
      </c>
      <c r="S178" cm="1">
        <f t="array" ref="S178">MAX(IF((DiscreteStatsTable[GroupByKey]=DiscreteStatsTable[[#This Row],[GroupByKey]]),(DiscreteStatsTable[GroupByKey]=DiscreteStatsTable[[#This Row],[GroupByKey]])*DiscreteStatsTable[Average]))</f>
        <v>6.0231394376096299</v>
      </c>
      <c r="T178" cm="1">
        <f t="array" ref="T178">MIN(IF((DiscreteStatsTable[GroupByKey]=DiscreteStatsTable[[#This Row],[GroupByKey]]),(DiscreteStatsTable[GroupByKey]=DiscreteStatsTable[[#This Row],[GroupByKey]])*DiscreteStatsTable[Minimum]))</f>
        <v>3.0160888143000202</v>
      </c>
      <c r="U178" cm="1">
        <f t="array" ref="U178">MAX(IF((DiscreteStatsTable[GroupByKey]=DiscreteStatsTable[[#This Row],[GroupByKey]]),(DiscreteStatsTable[GroupByKey]=DiscreteStatsTable[[#This Row],[GroupByKey]])*DiscreteStatsTable[Maximum]))</f>
        <v>8.9875693768262899</v>
      </c>
      <c r="V178" cm="1">
        <f t="array" ref="V178">IFERROR(AVERAGE(IF((DiscreteStatsTable[GroupByKey]=DiscreteStatsTable[[#This Row],[GroupByKey]]),(DiscreteStatsTable[GroupByKey]=DiscreteStatsTable[[#This Row],[GroupByKey]])*DiscreteStatsTable[NumberObservations])),0)</f>
        <v>13100.1</v>
      </c>
      <c r="W178">
        <f>IF((DiscreteStatsTable[[#This Row],[RepsRequested]]&gt;1),DiscreteStatsTable[[#This Row],[HalfWidth]],DiscreteStatsTable[[#This Row],[BatchMeansHalfWidth]])</f>
        <v>7.9471463002660225E-3</v>
      </c>
      <c r="X178" cm="1">
        <f t="array" ref="X178">COUNT(IF((DiscreteStatsTable[GroupByKey]=DiscreteStatsTable[[#This Row],[GroupByKey]]),(DiscreteStatsTable[GroupByKey]=DiscreteStatsTable[[#This Row],[GroupByKey]])*DiscreteStatsTable[Replication]))</f>
        <v>10</v>
      </c>
      <c r="Y178">
        <f>IF(DiscreteStatsTable[[#This Row],[RepsRequested]]=DiscreteStatsTable[[#This Row],[RepsWithStatObserved]],1,0)</f>
        <v>1</v>
      </c>
    </row>
    <row r="179" spans="1:25" x14ac:dyDescent="0.25">
      <c r="A179" t="s">
        <v>67</v>
      </c>
      <c r="B179" t="s">
        <v>243</v>
      </c>
      <c r="C179">
        <v>9</v>
      </c>
      <c r="D179" t="s">
        <v>91</v>
      </c>
      <c r="E179" t="s">
        <v>89</v>
      </c>
      <c r="F179" t="s">
        <v>87</v>
      </c>
      <c r="G179">
        <v>5.9937118268624898</v>
      </c>
      <c r="H179">
        <v>2.2195154548245999E-2</v>
      </c>
      <c r="I179">
        <v>3.0450538542281702</v>
      </c>
      <c r="J179">
        <v>8.9600454899482394</v>
      </c>
      <c r="K179">
        <v>13105</v>
      </c>
      <c r="L179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179" cm="1">
        <f t="array" ref="M179">MAX(IF((ProjectInfoTable[ProjectName]=DiscreteStatsTable[[#This Row],[ProjectName]]),(ProjectInfoTable[ProjectName]=DiscreteStatsTable[[#This Row],[ProjectName]])*ProjectInfoTable[NumberOfReplications]))</f>
        <v>10</v>
      </c>
      <c r="N179" cm="1">
        <f t="array" ref="N179">IFERROR(AVERAGE(IF((DiscreteStatsTable[GroupByKey]=DiscreteStatsTable[[#This Row],[GroupByKey]]),(DiscreteStatsTable[GroupByKey]=DiscreteStatsTable[[#This Row],[GroupByKey]])*DiscreteStatsTable[Average])),0)</f>
        <v>6.0042533719220117</v>
      </c>
      <c r="O179" cm="1">
        <f t="array" ref="O179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79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79" cm="1">
        <f t="array" ref="R179">MIN(IF((DiscreteStatsTable[GroupByKey]=DiscreteStatsTable[[#This Row],[GroupByKey]]),(DiscreteStatsTable[GroupByKey]=DiscreteStatsTable[[#This Row],[GroupByKey]])*DiscreteStatsTable[Average]))</f>
        <v>5.9884596822991698</v>
      </c>
      <c r="S179" cm="1">
        <f t="array" ref="S179">MAX(IF((DiscreteStatsTable[GroupByKey]=DiscreteStatsTable[[#This Row],[GroupByKey]]),(DiscreteStatsTable[GroupByKey]=DiscreteStatsTable[[#This Row],[GroupByKey]])*DiscreteStatsTable[Average]))</f>
        <v>6.0231394376096299</v>
      </c>
      <c r="T179" cm="1">
        <f t="array" ref="T179">MIN(IF((DiscreteStatsTable[GroupByKey]=DiscreteStatsTable[[#This Row],[GroupByKey]]),(DiscreteStatsTable[GroupByKey]=DiscreteStatsTable[[#This Row],[GroupByKey]])*DiscreteStatsTable[Minimum]))</f>
        <v>3.0160888143000202</v>
      </c>
      <c r="U179" cm="1">
        <f t="array" ref="U179">MAX(IF((DiscreteStatsTable[GroupByKey]=DiscreteStatsTable[[#This Row],[GroupByKey]]),(DiscreteStatsTable[GroupByKey]=DiscreteStatsTable[[#This Row],[GroupByKey]])*DiscreteStatsTable[Maximum]))</f>
        <v>8.9875693768262899</v>
      </c>
      <c r="V179" cm="1">
        <f t="array" ref="V179">IFERROR(AVERAGE(IF((DiscreteStatsTable[GroupByKey]=DiscreteStatsTable[[#This Row],[GroupByKey]]),(DiscreteStatsTable[GroupByKey]=DiscreteStatsTable[[#This Row],[GroupByKey]])*DiscreteStatsTable[NumberObservations])),0)</f>
        <v>13100.1</v>
      </c>
      <c r="W179">
        <f>IF((DiscreteStatsTable[[#This Row],[RepsRequested]]&gt;1),DiscreteStatsTable[[#This Row],[HalfWidth]],DiscreteStatsTable[[#This Row],[BatchMeansHalfWidth]])</f>
        <v>7.9471463002660225E-3</v>
      </c>
      <c r="X179" cm="1">
        <f t="array" ref="X179">COUNT(IF((DiscreteStatsTable[GroupByKey]=DiscreteStatsTable[[#This Row],[GroupByKey]]),(DiscreteStatsTable[GroupByKey]=DiscreteStatsTable[[#This Row],[GroupByKey]])*DiscreteStatsTable[Replication]))</f>
        <v>10</v>
      </c>
      <c r="Y179">
        <f>IF(DiscreteStatsTable[[#This Row],[RepsRequested]]=DiscreteStatsTable[[#This Row],[RepsWithStatObserved]],1,0)</f>
        <v>1</v>
      </c>
    </row>
    <row r="180" spans="1:25" x14ac:dyDescent="0.25">
      <c r="A180" t="s">
        <v>67</v>
      </c>
      <c r="B180" t="s">
        <v>243</v>
      </c>
      <c r="C180">
        <v>10</v>
      </c>
      <c r="D180" t="s">
        <v>91</v>
      </c>
      <c r="E180" t="s">
        <v>88</v>
      </c>
      <c r="F180" t="s">
        <v>87</v>
      </c>
      <c r="G180">
        <v>6.0137554503024502</v>
      </c>
      <c r="H180">
        <v>1.8818322311901E-2</v>
      </c>
      <c r="I180">
        <v>3.0466787443147001</v>
      </c>
      <c r="J180">
        <v>8.9477388221421297</v>
      </c>
      <c r="K180">
        <v>13083</v>
      </c>
      <c r="L180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180" cm="1">
        <f t="array" ref="M180">MAX(IF((ProjectInfoTable[ProjectName]=DiscreteStatsTable[[#This Row],[ProjectName]]),(ProjectInfoTable[ProjectName]=DiscreteStatsTable[[#This Row],[ProjectName]])*ProjectInfoTable[NumberOfReplications]))</f>
        <v>10</v>
      </c>
      <c r="N180" cm="1">
        <f t="array" ref="N180">IFERROR(AVERAGE(IF((DiscreteStatsTable[GroupByKey]=DiscreteStatsTable[[#This Row],[GroupByKey]]),(DiscreteStatsTable[GroupByKey]=DiscreteStatsTable[[#This Row],[GroupByKey]])*DiscreteStatsTable[Average])),0)</f>
        <v>6.0042533719220117</v>
      </c>
      <c r="O180" cm="1">
        <f t="array" ref="O180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80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80" cm="1">
        <f t="array" ref="R180">MIN(IF((DiscreteStatsTable[GroupByKey]=DiscreteStatsTable[[#This Row],[GroupByKey]]),(DiscreteStatsTable[GroupByKey]=DiscreteStatsTable[[#This Row],[GroupByKey]])*DiscreteStatsTable[Average]))</f>
        <v>5.9884596822991698</v>
      </c>
      <c r="S180" cm="1">
        <f t="array" ref="S180">MAX(IF((DiscreteStatsTable[GroupByKey]=DiscreteStatsTable[[#This Row],[GroupByKey]]),(DiscreteStatsTable[GroupByKey]=DiscreteStatsTable[[#This Row],[GroupByKey]])*DiscreteStatsTable[Average]))</f>
        <v>6.0231394376096299</v>
      </c>
      <c r="T180" cm="1">
        <f t="array" ref="T180">MIN(IF((DiscreteStatsTable[GroupByKey]=DiscreteStatsTable[[#This Row],[GroupByKey]]),(DiscreteStatsTable[GroupByKey]=DiscreteStatsTable[[#This Row],[GroupByKey]])*DiscreteStatsTable[Minimum]))</f>
        <v>3.0160888143000202</v>
      </c>
      <c r="U180" cm="1">
        <f t="array" ref="U180">MAX(IF((DiscreteStatsTable[GroupByKey]=DiscreteStatsTable[[#This Row],[GroupByKey]]),(DiscreteStatsTable[GroupByKey]=DiscreteStatsTable[[#This Row],[GroupByKey]])*DiscreteStatsTable[Maximum]))</f>
        <v>8.9875693768262899</v>
      </c>
      <c r="V180" cm="1">
        <f t="array" ref="V180">IFERROR(AVERAGE(IF((DiscreteStatsTable[GroupByKey]=DiscreteStatsTable[[#This Row],[GroupByKey]]),(DiscreteStatsTable[GroupByKey]=DiscreteStatsTable[[#This Row],[GroupByKey]])*DiscreteStatsTable[NumberObservations])),0)</f>
        <v>13100.1</v>
      </c>
      <c r="W180">
        <f>IF((DiscreteStatsTable[[#This Row],[RepsRequested]]&gt;1),DiscreteStatsTable[[#This Row],[HalfWidth]],DiscreteStatsTable[[#This Row],[BatchMeansHalfWidth]])</f>
        <v>7.9471463002660225E-3</v>
      </c>
      <c r="X180" cm="1">
        <f t="array" ref="X180">COUNT(IF((DiscreteStatsTable[GroupByKey]=DiscreteStatsTable[[#This Row],[GroupByKey]]),(DiscreteStatsTable[GroupByKey]=DiscreteStatsTable[[#This Row],[GroupByKey]])*DiscreteStatsTable[Replication]))</f>
        <v>10</v>
      </c>
      <c r="Y180">
        <f>IF(DiscreteStatsTable[[#This Row],[RepsRequested]]=DiscreteStatsTable[[#This Row],[RepsWithStatObserved]],1,0)</f>
        <v>1</v>
      </c>
    </row>
    <row r="181" spans="1:25" x14ac:dyDescent="0.25">
      <c r="A181" t="s">
        <v>67</v>
      </c>
      <c r="B181" t="s">
        <v>243</v>
      </c>
      <c r="C181">
        <v>10</v>
      </c>
      <c r="D181" t="s">
        <v>91</v>
      </c>
      <c r="E181" t="s">
        <v>89</v>
      </c>
      <c r="F181" t="s">
        <v>87</v>
      </c>
      <c r="G181">
        <v>6.0137554503024502</v>
      </c>
      <c r="H181">
        <v>1.8818322311901E-2</v>
      </c>
      <c r="I181">
        <v>3.0466787443147001</v>
      </c>
      <c r="J181">
        <v>8.9477388221421297</v>
      </c>
      <c r="K181">
        <v>13083</v>
      </c>
      <c r="L181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181" cm="1">
        <f t="array" ref="M181">MAX(IF((ProjectInfoTable[ProjectName]=DiscreteStatsTable[[#This Row],[ProjectName]]),(ProjectInfoTable[ProjectName]=DiscreteStatsTable[[#This Row],[ProjectName]])*ProjectInfoTable[NumberOfReplications]))</f>
        <v>10</v>
      </c>
      <c r="N181" cm="1">
        <f t="array" ref="N181">IFERROR(AVERAGE(IF((DiscreteStatsTable[GroupByKey]=DiscreteStatsTable[[#This Row],[GroupByKey]]),(DiscreteStatsTable[GroupByKey]=DiscreteStatsTable[[#This Row],[GroupByKey]])*DiscreteStatsTable[Average])),0)</f>
        <v>6.0042533719220117</v>
      </c>
      <c r="O181" cm="1">
        <f t="array" ref="O181">IFERROR(_xlfn.STDEV.S(IF((DiscreteStatsTable[GroupByKey]=DiscreteStatsTable[[#This Row],[GroupByKey]]),(DiscreteStatsTable[GroupByKey]=DiscreteStatsTable[[#This Row],[GroupByKey]])*DiscreteStatsTable[Average])),0)</f>
        <v>1.1109344487955385E-2</v>
      </c>
      <c r="P181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7.9471463002660225E-3</v>
      </c>
      <c r="R181" cm="1">
        <f t="array" ref="R181">MIN(IF((DiscreteStatsTable[GroupByKey]=DiscreteStatsTable[[#This Row],[GroupByKey]]),(DiscreteStatsTable[GroupByKey]=DiscreteStatsTable[[#This Row],[GroupByKey]])*DiscreteStatsTable[Average]))</f>
        <v>5.9884596822991698</v>
      </c>
      <c r="S181" cm="1">
        <f t="array" ref="S181">MAX(IF((DiscreteStatsTable[GroupByKey]=DiscreteStatsTable[[#This Row],[GroupByKey]]),(DiscreteStatsTable[GroupByKey]=DiscreteStatsTable[[#This Row],[GroupByKey]])*DiscreteStatsTable[Average]))</f>
        <v>6.0231394376096299</v>
      </c>
      <c r="T181" cm="1">
        <f t="array" ref="T181">MIN(IF((DiscreteStatsTable[GroupByKey]=DiscreteStatsTable[[#This Row],[GroupByKey]]),(DiscreteStatsTable[GroupByKey]=DiscreteStatsTable[[#This Row],[GroupByKey]])*DiscreteStatsTable[Minimum]))</f>
        <v>3.0160888143000202</v>
      </c>
      <c r="U181" cm="1">
        <f t="array" ref="U181">MAX(IF((DiscreteStatsTable[GroupByKey]=DiscreteStatsTable[[#This Row],[GroupByKey]]),(DiscreteStatsTable[GroupByKey]=DiscreteStatsTable[[#This Row],[GroupByKey]])*DiscreteStatsTable[Maximum]))</f>
        <v>8.9875693768262899</v>
      </c>
      <c r="V181" cm="1">
        <f t="array" ref="V181">IFERROR(AVERAGE(IF((DiscreteStatsTable[GroupByKey]=DiscreteStatsTable[[#This Row],[GroupByKey]]),(DiscreteStatsTable[GroupByKey]=DiscreteStatsTable[[#This Row],[GroupByKey]])*DiscreteStatsTable[NumberObservations])),0)</f>
        <v>13100.1</v>
      </c>
      <c r="W181">
        <f>IF((DiscreteStatsTable[[#This Row],[RepsRequested]]&gt;1),DiscreteStatsTable[[#This Row],[HalfWidth]],DiscreteStatsTable[[#This Row],[BatchMeansHalfWidth]])</f>
        <v>7.9471463002660225E-3</v>
      </c>
      <c r="X181" cm="1">
        <f t="array" ref="X181">COUNT(IF((DiscreteStatsTable[GroupByKey]=DiscreteStatsTable[[#This Row],[GroupByKey]]),(DiscreteStatsTable[GroupByKey]=DiscreteStatsTable[[#This Row],[GroupByKey]])*DiscreteStatsTable[Replication]))</f>
        <v>10</v>
      </c>
      <c r="Y181">
        <f>IF(DiscreteStatsTable[[#This Row],[RepsRequested]]=DiscreteStatsTable[[#This Row],[RepsWithStatObserved]],1,0)</f>
        <v>1</v>
      </c>
    </row>
    <row r="182" spans="1:25" x14ac:dyDescent="0.25">
      <c r="A182" t="s">
        <v>67</v>
      </c>
      <c r="B182" t="s">
        <v>243</v>
      </c>
      <c r="C182">
        <v>1</v>
      </c>
      <c r="D182" t="s">
        <v>92</v>
      </c>
      <c r="E182" t="s">
        <v>88</v>
      </c>
      <c r="F182" t="s">
        <v>87</v>
      </c>
      <c r="G182">
        <v>10.997074271405999</v>
      </c>
      <c r="H182">
        <v>7.6758210749805402E-3</v>
      </c>
      <c r="I182">
        <v>10.0207833338354</v>
      </c>
      <c r="J182">
        <v>11.990423702402</v>
      </c>
      <c r="K182">
        <v>13090</v>
      </c>
      <c r="L182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182" cm="1">
        <f t="array" ref="M182">MAX(IF((ProjectInfoTable[ProjectName]=DiscreteStatsTable[[#This Row],[ProjectName]]),(ProjectInfoTable[ProjectName]=DiscreteStatsTable[[#This Row],[ProjectName]])*ProjectInfoTable[NumberOfReplications]))</f>
        <v>10</v>
      </c>
      <c r="N182" cm="1">
        <f t="array" ref="N182">IFERROR(AVERAGE(IF((DiscreteStatsTable[GroupByKey]=DiscreteStatsTable[[#This Row],[GroupByKey]]),(DiscreteStatsTable[GroupByKey]=DiscreteStatsTable[[#This Row],[GroupByKey]])*DiscreteStatsTable[Average])),0)</f>
        <v>10.99919148588766</v>
      </c>
      <c r="O182" cm="1">
        <f t="array" ref="O182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82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82" cm="1">
        <f t="array" ref="R182">MIN(IF((DiscreteStatsTable[GroupByKey]=DiscreteStatsTable[[#This Row],[GroupByKey]]),(DiscreteStatsTable[GroupByKey]=DiscreteStatsTable[[#This Row],[GroupByKey]])*DiscreteStatsTable[Average]))</f>
        <v>10.9932090669167</v>
      </c>
      <c r="S182" cm="1">
        <f t="array" ref="S182">MAX(IF((DiscreteStatsTable[GroupByKey]=DiscreteStatsTable[[#This Row],[GroupByKey]]),(DiscreteStatsTable[GroupByKey]=DiscreteStatsTable[[#This Row],[GroupByKey]])*DiscreteStatsTable[Average]))</f>
        <v>11.0044982397086</v>
      </c>
      <c r="T182" cm="1">
        <f t="array" ref="T182">MIN(IF((DiscreteStatsTable[GroupByKey]=DiscreteStatsTable[[#This Row],[GroupByKey]]),(DiscreteStatsTable[GroupByKey]=DiscreteStatsTable[[#This Row],[GroupByKey]])*DiscreteStatsTable[Minimum]))</f>
        <v>10.0056447622483</v>
      </c>
      <c r="U182" cm="1">
        <f t="array" ref="U182">MAX(IF((DiscreteStatsTable[GroupByKey]=DiscreteStatsTable[[#This Row],[GroupByKey]]),(DiscreteStatsTable[GroupByKey]=DiscreteStatsTable[[#This Row],[GroupByKey]])*DiscreteStatsTable[Maximum]))</f>
        <v>11.997286937461499</v>
      </c>
      <c r="V182" cm="1">
        <f t="array" ref="V182">IFERROR(AVERAGE(IF((DiscreteStatsTable[GroupByKey]=DiscreteStatsTable[[#This Row],[GroupByKey]]),(DiscreteStatsTable[GroupByKey]=DiscreteStatsTable[[#This Row],[GroupByKey]])*DiscreteStatsTable[NumberObservations])),0)</f>
        <v>13099.9</v>
      </c>
      <c r="W182">
        <f>IF((DiscreteStatsTable[[#This Row],[RepsRequested]]&gt;1),DiscreteStatsTable[[#This Row],[HalfWidth]],DiscreteStatsTable[[#This Row],[BatchMeansHalfWidth]])</f>
        <v>2.8471016672894389E-3</v>
      </c>
      <c r="X182" cm="1">
        <f t="array" ref="X182">COUNT(IF((DiscreteStatsTable[GroupByKey]=DiscreteStatsTable[[#This Row],[GroupByKey]]),(DiscreteStatsTable[GroupByKey]=DiscreteStatsTable[[#This Row],[GroupByKey]])*DiscreteStatsTable[Replication]))</f>
        <v>10</v>
      </c>
      <c r="Y182">
        <f>IF(DiscreteStatsTable[[#This Row],[RepsRequested]]=DiscreteStatsTable[[#This Row],[RepsWithStatObserved]],1,0)</f>
        <v>1</v>
      </c>
    </row>
    <row r="183" spans="1:25" x14ac:dyDescent="0.25">
      <c r="A183" t="s">
        <v>67</v>
      </c>
      <c r="B183" t="s">
        <v>243</v>
      </c>
      <c r="C183">
        <v>1</v>
      </c>
      <c r="D183" t="s">
        <v>92</v>
      </c>
      <c r="E183" t="s">
        <v>89</v>
      </c>
      <c r="F183" t="s">
        <v>87</v>
      </c>
      <c r="G183">
        <v>10.997074271405999</v>
      </c>
      <c r="H183">
        <v>7.6758210749805402E-3</v>
      </c>
      <c r="I183">
        <v>10.0207833338354</v>
      </c>
      <c r="J183">
        <v>11.990423702402</v>
      </c>
      <c r="K183">
        <v>13090</v>
      </c>
      <c r="L183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183" cm="1">
        <f t="array" ref="M183">MAX(IF((ProjectInfoTable[ProjectName]=DiscreteStatsTable[[#This Row],[ProjectName]]),(ProjectInfoTable[ProjectName]=DiscreteStatsTable[[#This Row],[ProjectName]])*ProjectInfoTable[NumberOfReplications]))</f>
        <v>10</v>
      </c>
      <c r="N183" cm="1">
        <f t="array" ref="N183">IFERROR(AVERAGE(IF((DiscreteStatsTable[GroupByKey]=DiscreteStatsTable[[#This Row],[GroupByKey]]),(DiscreteStatsTable[GroupByKey]=DiscreteStatsTable[[#This Row],[GroupByKey]])*DiscreteStatsTable[Average])),0)</f>
        <v>10.99919148588766</v>
      </c>
      <c r="O183" cm="1">
        <f t="array" ref="O183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83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83" cm="1">
        <f t="array" ref="R183">MIN(IF((DiscreteStatsTable[GroupByKey]=DiscreteStatsTable[[#This Row],[GroupByKey]]),(DiscreteStatsTable[GroupByKey]=DiscreteStatsTable[[#This Row],[GroupByKey]])*DiscreteStatsTable[Average]))</f>
        <v>10.9932090669167</v>
      </c>
      <c r="S183" cm="1">
        <f t="array" ref="S183">MAX(IF((DiscreteStatsTable[GroupByKey]=DiscreteStatsTable[[#This Row],[GroupByKey]]),(DiscreteStatsTable[GroupByKey]=DiscreteStatsTable[[#This Row],[GroupByKey]])*DiscreteStatsTable[Average]))</f>
        <v>11.0044982397086</v>
      </c>
      <c r="T183" cm="1">
        <f t="array" ref="T183">MIN(IF((DiscreteStatsTable[GroupByKey]=DiscreteStatsTable[[#This Row],[GroupByKey]]),(DiscreteStatsTable[GroupByKey]=DiscreteStatsTable[[#This Row],[GroupByKey]])*DiscreteStatsTable[Minimum]))</f>
        <v>10.0056447622483</v>
      </c>
      <c r="U183" cm="1">
        <f t="array" ref="U183">MAX(IF((DiscreteStatsTable[GroupByKey]=DiscreteStatsTable[[#This Row],[GroupByKey]]),(DiscreteStatsTable[GroupByKey]=DiscreteStatsTable[[#This Row],[GroupByKey]])*DiscreteStatsTable[Maximum]))</f>
        <v>11.997286937461499</v>
      </c>
      <c r="V183" cm="1">
        <f t="array" ref="V183">IFERROR(AVERAGE(IF((DiscreteStatsTable[GroupByKey]=DiscreteStatsTable[[#This Row],[GroupByKey]]),(DiscreteStatsTable[GroupByKey]=DiscreteStatsTable[[#This Row],[GroupByKey]])*DiscreteStatsTable[NumberObservations])),0)</f>
        <v>13099.9</v>
      </c>
      <c r="W183">
        <f>IF((DiscreteStatsTable[[#This Row],[RepsRequested]]&gt;1),DiscreteStatsTable[[#This Row],[HalfWidth]],DiscreteStatsTable[[#This Row],[BatchMeansHalfWidth]])</f>
        <v>2.8471016672894389E-3</v>
      </c>
      <c r="X183" cm="1">
        <f t="array" ref="X183">COUNT(IF((DiscreteStatsTable[GroupByKey]=DiscreteStatsTable[[#This Row],[GroupByKey]]),(DiscreteStatsTable[GroupByKey]=DiscreteStatsTable[[#This Row],[GroupByKey]])*DiscreteStatsTable[Replication]))</f>
        <v>10</v>
      </c>
      <c r="Y183">
        <f>IF(DiscreteStatsTable[[#This Row],[RepsRequested]]=DiscreteStatsTable[[#This Row],[RepsWithStatObserved]],1,0)</f>
        <v>1</v>
      </c>
    </row>
    <row r="184" spans="1:25" x14ac:dyDescent="0.25">
      <c r="A184" t="s">
        <v>67</v>
      </c>
      <c r="B184" t="s">
        <v>243</v>
      </c>
      <c r="C184">
        <v>2</v>
      </c>
      <c r="D184" t="s">
        <v>92</v>
      </c>
      <c r="E184" t="s">
        <v>88</v>
      </c>
      <c r="F184" t="s">
        <v>87</v>
      </c>
      <c r="G184">
        <v>11.0000171574163</v>
      </c>
      <c r="H184">
        <v>9.5856861566257501E-3</v>
      </c>
      <c r="I184">
        <v>10.0186765588005</v>
      </c>
      <c r="J184">
        <v>11.9890942452475</v>
      </c>
      <c r="K184">
        <v>13118</v>
      </c>
      <c r="L184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184" cm="1">
        <f t="array" ref="M184">MAX(IF((ProjectInfoTable[ProjectName]=DiscreteStatsTable[[#This Row],[ProjectName]]),(ProjectInfoTable[ProjectName]=DiscreteStatsTable[[#This Row],[ProjectName]])*ProjectInfoTable[NumberOfReplications]))</f>
        <v>10</v>
      </c>
      <c r="N184" cm="1">
        <f t="array" ref="N184">IFERROR(AVERAGE(IF((DiscreteStatsTable[GroupByKey]=DiscreteStatsTable[[#This Row],[GroupByKey]]),(DiscreteStatsTable[GroupByKey]=DiscreteStatsTable[[#This Row],[GroupByKey]])*DiscreteStatsTable[Average])),0)</f>
        <v>10.99919148588766</v>
      </c>
      <c r="O184" cm="1">
        <f t="array" ref="O184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84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84" cm="1">
        <f t="array" ref="R184">MIN(IF((DiscreteStatsTable[GroupByKey]=DiscreteStatsTable[[#This Row],[GroupByKey]]),(DiscreteStatsTable[GroupByKey]=DiscreteStatsTable[[#This Row],[GroupByKey]])*DiscreteStatsTable[Average]))</f>
        <v>10.9932090669167</v>
      </c>
      <c r="S184" cm="1">
        <f t="array" ref="S184">MAX(IF((DiscreteStatsTable[GroupByKey]=DiscreteStatsTable[[#This Row],[GroupByKey]]),(DiscreteStatsTable[GroupByKey]=DiscreteStatsTable[[#This Row],[GroupByKey]])*DiscreteStatsTable[Average]))</f>
        <v>11.0044982397086</v>
      </c>
      <c r="T184" cm="1">
        <f t="array" ref="T184">MIN(IF((DiscreteStatsTable[GroupByKey]=DiscreteStatsTable[[#This Row],[GroupByKey]]),(DiscreteStatsTable[GroupByKey]=DiscreteStatsTable[[#This Row],[GroupByKey]])*DiscreteStatsTable[Minimum]))</f>
        <v>10.0056447622483</v>
      </c>
      <c r="U184" cm="1">
        <f t="array" ref="U184">MAX(IF((DiscreteStatsTable[GroupByKey]=DiscreteStatsTable[[#This Row],[GroupByKey]]),(DiscreteStatsTable[GroupByKey]=DiscreteStatsTable[[#This Row],[GroupByKey]])*DiscreteStatsTable[Maximum]))</f>
        <v>11.997286937461499</v>
      </c>
      <c r="V184" cm="1">
        <f t="array" ref="V184">IFERROR(AVERAGE(IF((DiscreteStatsTable[GroupByKey]=DiscreteStatsTable[[#This Row],[GroupByKey]]),(DiscreteStatsTable[GroupByKey]=DiscreteStatsTable[[#This Row],[GroupByKey]])*DiscreteStatsTable[NumberObservations])),0)</f>
        <v>13099.9</v>
      </c>
      <c r="W184">
        <f>IF((DiscreteStatsTable[[#This Row],[RepsRequested]]&gt;1),DiscreteStatsTable[[#This Row],[HalfWidth]],DiscreteStatsTable[[#This Row],[BatchMeansHalfWidth]])</f>
        <v>2.8471016672894389E-3</v>
      </c>
      <c r="X184" cm="1">
        <f t="array" ref="X184">COUNT(IF((DiscreteStatsTable[GroupByKey]=DiscreteStatsTable[[#This Row],[GroupByKey]]),(DiscreteStatsTable[GroupByKey]=DiscreteStatsTable[[#This Row],[GroupByKey]])*DiscreteStatsTable[Replication]))</f>
        <v>10</v>
      </c>
      <c r="Y184">
        <f>IF(DiscreteStatsTable[[#This Row],[RepsRequested]]=DiscreteStatsTable[[#This Row],[RepsWithStatObserved]],1,0)</f>
        <v>1</v>
      </c>
    </row>
    <row r="185" spans="1:25" x14ac:dyDescent="0.25">
      <c r="A185" t="s">
        <v>67</v>
      </c>
      <c r="B185" t="s">
        <v>243</v>
      </c>
      <c r="C185">
        <v>2</v>
      </c>
      <c r="D185" t="s">
        <v>92</v>
      </c>
      <c r="E185" t="s">
        <v>89</v>
      </c>
      <c r="F185" t="s">
        <v>87</v>
      </c>
      <c r="G185">
        <v>11.0000171574163</v>
      </c>
      <c r="H185">
        <v>9.5856861566257501E-3</v>
      </c>
      <c r="I185">
        <v>10.0186765588005</v>
      </c>
      <c r="J185">
        <v>11.9890942452475</v>
      </c>
      <c r="K185">
        <v>13118</v>
      </c>
      <c r="L185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185" cm="1">
        <f t="array" ref="M185">MAX(IF((ProjectInfoTable[ProjectName]=DiscreteStatsTable[[#This Row],[ProjectName]]),(ProjectInfoTable[ProjectName]=DiscreteStatsTable[[#This Row],[ProjectName]])*ProjectInfoTable[NumberOfReplications]))</f>
        <v>10</v>
      </c>
      <c r="N185" cm="1">
        <f t="array" ref="N185">IFERROR(AVERAGE(IF((DiscreteStatsTable[GroupByKey]=DiscreteStatsTable[[#This Row],[GroupByKey]]),(DiscreteStatsTable[GroupByKey]=DiscreteStatsTable[[#This Row],[GroupByKey]])*DiscreteStatsTable[Average])),0)</f>
        <v>10.99919148588766</v>
      </c>
      <c r="O185" cm="1">
        <f t="array" ref="O185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8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85" cm="1">
        <f t="array" ref="R185">MIN(IF((DiscreteStatsTable[GroupByKey]=DiscreteStatsTable[[#This Row],[GroupByKey]]),(DiscreteStatsTable[GroupByKey]=DiscreteStatsTable[[#This Row],[GroupByKey]])*DiscreteStatsTable[Average]))</f>
        <v>10.9932090669167</v>
      </c>
      <c r="S185" cm="1">
        <f t="array" ref="S185">MAX(IF((DiscreteStatsTable[GroupByKey]=DiscreteStatsTable[[#This Row],[GroupByKey]]),(DiscreteStatsTable[GroupByKey]=DiscreteStatsTable[[#This Row],[GroupByKey]])*DiscreteStatsTable[Average]))</f>
        <v>11.0044982397086</v>
      </c>
      <c r="T185" cm="1">
        <f t="array" ref="T185">MIN(IF((DiscreteStatsTable[GroupByKey]=DiscreteStatsTable[[#This Row],[GroupByKey]]),(DiscreteStatsTable[GroupByKey]=DiscreteStatsTable[[#This Row],[GroupByKey]])*DiscreteStatsTable[Minimum]))</f>
        <v>10.0056447622483</v>
      </c>
      <c r="U185" cm="1">
        <f t="array" ref="U185">MAX(IF((DiscreteStatsTable[GroupByKey]=DiscreteStatsTable[[#This Row],[GroupByKey]]),(DiscreteStatsTable[GroupByKey]=DiscreteStatsTable[[#This Row],[GroupByKey]])*DiscreteStatsTable[Maximum]))</f>
        <v>11.997286937461499</v>
      </c>
      <c r="V185" cm="1">
        <f t="array" ref="V185">IFERROR(AVERAGE(IF((DiscreteStatsTable[GroupByKey]=DiscreteStatsTable[[#This Row],[GroupByKey]]),(DiscreteStatsTable[GroupByKey]=DiscreteStatsTable[[#This Row],[GroupByKey]])*DiscreteStatsTable[NumberObservations])),0)</f>
        <v>13099.9</v>
      </c>
      <c r="W185">
        <f>IF((DiscreteStatsTable[[#This Row],[RepsRequested]]&gt;1),DiscreteStatsTable[[#This Row],[HalfWidth]],DiscreteStatsTable[[#This Row],[BatchMeansHalfWidth]])</f>
        <v>2.8471016672894389E-3</v>
      </c>
      <c r="X185" cm="1">
        <f t="array" ref="X185">COUNT(IF((DiscreteStatsTable[GroupByKey]=DiscreteStatsTable[[#This Row],[GroupByKey]]),(DiscreteStatsTable[GroupByKey]=DiscreteStatsTable[[#This Row],[GroupByKey]])*DiscreteStatsTable[Replication]))</f>
        <v>10</v>
      </c>
      <c r="Y185">
        <f>IF(DiscreteStatsTable[[#This Row],[RepsRequested]]=DiscreteStatsTable[[#This Row],[RepsWithStatObserved]],1,0)</f>
        <v>1</v>
      </c>
    </row>
    <row r="186" spans="1:25" x14ac:dyDescent="0.25">
      <c r="A186" t="s">
        <v>67</v>
      </c>
      <c r="B186" t="s">
        <v>243</v>
      </c>
      <c r="C186">
        <v>3</v>
      </c>
      <c r="D186" t="s">
        <v>92</v>
      </c>
      <c r="E186" t="s">
        <v>88</v>
      </c>
      <c r="F186" t="s">
        <v>87</v>
      </c>
      <c r="G186">
        <v>11.0044982397086</v>
      </c>
      <c r="H186">
        <v>6.6265669361482201E-3</v>
      </c>
      <c r="I186">
        <v>10.0073632790009</v>
      </c>
      <c r="J186">
        <v>11.997286937461499</v>
      </c>
      <c r="K186">
        <v>13097</v>
      </c>
      <c r="L186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186" cm="1">
        <f t="array" ref="M186">MAX(IF((ProjectInfoTable[ProjectName]=DiscreteStatsTable[[#This Row],[ProjectName]]),(ProjectInfoTable[ProjectName]=DiscreteStatsTable[[#This Row],[ProjectName]])*ProjectInfoTable[NumberOfReplications]))</f>
        <v>10</v>
      </c>
      <c r="N186" cm="1">
        <f t="array" ref="N186">IFERROR(AVERAGE(IF((DiscreteStatsTable[GroupByKey]=DiscreteStatsTable[[#This Row],[GroupByKey]]),(DiscreteStatsTable[GroupByKey]=DiscreteStatsTable[[#This Row],[GroupByKey]])*DiscreteStatsTable[Average])),0)</f>
        <v>10.99919148588766</v>
      </c>
      <c r="O186" cm="1">
        <f t="array" ref="O186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86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86" cm="1">
        <f t="array" ref="R186">MIN(IF((DiscreteStatsTable[GroupByKey]=DiscreteStatsTable[[#This Row],[GroupByKey]]),(DiscreteStatsTable[GroupByKey]=DiscreteStatsTable[[#This Row],[GroupByKey]])*DiscreteStatsTable[Average]))</f>
        <v>10.9932090669167</v>
      </c>
      <c r="S186" cm="1">
        <f t="array" ref="S186">MAX(IF((DiscreteStatsTable[GroupByKey]=DiscreteStatsTable[[#This Row],[GroupByKey]]),(DiscreteStatsTable[GroupByKey]=DiscreteStatsTable[[#This Row],[GroupByKey]])*DiscreteStatsTable[Average]))</f>
        <v>11.0044982397086</v>
      </c>
      <c r="T186" cm="1">
        <f t="array" ref="T186">MIN(IF((DiscreteStatsTable[GroupByKey]=DiscreteStatsTable[[#This Row],[GroupByKey]]),(DiscreteStatsTable[GroupByKey]=DiscreteStatsTable[[#This Row],[GroupByKey]])*DiscreteStatsTable[Minimum]))</f>
        <v>10.0056447622483</v>
      </c>
      <c r="U186" cm="1">
        <f t="array" ref="U186">MAX(IF((DiscreteStatsTable[GroupByKey]=DiscreteStatsTable[[#This Row],[GroupByKey]]),(DiscreteStatsTable[GroupByKey]=DiscreteStatsTable[[#This Row],[GroupByKey]])*DiscreteStatsTable[Maximum]))</f>
        <v>11.997286937461499</v>
      </c>
      <c r="V186" cm="1">
        <f t="array" ref="V186">IFERROR(AVERAGE(IF((DiscreteStatsTable[GroupByKey]=DiscreteStatsTable[[#This Row],[GroupByKey]]),(DiscreteStatsTable[GroupByKey]=DiscreteStatsTable[[#This Row],[GroupByKey]])*DiscreteStatsTable[NumberObservations])),0)</f>
        <v>13099.9</v>
      </c>
      <c r="W186">
        <f>IF((DiscreteStatsTable[[#This Row],[RepsRequested]]&gt;1),DiscreteStatsTable[[#This Row],[HalfWidth]],DiscreteStatsTable[[#This Row],[BatchMeansHalfWidth]])</f>
        <v>2.8471016672894389E-3</v>
      </c>
      <c r="X186" cm="1">
        <f t="array" ref="X186">COUNT(IF((DiscreteStatsTable[GroupByKey]=DiscreteStatsTable[[#This Row],[GroupByKey]]),(DiscreteStatsTable[GroupByKey]=DiscreteStatsTable[[#This Row],[GroupByKey]])*DiscreteStatsTable[Replication]))</f>
        <v>10</v>
      </c>
      <c r="Y186">
        <f>IF(DiscreteStatsTable[[#This Row],[RepsRequested]]=DiscreteStatsTable[[#This Row],[RepsWithStatObserved]],1,0)</f>
        <v>1</v>
      </c>
    </row>
    <row r="187" spans="1:25" x14ac:dyDescent="0.25">
      <c r="A187" t="s">
        <v>67</v>
      </c>
      <c r="B187" t="s">
        <v>243</v>
      </c>
      <c r="C187">
        <v>3</v>
      </c>
      <c r="D187" t="s">
        <v>92</v>
      </c>
      <c r="E187" t="s">
        <v>89</v>
      </c>
      <c r="F187" t="s">
        <v>87</v>
      </c>
      <c r="G187">
        <v>11.0044982397086</v>
      </c>
      <c r="H187">
        <v>6.6265669361482201E-3</v>
      </c>
      <c r="I187">
        <v>10.0073632790009</v>
      </c>
      <c r="J187">
        <v>11.997286937461499</v>
      </c>
      <c r="K187">
        <v>13097</v>
      </c>
      <c r="L187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187" cm="1">
        <f t="array" ref="M187">MAX(IF((ProjectInfoTable[ProjectName]=DiscreteStatsTable[[#This Row],[ProjectName]]),(ProjectInfoTable[ProjectName]=DiscreteStatsTable[[#This Row],[ProjectName]])*ProjectInfoTable[NumberOfReplications]))</f>
        <v>10</v>
      </c>
      <c r="N187" cm="1">
        <f t="array" ref="N187">IFERROR(AVERAGE(IF((DiscreteStatsTable[GroupByKey]=DiscreteStatsTable[[#This Row],[GroupByKey]]),(DiscreteStatsTable[GroupByKey]=DiscreteStatsTable[[#This Row],[GroupByKey]])*DiscreteStatsTable[Average])),0)</f>
        <v>10.99919148588766</v>
      </c>
      <c r="O187" cm="1">
        <f t="array" ref="O187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87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87" cm="1">
        <f t="array" ref="R187">MIN(IF((DiscreteStatsTable[GroupByKey]=DiscreteStatsTable[[#This Row],[GroupByKey]]),(DiscreteStatsTable[GroupByKey]=DiscreteStatsTable[[#This Row],[GroupByKey]])*DiscreteStatsTable[Average]))</f>
        <v>10.9932090669167</v>
      </c>
      <c r="S187" cm="1">
        <f t="array" ref="S187">MAX(IF((DiscreteStatsTable[GroupByKey]=DiscreteStatsTable[[#This Row],[GroupByKey]]),(DiscreteStatsTable[GroupByKey]=DiscreteStatsTable[[#This Row],[GroupByKey]])*DiscreteStatsTable[Average]))</f>
        <v>11.0044982397086</v>
      </c>
      <c r="T187" cm="1">
        <f t="array" ref="T187">MIN(IF((DiscreteStatsTable[GroupByKey]=DiscreteStatsTable[[#This Row],[GroupByKey]]),(DiscreteStatsTable[GroupByKey]=DiscreteStatsTable[[#This Row],[GroupByKey]])*DiscreteStatsTable[Minimum]))</f>
        <v>10.0056447622483</v>
      </c>
      <c r="U187" cm="1">
        <f t="array" ref="U187">MAX(IF((DiscreteStatsTable[GroupByKey]=DiscreteStatsTable[[#This Row],[GroupByKey]]),(DiscreteStatsTable[GroupByKey]=DiscreteStatsTable[[#This Row],[GroupByKey]])*DiscreteStatsTable[Maximum]))</f>
        <v>11.997286937461499</v>
      </c>
      <c r="V187" cm="1">
        <f t="array" ref="V187">IFERROR(AVERAGE(IF((DiscreteStatsTable[GroupByKey]=DiscreteStatsTable[[#This Row],[GroupByKey]]),(DiscreteStatsTable[GroupByKey]=DiscreteStatsTable[[#This Row],[GroupByKey]])*DiscreteStatsTable[NumberObservations])),0)</f>
        <v>13099.9</v>
      </c>
      <c r="W187">
        <f>IF((DiscreteStatsTable[[#This Row],[RepsRequested]]&gt;1),DiscreteStatsTable[[#This Row],[HalfWidth]],DiscreteStatsTable[[#This Row],[BatchMeansHalfWidth]])</f>
        <v>2.8471016672894389E-3</v>
      </c>
      <c r="X187" cm="1">
        <f t="array" ref="X187">COUNT(IF((DiscreteStatsTable[GroupByKey]=DiscreteStatsTable[[#This Row],[GroupByKey]]),(DiscreteStatsTable[GroupByKey]=DiscreteStatsTable[[#This Row],[GroupByKey]])*DiscreteStatsTable[Replication]))</f>
        <v>10</v>
      </c>
      <c r="Y187">
        <f>IF(DiscreteStatsTable[[#This Row],[RepsRequested]]=DiscreteStatsTable[[#This Row],[RepsWithStatObserved]],1,0)</f>
        <v>1</v>
      </c>
    </row>
    <row r="188" spans="1:25" x14ac:dyDescent="0.25">
      <c r="A188" t="s">
        <v>67</v>
      </c>
      <c r="B188" t="s">
        <v>243</v>
      </c>
      <c r="C188">
        <v>4</v>
      </c>
      <c r="D188" t="s">
        <v>92</v>
      </c>
      <c r="E188" t="s">
        <v>88</v>
      </c>
      <c r="F188" t="s">
        <v>87</v>
      </c>
      <c r="G188">
        <v>10.996658709194</v>
      </c>
      <c r="H188">
        <v>3E+20</v>
      </c>
      <c r="I188">
        <v>10.009926519822301</v>
      </c>
      <c r="J188">
        <v>11.9879158287076</v>
      </c>
      <c r="K188">
        <v>13086</v>
      </c>
      <c r="L188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188" cm="1">
        <f t="array" ref="M188">MAX(IF((ProjectInfoTable[ProjectName]=DiscreteStatsTable[[#This Row],[ProjectName]]),(ProjectInfoTable[ProjectName]=DiscreteStatsTable[[#This Row],[ProjectName]])*ProjectInfoTable[NumberOfReplications]))</f>
        <v>10</v>
      </c>
      <c r="N188" cm="1">
        <f t="array" ref="N188">IFERROR(AVERAGE(IF((DiscreteStatsTable[GroupByKey]=DiscreteStatsTable[[#This Row],[GroupByKey]]),(DiscreteStatsTable[GroupByKey]=DiscreteStatsTable[[#This Row],[GroupByKey]])*DiscreteStatsTable[Average])),0)</f>
        <v>10.99919148588766</v>
      </c>
      <c r="O188" cm="1">
        <f t="array" ref="O188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88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88" cm="1">
        <f t="array" ref="R188">MIN(IF((DiscreteStatsTable[GroupByKey]=DiscreteStatsTable[[#This Row],[GroupByKey]]),(DiscreteStatsTable[GroupByKey]=DiscreteStatsTable[[#This Row],[GroupByKey]])*DiscreteStatsTable[Average]))</f>
        <v>10.9932090669167</v>
      </c>
      <c r="S188" cm="1">
        <f t="array" ref="S188">MAX(IF((DiscreteStatsTable[GroupByKey]=DiscreteStatsTable[[#This Row],[GroupByKey]]),(DiscreteStatsTable[GroupByKey]=DiscreteStatsTable[[#This Row],[GroupByKey]])*DiscreteStatsTable[Average]))</f>
        <v>11.0044982397086</v>
      </c>
      <c r="T188" cm="1">
        <f t="array" ref="T188">MIN(IF((DiscreteStatsTable[GroupByKey]=DiscreteStatsTable[[#This Row],[GroupByKey]]),(DiscreteStatsTable[GroupByKey]=DiscreteStatsTable[[#This Row],[GroupByKey]])*DiscreteStatsTable[Minimum]))</f>
        <v>10.0056447622483</v>
      </c>
      <c r="U188" cm="1">
        <f t="array" ref="U188">MAX(IF((DiscreteStatsTable[GroupByKey]=DiscreteStatsTable[[#This Row],[GroupByKey]]),(DiscreteStatsTable[GroupByKey]=DiscreteStatsTable[[#This Row],[GroupByKey]])*DiscreteStatsTable[Maximum]))</f>
        <v>11.997286937461499</v>
      </c>
      <c r="V188" cm="1">
        <f t="array" ref="V188">IFERROR(AVERAGE(IF((DiscreteStatsTable[GroupByKey]=DiscreteStatsTable[[#This Row],[GroupByKey]]),(DiscreteStatsTable[GroupByKey]=DiscreteStatsTable[[#This Row],[GroupByKey]])*DiscreteStatsTable[NumberObservations])),0)</f>
        <v>13099.9</v>
      </c>
      <c r="W188">
        <f>IF((DiscreteStatsTable[[#This Row],[RepsRequested]]&gt;1),DiscreteStatsTable[[#This Row],[HalfWidth]],DiscreteStatsTable[[#This Row],[BatchMeansHalfWidth]])</f>
        <v>2.8471016672894389E-3</v>
      </c>
      <c r="X188" cm="1">
        <f t="array" ref="X188">COUNT(IF((DiscreteStatsTable[GroupByKey]=DiscreteStatsTable[[#This Row],[GroupByKey]]),(DiscreteStatsTable[GroupByKey]=DiscreteStatsTable[[#This Row],[GroupByKey]])*DiscreteStatsTable[Replication]))</f>
        <v>10</v>
      </c>
      <c r="Y188">
        <f>IF(DiscreteStatsTable[[#This Row],[RepsRequested]]=DiscreteStatsTable[[#This Row],[RepsWithStatObserved]],1,0)</f>
        <v>1</v>
      </c>
    </row>
    <row r="189" spans="1:25" x14ac:dyDescent="0.25">
      <c r="A189" t="s">
        <v>67</v>
      </c>
      <c r="B189" t="s">
        <v>243</v>
      </c>
      <c r="C189">
        <v>4</v>
      </c>
      <c r="D189" t="s">
        <v>92</v>
      </c>
      <c r="E189" t="s">
        <v>89</v>
      </c>
      <c r="F189" t="s">
        <v>87</v>
      </c>
      <c r="G189">
        <v>10.996658709194</v>
      </c>
      <c r="H189">
        <v>3E+20</v>
      </c>
      <c r="I189">
        <v>10.009926519822301</v>
      </c>
      <c r="J189">
        <v>11.9879158287076</v>
      </c>
      <c r="K189">
        <v>13086</v>
      </c>
      <c r="L189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189" cm="1">
        <f t="array" ref="M189">MAX(IF((ProjectInfoTable[ProjectName]=DiscreteStatsTable[[#This Row],[ProjectName]]),(ProjectInfoTable[ProjectName]=DiscreteStatsTable[[#This Row],[ProjectName]])*ProjectInfoTable[NumberOfReplications]))</f>
        <v>10</v>
      </c>
      <c r="N189" cm="1">
        <f t="array" ref="N189">IFERROR(AVERAGE(IF((DiscreteStatsTable[GroupByKey]=DiscreteStatsTable[[#This Row],[GroupByKey]]),(DiscreteStatsTable[GroupByKey]=DiscreteStatsTable[[#This Row],[GroupByKey]])*DiscreteStatsTable[Average])),0)</f>
        <v>10.99919148588766</v>
      </c>
      <c r="O189" cm="1">
        <f t="array" ref="O189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89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89" cm="1">
        <f t="array" ref="R189">MIN(IF((DiscreteStatsTable[GroupByKey]=DiscreteStatsTable[[#This Row],[GroupByKey]]),(DiscreteStatsTable[GroupByKey]=DiscreteStatsTable[[#This Row],[GroupByKey]])*DiscreteStatsTable[Average]))</f>
        <v>10.9932090669167</v>
      </c>
      <c r="S189" cm="1">
        <f t="array" ref="S189">MAX(IF((DiscreteStatsTable[GroupByKey]=DiscreteStatsTable[[#This Row],[GroupByKey]]),(DiscreteStatsTable[GroupByKey]=DiscreteStatsTable[[#This Row],[GroupByKey]])*DiscreteStatsTable[Average]))</f>
        <v>11.0044982397086</v>
      </c>
      <c r="T189" cm="1">
        <f t="array" ref="T189">MIN(IF((DiscreteStatsTable[GroupByKey]=DiscreteStatsTable[[#This Row],[GroupByKey]]),(DiscreteStatsTable[GroupByKey]=DiscreteStatsTable[[#This Row],[GroupByKey]])*DiscreteStatsTable[Minimum]))</f>
        <v>10.0056447622483</v>
      </c>
      <c r="U189" cm="1">
        <f t="array" ref="U189">MAX(IF((DiscreteStatsTable[GroupByKey]=DiscreteStatsTable[[#This Row],[GroupByKey]]),(DiscreteStatsTable[GroupByKey]=DiscreteStatsTable[[#This Row],[GroupByKey]])*DiscreteStatsTable[Maximum]))</f>
        <v>11.997286937461499</v>
      </c>
      <c r="V189" cm="1">
        <f t="array" ref="V189">IFERROR(AVERAGE(IF((DiscreteStatsTable[GroupByKey]=DiscreteStatsTable[[#This Row],[GroupByKey]]),(DiscreteStatsTable[GroupByKey]=DiscreteStatsTable[[#This Row],[GroupByKey]])*DiscreteStatsTable[NumberObservations])),0)</f>
        <v>13099.9</v>
      </c>
      <c r="W189">
        <f>IF((DiscreteStatsTable[[#This Row],[RepsRequested]]&gt;1),DiscreteStatsTable[[#This Row],[HalfWidth]],DiscreteStatsTable[[#This Row],[BatchMeansHalfWidth]])</f>
        <v>2.8471016672894389E-3</v>
      </c>
      <c r="X189" cm="1">
        <f t="array" ref="X189">COUNT(IF((DiscreteStatsTable[GroupByKey]=DiscreteStatsTable[[#This Row],[GroupByKey]]),(DiscreteStatsTable[GroupByKey]=DiscreteStatsTable[[#This Row],[GroupByKey]])*DiscreteStatsTable[Replication]))</f>
        <v>10</v>
      </c>
      <c r="Y189">
        <f>IF(DiscreteStatsTable[[#This Row],[RepsRequested]]=DiscreteStatsTable[[#This Row],[RepsWithStatObserved]],1,0)</f>
        <v>1</v>
      </c>
    </row>
    <row r="190" spans="1:25" x14ac:dyDescent="0.25">
      <c r="A190" t="s">
        <v>67</v>
      </c>
      <c r="B190" t="s">
        <v>243</v>
      </c>
      <c r="C190">
        <v>5</v>
      </c>
      <c r="D190" t="s">
        <v>92</v>
      </c>
      <c r="E190" t="s">
        <v>88</v>
      </c>
      <c r="F190" t="s">
        <v>87</v>
      </c>
      <c r="G190">
        <v>10.9932090669167</v>
      </c>
      <c r="H190">
        <v>6.6561199707020199E-3</v>
      </c>
      <c r="I190">
        <v>10.0079760715016</v>
      </c>
      <c r="J190">
        <v>11.992170620127601</v>
      </c>
      <c r="K190">
        <v>13111</v>
      </c>
      <c r="L190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190" cm="1">
        <f t="array" ref="M190">MAX(IF((ProjectInfoTable[ProjectName]=DiscreteStatsTable[[#This Row],[ProjectName]]),(ProjectInfoTable[ProjectName]=DiscreteStatsTable[[#This Row],[ProjectName]])*ProjectInfoTable[NumberOfReplications]))</f>
        <v>10</v>
      </c>
      <c r="N190" cm="1">
        <f t="array" ref="N190">IFERROR(AVERAGE(IF((DiscreteStatsTable[GroupByKey]=DiscreteStatsTable[[#This Row],[GroupByKey]]),(DiscreteStatsTable[GroupByKey]=DiscreteStatsTable[[#This Row],[GroupByKey]])*DiscreteStatsTable[Average])),0)</f>
        <v>10.99919148588766</v>
      </c>
      <c r="O190" cm="1">
        <f t="array" ref="O190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90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90" cm="1">
        <f t="array" ref="R190">MIN(IF((DiscreteStatsTable[GroupByKey]=DiscreteStatsTable[[#This Row],[GroupByKey]]),(DiscreteStatsTable[GroupByKey]=DiscreteStatsTable[[#This Row],[GroupByKey]])*DiscreteStatsTable[Average]))</f>
        <v>10.9932090669167</v>
      </c>
      <c r="S190" cm="1">
        <f t="array" ref="S190">MAX(IF((DiscreteStatsTable[GroupByKey]=DiscreteStatsTable[[#This Row],[GroupByKey]]),(DiscreteStatsTable[GroupByKey]=DiscreteStatsTable[[#This Row],[GroupByKey]])*DiscreteStatsTable[Average]))</f>
        <v>11.0044982397086</v>
      </c>
      <c r="T190" cm="1">
        <f t="array" ref="T190">MIN(IF((DiscreteStatsTable[GroupByKey]=DiscreteStatsTable[[#This Row],[GroupByKey]]),(DiscreteStatsTable[GroupByKey]=DiscreteStatsTable[[#This Row],[GroupByKey]])*DiscreteStatsTable[Minimum]))</f>
        <v>10.0056447622483</v>
      </c>
      <c r="U190" cm="1">
        <f t="array" ref="U190">MAX(IF((DiscreteStatsTable[GroupByKey]=DiscreteStatsTable[[#This Row],[GroupByKey]]),(DiscreteStatsTable[GroupByKey]=DiscreteStatsTable[[#This Row],[GroupByKey]])*DiscreteStatsTable[Maximum]))</f>
        <v>11.997286937461499</v>
      </c>
      <c r="V190" cm="1">
        <f t="array" ref="V190">IFERROR(AVERAGE(IF((DiscreteStatsTable[GroupByKey]=DiscreteStatsTable[[#This Row],[GroupByKey]]),(DiscreteStatsTable[GroupByKey]=DiscreteStatsTable[[#This Row],[GroupByKey]])*DiscreteStatsTable[NumberObservations])),0)</f>
        <v>13099.9</v>
      </c>
      <c r="W190">
        <f>IF((DiscreteStatsTable[[#This Row],[RepsRequested]]&gt;1),DiscreteStatsTable[[#This Row],[HalfWidth]],DiscreteStatsTable[[#This Row],[BatchMeansHalfWidth]])</f>
        <v>2.8471016672894389E-3</v>
      </c>
      <c r="X190" cm="1">
        <f t="array" ref="X190">COUNT(IF((DiscreteStatsTable[GroupByKey]=DiscreteStatsTable[[#This Row],[GroupByKey]]),(DiscreteStatsTable[GroupByKey]=DiscreteStatsTable[[#This Row],[GroupByKey]])*DiscreteStatsTable[Replication]))</f>
        <v>10</v>
      </c>
      <c r="Y190">
        <f>IF(DiscreteStatsTable[[#This Row],[RepsRequested]]=DiscreteStatsTable[[#This Row],[RepsWithStatObserved]],1,0)</f>
        <v>1</v>
      </c>
    </row>
    <row r="191" spans="1:25" x14ac:dyDescent="0.25">
      <c r="A191" t="s">
        <v>67</v>
      </c>
      <c r="B191" t="s">
        <v>243</v>
      </c>
      <c r="C191">
        <v>5</v>
      </c>
      <c r="D191" t="s">
        <v>92</v>
      </c>
      <c r="E191" t="s">
        <v>89</v>
      </c>
      <c r="F191" t="s">
        <v>87</v>
      </c>
      <c r="G191">
        <v>10.9932090669167</v>
      </c>
      <c r="H191">
        <v>6.6561199707020199E-3</v>
      </c>
      <c r="I191">
        <v>10.0079760715016</v>
      </c>
      <c r="J191">
        <v>11.992170620127601</v>
      </c>
      <c r="K191">
        <v>13111</v>
      </c>
      <c r="L191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191" cm="1">
        <f t="array" ref="M191">MAX(IF((ProjectInfoTable[ProjectName]=DiscreteStatsTable[[#This Row],[ProjectName]]),(ProjectInfoTable[ProjectName]=DiscreteStatsTable[[#This Row],[ProjectName]])*ProjectInfoTable[NumberOfReplications]))</f>
        <v>10</v>
      </c>
      <c r="N191" cm="1">
        <f t="array" ref="N191">IFERROR(AVERAGE(IF((DiscreteStatsTable[GroupByKey]=DiscreteStatsTable[[#This Row],[GroupByKey]]),(DiscreteStatsTable[GroupByKey]=DiscreteStatsTable[[#This Row],[GroupByKey]])*DiscreteStatsTable[Average])),0)</f>
        <v>10.99919148588766</v>
      </c>
      <c r="O191" cm="1">
        <f t="array" ref="O191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91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91" cm="1">
        <f t="array" ref="R191">MIN(IF((DiscreteStatsTable[GroupByKey]=DiscreteStatsTable[[#This Row],[GroupByKey]]),(DiscreteStatsTable[GroupByKey]=DiscreteStatsTable[[#This Row],[GroupByKey]])*DiscreteStatsTable[Average]))</f>
        <v>10.9932090669167</v>
      </c>
      <c r="S191" cm="1">
        <f t="array" ref="S191">MAX(IF((DiscreteStatsTable[GroupByKey]=DiscreteStatsTable[[#This Row],[GroupByKey]]),(DiscreteStatsTable[GroupByKey]=DiscreteStatsTable[[#This Row],[GroupByKey]])*DiscreteStatsTable[Average]))</f>
        <v>11.0044982397086</v>
      </c>
      <c r="T191" cm="1">
        <f t="array" ref="T191">MIN(IF((DiscreteStatsTable[GroupByKey]=DiscreteStatsTable[[#This Row],[GroupByKey]]),(DiscreteStatsTable[GroupByKey]=DiscreteStatsTable[[#This Row],[GroupByKey]])*DiscreteStatsTable[Minimum]))</f>
        <v>10.0056447622483</v>
      </c>
      <c r="U191" cm="1">
        <f t="array" ref="U191">MAX(IF((DiscreteStatsTable[GroupByKey]=DiscreteStatsTable[[#This Row],[GroupByKey]]),(DiscreteStatsTable[GroupByKey]=DiscreteStatsTable[[#This Row],[GroupByKey]])*DiscreteStatsTable[Maximum]))</f>
        <v>11.997286937461499</v>
      </c>
      <c r="V191" cm="1">
        <f t="array" ref="V191">IFERROR(AVERAGE(IF((DiscreteStatsTable[GroupByKey]=DiscreteStatsTable[[#This Row],[GroupByKey]]),(DiscreteStatsTable[GroupByKey]=DiscreteStatsTable[[#This Row],[GroupByKey]])*DiscreteStatsTable[NumberObservations])),0)</f>
        <v>13099.9</v>
      </c>
      <c r="W191">
        <f>IF((DiscreteStatsTable[[#This Row],[RepsRequested]]&gt;1),DiscreteStatsTable[[#This Row],[HalfWidth]],DiscreteStatsTable[[#This Row],[BatchMeansHalfWidth]])</f>
        <v>2.8471016672894389E-3</v>
      </c>
      <c r="X191" cm="1">
        <f t="array" ref="X191">COUNT(IF((DiscreteStatsTable[GroupByKey]=DiscreteStatsTable[[#This Row],[GroupByKey]]),(DiscreteStatsTable[GroupByKey]=DiscreteStatsTable[[#This Row],[GroupByKey]])*DiscreteStatsTable[Replication]))</f>
        <v>10</v>
      </c>
      <c r="Y191">
        <f>IF(DiscreteStatsTable[[#This Row],[RepsRequested]]=DiscreteStatsTable[[#This Row],[RepsWithStatObserved]],1,0)</f>
        <v>1</v>
      </c>
    </row>
    <row r="192" spans="1:25" x14ac:dyDescent="0.25">
      <c r="A192" t="s">
        <v>67</v>
      </c>
      <c r="B192" t="s">
        <v>243</v>
      </c>
      <c r="C192">
        <v>6</v>
      </c>
      <c r="D192" t="s">
        <v>92</v>
      </c>
      <c r="E192" t="s">
        <v>88</v>
      </c>
      <c r="F192" t="s">
        <v>87</v>
      </c>
      <c r="G192">
        <v>10.9991052279548</v>
      </c>
      <c r="H192">
        <v>7.7614094356291902E-3</v>
      </c>
      <c r="I192">
        <v>10.0125652216375</v>
      </c>
      <c r="J192">
        <v>11.9936215704947</v>
      </c>
      <c r="K192">
        <v>13103</v>
      </c>
      <c r="L192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192" cm="1">
        <f t="array" ref="M192">MAX(IF((ProjectInfoTable[ProjectName]=DiscreteStatsTable[[#This Row],[ProjectName]]),(ProjectInfoTable[ProjectName]=DiscreteStatsTable[[#This Row],[ProjectName]])*ProjectInfoTable[NumberOfReplications]))</f>
        <v>10</v>
      </c>
      <c r="N192" cm="1">
        <f t="array" ref="N192">IFERROR(AVERAGE(IF((DiscreteStatsTable[GroupByKey]=DiscreteStatsTable[[#This Row],[GroupByKey]]),(DiscreteStatsTable[GroupByKey]=DiscreteStatsTable[[#This Row],[GroupByKey]])*DiscreteStatsTable[Average])),0)</f>
        <v>10.99919148588766</v>
      </c>
      <c r="O192" cm="1">
        <f t="array" ref="O192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92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92" cm="1">
        <f t="array" ref="R192">MIN(IF((DiscreteStatsTable[GroupByKey]=DiscreteStatsTable[[#This Row],[GroupByKey]]),(DiscreteStatsTable[GroupByKey]=DiscreteStatsTable[[#This Row],[GroupByKey]])*DiscreteStatsTable[Average]))</f>
        <v>10.9932090669167</v>
      </c>
      <c r="S192" cm="1">
        <f t="array" ref="S192">MAX(IF((DiscreteStatsTable[GroupByKey]=DiscreteStatsTable[[#This Row],[GroupByKey]]),(DiscreteStatsTable[GroupByKey]=DiscreteStatsTable[[#This Row],[GroupByKey]])*DiscreteStatsTable[Average]))</f>
        <v>11.0044982397086</v>
      </c>
      <c r="T192" cm="1">
        <f t="array" ref="T192">MIN(IF((DiscreteStatsTable[GroupByKey]=DiscreteStatsTable[[#This Row],[GroupByKey]]),(DiscreteStatsTable[GroupByKey]=DiscreteStatsTable[[#This Row],[GroupByKey]])*DiscreteStatsTable[Minimum]))</f>
        <v>10.0056447622483</v>
      </c>
      <c r="U192" cm="1">
        <f t="array" ref="U192">MAX(IF((DiscreteStatsTable[GroupByKey]=DiscreteStatsTable[[#This Row],[GroupByKey]]),(DiscreteStatsTable[GroupByKey]=DiscreteStatsTable[[#This Row],[GroupByKey]])*DiscreteStatsTable[Maximum]))</f>
        <v>11.997286937461499</v>
      </c>
      <c r="V192" cm="1">
        <f t="array" ref="V192">IFERROR(AVERAGE(IF((DiscreteStatsTable[GroupByKey]=DiscreteStatsTable[[#This Row],[GroupByKey]]),(DiscreteStatsTable[GroupByKey]=DiscreteStatsTable[[#This Row],[GroupByKey]])*DiscreteStatsTable[NumberObservations])),0)</f>
        <v>13099.9</v>
      </c>
      <c r="W192">
        <f>IF((DiscreteStatsTable[[#This Row],[RepsRequested]]&gt;1),DiscreteStatsTable[[#This Row],[HalfWidth]],DiscreteStatsTable[[#This Row],[BatchMeansHalfWidth]])</f>
        <v>2.8471016672894389E-3</v>
      </c>
      <c r="X192" cm="1">
        <f t="array" ref="X192">COUNT(IF((DiscreteStatsTable[GroupByKey]=DiscreteStatsTable[[#This Row],[GroupByKey]]),(DiscreteStatsTable[GroupByKey]=DiscreteStatsTable[[#This Row],[GroupByKey]])*DiscreteStatsTable[Replication]))</f>
        <v>10</v>
      </c>
      <c r="Y192">
        <f>IF(DiscreteStatsTable[[#This Row],[RepsRequested]]=DiscreteStatsTable[[#This Row],[RepsWithStatObserved]],1,0)</f>
        <v>1</v>
      </c>
    </row>
    <row r="193" spans="1:25" x14ac:dyDescent="0.25">
      <c r="A193" t="s">
        <v>67</v>
      </c>
      <c r="B193" t="s">
        <v>243</v>
      </c>
      <c r="C193">
        <v>6</v>
      </c>
      <c r="D193" t="s">
        <v>92</v>
      </c>
      <c r="E193" t="s">
        <v>89</v>
      </c>
      <c r="F193" t="s">
        <v>87</v>
      </c>
      <c r="G193">
        <v>10.9991052279548</v>
      </c>
      <c r="H193">
        <v>7.7614094356291902E-3</v>
      </c>
      <c r="I193">
        <v>10.0125652216375</v>
      </c>
      <c r="J193">
        <v>11.9936215704947</v>
      </c>
      <c r="K193">
        <v>13103</v>
      </c>
      <c r="L193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193" cm="1">
        <f t="array" ref="M193">MAX(IF((ProjectInfoTable[ProjectName]=DiscreteStatsTable[[#This Row],[ProjectName]]),(ProjectInfoTable[ProjectName]=DiscreteStatsTable[[#This Row],[ProjectName]])*ProjectInfoTable[NumberOfReplications]))</f>
        <v>10</v>
      </c>
      <c r="N193" cm="1">
        <f t="array" ref="N193">IFERROR(AVERAGE(IF((DiscreteStatsTable[GroupByKey]=DiscreteStatsTable[[#This Row],[GroupByKey]]),(DiscreteStatsTable[GroupByKey]=DiscreteStatsTable[[#This Row],[GroupByKey]])*DiscreteStatsTable[Average])),0)</f>
        <v>10.99919148588766</v>
      </c>
      <c r="O193" cm="1">
        <f t="array" ref="O193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93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93" cm="1">
        <f t="array" ref="R193">MIN(IF((DiscreteStatsTable[GroupByKey]=DiscreteStatsTable[[#This Row],[GroupByKey]]),(DiscreteStatsTable[GroupByKey]=DiscreteStatsTable[[#This Row],[GroupByKey]])*DiscreteStatsTable[Average]))</f>
        <v>10.9932090669167</v>
      </c>
      <c r="S193" cm="1">
        <f t="array" ref="S193">MAX(IF((DiscreteStatsTable[GroupByKey]=DiscreteStatsTable[[#This Row],[GroupByKey]]),(DiscreteStatsTable[GroupByKey]=DiscreteStatsTable[[#This Row],[GroupByKey]])*DiscreteStatsTable[Average]))</f>
        <v>11.0044982397086</v>
      </c>
      <c r="T193" cm="1">
        <f t="array" ref="T193">MIN(IF((DiscreteStatsTable[GroupByKey]=DiscreteStatsTable[[#This Row],[GroupByKey]]),(DiscreteStatsTable[GroupByKey]=DiscreteStatsTable[[#This Row],[GroupByKey]])*DiscreteStatsTable[Minimum]))</f>
        <v>10.0056447622483</v>
      </c>
      <c r="U193" cm="1">
        <f t="array" ref="U193">MAX(IF((DiscreteStatsTable[GroupByKey]=DiscreteStatsTable[[#This Row],[GroupByKey]]),(DiscreteStatsTable[GroupByKey]=DiscreteStatsTable[[#This Row],[GroupByKey]])*DiscreteStatsTable[Maximum]))</f>
        <v>11.997286937461499</v>
      </c>
      <c r="V193" cm="1">
        <f t="array" ref="V193">IFERROR(AVERAGE(IF((DiscreteStatsTable[GroupByKey]=DiscreteStatsTable[[#This Row],[GroupByKey]]),(DiscreteStatsTable[GroupByKey]=DiscreteStatsTable[[#This Row],[GroupByKey]])*DiscreteStatsTable[NumberObservations])),0)</f>
        <v>13099.9</v>
      </c>
      <c r="W193">
        <f>IF((DiscreteStatsTable[[#This Row],[RepsRequested]]&gt;1),DiscreteStatsTable[[#This Row],[HalfWidth]],DiscreteStatsTable[[#This Row],[BatchMeansHalfWidth]])</f>
        <v>2.8471016672894389E-3</v>
      </c>
      <c r="X193" cm="1">
        <f t="array" ref="X193">COUNT(IF((DiscreteStatsTable[GroupByKey]=DiscreteStatsTable[[#This Row],[GroupByKey]]),(DiscreteStatsTable[GroupByKey]=DiscreteStatsTable[[#This Row],[GroupByKey]])*DiscreteStatsTable[Replication]))</f>
        <v>10</v>
      </c>
      <c r="Y193">
        <f>IF(DiscreteStatsTable[[#This Row],[RepsRequested]]=DiscreteStatsTable[[#This Row],[RepsWithStatObserved]],1,0)</f>
        <v>1</v>
      </c>
    </row>
    <row r="194" spans="1:25" x14ac:dyDescent="0.25">
      <c r="A194" t="s">
        <v>67</v>
      </c>
      <c r="B194" t="s">
        <v>243</v>
      </c>
      <c r="C194">
        <v>7</v>
      </c>
      <c r="D194" t="s">
        <v>92</v>
      </c>
      <c r="E194" t="s">
        <v>88</v>
      </c>
      <c r="F194" t="s">
        <v>87</v>
      </c>
      <c r="G194">
        <v>11.003117253778701</v>
      </c>
      <c r="H194">
        <v>6.6123590537813196E-3</v>
      </c>
      <c r="I194">
        <v>10.0167956788355</v>
      </c>
      <c r="J194">
        <v>11.987624698435001</v>
      </c>
      <c r="K194">
        <v>13111</v>
      </c>
      <c r="L194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194" cm="1">
        <f t="array" ref="M194">MAX(IF((ProjectInfoTable[ProjectName]=DiscreteStatsTable[[#This Row],[ProjectName]]),(ProjectInfoTable[ProjectName]=DiscreteStatsTable[[#This Row],[ProjectName]])*ProjectInfoTable[NumberOfReplications]))</f>
        <v>10</v>
      </c>
      <c r="N194" cm="1">
        <f t="array" ref="N194">IFERROR(AVERAGE(IF((DiscreteStatsTable[GroupByKey]=DiscreteStatsTable[[#This Row],[GroupByKey]]),(DiscreteStatsTable[GroupByKey]=DiscreteStatsTable[[#This Row],[GroupByKey]])*DiscreteStatsTable[Average])),0)</f>
        <v>10.99919148588766</v>
      </c>
      <c r="O194" cm="1">
        <f t="array" ref="O194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94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94" cm="1">
        <f t="array" ref="R194">MIN(IF((DiscreteStatsTable[GroupByKey]=DiscreteStatsTable[[#This Row],[GroupByKey]]),(DiscreteStatsTable[GroupByKey]=DiscreteStatsTable[[#This Row],[GroupByKey]])*DiscreteStatsTable[Average]))</f>
        <v>10.9932090669167</v>
      </c>
      <c r="S194" cm="1">
        <f t="array" ref="S194">MAX(IF((DiscreteStatsTable[GroupByKey]=DiscreteStatsTable[[#This Row],[GroupByKey]]),(DiscreteStatsTable[GroupByKey]=DiscreteStatsTable[[#This Row],[GroupByKey]])*DiscreteStatsTable[Average]))</f>
        <v>11.0044982397086</v>
      </c>
      <c r="T194" cm="1">
        <f t="array" ref="T194">MIN(IF((DiscreteStatsTable[GroupByKey]=DiscreteStatsTable[[#This Row],[GroupByKey]]),(DiscreteStatsTable[GroupByKey]=DiscreteStatsTable[[#This Row],[GroupByKey]])*DiscreteStatsTable[Minimum]))</f>
        <v>10.0056447622483</v>
      </c>
      <c r="U194" cm="1">
        <f t="array" ref="U194">MAX(IF((DiscreteStatsTable[GroupByKey]=DiscreteStatsTable[[#This Row],[GroupByKey]]),(DiscreteStatsTable[GroupByKey]=DiscreteStatsTable[[#This Row],[GroupByKey]])*DiscreteStatsTable[Maximum]))</f>
        <v>11.997286937461499</v>
      </c>
      <c r="V194" cm="1">
        <f t="array" ref="V194">IFERROR(AVERAGE(IF((DiscreteStatsTable[GroupByKey]=DiscreteStatsTable[[#This Row],[GroupByKey]]),(DiscreteStatsTable[GroupByKey]=DiscreteStatsTable[[#This Row],[GroupByKey]])*DiscreteStatsTable[NumberObservations])),0)</f>
        <v>13099.9</v>
      </c>
      <c r="W194">
        <f>IF((DiscreteStatsTable[[#This Row],[RepsRequested]]&gt;1),DiscreteStatsTable[[#This Row],[HalfWidth]],DiscreteStatsTable[[#This Row],[BatchMeansHalfWidth]])</f>
        <v>2.8471016672894389E-3</v>
      </c>
      <c r="X194" cm="1">
        <f t="array" ref="X194">COUNT(IF((DiscreteStatsTable[GroupByKey]=DiscreteStatsTable[[#This Row],[GroupByKey]]),(DiscreteStatsTable[GroupByKey]=DiscreteStatsTable[[#This Row],[GroupByKey]])*DiscreteStatsTable[Replication]))</f>
        <v>10</v>
      </c>
      <c r="Y194">
        <f>IF(DiscreteStatsTable[[#This Row],[RepsRequested]]=DiscreteStatsTable[[#This Row],[RepsWithStatObserved]],1,0)</f>
        <v>1</v>
      </c>
    </row>
    <row r="195" spans="1:25" x14ac:dyDescent="0.25">
      <c r="A195" t="s">
        <v>67</v>
      </c>
      <c r="B195" t="s">
        <v>243</v>
      </c>
      <c r="C195">
        <v>7</v>
      </c>
      <c r="D195" t="s">
        <v>92</v>
      </c>
      <c r="E195" t="s">
        <v>89</v>
      </c>
      <c r="F195" t="s">
        <v>87</v>
      </c>
      <c r="G195">
        <v>11.003117253778701</v>
      </c>
      <c r="H195">
        <v>6.6123590537813196E-3</v>
      </c>
      <c r="I195">
        <v>10.0167956788355</v>
      </c>
      <c r="J195">
        <v>11.987624698435001</v>
      </c>
      <c r="K195">
        <v>13111</v>
      </c>
      <c r="L195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195" cm="1">
        <f t="array" ref="M195">MAX(IF((ProjectInfoTable[ProjectName]=DiscreteStatsTable[[#This Row],[ProjectName]]),(ProjectInfoTable[ProjectName]=DiscreteStatsTable[[#This Row],[ProjectName]])*ProjectInfoTable[NumberOfReplications]))</f>
        <v>10</v>
      </c>
      <c r="N195" cm="1">
        <f t="array" ref="N195">IFERROR(AVERAGE(IF((DiscreteStatsTable[GroupByKey]=DiscreteStatsTable[[#This Row],[GroupByKey]]),(DiscreteStatsTable[GroupByKey]=DiscreteStatsTable[[#This Row],[GroupByKey]])*DiscreteStatsTable[Average])),0)</f>
        <v>10.99919148588766</v>
      </c>
      <c r="O195" cm="1">
        <f t="array" ref="O195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9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95" cm="1">
        <f t="array" ref="R195">MIN(IF((DiscreteStatsTable[GroupByKey]=DiscreteStatsTable[[#This Row],[GroupByKey]]),(DiscreteStatsTable[GroupByKey]=DiscreteStatsTable[[#This Row],[GroupByKey]])*DiscreteStatsTable[Average]))</f>
        <v>10.9932090669167</v>
      </c>
      <c r="S195" cm="1">
        <f t="array" ref="S195">MAX(IF((DiscreteStatsTable[GroupByKey]=DiscreteStatsTable[[#This Row],[GroupByKey]]),(DiscreteStatsTable[GroupByKey]=DiscreteStatsTable[[#This Row],[GroupByKey]])*DiscreteStatsTable[Average]))</f>
        <v>11.0044982397086</v>
      </c>
      <c r="T195" cm="1">
        <f t="array" ref="T195">MIN(IF((DiscreteStatsTable[GroupByKey]=DiscreteStatsTable[[#This Row],[GroupByKey]]),(DiscreteStatsTable[GroupByKey]=DiscreteStatsTable[[#This Row],[GroupByKey]])*DiscreteStatsTable[Minimum]))</f>
        <v>10.0056447622483</v>
      </c>
      <c r="U195" cm="1">
        <f t="array" ref="U195">MAX(IF((DiscreteStatsTable[GroupByKey]=DiscreteStatsTable[[#This Row],[GroupByKey]]),(DiscreteStatsTable[GroupByKey]=DiscreteStatsTable[[#This Row],[GroupByKey]])*DiscreteStatsTable[Maximum]))</f>
        <v>11.997286937461499</v>
      </c>
      <c r="V195" cm="1">
        <f t="array" ref="V195">IFERROR(AVERAGE(IF((DiscreteStatsTable[GroupByKey]=DiscreteStatsTable[[#This Row],[GroupByKey]]),(DiscreteStatsTable[GroupByKey]=DiscreteStatsTable[[#This Row],[GroupByKey]])*DiscreteStatsTable[NumberObservations])),0)</f>
        <v>13099.9</v>
      </c>
      <c r="W195">
        <f>IF((DiscreteStatsTable[[#This Row],[RepsRequested]]&gt;1),DiscreteStatsTable[[#This Row],[HalfWidth]],DiscreteStatsTable[[#This Row],[BatchMeansHalfWidth]])</f>
        <v>2.8471016672894389E-3</v>
      </c>
      <c r="X195" cm="1">
        <f t="array" ref="X195">COUNT(IF((DiscreteStatsTable[GroupByKey]=DiscreteStatsTable[[#This Row],[GroupByKey]]),(DiscreteStatsTable[GroupByKey]=DiscreteStatsTable[[#This Row],[GroupByKey]])*DiscreteStatsTable[Replication]))</f>
        <v>10</v>
      </c>
      <c r="Y195">
        <f>IF(DiscreteStatsTable[[#This Row],[RepsRequested]]=DiscreteStatsTable[[#This Row],[RepsWithStatObserved]],1,0)</f>
        <v>1</v>
      </c>
    </row>
    <row r="196" spans="1:25" x14ac:dyDescent="0.25">
      <c r="A196" t="s">
        <v>67</v>
      </c>
      <c r="B196" t="s">
        <v>243</v>
      </c>
      <c r="C196">
        <v>8</v>
      </c>
      <c r="D196" t="s">
        <v>92</v>
      </c>
      <c r="E196" t="s">
        <v>88</v>
      </c>
      <c r="F196" t="s">
        <v>87</v>
      </c>
      <c r="G196">
        <v>10.9942498237923</v>
      </c>
      <c r="H196">
        <v>7.4197467534142698E-3</v>
      </c>
      <c r="I196">
        <v>10.0056447622483</v>
      </c>
      <c r="J196">
        <v>11.9799834807054</v>
      </c>
      <c r="K196">
        <v>13096</v>
      </c>
      <c r="L196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196" cm="1">
        <f t="array" ref="M196">MAX(IF((ProjectInfoTable[ProjectName]=DiscreteStatsTable[[#This Row],[ProjectName]]),(ProjectInfoTable[ProjectName]=DiscreteStatsTable[[#This Row],[ProjectName]])*ProjectInfoTable[NumberOfReplications]))</f>
        <v>10</v>
      </c>
      <c r="N196" cm="1">
        <f t="array" ref="N196">IFERROR(AVERAGE(IF((DiscreteStatsTable[GroupByKey]=DiscreteStatsTable[[#This Row],[GroupByKey]]),(DiscreteStatsTable[GroupByKey]=DiscreteStatsTable[[#This Row],[GroupByKey]])*DiscreteStatsTable[Average])),0)</f>
        <v>10.99919148588766</v>
      </c>
      <c r="O196" cm="1">
        <f t="array" ref="O196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96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96" cm="1">
        <f t="array" ref="R196">MIN(IF((DiscreteStatsTable[GroupByKey]=DiscreteStatsTable[[#This Row],[GroupByKey]]),(DiscreteStatsTable[GroupByKey]=DiscreteStatsTable[[#This Row],[GroupByKey]])*DiscreteStatsTable[Average]))</f>
        <v>10.9932090669167</v>
      </c>
      <c r="S196" cm="1">
        <f t="array" ref="S196">MAX(IF((DiscreteStatsTable[GroupByKey]=DiscreteStatsTable[[#This Row],[GroupByKey]]),(DiscreteStatsTable[GroupByKey]=DiscreteStatsTable[[#This Row],[GroupByKey]])*DiscreteStatsTable[Average]))</f>
        <v>11.0044982397086</v>
      </c>
      <c r="T196" cm="1">
        <f t="array" ref="T196">MIN(IF((DiscreteStatsTable[GroupByKey]=DiscreteStatsTable[[#This Row],[GroupByKey]]),(DiscreteStatsTable[GroupByKey]=DiscreteStatsTable[[#This Row],[GroupByKey]])*DiscreteStatsTable[Minimum]))</f>
        <v>10.0056447622483</v>
      </c>
      <c r="U196" cm="1">
        <f t="array" ref="U196">MAX(IF((DiscreteStatsTable[GroupByKey]=DiscreteStatsTable[[#This Row],[GroupByKey]]),(DiscreteStatsTable[GroupByKey]=DiscreteStatsTable[[#This Row],[GroupByKey]])*DiscreteStatsTable[Maximum]))</f>
        <v>11.997286937461499</v>
      </c>
      <c r="V196" cm="1">
        <f t="array" ref="V196">IFERROR(AVERAGE(IF((DiscreteStatsTable[GroupByKey]=DiscreteStatsTable[[#This Row],[GroupByKey]]),(DiscreteStatsTable[GroupByKey]=DiscreteStatsTable[[#This Row],[GroupByKey]])*DiscreteStatsTable[NumberObservations])),0)</f>
        <v>13099.9</v>
      </c>
      <c r="W196">
        <f>IF((DiscreteStatsTable[[#This Row],[RepsRequested]]&gt;1),DiscreteStatsTable[[#This Row],[HalfWidth]],DiscreteStatsTable[[#This Row],[BatchMeansHalfWidth]])</f>
        <v>2.8471016672894389E-3</v>
      </c>
      <c r="X196" cm="1">
        <f t="array" ref="X196">COUNT(IF((DiscreteStatsTable[GroupByKey]=DiscreteStatsTable[[#This Row],[GroupByKey]]),(DiscreteStatsTable[GroupByKey]=DiscreteStatsTable[[#This Row],[GroupByKey]])*DiscreteStatsTable[Replication]))</f>
        <v>10</v>
      </c>
      <c r="Y196">
        <f>IF(DiscreteStatsTable[[#This Row],[RepsRequested]]=DiscreteStatsTable[[#This Row],[RepsWithStatObserved]],1,0)</f>
        <v>1</v>
      </c>
    </row>
    <row r="197" spans="1:25" x14ac:dyDescent="0.25">
      <c r="A197" t="s">
        <v>67</v>
      </c>
      <c r="B197" t="s">
        <v>243</v>
      </c>
      <c r="C197">
        <v>8</v>
      </c>
      <c r="D197" t="s">
        <v>92</v>
      </c>
      <c r="E197" t="s">
        <v>89</v>
      </c>
      <c r="F197" t="s">
        <v>87</v>
      </c>
      <c r="G197">
        <v>10.9942498237923</v>
      </c>
      <c r="H197">
        <v>7.4197467534142698E-3</v>
      </c>
      <c r="I197">
        <v>10.0056447622483</v>
      </c>
      <c r="J197">
        <v>11.9799834807054</v>
      </c>
      <c r="K197">
        <v>13096</v>
      </c>
      <c r="L197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197" cm="1">
        <f t="array" ref="M197">MAX(IF((ProjectInfoTable[ProjectName]=DiscreteStatsTable[[#This Row],[ProjectName]]),(ProjectInfoTable[ProjectName]=DiscreteStatsTable[[#This Row],[ProjectName]])*ProjectInfoTable[NumberOfReplications]))</f>
        <v>10</v>
      </c>
      <c r="N197" cm="1">
        <f t="array" ref="N197">IFERROR(AVERAGE(IF((DiscreteStatsTable[GroupByKey]=DiscreteStatsTable[[#This Row],[GroupByKey]]),(DiscreteStatsTable[GroupByKey]=DiscreteStatsTable[[#This Row],[GroupByKey]])*DiscreteStatsTable[Average])),0)</f>
        <v>10.99919148588766</v>
      </c>
      <c r="O197" cm="1">
        <f t="array" ref="O197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97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97" cm="1">
        <f t="array" ref="R197">MIN(IF((DiscreteStatsTable[GroupByKey]=DiscreteStatsTable[[#This Row],[GroupByKey]]),(DiscreteStatsTable[GroupByKey]=DiscreteStatsTable[[#This Row],[GroupByKey]])*DiscreteStatsTable[Average]))</f>
        <v>10.9932090669167</v>
      </c>
      <c r="S197" cm="1">
        <f t="array" ref="S197">MAX(IF((DiscreteStatsTable[GroupByKey]=DiscreteStatsTable[[#This Row],[GroupByKey]]),(DiscreteStatsTable[GroupByKey]=DiscreteStatsTable[[#This Row],[GroupByKey]])*DiscreteStatsTable[Average]))</f>
        <v>11.0044982397086</v>
      </c>
      <c r="T197" cm="1">
        <f t="array" ref="T197">MIN(IF((DiscreteStatsTable[GroupByKey]=DiscreteStatsTable[[#This Row],[GroupByKey]]),(DiscreteStatsTable[GroupByKey]=DiscreteStatsTable[[#This Row],[GroupByKey]])*DiscreteStatsTable[Minimum]))</f>
        <v>10.0056447622483</v>
      </c>
      <c r="U197" cm="1">
        <f t="array" ref="U197">MAX(IF((DiscreteStatsTable[GroupByKey]=DiscreteStatsTable[[#This Row],[GroupByKey]]),(DiscreteStatsTable[GroupByKey]=DiscreteStatsTable[[#This Row],[GroupByKey]])*DiscreteStatsTable[Maximum]))</f>
        <v>11.997286937461499</v>
      </c>
      <c r="V197" cm="1">
        <f t="array" ref="V197">IFERROR(AVERAGE(IF((DiscreteStatsTable[GroupByKey]=DiscreteStatsTable[[#This Row],[GroupByKey]]),(DiscreteStatsTable[GroupByKey]=DiscreteStatsTable[[#This Row],[GroupByKey]])*DiscreteStatsTable[NumberObservations])),0)</f>
        <v>13099.9</v>
      </c>
      <c r="W197">
        <f>IF((DiscreteStatsTable[[#This Row],[RepsRequested]]&gt;1),DiscreteStatsTable[[#This Row],[HalfWidth]],DiscreteStatsTable[[#This Row],[BatchMeansHalfWidth]])</f>
        <v>2.8471016672894389E-3</v>
      </c>
      <c r="X197" cm="1">
        <f t="array" ref="X197">COUNT(IF((DiscreteStatsTable[GroupByKey]=DiscreteStatsTable[[#This Row],[GroupByKey]]),(DiscreteStatsTable[GroupByKey]=DiscreteStatsTable[[#This Row],[GroupByKey]])*DiscreteStatsTable[Replication]))</f>
        <v>10</v>
      </c>
      <c r="Y197">
        <f>IF(DiscreteStatsTable[[#This Row],[RepsRequested]]=DiscreteStatsTable[[#This Row],[RepsWithStatObserved]],1,0)</f>
        <v>1</v>
      </c>
    </row>
    <row r="198" spans="1:25" x14ac:dyDescent="0.25">
      <c r="A198" t="s">
        <v>67</v>
      </c>
      <c r="B198" t="s">
        <v>243</v>
      </c>
      <c r="C198">
        <v>9</v>
      </c>
      <c r="D198" t="s">
        <v>92</v>
      </c>
      <c r="E198" t="s">
        <v>88</v>
      </c>
      <c r="F198" t="s">
        <v>87</v>
      </c>
      <c r="G198">
        <v>11.004390508357201</v>
      </c>
      <c r="H198">
        <v>7.8061448759719904E-3</v>
      </c>
      <c r="I198">
        <v>10.0149796399055</v>
      </c>
      <c r="J198">
        <v>11.986844091559799</v>
      </c>
      <c r="K198">
        <v>13105</v>
      </c>
      <c r="L198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198" cm="1">
        <f t="array" ref="M198">MAX(IF((ProjectInfoTable[ProjectName]=DiscreteStatsTable[[#This Row],[ProjectName]]),(ProjectInfoTable[ProjectName]=DiscreteStatsTable[[#This Row],[ProjectName]])*ProjectInfoTable[NumberOfReplications]))</f>
        <v>10</v>
      </c>
      <c r="N198" cm="1">
        <f t="array" ref="N198">IFERROR(AVERAGE(IF((DiscreteStatsTable[GroupByKey]=DiscreteStatsTable[[#This Row],[GroupByKey]]),(DiscreteStatsTable[GroupByKey]=DiscreteStatsTable[[#This Row],[GroupByKey]])*DiscreteStatsTable[Average])),0)</f>
        <v>10.99919148588766</v>
      </c>
      <c r="O198" cm="1">
        <f t="array" ref="O198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98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98" cm="1">
        <f t="array" ref="R198">MIN(IF((DiscreteStatsTable[GroupByKey]=DiscreteStatsTable[[#This Row],[GroupByKey]]),(DiscreteStatsTable[GroupByKey]=DiscreteStatsTable[[#This Row],[GroupByKey]])*DiscreteStatsTable[Average]))</f>
        <v>10.9932090669167</v>
      </c>
      <c r="S198" cm="1">
        <f t="array" ref="S198">MAX(IF((DiscreteStatsTable[GroupByKey]=DiscreteStatsTable[[#This Row],[GroupByKey]]),(DiscreteStatsTable[GroupByKey]=DiscreteStatsTable[[#This Row],[GroupByKey]])*DiscreteStatsTable[Average]))</f>
        <v>11.0044982397086</v>
      </c>
      <c r="T198" cm="1">
        <f t="array" ref="T198">MIN(IF((DiscreteStatsTable[GroupByKey]=DiscreteStatsTable[[#This Row],[GroupByKey]]),(DiscreteStatsTable[GroupByKey]=DiscreteStatsTable[[#This Row],[GroupByKey]])*DiscreteStatsTable[Minimum]))</f>
        <v>10.0056447622483</v>
      </c>
      <c r="U198" cm="1">
        <f t="array" ref="U198">MAX(IF((DiscreteStatsTable[GroupByKey]=DiscreteStatsTable[[#This Row],[GroupByKey]]),(DiscreteStatsTable[GroupByKey]=DiscreteStatsTable[[#This Row],[GroupByKey]])*DiscreteStatsTable[Maximum]))</f>
        <v>11.997286937461499</v>
      </c>
      <c r="V198" cm="1">
        <f t="array" ref="V198">IFERROR(AVERAGE(IF((DiscreteStatsTable[GroupByKey]=DiscreteStatsTable[[#This Row],[GroupByKey]]),(DiscreteStatsTable[GroupByKey]=DiscreteStatsTable[[#This Row],[GroupByKey]])*DiscreteStatsTable[NumberObservations])),0)</f>
        <v>13099.9</v>
      </c>
      <c r="W198">
        <f>IF((DiscreteStatsTable[[#This Row],[RepsRequested]]&gt;1),DiscreteStatsTable[[#This Row],[HalfWidth]],DiscreteStatsTable[[#This Row],[BatchMeansHalfWidth]])</f>
        <v>2.8471016672894389E-3</v>
      </c>
      <c r="X198" cm="1">
        <f t="array" ref="X198">COUNT(IF((DiscreteStatsTable[GroupByKey]=DiscreteStatsTable[[#This Row],[GroupByKey]]),(DiscreteStatsTable[GroupByKey]=DiscreteStatsTable[[#This Row],[GroupByKey]])*DiscreteStatsTable[Replication]))</f>
        <v>10</v>
      </c>
      <c r="Y198">
        <f>IF(DiscreteStatsTable[[#This Row],[RepsRequested]]=DiscreteStatsTable[[#This Row],[RepsWithStatObserved]],1,0)</f>
        <v>1</v>
      </c>
    </row>
    <row r="199" spans="1:25" x14ac:dyDescent="0.25">
      <c r="A199" t="s">
        <v>67</v>
      </c>
      <c r="B199" t="s">
        <v>243</v>
      </c>
      <c r="C199">
        <v>9</v>
      </c>
      <c r="D199" t="s">
        <v>92</v>
      </c>
      <c r="E199" t="s">
        <v>89</v>
      </c>
      <c r="F199" t="s">
        <v>87</v>
      </c>
      <c r="G199">
        <v>11.004390508357201</v>
      </c>
      <c r="H199">
        <v>7.8061448759719904E-3</v>
      </c>
      <c r="I199">
        <v>10.0149796399055</v>
      </c>
      <c r="J199">
        <v>11.986844091559799</v>
      </c>
      <c r="K199">
        <v>13105</v>
      </c>
      <c r="L199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199" cm="1">
        <f t="array" ref="M199">MAX(IF((ProjectInfoTable[ProjectName]=DiscreteStatsTable[[#This Row],[ProjectName]]),(ProjectInfoTable[ProjectName]=DiscreteStatsTable[[#This Row],[ProjectName]])*ProjectInfoTable[NumberOfReplications]))</f>
        <v>10</v>
      </c>
      <c r="N199" cm="1">
        <f t="array" ref="N199">IFERROR(AVERAGE(IF((DiscreteStatsTable[GroupByKey]=DiscreteStatsTable[[#This Row],[GroupByKey]]),(DiscreteStatsTable[GroupByKey]=DiscreteStatsTable[[#This Row],[GroupByKey]])*DiscreteStatsTable[Average])),0)</f>
        <v>10.99919148588766</v>
      </c>
      <c r="O199" cm="1">
        <f t="array" ref="O199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199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199" cm="1">
        <f t="array" ref="R199">MIN(IF((DiscreteStatsTable[GroupByKey]=DiscreteStatsTable[[#This Row],[GroupByKey]]),(DiscreteStatsTable[GroupByKey]=DiscreteStatsTable[[#This Row],[GroupByKey]])*DiscreteStatsTable[Average]))</f>
        <v>10.9932090669167</v>
      </c>
      <c r="S199" cm="1">
        <f t="array" ref="S199">MAX(IF((DiscreteStatsTable[GroupByKey]=DiscreteStatsTable[[#This Row],[GroupByKey]]),(DiscreteStatsTable[GroupByKey]=DiscreteStatsTable[[#This Row],[GroupByKey]])*DiscreteStatsTable[Average]))</f>
        <v>11.0044982397086</v>
      </c>
      <c r="T199" cm="1">
        <f t="array" ref="T199">MIN(IF((DiscreteStatsTable[GroupByKey]=DiscreteStatsTable[[#This Row],[GroupByKey]]),(DiscreteStatsTable[GroupByKey]=DiscreteStatsTable[[#This Row],[GroupByKey]])*DiscreteStatsTable[Minimum]))</f>
        <v>10.0056447622483</v>
      </c>
      <c r="U199" cm="1">
        <f t="array" ref="U199">MAX(IF((DiscreteStatsTable[GroupByKey]=DiscreteStatsTable[[#This Row],[GroupByKey]]),(DiscreteStatsTable[GroupByKey]=DiscreteStatsTable[[#This Row],[GroupByKey]])*DiscreteStatsTable[Maximum]))</f>
        <v>11.997286937461499</v>
      </c>
      <c r="V199" cm="1">
        <f t="array" ref="V199">IFERROR(AVERAGE(IF((DiscreteStatsTable[GroupByKey]=DiscreteStatsTable[[#This Row],[GroupByKey]]),(DiscreteStatsTable[GroupByKey]=DiscreteStatsTable[[#This Row],[GroupByKey]])*DiscreteStatsTable[NumberObservations])),0)</f>
        <v>13099.9</v>
      </c>
      <c r="W199">
        <f>IF((DiscreteStatsTable[[#This Row],[RepsRequested]]&gt;1),DiscreteStatsTable[[#This Row],[HalfWidth]],DiscreteStatsTable[[#This Row],[BatchMeansHalfWidth]])</f>
        <v>2.8471016672894389E-3</v>
      </c>
      <c r="X199" cm="1">
        <f t="array" ref="X199">COUNT(IF((DiscreteStatsTable[GroupByKey]=DiscreteStatsTable[[#This Row],[GroupByKey]]),(DiscreteStatsTable[GroupByKey]=DiscreteStatsTable[[#This Row],[GroupByKey]])*DiscreteStatsTable[Replication]))</f>
        <v>10</v>
      </c>
      <c r="Y199">
        <f>IF(DiscreteStatsTable[[#This Row],[RepsRequested]]=DiscreteStatsTable[[#This Row],[RepsWithStatObserved]],1,0)</f>
        <v>1</v>
      </c>
    </row>
    <row r="200" spans="1:25" x14ac:dyDescent="0.25">
      <c r="A200" t="s">
        <v>67</v>
      </c>
      <c r="B200" t="s">
        <v>243</v>
      </c>
      <c r="C200">
        <v>10</v>
      </c>
      <c r="D200" t="s">
        <v>92</v>
      </c>
      <c r="E200" t="s">
        <v>88</v>
      </c>
      <c r="F200" t="s">
        <v>87</v>
      </c>
      <c r="G200">
        <v>10.999594600351999</v>
      </c>
      <c r="H200">
        <v>6.2468931034794402E-3</v>
      </c>
      <c r="I200">
        <v>10.0135639910004</v>
      </c>
      <c r="J200">
        <v>11.9862768586027</v>
      </c>
      <c r="K200">
        <v>13082</v>
      </c>
      <c r="L200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200" cm="1">
        <f t="array" ref="M200">MAX(IF((ProjectInfoTable[ProjectName]=DiscreteStatsTable[[#This Row],[ProjectName]]),(ProjectInfoTable[ProjectName]=DiscreteStatsTable[[#This Row],[ProjectName]])*ProjectInfoTable[NumberOfReplications]))</f>
        <v>10</v>
      </c>
      <c r="N200" cm="1">
        <f t="array" ref="N200">IFERROR(AVERAGE(IF((DiscreteStatsTable[GroupByKey]=DiscreteStatsTable[[#This Row],[GroupByKey]]),(DiscreteStatsTable[GroupByKey]=DiscreteStatsTable[[#This Row],[GroupByKey]])*DiscreteStatsTable[Average])),0)</f>
        <v>10.99919148588766</v>
      </c>
      <c r="O200" cm="1">
        <f t="array" ref="O200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200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200" cm="1">
        <f t="array" ref="R200">MIN(IF((DiscreteStatsTable[GroupByKey]=DiscreteStatsTable[[#This Row],[GroupByKey]]),(DiscreteStatsTable[GroupByKey]=DiscreteStatsTable[[#This Row],[GroupByKey]])*DiscreteStatsTable[Average]))</f>
        <v>10.9932090669167</v>
      </c>
      <c r="S200" cm="1">
        <f t="array" ref="S200">MAX(IF((DiscreteStatsTable[GroupByKey]=DiscreteStatsTable[[#This Row],[GroupByKey]]),(DiscreteStatsTable[GroupByKey]=DiscreteStatsTable[[#This Row],[GroupByKey]])*DiscreteStatsTable[Average]))</f>
        <v>11.0044982397086</v>
      </c>
      <c r="T200" cm="1">
        <f t="array" ref="T200">MIN(IF((DiscreteStatsTable[GroupByKey]=DiscreteStatsTable[[#This Row],[GroupByKey]]),(DiscreteStatsTable[GroupByKey]=DiscreteStatsTable[[#This Row],[GroupByKey]])*DiscreteStatsTable[Minimum]))</f>
        <v>10.0056447622483</v>
      </c>
      <c r="U200" cm="1">
        <f t="array" ref="U200">MAX(IF((DiscreteStatsTable[GroupByKey]=DiscreteStatsTable[[#This Row],[GroupByKey]]),(DiscreteStatsTable[GroupByKey]=DiscreteStatsTable[[#This Row],[GroupByKey]])*DiscreteStatsTable[Maximum]))</f>
        <v>11.997286937461499</v>
      </c>
      <c r="V200" cm="1">
        <f t="array" ref="V200">IFERROR(AVERAGE(IF((DiscreteStatsTable[GroupByKey]=DiscreteStatsTable[[#This Row],[GroupByKey]]),(DiscreteStatsTable[GroupByKey]=DiscreteStatsTable[[#This Row],[GroupByKey]])*DiscreteStatsTable[NumberObservations])),0)</f>
        <v>13099.9</v>
      </c>
      <c r="W200">
        <f>IF((DiscreteStatsTable[[#This Row],[RepsRequested]]&gt;1),DiscreteStatsTable[[#This Row],[HalfWidth]],DiscreteStatsTable[[#This Row],[BatchMeansHalfWidth]])</f>
        <v>2.8471016672894389E-3</v>
      </c>
      <c r="X200" cm="1">
        <f t="array" ref="X200">COUNT(IF((DiscreteStatsTable[GroupByKey]=DiscreteStatsTable[[#This Row],[GroupByKey]]),(DiscreteStatsTable[GroupByKey]=DiscreteStatsTable[[#This Row],[GroupByKey]])*DiscreteStatsTable[Replication]))</f>
        <v>10</v>
      </c>
      <c r="Y200">
        <f>IF(DiscreteStatsTable[[#This Row],[RepsRequested]]=DiscreteStatsTable[[#This Row],[RepsWithStatObserved]],1,0)</f>
        <v>1</v>
      </c>
    </row>
    <row r="201" spans="1:25" x14ac:dyDescent="0.25">
      <c r="A201" t="s">
        <v>67</v>
      </c>
      <c r="B201" t="s">
        <v>243</v>
      </c>
      <c r="C201">
        <v>10</v>
      </c>
      <c r="D201" t="s">
        <v>92</v>
      </c>
      <c r="E201" t="s">
        <v>89</v>
      </c>
      <c r="F201" t="s">
        <v>87</v>
      </c>
      <c r="G201">
        <v>10.999594600351999</v>
      </c>
      <c r="H201">
        <v>6.2468931034794402E-3</v>
      </c>
      <c r="I201">
        <v>10.0135639910004</v>
      </c>
      <c r="J201">
        <v>11.9862768586027</v>
      </c>
      <c r="K201">
        <v>13082</v>
      </c>
      <c r="L201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201" cm="1">
        <f t="array" ref="M201">MAX(IF((ProjectInfoTable[ProjectName]=DiscreteStatsTable[[#This Row],[ProjectName]]),(ProjectInfoTable[ProjectName]=DiscreteStatsTable[[#This Row],[ProjectName]])*ProjectInfoTable[NumberOfReplications]))</f>
        <v>10</v>
      </c>
      <c r="N201" cm="1">
        <f t="array" ref="N201">IFERROR(AVERAGE(IF((DiscreteStatsTable[GroupByKey]=DiscreteStatsTable[[#This Row],[GroupByKey]]),(DiscreteStatsTable[GroupByKey]=DiscreteStatsTable[[#This Row],[GroupByKey]])*DiscreteStatsTable[Average])),0)</f>
        <v>10.99919148588766</v>
      </c>
      <c r="O201" cm="1">
        <f t="array" ref="O201">IFERROR(_xlfn.STDEV.S(IF((DiscreteStatsTable[GroupByKey]=DiscreteStatsTable[[#This Row],[GroupByKey]]),(DiscreteStatsTable[GroupByKey]=DiscreteStatsTable[[#This Row],[GroupByKey]])*DiscreteStatsTable[Average])),0)</f>
        <v>3.9799736935875654E-3</v>
      </c>
      <c r="P201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2.8471016672894389E-3</v>
      </c>
      <c r="R201" cm="1">
        <f t="array" ref="R201">MIN(IF((DiscreteStatsTable[GroupByKey]=DiscreteStatsTable[[#This Row],[GroupByKey]]),(DiscreteStatsTable[GroupByKey]=DiscreteStatsTable[[#This Row],[GroupByKey]])*DiscreteStatsTable[Average]))</f>
        <v>10.9932090669167</v>
      </c>
      <c r="S201" cm="1">
        <f t="array" ref="S201">MAX(IF((DiscreteStatsTable[GroupByKey]=DiscreteStatsTable[[#This Row],[GroupByKey]]),(DiscreteStatsTable[GroupByKey]=DiscreteStatsTable[[#This Row],[GroupByKey]])*DiscreteStatsTable[Average]))</f>
        <v>11.0044982397086</v>
      </c>
      <c r="T201" cm="1">
        <f t="array" ref="T201">MIN(IF((DiscreteStatsTable[GroupByKey]=DiscreteStatsTable[[#This Row],[GroupByKey]]),(DiscreteStatsTable[GroupByKey]=DiscreteStatsTable[[#This Row],[GroupByKey]])*DiscreteStatsTable[Minimum]))</f>
        <v>10.0056447622483</v>
      </c>
      <c r="U201" cm="1">
        <f t="array" ref="U201">MAX(IF((DiscreteStatsTable[GroupByKey]=DiscreteStatsTable[[#This Row],[GroupByKey]]),(DiscreteStatsTable[GroupByKey]=DiscreteStatsTable[[#This Row],[GroupByKey]])*DiscreteStatsTable[Maximum]))</f>
        <v>11.997286937461499</v>
      </c>
      <c r="V201" cm="1">
        <f t="array" ref="V201">IFERROR(AVERAGE(IF((DiscreteStatsTable[GroupByKey]=DiscreteStatsTable[[#This Row],[GroupByKey]]),(DiscreteStatsTable[GroupByKey]=DiscreteStatsTable[[#This Row],[GroupByKey]])*DiscreteStatsTable[NumberObservations])),0)</f>
        <v>13099.9</v>
      </c>
      <c r="W201">
        <f>IF((DiscreteStatsTable[[#This Row],[RepsRequested]]&gt;1),DiscreteStatsTable[[#This Row],[HalfWidth]],DiscreteStatsTable[[#This Row],[BatchMeansHalfWidth]])</f>
        <v>2.8471016672894389E-3</v>
      </c>
      <c r="X201" cm="1">
        <f t="array" ref="X201">COUNT(IF((DiscreteStatsTable[GroupByKey]=DiscreteStatsTable[[#This Row],[GroupByKey]]),(DiscreteStatsTable[GroupByKey]=DiscreteStatsTable[[#This Row],[GroupByKey]])*DiscreteStatsTable[Replication]))</f>
        <v>10</v>
      </c>
      <c r="Y201">
        <f>IF(DiscreteStatsTable[[#This Row],[RepsRequested]]=DiscreteStatsTable[[#This Row],[RepsWithStatObserved]],1,0)</f>
        <v>1</v>
      </c>
    </row>
    <row r="202" spans="1:25" x14ac:dyDescent="0.25">
      <c r="A202" t="s">
        <v>67</v>
      </c>
      <c r="B202" t="s">
        <v>243</v>
      </c>
      <c r="C202">
        <v>1</v>
      </c>
      <c r="D202" t="s">
        <v>93</v>
      </c>
      <c r="E202" t="s">
        <v>88</v>
      </c>
      <c r="F202" t="s">
        <v>87</v>
      </c>
      <c r="G202">
        <v>6.9908521057960602</v>
      </c>
      <c r="H202">
        <v>3E+20</v>
      </c>
      <c r="I202">
        <v>3.1459884999785599</v>
      </c>
      <c r="J202">
        <v>11.0178768883343</v>
      </c>
      <c r="K202">
        <v>8235</v>
      </c>
      <c r="L202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202" cm="1">
        <f t="array" ref="M202">MAX(IF((ProjectInfoTable[ProjectName]=DiscreteStatsTable[[#This Row],[ProjectName]]),(ProjectInfoTable[ProjectName]=DiscreteStatsTable[[#This Row],[ProjectName]])*ProjectInfoTable[NumberOfReplications]))</f>
        <v>10</v>
      </c>
      <c r="N202" cm="1">
        <f t="array" ref="N202">IFERROR(AVERAGE(IF((DiscreteStatsTable[GroupByKey]=DiscreteStatsTable[[#This Row],[GroupByKey]]),(DiscreteStatsTable[GroupByKey]=DiscreteStatsTable[[#This Row],[GroupByKey]])*DiscreteStatsTable[Average])),0)</f>
        <v>7.0015599616752224</v>
      </c>
      <c r="O202" cm="1">
        <f t="array" ref="O202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02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02" cm="1">
        <f t="array" ref="R202">MIN(IF((DiscreteStatsTable[GroupByKey]=DiscreteStatsTable[[#This Row],[GroupByKey]]),(DiscreteStatsTable[GroupByKey]=DiscreteStatsTable[[#This Row],[GroupByKey]])*DiscreteStatsTable[Average]))</f>
        <v>6.9908521057960602</v>
      </c>
      <c r="S202" cm="1">
        <f t="array" ref="S202">MAX(IF((DiscreteStatsTable[GroupByKey]=DiscreteStatsTable[[#This Row],[GroupByKey]]),(DiscreteStatsTable[GroupByKey]=DiscreteStatsTable[[#This Row],[GroupByKey]])*DiscreteStatsTable[Average]))</f>
        <v>7.0099221857515897</v>
      </c>
      <c r="T202" cm="1">
        <f t="array" ref="T202">MIN(IF((DiscreteStatsTable[GroupByKey]=DiscreteStatsTable[[#This Row],[GroupByKey]]),(DiscreteStatsTable[GroupByKey]=DiscreteStatsTable[[#This Row],[GroupByKey]])*DiscreteStatsTable[Minimum]))</f>
        <v>2.78570367523935</v>
      </c>
      <c r="U202" cm="1">
        <f t="array" ref="U202">MAX(IF((DiscreteStatsTable[GroupByKey]=DiscreteStatsTable[[#This Row],[GroupByKey]]),(DiscreteStatsTable[GroupByKey]=DiscreteStatsTable[[#This Row],[GroupByKey]])*DiscreteStatsTable[Maximum]))</f>
        <v>11.702881005418</v>
      </c>
      <c r="V202" cm="1">
        <f t="array" ref="V202">IFERROR(AVERAGE(IF((DiscreteStatsTable[GroupByKey]=DiscreteStatsTable[[#This Row],[GroupByKey]]),(DiscreteStatsTable[GroupByKey]=DiscreteStatsTable[[#This Row],[GroupByKey]])*DiscreteStatsTable[NumberObservations])),0)</f>
        <v>8235</v>
      </c>
      <c r="W202">
        <f>IF((DiscreteStatsTable[[#This Row],[RepsRequested]]&gt;1),DiscreteStatsTable[[#This Row],[HalfWidth]],DiscreteStatsTable[[#This Row],[BatchMeansHalfWidth]])</f>
        <v>4.5209112709374685E-3</v>
      </c>
      <c r="X202" cm="1">
        <f t="array" ref="X202">COUNT(IF((DiscreteStatsTable[GroupByKey]=DiscreteStatsTable[[#This Row],[GroupByKey]]),(DiscreteStatsTable[GroupByKey]=DiscreteStatsTable[[#This Row],[GroupByKey]])*DiscreteStatsTable[Replication]))</f>
        <v>10</v>
      </c>
      <c r="Y202">
        <f>IF(DiscreteStatsTable[[#This Row],[RepsRequested]]=DiscreteStatsTable[[#This Row],[RepsWithStatObserved]],1,0)</f>
        <v>1</v>
      </c>
    </row>
    <row r="203" spans="1:25" x14ac:dyDescent="0.25">
      <c r="A203" t="s">
        <v>67</v>
      </c>
      <c r="B203" t="s">
        <v>243</v>
      </c>
      <c r="C203">
        <v>1</v>
      </c>
      <c r="D203" t="s">
        <v>93</v>
      </c>
      <c r="E203" t="s">
        <v>89</v>
      </c>
      <c r="F203" t="s">
        <v>87</v>
      </c>
      <c r="G203">
        <v>6.9908521057960602</v>
      </c>
      <c r="H203">
        <v>3E+20</v>
      </c>
      <c r="I203">
        <v>3.1459884999785599</v>
      </c>
      <c r="J203">
        <v>11.0178768883343</v>
      </c>
      <c r="K203">
        <v>8235</v>
      </c>
      <c r="L203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203" cm="1">
        <f t="array" ref="M203">MAX(IF((ProjectInfoTable[ProjectName]=DiscreteStatsTable[[#This Row],[ProjectName]]),(ProjectInfoTable[ProjectName]=DiscreteStatsTable[[#This Row],[ProjectName]])*ProjectInfoTable[NumberOfReplications]))</f>
        <v>10</v>
      </c>
      <c r="N203" cm="1">
        <f t="array" ref="N203">IFERROR(AVERAGE(IF((DiscreteStatsTable[GroupByKey]=DiscreteStatsTable[[#This Row],[GroupByKey]]),(DiscreteStatsTable[GroupByKey]=DiscreteStatsTable[[#This Row],[GroupByKey]])*DiscreteStatsTable[Average])),0)</f>
        <v>7.0015599616752224</v>
      </c>
      <c r="O203" cm="1">
        <f t="array" ref="O203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03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03" cm="1">
        <f t="array" ref="R203">MIN(IF((DiscreteStatsTable[GroupByKey]=DiscreteStatsTable[[#This Row],[GroupByKey]]),(DiscreteStatsTable[GroupByKey]=DiscreteStatsTable[[#This Row],[GroupByKey]])*DiscreteStatsTable[Average]))</f>
        <v>6.9908521057960602</v>
      </c>
      <c r="S203" cm="1">
        <f t="array" ref="S203">MAX(IF((DiscreteStatsTable[GroupByKey]=DiscreteStatsTable[[#This Row],[GroupByKey]]),(DiscreteStatsTable[GroupByKey]=DiscreteStatsTable[[#This Row],[GroupByKey]])*DiscreteStatsTable[Average]))</f>
        <v>7.0099221857515897</v>
      </c>
      <c r="T203" cm="1">
        <f t="array" ref="T203">MIN(IF((DiscreteStatsTable[GroupByKey]=DiscreteStatsTable[[#This Row],[GroupByKey]]),(DiscreteStatsTable[GroupByKey]=DiscreteStatsTable[[#This Row],[GroupByKey]])*DiscreteStatsTable[Minimum]))</f>
        <v>2.78570367523935</v>
      </c>
      <c r="U203" cm="1">
        <f t="array" ref="U203">MAX(IF((DiscreteStatsTable[GroupByKey]=DiscreteStatsTable[[#This Row],[GroupByKey]]),(DiscreteStatsTable[GroupByKey]=DiscreteStatsTable[[#This Row],[GroupByKey]])*DiscreteStatsTable[Maximum]))</f>
        <v>11.702881005418</v>
      </c>
      <c r="V203" cm="1">
        <f t="array" ref="V203">IFERROR(AVERAGE(IF((DiscreteStatsTable[GroupByKey]=DiscreteStatsTable[[#This Row],[GroupByKey]]),(DiscreteStatsTable[GroupByKey]=DiscreteStatsTable[[#This Row],[GroupByKey]])*DiscreteStatsTable[NumberObservations])),0)</f>
        <v>8235</v>
      </c>
      <c r="W203">
        <f>IF((DiscreteStatsTable[[#This Row],[RepsRequested]]&gt;1),DiscreteStatsTable[[#This Row],[HalfWidth]],DiscreteStatsTable[[#This Row],[BatchMeansHalfWidth]])</f>
        <v>4.5209112709374685E-3</v>
      </c>
      <c r="X203" cm="1">
        <f t="array" ref="X203">COUNT(IF((DiscreteStatsTable[GroupByKey]=DiscreteStatsTable[[#This Row],[GroupByKey]]),(DiscreteStatsTable[GroupByKey]=DiscreteStatsTable[[#This Row],[GroupByKey]])*DiscreteStatsTable[Replication]))</f>
        <v>10</v>
      </c>
      <c r="Y203">
        <f>IF(DiscreteStatsTable[[#This Row],[RepsRequested]]=DiscreteStatsTable[[#This Row],[RepsWithStatObserved]],1,0)</f>
        <v>1</v>
      </c>
    </row>
    <row r="204" spans="1:25" x14ac:dyDescent="0.25">
      <c r="A204" t="s">
        <v>67</v>
      </c>
      <c r="B204" t="s">
        <v>243</v>
      </c>
      <c r="C204">
        <v>2</v>
      </c>
      <c r="D204" t="s">
        <v>93</v>
      </c>
      <c r="E204" t="s">
        <v>88</v>
      </c>
      <c r="F204" t="s">
        <v>87</v>
      </c>
      <c r="G204">
        <v>7.0019959307115798</v>
      </c>
      <c r="H204">
        <v>2.26284020173175E-2</v>
      </c>
      <c r="I204">
        <v>3.6999421747168499</v>
      </c>
      <c r="J204">
        <v>10.5615376696223</v>
      </c>
      <c r="K204">
        <v>8231</v>
      </c>
      <c r="L204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204" cm="1">
        <f t="array" ref="M204">MAX(IF((ProjectInfoTable[ProjectName]=DiscreteStatsTable[[#This Row],[ProjectName]]),(ProjectInfoTable[ProjectName]=DiscreteStatsTable[[#This Row],[ProjectName]])*ProjectInfoTable[NumberOfReplications]))</f>
        <v>10</v>
      </c>
      <c r="N204" cm="1">
        <f t="array" ref="N204">IFERROR(AVERAGE(IF((DiscreteStatsTable[GroupByKey]=DiscreteStatsTable[[#This Row],[GroupByKey]]),(DiscreteStatsTable[GroupByKey]=DiscreteStatsTable[[#This Row],[GroupByKey]])*DiscreteStatsTable[Average])),0)</f>
        <v>7.0015599616752224</v>
      </c>
      <c r="O204" cm="1">
        <f t="array" ref="O204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04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04" cm="1">
        <f t="array" ref="R204">MIN(IF((DiscreteStatsTable[GroupByKey]=DiscreteStatsTable[[#This Row],[GroupByKey]]),(DiscreteStatsTable[GroupByKey]=DiscreteStatsTable[[#This Row],[GroupByKey]])*DiscreteStatsTable[Average]))</f>
        <v>6.9908521057960602</v>
      </c>
      <c r="S204" cm="1">
        <f t="array" ref="S204">MAX(IF((DiscreteStatsTable[GroupByKey]=DiscreteStatsTable[[#This Row],[GroupByKey]]),(DiscreteStatsTable[GroupByKey]=DiscreteStatsTable[[#This Row],[GroupByKey]])*DiscreteStatsTable[Average]))</f>
        <v>7.0099221857515897</v>
      </c>
      <c r="T204" cm="1">
        <f t="array" ref="T204">MIN(IF((DiscreteStatsTable[GroupByKey]=DiscreteStatsTable[[#This Row],[GroupByKey]]),(DiscreteStatsTable[GroupByKey]=DiscreteStatsTable[[#This Row],[GroupByKey]])*DiscreteStatsTable[Minimum]))</f>
        <v>2.78570367523935</v>
      </c>
      <c r="U204" cm="1">
        <f t="array" ref="U204">MAX(IF((DiscreteStatsTable[GroupByKey]=DiscreteStatsTable[[#This Row],[GroupByKey]]),(DiscreteStatsTable[GroupByKey]=DiscreteStatsTable[[#This Row],[GroupByKey]])*DiscreteStatsTable[Maximum]))</f>
        <v>11.702881005418</v>
      </c>
      <c r="V204" cm="1">
        <f t="array" ref="V204">IFERROR(AVERAGE(IF((DiscreteStatsTable[GroupByKey]=DiscreteStatsTable[[#This Row],[GroupByKey]]),(DiscreteStatsTable[GroupByKey]=DiscreteStatsTable[[#This Row],[GroupByKey]])*DiscreteStatsTable[NumberObservations])),0)</f>
        <v>8235</v>
      </c>
      <c r="W204">
        <f>IF((DiscreteStatsTable[[#This Row],[RepsRequested]]&gt;1),DiscreteStatsTable[[#This Row],[HalfWidth]],DiscreteStatsTable[[#This Row],[BatchMeansHalfWidth]])</f>
        <v>4.5209112709374685E-3</v>
      </c>
      <c r="X204" cm="1">
        <f t="array" ref="X204">COUNT(IF((DiscreteStatsTable[GroupByKey]=DiscreteStatsTable[[#This Row],[GroupByKey]]),(DiscreteStatsTable[GroupByKey]=DiscreteStatsTable[[#This Row],[GroupByKey]])*DiscreteStatsTable[Replication]))</f>
        <v>10</v>
      </c>
      <c r="Y204">
        <f>IF(DiscreteStatsTable[[#This Row],[RepsRequested]]=DiscreteStatsTable[[#This Row],[RepsWithStatObserved]],1,0)</f>
        <v>1</v>
      </c>
    </row>
    <row r="205" spans="1:25" x14ac:dyDescent="0.25">
      <c r="A205" t="s">
        <v>67</v>
      </c>
      <c r="B205" t="s">
        <v>243</v>
      </c>
      <c r="C205">
        <v>2</v>
      </c>
      <c r="D205" t="s">
        <v>93</v>
      </c>
      <c r="E205" t="s">
        <v>89</v>
      </c>
      <c r="F205" t="s">
        <v>87</v>
      </c>
      <c r="G205">
        <v>7.0019959307115798</v>
      </c>
      <c r="H205">
        <v>2.26284020173175E-2</v>
      </c>
      <c r="I205">
        <v>3.6999421747168499</v>
      </c>
      <c r="J205">
        <v>10.5615376696223</v>
      </c>
      <c r="K205">
        <v>8231</v>
      </c>
      <c r="L205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205" cm="1">
        <f t="array" ref="M205">MAX(IF((ProjectInfoTable[ProjectName]=DiscreteStatsTable[[#This Row],[ProjectName]]),(ProjectInfoTable[ProjectName]=DiscreteStatsTable[[#This Row],[ProjectName]])*ProjectInfoTable[NumberOfReplications]))</f>
        <v>10</v>
      </c>
      <c r="N205" cm="1">
        <f t="array" ref="N205">IFERROR(AVERAGE(IF((DiscreteStatsTable[GroupByKey]=DiscreteStatsTable[[#This Row],[GroupByKey]]),(DiscreteStatsTable[GroupByKey]=DiscreteStatsTable[[#This Row],[GroupByKey]])*DiscreteStatsTable[Average])),0)</f>
        <v>7.0015599616752224</v>
      </c>
      <c r="O205" cm="1">
        <f t="array" ref="O205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0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05" cm="1">
        <f t="array" ref="R205">MIN(IF((DiscreteStatsTable[GroupByKey]=DiscreteStatsTable[[#This Row],[GroupByKey]]),(DiscreteStatsTable[GroupByKey]=DiscreteStatsTable[[#This Row],[GroupByKey]])*DiscreteStatsTable[Average]))</f>
        <v>6.9908521057960602</v>
      </c>
      <c r="S205" cm="1">
        <f t="array" ref="S205">MAX(IF((DiscreteStatsTable[GroupByKey]=DiscreteStatsTable[[#This Row],[GroupByKey]]),(DiscreteStatsTable[GroupByKey]=DiscreteStatsTable[[#This Row],[GroupByKey]])*DiscreteStatsTable[Average]))</f>
        <v>7.0099221857515897</v>
      </c>
      <c r="T205" cm="1">
        <f t="array" ref="T205">MIN(IF((DiscreteStatsTable[GroupByKey]=DiscreteStatsTable[[#This Row],[GroupByKey]]),(DiscreteStatsTable[GroupByKey]=DiscreteStatsTable[[#This Row],[GroupByKey]])*DiscreteStatsTable[Minimum]))</f>
        <v>2.78570367523935</v>
      </c>
      <c r="U205" cm="1">
        <f t="array" ref="U205">MAX(IF((DiscreteStatsTable[GroupByKey]=DiscreteStatsTable[[#This Row],[GroupByKey]]),(DiscreteStatsTable[GroupByKey]=DiscreteStatsTable[[#This Row],[GroupByKey]])*DiscreteStatsTable[Maximum]))</f>
        <v>11.702881005418</v>
      </c>
      <c r="V205" cm="1">
        <f t="array" ref="V205">IFERROR(AVERAGE(IF((DiscreteStatsTable[GroupByKey]=DiscreteStatsTable[[#This Row],[GroupByKey]]),(DiscreteStatsTable[GroupByKey]=DiscreteStatsTable[[#This Row],[GroupByKey]])*DiscreteStatsTable[NumberObservations])),0)</f>
        <v>8235</v>
      </c>
      <c r="W205">
        <f>IF((DiscreteStatsTable[[#This Row],[RepsRequested]]&gt;1),DiscreteStatsTable[[#This Row],[HalfWidth]],DiscreteStatsTable[[#This Row],[BatchMeansHalfWidth]])</f>
        <v>4.5209112709374685E-3</v>
      </c>
      <c r="X205" cm="1">
        <f t="array" ref="X205">COUNT(IF((DiscreteStatsTable[GroupByKey]=DiscreteStatsTable[[#This Row],[GroupByKey]]),(DiscreteStatsTable[GroupByKey]=DiscreteStatsTable[[#This Row],[GroupByKey]])*DiscreteStatsTable[Replication]))</f>
        <v>10</v>
      </c>
      <c r="Y205">
        <f>IF(DiscreteStatsTable[[#This Row],[RepsRequested]]=DiscreteStatsTable[[#This Row],[RepsWithStatObserved]],1,0)</f>
        <v>1</v>
      </c>
    </row>
    <row r="206" spans="1:25" x14ac:dyDescent="0.25">
      <c r="A206" t="s">
        <v>67</v>
      </c>
      <c r="B206" t="s">
        <v>243</v>
      </c>
      <c r="C206">
        <v>3</v>
      </c>
      <c r="D206" t="s">
        <v>93</v>
      </c>
      <c r="E206" t="s">
        <v>88</v>
      </c>
      <c r="F206" t="s">
        <v>87</v>
      </c>
      <c r="G206">
        <v>7.0077486119289203</v>
      </c>
      <c r="H206">
        <v>2.4200655220802201E-2</v>
      </c>
      <c r="I206">
        <v>3.4569229270564401</v>
      </c>
      <c r="J206">
        <v>10.4009877125791</v>
      </c>
      <c r="K206">
        <v>8245</v>
      </c>
      <c r="L206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206" cm="1">
        <f t="array" ref="M206">MAX(IF((ProjectInfoTable[ProjectName]=DiscreteStatsTable[[#This Row],[ProjectName]]),(ProjectInfoTable[ProjectName]=DiscreteStatsTable[[#This Row],[ProjectName]])*ProjectInfoTable[NumberOfReplications]))</f>
        <v>10</v>
      </c>
      <c r="N206" cm="1">
        <f t="array" ref="N206">IFERROR(AVERAGE(IF((DiscreteStatsTable[GroupByKey]=DiscreteStatsTable[[#This Row],[GroupByKey]]),(DiscreteStatsTable[GroupByKey]=DiscreteStatsTable[[#This Row],[GroupByKey]])*DiscreteStatsTable[Average])),0)</f>
        <v>7.0015599616752224</v>
      </c>
      <c r="O206" cm="1">
        <f t="array" ref="O206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06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06" cm="1">
        <f t="array" ref="R206">MIN(IF((DiscreteStatsTable[GroupByKey]=DiscreteStatsTable[[#This Row],[GroupByKey]]),(DiscreteStatsTable[GroupByKey]=DiscreteStatsTable[[#This Row],[GroupByKey]])*DiscreteStatsTable[Average]))</f>
        <v>6.9908521057960602</v>
      </c>
      <c r="S206" cm="1">
        <f t="array" ref="S206">MAX(IF((DiscreteStatsTable[GroupByKey]=DiscreteStatsTable[[#This Row],[GroupByKey]]),(DiscreteStatsTable[GroupByKey]=DiscreteStatsTable[[#This Row],[GroupByKey]])*DiscreteStatsTable[Average]))</f>
        <v>7.0099221857515897</v>
      </c>
      <c r="T206" cm="1">
        <f t="array" ref="T206">MIN(IF((DiscreteStatsTable[GroupByKey]=DiscreteStatsTable[[#This Row],[GroupByKey]]),(DiscreteStatsTable[GroupByKey]=DiscreteStatsTable[[#This Row],[GroupByKey]])*DiscreteStatsTable[Minimum]))</f>
        <v>2.78570367523935</v>
      </c>
      <c r="U206" cm="1">
        <f t="array" ref="U206">MAX(IF((DiscreteStatsTable[GroupByKey]=DiscreteStatsTable[[#This Row],[GroupByKey]]),(DiscreteStatsTable[GroupByKey]=DiscreteStatsTable[[#This Row],[GroupByKey]])*DiscreteStatsTable[Maximum]))</f>
        <v>11.702881005418</v>
      </c>
      <c r="V206" cm="1">
        <f t="array" ref="V206">IFERROR(AVERAGE(IF((DiscreteStatsTable[GroupByKey]=DiscreteStatsTable[[#This Row],[GroupByKey]]),(DiscreteStatsTable[GroupByKey]=DiscreteStatsTable[[#This Row],[GroupByKey]])*DiscreteStatsTable[NumberObservations])),0)</f>
        <v>8235</v>
      </c>
      <c r="W206">
        <f>IF((DiscreteStatsTable[[#This Row],[RepsRequested]]&gt;1),DiscreteStatsTable[[#This Row],[HalfWidth]],DiscreteStatsTable[[#This Row],[BatchMeansHalfWidth]])</f>
        <v>4.5209112709374685E-3</v>
      </c>
      <c r="X206" cm="1">
        <f t="array" ref="X206">COUNT(IF((DiscreteStatsTable[GroupByKey]=DiscreteStatsTable[[#This Row],[GroupByKey]]),(DiscreteStatsTable[GroupByKey]=DiscreteStatsTable[[#This Row],[GroupByKey]])*DiscreteStatsTable[Replication]))</f>
        <v>10</v>
      </c>
      <c r="Y206">
        <f>IF(DiscreteStatsTable[[#This Row],[RepsRequested]]=DiscreteStatsTable[[#This Row],[RepsWithStatObserved]],1,0)</f>
        <v>1</v>
      </c>
    </row>
    <row r="207" spans="1:25" x14ac:dyDescent="0.25">
      <c r="A207" t="s">
        <v>67</v>
      </c>
      <c r="B207" t="s">
        <v>243</v>
      </c>
      <c r="C207">
        <v>3</v>
      </c>
      <c r="D207" t="s">
        <v>93</v>
      </c>
      <c r="E207" t="s">
        <v>89</v>
      </c>
      <c r="F207" t="s">
        <v>87</v>
      </c>
      <c r="G207">
        <v>7.0077486119289203</v>
      </c>
      <c r="H207">
        <v>2.4200655220802201E-2</v>
      </c>
      <c r="I207">
        <v>3.4569229270564401</v>
      </c>
      <c r="J207">
        <v>10.4009877125791</v>
      </c>
      <c r="K207">
        <v>8245</v>
      </c>
      <c r="L207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207" cm="1">
        <f t="array" ref="M207">MAX(IF((ProjectInfoTable[ProjectName]=DiscreteStatsTable[[#This Row],[ProjectName]]),(ProjectInfoTable[ProjectName]=DiscreteStatsTable[[#This Row],[ProjectName]])*ProjectInfoTable[NumberOfReplications]))</f>
        <v>10</v>
      </c>
      <c r="N207" cm="1">
        <f t="array" ref="N207">IFERROR(AVERAGE(IF((DiscreteStatsTable[GroupByKey]=DiscreteStatsTable[[#This Row],[GroupByKey]]),(DiscreteStatsTable[GroupByKey]=DiscreteStatsTable[[#This Row],[GroupByKey]])*DiscreteStatsTable[Average])),0)</f>
        <v>7.0015599616752224</v>
      </c>
      <c r="O207" cm="1">
        <f t="array" ref="O207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07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07" cm="1">
        <f t="array" ref="R207">MIN(IF((DiscreteStatsTable[GroupByKey]=DiscreteStatsTable[[#This Row],[GroupByKey]]),(DiscreteStatsTable[GroupByKey]=DiscreteStatsTable[[#This Row],[GroupByKey]])*DiscreteStatsTable[Average]))</f>
        <v>6.9908521057960602</v>
      </c>
      <c r="S207" cm="1">
        <f t="array" ref="S207">MAX(IF((DiscreteStatsTable[GroupByKey]=DiscreteStatsTable[[#This Row],[GroupByKey]]),(DiscreteStatsTable[GroupByKey]=DiscreteStatsTable[[#This Row],[GroupByKey]])*DiscreteStatsTable[Average]))</f>
        <v>7.0099221857515897</v>
      </c>
      <c r="T207" cm="1">
        <f t="array" ref="T207">MIN(IF((DiscreteStatsTable[GroupByKey]=DiscreteStatsTable[[#This Row],[GroupByKey]]),(DiscreteStatsTable[GroupByKey]=DiscreteStatsTable[[#This Row],[GroupByKey]])*DiscreteStatsTable[Minimum]))</f>
        <v>2.78570367523935</v>
      </c>
      <c r="U207" cm="1">
        <f t="array" ref="U207">MAX(IF((DiscreteStatsTable[GroupByKey]=DiscreteStatsTable[[#This Row],[GroupByKey]]),(DiscreteStatsTable[GroupByKey]=DiscreteStatsTable[[#This Row],[GroupByKey]])*DiscreteStatsTable[Maximum]))</f>
        <v>11.702881005418</v>
      </c>
      <c r="V207" cm="1">
        <f t="array" ref="V207">IFERROR(AVERAGE(IF((DiscreteStatsTable[GroupByKey]=DiscreteStatsTable[[#This Row],[GroupByKey]]),(DiscreteStatsTable[GroupByKey]=DiscreteStatsTable[[#This Row],[GroupByKey]])*DiscreteStatsTable[NumberObservations])),0)</f>
        <v>8235</v>
      </c>
      <c r="W207">
        <f>IF((DiscreteStatsTable[[#This Row],[RepsRequested]]&gt;1),DiscreteStatsTable[[#This Row],[HalfWidth]],DiscreteStatsTable[[#This Row],[BatchMeansHalfWidth]])</f>
        <v>4.5209112709374685E-3</v>
      </c>
      <c r="X207" cm="1">
        <f t="array" ref="X207">COUNT(IF((DiscreteStatsTable[GroupByKey]=DiscreteStatsTable[[#This Row],[GroupByKey]]),(DiscreteStatsTable[GroupByKey]=DiscreteStatsTable[[#This Row],[GroupByKey]])*DiscreteStatsTable[Replication]))</f>
        <v>10</v>
      </c>
      <c r="Y207">
        <f>IF(DiscreteStatsTable[[#This Row],[RepsRequested]]=DiscreteStatsTable[[#This Row],[RepsWithStatObserved]],1,0)</f>
        <v>1</v>
      </c>
    </row>
    <row r="208" spans="1:25" x14ac:dyDescent="0.25">
      <c r="A208" t="s">
        <v>67</v>
      </c>
      <c r="B208" t="s">
        <v>243</v>
      </c>
      <c r="C208">
        <v>4</v>
      </c>
      <c r="D208" t="s">
        <v>93</v>
      </c>
      <c r="E208" t="s">
        <v>88</v>
      </c>
      <c r="F208" t="s">
        <v>87</v>
      </c>
      <c r="G208">
        <v>7.0099221857515897</v>
      </c>
      <c r="H208">
        <v>2.71697906393959E-2</v>
      </c>
      <c r="I208">
        <v>3.4425188868190202</v>
      </c>
      <c r="J208">
        <v>11.613043548131801</v>
      </c>
      <c r="K208">
        <v>8234</v>
      </c>
      <c r="L208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208" cm="1">
        <f t="array" ref="M208">MAX(IF((ProjectInfoTable[ProjectName]=DiscreteStatsTable[[#This Row],[ProjectName]]),(ProjectInfoTable[ProjectName]=DiscreteStatsTable[[#This Row],[ProjectName]])*ProjectInfoTable[NumberOfReplications]))</f>
        <v>10</v>
      </c>
      <c r="N208" cm="1">
        <f t="array" ref="N208">IFERROR(AVERAGE(IF((DiscreteStatsTable[GroupByKey]=DiscreteStatsTable[[#This Row],[GroupByKey]]),(DiscreteStatsTable[GroupByKey]=DiscreteStatsTable[[#This Row],[GroupByKey]])*DiscreteStatsTable[Average])),0)</f>
        <v>7.0015599616752224</v>
      </c>
      <c r="O208" cm="1">
        <f t="array" ref="O208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08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08" cm="1">
        <f t="array" ref="R208">MIN(IF((DiscreteStatsTable[GroupByKey]=DiscreteStatsTable[[#This Row],[GroupByKey]]),(DiscreteStatsTable[GroupByKey]=DiscreteStatsTable[[#This Row],[GroupByKey]])*DiscreteStatsTable[Average]))</f>
        <v>6.9908521057960602</v>
      </c>
      <c r="S208" cm="1">
        <f t="array" ref="S208">MAX(IF((DiscreteStatsTable[GroupByKey]=DiscreteStatsTable[[#This Row],[GroupByKey]]),(DiscreteStatsTable[GroupByKey]=DiscreteStatsTable[[#This Row],[GroupByKey]])*DiscreteStatsTable[Average]))</f>
        <v>7.0099221857515897</v>
      </c>
      <c r="T208" cm="1">
        <f t="array" ref="T208">MIN(IF((DiscreteStatsTable[GroupByKey]=DiscreteStatsTable[[#This Row],[GroupByKey]]),(DiscreteStatsTable[GroupByKey]=DiscreteStatsTable[[#This Row],[GroupByKey]])*DiscreteStatsTable[Minimum]))</f>
        <v>2.78570367523935</v>
      </c>
      <c r="U208" cm="1">
        <f t="array" ref="U208">MAX(IF((DiscreteStatsTable[GroupByKey]=DiscreteStatsTable[[#This Row],[GroupByKey]]),(DiscreteStatsTable[GroupByKey]=DiscreteStatsTable[[#This Row],[GroupByKey]])*DiscreteStatsTable[Maximum]))</f>
        <v>11.702881005418</v>
      </c>
      <c r="V208" cm="1">
        <f t="array" ref="V208">IFERROR(AVERAGE(IF((DiscreteStatsTable[GroupByKey]=DiscreteStatsTable[[#This Row],[GroupByKey]]),(DiscreteStatsTable[GroupByKey]=DiscreteStatsTable[[#This Row],[GroupByKey]])*DiscreteStatsTable[NumberObservations])),0)</f>
        <v>8235</v>
      </c>
      <c r="W208">
        <f>IF((DiscreteStatsTable[[#This Row],[RepsRequested]]&gt;1),DiscreteStatsTable[[#This Row],[HalfWidth]],DiscreteStatsTable[[#This Row],[BatchMeansHalfWidth]])</f>
        <v>4.5209112709374685E-3</v>
      </c>
      <c r="X208" cm="1">
        <f t="array" ref="X208">COUNT(IF((DiscreteStatsTable[GroupByKey]=DiscreteStatsTable[[#This Row],[GroupByKey]]),(DiscreteStatsTable[GroupByKey]=DiscreteStatsTable[[#This Row],[GroupByKey]])*DiscreteStatsTable[Replication]))</f>
        <v>10</v>
      </c>
      <c r="Y208">
        <f>IF(DiscreteStatsTable[[#This Row],[RepsRequested]]=DiscreteStatsTable[[#This Row],[RepsWithStatObserved]],1,0)</f>
        <v>1</v>
      </c>
    </row>
    <row r="209" spans="1:25" x14ac:dyDescent="0.25">
      <c r="A209" t="s">
        <v>67</v>
      </c>
      <c r="B209" t="s">
        <v>243</v>
      </c>
      <c r="C209">
        <v>4</v>
      </c>
      <c r="D209" t="s">
        <v>93</v>
      </c>
      <c r="E209" t="s">
        <v>89</v>
      </c>
      <c r="F209" t="s">
        <v>87</v>
      </c>
      <c r="G209">
        <v>7.0099221857515897</v>
      </c>
      <c r="H209">
        <v>2.71697906393959E-2</v>
      </c>
      <c r="I209">
        <v>3.4425188868190202</v>
      </c>
      <c r="J209">
        <v>11.613043548131801</v>
      </c>
      <c r="K209">
        <v>8234</v>
      </c>
      <c r="L209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209" cm="1">
        <f t="array" ref="M209">MAX(IF((ProjectInfoTable[ProjectName]=DiscreteStatsTable[[#This Row],[ProjectName]]),(ProjectInfoTable[ProjectName]=DiscreteStatsTable[[#This Row],[ProjectName]])*ProjectInfoTable[NumberOfReplications]))</f>
        <v>10</v>
      </c>
      <c r="N209" cm="1">
        <f t="array" ref="N209">IFERROR(AVERAGE(IF((DiscreteStatsTable[GroupByKey]=DiscreteStatsTable[[#This Row],[GroupByKey]]),(DiscreteStatsTable[GroupByKey]=DiscreteStatsTable[[#This Row],[GroupByKey]])*DiscreteStatsTable[Average])),0)</f>
        <v>7.0015599616752224</v>
      </c>
      <c r="O209" cm="1">
        <f t="array" ref="O209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09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09" cm="1">
        <f t="array" ref="R209">MIN(IF((DiscreteStatsTable[GroupByKey]=DiscreteStatsTable[[#This Row],[GroupByKey]]),(DiscreteStatsTable[GroupByKey]=DiscreteStatsTable[[#This Row],[GroupByKey]])*DiscreteStatsTable[Average]))</f>
        <v>6.9908521057960602</v>
      </c>
      <c r="S209" cm="1">
        <f t="array" ref="S209">MAX(IF((DiscreteStatsTable[GroupByKey]=DiscreteStatsTable[[#This Row],[GroupByKey]]),(DiscreteStatsTable[GroupByKey]=DiscreteStatsTable[[#This Row],[GroupByKey]])*DiscreteStatsTable[Average]))</f>
        <v>7.0099221857515897</v>
      </c>
      <c r="T209" cm="1">
        <f t="array" ref="T209">MIN(IF((DiscreteStatsTable[GroupByKey]=DiscreteStatsTable[[#This Row],[GroupByKey]]),(DiscreteStatsTable[GroupByKey]=DiscreteStatsTable[[#This Row],[GroupByKey]])*DiscreteStatsTable[Minimum]))</f>
        <v>2.78570367523935</v>
      </c>
      <c r="U209" cm="1">
        <f t="array" ref="U209">MAX(IF((DiscreteStatsTable[GroupByKey]=DiscreteStatsTable[[#This Row],[GroupByKey]]),(DiscreteStatsTable[GroupByKey]=DiscreteStatsTable[[#This Row],[GroupByKey]])*DiscreteStatsTable[Maximum]))</f>
        <v>11.702881005418</v>
      </c>
      <c r="V209" cm="1">
        <f t="array" ref="V209">IFERROR(AVERAGE(IF((DiscreteStatsTable[GroupByKey]=DiscreteStatsTable[[#This Row],[GroupByKey]]),(DiscreteStatsTable[GroupByKey]=DiscreteStatsTable[[#This Row],[GroupByKey]])*DiscreteStatsTable[NumberObservations])),0)</f>
        <v>8235</v>
      </c>
      <c r="W209">
        <f>IF((DiscreteStatsTable[[#This Row],[RepsRequested]]&gt;1),DiscreteStatsTable[[#This Row],[HalfWidth]],DiscreteStatsTable[[#This Row],[BatchMeansHalfWidth]])</f>
        <v>4.5209112709374685E-3</v>
      </c>
      <c r="X209" cm="1">
        <f t="array" ref="X209">COUNT(IF((DiscreteStatsTable[GroupByKey]=DiscreteStatsTable[[#This Row],[GroupByKey]]),(DiscreteStatsTable[GroupByKey]=DiscreteStatsTable[[#This Row],[GroupByKey]])*DiscreteStatsTable[Replication]))</f>
        <v>10</v>
      </c>
      <c r="Y209">
        <f>IF(DiscreteStatsTable[[#This Row],[RepsRequested]]=DiscreteStatsTable[[#This Row],[RepsWithStatObserved]],1,0)</f>
        <v>1</v>
      </c>
    </row>
    <row r="210" spans="1:25" x14ac:dyDescent="0.25">
      <c r="A210" t="s">
        <v>67</v>
      </c>
      <c r="B210" t="s">
        <v>243</v>
      </c>
      <c r="C210">
        <v>5</v>
      </c>
      <c r="D210" t="s">
        <v>93</v>
      </c>
      <c r="E210" t="s">
        <v>88</v>
      </c>
      <c r="F210" t="s">
        <v>87</v>
      </c>
      <c r="G210">
        <v>6.99803341091192</v>
      </c>
      <c r="H210">
        <v>2.2695860703371401E-2</v>
      </c>
      <c r="I210">
        <v>3.5777139012352599</v>
      </c>
      <c r="J210">
        <v>11.702881005418</v>
      </c>
      <c r="K210">
        <v>8245</v>
      </c>
      <c r="L210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210" cm="1">
        <f t="array" ref="M210">MAX(IF((ProjectInfoTable[ProjectName]=DiscreteStatsTable[[#This Row],[ProjectName]]),(ProjectInfoTable[ProjectName]=DiscreteStatsTable[[#This Row],[ProjectName]])*ProjectInfoTable[NumberOfReplications]))</f>
        <v>10</v>
      </c>
      <c r="N210" cm="1">
        <f t="array" ref="N210">IFERROR(AVERAGE(IF((DiscreteStatsTable[GroupByKey]=DiscreteStatsTable[[#This Row],[GroupByKey]]),(DiscreteStatsTable[GroupByKey]=DiscreteStatsTable[[#This Row],[GroupByKey]])*DiscreteStatsTable[Average])),0)</f>
        <v>7.0015599616752224</v>
      </c>
      <c r="O210" cm="1">
        <f t="array" ref="O210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10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10" cm="1">
        <f t="array" ref="R210">MIN(IF((DiscreteStatsTable[GroupByKey]=DiscreteStatsTable[[#This Row],[GroupByKey]]),(DiscreteStatsTable[GroupByKey]=DiscreteStatsTable[[#This Row],[GroupByKey]])*DiscreteStatsTable[Average]))</f>
        <v>6.9908521057960602</v>
      </c>
      <c r="S210" cm="1">
        <f t="array" ref="S210">MAX(IF((DiscreteStatsTable[GroupByKey]=DiscreteStatsTable[[#This Row],[GroupByKey]]),(DiscreteStatsTable[GroupByKey]=DiscreteStatsTable[[#This Row],[GroupByKey]])*DiscreteStatsTable[Average]))</f>
        <v>7.0099221857515897</v>
      </c>
      <c r="T210" cm="1">
        <f t="array" ref="T210">MIN(IF((DiscreteStatsTable[GroupByKey]=DiscreteStatsTable[[#This Row],[GroupByKey]]),(DiscreteStatsTable[GroupByKey]=DiscreteStatsTable[[#This Row],[GroupByKey]])*DiscreteStatsTable[Minimum]))</f>
        <v>2.78570367523935</v>
      </c>
      <c r="U210" cm="1">
        <f t="array" ref="U210">MAX(IF((DiscreteStatsTable[GroupByKey]=DiscreteStatsTable[[#This Row],[GroupByKey]]),(DiscreteStatsTable[GroupByKey]=DiscreteStatsTable[[#This Row],[GroupByKey]])*DiscreteStatsTable[Maximum]))</f>
        <v>11.702881005418</v>
      </c>
      <c r="V210" cm="1">
        <f t="array" ref="V210">IFERROR(AVERAGE(IF((DiscreteStatsTable[GroupByKey]=DiscreteStatsTable[[#This Row],[GroupByKey]]),(DiscreteStatsTable[GroupByKey]=DiscreteStatsTable[[#This Row],[GroupByKey]])*DiscreteStatsTable[NumberObservations])),0)</f>
        <v>8235</v>
      </c>
      <c r="W210">
        <f>IF((DiscreteStatsTable[[#This Row],[RepsRequested]]&gt;1),DiscreteStatsTable[[#This Row],[HalfWidth]],DiscreteStatsTable[[#This Row],[BatchMeansHalfWidth]])</f>
        <v>4.5209112709374685E-3</v>
      </c>
      <c r="X210" cm="1">
        <f t="array" ref="X210">COUNT(IF((DiscreteStatsTable[GroupByKey]=DiscreteStatsTable[[#This Row],[GroupByKey]]),(DiscreteStatsTable[GroupByKey]=DiscreteStatsTable[[#This Row],[GroupByKey]])*DiscreteStatsTable[Replication]))</f>
        <v>10</v>
      </c>
      <c r="Y210">
        <f>IF(DiscreteStatsTable[[#This Row],[RepsRequested]]=DiscreteStatsTable[[#This Row],[RepsWithStatObserved]],1,0)</f>
        <v>1</v>
      </c>
    </row>
    <row r="211" spans="1:25" x14ac:dyDescent="0.25">
      <c r="A211" t="s">
        <v>67</v>
      </c>
      <c r="B211" t="s">
        <v>243</v>
      </c>
      <c r="C211">
        <v>5</v>
      </c>
      <c r="D211" t="s">
        <v>93</v>
      </c>
      <c r="E211" t="s">
        <v>89</v>
      </c>
      <c r="F211" t="s">
        <v>87</v>
      </c>
      <c r="G211">
        <v>6.99803341091192</v>
      </c>
      <c r="H211">
        <v>2.2695860703371401E-2</v>
      </c>
      <c r="I211">
        <v>3.5777139012352599</v>
      </c>
      <c r="J211">
        <v>11.702881005418</v>
      </c>
      <c r="K211">
        <v>8245</v>
      </c>
      <c r="L211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211" cm="1">
        <f t="array" ref="M211">MAX(IF((ProjectInfoTable[ProjectName]=DiscreteStatsTable[[#This Row],[ProjectName]]),(ProjectInfoTable[ProjectName]=DiscreteStatsTable[[#This Row],[ProjectName]])*ProjectInfoTable[NumberOfReplications]))</f>
        <v>10</v>
      </c>
      <c r="N211" cm="1">
        <f t="array" ref="N211">IFERROR(AVERAGE(IF((DiscreteStatsTable[GroupByKey]=DiscreteStatsTable[[#This Row],[GroupByKey]]),(DiscreteStatsTable[GroupByKey]=DiscreteStatsTable[[#This Row],[GroupByKey]])*DiscreteStatsTable[Average])),0)</f>
        <v>7.0015599616752224</v>
      </c>
      <c r="O211" cm="1">
        <f t="array" ref="O211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11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11" cm="1">
        <f t="array" ref="R211">MIN(IF((DiscreteStatsTable[GroupByKey]=DiscreteStatsTable[[#This Row],[GroupByKey]]),(DiscreteStatsTable[GroupByKey]=DiscreteStatsTable[[#This Row],[GroupByKey]])*DiscreteStatsTable[Average]))</f>
        <v>6.9908521057960602</v>
      </c>
      <c r="S211" cm="1">
        <f t="array" ref="S211">MAX(IF((DiscreteStatsTable[GroupByKey]=DiscreteStatsTable[[#This Row],[GroupByKey]]),(DiscreteStatsTable[GroupByKey]=DiscreteStatsTable[[#This Row],[GroupByKey]])*DiscreteStatsTable[Average]))</f>
        <v>7.0099221857515897</v>
      </c>
      <c r="T211" cm="1">
        <f t="array" ref="T211">MIN(IF((DiscreteStatsTable[GroupByKey]=DiscreteStatsTable[[#This Row],[GroupByKey]]),(DiscreteStatsTable[GroupByKey]=DiscreteStatsTable[[#This Row],[GroupByKey]])*DiscreteStatsTable[Minimum]))</f>
        <v>2.78570367523935</v>
      </c>
      <c r="U211" cm="1">
        <f t="array" ref="U211">MAX(IF((DiscreteStatsTable[GroupByKey]=DiscreteStatsTable[[#This Row],[GroupByKey]]),(DiscreteStatsTable[GroupByKey]=DiscreteStatsTable[[#This Row],[GroupByKey]])*DiscreteStatsTable[Maximum]))</f>
        <v>11.702881005418</v>
      </c>
      <c r="V211" cm="1">
        <f t="array" ref="V211">IFERROR(AVERAGE(IF((DiscreteStatsTable[GroupByKey]=DiscreteStatsTable[[#This Row],[GroupByKey]]),(DiscreteStatsTable[GroupByKey]=DiscreteStatsTable[[#This Row],[GroupByKey]])*DiscreteStatsTable[NumberObservations])),0)</f>
        <v>8235</v>
      </c>
      <c r="W211">
        <f>IF((DiscreteStatsTable[[#This Row],[RepsRequested]]&gt;1),DiscreteStatsTable[[#This Row],[HalfWidth]],DiscreteStatsTable[[#This Row],[BatchMeansHalfWidth]])</f>
        <v>4.5209112709374685E-3</v>
      </c>
      <c r="X211" cm="1">
        <f t="array" ref="X211">COUNT(IF((DiscreteStatsTable[GroupByKey]=DiscreteStatsTable[[#This Row],[GroupByKey]]),(DiscreteStatsTable[GroupByKey]=DiscreteStatsTable[[#This Row],[GroupByKey]])*DiscreteStatsTable[Replication]))</f>
        <v>10</v>
      </c>
      <c r="Y211">
        <f>IF(DiscreteStatsTable[[#This Row],[RepsRequested]]=DiscreteStatsTable[[#This Row],[RepsWithStatObserved]],1,0)</f>
        <v>1</v>
      </c>
    </row>
    <row r="212" spans="1:25" x14ac:dyDescent="0.25">
      <c r="A212" t="s">
        <v>67</v>
      </c>
      <c r="B212" t="s">
        <v>243</v>
      </c>
      <c r="C212">
        <v>6</v>
      </c>
      <c r="D212" t="s">
        <v>93</v>
      </c>
      <c r="E212" t="s">
        <v>88</v>
      </c>
      <c r="F212" t="s">
        <v>87</v>
      </c>
      <c r="G212">
        <v>7.0037612545168502</v>
      </c>
      <c r="H212">
        <v>2.8295736632776999E-2</v>
      </c>
      <c r="I212">
        <v>3.3742998049128801</v>
      </c>
      <c r="J212">
        <v>10.5810772379045</v>
      </c>
      <c r="K212">
        <v>8223</v>
      </c>
      <c r="L212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212" cm="1">
        <f t="array" ref="M212">MAX(IF((ProjectInfoTable[ProjectName]=DiscreteStatsTable[[#This Row],[ProjectName]]),(ProjectInfoTable[ProjectName]=DiscreteStatsTable[[#This Row],[ProjectName]])*ProjectInfoTable[NumberOfReplications]))</f>
        <v>10</v>
      </c>
      <c r="N212" cm="1">
        <f t="array" ref="N212">IFERROR(AVERAGE(IF((DiscreteStatsTable[GroupByKey]=DiscreteStatsTable[[#This Row],[GroupByKey]]),(DiscreteStatsTable[GroupByKey]=DiscreteStatsTable[[#This Row],[GroupByKey]])*DiscreteStatsTable[Average])),0)</f>
        <v>7.0015599616752224</v>
      </c>
      <c r="O212" cm="1">
        <f t="array" ref="O212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12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12" cm="1">
        <f t="array" ref="R212">MIN(IF((DiscreteStatsTable[GroupByKey]=DiscreteStatsTable[[#This Row],[GroupByKey]]),(DiscreteStatsTable[GroupByKey]=DiscreteStatsTable[[#This Row],[GroupByKey]])*DiscreteStatsTable[Average]))</f>
        <v>6.9908521057960602</v>
      </c>
      <c r="S212" cm="1">
        <f t="array" ref="S212">MAX(IF((DiscreteStatsTable[GroupByKey]=DiscreteStatsTable[[#This Row],[GroupByKey]]),(DiscreteStatsTable[GroupByKey]=DiscreteStatsTable[[#This Row],[GroupByKey]])*DiscreteStatsTable[Average]))</f>
        <v>7.0099221857515897</v>
      </c>
      <c r="T212" cm="1">
        <f t="array" ref="T212">MIN(IF((DiscreteStatsTable[GroupByKey]=DiscreteStatsTable[[#This Row],[GroupByKey]]),(DiscreteStatsTable[GroupByKey]=DiscreteStatsTable[[#This Row],[GroupByKey]])*DiscreteStatsTable[Minimum]))</f>
        <v>2.78570367523935</v>
      </c>
      <c r="U212" cm="1">
        <f t="array" ref="U212">MAX(IF((DiscreteStatsTable[GroupByKey]=DiscreteStatsTable[[#This Row],[GroupByKey]]),(DiscreteStatsTable[GroupByKey]=DiscreteStatsTable[[#This Row],[GroupByKey]])*DiscreteStatsTable[Maximum]))</f>
        <v>11.702881005418</v>
      </c>
      <c r="V212" cm="1">
        <f t="array" ref="V212">IFERROR(AVERAGE(IF((DiscreteStatsTable[GroupByKey]=DiscreteStatsTable[[#This Row],[GroupByKey]]),(DiscreteStatsTable[GroupByKey]=DiscreteStatsTable[[#This Row],[GroupByKey]])*DiscreteStatsTable[NumberObservations])),0)</f>
        <v>8235</v>
      </c>
      <c r="W212">
        <f>IF((DiscreteStatsTable[[#This Row],[RepsRequested]]&gt;1),DiscreteStatsTable[[#This Row],[HalfWidth]],DiscreteStatsTable[[#This Row],[BatchMeansHalfWidth]])</f>
        <v>4.5209112709374685E-3</v>
      </c>
      <c r="X212" cm="1">
        <f t="array" ref="X212">COUNT(IF((DiscreteStatsTable[GroupByKey]=DiscreteStatsTable[[#This Row],[GroupByKey]]),(DiscreteStatsTable[GroupByKey]=DiscreteStatsTable[[#This Row],[GroupByKey]])*DiscreteStatsTable[Replication]))</f>
        <v>10</v>
      </c>
      <c r="Y212">
        <f>IF(DiscreteStatsTable[[#This Row],[RepsRequested]]=DiscreteStatsTable[[#This Row],[RepsWithStatObserved]],1,0)</f>
        <v>1</v>
      </c>
    </row>
    <row r="213" spans="1:25" x14ac:dyDescent="0.25">
      <c r="A213" t="s">
        <v>67</v>
      </c>
      <c r="B213" t="s">
        <v>243</v>
      </c>
      <c r="C213">
        <v>6</v>
      </c>
      <c r="D213" t="s">
        <v>93</v>
      </c>
      <c r="E213" t="s">
        <v>89</v>
      </c>
      <c r="F213" t="s">
        <v>87</v>
      </c>
      <c r="G213">
        <v>7.0037612545168502</v>
      </c>
      <c r="H213">
        <v>2.8295736632776999E-2</v>
      </c>
      <c r="I213">
        <v>3.3742998049128801</v>
      </c>
      <c r="J213">
        <v>10.5810772379045</v>
      </c>
      <c r="K213">
        <v>8223</v>
      </c>
      <c r="L213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213" cm="1">
        <f t="array" ref="M213">MAX(IF((ProjectInfoTable[ProjectName]=DiscreteStatsTable[[#This Row],[ProjectName]]),(ProjectInfoTable[ProjectName]=DiscreteStatsTable[[#This Row],[ProjectName]])*ProjectInfoTable[NumberOfReplications]))</f>
        <v>10</v>
      </c>
      <c r="N213" cm="1">
        <f t="array" ref="N213">IFERROR(AVERAGE(IF((DiscreteStatsTable[GroupByKey]=DiscreteStatsTable[[#This Row],[GroupByKey]]),(DiscreteStatsTable[GroupByKey]=DiscreteStatsTable[[#This Row],[GroupByKey]])*DiscreteStatsTable[Average])),0)</f>
        <v>7.0015599616752224</v>
      </c>
      <c r="O213" cm="1">
        <f t="array" ref="O213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13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13" cm="1">
        <f t="array" ref="R213">MIN(IF((DiscreteStatsTable[GroupByKey]=DiscreteStatsTable[[#This Row],[GroupByKey]]),(DiscreteStatsTable[GroupByKey]=DiscreteStatsTable[[#This Row],[GroupByKey]])*DiscreteStatsTable[Average]))</f>
        <v>6.9908521057960602</v>
      </c>
      <c r="S213" cm="1">
        <f t="array" ref="S213">MAX(IF((DiscreteStatsTable[GroupByKey]=DiscreteStatsTable[[#This Row],[GroupByKey]]),(DiscreteStatsTable[GroupByKey]=DiscreteStatsTable[[#This Row],[GroupByKey]])*DiscreteStatsTable[Average]))</f>
        <v>7.0099221857515897</v>
      </c>
      <c r="T213" cm="1">
        <f t="array" ref="T213">MIN(IF((DiscreteStatsTable[GroupByKey]=DiscreteStatsTable[[#This Row],[GroupByKey]]),(DiscreteStatsTable[GroupByKey]=DiscreteStatsTable[[#This Row],[GroupByKey]])*DiscreteStatsTable[Minimum]))</f>
        <v>2.78570367523935</v>
      </c>
      <c r="U213" cm="1">
        <f t="array" ref="U213">MAX(IF((DiscreteStatsTable[GroupByKey]=DiscreteStatsTable[[#This Row],[GroupByKey]]),(DiscreteStatsTable[GroupByKey]=DiscreteStatsTable[[#This Row],[GroupByKey]])*DiscreteStatsTable[Maximum]))</f>
        <v>11.702881005418</v>
      </c>
      <c r="V213" cm="1">
        <f t="array" ref="V213">IFERROR(AVERAGE(IF((DiscreteStatsTable[GroupByKey]=DiscreteStatsTable[[#This Row],[GroupByKey]]),(DiscreteStatsTable[GroupByKey]=DiscreteStatsTable[[#This Row],[GroupByKey]])*DiscreteStatsTable[NumberObservations])),0)</f>
        <v>8235</v>
      </c>
      <c r="W213">
        <f>IF((DiscreteStatsTable[[#This Row],[RepsRequested]]&gt;1),DiscreteStatsTable[[#This Row],[HalfWidth]],DiscreteStatsTable[[#This Row],[BatchMeansHalfWidth]])</f>
        <v>4.5209112709374685E-3</v>
      </c>
      <c r="X213" cm="1">
        <f t="array" ref="X213">COUNT(IF((DiscreteStatsTable[GroupByKey]=DiscreteStatsTable[[#This Row],[GroupByKey]]),(DiscreteStatsTable[GroupByKey]=DiscreteStatsTable[[#This Row],[GroupByKey]])*DiscreteStatsTable[Replication]))</f>
        <v>10</v>
      </c>
      <c r="Y213">
        <f>IF(DiscreteStatsTable[[#This Row],[RepsRequested]]=DiscreteStatsTable[[#This Row],[RepsWithStatObserved]],1,0)</f>
        <v>1</v>
      </c>
    </row>
    <row r="214" spans="1:25" x14ac:dyDescent="0.25">
      <c r="A214" t="s">
        <v>67</v>
      </c>
      <c r="B214" t="s">
        <v>243</v>
      </c>
      <c r="C214">
        <v>7</v>
      </c>
      <c r="D214" t="s">
        <v>93</v>
      </c>
      <c r="E214" t="s">
        <v>88</v>
      </c>
      <c r="F214" t="s">
        <v>87</v>
      </c>
      <c r="G214">
        <v>6.9992820233045503</v>
      </c>
      <c r="H214">
        <v>2.8292489613981901E-2</v>
      </c>
      <c r="I214">
        <v>2.78570367523935</v>
      </c>
      <c r="J214">
        <v>11.3186989623937</v>
      </c>
      <c r="K214">
        <v>8238</v>
      </c>
      <c r="L214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214" cm="1">
        <f t="array" ref="M214">MAX(IF((ProjectInfoTable[ProjectName]=DiscreteStatsTable[[#This Row],[ProjectName]]),(ProjectInfoTable[ProjectName]=DiscreteStatsTable[[#This Row],[ProjectName]])*ProjectInfoTable[NumberOfReplications]))</f>
        <v>10</v>
      </c>
      <c r="N214" cm="1">
        <f t="array" ref="N214">IFERROR(AVERAGE(IF((DiscreteStatsTable[GroupByKey]=DiscreteStatsTable[[#This Row],[GroupByKey]]),(DiscreteStatsTable[GroupByKey]=DiscreteStatsTable[[#This Row],[GroupByKey]])*DiscreteStatsTable[Average])),0)</f>
        <v>7.0015599616752224</v>
      </c>
      <c r="O214" cm="1">
        <f t="array" ref="O214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14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14" cm="1">
        <f t="array" ref="R214">MIN(IF((DiscreteStatsTable[GroupByKey]=DiscreteStatsTable[[#This Row],[GroupByKey]]),(DiscreteStatsTable[GroupByKey]=DiscreteStatsTable[[#This Row],[GroupByKey]])*DiscreteStatsTable[Average]))</f>
        <v>6.9908521057960602</v>
      </c>
      <c r="S214" cm="1">
        <f t="array" ref="S214">MAX(IF((DiscreteStatsTable[GroupByKey]=DiscreteStatsTable[[#This Row],[GroupByKey]]),(DiscreteStatsTable[GroupByKey]=DiscreteStatsTable[[#This Row],[GroupByKey]])*DiscreteStatsTable[Average]))</f>
        <v>7.0099221857515897</v>
      </c>
      <c r="T214" cm="1">
        <f t="array" ref="T214">MIN(IF((DiscreteStatsTable[GroupByKey]=DiscreteStatsTable[[#This Row],[GroupByKey]]),(DiscreteStatsTable[GroupByKey]=DiscreteStatsTable[[#This Row],[GroupByKey]])*DiscreteStatsTable[Minimum]))</f>
        <v>2.78570367523935</v>
      </c>
      <c r="U214" cm="1">
        <f t="array" ref="U214">MAX(IF((DiscreteStatsTable[GroupByKey]=DiscreteStatsTable[[#This Row],[GroupByKey]]),(DiscreteStatsTable[GroupByKey]=DiscreteStatsTable[[#This Row],[GroupByKey]])*DiscreteStatsTable[Maximum]))</f>
        <v>11.702881005418</v>
      </c>
      <c r="V214" cm="1">
        <f t="array" ref="V214">IFERROR(AVERAGE(IF((DiscreteStatsTable[GroupByKey]=DiscreteStatsTable[[#This Row],[GroupByKey]]),(DiscreteStatsTable[GroupByKey]=DiscreteStatsTable[[#This Row],[GroupByKey]])*DiscreteStatsTable[NumberObservations])),0)</f>
        <v>8235</v>
      </c>
      <c r="W214">
        <f>IF((DiscreteStatsTable[[#This Row],[RepsRequested]]&gt;1),DiscreteStatsTable[[#This Row],[HalfWidth]],DiscreteStatsTable[[#This Row],[BatchMeansHalfWidth]])</f>
        <v>4.5209112709374685E-3</v>
      </c>
      <c r="X214" cm="1">
        <f t="array" ref="X214">COUNT(IF((DiscreteStatsTable[GroupByKey]=DiscreteStatsTable[[#This Row],[GroupByKey]]),(DiscreteStatsTable[GroupByKey]=DiscreteStatsTable[[#This Row],[GroupByKey]])*DiscreteStatsTable[Replication]))</f>
        <v>10</v>
      </c>
      <c r="Y214">
        <f>IF(DiscreteStatsTable[[#This Row],[RepsRequested]]=DiscreteStatsTable[[#This Row],[RepsWithStatObserved]],1,0)</f>
        <v>1</v>
      </c>
    </row>
    <row r="215" spans="1:25" x14ac:dyDescent="0.25">
      <c r="A215" t="s">
        <v>67</v>
      </c>
      <c r="B215" t="s">
        <v>243</v>
      </c>
      <c r="C215">
        <v>7</v>
      </c>
      <c r="D215" t="s">
        <v>93</v>
      </c>
      <c r="E215" t="s">
        <v>89</v>
      </c>
      <c r="F215" t="s">
        <v>87</v>
      </c>
      <c r="G215">
        <v>6.9992820233045503</v>
      </c>
      <c r="H215">
        <v>2.8292489613981901E-2</v>
      </c>
      <c r="I215">
        <v>2.78570367523935</v>
      </c>
      <c r="J215">
        <v>11.3186989623937</v>
      </c>
      <c r="K215">
        <v>8238</v>
      </c>
      <c r="L215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215" cm="1">
        <f t="array" ref="M215">MAX(IF((ProjectInfoTable[ProjectName]=DiscreteStatsTable[[#This Row],[ProjectName]]),(ProjectInfoTable[ProjectName]=DiscreteStatsTable[[#This Row],[ProjectName]])*ProjectInfoTable[NumberOfReplications]))</f>
        <v>10</v>
      </c>
      <c r="N215" cm="1">
        <f t="array" ref="N215">IFERROR(AVERAGE(IF((DiscreteStatsTable[GroupByKey]=DiscreteStatsTable[[#This Row],[GroupByKey]]),(DiscreteStatsTable[GroupByKey]=DiscreteStatsTable[[#This Row],[GroupByKey]])*DiscreteStatsTable[Average])),0)</f>
        <v>7.0015599616752224</v>
      </c>
      <c r="O215" cm="1">
        <f t="array" ref="O215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1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15" cm="1">
        <f t="array" ref="R215">MIN(IF((DiscreteStatsTable[GroupByKey]=DiscreteStatsTable[[#This Row],[GroupByKey]]),(DiscreteStatsTable[GroupByKey]=DiscreteStatsTable[[#This Row],[GroupByKey]])*DiscreteStatsTable[Average]))</f>
        <v>6.9908521057960602</v>
      </c>
      <c r="S215" cm="1">
        <f t="array" ref="S215">MAX(IF((DiscreteStatsTable[GroupByKey]=DiscreteStatsTable[[#This Row],[GroupByKey]]),(DiscreteStatsTable[GroupByKey]=DiscreteStatsTable[[#This Row],[GroupByKey]])*DiscreteStatsTable[Average]))</f>
        <v>7.0099221857515897</v>
      </c>
      <c r="T215" cm="1">
        <f t="array" ref="T215">MIN(IF((DiscreteStatsTable[GroupByKey]=DiscreteStatsTable[[#This Row],[GroupByKey]]),(DiscreteStatsTable[GroupByKey]=DiscreteStatsTable[[#This Row],[GroupByKey]])*DiscreteStatsTable[Minimum]))</f>
        <v>2.78570367523935</v>
      </c>
      <c r="U215" cm="1">
        <f t="array" ref="U215">MAX(IF((DiscreteStatsTable[GroupByKey]=DiscreteStatsTable[[#This Row],[GroupByKey]]),(DiscreteStatsTable[GroupByKey]=DiscreteStatsTable[[#This Row],[GroupByKey]])*DiscreteStatsTable[Maximum]))</f>
        <v>11.702881005418</v>
      </c>
      <c r="V215" cm="1">
        <f t="array" ref="V215">IFERROR(AVERAGE(IF((DiscreteStatsTable[GroupByKey]=DiscreteStatsTable[[#This Row],[GroupByKey]]),(DiscreteStatsTable[GroupByKey]=DiscreteStatsTable[[#This Row],[GroupByKey]])*DiscreteStatsTable[NumberObservations])),0)</f>
        <v>8235</v>
      </c>
      <c r="W215">
        <f>IF((DiscreteStatsTable[[#This Row],[RepsRequested]]&gt;1),DiscreteStatsTable[[#This Row],[HalfWidth]],DiscreteStatsTable[[#This Row],[BatchMeansHalfWidth]])</f>
        <v>4.5209112709374685E-3</v>
      </c>
      <c r="X215" cm="1">
        <f t="array" ref="X215">COUNT(IF((DiscreteStatsTable[GroupByKey]=DiscreteStatsTable[[#This Row],[GroupByKey]]),(DiscreteStatsTable[GroupByKey]=DiscreteStatsTable[[#This Row],[GroupByKey]])*DiscreteStatsTable[Replication]))</f>
        <v>10</v>
      </c>
      <c r="Y215">
        <f>IF(DiscreteStatsTable[[#This Row],[RepsRequested]]=DiscreteStatsTable[[#This Row],[RepsWithStatObserved]],1,0)</f>
        <v>1</v>
      </c>
    </row>
    <row r="216" spans="1:25" x14ac:dyDescent="0.25">
      <c r="A216" t="s">
        <v>67</v>
      </c>
      <c r="B216" t="s">
        <v>243</v>
      </c>
      <c r="C216">
        <v>8</v>
      </c>
      <c r="D216" t="s">
        <v>93</v>
      </c>
      <c r="E216" t="s">
        <v>88</v>
      </c>
      <c r="F216" t="s">
        <v>87</v>
      </c>
      <c r="G216">
        <v>7.00765137864785</v>
      </c>
      <c r="H216">
        <v>2.66720791141822E-2</v>
      </c>
      <c r="I216">
        <v>2.8335125480080001</v>
      </c>
      <c r="J216">
        <v>10.863010188913901</v>
      </c>
      <c r="K216">
        <v>8231</v>
      </c>
      <c r="L216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216" cm="1">
        <f t="array" ref="M216">MAX(IF((ProjectInfoTable[ProjectName]=DiscreteStatsTable[[#This Row],[ProjectName]]),(ProjectInfoTable[ProjectName]=DiscreteStatsTable[[#This Row],[ProjectName]])*ProjectInfoTable[NumberOfReplications]))</f>
        <v>10</v>
      </c>
      <c r="N216" cm="1">
        <f t="array" ref="N216">IFERROR(AVERAGE(IF((DiscreteStatsTable[GroupByKey]=DiscreteStatsTable[[#This Row],[GroupByKey]]),(DiscreteStatsTable[GroupByKey]=DiscreteStatsTable[[#This Row],[GroupByKey]])*DiscreteStatsTable[Average])),0)</f>
        <v>7.0015599616752224</v>
      </c>
      <c r="O216" cm="1">
        <f t="array" ref="O216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16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16" cm="1">
        <f t="array" ref="R216">MIN(IF((DiscreteStatsTable[GroupByKey]=DiscreteStatsTable[[#This Row],[GroupByKey]]),(DiscreteStatsTable[GroupByKey]=DiscreteStatsTable[[#This Row],[GroupByKey]])*DiscreteStatsTable[Average]))</f>
        <v>6.9908521057960602</v>
      </c>
      <c r="S216" cm="1">
        <f t="array" ref="S216">MAX(IF((DiscreteStatsTable[GroupByKey]=DiscreteStatsTable[[#This Row],[GroupByKey]]),(DiscreteStatsTable[GroupByKey]=DiscreteStatsTable[[#This Row],[GroupByKey]])*DiscreteStatsTable[Average]))</f>
        <v>7.0099221857515897</v>
      </c>
      <c r="T216" cm="1">
        <f t="array" ref="T216">MIN(IF((DiscreteStatsTable[GroupByKey]=DiscreteStatsTable[[#This Row],[GroupByKey]]),(DiscreteStatsTable[GroupByKey]=DiscreteStatsTable[[#This Row],[GroupByKey]])*DiscreteStatsTable[Minimum]))</f>
        <v>2.78570367523935</v>
      </c>
      <c r="U216" cm="1">
        <f t="array" ref="U216">MAX(IF((DiscreteStatsTable[GroupByKey]=DiscreteStatsTable[[#This Row],[GroupByKey]]),(DiscreteStatsTable[GroupByKey]=DiscreteStatsTable[[#This Row],[GroupByKey]])*DiscreteStatsTable[Maximum]))</f>
        <v>11.702881005418</v>
      </c>
      <c r="V216" cm="1">
        <f t="array" ref="V216">IFERROR(AVERAGE(IF((DiscreteStatsTable[GroupByKey]=DiscreteStatsTable[[#This Row],[GroupByKey]]),(DiscreteStatsTable[GroupByKey]=DiscreteStatsTable[[#This Row],[GroupByKey]])*DiscreteStatsTable[NumberObservations])),0)</f>
        <v>8235</v>
      </c>
      <c r="W216">
        <f>IF((DiscreteStatsTable[[#This Row],[RepsRequested]]&gt;1),DiscreteStatsTable[[#This Row],[HalfWidth]],DiscreteStatsTable[[#This Row],[BatchMeansHalfWidth]])</f>
        <v>4.5209112709374685E-3</v>
      </c>
      <c r="X216" cm="1">
        <f t="array" ref="X216">COUNT(IF((DiscreteStatsTable[GroupByKey]=DiscreteStatsTable[[#This Row],[GroupByKey]]),(DiscreteStatsTable[GroupByKey]=DiscreteStatsTable[[#This Row],[GroupByKey]])*DiscreteStatsTable[Replication]))</f>
        <v>10</v>
      </c>
      <c r="Y216">
        <f>IF(DiscreteStatsTable[[#This Row],[RepsRequested]]=DiscreteStatsTable[[#This Row],[RepsWithStatObserved]],1,0)</f>
        <v>1</v>
      </c>
    </row>
    <row r="217" spans="1:25" x14ac:dyDescent="0.25">
      <c r="A217" t="s">
        <v>67</v>
      </c>
      <c r="B217" t="s">
        <v>243</v>
      </c>
      <c r="C217">
        <v>8</v>
      </c>
      <c r="D217" t="s">
        <v>93</v>
      </c>
      <c r="E217" t="s">
        <v>89</v>
      </c>
      <c r="F217" t="s">
        <v>87</v>
      </c>
      <c r="G217">
        <v>7.00765137864785</v>
      </c>
      <c r="H217">
        <v>2.66720791141822E-2</v>
      </c>
      <c r="I217">
        <v>2.8335125480080001</v>
      </c>
      <c r="J217">
        <v>10.863010188913901</v>
      </c>
      <c r="K217">
        <v>8231</v>
      </c>
      <c r="L217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217" cm="1">
        <f t="array" ref="M217">MAX(IF((ProjectInfoTable[ProjectName]=DiscreteStatsTable[[#This Row],[ProjectName]]),(ProjectInfoTable[ProjectName]=DiscreteStatsTable[[#This Row],[ProjectName]])*ProjectInfoTable[NumberOfReplications]))</f>
        <v>10</v>
      </c>
      <c r="N217" cm="1">
        <f t="array" ref="N217">IFERROR(AVERAGE(IF((DiscreteStatsTable[GroupByKey]=DiscreteStatsTable[[#This Row],[GroupByKey]]),(DiscreteStatsTable[GroupByKey]=DiscreteStatsTable[[#This Row],[GroupByKey]])*DiscreteStatsTable[Average])),0)</f>
        <v>7.0015599616752224</v>
      </c>
      <c r="O217" cm="1">
        <f t="array" ref="O217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17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17" cm="1">
        <f t="array" ref="R217">MIN(IF((DiscreteStatsTable[GroupByKey]=DiscreteStatsTable[[#This Row],[GroupByKey]]),(DiscreteStatsTable[GroupByKey]=DiscreteStatsTable[[#This Row],[GroupByKey]])*DiscreteStatsTable[Average]))</f>
        <v>6.9908521057960602</v>
      </c>
      <c r="S217" cm="1">
        <f t="array" ref="S217">MAX(IF((DiscreteStatsTable[GroupByKey]=DiscreteStatsTable[[#This Row],[GroupByKey]]),(DiscreteStatsTable[GroupByKey]=DiscreteStatsTable[[#This Row],[GroupByKey]])*DiscreteStatsTable[Average]))</f>
        <v>7.0099221857515897</v>
      </c>
      <c r="T217" cm="1">
        <f t="array" ref="T217">MIN(IF((DiscreteStatsTable[GroupByKey]=DiscreteStatsTable[[#This Row],[GroupByKey]]),(DiscreteStatsTable[GroupByKey]=DiscreteStatsTable[[#This Row],[GroupByKey]])*DiscreteStatsTable[Minimum]))</f>
        <v>2.78570367523935</v>
      </c>
      <c r="U217" cm="1">
        <f t="array" ref="U217">MAX(IF((DiscreteStatsTable[GroupByKey]=DiscreteStatsTable[[#This Row],[GroupByKey]]),(DiscreteStatsTable[GroupByKey]=DiscreteStatsTable[[#This Row],[GroupByKey]])*DiscreteStatsTable[Maximum]))</f>
        <v>11.702881005418</v>
      </c>
      <c r="V217" cm="1">
        <f t="array" ref="V217">IFERROR(AVERAGE(IF((DiscreteStatsTable[GroupByKey]=DiscreteStatsTable[[#This Row],[GroupByKey]]),(DiscreteStatsTable[GroupByKey]=DiscreteStatsTable[[#This Row],[GroupByKey]])*DiscreteStatsTable[NumberObservations])),0)</f>
        <v>8235</v>
      </c>
      <c r="W217">
        <f>IF((DiscreteStatsTable[[#This Row],[RepsRequested]]&gt;1),DiscreteStatsTable[[#This Row],[HalfWidth]],DiscreteStatsTable[[#This Row],[BatchMeansHalfWidth]])</f>
        <v>4.5209112709374685E-3</v>
      </c>
      <c r="X217" cm="1">
        <f t="array" ref="X217">COUNT(IF((DiscreteStatsTable[GroupByKey]=DiscreteStatsTable[[#This Row],[GroupByKey]]),(DiscreteStatsTable[GroupByKey]=DiscreteStatsTable[[#This Row],[GroupByKey]])*DiscreteStatsTable[Replication]))</f>
        <v>10</v>
      </c>
      <c r="Y217">
        <f>IF(DiscreteStatsTable[[#This Row],[RepsRequested]]=DiscreteStatsTable[[#This Row],[RepsWithStatObserved]],1,0)</f>
        <v>1</v>
      </c>
    </row>
    <row r="218" spans="1:25" x14ac:dyDescent="0.25">
      <c r="A218" t="s">
        <v>67</v>
      </c>
      <c r="B218" t="s">
        <v>243</v>
      </c>
      <c r="C218">
        <v>9</v>
      </c>
      <c r="D218" t="s">
        <v>93</v>
      </c>
      <c r="E218" t="s">
        <v>88</v>
      </c>
      <c r="F218" t="s">
        <v>87</v>
      </c>
      <c r="G218">
        <v>6.9929845350074498</v>
      </c>
      <c r="H218">
        <v>2.0444375733438699E-2</v>
      </c>
      <c r="I218">
        <v>3.5416354919652799</v>
      </c>
      <c r="J218">
        <v>10.816251848235</v>
      </c>
      <c r="K218">
        <v>8234</v>
      </c>
      <c r="L218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218" cm="1">
        <f t="array" ref="M218">MAX(IF((ProjectInfoTable[ProjectName]=DiscreteStatsTable[[#This Row],[ProjectName]]),(ProjectInfoTable[ProjectName]=DiscreteStatsTable[[#This Row],[ProjectName]])*ProjectInfoTable[NumberOfReplications]))</f>
        <v>10</v>
      </c>
      <c r="N218" cm="1">
        <f t="array" ref="N218">IFERROR(AVERAGE(IF((DiscreteStatsTable[GroupByKey]=DiscreteStatsTable[[#This Row],[GroupByKey]]),(DiscreteStatsTable[GroupByKey]=DiscreteStatsTable[[#This Row],[GroupByKey]])*DiscreteStatsTable[Average])),0)</f>
        <v>7.0015599616752224</v>
      </c>
      <c r="O218" cm="1">
        <f t="array" ref="O218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18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18" cm="1">
        <f t="array" ref="R218">MIN(IF((DiscreteStatsTable[GroupByKey]=DiscreteStatsTable[[#This Row],[GroupByKey]]),(DiscreteStatsTable[GroupByKey]=DiscreteStatsTable[[#This Row],[GroupByKey]])*DiscreteStatsTable[Average]))</f>
        <v>6.9908521057960602</v>
      </c>
      <c r="S218" cm="1">
        <f t="array" ref="S218">MAX(IF((DiscreteStatsTable[GroupByKey]=DiscreteStatsTable[[#This Row],[GroupByKey]]),(DiscreteStatsTable[GroupByKey]=DiscreteStatsTable[[#This Row],[GroupByKey]])*DiscreteStatsTable[Average]))</f>
        <v>7.0099221857515897</v>
      </c>
      <c r="T218" cm="1">
        <f t="array" ref="T218">MIN(IF((DiscreteStatsTable[GroupByKey]=DiscreteStatsTable[[#This Row],[GroupByKey]]),(DiscreteStatsTable[GroupByKey]=DiscreteStatsTable[[#This Row],[GroupByKey]])*DiscreteStatsTable[Minimum]))</f>
        <v>2.78570367523935</v>
      </c>
      <c r="U218" cm="1">
        <f t="array" ref="U218">MAX(IF((DiscreteStatsTable[GroupByKey]=DiscreteStatsTable[[#This Row],[GroupByKey]]),(DiscreteStatsTable[GroupByKey]=DiscreteStatsTable[[#This Row],[GroupByKey]])*DiscreteStatsTable[Maximum]))</f>
        <v>11.702881005418</v>
      </c>
      <c r="V218" cm="1">
        <f t="array" ref="V218">IFERROR(AVERAGE(IF((DiscreteStatsTable[GroupByKey]=DiscreteStatsTable[[#This Row],[GroupByKey]]),(DiscreteStatsTable[GroupByKey]=DiscreteStatsTable[[#This Row],[GroupByKey]])*DiscreteStatsTable[NumberObservations])),0)</f>
        <v>8235</v>
      </c>
      <c r="W218">
        <f>IF((DiscreteStatsTable[[#This Row],[RepsRequested]]&gt;1),DiscreteStatsTable[[#This Row],[HalfWidth]],DiscreteStatsTable[[#This Row],[BatchMeansHalfWidth]])</f>
        <v>4.5209112709374685E-3</v>
      </c>
      <c r="X218" cm="1">
        <f t="array" ref="X218">COUNT(IF((DiscreteStatsTable[GroupByKey]=DiscreteStatsTable[[#This Row],[GroupByKey]]),(DiscreteStatsTable[GroupByKey]=DiscreteStatsTable[[#This Row],[GroupByKey]])*DiscreteStatsTable[Replication]))</f>
        <v>10</v>
      </c>
      <c r="Y218">
        <f>IF(DiscreteStatsTable[[#This Row],[RepsRequested]]=DiscreteStatsTable[[#This Row],[RepsWithStatObserved]],1,0)</f>
        <v>1</v>
      </c>
    </row>
    <row r="219" spans="1:25" x14ac:dyDescent="0.25">
      <c r="A219" t="s">
        <v>67</v>
      </c>
      <c r="B219" t="s">
        <v>243</v>
      </c>
      <c r="C219">
        <v>9</v>
      </c>
      <c r="D219" t="s">
        <v>93</v>
      </c>
      <c r="E219" t="s">
        <v>89</v>
      </c>
      <c r="F219" t="s">
        <v>87</v>
      </c>
      <c r="G219">
        <v>6.9929845350074498</v>
      </c>
      <c r="H219">
        <v>2.0444375733438699E-2</v>
      </c>
      <c r="I219">
        <v>3.5416354919652799</v>
      </c>
      <c r="J219">
        <v>10.816251848235</v>
      </c>
      <c r="K219">
        <v>8234</v>
      </c>
      <c r="L219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219" cm="1">
        <f t="array" ref="M219">MAX(IF((ProjectInfoTable[ProjectName]=DiscreteStatsTable[[#This Row],[ProjectName]]),(ProjectInfoTable[ProjectName]=DiscreteStatsTable[[#This Row],[ProjectName]])*ProjectInfoTable[NumberOfReplications]))</f>
        <v>10</v>
      </c>
      <c r="N219" cm="1">
        <f t="array" ref="N219">IFERROR(AVERAGE(IF((DiscreteStatsTable[GroupByKey]=DiscreteStatsTable[[#This Row],[GroupByKey]]),(DiscreteStatsTable[GroupByKey]=DiscreteStatsTable[[#This Row],[GroupByKey]])*DiscreteStatsTable[Average])),0)</f>
        <v>7.0015599616752224</v>
      </c>
      <c r="O219" cm="1">
        <f t="array" ref="O219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19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19" cm="1">
        <f t="array" ref="R219">MIN(IF((DiscreteStatsTable[GroupByKey]=DiscreteStatsTable[[#This Row],[GroupByKey]]),(DiscreteStatsTable[GroupByKey]=DiscreteStatsTable[[#This Row],[GroupByKey]])*DiscreteStatsTable[Average]))</f>
        <v>6.9908521057960602</v>
      </c>
      <c r="S219" cm="1">
        <f t="array" ref="S219">MAX(IF((DiscreteStatsTable[GroupByKey]=DiscreteStatsTable[[#This Row],[GroupByKey]]),(DiscreteStatsTable[GroupByKey]=DiscreteStatsTable[[#This Row],[GroupByKey]])*DiscreteStatsTable[Average]))</f>
        <v>7.0099221857515897</v>
      </c>
      <c r="T219" cm="1">
        <f t="array" ref="T219">MIN(IF((DiscreteStatsTable[GroupByKey]=DiscreteStatsTable[[#This Row],[GroupByKey]]),(DiscreteStatsTable[GroupByKey]=DiscreteStatsTable[[#This Row],[GroupByKey]])*DiscreteStatsTable[Minimum]))</f>
        <v>2.78570367523935</v>
      </c>
      <c r="U219" cm="1">
        <f t="array" ref="U219">MAX(IF((DiscreteStatsTable[GroupByKey]=DiscreteStatsTable[[#This Row],[GroupByKey]]),(DiscreteStatsTable[GroupByKey]=DiscreteStatsTable[[#This Row],[GroupByKey]])*DiscreteStatsTable[Maximum]))</f>
        <v>11.702881005418</v>
      </c>
      <c r="V219" cm="1">
        <f t="array" ref="V219">IFERROR(AVERAGE(IF((DiscreteStatsTable[GroupByKey]=DiscreteStatsTable[[#This Row],[GroupByKey]]),(DiscreteStatsTable[GroupByKey]=DiscreteStatsTable[[#This Row],[GroupByKey]])*DiscreteStatsTable[NumberObservations])),0)</f>
        <v>8235</v>
      </c>
      <c r="W219">
        <f>IF((DiscreteStatsTable[[#This Row],[RepsRequested]]&gt;1),DiscreteStatsTable[[#This Row],[HalfWidth]],DiscreteStatsTable[[#This Row],[BatchMeansHalfWidth]])</f>
        <v>4.5209112709374685E-3</v>
      </c>
      <c r="X219" cm="1">
        <f t="array" ref="X219">COUNT(IF((DiscreteStatsTable[GroupByKey]=DiscreteStatsTable[[#This Row],[GroupByKey]]),(DiscreteStatsTable[GroupByKey]=DiscreteStatsTable[[#This Row],[GroupByKey]])*DiscreteStatsTable[Replication]))</f>
        <v>10</v>
      </c>
      <c r="Y219">
        <f>IF(DiscreteStatsTable[[#This Row],[RepsRequested]]=DiscreteStatsTable[[#This Row],[RepsWithStatObserved]],1,0)</f>
        <v>1</v>
      </c>
    </row>
    <row r="220" spans="1:25" x14ac:dyDescent="0.25">
      <c r="A220" t="s">
        <v>67</v>
      </c>
      <c r="B220" t="s">
        <v>243</v>
      </c>
      <c r="C220">
        <v>10</v>
      </c>
      <c r="D220" t="s">
        <v>93</v>
      </c>
      <c r="E220" t="s">
        <v>88</v>
      </c>
      <c r="F220" t="s">
        <v>87</v>
      </c>
      <c r="G220">
        <v>7.0033681801754497</v>
      </c>
      <c r="H220">
        <v>2.1035639257415299E-2</v>
      </c>
      <c r="I220">
        <v>3.3750740627292499</v>
      </c>
      <c r="J220">
        <v>10.7966226699064</v>
      </c>
      <c r="K220">
        <v>8234</v>
      </c>
      <c r="L220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220" cm="1">
        <f t="array" ref="M220">MAX(IF((ProjectInfoTable[ProjectName]=DiscreteStatsTable[[#This Row],[ProjectName]]),(ProjectInfoTable[ProjectName]=DiscreteStatsTable[[#This Row],[ProjectName]])*ProjectInfoTable[NumberOfReplications]))</f>
        <v>10</v>
      </c>
      <c r="N220" cm="1">
        <f t="array" ref="N220">IFERROR(AVERAGE(IF((DiscreteStatsTable[GroupByKey]=DiscreteStatsTable[[#This Row],[GroupByKey]]),(DiscreteStatsTable[GroupByKey]=DiscreteStatsTable[[#This Row],[GroupByKey]])*DiscreteStatsTable[Average])),0)</f>
        <v>7.0015599616752224</v>
      </c>
      <c r="O220" cm="1">
        <f t="array" ref="O220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20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20" cm="1">
        <f t="array" ref="R220">MIN(IF((DiscreteStatsTable[GroupByKey]=DiscreteStatsTable[[#This Row],[GroupByKey]]),(DiscreteStatsTable[GroupByKey]=DiscreteStatsTable[[#This Row],[GroupByKey]])*DiscreteStatsTable[Average]))</f>
        <v>6.9908521057960602</v>
      </c>
      <c r="S220" cm="1">
        <f t="array" ref="S220">MAX(IF((DiscreteStatsTable[GroupByKey]=DiscreteStatsTable[[#This Row],[GroupByKey]]),(DiscreteStatsTable[GroupByKey]=DiscreteStatsTable[[#This Row],[GroupByKey]])*DiscreteStatsTable[Average]))</f>
        <v>7.0099221857515897</v>
      </c>
      <c r="T220" cm="1">
        <f t="array" ref="T220">MIN(IF((DiscreteStatsTable[GroupByKey]=DiscreteStatsTable[[#This Row],[GroupByKey]]),(DiscreteStatsTable[GroupByKey]=DiscreteStatsTable[[#This Row],[GroupByKey]])*DiscreteStatsTable[Minimum]))</f>
        <v>2.78570367523935</v>
      </c>
      <c r="U220" cm="1">
        <f t="array" ref="U220">MAX(IF((DiscreteStatsTable[GroupByKey]=DiscreteStatsTable[[#This Row],[GroupByKey]]),(DiscreteStatsTable[GroupByKey]=DiscreteStatsTable[[#This Row],[GroupByKey]])*DiscreteStatsTable[Maximum]))</f>
        <v>11.702881005418</v>
      </c>
      <c r="V220" cm="1">
        <f t="array" ref="V220">IFERROR(AVERAGE(IF((DiscreteStatsTable[GroupByKey]=DiscreteStatsTable[[#This Row],[GroupByKey]]),(DiscreteStatsTable[GroupByKey]=DiscreteStatsTable[[#This Row],[GroupByKey]])*DiscreteStatsTable[NumberObservations])),0)</f>
        <v>8235</v>
      </c>
      <c r="W220">
        <f>IF((DiscreteStatsTable[[#This Row],[RepsRequested]]&gt;1),DiscreteStatsTable[[#This Row],[HalfWidth]],DiscreteStatsTable[[#This Row],[BatchMeansHalfWidth]])</f>
        <v>4.5209112709374685E-3</v>
      </c>
      <c r="X220" cm="1">
        <f t="array" ref="X220">COUNT(IF((DiscreteStatsTable[GroupByKey]=DiscreteStatsTable[[#This Row],[GroupByKey]]),(DiscreteStatsTable[GroupByKey]=DiscreteStatsTable[[#This Row],[GroupByKey]])*DiscreteStatsTable[Replication]))</f>
        <v>10</v>
      </c>
      <c r="Y220">
        <f>IF(DiscreteStatsTable[[#This Row],[RepsRequested]]=DiscreteStatsTable[[#This Row],[RepsWithStatObserved]],1,0)</f>
        <v>1</v>
      </c>
    </row>
    <row r="221" spans="1:25" x14ac:dyDescent="0.25">
      <c r="A221" t="s">
        <v>67</v>
      </c>
      <c r="B221" t="s">
        <v>243</v>
      </c>
      <c r="C221">
        <v>10</v>
      </c>
      <c r="D221" t="s">
        <v>93</v>
      </c>
      <c r="E221" t="s">
        <v>89</v>
      </c>
      <c r="F221" t="s">
        <v>87</v>
      </c>
      <c r="G221">
        <v>7.0033681801754497</v>
      </c>
      <c r="H221">
        <v>2.1035639257415299E-2</v>
      </c>
      <c r="I221">
        <v>3.3750740627292499</v>
      </c>
      <c r="J221">
        <v>10.7966226699064</v>
      </c>
      <c r="K221">
        <v>8234</v>
      </c>
      <c r="L221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221" cm="1">
        <f t="array" ref="M221">MAX(IF((ProjectInfoTable[ProjectName]=DiscreteStatsTable[[#This Row],[ProjectName]]),(ProjectInfoTable[ProjectName]=DiscreteStatsTable[[#This Row],[ProjectName]])*ProjectInfoTable[NumberOfReplications]))</f>
        <v>10</v>
      </c>
      <c r="N221" cm="1">
        <f t="array" ref="N221">IFERROR(AVERAGE(IF((DiscreteStatsTable[GroupByKey]=DiscreteStatsTable[[#This Row],[GroupByKey]]),(DiscreteStatsTable[GroupByKey]=DiscreteStatsTable[[#This Row],[GroupByKey]])*DiscreteStatsTable[Average])),0)</f>
        <v>7.0015599616752224</v>
      </c>
      <c r="O221" cm="1">
        <f t="array" ref="O221">IFERROR(_xlfn.STDEV.S(IF((DiscreteStatsTable[GroupByKey]=DiscreteStatsTable[[#This Row],[GroupByKey]]),(DiscreteStatsTable[GroupByKey]=DiscreteStatsTable[[#This Row],[GroupByKey]])*DiscreteStatsTable[Average])),0)</f>
        <v>6.3197981779501569E-3</v>
      </c>
      <c r="P221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4.5209112709374685E-3</v>
      </c>
      <c r="R221" cm="1">
        <f t="array" ref="R221">MIN(IF((DiscreteStatsTable[GroupByKey]=DiscreteStatsTable[[#This Row],[GroupByKey]]),(DiscreteStatsTable[GroupByKey]=DiscreteStatsTable[[#This Row],[GroupByKey]])*DiscreteStatsTable[Average]))</f>
        <v>6.9908521057960602</v>
      </c>
      <c r="S221" cm="1">
        <f t="array" ref="S221">MAX(IF((DiscreteStatsTable[GroupByKey]=DiscreteStatsTable[[#This Row],[GroupByKey]]),(DiscreteStatsTable[GroupByKey]=DiscreteStatsTable[[#This Row],[GroupByKey]])*DiscreteStatsTable[Average]))</f>
        <v>7.0099221857515897</v>
      </c>
      <c r="T221" cm="1">
        <f t="array" ref="T221">MIN(IF((DiscreteStatsTable[GroupByKey]=DiscreteStatsTable[[#This Row],[GroupByKey]]),(DiscreteStatsTable[GroupByKey]=DiscreteStatsTable[[#This Row],[GroupByKey]])*DiscreteStatsTable[Minimum]))</f>
        <v>2.78570367523935</v>
      </c>
      <c r="U221" cm="1">
        <f t="array" ref="U221">MAX(IF((DiscreteStatsTable[GroupByKey]=DiscreteStatsTable[[#This Row],[GroupByKey]]),(DiscreteStatsTable[GroupByKey]=DiscreteStatsTable[[#This Row],[GroupByKey]])*DiscreteStatsTable[Maximum]))</f>
        <v>11.702881005418</v>
      </c>
      <c r="V221" cm="1">
        <f t="array" ref="V221">IFERROR(AVERAGE(IF((DiscreteStatsTable[GroupByKey]=DiscreteStatsTable[[#This Row],[GroupByKey]]),(DiscreteStatsTable[GroupByKey]=DiscreteStatsTable[[#This Row],[GroupByKey]])*DiscreteStatsTable[NumberObservations])),0)</f>
        <v>8235</v>
      </c>
      <c r="W221">
        <f>IF((DiscreteStatsTable[[#This Row],[RepsRequested]]&gt;1),DiscreteStatsTable[[#This Row],[HalfWidth]],DiscreteStatsTable[[#This Row],[BatchMeansHalfWidth]])</f>
        <v>4.5209112709374685E-3</v>
      </c>
      <c r="X221" cm="1">
        <f t="array" ref="X221">COUNT(IF((DiscreteStatsTable[GroupByKey]=DiscreteStatsTable[[#This Row],[GroupByKey]]),(DiscreteStatsTable[GroupByKey]=DiscreteStatsTable[[#This Row],[GroupByKey]])*DiscreteStatsTable[Replication]))</f>
        <v>10</v>
      </c>
      <c r="Y221">
        <f>IF(DiscreteStatsTable[[#This Row],[RepsRequested]]=DiscreteStatsTable[[#This Row],[RepsWithStatObserved]],1,0)</f>
        <v>1</v>
      </c>
    </row>
    <row r="222" spans="1:25" x14ac:dyDescent="0.25">
      <c r="A222" t="s">
        <v>67</v>
      </c>
      <c r="B222" t="s">
        <v>243</v>
      </c>
      <c r="C222">
        <v>1</v>
      </c>
      <c r="D222" t="s">
        <v>94</v>
      </c>
      <c r="E222" t="s">
        <v>88</v>
      </c>
      <c r="F222" t="s">
        <v>87</v>
      </c>
      <c r="G222">
        <v>9.9923597204088495</v>
      </c>
      <c r="H222">
        <v>1.8244410476117499E-2</v>
      </c>
      <c r="I222">
        <v>8.0246520843356901</v>
      </c>
      <c r="J222">
        <v>11.9866256384412</v>
      </c>
      <c r="K222">
        <v>8235</v>
      </c>
      <c r="L222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222" cm="1">
        <f t="array" ref="M222">MAX(IF((ProjectInfoTable[ProjectName]=DiscreteStatsTable[[#This Row],[ProjectName]]),(ProjectInfoTable[ProjectName]=DiscreteStatsTable[[#This Row],[ProjectName]])*ProjectInfoTable[NumberOfReplications]))</f>
        <v>10</v>
      </c>
      <c r="N222" cm="1">
        <f t="array" ref="N222">IFERROR(AVERAGE(IF((DiscreteStatsTable[GroupByKey]=DiscreteStatsTable[[#This Row],[GroupByKey]]),(DiscreteStatsTable[GroupByKey]=DiscreteStatsTable[[#This Row],[GroupByKey]])*DiscreteStatsTable[Average])),0)</f>
        <v>10.002421211701932</v>
      </c>
      <c r="O222" cm="1">
        <f t="array" ref="O222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22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22" cm="1">
        <f t="array" ref="R222">MIN(IF((DiscreteStatsTable[GroupByKey]=DiscreteStatsTable[[#This Row],[GroupByKey]]),(DiscreteStatsTable[GroupByKey]=DiscreteStatsTable[[#This Row],[GroupByKey]])*DiscreteStatsTable[Average]))</f>
        <v>9.9911380352607004</v>
      </c>
      <c r="S222" cm="1">
        <f t="array" ref="S222">MAX(IF((DiscreteStatsTable[GroupByKey]=DiscreteStatsTable[[#This Row],[GroupByKey]]),(DiscreteStatsTable[GroupByKey]=DiscreteStatsTable[[#This Row],[GroupByKey]])*DiscreteStatsTable[Average]))</f>
        <v>10.011974603825999</v>
      </c>
      <c r="T222" cm="1">
        <f t="array" ref="T222">MIN(IF((DiscreteStatsTable[GroupByKey]=DiscreteStatsTable[[#This Row],[GroupByKey]]),(DiscreteStatsTable[GroupByKey]=DiscreteStatsTable[[#This Row],[GroupByKey]])*DiscreteStatsTable[Minimum]))</f>
        <v>8.0092385134193993</v>
      </c>
      <c r="U222" cm="1">
        <f t="array" ref="U222">MAX(IF((DiscreteStatsTable[GroupByKey]=DiscreteStatsTable[[#This Row],[GroupByKey]]),(DiscreteStatsTable[GroupByKey]=DiscreteStatsTable[[#This Row],[GroupByKey]])*DiscreteStatsTable[Maximum]))</f>
        <v>11.9866256384412</v>
      </c>
      <c r="V222" cm="1">
        <f t="array" ref="V222">IFERROR(AVERAGE(IF((DiscreteStatsTable[GroupByKey]=DiscreteStatsTable[[#This Row],[GroupByKey]]),(DiscreteStatsTable[GroupByKey]=DiscreteStatsTable[[#This Row],[GroupByKey]])*DiscreteStatsTable[NumberObservations])),0)</f>
        <v>8233.5</v>
      </c>
      <c r="W222">
        <f>IF((DiscreteStatsTable[[#This Row],[RepsRequested]]&gt;1),DiscreteStatsTable[[#This Row],[HalfWidth]],DiscreteStatsTable[[#This Row],[BatchMeansHalfWidth]])</f>
        <v>4.8265450428722455E-3</v>
      </c>
      <c r="X222" cm="1">
        <f t="array" ref="X222">COUNT(IF((DiscreteStatsTable[GroupByKey]=DiscreteStatsTable[[#This Row],[GroupByKey]]),(DiscreteStatsTable[GroupByKey]=DiscreteStatsTable[[#This Row],[GroupByKey]])*DiscreteStatsTable[Replication]))</f>
        <v>10</v>
      </c>
      <c r="Y222">
        <f>IF(DiscreteStatsTable[[#This Row],[RepsRequested]]=DiscreteStatsTable[[#This Row],[RepsWithStatObserved]],1,0)</f>
        <v>1</v>
      </c>
    </row>
    <row r="223" spans="1:25" x14ac:dyDescent="0.25">
      <c r="A223" t="s">
        <v>67</v>
      </c>
      <c r="B223" t="s">
        <v>243</v>
      </c>
      <c r="C223">
        <v>1</v>
      </c>
      <c r="D223" t="s">
        <v>94</v>
      </c>
      <c r="E223" t="s">
        <v>89</v>
      </c>
      <c r="F223" t="s">
        <v>87</v>
      </c>
      <c r="G223">
        <v>9.9923597204088495</v>
      </c>
      <c r="H223">
        <v>1.8244410476117499E-2</v>
      </c>
      <c r="I223">
        <v>8.0246520843356901</v>
      </c>
      <c r="J223">
        <v>11.9866256384412</v>
      </c>
      <c r="K223">
        <v>8235</v>
      </c>
      <c r="L223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223" cm="1">
        <f t="array" ref="M223">MAX(IF((ProjectInfoTable[ProjectName]=DiscreteStatsTable[[#This Row],[ProjectName]]),(ProjectInfoTable[ProjectName]=DiscreteStatsTable[[#This Row],[ProjectName]])*ProjectInfoTable[NumberOfReplications]))</f>
        <v>10</v>
      </c>
      <c r="N223" cm="1">
        <f t="array" ref="N223">IFERROR(AVERAGE(IF((DiscreteStatsTable[GroupByKey]=DiscreteStatsTable[[#This Row],[GroupByKey]]),(DiscreteStatsTable[GroupByKey]=DiscreteStatsTable[[#This Row],[GroupByKey]])*DiscreteStatsTable[Average])),0)</f>
        <v>10.002421211701932</v>
      </c>
      <c r="O223" cm="1">
        <f t="array" ref="O223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23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23" cm="1">
        <f t="array" ref="R223">MIN(IF((DiscreteStatsTable[GroupByKey]=DiscreteStatsTable[[#This Row],[GroupByKey]]),(DiscreteStatsTable[GroupByKey]=DiscreteStatsTable[[#This Row],[GroupByKey]])*DiscreteStatsTable[Average]))</f>
        <v>9.9911380352607004</v>
      </c>
      <c r="S223" cm="1">
        <f t="array" ref="S223">MAX(IF((DiscreteStatsTable[GroupByKey]=DiscreteStatsTable[[#This Row],[GroupByKey]]),(DiscreteStatsTable[GroupByKey]=DiscreteStatsTable[[#This Row],[GroupByKey]])*DiscreteStatsTable[Average]))</f>
        <v>10.011974603825999</v>
      </c>
      <c r="T223" cm="1">
        <f t="array" ref="T223">MIN(IF((DiscreteStatsTable[GroupByKey]=DiscreteStatsTable[[#This Row],[GroupByKey]]),(DiscreteStatsTable[GroupByKey]=DiscreteStatsTable[[#This Row],[GroupByKey]])*DiscreteStatsTable[Minimum]))</f>
        <v>8.0092385134193993</v>
      </c>
      <c r="U223" cm="1">
        <f t="array" ref="U223">MAX(IF((DiscreteStatsTable[GroupByKey]=DiscreteStatsTable[[#This Row],[GroupByKey]]),(DiscreteStatsTable[GroupByKey]=DiscreteStatsTable[[#This Row],[GroupByKey]])*DiscreteStatsTable[Maximum]))</f>
        <v>11.9866256384412</v>
      </c>
      <c r="V223" cm="1">
        <f t="array" ref="V223">IFERROR(AVERAGE(IF((DiscreteStatsTable[GroupByKey]=DiscreteStatsTable[[#This Row],[GroupByKey]]),(DiscreteStatsTable[GroupByKey]=DiscreteStatsTable[[#This Row],[GroupByKey]])*DiscreteStatsTable[NumberObservations])),0)</f>
        <v>8233.5</v>
      </c>
      <c r="W223">
        <f>IF((DiscreteStatsTable[[#This Row],[RepsRequested]]&gt;1),DiscreteStatsTable[[#This Row],[HalfWidth]],DiscreteStatsTable[[#This Row],[BatchMeansHalfWidth]])</f>
        <v>4.8265450428722455E-3</v>
      </c>
      <c r="X223" cm="1">
        <f t="array" ref="X223">COUNT(IF((DiscreteStatsTable[GroupByKey]=DiscreteStatsTable[[#This Row],[GroupByKey]]),(DiscreteStatsTable[GroupByKey]=DiscreteStatsTable[[#This Row],[GroupByKey]])*DiscreteStatsTable[Replication]))</f>
        <v>10</v>
      </c>
      <c r="Y223">
        <f>IF(DiscreteStatsTable[[#This Row],[RepsRequested]]=DiscreteStatsTable[[#This Row],[RepsWithStatObserved]],1,0)</f>
        <v>1</v>
      </c>
    </row>
    <row r="224" spans="1:25" x14ac:dyDescent="0.25">
      <c r="A224" t="s">
        <v>67</v>
      </c>
      <c r="B224" t="s">
        <v>243</v>
      </c>
      <c r="C224">
        <v>2</v>
      </c>
      <c r="D224" t="s">
        <v>94</v>
      </c>
      <c r="E224" t="s">
        <v>88</v>
      </c>
      <c r="F224" t="s">
        <v>87</v>
      </c>
      <c r="G224">
        <v>10.005902018784001</v>
      </c>
      <c r="H224">
        <v>1.6168599732271399E-2</v>
      </c>
      <c r="I224">
        <v>8.0140220221364906</v>
      </c>
      <c r="J224">
        <v>11.9815665739588</v>
      </c>
      <c r="K224">
        <v>8230</v>
      </c>
      <c r="L224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224" cm="1">
        <f t="array" ref="M224">MAX(IF((ProjectInfoTable[ProjectName]=DiscreteStatsTable[[#This Row],[ProjectName]]),(ProjectInfoTable[ProjectName]=DiscreteStatsTable[[#This Row],[ProjectName]])*ProjectInfoTable[NumberOfReplications]))</f>
        <v>10</v>
      </c>
      <c r="N224" cm="1">
        <f t="array" ref="N224">IFERROR(AVERAGE(IF((DiscreteStatsTable[GroupByKey]=DiscreteStatsTable[[#This Row],[GroupByKey]]),(DiscreteStatsTable[GroupByKey]=DiscreteStatsTable[[#This Row],[GroupByKey]])*DiscreteStatsTable[Average])),0)</f>
        <v>10.002421211701932</v>
      </c>
      <c r="O224" cm="1">
        <f t="array" ref="O224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24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24" cm="1">
        <f t="array" ref="R224">MIN(IF((DiscreteStatsTable[GroupByKey]=DiscreteStatsTable[[#This Row],[GroupByKey]]),(DiscreteStatsTable[GroupByKey]=DiscreteStatsTable[[#This Row],[GroupByKey]])*DiscreteStatsTable[Average]))</f>
        <v>9.9911380352607004</v>
      </c>
      <c r="S224" cm="1">
        <f t="array" ref="S224">MAX(IF((DiscreteStatsTable[GroupByKey]=DiscreteStatsTable[[#This Row],[GroupByKey]]),(DiscreteStatsTable[GroupByKey]=DiscreteStatsTable[[#This Row],[GroupByKey]])*DiscreteStatsTable[Average]))</f>
        <v>10.011974603825999</v>
      </c>
      <c r="T224" cm="1">
        <f t="array" ref="T224">MIN(IF((DiscreteStatsTable[GroupByKey]=DiscreteStatsTable[[#This Row],[GroupByKey]]),(DiscreteStatsTable[GroupByKey]=DiscreteStatsTable[[#This Row],[GroupByKey]])*DiscreteStatsTable[Minimum]))</f>
        <v>8.0092385134193993</v>
      </c>
      <c r="U224" cm="1">
        <f t="array" ref="U224">MAX(IF((DiscreteStatsTable[GroupByKey]=DiscreteStatsTable[[#This Row],[GroupByKey]]),(DiscreteStatsTable[GroupByKey]=DiscreteStatsTable[[#This Row],[GroupByKey]])*DiscreteStatsTable[Maximum]))</f>
        <v>11.9866256384412</v>
      </c>
      <c r="V224" cm="1">
        <f t="array" ref="V224">IFERROR(AVERAGE(IF((DiscreteStatsTable[GroupByKey]=DiscreteStatsTable[[#This Row],[GroupByKey]]),(DiscreteStatsTable[GroupByKey]=DiscreteStatsTable[[#This Row],[GroupByKey]])*DiscreteStatsTable[NumberObservations])),0)</f>
        <v>8233.5</v>
      </c>
      <c r="W224">
        <f>IF((DiscreteStatsTable[[#This Row],[RepsRequested]]&gt;1),DiscreteStatsTable[[#This Row],[HalfWidth]],DiscreteStatsTable[[#This Row],[BatchMeansHalfWidth]])</f>
        <v>4.8265450428722455E-3</v>
      </c>
      <c r="X224" cm="1">
        <f t="array" ref="X224">COUNT(IF((DiscreteStatsTable[GroupByKey]=DiscreteStatsTable[[#This Row],[GroupByKey]]),(DiscreteStatsTable[GroupByKey]=DiscreteStatsTable[[#This Row],[GroupByKey]])*DiscreteStatsTable[Replication]))</f>
        <v>10</v>
      </c>
      <c r="Y224">
        <f>IF(DiscreteStatsTable[[#This Row],[RepsRequested]]=DiscreteStatsTable[[#This Row],[RepsWithStatObserved]],1,0)</f>
        <v>1</v>
      </c>
    </row>
    <row r="225" spans="1:25" x14ac:dyDescent="0.25">
      <c r="A225" t="s">
        <v>67</v>
      </c>
      <c r="B225" t="s">
        <v>243</v>
      </c>
      <c r="C225">
        <v>2</v>
      </c>
      <c r="D225" t="s">
        <v>94</v>
      </c>
      <c r="E225" t="s">
        <v>89</v>
      </c>
      <c r="F225" t="s">
        <v>87</v>
      </c>
      <c r="G225">
        <v>10.005902018784001</v>
      </c>
      <c r="H225">
        <v>1.6168599732271399E-2</v>
      </c>
      <c r="I225">
        <v>8.0140220221364906</v>
      </c>
      <c r="J225">
        <v>11.9815665739588</v>
      </c>
      <c r="K225">
        <v>8230</v>
      </c>
      <c r="L225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225" cm="1">
        <f t="array" ref="M225">MAX(IF((ProjectInfoTable[ProjectName]=DiscreteStatsTable[[#This Row],[ProjectName]]),(ProjectInfoTable[ProjectName]=DiscreteStatsTable[[#This Row],[ProjectName]])*ProjectInfoTable[NumberOfReplications]))</f>
        <v>10</v>
      </c>
      <c r="N225" cm="1">
        <f t="array" ref="N225">IFERROR(AVERAGE(IF((DiscreteStatsTable[GroupByKey]=DiscreteStatsTable[[#This Row],[GroupByKey]]),(DiscreteStatsTable[GroupByKey]=DiscreteStatsTable[[#This Row],[GroupByKey]])*DiscreteStatsTable[Average])),0)</f>
        <v>10.002421211701932</v>
      </c>
      <c r="O225" cm="1">
        <f t="array" ref="O225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2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25" cm="1">
        <f t="array" ref="R225">MIN(IF((DiscreteStatsTable[GroupByKey]=DiscreteStatsTable[[#This Row],[GroupByKey]]),(DiscreteStatsTable[GroupByKey]=DiscreteStatsTable[[#This Row],[GroupByKey]])*DiscreteStatsTable[Average]))</f>
        <v>9.9911380352607004</v>
      </c>
      <c r="S225" cm="1">
        <f t="array" ref="S225">MAX(IF((DiscreteStatsTable[GroupByKey]=DiscreteStatsTable[[#This Row],[GroupByKey]]),(DiscreteStatsTable[GroupByKey]=DiscreteStatsTable[[#This Row],[GroupByKey]])*DiscreteStatsTable[Average]))</f>
        <v>10.011974603825999</v>
      </c>
      <c r="T225" cm="1">
        <f t="array" ref="T225">MIN(IF((DiscreteStatsTable[GroupByKey]=DiscreteStatsTable[[#This Row],[GroupByKey]]),(DiscreteStatsTable[GroupByKey]=DiscreteStatsTable[[#This Row],[GroupByKey]])*DiscreteStatsTable[Minimum]))</f>
        <v>8.0092385134193993</v>
      </c>
      <c r="U225" cm="1">
        <f t="array" ref="U225">MAX(IF((DiscreteStatsTable[GroupByKey]=DiscreteStatsTable[[#This Row],[GroupByKey]]),(DiscreteStatsTable[GroupByKey]=DiscreteStatsTable[[#This Row],[GroupByKey]])*DiscreteStatsTable[Maximum]))</f>
        <v>11.9866256384412</v>
      </c>
      <c r="V225" cm="1">
        <f t="array" ref="V225">IFERROR(AVERAGE(IF((DiscreteStatsTable[GroupByKey]=DiscreteStatsTable[[#This Row],[GroupByKey]]),(DiscreteStatsTable[GroupByKey]=DiscreteStatsTable[[#This Row],[GroupByKey]])*DiscreteStatsTable[NumberObservations])),0)</f>
        <v>8233.5</v>
      </c>
      <c r="W225">
        <f>IF((DiscreteStatsTable[[#This Row],[RepsRequested]]&gt;1),DiscreteStatsTable[[#This Row],[HalfWidth]],DiscreteStatsTable[[#This Row],[BatchMeansHalfWidth]])</f>
        <v>4.8265450428722455E-3</v>
      </c>
      <c r="X225" cm="1">
        <f t="array" ref="X225">COUNT(IF((DiscreteStatsTable[GroupByKey]=DiscreteStatsTable[[#This Row],[GroupByKey]]),(DiscreteStatsTable[GroupByKey]=DiscreteStatsTable[[#This Row],[GroupByKey]])*DiscreteStatsTable[Replication]))</f>
        <v>10</v>
      </c>
      <c r="Y225">
        <f>IF(DiscreteStatsTable[[#This Row],[RepsRequested]]=DiscreteStatsTable[[#This Row],[RepsWithStatObserved]],1,0)</f>
        <v>1</v>
      </c>
    </row>
    <row r="226" spans="1:25" x14ac:dyDescent="0.25">
      <c r="A226" t="s">
        <v>67</v>
      </c>
      <c r="B226" t="s">
        <v>243</v>
      </c>
      <c r="C226">
        <v>3</v>
      </c>
      <c r="D226" t="s">
        <v>94</v>
      </c>
      <c r="E226" t="s">
        <v>88</v>
      </c>
      <c r="F226" t="s">
        <v>87</v>
      </c>
      <c r="G226">
        <v>10.0096941567353</v>
      </c>
      <c r="H226">
        <v>1.8630541680351401E-2</v>
      </c>
      <c r="I226">
        <v>8.0213524064747599</v>
      </c>
      <c r="J226">
        <v>11.9641559895827</v>
      </c>
      <c r="K226">
        <v>8243</v>
      </c>
      <c r="L226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226" cm="1">
        <f t="array" ref="M226">MAX(IF((ProjectInfoTable[ProjectName]=DiscreteStatsTable[[#This Row],[ProjectName]]),(ProjectInfoTable[ProjectName]=DiscreteStatsTable[[#This Row],[ProjectName]])*ProjectInfoTable[NumberOfReplications]))</f>
        <v>10</v>
      </c>
      <c r="N226" cm="1">
        <f t="array" ref="N226">IFERROR(AVERAGE(IF((DiscreteStatsTable[GroupByKey]=DiscreteStatsTable[[#This Row],[GroupByKey]]),(DiscreteStatsTable[GroupByKey]=DiscreteStatsTable[[#This Row],[GroupByKey]])*DiscreteStatsTable[Average])),0)</f>
        <v>10.002421211701932</v>
      </c>
      <c r="O226" cm="1">
        <f t="array" ref="O226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26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26" cm="1">
        <f t="array" ref="R226">MIN(IF((DiscreteStatsTable[GroupByKey]=DiscreteStatsTable[[#This Row],[GroupByKey]]),(DiscreteStatsTable[GroupByKey]=DiscreteStatsTable[[#This Row],[GroupByKey]])*DiscreteStatsTable[Average]))</f>
        <v>9.9911380352607004</v>
      </c>
      <c r="S226" cm="1">
        <f t="array" ref="S226">MAX(IF((DiscreteStatsTable[GroupByKey]=DiscreteStatsTable[[#This Row],[GroupByKey]]),(DiscreteStatsTable[GroupByKey]=DiscreteStatsTable[[#This Row],[GroupByKey]])*DiscreteStatsTable[Average]))</f>
        <v>10.011974603825999</v>
      </c>
      <c r="T226" cm="1">
        <f t="array" ref="T226">MIN(IF((DiscreteStatsTable[GroupByKey]=DiscreteStatsTable[[#This Row],[GroupByKey]]),(DiscreteStatsTable[GroupByKey]=DiscreteStatsTable[[#This Row],[GroupByKey]])*DiscreteStatsTable[Minimum]))</f>
        <v>8.0092385134193993</v>
      </c>
      <c r="U226" cm="1">
        <f t="array" ref="U226">MAX(IF((DiscreteStatsTable[GroupByKey]=DiscreteStatsTable[[#This Row],[GroupByKey]]),(DiscreteStatsTable[GroupByKey]=DiscreteStatsTable[[#This Row],[GroupByKey]])*DiscreteStatsTable[Maximum]))</f>
        <v>11.9866256384412</v>
      </c>
      <c r="V226" cm="1">
        <f t="array" ref="V226">IFERROR(AVERAGE(IF((DiscreteStatsTable[GroupByKey]=DiscreteStatsTable[[#This Row],[GroupByKey]]),(DiscreteStatsTable[GroupByKey]=DiscreteStatsTable[[#This Row],[GroupByKey]])*DiscreteStatsTable[NumberObservations])),0)</f>
        <v>8233.5</v>
      </c>
      <c r="W226">
        <f>IF((DiscreteStatsTable[[#This Row],[RepsRequested]]&gt;1),DiscreteStatsTable[[#This Row],[HalfWidth]],DiscreteStatsTable[[#This Row],[BatchMeansHalfWidth]])</f>
        <v>4.8265450428722455E-3</v>
      </c>
      <c r="X226" cm="1">
        <f t="array" ref="X226">COUNT(IF((DiscreteStatsTable[GroupByKey]=DiscreteStatsTable[[#This Row],[GroupByKey]]),(DiscreteStatsTable[GroupByKey]=DiscreteStatsTable[[#This Row],[GroupByKey]])*DiscreteStatsTable[Replication]))</f>
        <v>10</v>
      </c>
      <c r="Y226">
        <f>IF(DiscreteStatsTable[[#This Row],[RepsRequested]]=DiscreteStatsTable[[#This Row],[RepsWithStatObserved]],1,0)</f>
        <v>1</v>
      </c>
    </row>
    <row r="227" spans="1:25" x14ac:dyDescent="0.25">
      <c r="A227" t="s">
        <v>67</v>
      </c>
      <c r="B227" t="s">
        <v>243</v>
      </c>
      <c r="C227">
        <v>3</v>
      </c>
      <c r="D227" t="s">
        <v>94</v>
      </c>
      <c r="E227" t="s">
        <v>89</v>
      </c>
      <c r="F227" t="s">
        <v>87</v>
      </c>
      <c r="G227">
        <v>10.0096941567353</v>
      </c>
      <c r="H227">
        <v>1.8630541680351401E-2</v>
      </c>
      <c r="I227">
        <v>8.0213524064747599</v>
      </c>
      <c r="J227">
        <v>11.9641559895827</v>
      </c>
      <c r="K227">
        <v>8243</v>
      </c>
      <c r="L227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227" cm="1">
        <f t="array" ref="M227">MAX(IF((ProjectInfoTable[ProjectName]=DiscreteStatsTable[[#This Row],[ProjectName]]),(ProjectInfoTable[ProjectName]=DiscreteStatsTable[[#This Row],[ProjectName]])*ProjectInfoTable[NumberOfReplications]))</f>
        <v>10</v>
      </c>
      <c r="N227" cm="1">
        <f t="array" ref="N227">IFERROR(AVERAGE(IF((DiscreteStatsTable[GroupByKey]=DiscreteStatsTable[[#This Row],[GroupByKey]]),(DiscreteStatsTable[GroupByKey]=DiscreteStatsTable[[#This Row],[GroupByKey]])*DiscreteStatsTable[Average])),0)</f>
        <v>10.002421211701932</v>
      </c>
      <c r="O227" cm="1">
        <f t="array" ref="O227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27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27" cm="1">
        <f t="array" ref="R227">MIN(IF((DiscreteStatsTable[GroupByKey]=DiscreteStatsTable[[#This Row],[GroupByKey]]),(DiscreteStatsTable[GroupByKey]=DiscreteStatsTable[[#This Row],[GroupByKey]])*DiscreteStatsTable[Average]))</f>
        <v>9.9911380352607004</v>
      </c>
      <c r="S227" cm="1">
        <f t="array" ref="S227">MAX(IF((DiscreteStatsTable[GroupByKey]=DiscreteStatsTable[[#This Row],[GroupByKey]]),(DiscreteStatsTable[GroupByKey]=DiscreteStatsTable[[#This Row],[GroupByKey]])*DiscreteStatsTable[Average]))</f>
        <v>10.011974603825999</v>
      </c>
      <c r="T227" cm="1">
        <f t="array" ref="T227">MIN(IF((DiscreteStatsTable[GroupByKey]=DiscreteStatsTable[[#This Row],[GroupByKey]]),(DiscreteStatsTable[GroupByKey]=DiscreteStatsTable[[#This Row],[GroupByKey]])*DiscreteStatsTable[Minimum]))</f>
        <v>8.0092385134193993</v>
      </c>
      <c r="U227" cm="1">
        <f t="array" ref="U227">MAX(IF((DiscreteStatsTable[GroupByKey]=DiscreteStatsTable[[#This Row],[GroupByKey]]),(DiscreteStatsTable[GroupByKey]=DiscreteStatsTable[[#This Row],[GroupByKey]])*DiscreteStatsTable[Maximum]))</f>
        <v>11.9866256384412</v>
      </c>
      <c r="V227" cm="1">
        <f t="array" ref="V227">IFERROR(AVERAGE(IF((DiscreteStatsTable[GroupByKey]=DiscreteStatsTable[[#This Row],[GroupByKey]]),(DiscreteStatsTable[GroupByKey]=DiscreteStatsTable[[#This Row],[GroupByKey]])*DiscreteStatsTable[NumberObservations])),0)</f>
        <v>8233.5</v>
      </c>
      <c r="W227">
        <f>IF((DiscreteStatsTable[[#This Row],[RepsRequested]]&gt;1),DiscreteStatsTable[[#This Row],[HalfWidth]],DiscreteStatsTable[[#This Row],[BatchMeansHalfWidth]])</f>
        <v>4.8265450428722455E-3</v>
      </c>
      <c r="X227" cm="1">
        <f t="array" ref="X227">COUNT(IF((DiscreteStatsTable[GroupByKey]=DiscreteStatsTable[[#This Row],[GroupByKey]]),(DiscreteStatsTable[GroupByKey]=DiscreteStatsTable[[#This Row],[GroupByKey]])*DiscreteStatsTable[Replication]))</f>
        <v>10</v>
      </c>
      <c r="Y227">
        <f>IF(DiscreteStatsTable[[#This Row],[RepsRequested]]=DiscreteStatsTable[[#This Row],[RepsWithStatObserved]],1,0)</f>
        <v>1</v>
      </c>
    </row>
    <row r="228" spans="1:25" x14ac:dyDescent="0.25">
      <c r="A228" t="s">
        <v>67</v>
      </c>
      <c r="B228" t="s">
        <v>243</v>
      </c>
      <c r="C228">
        <v>4</v>
      </c>
      <c r="D228" t="s">
        <v>94</v>
      </c>
      <c r="E228" t="s">
        <v>88</v>
      </c>
      <c r="F228" t="s">
        <v>87</v>
      </c>
      <c r="G228">
        <v>10.004161002334399</v>
      </c>
      <c r="H228">
        <v>1.8344441195203801E-2</v>
      </c>
      <c r="I228">
        <v>8.0318436861271003</v>
      </c>
      <c r="J228">
        <v>11.942465031228499</v>
      </c>
      <c r="K228">
        <v>8232</v>
      </c>
      <c r="L228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228" cm="1">
        <f t="array" ref="M228">MAX(IF((ProjectInfoTable[ProjectName]=DiscreteStatsTable[[#This Row],[ProjectName]]),(ProjectInfoTable[ProjectName]=DiscreteStatsTable[[#This Row],[ProjectName]])*ProjectInfoTable[NumberOfReplications]))</f>
        <v>10</v>
      </c>
      <c r="N228" cm="1">
        <f t="array" ref="N228">IFERROR(AVERAGE(IF((DiscreteStatsTable[GroupByKey]=DiscreteStatsTable[[#This Row],[GroupByKey]]),(DiscreteStatsTable[GroupByKey]=DiscreteStatsTable[[#This Row],[GroupByKey]])*DiscreteStatsTable[Average])),0)</f>
        <v>10.002421211701932</v>
      </c>
      <c r="O228" cm="1">
        <f t="array" ref="O228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28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28" cm="1">
        <f t="array" ref="R228">MIN(IF((DiscreteStatsTable[GroupByKey]=DiscreteStatsTable[[#This Row],[GroupByKey]]),(DiscreteStatsTable[GroupByKey]=DiscreteStatsTable[[#This Row],[GroupByKey]])*DiscreteStatsTable[Average]))</f>
        <v>9.9911380352607004</v>
      </c>
      <c r="S228" cm="1">
        <f t="array" ref="S228">MAX(IF((DiscreteStatsTable[GroupByKey]=DiscreteStatsTable[[#This Row],[GroupByKey]]),(DiscreteStatsTable[GroupByKey]=DiscreteStatsTable[[#This Row],[GroupByKey]])*DiscreteStatsTable[Average]))</f>
        <v>10.011974603825999</v>
      </c>
      <c r="T228" cm="1">
        <f t="array" ref="T228">MIN(IF((DiscreteStatsTable[GroupByKey]=DiscreteStatsTable[[#This Row],[GroupByKey]]),(DiscreteStatsTable[GroupByKey]=DiscreteStatsTable[[#This Row],[GroupByKey]])*DiscreteStatsTable[Minimum]))</f>
        <v>8.0092385134193993</v>
      </c>
      <c r="U228" cm="1">
        <f t="array" ref="U228">MAX(IF((DiscreteStatsTable[GroupByKey]=DiscreteStatsTable[[#This Row],[GroupByKey]]),(DiscreteStatsTable[GroupByKey]=DiscreteStatsTable[[#This Row],[GroupByKey]])*DiscreteStatsTable[Maximum]))</f>
        <v>11.9866256384412</v>
      </c>
      <c r="V228" cm="1">
        <f t="array" ref="V228">IFERROR(AVERAGE(IF((DiscreteStatsTable[GroupByKey]=DiscreteStatsTable[[#This Row],[GroupByKey]]),(DiscreteStatsTable[GroupByKey]=DiscreteStatsTable[[#This Row],[GroupByKey]])*DiscreteStatsTable[NumberObservations])),0)</f>
        <v>8233.5</v>
      </c>
      <c r="W228">
        <f>IF((DiscreteStatsTable[[#This Row],[RepsRequested]]&gt;1),DiscreteStatsTable[[#This Row],[HalfWidth]],DiscreteStatsTable[[#This Row],[BatchMeansHalfWidth]])</f>
        <v>4.8265450428722455E-3</v>
      </c>
      <c r="X228" cm="1">
        <f t="array" ref="X228">COUNT(IF((DiscreteStatsTable[GroupByKey]=DiscreteStatsTable[[#This Row],[GroupByKey]]),(DiscreteStatsTable[GroupByKey]=DiscreteStatsTable[[#This Row],[GroupByKey]])*DiscreteStatsTable[Replication]))</f>
        <v>10</v>
      </c>
      <c r="Y228">
        <f>IF(DiscreteStatsTable[[#This Row],[RepsRequested]]=DiscreteStatsTable[[#This Row],[RepsWithStatObserved]],1,0)</f>
        <v>1</v>
      </c>
    </row>
    <row r="229" spans="1:25" x14ac:dyDescent="0.25">
      <c r="A229" t="s">
        <v>67</v>
      </c>
      <c r="B229" t="s">
        <v>243</v>
      </c>
      <c r="C229">
        <v>4</v>
      </c>
      <c r="D229" t="s">
        <v>94</v>
      </c>
      <c r="E229" t="s">
        <v>89</v>
      </c>
      <c r="F229" t="s">
        <v>87</v>
      </c>
      <c r="G229">
        <v>10.004161002334399</v>
      </c>
      <c r="H229">
        <v>1.8344441195203801E-2</v>
      </c>
      <c r="I229">
        <v>8.0318436861271003</v>
      </c>
      <c r="J229">
        <v>11.942465031228499</v>
      </c>
      <c r="K229">
        <v>8232</v>
      </c>
      <c r="L229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229" cm="1">
        <f t="array" ref="M229">MAX(IF((ProjectInfoTable[ProjectName]=DiscreteStatsTable[[#This Row],[ProjectName]]),(ProjectInfoTable[ProjectName]=DiscreteStatsTable[[#This Row],[ProjectName]])*ProjectInfoTable[NumberOfReplications]))</f>
        <v>10</v>
      </c>
      <c r="N229" cm="1">
        <f t="array" ref="N229">IFERROR(AVERAGE(IF((DiscreteStatsTable[GroupByKey]=DiscreteStatsTable[[#This Row],[GroupByKey]]),(DiscreteStatsTable[GroupByKey]=DiscreteStatsTable[[#This Row],[GroupByKey]])*DiscreteStatsTable[Average])),0)</f>
        <v>10.002421211701932</v>
      </c>
      <c r="O229" cm="1">
        <f t="array" ref="O229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29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29" cm="1">
        <f t="array" ref="R229">MIN(IF((DiscreteStatsTable[GroupByKey]=DiscreteStatsTable[[#This Row],[GroupByKey]]),(DiscreteStatsTable[GroupByKey]=DiscreteStatsTable[[#This Row],[GroupByKey]])*DiscreteStatsTable[Average]))</f>
        <v>9.9911380352607004</v>
      </c>
      <c r="S229" cm="1">
        <f t="array" ref="S229">MAX(IF((DiscreteStatsTable[GroupByKey]=DiscreteStatsTable[[#This Row],[GroupByKey]]),(DiscreteStatsTable[GroupByKey]=DiscreteStatsTable[[#This Row],[GroupByKey]])*DiscreteStatsTable[Average]))</f>
        <v>10.011974603825999</v>
      </c>
      <c r="T229" cm="1">
        <f t="array" ref="T229">MIN(IF((DiscreteStatsTable[GroupByKey]=DiscreteStatsTable[[#This Row],[GroupByKey]]),(DiscreteStatsTable[GroupByKey]=DiscreteStatsTable[[#This Row],[GroupByKey]])*DiscreteStatsTable[Minimum]))</f>
        <v>8.0092385134193993</v>
      </c>
      <c r="U229" cm="1">
        <f t="array" ref="U229">MAX(IF((DiscreteStatsTable[GroupByKey]=DiscreteStatsTable[[#This Row],[GroupByKey]]),(DiscreteStatsTable[GroupByKey]=DiscreteStatsTable[[#This Row],[GroupByKey]])*DiscreteStatsTable[Maximum]))</f>
        <v>11.9866256384412</v>
      </c>
      <c r="V229" cm="1">
        <f t="array" ref="V229">IFERROR(AVERAGE(IF((DiscreteStatsTable[GroupByKey]=DiscreteStatsTable[[#This Row],[GroupByKey]]),(DiscreteStatsTable[GroupByKey]=DiscreteStatsTable[[#This Row],[GroupByKey]])*DiscreteStatsTable[NumberObservations])),0)</f>
        <v>8233.5</v>
      </c>
      <c r="W229">
        <f>IF((DiscreteStatsTable[[#This Row],[RepsRequested]]&gt;1),DiscreteStatsTable[[#This Row],[HalfWidth]],DiscreteStatsTable[[#This Row],[BatchMeansHalfWidth]])</f>
        <v>4.8265450428722455E-3</v>
      </c>
      <c r="X229" cm="1">
        <f t="array" ref="X229">COUNT(IF((DiscreteStatsTable[GroupByKey]=DiscreteStatsTable[[#This Row],[GroupByKey]]),(DiscreteStatsTable[GroupByKey]=DiscreteStatsTable[[#This Row],[GroupByKey]])*DiscreteStatsTable[Replication]))</f>
        <v>10</v>
      </c>
      <c r="Y229">
        <f>IF(DiscreteStatsTable[[#This Row],[RepsRequested]]=DiscreteStatsTable[[#This Row],[RepsWithStatObserved]],1,0)</f>
        <v>1</v>
      </c>
    </row>
    <row r="230" spans="1:25" x14ac:dyDescent="0.25">
      <c r="A230" t="s">
        <v>67</v>
      </c>
      <c r="B230" t="s">
        <v>243</v>
      </c>
      <c r="C230">
        <v>5</v>
      </c>
      <c r="D230" t="s">
        <v>94</v>
      </c>
      <c r="E230" t="s">
        <v>88</v>
      </c>
      <c r="F230" t="s">
        <v>87</v>
      </c>
      <c r="G230">
        <v>10.0040513279428</v>
      </c>
      <c r="H230">
        <v>1.6588559891513598E-2</v>
      </c>
      <c r="I230">
        <v>8.0253043549018894</v>
      </c>
      <c r="J230">
        <v>11.970175127848099</v>
      </c>
      <c r="K230">
        <v>8243</v>
      </c>
      <c r="L230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230" cm="1">
        <f t="array" ref="M230">MAX(IF((ProjectInfoTable[ProjectName]=DiscreteStatsTable[[#This Row],[ProjectName]]),(ProjectInfoTable[ProjectName]=DiscreteStatsTable[[#This Row],[ProjectName]])*ProjectInfoTable[NumberOfReplications]))</f>
        <v>10</v>
      </c>
      <c r="N230" cm="1">
        <f t="array" ref="N230">IFERROR(AVERAGE(IF((DiscreteStatsTable[GroupByKey]=DiscreteStatsTable[[#This Row],[GroupByKey]]),(DiscreteStatsTable[GroupByKey]=DiscreteStatsTable[[#This Row],[GroupByKey]])*DiscreteStatsTable[Average])),0)</f>
        <v>10.002421211701932</v>
      </c>
      <c r="O230" cm="1">
        <f t="array" ref="O230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30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30" cm="1">
        <f t="array" ref="R230">MIN(IF((DiscreteStatsTable[GroupByKey]=DiscreteStatsTable[[#This Row],[GroupByKey]]),(DiscreteStatsTable[GroupByKey]=DiscreteStatsTable[[#This Row],[GroupByKey]])*DiscreteStatsTable[Average]))</f>
        <v>9.9911380352607004</v>
      </c>
      <c r="S230" cm="1">
        <f t="array" ref="S230">MAX(IF((DiscreteStatsTable[GroupByKey]=DiscreteStatsTable[[#This Row],[GroupByKey]]),(DiscreteStatsTable[GroupByKey]=DiscreteStatsTable[[#This Row],[GroupByKey]])*DiscreteStatsTable[Average]))</f>
        <v>10.011974603825999</v>
      </c>
      <c r="T230" cm="1">
        <f t="array" ref="T230">MIN(IF((DiscreteStatsTable[GroupByKey]=DiscreteStatsTable[[#This Row],[GroupByKey]]),(DiscreteStatsTable[GroupByKey]=DiscreteStatsTable[[#This Row],[GroupByKey]])*DiscreteStatsTable[Minimum]))</f>
        <v>8.0092385134193993</v>
      </c>
      <c r="U230" cm="1">
        <f t="array" ref="U230">MAX(IF((DiscreteStatsTable[GroupByKey]=DiscreteStatsTable[[#This Row],[GroupByKey]]),(DiscreteStatsTable[GroupByKey]=DiscreteStatsTable[[#This Row],[GroupByKey]])*DiscreteStatsTable[Maximum]))</f>
        <v>11.9866256384412</v>
      </c>
      <c r="V230" cm="1">
        <f t="array" ref="V230">IFERROR(AVERAGE(IF((DiscreteStatsTable[GroupByKey]=DiscreteStatsTable[[#This Row],[GroupByKey]]),(DiscreteStatsTable[GroupByKey]=DiscreteStatsTable[[#This Row],[GroupByKey]])*DiscreteStatsTable[NumberObservations])),0)</f>
        <v>8233.5</v>
      </c>
      <c r="W230">
        <f>IF((DiscreteStatsTable[[#This Row],[RepsRequested]]&gt;1),DiscreteStatsTable[[#This Row],[HalfWidth]],DiscreteStatsTable[[#This Row],[BatchMeansHalfWidth]])</f>
        <v>4.8265450428722455E-3</v>
      </c>
      <c r="X230" cm="1">
        <f t="array" ref="X230">COUNT(IF((DiscreteStatsTable[GroupByKey]=DiscreteStatsTable[[#This Row],[GroupByKey]]),(DiscreteStatsTable[GroupByKey]=DiscreteStatsTable[[#This Row],[GroupByKey]])*DiscreteStatsTable[Replication]))</f>
        <v>10</v>
      </c>
      <c r="Y230">
        <f>IF(DiscreteStatsTable[[#This Row],[RepsRequested]]=DiscreteStatsTable[[#This Row],[RepsWithStatObserved]],1,0)</f>
        <v>1</v>
      </c>
    </row>
    <row r="231" spans="1:25" x14ac:dyDescent="0.25">
      <c r="A231" t="s">
        <v>67</v>
      </c>
      <c r="B231" t="s">
        <v>243</v>
      </c>
      <c r="C231">
        <v>5</v>
      </c>
      <c r="D231" t="s">
        <v>94</v>
      </c>
      <c r="E231" t="s">
        <v>89</v>
      </c>
      <c r="F231" t="s">
        <v>87</v>
      </c>
      <c r="G231">
        <v>10.0040513279428</v>
      </c>
      <c r="H231">
        <v>1.6588559891513598E-2</v>
      </c>
      <c r="I231">
        <v>8.0253043549018894</v>
      </c>
      <c r="J231">
        <v>11.970175127848099</v>
      </c>
      <c r="K231">
        <v>8243</v>
      </c>
      <c r="L231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231" cm="1">
        <f t="array" ref="M231">MAX(IF((ProjectInfoTable[ProjectName]=DiscreteStatsTable[[#This Row],[ProjectName]]),(ProjectInfoTable[ProjectName]=DiscreteStatsTable[[#This Row],[ProjectName]])*ProjectInfoTable[NumberOfReplications]))</f>
        <v>10</v>
      </c>
      <c r="N231" cm="1">
        <f t="array" ref="N231">IFERROR(AVERAGE(IF((DiscreteStatsTable[GroupByKey]=DiscreteStatsTable[[#This Row],[GroupByKey]]),(DiscreteStatsTable[GroupByKey]=DiscreteStatsTable[[#This Row],[GroupByKey]])*DiscreteStatsTable[Average])),0)</f>
        <v>10.002421211701932</v>
      </c>
      <c r="O231" cm="1">
        <f t="array" ref="O231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31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31" cm="1">
        <f t="array" ref="R231">MIN(IF((DiscreteStatsTable[GroupByKey]=DiscreteStatsTable[[#This Row],[GroupByKey]]),(DiscreteStatsTable[GroupByKey]=DiscreteStatsTable[[#This Row],[GroupByKey]])*DiscreteStatsTable[Average]))</f>
        <v>9.9911380352607004</v>
      </c>
      <c r="S231" cm="1">
        <f t="array" ref="S231">MAX(IF((DiscreteStatsTable[GroupByKey]=DiscreteStatsTable[[#This Row],[GroupByKey]]),(DiscreteStatsTable[GroupByKey]=DiscreteStatsTable[[#This Row],[GroupByKey]])*DiscreteStatsTable[Average]))</f>
        <v>10.011974603825999</v>
      </c>
      <c r="T231" cm="1">
        <f t="array" ref="T231">MIN(IF((DiscreteStatsTable[GroupByKey]=DiscreteStatsTable[[#This Row],[GroupByKey]]),(DiscreteStatsTable[GroupByKey]=DiscreteStatsTable[[#This Row],[GroupByKey]])*DiscreteStatsTable[Minimum]))</f>
        <v>8.0092385134193993</v>
      </c>
      <c r="U231" cm="1">
        <f t="array" ref="U231">MAX(IF((DiscreteStatsTable[GroupByKey]=DiscreteStatsTable[[#This Row],[GroupByKey]]),(DiscreteStatsTable[GroupByKey]=DiscreteStatsTable[[#This Row],[GroupByKey]])*DiscreteStatsTable[Maximum]))</f>
        <v>11.9866256384412</v>
      </c>
      <c r="V231" cm="1">
        <f t="array" ref="V231">IFERROR(AVERAGE(IF((DiscreteStatsTable[GroupByKey]=DiscreteStatsTable[[#This Row],[GroupByKey]]),(DiscreteStatsTable[GroupByKey]=DiscreteStatsTable[[#This Row],[GroupByKey]])*DiscreteStatsTable[NumberObservations])),0)</f>
        <v>8233.5</v>
      </c>
      <c r="W231">
        <f>IF((DiscreteStatsTable[[#This Row],[RepsRequested]]&gt;1),DiscreteStatsTable[[#This Row],[HalfWidth]],DiscreteStatsTable[[#This Row],[BatchMeansHalfWidth]])</f>
        <v>4.8265450428722455E-3</v>
      </c>
      <c r="X231" cm="1">
        <f t="array" ref="X231">COUNT(IF((DiscreteStatsTable[GroupByKey]=DiscreteStatsTable[[#This Row],[GroupByKey]]),(DiscreteStatsTable[GroupByKey]=DiscreteStatsTable[[#This Row],[GroupByKey]])*DiscreteStatsTable[Replication]))</f>
        <v>10</v>
      </c>
      <c r="Y231">
        <f>IF(DiscreteStatsTable[[#This Row],[RepsRequested]]=DiscreteStatsTable[[#This Row],[RepsWithStatObserved]],1,0)</f>
        <v>1</v>
      </c>
    </row>
    <row r="232" spans="1:25" x14ac:dyDescent="0.25">
      <c r="A232" t="s">
        <v>67</v>
      </c>
      <c r="B232" t="s">
        <v>243</v>
      </c>
      <c r="C232">
        <v>6</v>
      </c>
      <c r="D232" t="s">
        <v>94</v>
      </c>
      <c r="E232" t="s">
        <v>88</v>
      </c>
      <c r="F232" t="s">
        <v>87</v>
      </c>
      <c r="G232">
        <v>10.011974603825999</v>
      </c>
      <c r="H232">
        <v>1.5805510857228099E-2</v>
      </c>
      <c r="I232">
        <v>8.0299518493120594</v>
      </c>
      <c r="J232">
        <v>11.973092631495099</v>
      </c>
      <c r="K232">
        <v>8221</v>
      </c>
      <c r="L232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232" cm="1">
        <f t="array" ref="M232">MAX(IF((ProjectInfoTable[ProjectName]=DiscreteStatsTable[[#This Row],[ProjectName]]),(ProjectInfoTable[ProjectName]=DiscreteStatsTable[[#This Row],[ProjectName]])*ProjectInfoTable[NumberOfReplications]))</f>
        <v>10</v>
      </c>
      <c r="N232" cm="1">
        <f t="array" ref="N232">IFERROR(AVERAGE(IF((DiscreteStatsTable[GroupByKey]=DiscreteStatsTable[[#This Row],[GroupByKey]]),(DiscreteStatsTable[GroupByKey]=DiscreteStatsTable[[#This Row],[GroupByKey]])*DiscreteStatsTable[Average])),0)</f>
        <v>10.002421211701932</v>
      </c>
      <c r="O232" cm="1">
        <f t="array" ref="O232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32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32" cm="1">
        <f t="array" ref="R232">MIN(IF((DiscreteStatsTable[GroupByKey]=DiscreteStatsTable[[#This Row],[GroupByKey]]),(DiscreteStatsTable[GroupByKey]=DiscreteStatsTable[[#This Row],[GroupByKey]])*DiscreteStatsTable[Average]))</f>
        <v>9.9911380352607004</v>
      </c>
      <c r="S232" cm="1">
        <f t="array" ref="S232">MAX(IF((DiscreteStatsTable[GroupByKey]=DiscreteStatsTable[[#This Row],[GroupByKey]]),(DiscreteStatsTable[GroupByKey]=DiscreteStatsTable[[#This Row],[GroupByKey]])*DiscreteStatsTable[Average]))</f>
        <v>10.011974603825999</v>
      </c>
      <c r="T232" cm="1">
        <f t="array" ref="T232">MIN(IF((DiscreteStatsTable[GroupByKey]=DiscreteStatsTable[[#This Row],[GroupByKey]]),(DiscreteStatsTable[GroupByKey]=DiscreteStatsTable[[#This Row],[GroupByKey]])*DiscreteStatsTable[Minimum]))</f>
        <v>8.0092385134193993</v>
      </c>
      <c r="U232" cm="1">
        <f t="array" ref="U232">MAX(IF((DiscreteStatsTable[GroupByKey]=DiscreteStatsTable[[#This Row],[GroupByKey]]),(DiscreteStatsTable[GroupByKey]=DiscreteStatsTable[[#This Row],[GroupByKey]])*DiscreteStatsTable[Maximum]))</f>
        <v>11.9866256384412</v>
      </c>
      <c r="V232" cm="1">
        <f t="array" ref="V232">IFERROR(AVERAGE(IF((DiscreteStatsTable[GroupByKey]=DiscreteStatsTable[[#This Row],[GroupByKey]]),(DiscreteStatsTable[GroupByKey]=DiscreteStatsTable[[#This Row],[GroupByKey]])*DiscreteStatsTable[NumberObservations])),0)</f>
        <v>8233.5</v>
      </c>
      <c r="W232">
        <f>IF((DiscreteStatsTable[[#This Row],[RepsRequested]]&gt;1),DiscreteStatsTable[[#This Row],[HalfWidth]],DiscreteStatsTable[[#This Row],[BatchMeansHalfWidth]])</f>
        <v>4.8265450428722455E-3</v>
      </c>
      <c r="X232" cm="1">
        <f t="array" ref="X232">COUNT(IF((DiscreteStatsTable[GroupByKey]=DiscreteStatsTable[[#This Row],[GroupByKey]]),(DiscreteStatsTable[GroupByKey]=DiscreteStatsTable[[#This Row],[GroupByKey]])*DiscreteStatsTable[Replication]))</f>
        <v>10</v>
      </c>
      <c r="Y232">
        <f>IF(DiscreteStatsTable[[#This Row],[RepsRequested]]=DiscreteStatsTable[[#This Row],[RepsWithStatObserved]],1,0)</f>
        <v>1</v>
      </c>
    </row>
    <row r="233" spans="1:25" x14ac:dyDescent="0.25">
      <c r="A233" t="s">
        <v>67</v>
      </c>
      <c r="B233" t="s">
        <v>243</v>
      </c>
      <c r="C233">
        <v>6</v>
      </c>
      <c r="D233" t="s">
        <v>94</v>
      </c>
      <c r="E233" t="s">
        <v>89</v>
      </c>
      <c r="F233" t="s">
        <v>87</v>
      </c>
      <c r="G233">
        <v>10.011974603825999</v>
      </c>
      <c r="H233">
        <v>1.5805510857228099E-2</v>
      </c>
      <c r="I233">
        <v>8.0299518493120594</v>
      </c>
      <c r="J233">
        <v>11.973092631495099</v>
      </c>
      <c r="K233">
        <v>8221</v>
      </c>
      <c r="L233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233" cm="1">
        <f t="array" ref="M233">MAX(IF((ProjectInfoTable[ProjectName]=DiscreteStatsTable[[#This Row],[ProjectName]]),(ProjectInfoTable[ProjectName]=DiscreteStatsTable[[#This Row],[ProjectName]])*ProjectInfoTable[NumberOfReplications]))</f>
        <v>10</v>
      </c>
      <c r="N233" cm="1">
        <f t="array" ref="N233">IFERROR(AVERAGE(IF((DiscreteStatsTable[GroupByKey]=DiscreteStatsTable[[#This Row],[GroupByKey]]),(DiscreteStatsTable[GroupByKey]=DiscreteStatsTable[[#This Row],[GroupByKey]])*DiscreteStatsTable[Average])),0)</f>
        <v>10.002421211701932</v>
      </c>
      <c r="O233" cm="1">
        <f t="array" ref="O233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33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33" cm="1">
        <f t="array" ref="R233">MIN(IF((DiscreteStatsTable[GroupByKey]=DiscreteStatsTable[[#This Row],[GroupByKey]]),(DiscreteStatsTable[GroupByKey]=DiscreteStatsTable[[#This Row],[GroupByKey]])*DiscreteStatsTable[Average]))</f>
        <v>9.9911380352607004</v>
      </c>
      <c r="S233" cm="1">
        <f t="array" ref="S233">MAX(IF((DiscreteStatsTable[GroupByKey]=DiscreteStatsTable[[#This Row],[GroupByKey]]),(DiscreteStatsTable[GroupByKey]=DiscreteStatsTable[[#This Row],[GroupByKey]])*DiscreteStatsTable[Average]))</f>
        <v>10.011974603825999</v>
      </c>
      <c r="T233" cm="1">
        <f t="array" ref="T233">MIN(IF((DiscreteStatsTable[GroupByKey]=DiscreteStatsTable[[#This Row],[GroupByKey]]),(DiscreteStatsTable[GroupByKey]=DiscreteStatsTable[[#This Row],[GroupByKey]])*DiscreteStatsTable[Minimum]))</f>
        <v>8.0092385134193993</v>
      </c>
      <c r="U233" cm="1">
        <f t="array" ref="U233">MAX(IF((DiscreteStatsTable[GroupByKey]=DiscreteStatsTable[[#This Row],[GroupByKey]]),(DiscreteStatsTable[GroupByKey]=DiscreteStatsTable[[#This Row],[GroupByKey]])*DiscreteStatsTable[Maximum]))</f>
        <v>11.9866256384412</v>
      </c>
      <c r="V233" cm="1">
        <f t="array" ref="V233">IFERROR(AVERAGE(IF((DiscreteStatsTable[GroupByKey]=DiscreteStatsTable[[#This Row],[GroupByKey]]),(DiscreteStatsTable[GroupByKey]=DiscreteStatsTable[[#This Row],[GroupByKey]])*DiscreteStatsTable[NumberObservations])),0)</f>
        <v>8233.5</v>
      </c>
      <c r="W233">
        <f>IF((DiscreteStatsTable[[#This Row],[RepsRequested]]&gt;1),DiscreteStatsTable[[#This Row],[HalfWidth]],DiscreteStatsTable[[#This Row],[BatchMeansHalfWidth]])</f>
        <v>4.8265450428722455E-3</v>
      </c>
      <c r="X233" cm="1">
        <f t="array" ref="X233">COUNT(IF((DiscreteStatsTable[GroupByKey]=DiscreteStatsTable[[#This Row],[GroupByKey]]),(DiscreteStatsTable[GroupByKey]=DiscreteStatsTable[[#This Row],[GroupByKey]])*DiscreteStatsTable[Replication]))</f>
        <v>10</v>
      </c>
      <c r="Y233">
        <f>IF(DiscreteStatsTable[[#This Row],[RepsRequested]]=DiscreteStatsTable[[#This Row],[RepsWithStatObserved]],1,0)</f>
        <v>1</v>
      </c>
    </row>
    <row r="234" spans="1:25" x14ac:dyDescent="0.25">
      <c r="A234" t="s">
        <v>67</v>
      </c>
      <c r="B234" t="s">
        <v>243</v>
      </c>
      <c r="C234">
        <v>7</v>
      </c>
      <c r="D234" t="s">
        <v>94</v>
      </c>
      <c r="E234" t="s">
        <v>88</v>
      </c>
      <c r="F234" t="s">
        <v>87</v>
      </c>
      <c r="G234">
        <v>9.9911380352607004</v>
      </c>
      <c r="H234">
        <v>1.9855387780229401E-2</v>
      </c>
      <c r="I234">
        <v>8.0430199371767195</v>
      </c>
      <c r="J234">
        <v>11.961537703668</v>
      </c>
      <c r="K234">
        <v>8236</v>
      </c>
      <c r="L234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234" cm="1">
        <f t="array" ref="M234">MAX(IF((ProjectInfoTable[ProjectName]=DiscreteStatsTable[[#This Row],[ProjectName]]),(ProjectInfoTable[ProjectName]=DiscreteStatsTable[[#This Row],[ProjectName]])*ProjectInfoTable[NumberOfReplications]))</f>
        <v>10</v>
      </c>
      <c r="N234" cm="1">
        <f t="array" ref="N234">IFERROR(AVERAGE(IF((DiscreteStatsTable[GroupByKey]=DiscreteStatsTable[[#This Row],[GroupByKey]]),(DiscreteStatsTable[GroupByKey]=DiscreteStatsTable[[#This Row],[GroupByKey]])*DiscreteStatsTable[Average])),0)</f>
        <v>10.002421211701932</v>
      </c>
      <c r="O234" cm="1">
        <f t="array" ref="O234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34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34" cm="1">
        <f t="array" ref="R234">MIN(IF((DiscreteStatsTable[GroupByKey]=DiscreteStatsTable[[#This Row],[GroupByKey]]),(DiscreteStatsTable[GroupByKey]=DiscreteStatsTable[[#This Row],[GroupByKey]])*DiscreteStatsTable[Average]))</f>
        <v>9.9911380352607004</v>
      </c>
      <c r="S234" cm="1">
        <f t="array" ref="S234">MAX(IF((DiscreteStatsTable[GroupByKey]=DiscreteStatsTable[[#This Row],[GroupByKey]]),(DiscreteStatsTable[GroupByKey]=DiscreteStatsTable[[#This Row],[GroupByKey]])*DiscreteStatsTable[Average]))</f>
        <v>10.011974603825999</v>
      </c>
      <c r="T234" cm="1">
        <f t="array" ref="T234">MIN(IF((DiscreteStatsTable[GroupByKey]=DiscreteStatsTable[[#This Row],[GroupByKey]]),(DiscreteStatsTable[GroupByKey]=DiscreteStatsTable[[#This Row],[GroupByKey]])*DiscreteStatsTable[Minimum]))</f>
        <v>8.0092385134193993</v>
      </c>
      <c r="U234" cm="1">
        <f t="array" ref="U234">MAX(IF((DiscreteStatsTable[GroupByKey]=DiscreteStatsTable[[#This Row],[GroupByKey]]),(DiscreteStatsTable[GroupByKey]=DiscreteStatsTable[[#This Row],[GroupByKey]])*DiscreteStatsTable[Maximum]))</f>
        <v>11.9866256384412</v>
      </c>
      <c r="V234" cm="1">
        <f t="array" ref="V234">IFERROR(AVERAGE(IF((DiscreteStatsTable[GroupByKey]=DiscreteStatsTable[[#This Row],[GroupByKey]]),(DiscreteStatsTable[GroupByKey]=DiscreteStatsTable[[#This Row],[GroupByKey]])*DiscreteStatsTable[NumberObservations])),0)</f>
        <v>8233.5</v>
      </c>
      <c r="W234">
        <f>IF((DiscreteStatsTable[[#This Row],[RepsRequested]]&gt;1),DiscreteStatsTable[[#This Row],[HalfWidth]],DiscreteStatsTable[[#This Row],[BatchMeansHalfWidth]])</f>
        <v>4.8265450428722455E-3</v>
      </c>
      <c r="X234" cm="1">
        <f t="array" ref="X234">COUNT(IF((DiscreteStatsTable[GroupByKey]=DiscreteStatsTable[[#This Row],[GroupByKey]]),(DiscreteStatsTable[GroupByKey]=DiscreteStatsTable[[#This Row],[GroupByKey]])*DiscreteStatsTable[Replication]))</f>
        <v>10</v>
      </c>
      <c r="Y234">
        <f>IF(DiscreteStatsTable[[#This Row],[RepsRequested]]=DiscreteStatsTable[[#This Row],[RepsWithStatObserved]],1,0)</f>
        <v>1</v>
      </c>
    </row>
    <row r="235" spans="1:25" x14ac:dyDescent="0.25">
      <c r="A235" t="s">
        <v>67</v>
      </c>
      <c r="B235" t="s">
        <v>243</v>
      </c>
      <c r="C235">
        <v>7</v>
      </c>
      <c r="D235" t="s">
        <v>94</v>
      </c>
      <c r="E235" t="s">
        <v>89</v>
      </c>
      <c r="F235" t="s">
        <v>87</v>
      </c>
      <c r="G235">
        <v>9.9911380352607004</v>
      </c>
      <c r="H235">
        <v>1.9855387780229401E-2</v>
      </c>
      <c r="I235">
        <v>8.0430199371767195</v>
      </c>
      <c r="J235">
        <v>11.961537703668</v>
      </c>
      <c r="K235">
        <v>8236</v>
      </c>
      <c r="L235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235" cm="1">
        <f t="array" ref="M235">MAX(IF((ProjectInfoTable[ProjectName]=DiscreteStatsTable[[#This Row],[ProjectName]]),(ProjectInfoTable[ProjectName]=DiscreteStatsTable[[#This Row],[ProjectName]])*ProjectInfoTable[NumberOfReplications]))</f>
        <v>10</v>
      </c>
      <c r="N235" cm="1">
        <f t="array" ref="N235">IFERROR(AVERAGE(IF((DiscreteStatsTable[GroupByKey]=DiscreteStatsTable[[#This Row],[GroupByKey]]),(DiscreteStatsTable[GroupByKey]=DiscreteStatsTable[[#This Row],[GroupByKey]])*DiscreteStatsTable[Average])),0)</f>
        <v>10.002421211701932</v>
      </c>
      <c r="O235" cm="1">
        <f t="array" ref="O235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3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35" cm="1">
        <f t="array" ref="R235">MIN(IF((DiscreteStatsTable[GroupByKey]=DiscreteStatsTable[[#This Row],[GroupByKey]]),(DiscreteStatsTable[GroupByKey]=DiscreteStatsTable[[#This Row],[GroupByKey]])*DiscreteStatsTable[Average]))</f>
        <v>9.9911380352607004</v>
      </c>
      <c r="S235" cm="1">
        <f t="array" ref="S235">MAX(IF((DiscreteStatsTable[GroupByKey]=DiscreteStatsTable[[#This Row],[GroupByKey]]),(DiscreteStatsTable[GroupByKey]=DiscreteStatsTable[[#This Row],[GroupByKey]])*DiscreteStatsTable[Average]))</f>
        <v>10.011974603825999</v>
      </c>
      <c r="T235" cm="1">
        <f t="array" ref="T235">MIN(IF((DiscreteStatsTable[GroupByKey]=DiscreteStatsTable[[#This Row],[GroupByKey]]),(DiscreteStatsTable[GroupByKey]=DiscreteStatsTable[[#This Row],[GroupByKey]])*DiscreteStatsTable[Minimum]))</f>
        <v>8.0092385134193993</v>
      </c>
      <c r="U235" cm="1">
        <f t="array" ref="U235">MAX(IF((DiscreteStatsTable[GroupByKey]=DiscreteStatsTable[[#This Row],[GroupByKey]]),(DiscreteStatsTable[GroupByKey]=DiscreteStatsTable[[#This Row],[GroupByKey]])*DiscreteStatsTable[Maximum]))</f>
        <v>11.9866256384412</v>
      </c>
      <c r="V235" cm="1">
        <f t="array" ref="V235">IFERROR(AVERAGE(IF((DiscreteStatsTable[GroupByKey]=DiscreteStatsTable[[#This Row],[GroupByKey]]),(DiscreteStatsTable[GroupByKey]=DiscreteStatsTable[[#This Row],[GroupByKey]])*DiscreteStatsTable[NumberObservations])),0)</f>
        <v>8233.5</v>
      </c>
      <c r="W235">
        <f>IF((DiscreteStatsTable[[#This Row],[RepsRequested]]&gt;1),DiscreteStatsTable[[#This Row],[HalfWidth]],DiscreteStatsTable[[#This Row],[BatchMeansHalfWidth]])</f>
        <v>4.8265450428722455E-3</v>
      </c>
      <c r="X235" cm="1">
        <f t="array" ref="X235">COUNT(IF((DiscreteStatsTable[GroupByKey]=DiscreteStatsTable[[#This Row],[GroupByKey]]),(DiscreteStatsTable[GroupByKey]=DiscreteStatsTable[[#This Row],[GroupByKey]])*DiscreteStatsTable[Replication]))</f>
        <v>10</v>
      </c>
      <c r="Y235">
        <f>IF(DiscreteStatsTable[[#This Row],[RepsRequested]]=DiscreteStatsTable[[#This Row],[RepsWithStatObserved]],1,0)</f>
        <v>1</v>
      </c>
    </row>
    <row r="236" spans="1:25" x14ac:dyDescent="0.25">
      <c r="A236" t="s">
        <v>67</v>
      </c>
      <c r="B236" t="s">
        <v>243</v>
      </c>
      <c r="C236">
        <v>8</v>
      </c>
      <c r="D236" t="s">
        <v>94</v>
      </c>
      <c r="E236" t="s">
        <v>88</v>
      </c>
      <c r="F236" t="s">
        <v>87</v>
      </c>
      <c r="G236">
        <v>10.003132447768699</v>
      </c>
      <c r="H236">
        <v>1.6756912654138201E-2</v>
      </c>
      <c r="I236">
        <v>8.0092385134193993</v>
      </c>
      <c r="J236">
        <v>11.976768083404799</v>
      </c>
      <c r="K236">
        <v>8229</v>
      </c>
      <c r="L236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236" cm="1">
        <f t="array" ref="M236">MAX(IF((ProjectInfoTable[ProjectName]=DiscreteStatsTable[[#This Row],[ProjectName]]),(ProjectInfoTable[ProjectName]=DiscreteStatsTable[[#This Row],[ProjectName]])*ProjectInfoTable[NumberOfReplications]))</f>
        <v>10</v>
      </c>
      <c r="N236" cm="1">
        <f t="array" ref="N236">IFERROR(AVERAGE(IF((DiscreteStatsTable[GroupByKey]=DiscreteStatsTable[[#This Row],[GroupByKey]]),(DiscreteStatsTable[GroupByKey]=DiscreteStatsTable[[#This Row],[GroupByKey]])*DiscreteStatsTable[Average])),0)</f>
        <v>10.002421211701932</v>
      </c>
      <c r="O236" cm="1">
        <f t="array" ref="O236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36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36" cm="1">
        <f t="array" ref="R236">MIN(IF((DiscreteStatsTable[GroupByKey]=DiscreteStatsTable[[#This Row],[GroupByKey]]),(DiscreteStatsTable[GroupByKey]=DiscreteStatsTable[[#This Row],[GroupByKey]])*DiscreteStatsTable[Average]))</f>
        <v>9.9911380352607004</v>
      </c>
      <c r="S236" cm="1">
        <f t="array" ref="S236">MAX(IF((DiscreteStatsTable[GroupByKey]=DiscreteStatsTable[[#This Row],[GroupByKey]]),(DiscreteStatsTable[GroupByKey]=DiscreteStatsTable[[#This Row],[GroupByKey]])*DiscreteStatsTable[Average]))</f>
        <v>10.011974603825999</v>
      </c>
      <c r="T236" cm="1">
        <f t="array" ref="T236">MIN(IF((DiscreteStatsTable[GroupByKey]=DiscreteStatsTable[[#This Row],[GroupByKey]]),(DiscreteStatsTable[GroupByKey]=DiscreteStatsTable[[#This Row],[GroupByKey]])*DiscreteStatsTable[Minimum]))</f>
        <v>8.0092385134193993</v>
      </c>
      <c r="U236" cm="1">
        <f t="array" ref="U236">MAX(IF((DiscreteStatsTable[GroupByKey]=DiscreteStatsTable[[#This Row],[GroupByKey]]),(DiscreteStatsTable[GroupByKey]=DiscreteStatsTable[[#This Row],[GroupByKey]])*DiscreteStatsTable[Maximum]))</f>
        <v>11.9866256384412</v>
      </c>
      <c r="V236" cm="1">
        <f t="array" ref="V236">IFERROR(AVERAGE(IF((DiscreteStatsTable[GroupByKey]=DiscreteStatsTable[[#This Row],[GroupByKey]]),(DiscreteStatsTable[GroupByKey]=DiscreteStatsTable[[#This Row],[GroupByKey]])*DiscreteStatsTable[NumberObservations])),0)</f>
        <v>8233.5</v>
      </c>
      <c r="W236">
        <f>IF((DiscreteStatsTable[[#This Row],[RepsRequested]]&gt;1),DiscreteStatsTable[[#This Row],[HalfWidth]],DiscreteStatsTable[[#This Row],[BatchMeansHalfWidth]])</f>
        <v>4.8265450428722455E-3</v>
      </c>
      <c r="X236" cm="1">
        <f t="array" ref="X236">COUNT(IF((DiscreteStatsTable[GroupByKey]=DiscreteStatsTable[[#This Row],[GroupByKey]]),(DiscreteStatsTable[GroupByKey]=DiscreteStatsTable[[#This Row],[GroupByKey]])*DiscreteStatsTable[Replication]))</f>
        <v>10</v>
      </c>
      <c r="Y236">
        <f>IF(DiscreteStatsTable[[#This Row],[RepsRequested]]=DiscreteStatsTable[[#This Row],[RepsWithStatObserved]],1,0)</f>
        <v>1</v>
      </c>
    </row>
    <row r="237" spans="1:25" x14ac:dyDescent="0.25">
      <c r="A237" t="s">
        <v>67</v>
      </c>
      <c r="B237" t="s">
        <v>243</v>
      </c>
      <c r="C237">
        <v>8</v>
      </c>
      <c r="D237" t="s">
        <v>94</v>
      </c>
      <c r="E237" t="s">
        <v>89</v>
      </c>
      <c r="F237" t="s">
        <v>87</v>
      </c>
      <c r="G237">
        <v>10.003132447768699</v>
      </c>
      <c r="H237">
        <v>1.6756912654138201E-2</v>
      </c>
      <c r="I237">
        <v>8.0092385134193993</v>
      </c>
      <c r="J237">
        <v>11.976768083404799</v>
      </c>
      <c r="K237">
        <v>8229</v>
      </c>
      <c r="L237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237" cm="1">
        <f t="array" ref="M237">MAX(IF((ProjectInfoTable[ProjectName]=DiscreteStatsTable[[#This Row],[ProjectName]]),(ProjectInfoTable[ProjectName]=DiscreteStatsTable[[#This Row],[ProjectName]])*ProjectInfoTable[NumberOfReplications]))</f>
        <v>10</v>
      </c>
      <c r="N237" cm="1">
        <f t="array" ref="N237">IFERROR(AVERAGE(IF((DiscreteStatsTable[GroupByKey]=DiscreteStatsTable[[#This Row],[GroupByKey]]),(DiscreteStatsTable[GroupByKey]=DiscreteStatsTable[[#This Row],[GroupByKey]])*DiscreteStatsTable[Average])),0)</f>
        <v>10.002421211701932</v>
      </c>
      <c r="O237" cm="1">
        <f t="array" ref="O237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37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37" cm="1">
        <f t="array" ref="R237">MIN(IF((DiscreteStatsTable[GroupByKey]=DiscreteStatsTable[[#This Row],[GroupByKey]]),(DiscreteStatsTable[GroupByKey]=DiscreteStatsTable[[#This Row],[GroupByKey]])*DiscreteStatsTable[Average]))</f>
        <v>9.9911380352607004</v>
      </c>
      <c r="S237" cm="1">
        <f t="array" ref="S237">MAX(IF((DiscreteStatsTable[GroupByKey]=DiscreteStatsTable[[#This Row],[GroupByKey]]),(DiscreteStatsTable[GroupByKey]=DiscreteStatsTable[[#This Row],[GroupByKey]])*DiscreteStatsTable[Average]))</f>
        <v>10.011974603825999</v>
      </c>
      <c r="T237" cm="1">
        <f t="array" ref="T237">MIN(IF((DiscreteStatsTable[GroupByKey]=DiscreteStatsTable[[#This Row],[GroupByKey]]),(DiscreteStatsTable[GroupByKey]=DiscreteStatsTable[[#This Row],[GroupByKey]])*DiscreteStatsTable[Minimum]))</f>
        <v>8.0092385134193993</v>
      </c>
      <c r="U237" cm="1">
        <f t="array" ref="U237">MAX(IF((DiscreteStatsTable[GroupByKey]=DiscreteStatsTable[[#This Row],[GroupByKey]]),(DiscreteStatsTable[GroupByKey]=DiscreteStatsTable[[#This Row],[GroupByKey]])*DiscreteStatsTable[Maximum]))</f>
        <v>11.9866256384412</v>
      </c>
      <c r="V237" cm="1">
        <f t="array" ref="V237">IFERROR(AVERAGE(IF((DiscreteStatsTable[GroupByKey]=DiscreteStatsTable[[#This Row],[GroupByKey]]),(DiscreteStatsTable[GroupByKey]=DiscreteStatsTable[[#This Row],[GroupByKey]])*DiscreteStatsTable[NumberObservations])),0)</f>
        <v>8233.5</v>
      </c>
      <c r="W237">
        <f>IF((DiscreteStatsTable[[#This Row],[RepsRequested]]&gt;1),DiscreteStatsTable[[#This Row],[HalfWidth]],DiscreteStatsTable[[#This Row],[BatchMeansHalfWidth]])</f>
        <v>4.8265450428722455E-3</v>
      </c>
      <c r="X237" cm="1">
        <f t="array" ref="X237">COUNT(IF((DiscreteStatsTable[GroupByKey]=DiscreteStatsTable[[#This Row],[GroupByKey]]),(DiscreteStatsTable[GroupByKey]=DiscreteStatsTable[[#This Row],[GroupByKey]])*DiscreteStatsTable[Replication]))</f>
        <v>10</v>
      </c>
      <c r="Y237">
        <f>IF(DiscreteStatsTable[[#This Row],[RepsRequested]]=DiscreteStatsTable[[#This Row],[RepsWithStatObserved]],1,0)</f>
        <v>1</v>
      </c>
    </row>
    <row r="238" spans="1:25" x14ac:dyDescent="0.25">
      <c r="A238" t="s">
        <v>67</v>
      </c>
      <c r="B238" t="s">
        <v>243</v>
      </c>
      <c r="C238">
        <v>9</v>
      </c>
      <c r="D238" t="s">
        <v>94</v>
      </c>
      <c r="E238" t="s">
        <v>88</v>
      </c>
      <c r="F238" t="s">
        <v>87</v>
      </c>
      <c r="G238">
        <v>10.003550719616699</v>
      </c>
      <c r="H238">
        <v>1.56485749112656E-2</v>
      </c>
      <c r="I238">
        <v>8.0355279146970098</v>
      </c>
      <c r="J238">
        <v>11.981723103788701</v>
      </c>
      <c r="K238">
        <v>8233</v>
      </c>
      <c r="L238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238" cm="1">
        <f t="array" ref="M238">MAX(IF((ProjectInfoTable[ProjectName]=DiscreteStatsTable[[#This Row],[ProjectName]]),(ProjectInfoTable[ProjectName]=DiscreteStatsTable[[#This Row],[ProjectName]])*ProjectInfoTable[NumberOfReplications]))</f>
        <v>10</v>
      </c>
      <c r="N238" cm="1">
        <f t="array" ref="N238">IFERROR(AVERAGE(IF((DiscreteStatsTable[GroupByKey]=DiscreteStatsTable[[#This Row],[GroupByKey]]),(DiscreteStatsTable[GroupByKey]=DiscreteStatsTable[[#This Row],[GroupByKey]])*DiscreteStatsTable[Average])),0)</f>
        <v>10.002421211701932</v>
      </c>
      <c r="O238" cm="1">
        <f t="array" ref="O238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38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38" cm="1">
        <f t="array" ref="R238">MIN(IF((DiscreteStatsTable[GroupByKey]=DiscreteStatsTable[[#This Row],[GroupByKey]]),(DiscreteStatsTable[GroupByKey]=DiscreteStatsTable[[#This Row],[GroupByKey]])*DiscreteStatsTable[Average]))</f>
        <v>9.9911380352607004</v>
      </c>
      <c r="S238" cm="1">
        <f t="array" ref="S238">MAX(IF((DiscreteStatsTable[GroupByKey]=DiscreteStatsTable[[#This Row],[GroupByKey]]),(DiscreteStatsTable[GroupByKey]=DiscreteStatsTable[[#This Row],[GroupByKey]])*DiscreteStatsTable[Average]))</f>
        <v>10.011974603825999</v>
      </c>
      <c r="T238" cm="1">
        <f t="array" ref="T238">MIN(IF((DiscreteStatsTable[GroupByKey]=DiscreteStatsTable[[#This Row],[GroupByKey]]),(DiscreteStatsTable[GroupByKey]=DiscreteStatsTable[[#This Row],[GroupByKey]])*DiscreteStatsTable[Minimum]))</f>
        <v>8.0092385134193993</v>
      </c>
      <c r="U238" cm="1">
        <f t="array" ref="U238">MAX(IF((DiscreteStatsTable[GroupByKey]=DiscreteStatsTable[[#This Row],[GroupByKey]]),(DiscreteStatsTable[GroupByKey]=DiscreteStatsTable[[#This Row],[GroupByKey]])*DiscreteStatsTable[Maximum]))</f>
        <v>11.9866256384412</v>
      </c>
      <c r="V238" cm="1">
        <f t="array" ref="V238">IFERROR(AVERAGE(IF((DiscreteStatsTable[GroupByKey]=DiscreteStatsTable[[#This Row],[GroupByKey]]),(DiscreteStatsTable[GroupByKey]=DiscreteStatsTable[[#This Row],[GroupByKey]])*DiscreteStatsTable[NumberObservations])),0)</f>
        <v>8233.5</v>
      </c>
      <c r="W238">
        <f>IF((DiscreteStatsTable[[#This Row],[RepsRequested]]&gt;1),DiscreteStatsTable[[#This Row],[HalfWidth]],DiscreteStatsTable[[#This Row],[BatchMeansHalfWidth]])</f>
        <v>4.8265450428722455E-3</v>
      </c>
      <c r="X238" cm="1">
        <f t="array" ref="X238">COUNT(IF((DiscreteStatsTable[GroupByKey]=DiscreteStatsTable[[#This Row],[GroupByKey]]),(DiscreteStatsTable[GroupByKey]=DiscreteStatsTable[[#This Row],[GroupByKey]])*DiscreteStatsTable[Replication]))</f>
        <v>10</v>
      </c>
      <c r="Y238">
        <f>IF(DiscreteStatsTable[[#This Row],[RepsRequested]]=DiscreteStatsTable[[#This Row],[RepsWithStatObserved]],1,0)</f>
        <v>1</v>
      </c>
    </row>
    <row r="239" spans="1:25" x14ac:dyDescent="0.25">
      <c r="A239" t="s">
        <v>67</v>
      </c>
      <c r="B239" t="s">
        <v>243</v>
      </c>
      <c r="C239">
        <v>9</v>
      </c>
      <c r="D239" t="s">
        <v>94</v>
      </c>
      <c r="E239" t="s">
        <v>89</v>
      </c>
      <c r="F239" t="s">
        <v>87</v>
      </c>
      <c r="G239">
        <v>10.003550719616699</v>
      </c>
      <c r="H239">
        <v>1.56485749112656E-2</v>
      </c>
      <c r="I239">
        <v>8.0355279146970098</v>
      </c>
      <c r="J239">
        <v>11.981723103788701</v>
      </c>
      <c r="K239">
        <v>8233</v>
      </c>
      <c r="L239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239" cm="1">
        <f t="array" ref="M239">MAX(IF((ProjectInfoTable[ProjectName]=DiscreteStatsTable[[#This Row],[ProjectName]]),(ProjectInfoTable[ProjectName]=DiscreteStatsTable[[#This Row],[ProjectName]])*ProjectInfoTable[NumberOfReplications]))</f>
        <v>10</v>
      </c>
      <c r="N239" cm="1">
        <f t="array" ref="N239">IFERROR(AVERAGE(IF((DiscreteStatsTable[GroupByKey]=DiscreteStatsTable[[#This Row],[GroupByKey]]),(DiscreteStatsTable[GroupByKey]=DiscreteStatsTable[[#This Row],[GroupByKey]])*DiscreteStatsTable[Average])),0)</f>
        <v>10.002421211701932</v>
      </c>
      <c r="O239" cm="1">
        <f t="array" ref="O239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39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39" cm="1">
        <f t="array" ref="R239">MIN(IF((DiscreteStatsTable[GroupByKey]=DiscreteStatsTable[[#This Row],[GroupByKey]]),(DiscreteStatsTable[GroupByKey]=DiscreteStatsTable[[#This Row],[GroupByKey]])*DiscreteStatsTable[Average]))</f>
        <v>9.9911380352607004</v>
      </c>
      <c r="S239" cm="1">
        <f t="array" ref="S239">MAX(IF((DiscreteStatsTable[GroupByKey]=DiscreteStatsTable[[#This Row],[GroupByKey]]),(DiscreteStatsTable[GroupByKey]=DiscreteStatsTable[[#This Row],[GroupByKey]])*DiscreteStatsTable[Average]))</f>
        <v>10.011974603825999</v>
      </c>
      <c r="T239" cm="1">
        <f t="array" ref="T239">MIN(IF((DiscreteStatsTable[GroupByKey]=DiscreteStatsTable[[#This Row],[GroupByKey]]),(DiscreteStatsTable[GroupByKey]=DiscreteStatsTable[[#This Row],[GroupByKey]])*DiscreteStatsTable[Minimum]))</f>
        <v>8.0092385134193993</v>
      </c>
      <c r="U239" cm="1">
        <f t="array" ref="U239">MAX(IF((DiscreteStatsTable[GroupByKey]=DiscreteStatsTable[[#This Row],[GroupByKey]]),(DiscreteStatsTable[GroupByKey]=DiscreteStatsTable[[#This Row],[GroupByKey]])*DiscreteStatsTable[Maximum]))</f>
        <v>11.9866256384412</v>
      </c>
      <c r="V239" cm="1">
        <f t="array" ref="V239">IFERROR(AVERAGE(IF((DiscreteStatsTable[GroupByKey]=DiscreteStatsTable[[#This Row],[GroupByKey]]),(DiscreteStatsTable[GroupByKey]=DiscreteStatsTable[[#This Row],[GroupByKey]])*DiscreteStatsTable[NumberObservations])),0)</f>
        <v>8233.5</v>
      </c>
      <c r="W239">
        <f>IF((DiscreteStatsTable[[#This Row],[RepsRequested]]&gt;1),DiscreteStatsTable[[#This Row],[HalfWidth]],DiscreteStatsTable[[#This Row],[BatchMeansHalfWidth]])</f>
        <v>4.8265450428722455E-3</v>
      </c>
      <c r="X239" cm="1">
        <f t="array" ref="X239">COUNT(IF((DiscreteStatsTable[GroupByKey]=DiscreteStatsTable[[#This Row],[GroupByKey]]),(DiscreteStatsTable[GroupByKey]=DiscreteStatsTable[[#This Row],[GroupByKey]])*DiscreteStatsTable[Replication]))</f>
        <v>10</v>
      </c>
      <c r="Y239">
        <f>IF(DiscreteStatsTable[[#This Row],[RepsRequested]]=DiscreteStatsTable[[#This Row],[RepsWithStatObserved]],1,0)</f>
        <v>1</v>
      </c>
    </row>
    <row r="240" spans="1:25" x14ac:dyDescent="0.25">
      <c r="A240" t="s">
        <v>67</v>
      </c>
      <c r="B240" t="s">
        <v>243</v>
      </c>
      <c r="C240">
        <v>10</v>
      </c>
      <c r="D240" t="s">
        <v>94</v>
      </c>
      <c r="E240" t="s">
        <v>88</v>
      </c>
      <c r="F240" t="s">
        <v>87</v>
      </c>
      <c r="G240">
        <v>9.99824808434186</v>
      </c>
      <c r="H240">
        <v>2.13884169990236E-2</v>
      </c>
      <c r="I240">
        <v>8.0366944667766802</v>
      </c>
      <c r="J240">
        <v>11.968644587439501</v>
      </c>
      <c r="K240">
        <v>8233</v>
      </c>
      <c r="L240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240" cm="1">
        <f t="array" ref="M240">MAX(IF((ProjectInfoTable[ProjectName]=DiscreteStatsTable[[#This Row],[ProjectName]]),(ProjectInfoTable[ProjectName]=DiscreteStatsTable[[#This Row],[ProjectName]])*ProjectInfoTable[NumberOfReplications]))</f>
        <v>10</v>
      </c>
      <c r="N240" cm="1">
        <f t="array" ref="N240">IFERROR(AVERAGE(IF((DiscreteStatsTable[GroupByKey]=DiscreteStatsTable[[#This Row],[GroupByKey]]),(DiscreteStatsTable[GroupByKey]=DiscreteStatsTable[[#This Row],[GroupByKey]])*DiscreteStatsTable[Average])),0)</f>
        <v>10.002421211701932</v>
      </c>
      <c r="O240" cm="1">
        <f t="array" ref="O240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40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40" cm="1">
        <f t="array" ref="R240">MIN(IF((DiscreteStatsTable[GroupByKey]=DiscreteStatsTable[[#This Row],[GroupByKey]]),(DiscreteStatsTable[GroupByKey]=DiscreteStatsTable[[#This Row],[GroupByKey]])*DiscreteStatsTable[Average]))</f>
        <v>9.9911380352607004</v>
      </c>
      <c r="S240" cm="1">
        <f t="array" ref="S240">MAX(IF((DiscreteStatsTable[GroupByKey]=DiscreteStatsTable[[#This Row],[GroupByKey]]),(DiscreteStatsTable[GroupByKey]=DiscreteStatsTable[[#This Row],[GroupByKey]])*DiscreteStatsTable[Average]))</f>
        <v>10.011974603825999</v>
      </c>
      <c r="T240" cm="1">
        <f t="array" ref="T240">MIN(IF((DiscreteStatsTable[GroupByKey]=DiscreteStatsTable[[#This Row],[GroupByKey]]),(DiscreteStatsTable[GroupByKey]=DiscreteStatsTable[[#This Row],[GroupByKey]])*DiscreteStatsTable[Minimum]))</f>
        <v>8.0092385134193993</v>
      </c>
      <c r="U240" cm="1">
        <f t="array" ref="U240">MAX(IF((DiscreteStatsTable[GroupByKey]=DiscreteStatsTable[[#This Row],[GroupByKey]]),(DiscreteStatsTable[GroupByKey]=DiscreteStatsTable[[#This Row],[GroupByKey]])*DiscreteStatsTable[Maximum]))</f>
        <v>11.9866256384412</v>
      </c>
      <c r="V240" cm="1">
        <f t="array" ref="V240">IFERROR(AVERAGE(IF((DiscreteStatsTable[GroupByKey]=DiscreteStatsTable[[#This Row],[GroupByKey]]),(DiscreteStatsTable[GroupByKey]=DiscreteStatsTable[[#This Row],[GroupByKey]])*DiscreteStatsTable[NumberObservations])),0)</f>
        <v>8233.5</v>
      </c>
      <c r="W240">
        <f>IF((DiscreteStatsTable[[#This Row],[RepsRequested]]&gt;1),DiscreteStatsTable[[#This Row],[HalfWidth]],DiscreteStatsTable[[#This Row],[BatchMeansHalfWidth]])</f>
        <v>4.8265450428722455E-3</v>
      </c>
      <c r="X240" cm="1">
        <f t="array" ref="X240">COUNT(IF((DiscreteStatsTable[GroupByKey]=DiscreteStatsTable[[#This Row],[GroupByKey]]),(DiscreteStatsTable[GroupByKey]=DiscreteStatsTable[[#This Row],[GroupByKey]])*DiscreteStatsTable[Replication]))</f>
        <v>10</v>
      </c>
      <c r="Y240">
        <f>IF(DiscreteStatsTable[[#This Row],[RepsRequested]]=DiscreteStatsTable[[#This Row],[RepsWithStatObserved]],1,0)</f>
        <v>1</v>
      </c>
    </row>
    <row r="241" spans="1:25" x14ac:dyDescent="0.25">
      <c r="A241" t="s">
        <v>67</v>
      </c>
      <c r="B241" t="s">
        <v>243</v>
      </c>
      <c r="C241">
        <v>10</v>
      </c>
      <c r="D241" t="s">
        <v>94</v>
      </c>
      <c r="E241" t="s">
        <v>89</v>
      </c>
      <c r="F241" t="s">
        <v>87</v>
      </c>
      <c r="G241">
        <v>9.99824808434186</v>
      </c>
      <c r="H241">
        <v>2.13884169990236E-2</v>
      </c>
      <c r="I241">
        <v>8.0366944667766802</v>
      </c>
      <c r="J241">
        <v>11.968644587439501</v>
      </c>
      <c r="K241">
        <v>8233</v>
      </c>
      <c r="L241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241" cm="1">
        <f t="array" ref="M241">MAX(IF((ProjectInfoTable[ProjectName]=DiscreteStatsTable[[#This Row],[ProjectName]]),(ProjectInfoTable[ProjectName]=DiscreteStatsTable[[#This Row],[ProjectName]])*ProjectInfoTable[NumberOfReplications]))</f>
        <v>10</v>
      </c>
      <c r="N241" cm="1">
        <f t="array" ref="N241">IFERROR(AVERAGE(IF((DiscreteStatsTable[GroupByKey]=DiscreteStatsTable[[#This Row],[GroupByKey]]),(DiscreteStatsTable[GroupByKey]=DiscreteStatsTable[[#This Row],[GroupByKey]])*DiscreteStatsTable[Average])),0)</f>
        <v>10.002421211701932</v>
      </c>
      <c r="O241" cm="1">
        <f t="array" ref="O241">IFERROR(_xlfn.STDEV.S(IF((DiscreteStatsTable[GroupByKey]=DiscreteStatsTable[[#This Row],[GroupByKey]]),(DiscreteStatsTable[GroupByKey]=DiscreteStatsTable[[#This Row],[GroupByKey]])*DiscreteStatsTable[Average])),0)</f>
        <v>6.7470447305224895E-3</v>
      </c>
      <c r="P241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4.8265450428722455E-3</v>
      </c>
      <c r="R241" cm="1">
        <f t="array" ref="R241">MIN(IF((DiscreteStatsTable[GroupByKey]=DiscreteStatsTable[[#This Row],[GroupByKey]]),(DiscreteStatsTable[GroupByKey]=DiscreteStatsTable[[#This Row],[GroupByKey]])*DiscreteStatsTable[Average]))</f>
        <v>9.9911380352607004</v>
      </c>
      <c r="S241" cm="1">
        <f t="array" ref="S241">MAX(IF((DiscreteStatsTable[GroupByKey]=DiscreteStatsTable[[#This Row],[GroupByKey]]),(DiscreteStatsTable[GroupByKey]=DiscreteStatsTable[[#This Row],[GroupByKey]])*DiscreteStatsTable[Average]))</f>
        <v>10.011974603825999</v>
      </c>
      <c r="T241" cm="1">
        <f t="array" ref="T241">MIN(IF((DiscreteStatsTable[GroupByKey]=DiscreteStatsTable[[#This Row],[GroupByKey]]),(DiscreteStatsTable[GroupByKey]=DiscreteStatsTable[[#This Row],[GroupByKey]])*DiscreteStatsTable[Minimum]))</f>
        <v>8.0092385134193993</v>
      </c>
      <c r="U241" cm="1">
        <f t="array" ref="U241">MAX(IF((DiscreteStatsTable[GroupByKey]=DiscreteStatsTable[[#This Row],[GroupByKey]]),(DiscreteStatsTable[GroupByKey]=DiscreteStatsTable[[#This Row],[GroupByKey]])*DiscreteStatsTable[Maximum]))</f>
        <v>11.9866256384412</v>
      </c>
      <c r="V241" cm="1">
        <f t="array" ref="V241">IFERROR(AVERAGE(IF((DiscreteStatsTable[GroupByKey]=DiscreteStatsTable[[#This Row],[GroupByKey]]),(DiscreteStatsTable[GroupByKey]=DiscreteStatsTable[[#This Row],[GroupByKey]])*DiscreteStatsTable[NumberObservations])),0)</f>
        <v>8233.5</v>
      </c>
      <c r="W241">
        <f>IF((DiscreteStatsTable[[#This Row],[RepsRequested]]&gt;1),DiscreteStatsTable[[#This Row],[HalfWidth]],DiscreteStatsTable[[#This Row],[BatchMeansHalfWidth]])</f>
        <v>4.8265450428722455E-3</v>
      </c>
      <c r="X241" cm="1">
        <f t="array" ref="X241">COUNT(IF((DiscreteStatsTable[GroupByKey]=DiscreteStatsTable[[#This Row],[GroupByKey]]),(DiscreteStatsTable[GroupByKey]=DiscreteStatsTable[[#This Row],[GroupByKey]])*DiscreteStatsTable[Replication]))</f>
        <v>10</v>
      </c>
      <c r="Y241">
        <f>IF(DiscreteStatsTable[[#This Row],[RepsRequested]]=DiscreteStatsTable[[#This Row],[RepsWithStatObserved]],1,0)</f>
        <v>1</v>
      </c>
    </row>
    <row r="242" spans="1:25" x14ac:dyDescent="0.25">
      <c r="A242" t="s">
        <v>67</v>
      </c>
      <c r="B242" t="s">
        <v>243</v>
      </c>
      <c r="C242">
        <v>1</v>
      </c>
      <c r="D242" t="s">
        <v>95</v>
      </c>
      <c r="E242" t="s">
        <v>88</v>
      </c>
      <c r="F242" t="s">
        <v>87</v>
      </c>
      <c r="G242">
        <v>24.995299807122699</v>
      </c>
      <c r="H242">
        <v>5.2681499230992197E-2</v>
      </c>
      <c r="I242">
        <v>20.0278216734296</v>
      </c>
      <c r="J242">
        <v>29.911956784955699</v>
      </c>
      <c r="K242">
        <v>8233</v>
      </c>
      <c r="L242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242" cm="1">
        <f t="array" ref="M242">MAX(IF((ProjectInfoTable[ProjectName]=DiscreteStatsTable[[#This Row],[ProjectName]]),(ProjectInfoTable[ProjectName]=DiscreteStatsTable[[#This Row],[ProjectName]])*ProjectInfoTable[NumberOfReplications]))</f>
        <v>10</v>
      </c>
      <c r="N242" cm="1">
        <f t="array" ref="N242">IFERROR(AVERAGE(IF((DiscreteStatsTable[GroupByKey]=DiscreteStatsTable[[#This Row],[GroupByKey]]),(DiscreteStatsTable[GroupByKey]=DiscreteStatsTable[[#This Row],[GroupByKey]])*DiscreteStatsTable[Average])),0)</f>
        <v>24.999394482822233</v>
      </c>
      <c r="O242" cm="1">
        <f t="array" ref="O242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42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42" cm="1">
        <f t="array" ref="R242">MIN(IF((DiscreteStatsTable[GroupByKey]=DiscreteStatsTable[[#This Row],[GroupByKey]]),(DiscreteStatsTable[GroupByKey]=DiscreteStatsTable[[#This Row],[GroupByKey]])*DiscreteStatsTable[Average]))</f>
        <v>24.942847707903098</v>
      </c>
      <c r="S242" cm="1">
        <f t="array" ref="S242">MAX(IF((DiscreteStatsTable[GroupByKey]=DiscreteStatsTable[[#This Row],[GroupByKey]]),(DiscreteStatsTable[GroupByKey]=DiscreteStatsTable[[#This Row],[GroupByKey]])*DiscreteStatsTable[Average]))</f>
        <v>25.056285315306301</v>
      </c>
      <c r="T242" cm="1">
        <f t="array" ref="T242">MIN(IF((DiscreteStatsTable[GroupByKey]=DiscreteStatsTable[[#This Row],[GroupByKey]]),(DiscreteStatsTable[GroupByKey]=DiscreteStatsTable[[#This Row],[GroupByKey]])*DiscreteStatsTable[Minimum]))</f>
        <v>20.016987700117198</v>
      </c>
      <c r="U242" cm="1">
        <f t="array" ref="U242">MAX(IF((DiscreteStatsTable[GroupByKey]=DiscreteStatsTable[[#This Row],[GroupByKey]]),(DiscreteStatsTable[GroupByKey]=DiscreteStatsTable[[#This Row],[GroupByKey]])*DiscreteStatsTable[Maximum]))</f>
        <v>29.972357785853099</v>
      </c>
      <c r="V242" cm="1">
        <f t="array" ref="V242">IFERROR(AVERAGE(IF((DiscreteStatsTable[GroupByKey]=DiscreteStatsTable[[#This Row],[GroupByKey]]),(DiscreteStatsTable[GroupByKey]=DiscreteStatsTable[[#This Row],[GroupByKey]])*DiscreteStatsTable[NumberObservations])),0)</f>
        <v>8231.5</v>
      </c>
      <c r="W242">
        <f>IF((DiscreteStatsTable[[#This Row],[RepsRequested]]&gt;1),DiscreteStatsTable[[#This Row],[HalfWidth]],DiscreteStatsTable[[#This Row],[BatchMeansHalfWidth]])</f>
        <v>2.1064482318963271E-2</v>
      </c>
      <c r="X242" cm="1">
        <f t="array" ref="X242">COUNT(IF((DiscreteStatsTable[GroupByKey]=DiscreteStatsTable[[#This Row],[GroupByKey]]),(DiscreteStatsTable[GroupByKey]=DiscreteStatsTable[[#This Row],[GroupByKey]])*DiscreteStatsTable[Replication]))</f>
        <v>10</v>
      </c>
      <c r="Y242">
        <f>IF(DiscreteStatsTable[[#This Row],[RepsRequested]]=DiscreteStatsTable[[#This Row],[RepsWithStatObserved]],1,0)</f>
        <v>1</v>
      </c>
    </row>
    <row r="243" spans="1:25" x14ac:dyDescent="0.25">
      <c r="A243" t="s">
        <v>67</v>
      </c>
      <c r="B243" t="s">
        <v>243</v>
      </c>
      <c r="C243">
        <v>1</v>
      </c>
      <c r="D243" t="s">
        <v>95</v>
      </c>
      <c r="E243" t="s">
        <v>89</v>
      </c>
      <c r="F243" t="s">
        <v>87</v>
      </c>
      <c r="G243">
        <v>24.995299807122699</v>
      </c>
      <c r="H243">
        <v>5.2681499230992197E-2</v>
      </c>
      <c r="I243">
        <v>20.0278216734296</v>
      </c>
      <c r="J243">
        <v>29.911956784955699</v>
      </c>
      <c r="K243">
        <v>8233</v>
      </c>
      <c r="L243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243" cm="1">
        <f t="array" ref="M243">MAX(IF((ProjectInfoTable[ProjectName]=DiscreteStatsTable[[#This Row],[ProjectName]]),(ProjectInfoTable[ProjectName]=DiscreteStatsTable[[#This Row],[ProjectName]])*ProjectInfoTable[NumberOfReplications]))</f>
        <v>10</v>
      </c>
      <c r="N243" cm="1">
        <f t="array" ref="N243">IFERROR(AVERAGE(IF((DiscreteStatsTable[GroupByKey]=DiscreteStatsTable[[#This Row],[GroupByKey]]),(DiscreteStatsTable[GroupByKey]=DiscreteStatsTable[[#This Row],[GroupByKey]])*DiscreteStatsTable[Average])),0)</f>
        <v>24.999394482822233</v>
      </c>
      <c r="O243" cm="1">
        <f t="array" ref="O243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43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43" cm="1">
        <f t="array" ref="R243">MIN(IF((DiscreteStatsTable[GroupByKey]=DiscreteStatsTable[[#This Row],[GroupByKey]]),(DiscreteStatsTable[GroupByKey]=DiscreteStatsTable[[#This Row],[GroupByKey]])*DiscreteStatsTable[Average]))</f>
        <v>24.942847707903098</v>
      </c>
      <c r="S243" cm="1">
        <f t="array" ref="S243">MAX(IF((DiscreteStatsTable[GroupByKey]=DiscreteStatsTable[[#This Row],[GroupByKey]]),(DiscreteStatsTable[GroupByKey]=DiscreteStatsTable[[#This Row],[GroupByKey]])*DiscreteStatsTable[Average]))</f>
        <v>25.056285315306301</v>
      </c>
      <c r="T243" cm="1">
        <f t="array" ref="T243">MIN(IF((DiscreteStatsTable[GroupByKey]=DiscreteStatsTable[[#This Row],[GroupByKey]]),(DiscreteStatsTable[GroupByKey]=DiscreteStatsTable[[#This Row],[GroupByKey]])*DiscreteStatsTable[Minimum]))</f>
        <v>20.016987700117198</v>
      </c>
      <c r="U243" cm="1">
        <f t="array" ref="U243">MAX(IF((DiscreteStatsTable[GroupByKey]=DiscreteStatsTable[[#This Row],[GroupByKey]]),(DiscreteStatsTable[GroupByKey]=DiscreteStatsTable[[#This Row],[GroupByKey]])*DiscreteStatsTable[Maximum]))</f>
        <v>29.972357785853099</v>
      </c>
      <c r="V243" cm="1">
        <f t="array" ref="V243">IFERROR(AVERAGE(IF((DiscreteStatsTable[GroupByKey]=DiscreteStatsTable[[#This Row],[GroupByKey]]),(DiscreteStatsTable[GroupByKey]=DiscreteStatsTable[[#This Row],[GroupByKey]])*DiscreteStatsTable[NumberObservations])),0)</f>
        <v>8231.5</v>
      </c>
      <c r="W243">
        <f>IF((DiscreteStatsTable[[#This Row],[RepsRequested]]&gt;1),DiscreteStatsTable[[#This Row],[HalfWidth]],DiscreteStatsTable[[#This Row],[BatchMeansHalfWidth]])</f>
        <v>2.1064482318963271E-2</v>
      </c>
      <c r="X243" cm="1">
        <f t="array" ref="X243">COUNT(IF((DiscreteStatsTable[GroupByKey]=DiscreteStatsTable[[#This Row],[GroupByKey]]),(DiscreteStatsTable[GroupByKey]=DiscreteStatsTable[[#This Row],[GroupByKey]])*DiscreteStatsTable[Replication]))</f>
        <v>10</v>
      </c>
      <c r="Y243">
        <f>IF(DiscreteStatsTable[[#This Row],[RepsRequested]]=DiscreteStatsTable[[#This Row],[RepsWithStatObserved]],1,0)</f>
        <v>1</v>
      </c>
    </row>
    <row r="244" spans="1:25" x14ac:dyDescent="0.25">
      <c r="A244" t="s">
        <v>67</v>
      </c>
      <c r="B244" t="s">
        <v>243</v>
      </c>
      <c r="C244">
        <v>2</v>
      </c>
      <c r="D244" t="s">
        <v>95</v>
      </c>
      <c r="E244" t="s">
        <v>88</v>
      </c>
      <c r="F244" t="s">
        <v>87</v>
      </c>
      <c r="G244">
        <v>25.008520217034899</v>
      </c>
      <c r="H244">
        <v>3.8229812160573799E-2</v>
      </c>
      <c r="I244">
        <v>20.0216066829162</v>
      </c>
      <c r="J244">
        <v>29.849221347161802</v>
      </c>
      <c r="K244">
        <v>8228</v>
      </c>
      <c r="L244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244" cm="1">
        <f t="array" ref="M244">MAX(IF((ProjectInfoTable[ProjectName]=DiscreteStatsTable[[#This Row],[ProjectName]]),(ProjectInfoTable[ProjectName]=DiscreteStatsTable[[#This Row],[ProjectName]])*ProjectInfoTable[NumberOfReplications]))</f>
        <v>10</v>
      </c>
      <c r="N244" cm="1">
        <f t="array" ref="N244">IFERROR(AVERAGE(IF((DiscreteStatsTable[GroupByKey]=DiscreteStatsTable[[#This Row],[GroupByKey]]),(DiscreteStatsTable[GroupByKey]=DiscreteStatsTable[[#This Row],[GroupByKey]])*DiscreteStatsTable[Average])),0)</f>
        <v>24.999394482822233</v>
      </c>
      <c r="O244" cm="1">
        <f t="array" ref="O244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44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44" cm="1">
        <f t="array" ref="R244">MIN(IF((DiscreteStatsTable[GroupByKey]=DiscreteStatsTable[[#This Row],[GroupByKey]]),(DiscreteStatsTable[GroupByKey]=DiscreteStatsTable[[#This Row],[GroupByKey]])*DiscreteStatsTable[Average]))</f>
        <v>24.942847707903098</v>
      </c>
      <c r="S244" cm="1">
        <f t="array" ref="S244">MAX(IF((DiscreteStatsTable[GroupByKey]=DiscreteStatsTable[[#This Row],[GroupByKey]]),(DiscreteStatsTable[GroupByKey]=DiscreteStatsTable[[#This Row],[GroupByKey]])*DiscreteStatsTable[Average]))</f>
        <v>25.056285315306301</v>
      </c>
      <c r="T244" cm="1">
        <f t="array" ref="T244">MIN(IF((DiscreteStatsTable[GroupByKey]=DiscreteStatsTable[[#This Row],[GroupByKey]]),(DiscreteStatsTable[GroupByKey]=DiscreteStatsTable[[#This Row],[GroupByKey]])*DiscreteStatsTable[Minimum]))</f>
        <v>20.016987700117198</v>
      </c>
      <c r="U244" cm="1">
        <f t="array" ref="U244">MAX(IF((DiscreteStatsTable[GroupByKey]=DiscreteStatsTable[[#This Row],[GroupByKey]]),(DiscreteStatsTable[GroupByKey]=DiscreteStatsTable[[#This Row],[GroupByKey]])*DiscreteStatsTable[Maximum]))</f>
        <v>29.972357785853099</v>
      </c>
      <c r="V244" cm="1">
        <f t="array" ref="V244">IFERROR(AVERAGE(IF((DiscreteStatsTable[GroupByKey]=DiscreteStatsTable[[#This Row],[GroupByKey]]),(DiscreteStatsTable[GroupByKey]=DiscreteStatsTable[[#This Row],[GroupByKey]])*DiscreteStatsTable[NumberObservations])),0)</f>
        <v>8231.5</v>
      </c>
      <c r="W244">
        <f>IF((DiscreteStatsTable[[#This Row],[RepsRequested]]&gt;1),DiscreteStatsTable[[#This Row],[HalfWidth]],DiscreteStatsTable[[#This Row],[BatchMeansHalfWidth]])</f>
        <v>2.1064482318963271E-2</v>
      </c>
      <c r="X244" cm="1">
        <f t="array" ref="X244">COUNT(IF((DiscreteStatsTable[GroupByKey]=DiscreteStatsTable[[#This Row],[GroupByKey]]),(DiscreteStatsTable[GroupByKey]=DiscreteStatsTable[[#This Row],[GroupByKey]])*DiscreteStatsTable[Replication]))</f>
        <v>10</v>
      </c>
      <c r="Y244">
        <f>IF(DiscreteStatsTable[[#This Row],[RepsRequested]]=DiscreteStatsTable[[#This Row],[RepsWithStatObserved]],1,0)</f>
        <v>1</v>
      </c>
    </row>
    <row r="245" spans="1:25" x14ac:dyDescent="0.25">
      <c r="A245" t="s">
        <v>67</v>
      </c>
      <c r="B245" t="s">
        <v>243</v>
      </c>
      <c r="C245">
        <v>2</v>
      </c>
      <c r="D245" t="s">
        <v>95</v>
      </c>
      <c r="E245" t="s">
        <v>89</v>
      </c>
      <c r="F245" t="s">
        <v>87</v>
      </c>
      <c r="G245">
        <v>25.008520217034899</v>
      </c>
      <c r="H245">
        <v>3.8229812160573799E-2</v>
      </c>
      <c r="I245">
        <v>20.0216066829162</v>
      </c>
      <c r="J245">
        <v>29.849221347161802</v>
      </c>
      <c r="K245">
        <v>8228</v>
      </c>
      <c r="L245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245" cm="1">
        <f t="array" ref="M245">MAX(IF((ProjectInfoTable[ProjectName]=DiscreteStatsTable[[#This Row],[ProjectName]]),(ProjectInfoTable[ProjectName]=DiscreteStatsTable[[#This Row],[ProjectName]])*ProjectInfoTable[NumberOfReplications]))</f>
        <v>10</v>
      </c>
      <c r="N245" cm="1">
        <f t="array" ref="N245">IFERROR(AVERAGE(IF((DiscreteStatsTable[GroupByKey]=DiscreteStatsTable[[#This Row],[GroupByKey]]),(DiscreteStatsTable[GroupByKey]=DiscreteStatsTable[[#This Row],[GroupByKey]])*DiscreteStatsTable[Average])),0)</f>
        <v>24.999394482822233</v>
      </c>
      <c r="O245" cm="1">
        <f t="array" ref="O245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4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45" cm="1">
        <f t="array" ref="R245">MIN(IF((DiscreteStatsTable[GroupByKey]=DiscreteStatsTable[[#This Row],[GroupByKey]]),(DiscreteStatsTable[GroupByKey]=DiscreteStatsTable[[#This Row],[GroupByKey]])*DiscreteStatsTable[Average]))</f>
        <v>24.942847707903098</v>
      </c>
      <c r="S245" cm="1">
        <f t="array" ref="S245">MAX(IF((DiscreteStatsTable[GroupByKey]=DiscreteStatsTable[[#This Row],[GroupByKey]]),(DiscreteStatsTable[GroupByKey]=DiscreteStatsTable[[#This Row],[GroupByKey]])*DiscreteStatsTable[Average]))</f>
        <v>25.056285315306301</v>
      </c>
      <c r="T245" cm="1">
        <f t="array" ref="T245">MIN(IF((DiscreteStatsTable[GroupByKey]=DiscreteStatsTable[[#This Row],[GroupByKey]]),(DiscreteStatsTable[GroupByKey]=DiscreteStatsTable[[#This Row],[GroupByKey]])*DiscreteStatsTable[Minimum]))</f>
        <v>20.016987700117198</v>
      </c>
      <c r="U245" cm="1">
        <f t="array" ref="U245">MAX(IF((DiscreteStatsTable[GroupByKey]=DiscreteStatsTable[[#This Row],[GroupByKey]]),(DiscreteStatsTable[GroupByKey]=DiscreteStatsTable[[#This Row],[GroupByKey]])*DiscreteStatsTable[Maximum]))</f>
        <v>29.972357785853099</v>
      </c>
      <c r="V245" cm="1">
        <f t="array" ref="V245">IFERROR(AVERAGE(IF((DiscreteStatsTable[GroupByKey]=DiscreteStatsTable[[#This Row],[GroupByKey]]),(DiscreteStatsTable[GroupByKey]=DiscreteStatsTable[[#This Row],[GroupByKey]])*DiscreteStatsTable[NumberObservations])),0)</f>
        <v>8231.5</v>
      </c>
      <c r="W245">
        <f>IF((DiscreteStatsTable[[#This Row],[RepsRequested]]&gt;1),DiscreteStatsTable[[#This Row],[HalfWidth]],DiscreteStatsTable[[#This Row],[BatchMeansHalfWidth]])</f>
        <v>2.1064482318963271E-2</v>
      </c>
      <c r="X245" cm="1">
        <f t="array" ref="X245">COUNT(IF((DiscreteStatsTable[GroupByKey]=DiscreteStatsTable[[#This Row],[GroupByKey]]),(DiscreteStatsTable[GroupByKey]=DiscreteStatsTable[[#This Row],[GroupByKey]])*DiscreteStatsTable[Replication]))</f>
        <v>10</v>
      </c>
      <c r="Y245">
        <f>IF(DiscreteStatsTable[[#This Row],[RepsRequested]]=DiscreteStatsTable[[#This Row],[RepsWithStatObserved]],1,0)</f>
        <v>1</v>
      </c>
    </row>
    <row r="246" spans="1:25" x14ac:dyDescent="0.25">
      <c r="A246" t="s">
        <v>67</v>
      </c>
      <c r="B246" t="s">
        <v>243</v>
      </c>
      <c r="C246">
        <v>3</v>
      </c>
      <c r="D246" t="s">
        <v>95</v>
      </c>
      <c r="E246" t="s">
        <v>88</v>
      </c>
      <c r="F246" t="s">
        <v>87</v>
      </c>
      <c r="G246">
        <v>24.987699658967699</v>
      </c>
      <c r="H246">
        <v>4.3264737326708699E-2</v>
      </c>
      <c r="I246">
        <v>20.0386143858777</v>
      </c>
      <c r="J246">
        <v>29.9402762132231</v>
      </c>
      <c r="K246">
        <v>8241</v>
      </c>
      <c r="L246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246" cm="1">
        <f t="array" ref="M246">MAX(IF((ProjectInfoTable[ProjectName]=DiscreteStatsTable[[#This Row],[ProjectName]]),(ProjectInfoTable[ProjectName]=DiscreteStatsTable[[#This Row],[ProjectName]])*ProjectInfoTable[NumberOfReplications]))</f>
        <v>10</v>
      </c>
      <c r="N246" cm="1">
        <f t="array" ref="N246">IFERROR(AVERAGE(IF((DiscreteStatsTable[GroupByKey]=DiscreteStatsTable[[#This Row],[GroupByKey]]),(DiscreteStatsTable[GroupByKey]=DiscreteStatsTable[[#This Row],[GroupByKey]])*DiscreteStatsTable[Average])),0)</f>
        <v>24.999394482822233</v>
      </c>
      <c r="O246" cm="1">
        <f t="array" ref="O246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46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46" cm="1">
        <f t="array" ref="R246">MIN(IF((DiscreteStatsTable[GroupByKey]=DiscreteStatsTable[[#This Row],[GroupByKey]]),(DiscreteStatsTable[GroupByKey]=DiscreteStatsTable[[#This Row],[GroupByKey]])*DiscreteStatsTable[Average]))</f>
        <v>24.942847707903098</v>
      </c>
      <c r="S246" cm="1">
        <f t="array" ref="S246">MAX(IF((DiscreteStatsTable[GroupByKey]=DiscreteStatsTable[[#This Row],[GroupByKey]]),(DiscreteStatsTable[GroupByKey]=DiscreteStatsTable[[#This Row],[GroupByKey]])*DiscreteStatsTable[Average]))</f>
        <v>25.056285315306301</v>
      </c>
      <c r="T246" cm="1">
        <f t="array" ref="T246">MIN(IF((DiscreteStatsTable[GroupByKey]=DiscreteStatsTable[[#This Row],[GroupByKey]]),(DiscreteStatsTable[GroupByKey]=DiscreteStatsTable[[#This Row],[GroupByKey]])*DiscreteStatsTable[Minimum]))</f>
        <v>20.016987700117198</v>
      </c>
      <c r="U246" cm="1">
        <f t="array" ref="U246">MAX(IF((DiscreteStatsTable[GroupByKey]=DiscreteStatsTable[[#This Row],[GroupByKey]]),(DiscreteStatsTable[GroupByKey]=DiscreteStatsTable[[#This Row],[GroupByKey]])*DiscreteStatsTable[Maximum]))</f>
        <v>29.972357785853099</v>
      </c>
      <c r="V246" cm="1">
        <f t="array" ref="V246">IFERROR(AVERAGE(IF((DiscreteStatsTable[GroupByKey]=DiscreteStatsTable[[#This Row],[GroupByKey]]),(DiscreteStatsTable[GroupByKey]=DiscreteStatsTable[[#This Row],[GroupByKey]])*DiscreteStatsTable[NumberObservations])),0)</f>
        <v>8231.5</v>
      </c>
      <c r="W246">
        <f>IF((DiscreteStatsTable[[#This Row],[RepsRequested]]&gt;1),DiscreteStatsTable[[#This Row],[HalfWidth]],DiscreteStatsTable[[#This Row],[BatchMeansHalfWidth]])</f>
        <v>2.1064482318963271E-2</v>
      </c>
      <c r="X246" cm="1">
        <f t="array" ref="X246">COUNT(IF((DiscreteStatsTable[GroupByKey]=DiscreteStatsTable[[#This Row],[GroupByKey]]),(DiscreteStatsTable[GroupByKey]=DiscreteStatsTable[[#This Row],[GroupByKey]])*DiscreteStatsTable[Replication]))</f>
        <v>10</v>
      </c>
      <c r="Y246">
        <f>IF(DiscreteStatsTable[[#This Row],[RepsRequested]]=DiscreteStatsTable[[#This Row],[RepsWithStatObserved]],1,0)</f>
        <v>1</v>
      </c>
    </row>
    <row r="247" spans="1:25" x14ac:dyDescent="0.25">
      <c r="A247" t="s">
        <v>67</v>
      </c>
      <c r="B247" t="s">
        <v>243</v>
      </c>
      <c r="C247">
        <v>3</v>
      </c>
      <c r="D247" t="s">
        <v>95</v>
      </c>
      <c r="E247" t="s">
        <v>89</v>
      </c>
      <c r="F247" t="s">
        <v>87</v>
      </c>
      <c r="G247">
        <v>24.987699658967699</v>
      </c>
      <c r="H247">
        <v>4.3264737326708699E-2</v>
      </c>
      <c r="I247">
        <v>20.0386143858777</v>
      </c>
      <c r="J247">
        <v>29.9402762132231</v>
      </c>
      <c r="K247">
        <v>8241</v>
      </c>
      <c r="L247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247" cm="1">
        <f t="array" ref="M247">MAX(IF((ProjectInfoTable[ProjectName]=DiscreteStatsTable[[#This Row],[ProjectName]]),(ProjectInfoTable[ProjectName]=DiscreteStatsTable[[#This Row],[ProjectName]])*ProjectInfoTable[NumberOfReplications]))</f>
        <v>10</v>
      </c>
      <c r="N247" cm="1">
        <f t="array" ref="N247">IFERROR(AVERAGE(IF((DiscreteStatsTable[GroupByKey]=DiscreteStatsTable[[#This Row],[GroupByKey]]),(DiscreteStatsTable[GroupByKey]=DiscreteStatsTable[[#This Row],[GroupByKey]])*DiscreteStatsTable[Average])),0)</f>
        <v>24.999394482822233</v>
      </c>
      <c r="O247" cm="1">
        <f t="array" ref="O247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47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47" cm="1">
        <f t="array" ref="R247">MIN(IF((DiscreteStatsTable[GroupByKey]=DiscreteStatsTable[[#This Row],[GroupByKey]]),(DiscreteStatsTable[GroupByKey]=DiscreteStatsTable[[#This Row],[GroupByKey]])*DiscreteStatsTable[Average]))</f>
        <v>24.942847707903098</v>
      </c>
      <c r="S247" cm="1">
        <f t="array" ref="S247">MAX(IF((DiscreteStatsTable[GroupByKey]=DiscreteStatsTable[[#This Row],[GroupByKey]]),(DiscreteStatsTable[GroupByKey]=DiscreteStatsTable[[#This Row],[GroupByKey]])*DiscreteStatsTable[Average]))</f>
        <v>25.056285315306301</v>
      </c>
      <c r="T247" cm="1">
        <f t="array" ref="T247">MIN(IF((DiscreteStatsTable[GroupByKey]=DiscreteStatsTable[[#This Row],[GroupByKey]]),(DiscreteStatsTable[GroupByKey]=DiscreteStatsTable[[#This Row],[GroupByKey]])*DiscreteStatsTable[Minimum]))</f>
        <v>20.016987700117198</v>
      </c>
      <c r="U247" cm="1">
        <f t="array" ref="U247">MAX(IF((DiscreteStatsTable[GroupByKey]=DiscreteStatsTable[[#This Row],[GroupByKey]]),(DiscreteStatsTable[GroupByKey]=DiscreteStatsTable[[#This Row],[GroupByKey]])*DiscreteStatsTable[Maximum]))</f>
        <v>29.972357785853099</v>
      </c>
      <c r="V247" cm="1">
        <f t="array" ref="V247">IFERROR(AVERAGE(IF((DiscreteStatsTable[GroupByKey]=DiscreteStatsTable[[#This Row],[GroupByKey]]),(DiscreteStatsTable[GroupByKey]=DiscreteStatsTable[[#This Row],[GroupByKey]])*DiscreteStatsTable[NumberObservations])),0)</f>
        <v>8231.5</v>
      </c>
      <c r="W247">
        <f>IF((DiscreteStatsTable[[#This Row],[RepsRequested]]&gt;1),DiscreteStatsTable[[#This Row],[HalfWidth]],DiscreteStatsTable[[#This Row],[BatchMeansHalfWidth]])</f>
        <v>2.1064482318963271E-2</v>
      </c>
      <c r="X247" cm="1">
        <f t="array" ref="X247">COUNT(IF((DiscreteStatsTable[GroupByKey]=DiscreteStatsTable[[#This Row],[GroupByKey]]),(DiscreteStatsTable[GroupByKey]=DiscreteStatsTable[[#This Row],[GroupByKey]])*DiscreteStatsTable[Replication]))</f>
        <v>10</v>
      </c>
      <c r="Y247">
        <f>IF(DiscreteStatsTable[[#This Row],[RepsRequested]]=DiscreteStatsTable[[#This Row],[RepsWithStatObserved]],1,0)</f>
        <v>1</v>
      </c>
    </row>
    <row r="248" spans="1:25" x14ac:dyDescent="0.25">
      <c r="A248" t="s">
        <v>67</v>
      </c>
      <c r="B248" t="s">
        <v>243</v>
      </c>
      <c r="C248">
        <v>4</v>
      </c>
      <c r="D248" t="s">
        <v>95</v>
      </c>
      <c r="E248" t="s">
        <v>88</v>
      </c>
      <c r="F248" t="s">
        <v>87</v>
      </c>
      <c r="G248">
        <v>25.0174749549635</v>
      </c>
      <c r="H248">
        <v>3.6034879039465603E-2</v>
      </c>
      <c r="I248">
        <v>20.053959942539201</v>
      </c>
      <c r="J248">
        <v>29.9310031859786</v>
      </c>
      <c r="K248">
        <v>8230</v>
      </c>
      <c r="L248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248" cm="1">
        <f t="array" ref="M248">MAX(IF((ProjectInfoTable[ProjectName]=DiscreteStatsTable[[#This Row],[ProjectName]]),(ProjectInfoTable[ProjectName]=DiscreteStatsTable[[#This Row],[ProjectName]])*ProjectInfoTable[NumberOfReplications]))</f>
        <v>10</v>
      </c>
      <c r="N248" cm="1">
        <f t="array" ref="N248">IFERROR(AVERAGE(IF((DiscreteStatsTable[GroupByKey]=DiscreteStatsTable[[#This Row],[GroupByKey]]),(DiscreteStatsTable[GroupByKey]=DiscreteStatsTable[[#This Row],[GroupByKey]])*DiscreteStatsTable[Average])),0)</f>
        <v>24.999394482822233</v>
      </c>
      <c r="O248" cm="1">
        <f t="array" ref="O248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48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48" cm="1">
        <f t="array" ref="R248">MIN(IF((DiscreteStatsTable[GroupByKey]=DiscreteStatsTable[[#This Row],[GroupByKey]]),(DiscreteStatsTable[GroupByKey]=DiscreteStatsTable[[#This Row],[GroupByKey]])*DiscreteStatsTable[Average]))</f>
        <v>24.942847707903098</v>
      </c>
      <c r="S248" cm="1">
        <f t="array" ref="S248">MAX(IF((DiscreteStatsTable[GroupByKey]=DiscreteStatsTable[[#This Row],[GroupByKey]]),(DiscreteStatsTable[GroupByKey]=DiscreteStatsTable[[#This Row],[GroupByKey]])*DiscreteStatsTable[Average]))</f>
        <v>25.056285315306301</v>
      </c>
      <c r="T248" cm="1">
        <f t="array" ref="T248">MIN(IF((DiscreteStatsTable[GroupByKey]=DiscreteStatsTable[[#This Row],[GroupByKey]]),(DiscreteStatsTable[GroupByKey]=DiscreteStatsTable[[#This Row],[GroupByKey]])*DiscreteStatsTable[Minimum]))</f>
        <v>20.016987700117198</v>
      </c>
      <c r="U248" cm="1">
        <f t="array" ref="U248">MAX(IF((DiscreteStatsTable[GroupByKey]=DiscreteStatsTable[[#This Row],[GroupByKey]]),(DiscreteStatsTable[GroupByKey]=DiscreteStatsTable[[#This Row],[GroupByKey]])*DiscreteStatsTable[Maximum]))</f>
        <v>29.972357785853099</v>
      </c>
      <c r="V248" cm="1">
        <f t="array" ref="V248">IFERROR(AVERAGE(IF((DiscreteStatsTable[GroupByKey]=DiscreteStatsTable[[#This Row],[GroupByKey]]),(DiscreteStatsTable[GroupByKey]=DiscreteStatsTable[[#This Row],[GroupByKey]])*DiscreteStatsTable[NumberObservations])),0)</f>
        <v>8231.5</v>
      </c>
      <c r="W248">
        <f>IF((DiscreteStatsTable[[#This Row],[RepsRequested]]&gt;1),DiscreteStatsTable[[#This Row],[HalfWidth]],DiscreteStatsTable[[#This Row],[BatchMeansHalfWidth]])</f>
        <v>2.1064482318963271E-2</v>
      </c>
      <c r="X248" cm="1">
        <f t="array" ref="X248">COUNT(IF((DiscreteStatsTable[GroupByKey]=DiscreteStatsTable[[#This Row],[GroupByKey]]),(DiscreteStatsTable[GroupByKey]=DiscreteStatsTable[[#This Row],[GroupByKey]])*DiscreteStatsTable[Replication]))</f>
        <v>10</v>
      </c>
      <c r="Y248">
        <f>IF(DiscreteStatsTable[[#This Row],[RepsRequested]]=DiscreteStatsTable[[#This Row],[RepsWithStatObserved]],1,0)</f>
        <v>1</v>
      </c>
    </row>
    <row r="249" spans="1:25" x14ac:dyDescent="0.25">
      <c r="A249" t="s">
        <v>67</v>
      </c>
      <c r="B249" t="s">
        <v>243</v>
      </c>
      <c r="C249">
        <v>4</v>
      </c>
      <c r="D249" t="s">
        <v>95</v>
      </c>
      <c r="E249" t="s">
        <v>89</v>
      </c>
      <c r="F249" t="s">
        <v>87</v>
      </c>
      <c r="G249">
        <v>25.0174749549635</v>
      </c>
      <c r="H249">
        <v>3.6034879039465603E-2</v>
      </c>
      <c r="I249">
        <v>20.053959942539201</v>
      </c>
      <c r="J249">
        <v>29.9310031859786</v>
      </c>
      <c r="K249">
        <v>8230</v>
      </c>
      <c r="L249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249" cm="1">
        <f t="array" ref="M249">MAX(IF((ProjectInfoTable[ProjectName]=DiscreteStatsTable[[#This Row],[ProjectName]]),(ProjectInfoTable[ProjectName]=DiscreteStatsTable[[#This Row],[ProjectName]])*ProjectInfoTable[NumberOfReplications]))</f>
        <v>10</v>
      </c>
      <c r="N249" cm="1">
        <f t="array" ref="N249">IFERROR(AVERAGE(IF((DiscreteStatsTable[GroupByKey]=DiscreteStatsTable[[#This Row],[GroupByKey]]),(DiscreteStatsTable[GroupByKey]=DiscreteStatsTable[[#This Row],[GroupByKey]])*DiscreteStatsTable[Average])),0)</f>
        <v>24.999394482822233</v>
      </c>
      <c r="O249" cm="1">
        <f t="array" ref="O249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49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49" cm="1">
        <f t="array" ref="R249">MIN(IF((DiscreteStatsTable[GroupByKey]=DiscreteStatsTable[[#This Row],[GroupByKey]]),(DiscreteStatsTable[GroupByKey]=DiscreteStatsTable[[#This Row],[GroupByKey]])*DiscreteStatsTable[Average]))</f>
        <v>24.942847707903098</v>
      </c>
      <c r="S249" cm="1">
        <f t="array" ref="S249">MAX(IF((DiscreteStatsTable[GroupByKey]=DiscreteStatsTable[[#This Row],[GroupByKey]]),(DiscreteStatsTable[GroupByKey]=DiscreteStatsTable[[#This Row],[GroupByKey]])*DiscreteStatsTable[Average]))</f>
        <v>25.056285315306301</v>
      </c>
      <c r="T249" cm="1">
        <f t="array" ref="T249">MIN(IF((DiscreteStatsTable[GroupByKey]=DiscreteStatsTable[[#This Row],[GroupByKey]]),(DiscreteStatsTable[GroupByKey]=DiscreteStatsTable[[#This Row],[GroupByKey]])*DiscreteStatsTable[Minimum]))</f>
        <v>20.016987700117198</v>
      </c>
      <c r="U249" cm="1">
        <f t="array" ref="U249">MAX(IF((DiscreteStatsTable[GroupByKey]=DiscreteStatsTable[[#This Row],[GroupByKey]]),(DiscreteStatsTable[GroupByKey]=DiscreteStatsTable[[#This Row],[GroupByKey]])*DiscreteStatsTable[Maximum]))</f>
        <v>29.972357785853099</v>
      </c>
      <c r="V249" cm="1">
        <f t="array" ref="V249">IFERROR(AVERAGE(IF((DiscreteStatsTable[GroupByKey]=DiscreteStatsTable[[#This Row],[GroupByKey]]),(DiscreteStatsTable[GroupByKey]=DiscreteStatsTable[[#This Row],[GroupByKey]])*DiscreteStatsTable[NumberObservations])),0)</f>
        <v>8231.5</v>
      </c>
      <c r="W249">
        <f>IF((DiscreteStatsTable[[#This Row],[RepsRequested]]&gt;1),DiscreteStatsTable[[#This Row],[HalfWidth]],DiscreteStatsTable[[#This Row],[BatchMeansHalfWidth]])</f>
        <v>2.1064482318963271E-2</v>
      </c>
      <c r="X249" cm="1">
        <f t="array" ref="X249">COUNT(IF((DiscreteStatsTable[GroupByKey]=DiscreteStatsTable[[#This Row],[GroupByKey]]),(DiscreteStatsTable[GroupByKey]=DiscreteStatsTable[[#This Row],[GroupByKey]])*DiscreteStatsTable[Replication]))</f>
        <v>10</v>
      </c>
      <c r="Y249">
        <f>IF(DiscreteStatsTable[[#This Row],[RepsRequested]]=DiscreteStatsTable[[#This Row],[RepsWithStatObserved]],1,0)</f>
        <v>1</v>
      </c>
    </row>
    <row r="250" spans="1:25" x14ac:dyDescent="0.25">
      <c r="A250" t="s">
        <v>67</v>
      </c>
      <c r="B250" t="s">
        <v>243</v>
      </c>
      <c r="C250">
        <v>5</v>
      </c>
      <c r="D250" t="s">
        <v>95</v>
      </c>
      <c r="E250" t="s">
        <v>88</v>
      </c>
      <c r="F250" t="s">
        <v>87</v>
      </c>
      <c r="G250">
        <v>24.942847707903098</v>
      </c>
      <c r="H250">
        <v>4.6337255830383103E-2</v>
      </c>
      <c r="I250">
        <v>20.054173322918398</v>
      </c>
      <c r="J250">
        <v>29.874875972804102</v>
      </c>
      <c r="K250">
        <v>8241</v>
      </c>
      <c r="L250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250" cm="1">
        <f t="array" ref="M250">MAX(IF((ProjectInfoTable[ProjectName]=DiscreteStatsTable[[#This Row],[ProjectName]]),(ProjectInfoTable[ProjectName]=DiscreteStatsTable[[#This Row],[ProjectName]])*ProjectInfoTable[NumberOfReplications]))</f>
        <v>10</v>
      </c>
      <c r="N250" cm="1">
        <f t="array" ref="N250">IFERROR(AVERAGE(IF((DiscreteStatsTable[GroupByKey]=DiscreteStatsTable[[#This Row],[GroupByKey]]),(DiscreteStatsTable[GroupByKey]=DiscreteStatsTable[[#This Row],[GroupByKey]])*DiscreteStatsTable[Average])),0)</f>
        <v>24.999394482822233</v>
      </c>
      <c r="O250" cm="1">
        <f t="array" ref="O250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50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50" cm="1">
        <f t="array" ref="R250">MIN(IF((DiscreteStatsTable[GroupByKey]=DiscreteStatsTable[[#This Row],[GroupByKey]]),(DiscreteStatsTable[GroupByKey]=DiscreteStatsTable[[#This Row],[GroupByKey]])*DiscreteStatsTable[Average]))</f>
        <v>24.942847707903098</v>
      </c>
      <c r="S250" cm="1">
        <f t="array" ref="S250">MAX(IF((DiscreteStatsTable[GroupByKey]=DiscreteStatsTable[[#This Row],[GroupByKey]]),(DiscreteStatsTable[GroupByKey]=DiscreteStatsTable[[#This Row],[GroupByKey]])*DiscreteStatsTable[Average]))</f>
        <v>25.056285315306301</v>
      </c>
      <c r="T250" cm="1">
        <f t="array" ref="T250">MIN(IF((DiscreteStatsTable[GroupByKey]=DiscreteStatsTable[[#This Row],[GroupByKey]]),(DiscreteStatsTable[GroupByKey]=DiscreteStatsTable[[#This Row],[GroupByKey]])*DiscreteStatsTable[Minimum]))</f>
        <v>20.016987700117198</v>
      </c>
      <c r="U250" cm="1">
        <f t="array" ref="U250">MAX(IF((DiscreteStatsTable[GroupByKey]=DiscreteStatsTable[[#This Row],[GroupByKey]]),(DiscreteStatsTable[GroupByKey]=DiscreteStatsTable[[#This Row],[GroupByKey]])*DiscreteStatsTable[Maximum]))</f>
        <v>29.972357785853099</v>
      </c>
      <c r="V250" cm="1">
        <f t="array" ref="V250">IFERROR(AVERAGE(IF((DiscreteStatsTable[GroupByKey]=DiscreteStatsTable[[#This Row],[GroupByKey]]),(DiscreteStatsTable[GroupByKey]=DiscreteStatsTable[[#This Row],[GroupByKey]])*DiscreteStatsTable[NumberObservations])),0)</f>
        <v>8231.5</v>
      </c>
      <c r="W250">
        <f>IF((DiscreteStatsTable[[#This Row],[RepsRequested]]&gt;1),DiscreteStatsTable[[#This Row],[HalfWidth]],DiscreteStatsTable[[#This Row],[BatchMeansHalfWidth]])</f>
        <v>2.1064482318963271E-2</v>
      </c>
      <c r="X250" cm="1">
        <f t="array" ref="X250">COUNT(IF((DiscreteStatsTable[GroupByKey]=DiscreteStatsTable[[#This Row],[GroupByKey]]),(DiscreteStatsTable[GroupByKey]=DiscreteStatsTable[[#This Row],[GroupByKey]])*DiscreteStatsTable[Replication]))</f>
        <v>10</v>
      </c>
      <c r="Y250">
        <f>IF(DiscreteStatsTable[[#This Row],[RepsRequested]]=DiscreteStatsTable[[#This Row],[RepsWithStatObserved]],1,0)</f>
        <v>1</v>
      </c>
    </row>
    <row r="251" spans="1:25" x14ac:dyDescent="0.25">
      <c r="A251" t="s">
        <v>67</v>
      </c>
      <c r="B251" t="s">
        <v>243</v>
      </c>
      <c r="C251">
        <v>5</v>
      </c>
      <c r="D251" t="s">
        <v>95</v>
      </c>
      <c r="E251" t="s">
        <v>89</v>
      </c>
      <c r="F251" t="s">
        <v>87</v>
      </c>
      <c r="G251">
        <v>24.942847707903098</v>
      </c>
      <c r="H251">
        <v>4.6337255830383103E-2</v>
      </c>
      <c r="I251">
        <v>20.054173322918398</v>
      </c>
      <c r="J251">
        <v>29.874875972804102</v>
      </c>
      <c r="K251">
        <v>8241</v>
      </c>
      <c r="L251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251" cm="1">
        <f t="array" ref="M251">MAX(IF((ProjectInfoTable[ProjectName]=DiscreteStatsTable[[#This Row],[ProjectName]]),(ProjectInfoTable[ProjectName]=DiscreteStatsTable[[#This Row],[ProjectName]])*ProjectInfoTable[NumberOfReplications]))</f>
        <v>10</v>
      </c>
      <c r="N251" cm="1">
        <f t="array" ref="N251">IFERROR(AVERAGE(IF((DiscreteStatsTable[GroupByKey]=DiscreteStatsTable[[#This Row],[GroupByKey]]),(DiscreteStatsTable[GroupByKey]=DiscreteStatsTable[[#This Row],[GroupByKey]])*DiscreteStatsTable[Average])),0)</f>
        <v>24.999394482822233</v>
      </c>
      <c r="O251" cm="1">
        <f t="array" ref="O251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51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51" cm="1">
        <f t="array" ref="R251">MIN(IF((DiscreteStatsTable[GroupByKey]=DiscreteStatsTable[[#This Row],[GroupByKey]]),(DiscreteStatsTable[GroupByKey]=DiscreteStatsTable[[#This Row],[GroupByKey]])*DiscreteStatsTable[Average]))</f>
        <v>24.942847707903098</v>
      </c>
      <c r="S251" cm="1">
        <f t="array" ref="S251">MAX(IF((DiscreteStatsTable[GroupByKey]=DiscreteStatsTable[[#This Row],[GroupByKey]]),(DiscreteStatsTable[GroupByKey]=DiscreteStatsTable[[#This Row],[GroupByKey]])*DiscreteStatsTable[Average]))</f>
        <v>25.056285315306301</v>
      </c>
      <c r="T251" cm="1">
        <f t="array" ref="T251">MIN(IF((DiscreteStatsTable[GroupByKey]=DiscreteStatsTable[[#This Row],[GroupByKey]]),(DiscreteStatsTable[GroupByKey]=DiscreteStatsTable[[#This Row],[GroupByKey]])*DiscreteStatsTable[Minimum]))</f>
        <v>20.016987700117198</v>
      </c>
      <c r="U251" cm="1">
        <f t="array" ref="U251">MAX(IF((DiscreteStatsTable[GroupByKey]=DiscreteStatsTable[[#This Row],[GroupByKey]]),(DiscreteStatsTable[GroupByKey]=DiscreteStatsTable[[#This Row],[GroupByKey]])*DiscreteStatsTable[Maximum]))</f>
        <v>29.972357785853099</v>
      </c>
      <c r="V251" cm="1">
        <f t="array" ref="V251">IFERROR(AVERAGE(IF((DiscreteStatsTable[GroupByKey]=DiscreteStatsTable[[#This Row],[GroupByKey]]),(DiscreteStatsTable[GroupByKey]=DiscreteStatsTable[[#This Row],[GroupByKey]])*DiscreteStatsTable[NumberObservations])),0)</f>
        <v>8231.5</v>
      </c>
      <c r="W251">
        <f>IF((DiscreteStatsTable[[#This Row],[RepsRequested]]&gt;1),DiscreteStatsTable[[#This Row],[HalfWidth]],DiscreteStatsTable[[#This Row],[BatchMeansHalfWidth]])</f>
        <v>2.1064482318963271E-2</v>
      </c>
      <c r="X251" cm="1">
        <f t="array" ref="X251">COUNT(IF((DiscreteStatsTable[GroupByKey]=DiscreteStatsTable[[#This Row],[GroupByKey]]),(DiscreteStatsTable[GroupByKey]=DiscreteStatsTable[[#This Row],[GroupByKey]])*DiscreteStatsTable[Replication]))</f>
        <v>10</v>
      </c>
      <c r="Y251">
        <f>IF(DiscreteStatsTable[[#This Row],[RepsRequested]]=DiscreteStatsTable[[#This Row],[RepsWithStatObserved]],1,0)</f>
        <v>1</v>
      </c>
    </row>
    <row r="252" spans="1:25" x14ac:dyDescent="0.25">
      <c r="A252" t="s">
        <v>67</v>
      </c>
      <c r="B252" t="s">
        <v>243</v>
      </c>
      <c r="C252">
        <v>6</v>
      </c>
      <c r="D252" t="s">
        <v>95</v>
      </c>
      <c r="E252" t="s">
        <v>88</v>
      </c>
      <c r="F252" t="s">
        <v>87</v>
      </c>
      <c r="G252">
        <v>25.056285315306301</v>
      </c>
      <c r="H252">
        <v>5.1900247293564399E-2</v>
      </c>
      <c r="I252">
        <v>20.1477991187712</v>
      </c>
      <c r="J252">
        <v>29.906646007963001</v>
      </c>
      <c r="K252">
        <v>8220</v>
      </c>
      <c r="L252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252" cm="1">
        <f t="array" ref="M252">MAX(IF((ProjectInfoTable[ProjectName]=DiscreteStatsTable[[#This Row],[ProjectName]]),(ProjectInfoTable[ProjectName]=DiscreteStatsTable[[#This Row],[ProjectName]])*ProjectInfoTable[NumberOfReplications]))</f>
        <v>10</v>
      </c>
      <c r="N252" cm="1">
        <f t="array" ref="N252">IFERROR(AVERAGE(IF((DiscreteStatsTable[GroupByKey]=DiscreteStatsTable[[#This Row],[GroupByKey]]),(DiscreteStatsTable[GroupByKey]=DiscreteStatsTable[[#This Row],[GroupByKey]])*DiscreteStatsTable[Average])),0)</f>
        <v>24.999394482822233</v>
      </c>
      <c r="O252" cm="1">
        <f t="array" ref="O252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52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52" cm="1">
        <f t="array" ref="R252">MIN(IF((DiscreteStatsTable[GroupByKey]=DiscreteStatsTable[[#This Row],[GroupByKey]]),(DiscreteStatsTable[GroupByKey]=DiscreteStatsTable[[#This Row],[GroupByKey]])*DiscreteStatsTable[Average]))</f>
        <v>24.942847707903098</v>
      </c>
      <c r="S252" cm="1">
        <f t="array" ref="S252">MAX(IF((DiscreteStatsTable[GroupByKey]=DiscreteStatsTable[[#This Row],[GroupByKey]]),(DiscreteStatsTable[GroupByKey]=DiscreteStatsTable[[#This Row],[GroupByKey]])*DiscreteStatsTable[Average]))</f>
        <v>25.056285315306301</v>
      </c>
      <c r="T252" cm="1">
        <f t="array" ref="T252">MIN(IF((DiscreteStatsTable[GroupByKey]=DiscreteStatsTable[[#This Row],[GroupByKey]]),(DiscreteStatsTable[GroupByKey]=DiscreteStatsTable[[#This Row],[GroupByKey]])*DiscreteStatsTable[Minimum]))</f>
        <v>20.016987700117198</v>
      </c>
      <c r="U252" cm="1">
        <f t="array" ref="U252">MAX(IF((DiscreteStatsTable[GroupByKey]=DiscreteStatsTable[[#This Row],[GroupByKey]]),(DiscreteStatsTable[GroupByKey]=DiscreteStatsTable[[#This Row],[GroupByKey]])*DiscreteStatsTable[Maximum]))</f>
        <v>29.972357785853099</v>
      </c>
      <c r="V252" cm="1">
        <f t="array" ref="V252">IFERROR(AVERAGE(IF((DiscreteStatsTable[GroupByKey]=DiscreteStatsTable[[#This Row],[GroupByKey]]),(DiscreteStatsTable[GroupByKey]=DiscreteStatsTable[[#This Row],[GroupByKey]])*DiscreteStatsTable[NumberObservations])),0)</f>
        <v>8231.5</v>
      </c>
      <c r="W252">
        <f>IF((DiscreteStatsTable[[#This Row],[RepsRequested]]&gt;1),DiscreteStatsTable[[#This Row],[HalfWidth]],DiscreteStatsTable[[#This Row],[BatchMeansHalfWidth]])</f>
        <v>2.1064482318963271E-2</v>
      </c>
      <c r="X252" cm="1">
        <f t="array" ref="X252">COUNT(IF((DiscreteStatsTable[GroupByKey]=DiscreteStatsTable[[#This Row],[GroupByKey]]),(DiscreteStatsTable[GroupByKey]=DiscreteStatsTable[[#This Row],[GroupByKey]])*DiscreteStatsTable[Replication]))</f>
        <v>10</v>
      </c>
      <c r="Y252">
        <f>IF(DiscreteStatsTable[[#This Row],[RepsRequested]]=DiscreteStatsTable[[#This Row],[RepsWithStatObserved]],1,0)</f>
        <v>1</v>
      </c>
    </row>
    <row r="253" spans="1:25" x14ac:dyDescent="0.25">
      <c r="A253" t="s">
        <v>67</v>
      </c>
      <c r="B253" t="s">
        <v>243</v>
      </c>
      <c r="C253">
        <v>6</v>
      </c>
      <c r="D253" t="s">
        <v>95</v>
      </c>
      <c r="E253" t="s">
        <v>89</v>
      </c>
      <c r="F253" t="s">
        <v>87</v>
      </c>
      <c r="G253">
        <v>25.056285315306301</v>
      </c>
      <c r="H253">
        <v>5.1900247293564399E-2</v>
      </c>
      <c r="I253">
        <v>20.1477991187712</v>
      </c>
      <c r="J253">
        <v>29.906646007963001</v>
      </c>
      <c r="K253">
        <v>8220</v>
      </c>
      <c r="L253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253" cm="1">
        <f t="array" ref="M253">MAX(IF((ProjectInfoTable[ProjectName]=DiscreteStatsTable[[#This Row],[ProjectName]]),(ProjectInfoTable[ProjectName]=DiscreteStatsTable[[#This Row],[ProjectName]])*ProjectInfoTable[NumberOfReplications]))</f>
        <v>10</v>
      </c>
      <c r="N253" cm="1">
        <f t="array" ref="N253">IFERROR(AVERAGE(IF((DiscreteStatsTable[GroupByKey]=DiscreteStatsTable[[#This Row],[GroupByKey]]),(DiscreteStatsTable[GroupByKey]=DiscreteStatsTable[[#This Row],[GroupByKey]])*DiscreteStatsTable[Average])),0)</f>
        <v>24.999394482822233</v>
      </c>
      <c r="O253" cm="1">
        <f t="array" ref="O253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53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53" cm="1">
        <f t="array" ref="R253">MIN(IF((DiscreteStatsTable[GroupByKey]=DiscreteStatsTable[[#This Row],[GroupByKey]]),(DiscreteStatsTable[GroupByKey]=DiscreteStatsTable[[#This Row],[GroupByKey]])*DiscreteStatsTable[Average]))</f>
        <v>24.942847707903098</v>
      </c>
      <c r="S253" cm="1">
        <f t="array" ref="S253">MAX(IF((DiscreteStatsTable[GroupByKey]=DiscreteStatsTable[[#This Row],[GroupByKey]]),(DiscreteStatsTable[GroupByKey]=DiscreteStatsTable[[#This Row],[GroupByKey]])*DiscreteStatsTable[Average]))</f>
        <v>25.056285315306301</v>
      </c>
      <c r="T253" cm="1">
        <f t="array" ref="T253">MIN(IF((DiscreteStatsTable[GroupByKey]=DiscreteStatsTable[[#This Row],[GroupByKey]]),(DiscreteStatsTable[GroupByKey]=DiscreteStatsTable[[#This Row],[GroupByKey]])*DiscreteStatsTable[Minimum]))</f>
        <v>20.016987700117198</v>
      </c>
      <c r="U253" cm="1">
        <f t="array" ref="U253">MAX(IF((DiscreteStatsTable[GroupByKey]=DiscreteStatsTable[[#This Row],[GroupByKey]]),(DiscreteStatsTable[GroupByKey]=DiscreteStatsTable[[#This Row],[GroupByKey]])*DiscreteStatsTable[Maximum]))</f>
        <v>29.972357785853099</v>
      </c>
      <c r="V253" cm="1">
        <f t="array" ref="V253">IFERROR(AVERAGE(IF((DiscreteStatsTable[GroupByKey]=DiscreteStatsTable[[#This Row],[GroupByKey]]),(DiscreteStatsTable[GroupByKey]=DiscreteStatsTable[[#This Row],[GroupByKey]])*DiscreteStatsTable[NumberObservations])),0)</f>
        <v>8231.5</v>
      </c>
      <c r="W253">
        <f>IF((DiscreteStatsTable[[#This Row],[RepsRequested]]&gt;1),DiscreteStatsTable[[#This Row],[HalfWidth]],DiscreteStatsTable[[#This Row],[BatchMeansHalfWidth]])</f>
        <v>2.1064482318963271E-2</v>
      </c>
      <c r="X253" cm="1">
        <f t="array" ref="X253">COUNT(IF((DiscreteStatsTable[GroupByKey]=DiscreteStatsTable[[#This Row],[GroupByKey]]),(DiscreteStatsTable[GroupByKey]=DiscreteStatsTable[[#This Row],[GroupByKey]])*DiscreteStatsTable[Replication]))</f>
        <v>10</v>
      </c>
      <c r="Y253">
        <f>IF(DiscreteStatsTable[[#This Row],[RepsRequested]]=DiscreteStatsTable[[#This Row],[RepsWithStatObserved]],1,0)</f>
        <v>1</v>
      </c>
    </row>
    <row r="254" spans="1:25" x14ac:dyDescent="0.25">
      <c r="A254" t="s">
        <v>67</v>
      </c>
      <c r="B254" t="s">
        <v>243</v>
      </c>
      <c r="C254">
        <v>7</v>
      </c>
      <c r="D254" t="s">
        <v>95</v>
      </c>
      <c r="E254" t="s">
        <v>88</v>
      </c>
      <c r="F254" t="s">
        <v>87</v>
      </c>
      <c r="G254">
        <v>24.985701987939599</v>
      </c>
      <c r="H254">
        <v>3.50786040957329E-2</v>
      </c>
      <c r="I254">
        <v>20.057485957717301</v>
      </c>
      <c r="J254">
        <v>29.954219054314301</v>
      </c>
      <c r="K254">
        <v>8234</v>
      </c>
      <c r="L254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254" cm="1">
        <f t="array" ref="M254">MAX(IF((ProjectInfoTable[ProjectName]=DiscreteStatsTable[[#This Row],[ProjectName]]),(ProjectInfoTable[ProjectName]=DiscreteStatsTable[[#This Row],[ProjectName]])*ProjectInfoTable[NumberOfReplications]))</f>
        <v>10</v>
      </c>
      <c r="N254" cm="1">
        <f t="array" ref="N254">IFERROR(AVERAGE(IF((DiscreteStatsTable[GroupByKey]=DiscreteStatsTable[[#This Row],[GroupByKey]]),(DiscreteStatsTable[GroupByKey]=DiscreteStatsTable[[#This Row],[GroupByKey]])*DiscreteStatsTable[Average])),0)</f>
        <v>24.999394482822233</v>
      </c>
      <c r="O254" cm="1">
        <f t="array" ref="O254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54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54" cm="1">
        <f t="array" ref="R254">MIN(IF((DiscreteStatsTable[GroupByKey]=DiscreteStatsTable[[#This Row],[GroupByKey]]),(DiscreteStatsTable[GroupByKey]=DiscreteStatsTable[[#This Row],[GroupByKey]])*DiscreteStatsTable[Average]))</f>
        <v>24.942847707903098</v>
      </c>
      <c r="S254" cm="1">
        <f t="array" ref="S254">MAX(IF((DiscreteStatsTable[GroupByKey]=DiscreteStatsTable[[#This Row],[GroupByKey]]),(DiscreteStatsTable[GroupByKey]=DiscreteStatsTable[[#This Row],[GroupByKey]])*DiscreteStatsTable[Average]))</f>
        <v>25.056285315306301</v>
      </c>
      <c r="T254" cm="1">
        <f t="array" ref="T254">MIN(IF((DiscreteStatsTable[GroupByKey]=DiscreteStatsTable[[#This Row],[GroupByKey]]),(DiscreteStatsTable[GroupByKey]=DiscreteStatsTable[[#This Row],[GroupByKey]])*DiscreteStatsTable[Minimum]))</f>
        <v>20.016987700117198</v>
      </c>
      <c r="U254" cm="1">
        <f t="array" ref="U254">MAX(IF((DiscreteStatsTable[GroupByKey]=DiscreteStatsTable[[#This Row],[GroupByKey]]),(DiscreteStatsTable[GroupByKey]=DiscreteStatsTable[[#This Row],[GroupByKey]])*DiscreteStatsTable[Maximum]))</f>
        <v>29.972357785853099</v>
      </c>
      <c r="V254" cm="1">
        <f t="array" ref="V254">IFERROR(AVERAGE(IF((DiscreteStatsTable[GroupByKey]=DiscreteStatsTable[[#This Row],[GroupByKey]]),(DiscreteStatsTable[GroupByKey]=DiscreteStatsTable[[#This Row],[GroupByKey]])*DiscreteStatsTable[NumberObservations])),0)</f>
        <v>8231.5</v>
      </c>
      <c r="W254">
        <f>IF((DiscreteStatsTable[[#This Row],[RepsRequested]]&gt;1),DiscreteStatsTable[[#This Row],[HalfWidth]],DiscreteStatsTable[[#This Row],[BatchMeansHalfWidth]])</f>
        <v>2.1064482318963271E-2</v>
      </c>
      <c r="X254" cm="1">
        <f t="array" ref="X254">COUNT(IF((DiscreteStatsTable[GroupByKey]=DiscreteStatsTable[[#This Row],[GroupByKey]]),(DiscreteStatsTable[GroupByKey]=DiscreteStatsTable[[#This Row],[GroupByKey]])*DiscreteStatsTable[Replication]))</f>
        <v>10</v>
      </c>
      <c r="Y254">
        <f>IF(DiscreteStatsTable[[#This Row],[RepsRequested]]=DiscreteStatsTable[[#This Row],[RepsWithStatObserved]],1,0)</f>
        <v>1</v>
      </c>
    </row>
    <row r="255" spans="1:25" x14ac:dyDescent="0.25">
      <c r="A255" t="s">
        <v>67</v>
      </c>
      <c r="B255" t="s">
        <v>243</v>
      </c>
      <c r="C255">
        <v>7</v>
      </c>
      <c r="D255" t="s">
        <v>95</v>
      </c>
      <c r="E255" t="s">
        <v>89</v>
      </c>
      <c r="F255" t="s">
        <v>87</v>
      </c>
      <c r="G255">
        <v>24.985701987939599</v>
      </c>
      <c r="H255">
        <v>3.50786040957329E-2</v>
      </c>
      <c r="I255">
        <v>20.057485957717301</v>
      </c>
      <c r="J255">
        <v>29.954219054314301</v>
      </c>
      <c r="K255">
        <v>8234</v>
      </c>
      <c r="L255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255" cm="1">
        <f t="array" ref="M255">MAX(IF((ProjectInfoTable[ProjectName]=DiscreteStatsTable[[#This Row],[ProjectName]]),(ProjectInfoTable[ProjectName]=DiscreteStatsTable[[#This Row],[ProjectName]])*ProjectInfoTable[NumberOfReplications]))</f>
        <v>10</v>
      </c>
      <c r="N255" cm="1">
        <f t="array" ref="N255">IFERROR(AVERAGE(IF((DiscreteStatsTable[GroupByKey]=DiscreteStatsTable[[#This Row],[GroupByKey]]),(DiscreteStatsTable[GroupByKey]=DiscreteStatsTable[[#This Row],[GroupByKey]])*DiscreteStatsTable[Average])),0)</f>
        <v>24.999394482822233</v>
      </c>
      <c r="O255" cm="1">
        <f t="array" ref="O255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5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55" cm="1">
        <f t="array" ref="R255">MIN(IF((DiscreteStatsTable[GroupByKey]=DiscreteStatsTable[[#This Row],[GroupByKey]]),(DiscreteStatsTable[GroupByKey]=DiscreteStatsTable[[#This Row],[GroupByKey]])*DiscreteStatsTable[Average]))</f>
        <v>24.942847707903098</v>
      </c>
      <c r="S255" cm="1">
        <f t="array" ref="S255">MAX(IF((DiscreteStatsTable[GroupByKey]=DiscreteStatsTable[[#This Row],[GroupByKey]]),(DiscreteStatsTable[GroupByKey]=DiscreteStatsTable[[#This Row],[GroupByKey]])*DiscreteStatsTable[Average]))</f>
        <v>25.056285315306301</v>
      </c>
      <c r="T255" cm="1">
        <f t="array" ref="T255">MIN(IF((DiscreteStatsTable[GroupByKey]=DiscreteStatsTable[[#This Row],[GroupByKey]]),(DiscreteStatsTable[GroupByKey]=DiscreteStatsTable[[#This Row],[GroupByKey]])*DiscreteStatsTable[Minimum]))</f>
        <v>20.016987700117198</v>
      </c>
      <c r="U255" cm="1">
        <f t="array" ref="U255">MAX(IF((DiscreteStatsTable[GroupByKey]=DiscreteStatsTable[[#This Row],[GroupByKey]]),(DiscreteStatsTable[GroupByKey]=DiscreteStatsTable[[#This Row],[GroupByKey]])*DiscreteStatsTable[Maximum]))</f>
        <v>29.972357785853099</v>
      </c>
      <c r="V255" cm="1">
        <f t="array" ref="V255">IFERROR(AVERAGE(IF((DiscreteStatsTable[GroupByKey]=DiscreteStatsTable[[#This Row],[GroupByKey]]),(DiscreteStatsTable[GroupByKey]=DiscreteStatsTable[[#This Row],[GroupByKey]])*DiscreteStatsTable[NumberObservations])),0)</f>
        <v>8231.5</v>
      </c>
      <c r="W255">
        <f>IF((DiscreteStatsTable[[#This Row],[RepsRequested]]&gt;1),DiscreteStatsTable[[#This Row],[HalfWidth]],DiscreteStatsTable[[#This Row],[BatchMeansHalfWidth]])</f>
        <v>2.1064482318963271E-2</v>
      </c>
      <c r="X255" cm="1">
        <f t="array" ref="X255">COUNT(IF((DiscreteStatsTable[GroupByKey]=DiscreteStatsTable[[#This Row],[GroupByKey]]),(DiscreteStatsTable[GroupByKey]=DiscreteStatsTable[[#This Row],[GroupByKey]])*DiscreteStatsTable[Replication]))</f>
        <v>10</v>
      </c>
      <c r="Y255">
        <f>IF(DiscreteStatsTable[[#This Row],[RepsRequested]]=DiscreteStatsTable[[#This Row],[RepsWithStatObserved]],1,0)</f>
        <v>1</v>
      </c>
    </row>
    <row r="256" spans="1:25" x14ac:dyDescent="0.25">
      <c r="A256" t="s">
        <v>67</v>
      </c>
      <c r="B256" t="s">
        <v>243</v>
      </c>
      <c r="C256">
        <v>8</v>
      </c>
      <c r="D256" t="s">
        <v>95</v>
      </c>
      <c r="E256" t="s">
        <v>88</v>
      </c>
      <c r="F256" t="s">
        <v>87</v>
      </c>
      <c r="G256">
        <v>24.994041986052</v>
      </c>
      <c r="H256">
        <v>4.6324337809289698E-2</v>
      </c>
      <c r="I256">
        <v>20.028140782204002</v>
      </c>
      <c r="J256">
        <v>29.972357785853099</v>
      </c>
      <c r="K256">
        <v>8227</v>
      </c>
      <c r="L256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256" cm="1">
        <f t="array" ref="M256">MAX(IF((ProjectInfoTable[ProjectName]=DiscreteStatsTable[[#This Row],[ProjectName]]),(ProjectInfoTable[ProjectName]=DiscreteStatsTable[[#This Row],[ProjectName]])*ProjectInfoTable[NumberOfReplications]))</f>
        <v>10</v>
      </c>
      <c r="N256" cm="1">
        <f t="array" ref="N256">IFERROR(AVERAGE(IF((DiscreteStatsTable[GroupByKey]=DiscreteStatsTable[[#This Row],[GroupByKey]]),(DiscreteStatsTable[GroupByKey]=DiscreteStatsTable[[#This Row],[GroupByKey]])*DiscreteStatsTable[Average])),0)</f>
        <v>24.999394482822233</v>
      </c>
      <c r="O256" cm="1">
        <f t="array" ref="O256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56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56" cm="1">
        <f t="array" ref="R256">MIN(IF((DiscreteStatsTable[GroupByKey]=DiscreteStatsTable[[#This Row],[GroupByKey]]),(DiscreteStatsTable[GroupByKey]=DiscreteStatsTable[[#This Row],[GroupByKey]])*DiscreteStatsTable[Average]))</f>
        <v>24.942847707903098</v>
      </c>
      <c r="S256" cm="1">
        <f t="array" ref="S256">MAX(IF((DiscreteStatsTable[GroupByKey]=DiscreteStatsTable[[#This Row],[GroupByKey]]),(DiscreteStatsTable[GroupByKey]=DiscreteStatsTable[[#This Row],[GroupByKey]])*DiscreteStatsTable[Average]))</f>
        <v>25.056285315306301</v>
      </c>
      <c r="T256" cm="1">
        <f t="array" ref="T256">MIN(IF((DiscreteStatsTable[GroupByKey]=DiscreteStatsTable[[#This Row],[GroupByKey]]),(DiscreteStatsTable[GroupByKey]=DiscreteStatsTable[[#This Row],[GroupByKey]])*DiscreteStatsTable[Minimum]))</f>
        <v>20.016987700117198</v>
      </c>
      <c r="U256" cm="1">
        <f t="array" ref="U256">MAX(IF((DiscreteStatsTable[GroupByKey]=DiscreteStatsTable[[#This Row],[GroupByKey]]),(DiscreteStatsTable[GroupByKey]=DiscreteStatsTable[[#This Row],[GroupByKey]])*DiscreteStatsTable[Maximum]))</f>
        <v>29.972357785853099</v>
      </c>
      <c r="V256" cm="1">
        <f t="array" ref="V256">IFERROR(AVERAGE(IF((DiscreteStatsTable[GroupByKey]=DiscreteStatsTable[[#This Row],[GroupByKey]]),(DiscreteStatsTable[GroupByKey]=DiscreteStatsTable[[#This Row],[GroupByKey]])*DiscreteStatsTable[NumberObservations])),0)</f>
        <v>8231.5</v>
      </c>
      <c r="W256">
        <f>IF((DiscreteStatsTable[[#This Row],[RepsRequested]]&gt;1),DiscreteStatsTable[[#This Row],[HalfWidth]],DiscreteStatsTable[[#This Row],[BatchMeansHalfWidth]])</f>
        <v>2.1064482318963271E-2</v>
      </c>
      <c r="X256" cm="1">
        <f t="array" ref="X256">COUNT(IF((DiscreteStatsTable[GroupByKey]=DiscreteStatsTable[[#This Row],[GroupByKey]]),(DiscreteStatsTable[GroupByKey]=DiscreteStatsTable[[#This Row],[GroupByKey]])*DiscreteStatsTable[Replication]))</f>
        <v>10</v>
      </c>
      <c r="Y256">
        <f>IF(DiscreteStatsTable[[#This Row],[RepsRequested]]=DiscreteStatsTable[[#This Row],[RepsWithStatObserved]],1,0)</f>
        <v>1</v>
      </c>
    </row>
    <row r="257" spans="1:25" x14ac:dyDescent="0.25">
      <c r="A257" t="s">
        <v>67</v>
      </c>
      <c r="B257" t="s">
        <v>243</v>
      </c>
      <c r="C257">
        <v>8</v>
      </c>
      <c r="D257" t="s">
        <v>95</v>
      </c>
      <c r="E257" t="s">
        <v>89</v>
      </c>
      <c r="F257" t="s">
        <v>87</v>
      </c>
      <c r="G257">
        <v>24.994041986052</v>
      </c>
      <c r="H257">
        <v>4.6324337809289698E-2</v>
      </c>
      <c r="I257">
        <v>20.028140782204002</v>
      </c>
      <c r="J257">
        <v>29.972357785853099</v>
      </c>
      <c r="K257">
        <v>8227</v>
      </c>
      <c r="L257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257" cm="1">
        <f t="array" ref="M257">MAX(IF((ProjectInfoTable[ProjectName]=DiscreteStatsTable[[#This Row],[ProjectName]]),(ProjectInfoTable[ProjectName]=DiscreteStatsTable[[#This Row],[ProjectName]])*ProjectInfoTable[NumberOfReplications]))</f>
        <v>10</v>
      </c>
      <c r="N257" cm="1">
        <f t="array" ref="N257">IFERROR(AVERAGE(IF((DiscreteStatsTable[GroupByKey]=DiscreteStatsTable[[#This Row],[GroupByKey]]),(DiscreteStatsTable[GroupByKey]=DiscreteStatsTable[[#This Row],[GroupByKey]])*DiscreteStatsTable[Average])),0)</f>
        <v>24.999394482822233</v>
      </c>
      <c r="O257" cm="1">
        <f t="array" ref="O257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57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57" cm="1">
        <f t="array" ref="R257">MIN(IF((DiscreteStatsTable[GroupByKey]=DiscreteStatsTable[[#This Row],[GroupByKey]]),(DiscreteStatsTable[GroupByKey]=DiscreteStatsTable[[#This Row],[GroupByKey]])*DiscreteStatsTable[Average]))</f>
        <v>24.942847707903098</v>
      </c>
      <c r="S257" cm="1">
        <f t="array" ref="S257">MAX(IF((DiscreteStatsTable[GroupByKey]=DiscreteStatsTable[[#This Row],[GroupByKey]]),(DiscreteStatsTable[GroupByKey]=DiscreteStatsTable[[#This Row],[GroupByKey]])*DiscreteStatsTable[Average]))</f>
        <v>25.056285315306301</v>
      </c>
      <c r="T257" cm="1">
        <f t="array" ref="T257">MIN(IF((DiscreteStatsTable[GroupByKey]=DiscreteStatsTable[[#This Row],[GroupByKey]]),(DiscreteStatsTable[GroupByKey]=DiscreteStatsTable[[#This Row],[GroupByKey]])*DiscreteStatsTable[Minimum]))</f>
        <v>20.016987700117198</v>
      </c>
      <c r="U257" cm="1">
        <f t="array" ref="U257">MAX(IF((DiscreteStatsTable[GroupByKey]=DiscreteStatsTable[[#This Row],[GroupByKey]]),(DiscreteStatsTable[GroupByKey]=DiscreteStatsTable[[#This Row],[GroupByKey]])*DiscreteStatsTable[Maximum]))</f>
        <v>29.972357785853099</v>
      </c>
      <c r="V257" cm="1">
        <f t="array" ref="V257">IFERROR(AVERAGE(IF((DiscreteStatsTable[GroupByKey]=DiscreteStatsTable[[#This Row],[GroupByKey]]),(DiscreteStatsTable[GroupByKey]=DiscreteStatsTable[[#This Row],[GroupByKey]])*DiscreteStatsTable[NumberObservations])),0)</f>
        <v>8231.5</v>
      </c>
      <c r="W257">
        <f>IF((DiscreteStatsTable[[#This Row],[RepsRequested]]&gt;1),DiscreteStatsTable[[#This Row],[HalfWidth]],DiscreteStatsTable[[#This Row],[BatchMeansHalfWidth]])</f>
        <v>2.1064482318963271E-2</v>
      </c>
      <c r="X257" cm="1">
        <f t="array" ref="X257">COUNT(IF((DiscreteStatsTable[GroupByKey]=DiscreteStatsTable[[#This Row],[GroupByKey]]),(DiscreteStatsTable[GroupByKey]=DiscreteStatsTable[[#This Row],[GroupByKey]])*DiscreteStatsTable[Replication]))</f>
        <v>10</v>
      </c>
      <c r="Y257">
        <f>IF(DiscreteStatsTable[[#This Row],[RepsRequested]]=DiscreteStatsTable[[#This Row],[RepsWithStatObserved]],1,0)</f>
        <v>1</v>
      </c>
    </row>
    <row r="258" spans="1:25" x14ac:dyDescent="0.25">
      <c r="A258" t="s">
        <v>67</v>
      </c>
      <c r="B258" t="s">
        <v>243</v>
      </c>
      <c r="C258">
        <v>9</v>
      </c>
      <c r="D258" t="s">
        <v>95</v>
      </c>
      <c r="E258" t="s">
        <v>88</v>
      </c>
      <c r="F258" t="s">
        <v>87</v>
      </c>
      <c r="G258">
        <v>24.986255987508699</v>
      </c>
      <c r="H258">
        <v>4.7786603755837598E-2</v>
      </c>
      <c r="I258">
        <v>20.016987700117198</v>
      </c>
      <c r="J258">
        <v>29.890008362883201</v>
      </c>
      <c r="K258">
        <v>8232</v>
      </c>
      <c r="L258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258" cm="1">
        <f t="array" ref="M258">MAX(IF((ProjectInfoTable[ProjectName]=DiscreteStatsTable[[#This Row],[ProjectName]]),(ProjectInfoTable[ProjectName]=DiscreteStatsTable[[#This Row],[ProjectName]])*ProjectInfoTable[NumberOfReplications]))</f>
        <v>10</v>
      </c>
      <c r="N258" cm="1">
        <f t="array" ref="N258">IFERROR(AVERAGE(IF((DiscreteStatsTable[GroupByKey]=DiscreteStatsTable[[#This Row],[GroupByKey]]),(DiscreteStatsTable[GroupByKey]=DiscreteStatsTable[[#This Row],[GroupByKey]])*DiscreteStatsTable[Average])),0)</f>
        <v>24.999394482822233</v>
      </c>
      <c r="O258" cm="1">
        <f t="array" ref="O258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58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58" cm="1">
        <f t="array" ref="R258">MIN(IF((DiscreteStatsTable[GroupByKey]=DiscreteStatsTable[[#This Row],[GroupByKey]]),(DiscreteStatsTable[GroupByKey]=DiscreteStatsTable[[#This Row],[GroupByKey]])*DiscreteStatsTable[Average]))</f>
        <v>24.942847707903098</v>
      </c>
      <c r="S258" cm="1">
        <f t="array" ref="S258">MAX(IF((DiscreteStatsTable[GroupByKey]=DiscreteStatsTable[[#This Row],[GroupByKey]]),(DiscreteStatsTable[GroupByKey]=DiscreteStatsTable[[#This Row],[GroupByKey]])*DiscreteStatsTable[Average]))</f>
        <v>25.056285315306301</v>
      </c>
      <c r="T258" cm="1">
        <f t="array" ref="T258">MIN(IF((DiscreteStatsTable[GroupByKey]=DiscreteStatsTable[[#This Row],[GroupByKey]]),(DiscreteStatsTable[GroupByKey]=DiscreteStatsTable[[#This Row],[GroupByKey]])*DiscreteStatsTable[Minimum]))</f>
        <v>20.016987700117198</v>
      </c>
      <c r="U258" cm="1">
        <f t="array" ref="U258">MAX(IF((DiscreteStatsTable[GroupByKey]=DiscreteStatsTable[[#This Row],[GroupByKey]]),(DiscreteStatsTable[GroupByKey]=DiscreteStatsTable[[#This Row],[GroupByKey]])*DiscreteStatsTable[Maximum]))</f>
        <v>29.972357785853099</v>
      </c>
      <c r="V258" cm="1">
        <f t="array" ref="V258">IFERROR(AVERAGE(IF((DiscreteStatsTable[GroupByKey]=DiscreteStatsTable[[#This Row],[GroupByKey]]),(DiscreteStatsTable[GroupByKey]=DiscreteStatsTable[[#This Row],[GroupByKey]])*DiscreteStatsTable[NumberObservations])),0)</f>
        <v>8231.5</v>
      </c>
      <c r="W258">
        <f>IF((DiscreteStatsTable[[#This Row],[RepsRequested]]&gt;1),DiscreteStatsTable[[#This Row],[HalfWidth]],DiscreteStatsTable[[#This Row],[BatchMeansHalfWidth]])</f>
        <v>2.1064482318963271E-2</v>
      </c>
      <c r="X258" cm="1">
        <f t="array" ref="X258">COUNT(IF((DiscreteStatsTable[GroupByKey]=DiscreteStatsTable[[#This Row],[GroupByKey]]),(DiscreteStatsTable[GroupByKey]=DiscreteStatsTable[[#This Row],[GroupByKey]])*DiscreteStatsTable[Replication]))</f>
        <v>10</v>
      </c>
      <c r="Y258">
        <f>IF(DiscreteStatsTable[[#This Row],[RepsRequested]]=DiscreteStatsTable[[#This Row],[RepsWithStatObserved]],1,0)</f>
        <v>1</v>
      </c>
    </row>
    <row r="259" spans="1:25" x14ac:dyDescent="0.25">
      <c r="A259" t="s">
        <v>67</v>
      </c>
      <c r="B259" t="s">
        <v>243</v>
      </c>
      <c r="C259">
        <v>9</v>
      </c>
      <c r="D259" t="s">
        <v>95</v>
      </c>
      <c r="E259" t="s">
        <v>89</v>
      </c>
      <c r="F259" t="s">
        <v>87</v>
      </c>
      <c r="G259">
        <v>24.986255987508699</v>
      </c>
      <c r="H259">
        <v>4.7786603755837598E-2</v>
      </c>
      <c r="I259">
        <v>20.016987700117198</v>
      </c>
      <c r="J259">
        <v>29.890008362883201</v>
      </c>
      <c r="K259">
        <v>8232</v>
      </c>
      <c r="L259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259" cm="1">
        <f t="array" ref="M259">MAX(IF((ProjectInfoTable[ProjectName]=DiscreteStatsTable[[#This Row],[ProjectName]]),(ProjectInfoTable[ProjectName]=DiscreteStatsTable[[#This Row],[ProjectName]])*ProjectInfoTable[NumberOfReplications]))</f>
        <v>10</v>
      </c>
      <c r="N259" cm="1">
        <f t="array" ref="N259">IFERROR(AVERAGE(IF((DiscreteStatsTable[GroupByKey]=DiscreteStatsTable[[#This Row],[GroupByKey]]),(DiscreteStatsTable[GroupByKey]=DiscreteStatsTable[[#This Row],[GroupByKey]])*DiscreteStatsTable[Average])),0)</f>
        <v>24.999394482822233</v>
      </c>
      <c r="O259" cm="1">
        <f t="array" ref="O259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59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59" cm="1">
        <f t="array" ref="R259">MIN(IF((DiscreteStatsTable[GroupByKey]=DiscreteStatsTable[[#This Row],[GroupByKey]]),(DiscreteStatsTable[GroupByKey]=DiscreteStatsTable[[#This Row],[GroupByKey]])*DiscreteStatsTable[Average]))</f>
        <v>24.942847707903098</v>
      </c>
      <c r="S259" cm="1">
        <f t="array" ref="S259">MAX(IF((DiscreteStatsTable[GroupByKey]=DiscreteStatsTable[[#This Row],[GroupByKey]]),(DiscreteStatsTable[GroupByKey]=DiscreteStatsTable[[#This Row],[GroupByKey]])*DiscreteStatsTable[Average]))</f>
        <v>25.056285315306301</v>
      </c>
      <c r="T259" cm="1">
        <f t="array" ref="T259">MIN(IF((DiscreteStatsTable[GroupByKey]=DiscreteStatsTable[[#This Row],[GroupByKey]]),(DiscreteStatsTable[GroupByKey]=DiscreteStatsTable[[#This Row],[GroupByKey]])*DiscreteStatsTable[Minimum]))</f>
        <v>20.016987700117198</v>
      </c>
      <c r="U259" cm="1">
        <f t="array" ref="U259">MAX(IF((DiscreteStatsTable[GroupByKey]=DiscreteStatsTable[[#This Row],[GroupByKey]]),(DiscreteStatsTable[GroupByKey]=DiscreteStatsTable[[#This Row],[GroupByKey]])*DiscreteStatsTable[Maximum]))</f>
        <v>29.972357785853099</v>
      </c>
      <c r="V259" cm="1">
        <f t="array" ref="V259">IFERROR(AVERAGE(IF((DiscreteStatsTable[GroupByKey]=DiscreteStatsTable[[#This Row],[GroupByKey]]),(DiscreteStatsTable[GroupByKey]=DiscreteStatsTable[[#This Row],[GroupByKey]])*DiscreteStatsTable[NumberObservations])),0)</f>
        <v>8231.5</v>
      </c>
      <c r="W259">
        <f>IF((DiscreteStatsTable[[#This Row],[RepsRequested]]&gt;1),DiscreteStatsTable[[#This Row],[HalfWidth]],DiscreteStatsTable[[#This Row],[BatchMeansHalfWidth]])</f>
        <v>2.1064482318963271E-2</v>
      </c>
      <c r="X259" cm="1">
        <f t="array" ref="X259">COUNT(IF((DiscreteStatsTable[GroupByKey]=DiscreteStatsTable[[#This Row],[GroupByKey]]),(DiscreteStatsTable[GroupByKey]=DiscreteStatsTable[[#This Row],[GroupByKey]])*DiscreteStatsTable[Replication]))</f>
        <v>10</v>
      </c>
      <c r="Y259">
        <f>IF(DiscreteStatsTable[[#This Row],[RepsRequested]]=DiscreteStatsTable[[#This Row],[RepsWithStatObserved]],1,0)</f>
        <v>1</v>
      </c>
    </row>
    <row r="260" spans="1:25" x14ac:dyDescent="0.25">
      <c r="A260" t="s">
        <v>67</v>
      </c>
      <c r="B260" t="s">
        <v>243</v>
      </c>
      <c r="C260">
        <v>10</v>
      </c>
      <c r="D260" t="s">
        <v>95</v>
      </c>
      <c r="E260" t="s">
        <v>88</v>
      </c>
      <c r="F260" t="s">
        <v>87</v>
      </c>
      <c r="G260">
        <v>25.019817205423799</v>
      </c>
      <c r="H260">
        <v>4.9722749206591699E-2</v>
      </c>
      <c r="I260">
        <v>20.040678341465501</v>
      </c>
      <c r="J260">
        <v>29.935077571630199</v>
      </c>
      <c r="K260">
        <v>8229</v>
      </c>
      <c r="L260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260" cm="1">
        <f t="array" ref="M260">MAX(IF((ProjectInfoTable[ProjectName]=DiscreteStatsTable[[#This Row],[ProjectName]]),(ProjectInfoTable[ProjectName]=DiscreteStatsTable[[#This Row],[ProjectName]])*ProjectInfoTable[NumberOfReplications]))</f>
        <v>10</v>
      </c>
      <c r="N260" cm="1">
        <f t="array" ref="N260">IFERROR(AVERAGE(IF((DiscreteStatsTable[GroupByKey]=DiscreteStatsTable[[#This Row],[GroupByKey]]),(DiscreteStatsTable[GroupByKey]=DiscreteStatsTable[[#This Row],[GroupByKey]])*DiscreteStatsTable[Average])),0)</f>
        <v>24.999394482822233</v>
      </c>
      <c r="O260" cm="1">
        <f t="array" ref="O260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60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60" cm="1">
        <f t="array" ref="R260">MIN(IF((DiscreteStatsTable[GroupByKey]=DiscreteStatsTable[[#This Row],[GroupByKey]]),(DiscreteStatsTable[GroupByKey]=DiscreteStatsTable[[#This Row],[GroupByKey]])*DiscreteStatsTable[Average]))</f>
        <v>24.942847707903098</v>
      </c>
      <c r="S260" cm="1">
        <f t="array" ref="S260">MAX(IF((DiscreteStatsTable[GroupByKey]=DiscreteStatsTable[[#This Row],[GroupByKey]]),(DiscreteStatsTable[GroupByKey]=DiscreteStatsTable[[#This Row],[GroupByKey]])*DiscreteStatsTable[Average]))</f>
        <v>25.056285315306301</v>
      </c>
      <c r="T260" cm="1">
        <f t="array" ref="T260">MIN(IF((DiscreteStatsTable[GroupByKey]=DiscreteStatsTable[[#This Row],[GroupByKey]]),(DiscreteStatsTable[GroupByKey]=DiscreteStatsTable[[#This Row],[GroupByKey]])*DiscreteStatsTable[Minimum]))</f>
        <v>20.016987700117198</v>
      </c>
      <c r="U260" cm="1">
        <f t="array" ref="U260">MAX(IF((DiscreteStatsTable[GroupByKey]=DiscreteStatsTable[[#This Row],[GroupByKey]]),(DiscreteStatsTable[GroupByKey]=DiscreteStatsTable[[#This Row],[GroupByKey]])*DiscreteStatsTable[Maximum]))</f>
        <v>29.972357785853099</v>
      </c>
      <c r="V260" cm="1">
        <f t="array" ref="V260">IFERROR(AVERAGE(IF((DiscreteStatsTable[GroupByKey]=DiscreteStatsTable[[#This Row],[GroupByKey]]),(DiscreteStatsTable[GroupByKey]=DiscreteStatsTable[[#This Row],[GroupByKey]])*DiscreteStatsTable[NumberObservations])),0)</f>
        <v>8231.5</v>
      </c>
      <c r="W260">
        <f>IF((DiscreteStatsTable[[#This Row],[RepsRequested]]&gt;1),DiscreteStatsTable[[#This Row],[HalfWidth]],DiscreteStatsTable[[#This Row],[BatchMeansHalfWidth]])</f>
        <v>2.1064482318963271E-2</v>
      </c>
      <c r="X260" cm="1">
        <f t="array" ref="X260">COUNT(IF((DiscreteStatsTable[GroupByKey]=DiscreteStatsTable[[#This Row],[GroupByKey]]),(DiscreteStatsTable[GroupByKey]=DiscreteStatsTable[[#This Row],[GroupByKey]])*DiscreteStatsTable[Replication]))</f>
        <v>10</v>
      </c>
      <c r="Y260">
        <f>IF(DiscreteStatsTable[[#This Row],[RepsRequested]]=DiscreteStatsTable[[#This Row],[RepsWithStatObserved]],1,0)</f>
        <v>1</v>
      </c>
    </row>
    <row r="261" spans="1:25" x14ac:dyDescent="0.25">
      <c r="A261" t="s">
        <v>67</v>
      </c>
      <c r="B261" t="s">
        <v>243</v>
      </c>
      <c r="C261">
        <v>10</v>
      </c>
      <c r="D261" t="s">
        <v>95</v>
      </c>
      <c r="E261" t="s">
        <v>89</v>
      </c>
      <c r="F261" t="s">
        <v>87</v>
      </c>
      <c r="G261">
        <v>25.019817205423799</v>
      </c>
      <c r="H261">
        <v>4.9722749206591699E-2</v>
      </c>
      <c r="I261">
        <v>20.040678341465501</v>
      </c>
      <c r="J261">
        <v>29.935077571630199</v>
      </c>
      <c r="K261">
        <v>8229</v>
      </c>
      <c r="L261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261" cm="1">
        <f t="array" ref="M261">MAX(IF((ProjectInfoTable[ProjectName]=DiscreteStatsTable[[#This Row],[ProjectName]]),(ProjectInfoTable[ProjectName]=DiscreteStatsTable[[#This Row],[ProjectName]])*ProjectInfoTable[NumberOfReplications]))</f>
        <v>10</v>
      </c>
      <c r="N261" cm="1">
        <f t="array" ref="N261">IFERROR(AVERAGE(IF((DiscreteStatsTable[GroupByKey]=DiscreteStatsTable[[#This Row],[GroupByKey]]),(DiscreteStatsTable[GroupByKey]=DiscreteStatsTable[[#This Row],[GroupByKey]])*DiscreteStatsTable[Average])),0)</f>
        <v>24.999394482822233</v>
      </c>
      <c r="O261" cm="1">
        <f t="array" ref="O261">IFERROR(_xlfn.STDEV.S(IF((DiscreteStatsTable[GroupByKey]=DiscreteStatsTable[[#This Row],[GroupByKey]]),(DiscreteStatsTable[GroupByKey]=DiscreteStatsTable[[#This Row],[GroupByKey]])*DiscreteStatsTable[Average])),0)</f>
        <v>2.944611583833243E-2</v>
      </c>
      <c r="P261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2.1064482318963271E-2</v>
      </c>
      <c r="R261" cm="1">
        <f t="array" ref="R261">MIN(IF((DiscreteStatsTable[GroupByKey]=DiscreteStatsTable[[#This Row],[GroupByKey]]),(DiscreteStatsTable[GroupByKey]=DiscreteStatsTable[[#This Row],[GroupByKey]])*DiscreteStatsTable[Average]))</f>
        <v>24.942847707903098</v>
      </c>
      <c r="S261" cm="1">
        <f t="array" ref="S261">MAX(IF((DiscreteStatsTable[GroupByKey]=DiscreteStatsTable[[#This Row],[GroupByKey]]),(DiscreteStatsTable[GroupByKey]=DiscreteStatsTable[[#This Row],[GroupByKey]])*DiscreteStatsTable[Average]))</f>
        <v>25.056285315306301</v>
      </c>
      <c r="T261" cm="1">
        <f t="array" ref="T261">MIN(IF((DiscreteStatsTable[GroupByKey]=DiscreteStatsTable[[#This Row],[GroupByKey]]),(DiscreteStatsTable[GroupByKey]=DiscreteStatsTable[[#This Row],[GroupByKey]])*DiscreteStatsTable[Minimum]))</f>
        <v>20.016987700117198</v>
      </c>
      <c r="U261" cm="1">
        <f t="array" ref="U261">MAX(IF((DiscreteStatsTable[GroupByKey]=DiscreteStatsTable[[#This Row],[GroupByKey]]),(DiscreteStatsTable[GroupByKey]=DiscreteStatsTable[[#This Row],[GroupByKey]])*DiscreteStatsTable[Maximum]))</f>
        <v>29.972357785853099</v>
      </c>
      <c r="V261" cm="1">
        <f t="array" ref="V261">IFERROR(AVERAGE(IF((DiscreteStatsTable[GroupByKey]=DiscreteStatsTable[[#This Row],[GroupByKey]]),(DiscreteStatsTable[GroupByKey]=DiscreteStatsTable[[#This Row],[GroupByKey]])*DiscreteStatsTable[NumberObservations])),0)</f>
        <v>8231.5</v>
      </c>
      <c r="W261">
        <f>IF((DiscreteStatsTable[[#This Row],[RepsRequested]]&gt;1),DiscreteStatsTable[[#This Row],[HalfWidth]],DiscreteStatsTable[[#This Row],[BatchMeansHalfWidth]])</f>
        <v>2.1064482318963271E-2</v>
      </c>
      <c r="X261" cm="1">
        <f t="array" ref="X261">COUNT(IF((DiscreteStatsTable[GroupByKey]=DiscreteStatsTable[[#This Row],[GroupByKey]]),(DiscreteStatsTable[GroupByKey]=DiscreteStatsTable[[#This Row],[GroupByKey]])*DiscreteStatsTable[Replication]))</f>
        <v>10</v>
      </c>
      <c r="Y261">
        <f>IF(DiscreteStatsTable[[#This Row],[RepsRequested]]=DiscreteStatsTable[[#This Row],[RepsWithStatObserved]],1,0)</f>
        <v>1</v>
      </c>
    </row>
    <row r="262" spans="1:25" x14ac:dyDescent="0.25">
      <c r="A262" t="s">
        <v>67</v>
      </c>
      <c r="B262" t="s">
        <v>243</v>
      </c>
      <c r="C262">
        <v>1</v>
      </c>
      <c r="D262" t="s">
        <v>96</v>
      </c>
      <c r="E262" t="s">
        <v>88</v>
      </c>
      <c r="F262" t="s">
        <v>87</v>
      </c>
      <c r="G262">
        <v>11.9826102200633</v>
      </c>
      <c r="H262">
        <v>4.6276498373591102E-2</v>
      </c>
      <c r="I262">
        <v>4.3010099859093298</v>
      </c>
      <c r="J262">
        <v>18.9027549157618</v>
      </c>
      <c r="K262">
        <v>8229</v>
      </c>
      <c r="L262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262" cm="1">
        <f t="array" ref="M262">MAX(IF((ProjectInfoTable[ProjectName]=DiscreteStatsTable[[#This Row],[ProjectName]]),(ProjectInfoTable[ProjectName]=DiscreteStatsTable[[#This Row],[ProjectName]])*ProjectInfoTable[NumberOfReplications]))</f>
        <v>10</v>
      </c>
      <c r="N262" cm="1">
        <f t="array" ref="N262">IFERROR(AVERAGE(IF((DiscreteStatsTable[GroupByKey]=DiscreteStatsTable[[#This Row],[GroupByKey]]),(DiscreteStatsTable[GroupByKey]=DiscreteStatsTable[[#This Row],[GroupByKey]])*DiscreteStatsTable[Average])),0)</f>
        <v>11.986968421133957</v>
      </c>
      <c r="O262" cm="1">
        <f t="array" ref="O262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62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62" cm="1">
        <f t="array" ref="R262">MIN(IF((DiscreteStatsTable[GroupByKey]=DiscreteStatsTable[[#This Row],[GroupByKey]]),(DiscreteStatsTable[GroupByKey]=DiscreteStatsTable[[#This Row],[GroupByKey]])*DiscreteStatsTable[Average]))</f>
        <v>11.961222401833499</v>
      </c>
      <c r="S262" cm="1">
        <f t="array" ref="S262">MAX(IF((DiscreteStatsTable[GroupByKey]=DiscreteStatsTable[[#This Row],[GroupByKey]]),(DiscreteStatsTable[GroupByKey]=DiscreteStatsTable[[#This Row],[GroupByKey]])*DiscreteStatsTable[Average]))</f>
        <v>12.018196351237499</v>
      </c>
      <c r="T262" cm="1">
        <f t="array" ref="T262">MIN(IF((DiscreteStatsTable[GroupByKey]=DiscreteStatsTable[[#This Row],[GroupByKey]]),(DiscreteStatsTable[GroupByKey]=DiscreteStatsTable[[#This Row],[GroupByKey]])*DiscreteStatsTable[Minimum]))</f>
        <v>3.64786699385149</v>
      </c>
      <c r="U262" cm="1">
        <f t="array" ref="U262">MAX(IF((DiscreteStatsTable[GroupByKey]=DiscreteStatsTable[[#This Row],[GroupByKey]]),(DiscreteStatsTable[GroupByKey]=DiscreteStatsTable[[#This Row],[GroupByKey]])*DiscreteStatsTable[Maximum]))</f>
        <v>21.037537163822002</v>
      </c>
      <c r="V262" cm="1">
        <f t="array" ref="V262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62">
        <f>IF((DiscreteStatsTable[[#This Row],[RepsRequested]]&gt;1),DiscreteStatsTable[[#This Row],[HalfWidth]],DiscreteStatsTable[[#This Row],[BatchMeansHalfWidth]])</f>
        <v>1.2904371196416789E-2</v>
      </c>
      <c r="X262" cm="1">
        <f t="array" ref="X262">COUNT(IF((DiscreteStatsTable[GroupByKey]=DiscreteStatsTable[[#This Row],[GroupByKey]]),(DiscreteStatsTable[GroupByKey]=DiscreteStatsTable[[#This Row],[GroupByKey]])*DiscreteStatsTable[Replication]))</f>
        <v>10</v>
      </c>
      <c r="Y262">
        <f>IF(DiscreteStatsTable[[#This Row],[RepsRequested]]=DiscreteStatsTable[[#This Row],[RepsWithStatObserved]],1,0)</f>
        <v>1</v>
      </c>
    </row>
    <row r="263" spans="1:25" x14ac:dyDescent="0.25">
      <c r="A263" t="s">
        <v>67</v>
      </c>
      <c r="B263" t="s">
        <v>243</v>
      </c>
      <c r="C263">
        <v>1</v>
      </c>
      <c r="D263" t="s">
        <v>96</v>
      </c>
      <c r="E263" t="s">
        <v>89</v>
      </c>
      <c r="F263" t="s">
        <v>87</v>
      </c>
      <c r="G263">
        <v>11.9826102200633</v>
      </c>
      <c r="H263">
        <v>4.6276498373591102E-2</v>
      </c>
      <c r="I263">
        <v>4.3010099859093298</v>
      </c>
      <c r="J263">
        <v>18.9027549157618</v>
      </c>
      <c r="K263">
        <v>8229</v>
      </c>
      <c r="L263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263" cm="1">
        <f t="array" ref="M263">MAX(IF((ProjectInfoTable[ProjectName]=DiscreteStatsTable[[#This Row],[ProjectName]]),(ProjectInfoTable[ProjectName]=DiscreteStatsTable[[#This Row],[ProjectName]])*ProjectInfoTable[NumberOfReplications]))</f>
        <v>10</v>
      </c>
      <c r="N263" cm="1">
        <f t="array" ref="N263">IFERROR(AVERAGE(IF((DiscreteStatsTable[GroupByKey]=DiscreteStatsTable[[#This Row],[GroupByKey]]),(DiscreteStatsTable[GroupByKey]=DiscreteStatsTable[[#This Row],[GroupByKey]])*DiscreteStatsTable[Average])),0)</f>
        <v>11.986968421133957</v>
      </c>
      <c r="O263" cm="1">
        <f t="array" ref="O263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63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63" cm="1">
        <f t="array" ref="R263">MIN(IF((DiscreteStatsTable[GroupByKey]=DiscreteStatsTable[[#This Row],[GroupByKey]]),(DiscreteStatsTable[GroupByKey]=DiscreteStatsTable[[#This Row],[GroupByKey]])*DiscreteStatsTable[Average]))</f>
        <v>11.961222401833499</v>
      </c>
      <c r="S263" cm="1">
        <f t="array" ref="S263">MAX(IF((DiscreteStatsTable[GroupByKey]=DiscreteStatsTable[[#This Row],[GroupByKey]]),(DiscreteStatsTable[GroupByKey]=DiscreteStatsTable[[#This Row],[GroupByKey]])*DiscreteStatsTable[Average]))</f>
        <v>12.018196351237499</v>
      </c>
      <c r="T263" cm="1">
        <f t="array" ref="T263">MIN(IF((DiscreteStatsTable[GroupByKey]=DiscreteStatsTable[[#This Row],[GroupByKey]]),(DiscreteStatsTable[GroupByKey]=DiscreteStatsTable[[#This Row],[GroupByKey]])*DiscreteStatsTable[Minimum]))</f>
        <v>3.64786699385149</v>
      </c>
      <c r="U263" cm="1">
        <f t="array" ref="U263">MAX(IF((DiscreteStatsTable[GroupByKey]=DiscreteStatsTable[[#This Row],[GroupByKey]]),(DiscreteStatsTable[GroupByKey]=DiscreteStatsTable[[#This Row],[GroupByKey]])*DiscreteStatsTable[Maximum]))</f>
        <v>21.037537163822002</v>
      </c>
      <c r="V263" cm="1">
        <f t="array" ref="V263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63">
        <f>IF((DiscreteStatsTable[[#This Row],[RepsRequested]]&gt;1),DiscreteStatsTable[[#This Row],[HalfWidth]],DiscreteStatsTable[[#This Row],[BatchMeansHalfWidth]])</f>
        <v>1.2904371196416789E-2</v>
      </c>
      <c r="X263" cm="1">
        <f t="array" ref="X263">COUNT(IF((DiscreteStatsTable[GroupByKey]=DiscreteStatsTable[[#This Row],[GroupByKey]]),(DiscreteStatsTable[GroupByKey]=DiscreteStatsTable[[#This Row],[GroupByKey]])*DiscreteStatsTable[Replication]))</f>
        <v>10</v>
      </c>
      <c r="Y263">
        <f>IF(DiscreteStatsTable[[#This Row],[RepsRequested]]=DiscreteStatsTable[[#This Row],[RepsWithStatObserved]],1,0)</f>
        <v>1</v>
      </c>
    </row>
    <row r="264" spans="1:25" x14ac:dyDescent="0.25">
      <c r="A264" t="s">
        <v>67</v>
      </c>
      <c r="B264" t="s">
        <v>243</v>
      </c>
      <c r="C264">
        <v>2</v>
      </c>
      <c r="D264" t="s">
        <v>96</v>
      </c>
      <c r="E264" t="s">
        <v>88</v>
      </c>
      <c r="F264" t="s">
        <v>87</v>
      </c>
      <c r="G264">
        <v>11.9947829897019</v>
      </c>
      <c r="H264">
        <v>4.7758963506835402E-2</v>
      </c>
      <c r="I264">
        <v>4.7013684799894699</v>
      </c>
      <c r="J264">
        <v>21.037537163822002</v>
      </c>
      <c r="K264">
        <v>8224</v>
      </c>
      <c r="L264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264" cm="1">
        <f t="array" ref="M264">MAX(IF((ProjectInfoTable[ProjectName]=DiscreteStatsTable[[#This Row],[ProjectName]]),(ProjectInfoTable[ProjectName]=DiscreteStatsTable[[#This Row],[ProjectName]])*ProjectInfoTable[NumberOfReplications]))</f>
        <v>10</v>
      </c>
      <c r="N264" cm="1">
        <f t="array" ref="N264">IFERROR(AVERAGE(IF((DiscreteStatsTable[GroupByKey]=DiscreteStatsTable[[#This Row],[GroupByKey]]),(DiscreteStatsTable[GroupByKey]=DiscreteStatsTable[[#This Row],[GroupByKey]])*DiscreteStatsTable[Average])),0)</f>
        <v>11.986968421133957</v>
      </c>
      <c r="O264" cm="1">
        <f t="array" ref="O264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64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64" cm="1">
        <f t="array" ref="R264">MIN(IF((DiscreteStatsTable[GroupByKey]=DiscreteStatsTable[[#This Row],[GroupByKey]]),(DiscreteStatsTable[GroupByKey]=DiscreteStatsTable[[#This Row],[GroupByKey]])*DiscreteStatsTable[Average]))</f>
        <v>11.961222401833499</v>
      </c>
      <c r="S264" cm="1">
        <f t="array" ref="S264">MAX(IF((DiscreteStatsTable[GroupByKey]=DiscreteStatsTable[[#This Row],[GroupByKey]]),(DiscreteStatsTable[GroupByKey]=DiscreteStatsTable[[#This Row],[GroupByKey]])*DiscreteStatsTable[Average]))</f>
        <v>12.018196351237499</v>
      </c>
      <c r="T264" cm="1">
        <f t="array" ref="T264">MIN(IF((DiscreteStatsTable[GroupByKey]=DiscreteStatsTable[[#This Row],[GroupByKey]]),(DiscreteStatsTable[GroupByKey]=DiscreteStatsTable[[#This Row],[GroupByKey]])*DiscreteStatsTable[Minimum]))</f>
        <v>3.64786699385149</v>
      </c>
      <c r="U264" cm="1">
        <f t="array" ref="U264">MAX(IF((DiscreteStatsTable[GroupByKey]=DiscreteStatsTable[[#This Row],[GroupByKey]]),(DiscreteStatsTable[GroupByKey]=DiscreteStatsTable[[#This Row],[GroupByKey]])*DiscreteStatsTable[Maximum]))</f>
        <v>21.037537163822002</v>
      </c>
      <c r="V264" cm="1">
        <f t="array" ref="V264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64">
        <f>IF((DiscreteStatsTable[[#This Row],[RepsRequested]]&gt;1),DiscreteStatsTable[[#This Row],[HalfWidth]],DiscreteStatsTable[[#This Row],[BatchMeansHalfWidth]])</f>
        <v>1.2904371196416789E-2</v>
      </c>
      <c r="X264" cm="1">
        <f t="array" ref="X264">COUNT(IF((DiscreteStatsTable[GroupByKey]=DiscreteStatsTable[[#This Row],[GroupByKey]]),(DiscreteStatsTable[GroupByKey]=DiscreteStatsTable[[#This Row],[GroupByKey]])*DiscreteStatsTable[Replication]))</f>
        <v>10</v>
      </c>
      <c r="Y264">
        <f>IF(DiscreteStatsTable[[#This Row],[RepsRequested]]=DiscreteStatsTable[[#This Row],[RepsWithStatObserved]],1,0)</f>
        <v>1</v>
      </c>
    </row>
    <row r="265" spans="1:25" x14ac:dyDescent="0.25">
      <c r="A265" t="s">
        <v>67</v>
      </c>
      <c r="B265" t="s">
        <v>243</v>
      </c>
      <c r="C265">
        <v>2</v>
      </c>
      <c r="D265" t="s">
        <v>96</v>
      </c>
      <c r="E265" t="s">
        <v>89</v>
      </c>
      <c r="F265" t="s">
        <v>87</v>
      </c>
      <c r="G265">
        <v>11.9947829897019</v>
      </c>
      <c r="H265">
        <v>4.7758963506835402E-2</v>
      </c>
      <c r="I265">
        <v>4.7013684799894699</v>
      </c>
      <c r="J265">
        <v>21.037537163822002</v>
      </c>
      <c r="K265">
        <v>8224</v>
      </c>
      <c r="L265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265" cm="1">
        <f t="array" ref="M265">MAX(IF((ProjectInfoTable[ProjectName]=DiscreteStatsTable[[#This Row],[ProjectName]]),(ProjectInfoTable[ProjectName]=DiscreteStatsTable[[#This Row],[ProjectName]])*ProjectInfoTable[NumberOfReplications]))</f>
        <v>10</v>
      </c>
      <c r="N265" cm="1">
        <f t="array" ref="N265">IFERROR(AVERAGE(IF((DiscreteStatsTable[GroupByKey]=DiscreteStatsTable[[#This Row],[GroupByKey]]),(DiscreteStatsTable[GroupByKey]=DiscreteStatsTable[[#This Row],[GroupByKey]])*DiscreteStatsTable[Average])),0)</f>
        <v>11.986968421133957</v>
      </c>
      <c r="O265" cm="1">
        <f t="array" ref="O265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6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65" cm="1">
        <f t="array" ref="R265">MIN(IF((DiscreteStatsTable[GroupByKey]=DiscreteStatsTable[[#This Row],[GroupByKey]]),(DiscreteStatsTable[GroupByKey]=DiscreteStatsTable[[#This Row],[GroupByKey]])*DiscreteStatsTable[Average]))</f>
        <v>11.961222401833499</v>
      </c>
      <c r="S265" cm="1">
        <f t="array" ref="S265">MAX(IF((DiscreteStatsTable[GroupByKey]=DiscreteStatsTable[[#This Row],[GroupByKey]]),(DiscreteStatsTable[GroupByKey]=DiscreteStatsTable[[#This Row],[GroupByKey]])*DiscreteStatsTable[Average]))</f>
        <v>12.018196351237499</v>
      </c>
      <c r="T265" cm="1">
        <f t="array" ref="T265">MIN(IF((DiscreteStatsTable[GroupByKey]=DiscreteStatsTable[[#This Row],[GroupByKey]]),(DiscreteStatsTable[GroupByKey]=DiscreteStatsTable[[#This Row],[GroupByKey]])*DiscreteStatsTable[Minimum]))</f>
        <v>3.64786699385149</v>
      </c>
      <c r="U265" cm="1">
        <f t="array" ref="U265">MAX(IF((DiscreteStatsTable[GroupByKey]=DiscreteStatsTable[[#This Row],[GroupByKey]]),(DiscreteStatsTable[GroupByKey]=DiscreteStatsTable[[#This Row],[GroupByKey]])*DiscreteStatsTable[Maximum]))</f>
        <v>21.037537163822002</v>
      </c>
      <c r="V265" cm="1">
        <f t="array" ref="V265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65">
        <f>IF((DiscreteStatsTable[[#This Row],[RepsRequested]]&gt;1),DiscreteStatsTable[[#This Row],[HalfWidth]],DiscreteStatsTable[[#This Row],[BatchMeansHalfWidth]])</f>
        <v>1.2904371196416789E-2</v>
      </c>
      <c r="X265" cm="1">
        <f t="array" ref="X265">COUNT(IF((DiscreteStatsTable[GroupByKey]=DiscreteStatsTable[[#This Row],[GroupByKey]]),(DiscreteStatsTable[GroupByKey]=DiscreteStatsTable[[#This Row],[GroupByKey]])*DiscreteStatsTable[Replication]))</f>
        <v>10</v>
      </c>
      <c r="Y265">
        <f>IF(DiscreteStatsTable[[#This Row],[RepsRequested]]=DiscreteStatsTable[[#This Row],[RepsWithStatObserved]],1,0)</f>
        <v>1</v>
      </c>
    </row>
    <row r="266" spans="1:25" x14ac:dyDescent="0.25">
      <c r="A266" t="s">
        <v>67</v>
      </c>
      <c r="B266" t="s">
        <v>243</v>
      </c>
      <c r="C266">
        <v>3</v>
      </c>
      <c r="D266" t="s">
        <v>96</v>
      </c>
      <c r="E266" t="s">
        <v>88</v>
      </c>
      <c r="F266" t="s">
        <v>87</v>
      </c>
      <c r="G266">
        <v>11.963401994073701</v>
      </c>
      <c r="H266">
        <v>5.14588586541294E-2</v>
      </c>
      <c r="I266">
        <v>3.64786699385149</v>
      </c>
      <c r="J266">
        <v>19.6316474850173</v>
      </c>
      <c r="K266">
        <v>8237</v>
      </c>
      <c r="L266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266" cm="1">
        <f t="array" ref="M266">MAX(IF((ProjectInfoTable[ProjectName]=DiscreteStatsTable[[#This Row],[ProjectName]]),(ProjectInfoTable[ProjectName]=DiscreteStatsTable[[#This Row],[ProjectName]])*ProjectInfoTable[NumberOfReplications]))</f>
        <v>10</v>
      </c>
      <c r="N266" cm="1">
        <f t="array" ref="N266">IFERROR(AVERAGE(IF((DiscreteStatsTable[GroupByKey]=DiscreteStatsTable[[#This Row],[GroupByKey]]),(DiscreteStatsTable[GroupByKey]=DiscreteStatsTable[[#This Row],[GroupByKey]])*DiscreteStatsTable[Average])),0)</f>
        <v>11.986968421133957</v>
      </c>
      <c r="O266" cm="1">
        <f t="array" ref="O266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66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66" cm="1">
        <f t="array" ref="R266">MIN(IF((DiscreteStatsTable[GroupByKey]=DiscreteStatsTable[[#This Row],[GroupByKey]]),(DiscreteStatsTable[GroupByKey]=DiscreteStatsTable[[#This Row],[GroupByKey]])*DiscreteStatsTable[Average]))</f>
        <v>11.961222401833499</v>
      </c>
      <c r="S266" cm="1">
        <f t="array" ref="S266">MAX(IF((DiscreteStatsTable[GroupByKey]=DiscreteStatsTable[[#This Row],[GroupByKey]]),(DiscreteStatsTable[GroupByKey]=DiscreteStatsTable[[#This Row],[GroupByKey]])*DiscreteStatsTable[Average]))</f>
        <v>12.018196351237499</v>
      </c>
      <c r="T266" cm="1">
        <f t="array" ref="T266">MIN(IF((DiscreteStatsTable[GroupByKey]=DiscreteStatsTable[[#This Row],[GroupByKey]]),(DiscreteStatsTable[GroupByKey]=DiscreteStatsTable[[#This Row],[GroupByKey]])*DiscreteStatsTable[Minimum]))</f>
        <v>3.64786699385149</v>
      </c>
      <c r="U266" cm="1">
        <f t="array" ref="U266">MAX(IF((DiscreteStatsTable[GroupByKey]=DiscreteStatsTable[[#This Row],[GroupByKey]]),(DiscreteStatsTable[GroupByKey]=DiscreteStatsTable[[#This Row],[GroupByKey]])*DiscreteStatsTable[Maximum]))</f>
        <v>21.037537163822002</v>
      </c>
      <c r="V266" cm="1">
        <f t="array" ref="V266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66">
        <f>IF((DiscreteStatsTable[[#This Row],[RepsRequested]]&gt;1),DiscreteStatsTable[[#This Row],[HalfWidth]],DiscreteStatsTable[[#This Row],[BatchMeansHalfWidth]])</f>
        <v>1.2904371196416789E-2</v>
      </c>
      <c r="X266" cm="1">
        <f t="array" ref="X266">COUNT(IF((DiscreteStatsTable[GroupByKey]=DiscreteStatsTable[[#This Row],[GroupByKey]]),(DiscreteStatsTable[GroupByKey]=DiscreteStatsTable[[#This Row],[GroupByKey]])*DiscreteStatsTable[Replication]))</f>
        <v>10</v>
      </c>
      <c r="Y266">
        <f>IF(DiscreteStatsTable[[#This Row],[RepsRequested]]=DiscreteStatsTable[[#This Row],[RepsWithStatObserved]],1,0)</f>
        <v>1</v>
      </c>
    </row>
    <row r="267" spans="1:25" x14ac:dyDescent="0.25">
      <c r="A267" t="s">
        <v>67</v>
      </c>
      <c r="B267" t="s">
        <v>243</v>
      </c>
      <c r="C267">
        <v>3</v>
      </c>
      <c r="D267" t="s">
        <v>96</v>
      </c>
      <c r="E267" t="s">
        <v>89</v>
      </c>
      <c r="F267" t="s">
        <v>87</v>
      </c>
      <c r="G267">
        <v>11.963401994073701</v>
      </c>
      <c r="H267">
        <v>5.14588586541294E-2</v>
      </c>
      <c r="I267">
        <v>3.64786699385149</v>
      </c>
      <c r="J267">
        <v>19.6316474850173</v>
      </c>
      <c r="K267">
        <v>8237</v>
      </c>
      <c r="L267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267" cm="1">
        <f t="array" ref="M267">MAX(IF((ProjectInfoTable[ProjectName]=DiscreteStatsTable[[#This Row],[ProjectName]]),(ProjectInfoTable[ProjectName]=DiscreteStatsTable[[#This Row],[ProjectName]])*ProjectInfoTable[NumberOfReplications]))</f>
        <v>10</v>
      </c>
      <c r="N267" cm="1">
        <f t="array" ref="N267">IFERROR(AVERAGE(IF((DiscreteStatsTable[GroupByKey]=DiscreteStatsTable[[#This Row],[GroupByKey]]),(DiscreteStatsTable[GroupByKey]=DiscreteStatsTable[[#This Row],[GroupByKey]])*DiscreteStatsTable[Average])),0)</f>
        <v>11.986968421133957</v>
      </c>
      <c r="O267" cm="1">
        <f t="array" ref="O267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67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67" cm="1">
        <f t="array" ref="R267">MIN(IF((DiscreteStatsTable[GroupByKey]=DiscreteStatsTable[[#This Row],[GroupByKey]]),(DiscreteStatsTable[GroupByKey]=DiscreteStatsTable[[#This Row],[GroupByKey]])*DiscreteStatsTable[Average]))</f>
        <v>11.961222401833499</v>
      </c>
      <c r="S267" cm="1">
        <f t="array" ref="S267">MAX(IF((DiscreteStatsTable[GroupByKey]=DiscreteStatsTable[[#This Row],[GroupByKey]]),(DiscreteStatsTable[GroupByKey]=DiscreteStatsTable[[#This Row],[GroupByKey]])*DiscreteStatsTable[Average]))</f>
        <v>12.018196351237499</v>
      </c>
      <c r="T267" cm="1">
        <f t="array" ref="T267">MIN(IF((DiscreteStatsTable[GroupByKey]=DiscreteStatsTable[[#This Row],[GroupByKey]]),(DiscreteStatsTable[GroupByKey]=DiscreteStatsTable[[#This Row],[GroupByKey]])*DiscreteStatsTable[Minimum]))</f>
        <v>3.64786699385149</v>
      </c>
      <c r="U267" cm="1">
        <f t="array" ref="U267">MAX(IF((DiscreteStatsTable[GroupByKey]=DiscreteStatsTable[[#This Row],[GroupByKey]]),(DiscreteStatsTable[GroupByKey]=DiscreteStatsTable[[#This Row],[GroupByKey]])*DiscreteStatsTable[Maximum]))</f>
        <v>21.037537163822002</v>
      </c>
      <c r="V267" cm="1">
        <f t="array" ref="V267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67">
        <f>IF((DiscreteStatsTable[[#This Row],[RepsRequested]]&gt;1),DiscreteStatsTable[[#This Row],[HalfWidth]],DiscreteStatsTable[[#This Row],[BatchMeansHalfWidth]])</f>
        <v>1.2904371196416789E-2</v>
      </c>
      <c r="X267" cm="1">
        <f t="array" ref="X267">COUNT(IF((DiscreteStatsTable[GroupByKey]=DiscreteStatsTable[[#This Row],[GroupByKey]]),(DiscreteStatsTable[GroupByKey]=DiscreteStatsTable[[#This Row],[GroupByKey]])*DiscreteStatsTable[Replication]))</f>
        <v>10</v>
      </c>
      <c r="Y267">
        <f>IF(DiscreteStatsTable[[#This Row],[RepsRequested]]=DiscreteStatsTable[[#This Row],[RepsWithStatObserved]],1,0)</f>
        <v>1</v>
      </c>
    </row>
    <row r="268" spans="1:25" x14ac:dyDescent="0.25">
      <c r="A268" t="s">
        <v>67</v>
      </c>
      <c r="B268" t="s">
        <v>243</v>
      </c>
      <c r="C268">
        <v>4</v>
      </c>
      <c r="D268" t="s">
        <v>96</v>
      </c>
      <c r="E268" t="s">
        <v>88</v>
      </c>
      <c r="F268" t="s">
        <v>87</v>
      </c>
      <c r="G268">
        <v>11.9851918183784</v>
      </c>
      <c r="H268">
        <v>3.9420476528435097E-2</v>
      </c>
      <c r="I268">
        <v>4.2255738939857101</v>
      </c>
      <c r="J268">
        <v>19.1477855086559</v>
      </c>
      <c r="K268">
        <v>8226</v>
      </c>
      <c r="L268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268" cm="1">
        <f t="array" ref="M268">MAX(IF((ProjectInfoTable[ProjectName]=DiscreteStatsTable[[#This Row],[ProjectName]]),(ProjectInfoTable[ProjectName]=DiscreteStatsTable[[#This Row],[ProjectName]])*ProjectInfoTable[NumberOfReplications]))</f>
        <v>10</v>
      </c>
      <c r="N268" cm="1">
        <f t="array" ref="N268">IFERROR(AVERAGE(IF((DiscreteStatsTable[GroupByKey]=DiscreteStatsTable[[#This Row],[GroupByKey]]),(DiscreteStatsTable[GroupByKey]=DiscreteStatsTable[[#This Row],[GroupByKey]])*DiscreteStatsTable[Average])),0)</f>
        <v>11.986968421133957</v>
      </c>
      <c r="O268" cm="1">
        <f t="array" ref="O268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68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68" cm="1">
        <f t="array" ref="R268">MIN(IF((DiscreteStatsTable[GroupByKey]=DiscreteStatsTable[[#This Row],[GroupByKey]]),(DiscreteStatsTable[GroupByKey]=DiscreteStatsTable[[#This Row],[GroupByKey]])*DiscreteStatsTable[Average]))</f>
        <v>11.961222401833499</v>
      </c>
      <c r="S268" cm="1">
        <f t="array" ref="S268">MAX(IF((DiscreteStatsTable[GroupByKey]=DiscreteStatsTable[[#This Row],[GroupByKey]]),(DiscreteStatsTable[GroupByKey]=DiscreteStatsTable[[#This Row],[GroupByKey]])*DiscreteStatsTable[Average]))</f>
        <v>12.018196351237499</v>
      </c>
      <c r="T268" cm="1">
        <f t="array" ref="T268">MIN(IF((DiscreteStatsTable[GroupByKey]=DiscreteStatsTable[[#This Row],[GroupByKey]]),(DiscreteStatsTable[GroupByKey]=DiscreteStatsTable[[#This Row],[GroupByKey]])*DiscreteStatsTable[Minimum]))</f>
        <v>3.64786699385149</v>
      </c>
      <c r="U268" cm="1">
        <f t="array" ref="U268">MAX(IF((DiscreteStatsTable[GroupByKey]=DiscreteStatsTable[[#This Row],[GroupByKey]]),(DiscreteStatsTable[GroupByKey]=DiscreteStatsTable[[#This Row],[GroupByKey]])*DiscreteStatsTable[Maximum]))</f>
        <v>21.037537163822002</v>
      </c>
      <c r="V268" cm="1">
        <f t="array" ref="V268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68">
        <f>IF((DiscreteStatsTable[[#This Row],[RepsRequested]]&gt;1),DiscreteStatsTable[[#This Row],[HalfWidth]],DiscreteStatsTable[[#This Row],[BatchMeansHalfWidth]])</f>
        <v>1.2904371196416789E-2</v>
      </c>
      <c r="X268" cm="1">
        <f t="array" ref="X268">COUNT(IF((DiscreteStatsTable[GroupByKey]=DiscreteStatsTable[[#This Row],[GroupByKey]]),(DiscreteStatsTable[GroupByKey]=DiscreteStatsTable[[#This Row],[GroupByKey]])*DiscreteStatsTable[Replication]))</f>
        <v>10</v>
      </c>
      <c r="Y268">
        <f>IF(DiscreteStatsTable[[#This Row],[RepsRequested]]=DiscreteStatsTable[[#This Row],[RepsWithStatObserved]],1,0)</f>
        <v>1</v>
      </c>
    </row>
    <row r="269" spans="1:25" x14ac:dyDescent="0.25">
      <c r="A269" t="s">
        <v>67</v>
      </c>
      <c r="B269" t="s">
        <v>243</v>
      </c>
      <c r="C269">
        <v>4</v>
      </c>
      <c r="D269" t="s">
        <v>96</v>
      </c>
      <c r="E269" t="s">
        <v>89</v>
      </c>
      <c r="F269" t="s">
        <v>87</v>
      </c>
      <c r="G269">
        <v>11.9851918183784</v>
      </c>
      <c r="H269">
        <v>3.9420476528435097E-2</v>
      </c>
      <c r="I269">
        <v>4.2255738939857101</v>
      </c>
      <c r="J269">
        <v>19.1477855086559</v>
      </c>
      <c r="K269">
        <v>8226</v>
      </c>
      <c r="L269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269" cm="1">
        <f t="array" ref="M269">MAX(IF((ProjectInfoTable[ProjectName]=DiscreteStatsTable[[#This Row],[ProjectName]]),(ProjectInfoTable[ProjectName]=DiscreteStatsTable[[#This Row],[ProjectName]])*ProjectInfoTable[NumberOfReplications]))</f>
        <v>10</v>
      </c>
      <c r="N269" cm="1">
        <f t="array" ref="N269">IFERROR(AVERAGE(IF((DiscreteStatsTable[GroupByKey]=DiscreteStatsTable[[#This Row],[GroupByKey]]),(DiscreteStatsTable[GroupByKey]=DiscreteStatsTable[[#This Row],[GroupByKey]])*DiscreteStatsTable[Average])),0)</f>
        <v>11.986968421133957</v>
      </c>
      <c r="O269" cm="1">
        <f t="array" ref="O269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69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69" cm="1">
        <f t="array" ref="R269">MIN(IF((DiscreteStatsTable[GroupByKey]=DiscreteStatsTable[[#This Row],[GroupByKey]]),(DiscreteStatsTable[GroupByKey]=DiscreteStatsTable[[#This Row],[GroupByKey]])*DiscreteStatsTable[Average]))</f>
        <v>11.961222401833499</v>
      </c>
      <c r="S269" cm="1">
        <f t="array" ref="S269">MAX(IF((DiscreteStatsTable[GroupByKey]=DiscreteStatsTable[[#This Row],[GroupByKey]]),(DiscreteStatsTable[GroupByKey]=DiscreteStatsTable[[#This Row],[GroupByKey]])*DiscreteStatsTable[Average]))</f>
        <v>12.018196351237499</v>
      </c>
      <c r="T269" cm="1">
        <f t="array" ref="T269">MIN(IF((DiscreteStatsTable[GroupByKey]=DiscreteStatsTable[[#This Row],[GroupByKey]]),(DiscreteStatsTable[GroupByKey]=DiscreteStatsTable[[#This Row],[GroupByKey]])*DiscreteStatsTable[Minimum]))</f>
        <v>3.64786699385149</v>
      </c>
      <c r="U269" cm="1">
        <f t="array" ref="U269">MAX(IF((DiscreteStatsTable[GroupByKey]=DiscreteStatsTable[[#This Row],[GroupByKey]]),(DiscreteStatsTable[GroupByKey]=DiscreteStatsTable[[#This Row],[GroupByKey]])*DiscreteStatsTable[Maximum]))</f>
        <v>21.037537163822002</v>
      </c>
      <c r="V269" cm="1">
        <f t="array" ref="V269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69">
        <f>IF((DiscreteStatsTable[[#This Row],[RepsRequested]]&gt;1),DiscreteStatsTable[[#This Row],[HalfWidth]],DiscreteStatsTable[[#This Row],[BatchMeansHalfWidth]])</f>
        <v>1.2904371196416789E-2</v>
      </c>
      <c r="X269" cm="1">
        <f t="array" ref="X269">COUNT(IF((DiscreteStatsTable[GroupByKey]=DiscreteStatsTable[[#This Row],[GroupByKey]]),(DiscreteStatsTable[GroupByKey]=DiscreteStatsTable[[#This Row],[GroupByKey]])*DiscreteStatsTable[Replication]))</f>
        <v>10</v>
      </c>
      <c r="Y269">
        <f>IF(DiscreteStatsTable[[#This Row],[RepsRequested]]=DiscreteStatsTable[[#This Row],[RepsWithStatObserved]],1,0)</f>
        <v>1</v>
      </c>
    </row>
    <row r="270" spans="1:25" x14ac:dyDescent="0.25">
      <c r="A270" t="s">
        <v>67</v>
      </c>
      <c r="B270" t="s">
        <v>243</v>
      </c>
      <c r="C270">
        <v>5</v>
      </c>
      <c r="D270" t="s">
        <v>96</v>
      </c>
      <c r="E270" t="s">
        <v>88</v>
      </c>
      <c r="F270" t="s">
        <v>87</v>
      </c>
      <c r="G270">
        <v>12.018196351237499</v>
      </c>
      <c r="H270">
        <v>3.6585298440310499E-2</v>
      </c>
      <c r="I270">
        <v>4.94157593569253</v>
      </c>
      <c r="J270">
        <v>19.119922568672301</v>
      </c>
      <c r="K270">
        <v>8237</v>
      </c>
      <c r="L270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270" cm="1">
        <f t="array" ref="M270">MAX(IF((ProjectInfoTable[ProjectName]=DiscreteStatsTable[[#This Row],[ProjectName]]),(ProjectInfoTable[ProjectName]=DiscreteStatsTable[[#This Row],[ProjectName]])*ProjectInfoTable[NumberOfReplications]))</f>
        <v>10</v>
      </c>
      <c r="N270" cm="1">
        <f t="array" ref="N270">IFERROR(AVERAGE(IF((DiscreteStatsTable[GroupByKey]=DiscreteStatsTable[[#This Row],[GroupByKey]]),(DiscreteStatsTable[GroupByKey]=DiscreteStatsTable[[#This Row],[GroupByKey]])*DiscreteStatsTable[Average])),0)</f>
        <v>11.986968421133957</v>
      </c>
      <c r="O270" cm="1">
        <f t="array" ref="O270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70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70" cm="1">
        <f t="array" ref="R270">MIN(IF((DiscreteStatsTable[GroupByKey]=DiscreteStatsTable[[#This Row],[GroupByKey]]),(DiscreteStatsTable[GroupByKey]=DiscreteStatsTable[[#This Row],[GroupByKey]])*DiscreteStatsTable[Average]))</f>
        <v>11.961222401833499</v>
      </c>
      <c r="S270" cm="1">
        <f t="array" ref="S270">MAX(IF((DiscreteStatsTable[GroupByKey]=DiscreteStatsTable[[#This Row],[GroupByKey]]),(DiscreteStatsTable[GroupByKey]=DiscreteStatsTable[[#This Row],[GroupByKey]])*DiscreteStatsTable[Average]))</f>
        <v>12.018196351237499</v>
      </c>
      <c r="T270" cm="1">
        <f t="array" ref="T270">MIN(IF((DiscreteStatsTable[GroupByKey]=DiscreteStatsTable[[#This Row],[GroupByKey]]),(DiscreteStatsTable[GroupByKey]=DiscreteStatsTable[[#This Row],[GroupByKey]])*DiscreteStatsTable[Minimum]))</f>
        <v>3.64786699385149</v>
      </c>
      <c r="U270" cm="1">
        <f t="array" ref="U270">MAX(IF((DiscreteStatsTable[GroupByKey]=DiscreteStatsTable[[#This Row],[GroupByKey]]),(DiscreteStatsTable[GroupByKey]=DiscreteStatsTable[[#This Row],[GroupByKey]])*DiscreteStatsTable[Maximum]))</f>
        <v>21.037537163822002</v>
      </c>
      <c r="V270" cm="1">
        <f t="array" ref="V270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70">
        <f>IF((DiscreteStatsTable[[#This Row],[RepsRequested]]&gt;1),DiscreteStatsTable[[#This Row],[HalfWidth]],DiscreteStatsTable[[#This Row],[BatchMeansHalfWidth]])</f>
        <v>1.2904371196416789E-2</v>
      </c>
      <c r="X270" cm="1">
        <f t="array" ref="X270">COUNT(IF((DiscreteStatsTable[GroupByKey]=DiscreteStatsTable[[#This Row],[GroupByKey]]),(DiscreteStatsTable[GroupByKey]=DiscreteStatsTable[[#This Row],[GroupByKey]])*DiscreteStatsTable[Replication]))</f>
        <v>10</v>
      </c>
      <c r="Y270">
        <f>IF(DiscreteStatsTable[[#This Row],[RepsRequested]]=DiscreteStatsTable[[#This Row],[RepsWithStatObserved]],1,0)</f>
        <v>1</v>
      </c>
    </row>
    <row r="271" spans="1:25" x14ac:dyDescent="0.25">
      <c r="A271" t="s">
        <v>67</v>
      </c>
      <c r="B271" t="s">
        <v>243</v>
      </c>
      <c r="C271">
        <v>5</v>
      </c>
      <c r="D271" t="s">
        <v>96</v>
      </c>
      <c r="E271" t="s">
        <v>89</v>
      </c>
      <c r="F271" t="s">
        <v>87</v>
      </c>
      <c r="G271">
        <v>12.018196351237499</v>
      </c>
      <c r="H271">
        <v>3.6585298440310499E-2</v>
      </c>
      <c r="I271">
        <v>4.94157593569253</v>
      </c>
      <c r="J271">
        <v>19.119922568672301</v>
      </c>
      <c r="K271">
        <v>8237</v>
      </c>
      <c r="L271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271" cm="1">
        <f t="array" ref="M271">MAX(IF((ProjectInfoTable[ProjectName]=DiscreteStatsTable[[#This Row],[ProjectName]]),(ProjectInfoTable[ProjectName]=DiscreteStatsTable[[#This Row],[ProjectName]])*ProjectInfoTable[NumberOfReplications]))</f>
        <v>10</v>
      </c>
      <c r="N271" cm="1">
        <f t="array" ref="N271">IFERROR(AVERAGE(IF((DiscreteStatsTable[GroupByKey]=DiscreteStatsTable[[#This Row],[GroupByKey]]),(DiscreteStatsTable[GroupByKey]=DiscreteStatsTable[[#This Row],[GroupByKey]])*DiscreteStatsTable[Average])),0)</f>
        <v>11.986968421133957</v>
      </c>
      <c r="O271" cm="1">
        <f t="array" ref="O271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71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71" cm="1">
        <f t="array" ref="R271">MIN(IF((DiscreteStatsTable[GroupByKey]=DiscreteStatsTable[[#This Row],[GroupByKey]]),(DiscreteStatsTable[GroupByKey]=DiscreteStatsTable[[#This Row],[GroupByKey]])*DiscreteStatsTable[Average]))</f>
        <v>11.961222401833499</v>
      </c>
      <c r="S271" cm="1">
        <f t="array" ref="S271">MAX(IF((DiscreteStatsTable[GroupByKey]=DiscreteStatsTable[[#This Row],[GroupByKey]]),(DiscreteStatsTable[GroupByKey]=DiscreteStatsTable[[#This Row],[GroupByKey]])*DiscreteStatsTable[Average]))</f>
        <v>12.018196351237499</v>
      </c>
      <c r="T271" cm="1">
        <f t="array" ref="T271">MIN(IF((DiscreteStatsTable[GroupByKey]=DiscreteStatsTable[[#This Row],[GroupByKey]]),(DiscreteStatsTable[GroupByKey]=DiscreteStatsTable[[#This Row],[GroupByKey]])*DiscreteStatsTable[Minimum]))</f>
        <v>3.64786699385149</v>
      </c>
      <c r="U271" cm="1">
        <f t="array" ref="U271">MAX(IF((DiscreteStatsTable[GroupByKey]=DiscreteStatsTable[[#This Row],[GroupByKey]]),(DiscreteStatsTable[GroupByKey]=DiscreteStatsTable[[#This Row],[GroupByKey]])*DiscreteStatsTable[Maximum]))</f>
        <v>21.037537163822002</v>
      </c>
      <c r="V271" cm="1">
        <f t="array" ref="V271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71">
        <f>IF((DiscreteStatsTable[[#This Row],[RepsRequested]]&gt;1),DiscreteStatsTable[[#This Row],[HalfWidth]],DiscreteStatsTable[[#This Row],[BatchMeansHalfWidth]])</f>
        <v>1.2904371196416789E-2</v>
      </c>
      <c r="X271" cm="1">
        <f t="array" ref="X271">COUNT(IF((DiscreteStatsTable[GroupByKey]=DiscreteStatsTable[[#This Row],[GroupByKey]]),(DiscreteStatsTable[GroupByKey]=DiscreteStatsTable[[#This Row],[GroupByKey]])*DiscreteStatsTable[Replication]))</f>
        <v>10</v>
      </c>
      <c r="Y271">
        <f>IF(DiscreteStatsTable[[#This Row],[RepsRequested]]=DiscreteStatsTable[[#This Row],[RepsWithStatObserved]],1,0)</f>
        <v>1</v>
      </c>
    </row>
    <row r="272" spans="1:25" x14ac:dyDescent="0.25">
      <c r="A272" t="s">
        <v>67</v>
      </c>
      <c r="B272" t="s">
        <v>243</v>
      </c>
      <c r="C272">
        <v>6</v>
      </c>
      <c r="D272" t="s">
        <v>96</v>
      </c>
      <c r="E272" t="s">
        <v>88</v>
      </c>
      <c r="F272" t="s">
        <v>87</v>
      </c>
      <c r="G272">
        <v>11.980809517011799</v>
      </c>
      <c r="H272">
        <v>4.7194829791125298E-2</v>
      </c>
      <c r="I272">
        <v>5.4029672251490402</v>
      </c>
      <c r="J272">
        <v>19.994733038242</v>
      </c>
      <c r="K272">
        <v>8216</v>
      </c>
      <c r="L272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272" cm="1">
        <f t="array" ref="M272">MAX(IF((ProjectInfoTable[ProjectName]=DiscreteStatsTable[[#This Row],[ProjectName]]),(ProjectInfoTable[ProjectName]=DiscreteStatsTable[[#This Row],[ProjectName]])*ProjectInfoTable[NumberOfReplications]))</f>
        <v>10</v>
      </c>
      <c r="N272" cm="1">
        <f t="array" ref="N272">IFERROR(AVERAGE(IF((DiscreteStatsTable[GroupByKey]=DiscreteStatsTable[[#This Row],[GroupByKey]]),(DiscreteStatsTable[GroupByKey]=DiscreteStatsTable[[#This Row],[GroupByKey]])*DiscreteStatsTable[Average])),0)</f>
        <v>11.986968421133957</v>
      </c>
      <c r="O272" cm="1">
        <f t="array" ref="O272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72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72" cm="1">
        <f t="array" ref="R272">MIN(IF((DiscreteStatsTable[GroupByKey]=DiscreteStatsTable[[#This Row],[GroupByKey]]),(DiscreteStatsTable[GroupByKey]=DiscreteStatsTable[[#This Row],[GroupByKey]])*DiscreteStatsTable[Average]))</f>
        <v>11.961222401833499</v>
      </c>
      <c r="S272" cm="1">
        <f t="array" ref="S272">MAX(IF((DiscreteStatsTable[GroupByKey]=DiscreteStatsTable[[#This Row],[GroupByKey]]),(DiscreteStatsTable[GroupByKey]=DiscreteStatsTable[[#This Row],[GroupByKey]])*DiscreteStatsTable[Average]))</f>
        <v>12.018196351237499</v>
      </c>
      <c r="T272" cm="1">
        <f t="array" ref="T272">MIN(IF((DiscreteStatsTable[GroupByKey]=DiscreteStatsTable[[#This Row],[GroupByKey]]),(DiscreteStatsTable[GroupByKey]=DiscreteStatsTable[[#This Row],[GroupByKey]])*DiscreteStatsTable[Minimum]))</f>
        <v>3.64786699385149</v>
      </c>
      <c r="U272" cm="1">
        <f t="array" ref="U272">MAX(IF((DiscreteStatsTable[GroupByKey]=DiscreteStatsTable[[#This Row],[GroupByKey]]),(DiscreteStatsTable[GroupByKey]=DiscreteStatsTable[[#This Row],[GroupByKey]])*DiscreteStatsTable[Maximum]))</f>
        <v>21.037537163822002</v>
      </c>
      <c r="V272" cm="1">
        <f t="array" ref="V272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72">
        <f>IF((DiscreteStatsTable[[#This Row],[RepsRequested]]&gt;1),DiscreteStatsTable[[#This Row],[HalfWidth]],DiscreteStatsTable[[#This Row],[BatchMeansHalfWidth]])</f>
        <v>1.2904371196416789E-2</v>
      </c>
      <c r="X272" cm="1">
        <f t="array" ref="X272">COUNT(IF((DiscreteStatsTable[GroupByKey]=DiscreteStatsTable[[#This Row],[GroupByKey]]),(DiscreteStatsTable[GroupByKey]=DiscreteStatsTable[[#This Row],[GroupByKey]])*DiscreteStatsTable[Replication]))</f>
        <v>10</v>
      </c>
      <c r="Y272">
        <f>IF(DiscreteStatsTable[[#This Row],[RepsRequested]]=DiscreteStatsTable[[#This Row],[RepsWithStatObserved]],1,0)</f>
        <v>1</v>
      </c>
    </row>
    <row r="273" spans="1:25" x14ac:dyDescent="0.25">
      <c r="A273" t="s">
        <v>67</v>
      </c>
      <c r="B273" t="s">
        <v>243</v>
      </c>
      <c r="C273">
        <v>6</v>
      </c>
      <c r="D273" t="s">
        <v>96</v>
      </c>
      <c r="E273" t="s">
        <v>89</v>
      </c>
      <c r="F273" t="s">
        <v>87</v>
      </c>
      <c r="G273">
        <v>11.980809517011799</v>
      </c>
      <c r="H273">
        <v>4.7194829791125298E-2</v>
      </c>
      <c r="I273">
        <v>5.4029672251490402</v>
      </c>
      <c r="J273">
        <v>19.994733038242</v>
      </c>
      <c r="K273">
        <v>8216</v>
      </c>
      <c r="L273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273" cm="1">
        <f t="array" ref="M273">MAX(IF((ProjectInfoTable[ProjectName]=DiscreteStatsTable[[#This Row],[ProjectName]]),(ProjectInfoTable[ProjectName]=DiscreteStatsTable[[#This Row],[ProjectName]])*ProjectInfoTable[NumberOfReplications]))</f>
        <v>10</v>
      </c>
      <c r="N273" cm="1">
        <f t="array" ref="N273">IFERROR(AVERAGE(IF((DiscreteStatsTable[GroupByKey]=DiscreteStatsTable[[#This Row],[GroupByKey]]),(DiscreteStatsTable[GroupByKey]=DiscreteStatsTable[[#This Row],[GroupByKey]])*DiscreteStatsTable[Average])),0)</f>
        <v>11.986968421133957</v>
      </c>
      <c r="O273" cm="1">
        <f t="array" ref="O273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73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73" cm="1">
        <f t="array" ref="R273">MIN(IF((DiscreteStatsTable[GroupByKey]=DiscreteStatsTable[[#This Row],[GroupByKey]]),(DiscreteStatsTable[GroupByKey]=DiscreteStatsTable[[#This Row],[GroupByKey]])*DiscreteStatsTable[Average]))</f>
        <v>11.961222401833499</v>
      </c>
      <c r="S273" cm="1">
        <f t="array" ref="S273">MAX(IF((DiscreteStatsTable[GroupByKey]=DiscreteStatsTable[[#This Row],[GroupByKey]]),(DiscreteStatsTable[GroupByKey]=DiscreteStatsTable[[#This Row],[GroupByKey]])*DiscreteStatsTable[Average]))</f>
        <v>12.018196351237499</v>
      </c>
      <c r="T273" cm="1">
        <f t="array" ref="T273">MIN(IF((DiscreteStatsTable[GroupByKey]=DiscreteStatsTable[[#This Row],[GroupByKey]]),(DiscreteStatsTable[GroupByKey]=DiscreteStatsTable[[#This Row],[GroupByKey]])*DiscreteStatsTable[Minimum]))</f>
        <v>3.64786699385149</v>
      </c>
      <c r="U273" cm="1">
        <f t="array" ref="U273">MAX(IF((DiscreteStatsTable[GroupByKey]=DiscreteStatsTable[[#This Row],[GroupByKey]]),(DiscreteStatsTable[GroupByKey]=DiscreteStatsTable[[#This Row],[GroupByKey]])*DiscreteStatsTable[Maximum]))</f>
        <v>21.037537163822002</v>
      </c>
      <c r="V273" cm="1">
        <f t="array" ref="V273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73">
        <f>IF((DiscreteStatsTable[[#This Row],[RepsRequested]]&gt;1),DiscreteStatsTable[[#This Row],[HalfWidth]],DiscreteStatsTable[[#This Row],[BatchMeansHalfWidth]])</f>
        <v>1.2904371196416789E-2</v>
      </c>
      <c r="X273" cm="1">
        <f t="array" ref="X273">COUNT(IF((DiscreteStatsTable[GroupByKey]=DiscreteStatsTable[[#This Row],[GroupByKey]]),(DiscreteStatsTable[GroupByKey]=DiscreteStatsTable[[#This Row],[GroupByKey]])*DiscreteStatsTable[Replication]))</f>
        <v>10</v>
      </c>
      <c r="Y273">
        <f>IF(DiscreteStatsTable[[#This Row],[RepsRequested]]=DiscreteStatsTable[[#This Row],[RepsWithStatObserved]],1,0)</f>
        <v>1</v>
      </c>
    </row>
    <row r="274" spans="1:25" x14ac:dyDescent="0.25">
      <c r="A274" t="s">
        <v>67</v>
      </c>
      <c r="B274" t="s">
        <v>243</v>
      </c>
      <c r="C274">
        <v>7</v>
      </c>
      <c r="D274" t="s">
        <v>96</v>
      </c>
      <c r="E274" t="s">
        <v>88</v>
      </c>
      <c r="F274" t="s">
        <v>87</v>
      </c>
      <c r="G274">
        <v>11.961222401833499</v>
      </c>
      <c r="H274">
        <v>5.2147112412081399E-2</v>
      </c>
      <c r="I274">
        <v>4.7584212496876699</v>
      </c>
      <c r="J274">
        <v>18.619237589096901</v>
      </c>
      <c r="K274">
        <v>8230</v>
      </c>
      <c r="L274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274" cm="1">
        <f t="array" ref="M274">MAX(IF((ProjectInfoTable[ProjectName]=DiscreteStatsTable[[#This Row],[ProjectName]]),(ProjectInfoTable[ProjectName]=DiscreteStatsTable[[#This Row],[ProjectName]])*ProjectInfoTable[NumberOfReplications]))</f>
        <v>10</v>
      </c>
      <c r="N274" cm="1">
        <f t="array" ref="N274">IFERROR(AVERAGE(IF((DiscreteStatsTable[GroupByKey]=DiscreteStatsTable[[#This Row],[GroupByKey]]),(DiscreteStatsTable[GroupByKey]=DiscreteStatsTable[[#This Row],[GroupByKey]])*DiscreteStatsTable[Average])),0)</f>
        <v>11.986968421133957</v>
      </c>
      <c r="O274" cm="1">
        <f t="array" ref="O274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74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74" cm="1">
        <f t="array" ref="R274">MIN(IF((DiscreteStatsTable[GroupByKey]=DiscreteStatsTable[[#This Row],[GroupByKey]]),(DiscreteStatsTable[GroupByKey]=DiscreteStatsTable[[#This Row],[GroupByKey]])*DiscreteStatsTable[Average]))</f>
        <v>11.961222401833499</v>
      </c>
      <c r="S274" cm="1">
        <f t="array" ref="S274">MAX(IF((DiscreteStatsTable[GroupByKey]=DiscreteStatsTable[[#This Row],[GroupByKey]]),(DiscreteStatsTable[GroupByKey]=DiscreteStatsTable[[#This Row],[GroupByKey]])*DiscreteStatsTable[Average]))</f>
        <v>12.018196351237499</v>
      </c>
      <c r="T274" cm="1">
        <f t="array" ref="T274">MIN(IF((DiscreteStatsTable[GroupByKey]=DiscreteStatsTable[[#This Row],[GroupByKey]]),(DiscreteStatsTable[GroupByKey]=DiscreteStatsTable[[#This Row],[GroupByKey]])*DiscreteStatsTable[Minimum]))</f>
        <v>3.64786699385149</v>
      </c>
      <c r="U274" cm="1">
        <f t="array" ref="U274">MAX(IF((DiscreteStatsTable[GroupByKey]=DiscreteStatsTable[[#This Row],[GroupByKey]]),(DiscreteStatsTable[GroupByKey]=DiscreteStatsTable[[#This Row],[GroupByKey]])*DiscreteStatsTable[Maximum]))</f>
        <v>21.037537163822002</v>
      </c>
      <c r="V274" cm="1">
        <f t="array" ref="V274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74">
        <f>IF((DiscreteStatsTable[[#This Row],[RepsRequested]]&gt;1),DiscreteStatsTable[[#This Row],[HalfWidth]],DiscreteStatsTable[[#This Row],[BatchMeansHalfWidth]])</f>
        <v>1.2904371196416789E-2</v>
      </c>
      <c r="X274" cm="1">
        <f t="array" ref="X274">COUNT(IF((DiscreteStatsTable[GroupByKey]=DiscreteStatsTable[[#This Row],[GroupByKey]]),(DiscreteStatsTable[GroupByKey]=DiscreteStatsTable[[#This Row],[GroupByKey]])*DiscreteStatsTable[Replication]))</f>
        <v>10</v>
      </c>
      <c r="Y274">
        <f>IF(DiscreteStatsTable[[#This Row],[RepsRequested]]=DiscreteStatsTable[[#This Row],[RepsWithStatObserved]],1,0)</f>
        <v>1</v>
      </c>
    </row>
    <row r="275" spans="1:25" x14ac:dyDescent="0.25">
      <c r="A275" t="s">
        <v>67</v>
      </c>
      <c r="B275" t="s">
        <v>243</v>
      </c>
      <c r="C275">
        <v>7</v>
      </c>
      <c r="D275" t="s">
        <v>96</v>
      </c>
      <c r="E275" t="s">
        <v>89</v>
      </c>
      <c r="F275" t="s">
        <v>87</v>
      </c>
      <c r="G275">
        <v>11.961222401833499</v>
      </c>
      <c r="H275">
        <v>5.2147112412081399E-2</v>
      </c>
      <c r="I275">
        <v>4.7584212496876699</v>
      </c>
      <c r="J275">
        <v>18.619237589096901</v>
      </c>
      <c r="K275">
        <v>8230</v>
      </c>
      <c r="L275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275" cm="1">
        <f t="array" ref="M275">MAX(IF((ProjectInfoTable[ProjectName]=DiscreteStatsTable[[#This Row],[ProjectName]]),(ProjectInfoTable[ProjectName]=DiscreteStatsTable[[#This Row],[ProjectName]])*ProjectInfoTable[NumberOfReplications]))</f>
        <v>10</v>
      </c>
      <c r="N275" cm="1">
        <f t="array" ref="N275">IFERROR(AVERAGE(IF((DiscreteStatsTable[GroupByKey]=DiscreteStatsTable[[#This Row],[GroupByKey]]),(DiscreteStatsTable[GroupByKey]=DiscreteStatsTable[[#This Row],[GroupByKey]])*DiscreteStatsTable[Average])),0)</f>
        <v>11.986968421133957</v>
      </c>
      <c r="O275" cm="1">
        <f t="array" ref="O275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7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75" cm="1">
        <f t="array" ref="R275">MIN(IF((DiscreteStatsTable[GroupByKey]=DiscreteStatsTable[[#This Row],[GroupByKey]]),(DiscreteStatsTable[GroupByKey]=DiscreteStatsTable[[#This Row],[GroupByKey]])*DiscreteStatsTable[Average]))</f>
        <v>11.961222401833499</v>
      </c>
      <c r="S275" cm="1">
        <f t="array" ref="S275">MAX(IF((DiscreteStatsTable[GroupByKey]=DiscreteStatsTable[[#This Row],[GroupByKey]]),(DiscreteStatsTable[GroupByKey]=DiscreteStatsTable[[#This Row],[GroupByKey]])*DiscreteStatsTable[Average]))</f>
        <v>12.018196351237499</v>
      </c>
      <c r="T275" cm="1">
        <f t="array" ref="T275">MIN(IF((DiscreteStatsTable[GroupByKey]=DiscreteStatsTable[[#This Row],[GroupByKey]]),(DiscreteStatsTable[GroupByKey]=DiscreteStatsTable[[#This Row],[GroupByKey]])*DiscreteStatsTable[Minimum]))</f>
        <v>3.64786699385149</v>
      </c>
      <c r="U275" cm="1">
        <f t="array" ref="U275">MAX(IF((DiscreteStatsTable[GroupByKey]=DiscreteStatsTable[[#This Row],[GroupByKey]]),(DiscreteStatsTable[GroupByKey]=DiscreteStatsTable[[#This Row],[GroupByKey]])*DiscreteStatsTable[Maximum]))</f>
        <v>21.037537163822002</v>
      </c>
      <c r="V275" cm="1">
        <f t="array" ref="V275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75">
        <f>IF((DiscreteStatsTable[[#This Row],[RepsRequested]]&gt;1),DiscreteStatsTable[[#This Row],[HalfWidth]],DiscreteStatsTable[[#This Row],[BatchMeansHalfWidth]])</f>
        <v>1.2904371196416789E-2</v>
      </c>
      <c r="X275" cm="1">
        <f t="array" ref="X275">COUNT(IF((DiscreteStatsTable[GroupByKey]=DiscreteStatsTable[[#This Row],[GroupByKey]]),(DiscreteStatsTable[GroupByKey]=DiscreteStatsTable[[#This Row],[GroupByKey]])*DiscreteStatsTable[Replication]))</f>
        <v>10</v>
      </c>
      <c r="Y275">
        <f>IF(DiscreteStatsTable[[#This Row],[RepsRequested]]=DiscreteStatsTable[[#This Row],[RepsWithStatObserved]],1,0)</f>
        <v>1</v>
      </c>
    </row>
    <row r="276" spans="1:25" x14ac:dyDescent="0.25">
      <c r="A276" t="s">
        <v>67</v>
      </c>
      <c r="B276" t="s">
        <v>243</v>
      </c>
      <c r="C276">
        <v>8</v>
      </c>
      <c r="D276" t="s">
        <v>96</v>
      </c>
      <c r="E276" t="s">
        <v>88</v>
      </c>
      <c r="F276" t="s">
        <v>87</v>
      </c>
      <c r="G276">
        <v>11.992915541958601</v>
      </c>
      <c r="H276">
        <v>3.4269204121507801E-2</v>
      </c>
      <c r="I276">
        <v>4.4028348777210304</v>
      </c>
      <c r="J276">
        <v>19.366645223693901</v>
      </c>
      <c r="K276">
        <v>8223</v>
      </c>
      <c r="L276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276" cm="1">
        <f t="array" ref="M276">MAX(IF((ProjectInfoTable[ProjectName]=DiscreteStatsTable[[#This Row],[ProjectName]]),(ProjectInfoTable[ProjectName]=DiscreteStatsTable[[#This Row],[ProjectName]])*ProjectInfoTable[NumberOfReplications]))</f>
        <v>10</v>
      </c>
      <c r="N276" cm="1">
        <f t="array" ref="N276">IFERROR(AVERAGE(IF((DiscreteStatsTable[GroupByKey]=DiscreteStatsTable[[#This Row],[GroupByKey]]),(DiscreteStatsTable[GroupByKey]=DiscreteStatsTable[[#This Row],[GroupByKey]])*DiscreteStatsTable[Average])),0)</f>
        <v>11.986968421133957</v>
      </c>
      <c r="O276" cm="1">
        <f t="array" ref="O276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76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76" cm="1">
        <f t="array" ref="R276">MIN(IF((DiscreteStatsTable[GroupByKey]=DiscreteStatsTable[[#This Row],[GroupByKey]]),(DiscreteStatsTable[GroupByKey]=DiscreteStatsTable[[#This Row],[GroupByKey]])*DiscreteStatsTable[Average]))</f>
        <v>11.961222401833499</v>
      </c>
      <c r="S276" cm="1">
        <f t="array" ref="S276">MAX(IF((DiscreteStatsTable[GroupByKey]=DiscreteStatsTable[[#This Row],[GroupByKey]]),(DiscreteStatsTable[GroupByKey]=DiscreteStatsTable[[#This Row],[GroupByKey]])*DiscreteStatsTable[Average]))</f>
        <v>12.018196351237499</v>
      </c>
      <c r="T276" cm="1">
        <f t="array" ref="T276">MIN(IF((DiscreteStatsTable[GroupByKey]=DiscreteStatsTable[[#This Row],[GroupByKey]]),(DiscreteStatsTable[GroupByKey]=DiscreteStatsTable[[#This Row],[GroupByKey]])*DiscreteStatsTable[Minimum]))</f>
        <v>3.64786699385149</v>
      </c>
      <c r="U276" cm="1">
        <f t="array" ref="U276">MAX(IF((DiscreteStatsTable[GroupByKey]=DiscreteStatsTable[[#This Row],[GroupByKey]]),(DiscreteStatsTable[GroupByKey]=DiscreteStatsTable[[#This Row],[GroupByKey]])*DiscreteStatsTable[Maximum]))</f>
        <v>21.037537163822002</v>
      </c>
      <c r="V276" cm="1">
        <f t="array" ref="V276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76">
        <f>IF((DiscreteStatsTable[[#This Row],[RepsRequested]]&gt;1),DiscreteStatsTable[[#This Row],[HalfWidth]],DiscreteStatsTable[[#This Row],[BatchMeansHalfWidth]])</f>
        <v>1.2904371196416789E-2</v>
      </c>
      <c r="X276" cm="1">
        <f t="array" ref="X276">COUNT(IF((DiscreteStatsTable[GroupByKey]=DiscreteStatsTable[[#This Row],[GroupByKey]]),(DiscreteStatsTable[GroupByKey]=DiscreteStatsTable[[#This Row],[GroupByKey]])*DiscreteStatsTable[Replication]))</f>
        <v>10</v>
      </c>
      <c r="Y276">
        <f>IF(DiscreteStatsTable[[#This Row],[RepsRequested]]=DiscreteStatsTable[[#This Row],[RepsWithStatObserved]],1,0)</f>
        <v>1</v>
      </c>
    </row>
    <row r="277" spans="1:25" x14ac:dyDescent="0.25">
      <c r="A277" t="s">
        <v>67</v>
      </c>
      <c r="B277" t="s">
        <v>243</v>
      </c>
      <c r="C277">
        <v>8</v>
      </c>
      <c r="D277" t="s">
        <v>96</v>
      </c>
      <c r="E277" t="s">
        <v>89</v>
      </c>
      <c r="F277" t="s">
        <v>87</v>
      </c>
      <c r="G277">
        <v>11.992915541958601</v>
      </c>
      <c r="H277">
        <v>3.4269204121507801E-2</v>
      </c>
      <c r="I277">
        <v>4.4028348777210304</v>
      </c>
      <c r="J277">
        <v>19.366645223693901</v>
      </c>
      <c r="K277">
        <v>8223</v>
      </c>
      <c r="L277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277" cm="1">
        <f t="array" ref="M277">MAX(IF((ProjectInfoTable[ProjectName]=DiscreteStatsTable[[#This Row],[ProjectName]]),(ProjectInfoTable[ProjectName]=DiscreteStatsTable[[#This Row],[ProjectName]])*ProjectInfoTable[NumberOfReplications]))</f>
        <v>10</v>
      </c>
      <c r="N277" cm="1">
        <f t="array" ref="N277">IFERROR(AVERAGE(IF((DiscreteStatsTable[GroupByKey]=DiscreteStatsTable[[#This Row],[GroupByKey]]),(DiscreteStatsTable[GroupByKey]=DiscreteStatsTable[[#This Row],[GroupByKey]])*DiscreteStatsTable[Average])),0)</f>
        <v>11.986968421133957</v>
      </c>
      <c r="O277" cm="1">
        <f t="array" ref="O277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77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77" cm="1">
        <f t="array" ref="R277">MIN(IF((DiscreteStatsTable[GroupByKey]=DiscreteStatsTable[[#This Row],[GroupByKey]]),(DiscreteStatsTable[GroupByKey]=DiscreteStatsTable[[#This Row],[GroupByKey]])*DiscreteStatsTable[Average]))</f>
        <v>11.961222401833499</v>
      </c>
      <c r="S277" cm="1">
        <f t="array" ref="S277">MAX(IF((DiscreteStatsTable[GroupByKey]=DiscreteStatsTable[[#This Row],[GroupByKey]]),(DiscreteStatsTable[GroupByKey]=DiscreteStatsTable[[#This Row],[GroupByKey]])*DiscreteStatsTable[Average]))</f>
        <v>12.018196351237499</v>
      </c>
      <c r="T277" cm="1">
        <f t="array" ref="T277">MIN(IF((DiscreteStatsTable[GroupByKey]=DiscreteStatsTable[[#This Row],[GroupByKey]]),(DiscreteStatsTable[GroupByKey]=DiscreteStatsTable[[#This Row],[GroupByKey]])*DiscreteStatsTable[Minimum]))</f>
        <v>3.64786699385149</v>
      </c>
      <c r="U277" cm="1">
        <f t="array" ref="U277">MAX(IF((DiscreteStatsTable[GroupByKey]=DiscreteStatsTable[[#This Row],[GroupByKey]]),(DiscreteStatsTable[GroupByKey]=DiscreteStatsTable[[#This Row],[GroupByKey]])*DiscreteStatsTable[Maximum]))</f>
        <v>21.037537163822002</v>
      </c>
      <c r="V277" cm="1">
        <f t="array" ref="V277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77">
        <f>IF((DiscreteStatsTable[[#This Row],[RepsRequested]]&gt;1),DiscreteStatsTable[[#This Row],[HalfWidth]],DiscreteStatsTable[[#This Row],[BatchMeansHalfWidth]])</f>
        <v>1.2904371196416789E-2</v>
      </c>
      <c r="X277" cm="1">
        <f t="array" ref="X277">COUNT(IF((DiscreteStatsTable[GroupByKey]=DiscreteStatsTable[[#This Row],[GroupByKey]]),(DiscreteStatsTable[GroupByKey]=DiscreteStatsTable[[#This Row],[GroupByKey]])*DiscreteStatsTable[Replication]))</f>
        <v>10</v>
      </c>
      <c r="Y277">
        <f>IF(DiscreteStatsTable[[#This Row],[RepsRequested]]=DiscreteStatsTable[[#This Row],[RepsWithStatObserved]],1,0)</f>
        <v>1</v>
      </c>
    </row>
    <row r="278" spans="1:25" x14ac:dyDescent="0.25">
      <c r="A278" t="s">
        <v>67</v>
      </c>
      <c r="B278" t="s">
        <v>243</v>
      </c>
      <c r="C278">
        <v>9</v>
      </c>
      <c r="D278" t="s">
        <v>96</v>
      </c>
      <c r="E278" t="s">
        <v>88</v>
      </c>
      <c r="F278" t="s">
        <v>87</v>
      </c>
      <c r="G278">
        <v>11.980432814833099</v>
      </c>
      <c r="H278">
        <v>4.2654883078490802E-2</v>
      </c>
      <c r="I278">
        <v>4.02669614020851</v>
      </c>
      <c r="J278">
        <v>19.117652945919001</v>
      </c>
      <c r="K278">
        <v>8228</v>
      </c>
      <c r="L278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278" cm="1">
        <f t="array" ref="M278">MAX(IF((ProjectInfoTable[ProjectName]=DiscreteStatsTable[[#This Row],[ProjectName]]),(ProjectInfoTable[ProjectName]=DiscreteStatsTable[[#This Row],[ProjectName]])*ProjectInfoTable[NumberOfReplications]))</f>
        <v>10</v>
      </c>
      <c r="N278" cm="1">
        <f t="array" ref="N278">IFERROR(AVERAGE(IF((DiscreteStatsTable[GroupByKey]=DiscreteStatsTable[[#This Row],[GroupByKey]]),(DiscreteStatsTable[GroupByKey]=DiscreteStatsTable[[#This Row],[GroupByKey]])*DiscreteStatsTable[Average])),0)</f>
        <v>11.986968421133957</v>
      </c>
      <c r="O278" cm="1">
        <f t="array" ref="O278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78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78" cm="1">
        <f t="array" ref="R278">MIN(IF((DiscreteStatsTable[GroupByKey]=DiscreteStatsTable[[#This Row],[GroupByKey]]),(DiscreteStatsTable[GroupByKey]=DiscreteStatsTable[[#This Row],[GroupByKey]])*DiscreteStatsTable[Average]))</f>
        <v>11.961222401833499</v>
      </c>
      <c r="S278" cm="1">
        <f t="array" ref="S278">MAX(IF((DiscreteStatsTable[GroupByKey]=DiscreteStatsTable[[#This Row],[GroupByKey]]),(DiscreteStatsTable[GroupByKey]=DiscreteStatsTable[[#This Row],[GroupByKey]])*DiscreteStatsTable[Average]))</f>
        <v>12.018196351237499</v>
      </c>
      <c r="T278" cm="1">
        <f t="array" ref="T278">MIN(IF((DiscreteStatsTable[GroupByKey]=DiscreteStatsTable[[#This Row],[GroupByKey]]),(DiscreteStatsTable[GroupByKey]=DiscreteStatsTable[[#This Row],[GroupByKey]])*DiscreteStatsTable[Minimum]))</f>
        <v>3.64786699385149</v>
      </c>
      <c r="U278" cm="1">
        <f t="array" ref="U278">MAX(IF((DiscreteStatsTable[GroupByKey]=DiscreteStatsTable[[#This Row],[GroupByKey]]),(DiscreteStatsTable[GroupByKey]=DiscreteStatsTable[[#This Row],[GroupByKey]])*DiscreteStatsTable[Maximum]))</f>
        <v>21.037537163822002</v>
      </c>
      <c r="V278" cm="1">
        <f t="array" ref="V278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78">
        <f>IF((DiscreteStatsTable[[#This Row],[RepsRequested]]&gt;1),DiscreteStatsTable[[#This Row],[HalfWidth]],DiscreteStatsTable[[#This Row],[BatchMeansHalfWidth]])</f>
        <v>1.2904371196416789E-2</v>
      </c>
      <c r="X278" cm="1">
        <f t="array" ref="X278">COUNT(IF((DiscreteStatsTable[GroupByKey]=DiscreteStatsTable[[#This Row],[GroupByKey]]),(DiscreteStatsTable[GroupByKey]=DiscreteStatsTable[[#This Row],[GroupByKey]])*DiscreteStatsTable[Replication]))</f>
        <v>10</v>
      </c>
      <c r="Y278">
        <f>IF(DiscreteStatsTable[[#This Row],[RepsRequested]]=DiscreteStatsTable[[#This Row],[RepsWithStatObserved]],1,0)</f>
        <v>1</v>
      </c>
    </row>
    <row r="279" spans="1:25" x14ac:dyDescent="0.25">
      <c r="A279" t="s">
        <v>67</v>
      </c>
      <c r="B279" t="s">
        <v>243</v>
      </c>
      <c r="C279">
        <v>9</v>
      </c>
      <c r="D279" t="s">
        <v>96</v>
      </c>
      <c r="E279" t="s">
        <v>89</v>
      </c>
      <c r="F279" t="s">
        <v>87</v>
      </c>
      <c r="G279">
        <v>11.980432814833099</v>
      </c>
      <c r="H279">
        <v>4.2654883078490802E-2</v>
      </c>
      <c r="I279">
        <v>4.02669614020851</v>
      </c>
      <c r="J279">
        <v>19.117652945919001</v>
      </c>
      <c r="K279">
        <v>8228</v>
      </c>
      <c r="L279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279" cm="1">
        <f t="array" ref="M279">MAX(IF((ProjectInfoTable[ProjectName]=DiscreteStatsTable[[#This Row],[ProjectName]]),(ProjectInfoTable[ProjectName]=DiscreteStatsTable[[#This Row],[ProjectName]])*ProjectInfoTable[NumberOfReplications]))</f>
        <v>10</v>
      </c>
      <c r="N279" cm="1">
        <f t="array" ref="N279">IFERROR(AVERAGE(IF((DiscreteStatsTable[GroupByKey]=DiscreteStatsTable[[#This Row],[GroupByKey]]),(DiscreteStatsTable[GroupByKey]=DiscreteStatsTable[[#This Row],[GroupByKey]])*DiscreteStatsTable[Average])),0)</f>
        <v>11.986968421133957</v>
      </c>
      <c r="O279" cm="1">
        <f t="array" ref="O279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79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79" cm="1">
        <f t="array" ref="R279">MIN(IF((DiscreteStatsTable[GroupByKey]=DiscreteStatsTable[[#This Row],[GroupByKey]]),(DiscreteStatsTable[GroupByKey]=DiscreteStatsTable[[#This Row],[GroupByKey]])*DiscreteStatsTable[Average]))</f>
        <v>11.961222401833499</v>
      </c>
      <c r="S279" cm="1">
        <f t="array" ref="S279">MAX(IF((DiscreteStatsTable[GroupByKey]=DiscreteStatsTable[[#This Row],[GroupByKey]]),(DiscreteStatsTable[GroupByKey]=DiscreteStatsTable[[#This Row],[GroupByKey]])*DiscreteStatsTable[Average]))</f>
        <v>12.018196351237499</v>
      </c>
      <c r="T279" cm="1">
        <f t="array" ref="T279">MIN(IF((DiscreteStatsTable[GroupByKey]=DiscreteStatsTable[[#This Row],[GroupByKey]]),(DiscreteStatsTable[GroupByKey]=DiscreteStatsTable[[#This Row],[GroupByKey]])*DiscreteStatsTable[Minimum]))</f>
        <v>3.64786699385149</v>
      </c>
      <c r="U279" cm="1">
        <f t="array" ref="U279">MAX(IF((DiscreteStatsTable[GroupByKey]=DiscreteStatsTable[[#This Row],[GroupByKey]]),(DiscreteStatsTable[GroupByKey]=DiscreteStatsTable[[#This Row],[GroupByKey]])*DiscreteStatsTable[Maximum]))</f>
        <v>21.037537163822002</v>
      </c>
      <c r="V279" cm="1">
        <f t="array" ref="V279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79">
        <f>IF((DiscreteStatsTable[[#This Row],[RepsRequested]]&gt;1),DiscreteStatsTable[[#This Row],[HalfWidth]],DiscreteStatsTable[[#This Row],[BatchMeansHalfWidth]])</f>
        <v>1.2904371196416789E-2</v>
      </c>
      <c r="X279" cm="1">
        <f t="array" ref="X279">COUNT(IF((DiscreteStatsTable[GroupByKey]=DiscreteStatsTable[[#This Row],[GroupByKey]]),(DiscreteStatsTable[GroupByKey]=DiscreteStatsTable[[#This Row],[GroupByKey]])*DiscreteStatsTable[Replication]))</f>
        <v>10</v>
      </c>
      <c r="Y279">
        <f>IF(DiscreteStatsTable[[#This Row],[RepsRequested]]=DiscreteStatsTable[[#This Row],[RepsWithStatObserved]],1,0)</f>
        <v>1</v>
      </c>
    </row>
    <row r="280" spans="1:25" x14ac:dyDescent="0.25">
      <c r="A280" t="s">
        <v>67</v>
      </c>
      <c r="B280" t="s">
        <v>243</v>
      </c>
      <c r="C280">
        <v>10</v>
      </c>
      <c r="D280" t="s">
        <v>96</v>
      </c>
      <c r="E280" t="s">
        <v>88</v>
      </c>
      <c r="F280" t="s">
        <v>87</v>
      </c>
      <c r="G280">
        <v>12.010120562247799</v>
      </c>
      <c r="H280">
        <v>4.77422783053255E-2</v>
      </c>
      <c r="I280">
        <v>4.6376791779766799</v>
      </c>
      <c r="J280">
        <v>20.1806610256317</v>
      </c>
      <c r="K280">
        <v>8227</v>
      </c>
      <c r="L280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280" cm="1">
        <f t="array" ref="M280">MAX(IF((ProjectInfoTable[ProjectName]=DiscreteStatsTable[[#This Row],[ProjectName]]),(ProjectInfoTable[ProjectName]=DiscreteStatsTable[[#This Row],[ProjectName]])*ProjectInfoTable[NumberOfReplications]))</f>
        <v>10</v>
      </c>
      <c r="N280" cm="1">
        <f t="array" ref="N280">IFERROR(AVERAGE(IF((DiscreteStatsTable[GroupByKey]=DiscreteStatsTable[[#This Row],[GroupByKey]]),(DiscreteStatsTable[GroupByKey]=DiscreteStatsTable[[#This Row],[GroupByKey]])*DiscreteStatsTable[Average])),0)</f>
        <v>11.986968421133957</v>
      </c>
      <c r="O280" cm="1">
        <f t="array" ref="O280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80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80" cm="1">
        <f t="array" ref="R280">MIN(IF((DiscreteStatsTable[GroupByKey]=DiscreteStatsTable[[#This Row],[GroupByKey]]),(DiscreteStatsTable[GroupByKey]=DiscreteStatsTable[[#This Row],[GroupByKey]])*DiscreteStatsTable[Average]))</f>
        <v>11.961222401833499</v>
      </c>
      <c r="S280" cm="1">
        <f t="array" ref="S280">MAX(IF((DiscreteStatsTable[GroupByKey]=DiscreteStatsTable[[#This Row],[GroupByKey]]),(DiscreteStatsTable[GroupByKey]=DiscreteStatsTable[[#This Row],[GroupByKey]])*DiscreteStatsTable[Average]))</f>
        <v>12.018196351237499</v>
      </c>
      <c r="T280" cm="1">
        <f t="array" ref="T280">MIN(IF((DiscreteStatsTable[GroupByKey]=DiscreteStatsTable[[#This Row],[GroupByKey]]),(DiscreteStatsTable[GroupByKey]=DiscreteStatsTable[[#This Row],[GroupByKey]])*DiscreteStatsTable[Minimum]))</f>
        <v>3.64786699385149</v>
      </c>
      <c r="U280" cm="1">
        <f t="array" ref="U280">MAX(IF((DiscreteStatsTable[GroupByKey]=DiscreteStatsTable[[#This Row],[GroupByKey]]),(DiscreteStatsTable[GroupByKey]=DiscreteStatsTable[[#This Row],[GroupByKey]])*DiscreteStatsTable[Maximum]))</f>
        <v>21.037537163822002</v>
      </c>
      <c r="V280" cm="1">
        <f t="array" ref="V280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80">
        <f>IF((DiscreteStatsTable[[#This Row],[RepsRequested]]&gt;1),DiscreteStatsTable[[#This Row],[HalfWidth]],DiscreteStatsTable[[#This Row],[BatchMeansHalfWidth]])</f>
        <v>1.2904371196416789E-2</v>
      </c>
      <c r="X280" cm="1">
        <f t="array" ref="X280">COUNT(IF((DiscreteStatsTable[GroupByKey]=DiscreteStatsTable[[#This Row],[GroupByKey]]),(DiscreteStatsTable[GroupByKey]=DiscreteStatsTable[[#This Row],[GroupByKey]])*DiscreteStatsTable[Replication]))</f>
        <v>10</v>
      </c>
      <c r="Y280">
        <f>IF(DiscreteStatsTable[[#This Row],[RepsRequested]]=DiscreteStatsTable[[#This Row],[RepsWithStatObserved]],1,0)</f>
        <v>1</v>
      </c>
    </row>
    <row r="281" spans="1:25" x14ac:dyDescent="0.25">
      <c r="A281" t="s">
        <v>67</v>
      </c>
      <c r="B281" t="s">
        <v>243</v>
      </c>
      <c r="C281">
        <v>10</v>
      </c>
      <c r="D281" t="s">
        <v>96</v>
      </c>
      <c r="E281" t="s">
        <v>89</v>
      </c>
      <c r="F281" t="s">
        <v>87</v>
      </c>
      <c r="G281">
        <v>12.010120562247799</v>
      </c>
      <c r="H281">
        <v>4.77422783053255E-2</v>
      </c>
      <c r="I281">
        <v>4.6376791779766799</v>
      </c>
      <c r="J281">
        <v>20.1806610256317</v>
      </c>
      <c r="K281">
        <v>8227</v>
      </c>
      <c r="L281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281" cm="1">
        <f t="array" ref="M281">MAX(IF((ProjectInfoTable[ProjectName]=DiscreteStatsTable[[#This Row],[ProjectName]]),(ProjectInfoTable[ProjectName]=DiscreteStatsTable[[#This Row],[ProjectName]])*ProjectInfoTable[NumberOfReplications]))</f>
        <v>10</v>
      </c>
      <c r="N281" cm="1">
        <f t="array" ref="N281">IFERROR(AVERAGE(IF((DiscreteStatsTable[GroupByKey]=DiscreteStatsTable[[#This Row],[GroupByKey]]),(DiscreteStatsTable[GroupByKey]=DiscreteStatsTable[[#This Row],[GroupByKey]])*DiscreteStatsTable[Average])),0)</f>
        <v>11.986968421133957</v>
      </c>
      <c r="O281" cm="1">
        <f t="array" ref="O281">IFERROR(_xlfn.STDEV.S(IF((DiscreteStatsTable[GroupByKey]=DiscreteStatsTable[[#This Row],[GroupByKey]]),(DiscreteStatsTable[GroupByKey]=DiscreteStatsTable[[#This Row],[GroupByKey]])*DiscreteStatsTable[Average])),0)</f>
        <v>1.8039067056893655E-2</v>
      </c>
      <c r="P281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1.2904371196416789E-2</v>
      </c>
      <c r="R281" cm="1">
        <f t="array" ref="R281">MIN(IF((DiscreteStatsTable[GroupByKey]=DiscreteStatsTable[[#This Row],[GroupByKey]]),(DiscreteStatsTable[GroupByKey]=DiscreteStatsTable[[#This Row],[GroupByKey]])*DiscreteStatsTable[Average]))</f>
        <v>11.961222401833499</v>
      </c>
      <c r="S281" cm="1">
        <f t="array" ref="S281">MAX(IF((DiscreteStatsTable[GroupByKey]=DiscreteStatsTable[[#This Row],[GroupByKey]]),(DiscreteStatsTable[GroupByKey]=DiscreteStatsTable[[#This Row],[GroupByKey]])*DiscreteStatsTable[Average]))</f>
        <v>12.018196351237499</v>
      </c>
      <c r="T281" cm="1">
        <f t="array" ref="T281">MIN(IF((DiscreteStatsTable[GroupByKey]=DiscreteStatsTable[[#This Row],[GroupByKey]]),(DiscreteStatsTable[GroupByKey]=DiscreteStatsTable[[#This Row],[GroupByKey]])*DiscreteStatsTable[Minimum]))</f>
        <v>3.64786699385149</v>
      </c>
      <c r="U281" cm="1">
        <f t="array" ref="U281">MAX(IF((DiscreteStatsTable[GroupByKey]=DiscreteStatsTable[[#This Row],[GroupByKey]]),(DiscreteStatsTable[GroupByKey]=DiscreteStatsTable[[#This Row],[GroupByKey]])*DiscreteStatsTable[Maximum]))</f>
        <v>21.037537163822002</v>
      </c>
      <c r="V281" cm="1">
        <f t="array" ref="V281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281">
        <f>IF((DiscreteStatsTable[[#This Row],[RepsRequested]]&gt;1),DiscreteStatsTable[[#This Row],[HalfWidth]],DiscreteStatsTable[[#This Row],[BatchMeansHalfWidth]])</f>
        <v>1.2904371196416789E-2</v>
      </c>
      <c r="X281" cm="1">
        <f t="array" ref="X281">COUNT(IF((DiscreteStatsTable[GroupByKey]=DiscreteStatsTable[[#This Row],[GroupByKey]]),(DiscreteStatsTable[GroupByKey]=DiscreteStatsTable[[#This Row],[GroupByKey]])*DiscreteStatsTable[Replication]))</f>
        <v>10</v>
      </c>
      <c r="Y281">
        <f>IF(DiscreteStatsTable[[#This Row],[RepsRequested]]=DiscreteStatsTable[[#This Row],[RepsWithStatObserved]],1,0)</f>
        <v>1</v>
      </c>
    </row>
    <row r="282" spans="1:25" x14ac:dyDescent="0.25">
      <c r="A282" t="s">
        <v>67</v>
      </c>
      <c r="B282" t="s">
        <v>243</v>
      </c>
      <c r="C282">
        <v>1</v>
      </c>
      <c r="D282" t="s">
        <v>97</v>
      </c>
      <c r="E282" t="s">
        <v>88</v>
      </c>
      <c r="F282" t="s">
        <v>87</v>
      </c>
      <c r="G282">
        <v>5.00366610520976</v>
      </c>
      <c r="H282">
        <v>1.4767531033734901E-2</v>
      </c>
      <c r="I282">
        <v>0.64697893362608705</v>
      </c>
      <c r="J282">
        <v>8.6499666956369801</v>
      </c>
      <c r="K282">
        <v>18379</v>
      </c>
      <c r="L282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282" cm="1">
        <f t="array" ref="M282">MAX(IF((ProjectInfoTable[ProjectName]=DiscreteStatsTable[[#This Row],[ProjectName]]),(ProjectInfoTable[ProjectName]=DiscreteStatsTable[[#This Row],[ProjectName]])*ProjectInfoTable[NumberOfReplications]))</f>
        <v>10</v>
      </c>
      <c r="N282" cm="1">
        <f t="array" ref="N282">IFERROR(AVERAGE(IF((DiscreteStatsTable[GroupByKey]=DiscreteStatsTable[[#This Row],[GroupByKey]]),(DiscreteStatsTable[GroupByKey]=DiscreteStatsTable[[#This Row],[GroupByKey]])*DiscreteStatsTable[Average])),0)</f>
        <v>4.9976623193993781</v>
      </c>
      <c r="O282" cm="1">
        <f t="array" ref="O282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82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82" cm="1">
        <f t="array" ref="R282">MIN(IF((DiscreteStatsTable[GroupByKey]=DiscreteStatsTable[[#This Row],[GroupByKey]]),(DiscreteStatsTable[GroupByKey]=DiscreteStatsTable[[#This Row],[GroupByKey]])*DiscreteStatsTable[Average]))</f>
        <v>4.9854339864056998</v>
      </c>
      <c r="S282" cm="1">
        <f t="array" ref="S282">MAX(IF((DiscreteStatsTable[GroupByKey]=DiscreteStatsTable[[#This Row],[GroupByKey]]),(DiscreteStatsTable[GroupByKey]=DiscreteStatsTable[[#This Row],[GroupByKey]])*DiscreteStatsTable[Average]))</f>
        <v>5.0074759184603197</v>
      </c>
      <c r="T282" cm="1">
        <f t="array" ref="T282">MIN(IF((DiscreteStatsTable[GroupByKey]=DiscreteStatsTable[[#This Row],[GroupByKey]]),(DiscreteStatsTable[GroupByKey]=DiscreteStatsTable[[#This Row],[GroupByKey]])*DiscreteStatsTable[Minimum]))</f>
        <v>0.63562201993772804</v>
      </c>
      <c r="U282" cm="1">
        <f t="array" ref="U282">MAX(IF((DiscreteStatsTable[GroupByKey]=DiscreteStatsTable[[#This Row],[GroupByKey]]),(DiscreteStatsTable[GroupByKey]=DiscreteStatsTable[[#This Row],[GroupByKey]])*DiscreteStatsTable[Maximum]))</f>
        <v>9.6698289319465403</v>
      </c>
      <c r="V282" cm="1">
        <f t="array" ref="V282">IFERROR(AVERAGE(IF((DiscreteStatsTable[GroupByKey]=DiscreteStatsTable[[#This Row],[GroupByKey]]),(DiscreteStatsTable[GroupByKey]=DiscreteStatsTable[[#This Row],[GroupByKey]])*DiscreteStatsTable[NumberObservations])),0)</f>
        <v>18392</v>
      </c>
      <c r="W282">
        <f>IF((DiscreteStatsTable[[#This Row],[RepsRequested]]&gt;1),DiscreteStatsTable[[#This Row],[HalfWidth]],DiscreteStatsTable[[#This Row],[BatchMeansHalfWidth]])</f>
        <v>5.2200975502667557E-3</v>
      </c>
      <c r="X282" cm="1">
        <f t="array" ref="X282">COUNT(IF((DiscreteStatsTable[GroupByKey]=DiscreteStatsTable[[#This Row],[GroupByKey]]),(DiscreteStatsTable[GroupByKey]=DiscreteStatsTable[[#This Row],[GroupByKey]])*DiscreteStatsTable[Replication]))</f>
        <v>10</v>
      </c>
      <c r="Y282">
        <f>IF(DiscreteStatsTable[[#This Row],[RepsRequested]]=DiscreteStatsTable[[#This Row],[RepsWithStatObserved]],1,0)</f>
        <v>1</v>
      </c>
    </row>
    <row r="283" spans="1:25" x14ac:dyDescent="0.25">
      <c r="A283" t="s">
        <v>67</v>
      </c>
      <c r="B283" t="s">
        <v>243</v>
      </c>
      <c r="C283">
        <v>1</v>
      </c>
      <c r="D283" t="s">
        <v>97</v>
      </c>
      <c r="E283" t="s">
        <v>89</v>
      </c>
      <c r="F283" t="s">
        <v>87</v>
      </c>
      <c r="G283">
        <v>5.00366610520976</v>
      </c>
      <c r="H283">
        <v>1.4767531033734901E-2</v>
      </c>
      <c r="I283">
        <v>0.64697893362608705</v>
      </c>
      <c r="J283">
        <v>8.6499666956369801</v>
      </c>
      <c r="K283">
        <v>18379</v>
      </c>
      <c r="L283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283" cm="1">
        <f t="array" ref="M283">MAX(IF((ProjectInfoTable[ProjectName]=DiscreteStatsTable[[#This Row],[ProjectName]]),(ProjectInfoTable[ProjectName]=DiscreteStatsTable[[#This Row],[ProjectName]])*ProjectInfoTable[NumberOfReplications]))</f>
        <v>10</v>
      </c>
      <c r="N283" cm="1">
        <f t="array" ref="N283">IFERROR(AVERAGE(IF((DiscreteStatsTable[GroupByKey]=DiscreteStatsTable[[#This Row],[GroupByKey]]),(DiscreteStatsTable[GroupByKey]=DiscreteStatsTable[[#This Row],[GroupByKey]])*DiscreteStatsTable[Average])),0)</f>
        <v>4.9976623193993781</v>
      </c>
      <c r="O283" cm="1">
        <f t="array" ref="O283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83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83" cm="1">
        <f t="array" ref="R283">MIN(IF((DiscreteStatsTable[GroupByKey]=DiscreteStatsTable[[#This Row],[GroupByKey]]),(DiscreteStatsTable[GroupByKey]=DiscreteStatsTable[[#This Row],[GroupByKey]])*DiscreteStatsTable[Average]))</f>
        <v>4.9854339864056998</v>
      </c>
      <c r="S283" cm="1">
        <f t="array" ref="S283">MAX(IF((DiscreteStatsTable[GroupByKey]=DiscreteStatsTable[[#This Row],[GroupByKey]]),(DiscreteStatsTable[GroupByKey]=DiscreteStatsTable[[#This Row],[GroupByKey]])*DiscreteStatsTable[Average]))</f>
        <v>5.0074759184603197</v>
      </c>
      <c r="T283" cm="1">
        <f t="array" ref="T283">MIN(IF((DiscreteStatsTable[GroupByKey]=DiscreteStatsTable[[#This Row],[GroupByKey]]),(DiscreteStatsTable[GroupByKey]=DiscreteStatsTable[[#This Row],[GroupByKey]])*DiscreteStatsTable[Minimum]))</f>
        <v>0.63562201993772804</v>
      </c>
      <c r="U283" cm="1">
        <f t="array" ref="U283">MAX(IF((DiscreteStatsTable[GroupByKey]=DiscreteStatsTable[[#This Row],[GroupByKey]]),(DiscreteStatsTable[GroupByKey]=DiscreteStatsTable[[#This Row],[GroupByKey]])*DiscreteStatsTable[Maximum]))</f>
        <v>9.6698289319465403</v>
      </c>
      <c r="V283" cm="1">
        <f t="array" ref="V283">IFERROR(AVERAGE(IF((DiscreteStatsTable[GroupByKey]=DiscreteStatsTable[[#This Row],[GroupByKey]]),(DiscreteStatsTable[GroupByKey]=DiscreteStatsTable[[#This Row],[GroupByKey]])*DiscreteStatsTable[NumberObservations])),0)</f>
        <v>18392</v>
      </c>
      <c r="W283">
        <f>IF((DiscreteStatsTable[[#This Row],[RepsRequested]]&gt;1),DiscreteStatsTable[[#This Row],[HalfWidth]],DiscreteStatsTable[[#This Row],[BatchMeansHalfWidth]])</f>
        <v>5.2200975502667557E-3</v>
      </c>
      <c r="X283" cm="1">
        <f t="array" ref="X283">COUNT(IF((DiscreteStatsTable[GroupByKey]=DiscreteStatsTable[[#This Row],[GroupByKey]]),(DiscreteStatsTable[GroupByKey]=DiscreteStatsTable[[#This Row],[GroupByKey]])*DiscreteStatsTable[Replication]))</f>
        <v>10</v>
      </c>
      <c r="Y283">
        <f>IF(DiscreteStatsTable[[#This Row],[RepsRequested]]=DiscreteStatsTable[[#This Row],[RepsWithStatObserved]],1,0)</f>
        <v>1</v>
      </c>
    </row>
    <row r="284" spans="1:25" x14ac:dyDescent="0.25">
      <c r="A284" t="s">
        <v>67</v>
      </c>
      <c r="B284" t="s">
        <v>243</v>
      </c>
      <c r="C284">
        <v>2</v>
      </c>
      <c r="D284" t="s">
        <v>97</v>
      </c>
      <c r="E284" t="s">
        <v>88</v>
      </c>
      <c r="F284" t="s">
        <v>87</v>
      </c>
      <c r="G284">
        <v>5.0067979422311302</v>
      </c>
      <c r="H284">
        <v>1.38194921420074E-2</v>
      </c>
      <c r="I284">
        <v>1.0639669424053899</v>
      </c>
      <c r="J284">
        <v>9.6698289319465403</v>
      </c>
      <c r="K284">
        <v>18391</v>
      </c>
      <c r="L284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284" cm="1">
        <f t="array" ref="M284">MAX(IF((ProjectInfoTable[ProjectName]=DiscreteStatsTable[[#This Row],[ProjectName]]),(ProjectInfoTable[ProjectName]=DiscreteStatsTable[[#This Row],[ProjectName]])*ProjectInfoTable[NumberOfReplications]))</f>
        <v>10</v>
      </c>
      <c r="N284" cm="1">
        <f t="array" ref="N284">IFERROR(AVERAGE(IF((DiscreteStatsTable[GroupByKey]=DiscreteStatsTable[[#This Row],[GroupByKey]]),(DiscreteStatsTable[GroupByKey]=DiscreteStatsTable[[#This Row],[GroupByKey]])*DiscreteStatsTable[Average])),0)</f>
        <v>4.9976623193993781</v>
      </c>
      <c r="O284" cm="1">
        <f t="array" ref="O284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84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84" cm="1">
        <f t="array" ref="R284">MIN(IF((DiscreteStatsTable[GroupByKey]=DiscreteStatsTable[[#This Row],[GroupByKey]]),(DiscreteStatsTable[GroupByKey]=DiscreteStatsTable[[#This Row],[GroupByKey]])*DiscreteStatsTable[Average]))</f>
        <v>4.9854339864056998</v>
      </c>
      <c r="S284" cm="1">
        <f t="array" ref="S284">MAX(IF((DiscreteStatsTable[GroupByKey]=DiscreteStatsTable[[#This Row],[GroupByKey]]),(DiscreteStatsTable[GroupByKey]=DiscreteStatsTable[[#This Row],[GroupByKey]])*DiscreteStatsTable[Average]))</f>
        <v>5.0074759184603197</v>
      </c>
      <c r="T284" cm="1">
        <f t="array" ref="T284">MIN(IF((DiscreteStatsTable[GroupByKey]=DiscreteStatsTable[[#This Row],[GroupByKey]]),(DiscreteStatsTable[GroupByKey]=DiscreteStatsTable[[#This Row],[GroupByKey]])*DiscreteStatsTable[Minimum]))</f>
        <v>0.63562201993772804</v>
      </c>
      <c r="U284" cm="1">
        <f t="array" ref="U284">MAX(IF((DiscreteStatsTable[GroupByKey]=DiscreteStatsTable[[#This Row],[GroupByKey]]),(DiscreteStatsTable[GroupByKey]=DiscreteStatsTable[[#This Row],[GroupByKey]])*DiscreteStatsTable[Maximum]))</f>
        <v>9.6698289319465403</v>
      </c>
      <c r="V284" cm="1">
        <f t="array" ref="V284">IFERROR(AVERAGE(IF((DiscreteStatsTable[GroupByKey]=DiscreteStatsTable[[#This Row],[GroupByKey]]),(DiscreteStatsTable[GroupByKey]=DiscreteStatsTable[[#This Row],[GroupByKey]])*DiscreteStatsTable[NumberObservations])),0)</f>
        <v>18392</v>
      </c>
      <c r="W284">
        <f>IF((DiscreteStatsTable[[#This Row],[RepsRequested]]&gt;1),DiscreteStatsTable[[#This Row],[HalfWidth]],DiscreteStatsTable[[#This Row],[BatchMeansHalfWidth]])</f>
        <v>5.2200975502667557E-3</v>
      </c>
      <c r="X284" cm="1">
        <f t="array" ref="X284">COUNT(IF((DiscreteStatsTable[GroupByKey]=DiscreteStatsTable[[#This Row],[GroupByKey]]),(DiscreteStatsTable[GroupByKey]=DiscreteStatsTable[[#This Row],[GroupByKey]])*DiscreteStatsTable[Replication]))</f>
        <v>10</v>
      </c>
      <c r="Y284">
        <f>IF(DiscreteStatsTable[[#This Row],[RepsRequested]]=DiscreteStatsTable[[#This Row],[RepsWithStatObserved]],1,0)</f>
        <v>1</v>
      </c>
    </row>
    <row r="285" spans="1:25" x14ac:dyDescent="0.25">
      <c r="A285" t="s">
        <v>67</v>
      </c>
      <c r="B285" t="s">
        <v>243</v>
      </c>
      <c r="C285">
        <v>2</v>
      </c>
      <c r="D285" t="s">
        <v>97</v>
      </c>
      <c r="E285" t="s">
        <v>89</v>
      </c>
      <c r="F285" t="s">
        <v>87</v>
      </c>
      <c r="G285">
        <v>5.0067979422311302</v>
      </c>
      <c r="H285">
        <v>1.38194921420074E-2</v>
      </c>
      <c r="I285">
        <v>1.0639669424053899</v>
      </c>
      <c r="J285">
        <v>9.6698289319465403</v>
      </c>
      <c r="K285">
        <v>18391</v>
      </c>
      <c r="L285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285" cm="1">
        <f t="array" ref="M285">MAX(IF((ProjectInfoTable[ProjectName]=DiscreteStatsTable[[#This Row],[ProjectName]]),(ProjectInfoTable[ProjectName]=DiscreteStatsTable[[#This Row],[ProjectName]])*ProjectInfoTable[NumberOfReplications]))</f>
        <v>10</v>
      </c>
      <c r="N285" cm="1">
        <f t="array" ref="N285">IFERROR(AVERAGE(IF((DiscreteStatsTable[GroupByKey]=DiscreteStatsTable[[#This Row],[GroupByKey]]),(DiscreteStatsTable[GroupByKey]=DiscreteStatsTable[[#This Row],[GroupByKey]])*DiscreteStatsTable[Average])),0)</f>
        <v>4.9976623193993781</v>
      </c>
      <c r="O285" cm="1">
        <f t="array" ref="O285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8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85" cm="1">
        <f t="array" ref="R285">MIN(IF((DiscreteStatsTable[GroupByKey]=DiscreteStatsTable[[#This Row],[GroupByKey]]),(DiscreteStatsTable[GroupByKey]=DiscreteStatsTable[[#This Row],[GroupByKey]])*DiscreteStatsTable[Average]))</f>
        <v>4.9854339864056998</v>
      </c>
      <c r="S285" cm="1">
        <f t="array" ref="S285">MAX(IF((DiscreteStatsTable[GroupByKey]=DiscreteStatsTable[[#This Row],[GroupByKey]]),(DiscreteStatsTable[GroupByKey]=DiscreteStatsTable[[#This Row],[GroupByKey]])*DiscreteStatsTable[Average]))</f>
        <v>5.0074759184603197</v>
      </c>
      <c r="T285" cm="1">
        <f t="array" ref="T285">MIN(IF((DiscreteStatsTable[GroupByKey]=DiscreteStatsTable[[#This Row],[GroupByKey]]),(DiscreteStatsTable[GroupByKey]=DiscreteStatsTable[[#This Row],[GroupByKey]])*DiscreteStatsTable[Minimum]))</f>
        <v>0.63562201993772804</v>
      </c>
      <c r="U285" cm="1">
        <f t="array" ref="U285">MAX(IF((DiscreteStatsTable[GroupByKey]=DiscreteStatsTable[[#This Row],[GroupByKey]]),(DiscreteStatsTable[GroupByKey]=DiscreteStatsTable[[#This Row],[GroupByKey]])*DiscreteStatsTable[Maximum]))</f>
        <v>9.6698289319465403</v>
      </c>
      <c r="V285" cm="1">
        <f t="array" ref="V285">IFERROR(AVERAGE(IF((DiscreteStatsTable[GroupByKey]=DiscreteStatsTable[[#This Row],[GroupByKey]]),(DiscreteStatsTable[GroupByKey]=DiscreteStatsTable[[#This Row],[GroupByKey]])*DiscreteStatsTable[NumberObservations])),0)</f>
        <v>18392</v>
      </c>
      <c r="W285">
        <f>IF((DiscreteStatsTable[[#This Row],[RepsRequested]]&gt;1),DiscreteStatsTable[[#This Row],[HalfWidth]],DiscreteStatsTable[[#This Row],[BatchMeansHalfWidth]])</f>
        <v>5.2200975502667557E-3</v>
      </c>
      <c r="X285" cm="1">
        <f t="array" ref="X285">COUNT(IF((DiscreteStatsTable[GroupByKey]=DiscreteStatsTable[[#This Row],[GroupByKey]]),(DiscreteStatsTable[GroupByKey]=DiscreteStatsTable[[#This Row],[GroupByKey]])*DiscreteStatsTable[Replication]))</f>
        <v>10</v>
      </c>
      <c r="Y285">
        <f>IF(DiscreteStatsTable[[#This Row],[RepsRequested]]=DiscreteStatsTable[[#This Row],[RepsWithStatObserved]],1,0)</f>
        <v>1</v>
      </c>
    </row>
    <row r="286" spans="1:25" x14ac:dyDescent="0.25">
      <c r="A286" t="s">
        <v>67</v>
      </c>
      <c r="B286" t="s">
        <v>243</v>
      </c>
      <c r="C286">
        <v>3</v>
      </c>
      <c r="D286" t="s">
        <v>97</v>
      </c>
      <c r="E286" t="s">
        <v>88</v>
      </c>
      <c r="F286" t="s">
        <v>87</v>
      </c>
      <c r="G286">
        <v>4.9947089530256799</v>
      </c>
      <c r="H286">
        <v>1.33663809505341E-2</v>
      </c>
      <c r="I286">
        <v>1.11184295034036</v>
      </c>
      <c r="J286">
        <v>9.5684709015768004</v>
      </c>
      <c r="K286">
        <v>18407</v>
      </c>
      <c r="L286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286" cm="1">
        <f t="array" ref="M286">MAX(IF((ProjectInfoTable[ProjectName]=DiscreteStatsTable[[#This Row],[ProjectName]]),(ProjectInfoTable[ProjectName]=DiscreteStatsTable[[#This Row],[ProjectName]])*ProjectInfoTable[NumberOfReplications]))</f>
        <v>10</v>
      </c>
      <c r="N286" cm="1">
        <f t="array" ref="N286">IFERROR(AVERAGE(IF((DiscreteStatsTable[GroupByKey]=DiscreteStatsTable[[#This Row],[GroupByKey]]),(DiscreteStatsTable[GroupByKey]=DiscreteStatsTable[[#This Row],[GroupByKey]])*DiscreteStatsTable[Average])),0)</f>
        <v>4.9976623193993781</v>
      </c>
      <c r="O286" cm="1">
        <f t="array" ref="O286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86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86" cm="1">
        <f t="array" ref="R286">MIN(IF((DiscreteStatsTable[GroupByKey]=DiscreteStatsTable[[#This Row],[GroupByKey]]),(DiscreteStatsTable[GroupByKey]=DiscreteStatsTable[[#This Row],[GroupByKey]])*DiscreteStatsTable[Average]))</f>
        <v>4.9854339864056998</v>
      </c>
      <c r="S286" cm="1">
        <f t="array" ref="S286">MAX(IF((DiscreteStatsTable[GroupByKey]=DiscreteStatsTable[[#This Row],[GroupByKey]]),(DiscreteStatsTable[GroupByKey]=DiscreteStatsTable[[#This Row],[GroupByKey]])*DiscreteStatsTable[Average]))</f>
        <v>5.0074759184603197</v>
      </c>
      <c r="T286" cm="1">
        <f t="array" ref="T286">MIN(IF((DiscreteStatsTable[GroupByKey]=DiscreteStatsTable[[#This Row],[GroupByKey]]),(DiscreteStatsTable[GroupByKey]=DiscreteStatsTable[[#This Row],[GroupByKey]])*DiscreteStatsTable[Minimum]))</f>
        <v>0.63562201993772804</v>
      </c>
      <c r="U286" cm="1">
        <f t="array" ref="U286">MAX(IF((DiscreteStatsTable[GroupByKey]=DiscreteStatsTable[[#This Row],[GroupByKey]]),(DiscreteStatsTable[GroupByKey]=DiscreteStatsTable[[#This Row],[GroupByKey]])*DiscreteStatsTable[Maximum]))</f>
        <v>9.6698289319465403</v>
      </c>
      <c r="V286" cm="1">
        <f t="array" ref="V286">IFERROR(AVERAGE(IF((DiscreteStatsTable[GroupByKey]=DiscreteStatsTable[[#This Row],[GroupByKey]]),(DiscreteStatsTable[GroupByKey]=DiscreteStatsTable[[#This Row],[GroupByKey]])*DiscreteStatsTable[NumberObservations])),0)</f>
        <v>18392</v>
      </c>
      <c r="W286">
        <f>IF((DiscreteStatsTable[[#This Row],[RepsRequested]]&gt;1),DiscreteStatsTable[[#This Row],[HalfWidth]],DiscreteStatsTable[[#This Row],[BatchMeansHalfWidth]])</f>
        <v>5.2200975502667557E-3</v>
      </c>
      <c r="X286" cm="1">
        <f t="array" ref="X286">COUNT(IF((DiscreteStatsTable[GroupByKey]=DiscreteStatsTable[[#This Row],[GroupByKey]]),(DiscreteStatsTable[GroupByKey]=DiscreteStatsTable[[#This Row],[GroupByKey]])*DiscreteStatsTable[Replication]))</f>
        <v>10</v>
      </c>
      <c r="Y286">
        <f>IF(DiscreteStatsTable[[#This Row],[RepsRequested]]=DiscreteStatsTable[[#This Row],[RepsWithStatObserved]],1,0)</f>
        <v>1</v>
      </c>
    </row>
    <row r="287" spans="1:25" x14ac:dyDescent="0.25">
      <c r="A287" t="s">
        <v>67</v>
      </c>
      <c r="B287" t="s">
        <v>243</v>
      </c>
      <c r="C287">
        <v>3</v>
      </c>
      <c r="D287" t="s">
        <v>97</v>
      </c>
      <c r="E287" t="s">
        <v>89</v>
      </c>
      <c r="F287" t="s">
        <v>87</v>
      </c>
      <c r="G287">
        <v>4.9947089530256799</v>
      </c>
      <c r="H287">
        <v>1.33663809505341E-2</v>
      </c>
      <c r="I287">
        <v>1.11184295034036</v>
      </c>
      <c r="J287">
        <v>9.5684709015768004</v>
      </c>
      <c r="K287">
        <v>18407</v>
      </c>
      <c r="L287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287" cm="1">
        <f t="array" ref="M287">MAX(IF((ProjectInfoTable[ProjectName]=DiscreteStatsTable[[#This Row],[ProjectName]]),(ProjectInfoTable[ProjectName]=DiscreteStatsTable[[#This Row],[ProjectName]])*ProjectInfoTable[NumberOfReplications]))</f>
        <v>10</v>
      </c>
      <c r="N287" cm="1">
        <f t="array" ref="N287">IFERROR(AVERAGE(IF((DiscreteStatsTable[GroupByKey]=DiscreteStatsTable[[#This Row],[GroupByKey]]),(DiscreteStatsTable[GroupByKey]=DiscreteStatsTable[[#This Row],[GroupByKey]])*DiscreteStatsTable[Average])),0)</f>
        <v>4.9976623193993781</v>
      </c>
      <c r="O287" cm="1">
        <f t="array" ref="O287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87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87" cm="1">
        <f t="array" ref="R287">MIN(IF((DiscreteStatsTable[GroupByKey]=DiscreteStatsTable[[#This Row],[GroupByKey]]),(DiscreteStatsTable[GroupByKey]=DiscreteStatsTable[[#This Row],[GroupByKey]])*DiscreteStatsTable[Average]))</f>
        <v>4.9854339864056998</v>
      </c>
      <c r="S287" cm="1">
        <f t="array" ref="S287">MAX(IF((DiscreteStatsTable[GroupByKey]=DiscreteStatsTable[[#This Row],[GroupByKey]]),(DiscreteStatsTable[GroupByKey]=DiscreteStatsTable[[#This Row],[GroupByKey]])*DiscreteStatsTable[Average]))</f>
        <v>5.0074759184603197</v>
      </c>
      <c r="T287" cm="1">
        <f t="array" ref="T287">MIN(IF((DiscreteStatsTable[GroupByKey]=DiscreteStatsTable[[#This Row],[GroupByKey]]),(DiscreteStatsTable[GroupByKey]=DiscreteStatsTable[[#This Row],[GroupByKey]])*DiscreteStatsTable[Minimum]))</f>
        <v>0.63562201993772804</v>
      </c>
      <c r="U287" cm="1">
        <f t="array" ref="U287">MAX(IF((DiscreteStatsTable[GroupByKey]=DiscreteStatsTable[[#This Row],[GroupByKey]]),(DiscreteStatsTable[GroupByKey]=DiscreteStatsTable[[#This Row],[GroupByKey]])*DiscreteStatsTable[Maximum]))</f>
        <v>9.6698289319465403</v>
      </c>
      <c r="V287" cm="1">
        <f t="array" ref="V287">IFERROR(AVERAGE(IF((DiscreteStatsTable[GroupByKey]=DiscreteStatsTable[[#This Row],[GroupByKey]]),(DiscreteStatsTable[GroupByKey]=DiscreteStatsTable[[#This Row],[GroupByKey]])*DiscreteStatsTable[NumberObservations])),0)</f>
        <v>18392</v>
      </c>
      <c r="W287">
        <f>IF((DiscreteStatsTable[[#This Row],[RepsRequested]]&gt;1),DiscreteStatsTable[[#This Row],[HalfWidth]],DiscreteStatsTable[[#This Row],[BatchMeansHalfWidth]])</f>
        <v>5.2200975502667557E-3</v>
      </c>
      <c r="X287" cm="1">
        <f t="array" ref="X287">COUNT(IF((DiscreteStatsTable[GroupByKey]=DiscreteStatsTable[[#This Row],[GroupByKey]]),(DiscreteStatsTable[GroupByKey]=DiscreteStatsTable[[#This Row],[GroupByKey]])*DiscreteStatsTable[Replication]))</f>
        <v>10</v>
      </c>
      <c r="Y287">
        <f>IF(DiscreteStatsTable[[#This Row],[RepsRequested]]=DiscreteStatsTable[[#This Row],[RepsWithStatObserved]],1,0)</f>
        <v>1</v>
      </c>
    </row>
    <row r="288" spans="1:25" x14ac:dyDescent="0.25">
      <c r="A288" t="s">
        <v>67</v>
      </c>
      <c r="B288" t="s">
        <v>243</v>
      </c>
      <c r="C288">
        <v>4</v>
      </c>
      <c r="D288" t="s">
        <v>97</v>
      </c>
      <c r="E288" t="s">
        <v>88</v>
      </c>
      <c r="F288" t="s">
        <v>87</v>
      </c>
      <c r="G288">
        <v>4.9993965275643903</v>
      </c>
      <c r="H288">
        <v>1.54554849235716E-2</v>
      </c>
      <c r="I288">
        <v>1.06210014934186</v>
      </c>
      <c r="J288">
        <v>9.0548976982245204</v>
      </c>
      <c r="K288">
        <v>18402</v>
      </c>
      <c r="L288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288" cm="1">
        <f t="array" ref="M288">MAX(IF((ProjectInfoTable[ProjectName]=DiscreteStatsTable[[#This Row],[ProjectName]]),(ProjectInfoTable[ProjectName]=DiscreteStatsTable[[#This Row],[ProjectName]])*ProjectInfoTable[NumberOfReplications]))</f>
        <v>10</v>
      </c>
      <c r="N288" cm="1">
        <f t="array" ref="N288">IFERROR(AVERAGE(IF((DiscreteStatsTable[GroupByKey]=DiscreteStatsTable[[#This Row],[GroupByKey]]),(DiscreteStatsTable[GroupByKey]=DiscreteStatsTable[[#This Row],[GroupByKey]])*DiscreteStatsTable[Average])),0)</f>
        <v>4.9976623193993781</v>
      </c>
      <c r="O288" cm="1">
        <f t="array" ref="O288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88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88" cm="1">
        <f t="array" ref="R288">MIN(IF((DiscreteStatsTable[GroupByKey]=DiscreteStatsTable[[#This Row],[GroupByKey]]),(DiscreteStatsTable[GroupByKey]=DiscreteStatsTable[[#This Row],[GroupByKey]])*DiscreteStatsTable[Average]))</f>
        <v>4.9854339864056998</v>
      </c>
      <c r="S288" cm="1">
        <f t="array" ref="S288">MAX(IF((DiscreteStatsTable[GroupByKey]=DiscreteStatsTable[[#This Row],[GroupByKey]]),(DiscreteStatsTable[GroupByKey]=DiscreteStatsTable[[#This Row],[GroupByKey]])*DiscreteStatsTable[Average]))</f>
        <v>5.0074759184603197</v>
      </c>
      <c r="T288" cm="1">
        <f t="array" ref="T288">MIN(IF((DiscreteStatsTable[GroupByKey]=DiscreteStatsTable[[#This Row],[GroupByKey]]),(DiscreteStatsTable[GroupByKey]=DiscreteStatsTable[[#This Row],[GroupByKey]])*DiscreteStatsTable[Minimum]))</f>
        <v>0.63562201993772804</v>
      </c>
      <c r="U288" cm="1">
        <f t="array" ref="U288">MAX(IF((DiscreteStatsTable[GroupByKey]=DiscreteStatsTable[[#This Row],[GroupByKey]]),(DiscreteStatsTable[GroupByKey]=DiscreteStatsTable[[#This Row],[GroupByKey]])*DiscreteStatsTable[Maximum]))</f>
        <v>9.6698289319465403</v>
      </c>
      <c r="V288" cm="1">
        <f t="array" ref="V288">IFERROR(AVERAGE(IF((DiscreteStatsTable[GroupByKey]=DiscreteStatsTable[[#This Row],[GroupByKey]]),(DiscreteStatsTable[GroupByKey]=DiscreteStatsTable[[#This Row],[GroupByKey]])*DiscreteStatsTable[NumberObservations])),0)</f>
        <v>18392</v>
      </c>
      <c r="W288">
        <f>IF((DiscreteStatsTable[[#This Row],[RepsRequested]]&gt;1),DiscreteStatsTable[[#This Row],[HalfWidth]],DiscreteStatsTable[[#This Row],[BatchMeansHalfWidth]])</f>
        <v>5.2200975502667557E-3</v>
      </c>
      <c r="X288" cm="1">
        <f t="array" ref="X288">COUNT(IF((DiscreteStatsTable[GroupByKey]=DiscreteStatsTable[[#This Row],[GroupByKey]]),(DiscreteStatsTable[GroupByKey]=DiscreteStatsTable[[#This Row],[GroupByKey]])*DiscreteStatsTable[Replication]))</f>
        <v>10</v>
      </c>
      <c r="Y288">
        <f>IF(DiscreteStatsTable[[#This Row],[RepsRequested]]=DiscreteStatsTable[[#This Row],[RepsWithStatObserved]],1,0)</f>
        <v>1</v>
      </c>
    </row>
    <row r="289" spans="1:25" x14ac:dyDescent="0.25">
      <c r="A289" t="s">
        <v>67</v>
      </c>
      <c r="B289" t="s">
        <v>243</v>
      </c>
      <c r="C289">
        <v>4</v>
      </c>
      <c r="D289" t="s">
        <v>97</v>
      </c>
      <c r="E289" t="s">
        <v>89</v>
      </c>
      <c r="F289" t="s">
        <v>87</v>
      </c>
      <c r="G289">
        <v>4.9993965275643903</v>
      </c>
      <c r="H289">
        <v>1.54554849235716E-2</v>
      </c>
      <c r="I289">
        <v>1.06210014934186</v>
      </c>
      <c r="J289">
        <v>9.0548976982245204</v>
      </c>
      <c r="K289">
        <v>18402</v>
      </c>
      <c r="L289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289" cm="1">
        <f t="array" ref="M289">MAX(IF((ProjectInfoTable[ProjectName]=DiscreteStatsTable[[#This Row],[ProjectName]]),(ProjectInfoTable[ProjectName]=DiscreteStatsTable[[#This Row],[ProjectName]])*ProjectInfoTable[NumberOfReplications]))</f>
        <v>10</v>
      </c>
      <c r="N289" cm="1">
        <f t="array" ref="N289">IFERROR(AVERAGE(IF((DiscreteStatsTable[GroupByKey]=DiscreteStatsTable[[#This Row],[GroupByKey]]),(DiscreteStatsTable[GroupByKey]=DiscreteStatsTable[[#This Row],[GroupByKey]])*DiscreteStatsTable[Average])),0)</f>
        <v>4.9976623193993781</v>
      </c>
      <c r="O289" cm="1">
        <f t="array" ref="O289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89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89" cm="1">
        <f t="array" ref="R289">MIN(IF((DiscreteStatsTable[GroupByKey]=DiscreteStatsTable[[#This Row],[GroupByKey]]),(DiscreteStatsTable[GroupByKey]=DiscreteStatsTable[[#This Row],[GroupByKey]])*DiscreteStatsTable[Average]))</f>
        <v>4.9854339864056998</v>
      </c>
      <c r="S289" cm="1">
        <f t="array" ref="S289">MAX(IF((DiscreteStatsTable[GroupByKey]=DiscreteStatsTable[[#This Row],[GroupByKey]]),(DiscreteStatsTable[GroupByKey]=DiscreteStatsTable[[#This Row],[GroupByKey]])*DiscreteStatsTable[Average]))</f>
        <v>5.0074759184603197</v>
      </c>
      <c r="T289" cm="1">
        <f t="array" ref="T289">MIN(IF((DiscreteStatsTable[GroupByKey]=DiscreteStatsTable[[#This Row],[GroupByKey]]),(DiscreteStatsTable[GroupByKey]=DiscreteStatsTable[[#This Row],[GroupByKey]])*DiscreteStatsTable[Minimum]))</f>
        <v>0.63562201993772804</v>
      </c>
      <c r="U289" cm="1">
        <f t="array" ref="U289">MAX(IF((DiscreteStatsTable[GroupByKey]=DiscreteStatsTable[[#This Row],[GroupByKey]]),(DiscreteStatsTable[GroupByKey]=DiscreteStatsTable[[#This Row],[GroupByKey]])*DiscreteStatsTable[Maximum]))</f>
        <v>9.6698289319465403</v>
      </c>
      <c r="V289" cm="1">
        <f t="array" ref="V289">IFERROR(AVERAGE(IF((DiscreteStatsTable[GroupByKey]=DiscreteStatsTable[[#This Row],[GroupByKey]]),(DiscreteStatsTable[GroupByKey]=DiscreteStatsTable[[#This Row],[GroupByKey]])*DiscreteStatsTable[NumberObservations])),0)</f>
        <v>18392</v>
      </c>
      <c r="W289">
        <f>IF((DiscreteStatsTable[[#This Row],[RepsRequested]]&gt;1),DiscreteStatsTable[[#This Row],[HalfWidth]],DiscreteStatsTable[[#This Row],[BatchMeansHalfWidth]])</f>
        <v>5.2200975502667557E-3</v>
      </c>
      <c r="X289" cm="1">
        <f t="array" ref="X289">COUNT(IF((DiscreteStatsTable[GroupByKey]=DiscreteStatsTable[[#This Row],[GroupByKey]]),(DiscreteStatsTable[GroupByKey]=DiscreteStatsTable[[#This Row],[GroupByKey]])*DiscreteStatsTable[Replication]))</f>
        <v>10</v>
      </c>
      <c r="Y289">
        <f>IF(DiscreteStatsTable[[#This Row],[RepsRequested]]=DiscreteStatsTable[[#This Row],[RepsWithStatObserved]],1,0)</f>
        <v>1</v>
      </c>
    </row>
    <row r="290" spans="1:25" x14ac:dyDescent="0.25">
      <c r="A290" t="s">
        <v>67</v>
      </c>
      <c r="B290" t="s">
        <v>243</v>
      </c>
      <c r="C290">
        <v>5</v>
      </c>
      <c r="D290" t="s">
        <v>97</v>
      </c>
      <c r="E290" t="s">
        <v>88</v>
      </c>
      <c r="F290" t="s">
        <v>87</v>
      </c>
      <c r="G290">
        <v>4.9944384285114998</v>
      </c>
      <c r="H290">
        <v>1.3913705692652999E-2</v>
      </c>
      <c r="I290">
        <v>1.1189319657860299</v>
      </c>
      <c r="J290">
        <v>8.9460797194624302</v>
      </c>
      <c r="K290">
        <v>18405</v>
      </c>
      <c r="L290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290" cm="1">
        <f t="array" ref="M290">MAX(IF((ProjectInfoTable[ProjectName]=DiscreteStatsTable[[#This Row],[ProjectName]]),(ProjectInfoTable[ProjectName]=DiscreteStatsTable[[#This Row],[ProjectName]])*ProjectInfoTable[NumberOfReplications]))</f>
        <v>10</v>
      </c>
      <c r="N290" cm="1">
        <f t="array" ref="N290">IFERROR(AVERAGE(IF((DiscreteStatsTable[GroupByKey]=DiscreteStatsTable[[#This Row],[GroupByKey]]),(DiscreteStatsTable[GroupByKey]=DiscreteStatsTable[[#This Row],[GroupByKey]])*DiscreteStatsTable[Average])),0)</f>
        <v>4.9976623193993781</v>
      </c>
      <c r="O290" cm="1">
        <f t="array" ref="O290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90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90" cm="1">
        <f t="array" ref="R290">MIN(IF((DiscreteStatsTable[GroupByKey]=DiscreteStatsTable[[#This Row],[GroupByKey]]),(DiscreteStatsTable[GroupByKey]=DiscreteStatsTable[[#This Row],[GroupByKey]])*DiscreteStatsTable[Average]))</f>
        <v>4.9854339864056998</v>
      </c>
      <c r="S290" cm="1">
        <f t="array" ref="S290">MAX(IF((DiscreteStatsTable[GroupByKey]=DiscreteStatsTable[[#This Row],[GroupByKey]]),(DiscreteStatsTable[GroupByKey]=DiscreteStatsTable[[#This Row],[GroupByKey]])*DiscreteStatsTable[Average]))</f>
        <v>5.0074759184603197</v>
      </c>
      <c r="T290" cm="1">
        <f t="array" ref="T290">MIN(IF((DiscreteStatsTable[GroupByKey]=DiscreteStatsTable[[#This Row],[GroupByKey]]),(DiscreteStatsTable[GroupByKey]=DiscreteStatsTable[[#This Row],[GroupByKey]])*DiscreteStatsTable[Minimum]))</f>
        <v>0.63562201993772804</v>
      </c>
      <c r="U290" cm="1">
        <f t="array" ref="U290">MAX(IF((DiscreteStatsTable[GroupByKey]=DiscreteStatsTable[[#This Row],[GroupByKey]]),(DiscreteStatsTable[GroupByKey]=DiscreteStatsTable[[#This Row],[GroupByKey]])*DiscreteStatsTable[Maximum]))</f>
        <v>9.6698289319465403</v>
      </c>
      <c r="V290" cm="1">
        <f t="array" ref="V290">IFERROR(AVERAGE(IF((DiscreteStatsTable[GroupByKey]=DiscreteStatsTable[[#This Row],[GroupByKey]]),(DiscreteStatsTable[GroupByKey]=DiscreteStatsTable[[#This Row],[GroupByKey]])*DiscreteStatsTable[NumberObservations])),0)</f>
        <v>18392</v>
      </c>
      <c r="W290">
        <f>IF((DiscreteStatsTable[[#This Row],[RepsRequested]]&gt;1),DiscreteStatsTable[[#This Row],[HalfWidth]],DiscreteStatsTable[[#This Row],[BatchMeansHalfWidth]])</f>
        <v>5.2200975502667557E-3</v>
      </c>
      <c r="X290" cm="1">
        <f t="array" ref="X290">COUNT(IF((DiscreteStatsTable[GroupByKey]=DiscreteStatsTable[[#This Row],[GroupByKey]]),(DiscreteStatsTable[GroupByKey]=DiscreteStatsTable[[#This Row],[GroupByKey]])*DiscreteStatsTable[Replication]))</f>
        <v>10</v>
      </c>
      <c r="Y290">
        <f>IF(DiscreteStatsTable[[#This Row],[RepsRequested]]=DiscreteStatsTable[[#This Row],[RepsWithStatObserved]],1,0)</f>
        <v>1</v>
      </c>
    </row>
    <row r="291" spans="1:25" x14ac:dyDescent="0.25">
      <c r="A291" t="s">
        <v>67</v>
      </c>
      <c r="B291" t="s">
        <v>243</v>
      </c>
      <c r="C291">
        <v>5</v>
      </c>
      <c r="D291" t="s">
        <v>97</v>
      </c>
      <c r="E291" t="s">
        <v>89</v>
      </c>
      <c r="F291" t="s">
        <v>87</v>
      </c>
      <c r="G291">
        <v>4.9944384285114998</v>
      </c>
      <c r="H291">
        <v>1.3913705692652999E-2</v>
      </c>
      <c r="I291">
        <v>1.1189319657860299</v>
      </c>
      <c r="J291">
        <v>8.9460797194624302</v>
      </c>
      <c r="K291">
        <v>18405</v>
      </c>
      <c r="L291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291" cm="1">
        <f t="array" ref="M291">MAX(IF((ProjectInfoTable[ProjectName]=DiscreteStatsTable[[#This Row],[ProjectName]]),(ProjectInfoTable[ProjectName]=DiscreteStatsTable[[#This Row],[ProjectName]])*ProjectInfoTable[NumberOfReplications]))</f>
        <v>10</v>
      </c>
      <c r="N291" cm="1">
        <f t="array" ref="N291">IFERROR(AVERAGE(IF((DiscreteStatsTable[GroupByKey]=DiscreteStatsTable[[#This Row],[GroupByKey]]),(DiscreteStatsTable[GroupByKey]=DiscreteStatsTable[[#This Row],[GroupByKey]])*DiscreteStatsTable[Average])),0)</f>
        <v>4.9976623193993781</v>
      </c>
      <c r="O291" cm="1">
        <f t="array" ref="O291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91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91" cm="1">
        <f t="array" ref="R291">MIN(IF((DiscreteStatsTable[GroupByKey]=DiscreteStatsTable[[#This Row],[GroupByKey]]),(DiscreteStatsTable[GroupByKey]=DiscreteStatsTable[[#This Row],[GroupByKey]])*DiscreteStatsTable[Average]))</f>
        <v>4.9854339864056998</v>
      </c>
      <c r="S291" cm="1">
        <f t="array" ref="S291">MAX(IF((DiscreteStatsTable[GroupByKey]=DiscreteStatsTable[[#This Row],[GroupByKey]]),(DiscreteStatsTable[GroupByKey]=DiscreteStatsTable[[#This Row],[GroupByKey]])*DiscreteStatsTable[Average]))</f>
        <v>5.0074759184603197</v>
      </c>
      <c r="T291" cm="1">
        <f t="array" ref="T291">MIN(IF((DiscreteStatsTable[GroupByKey]=DiscreteStatsTable[[#This Row],[GroupByKey]]),(DiscreteStatsTable[GroupByKey]=DiscreteStatsTable[[#This Row],[GroupByKey]])*DiscreteStatsTable[Minimum]))</f>
        <v>0.63562201993772804</v>
      </c>
      <c r="U291" cm="1">
        <f t="array" ref="U291">MAX(IF((DiscreteStatsTable[GroupByKey]=DiscreteStatsTable[[#This Row],[GroupByKey]]),(DiscreteStatsTable[GroupByKey]=DiscreteStatsTable[[#This Row],[GroupByKey]])*DiscreteStatsTable[Maximum]))</f>
        <v>9.6698289319465403</v>
      </c>
      <c r="V291" cm="1">
        <f t="array" ref="V291">IFERROR(AVERAGE(IF((DiscreteStatsTable[GroupByKey]=DiscreteStatsTable[[#This Row],[GroupByKey]]),(DiscreteStatsTable[GroupByKey]=DiscreteStatsTable[[#This Row],[GroupByKey]])*DiscreteStatsTable[NumberObservations])),0)</f>
        <v>18392</v>
      </c>
      <c r="W291">
        <f>IF((DiscreteStatsTable[[#This Row],[RepsRequested]]&gt;1),DiscreteStatsTable[[#This Row],[HalfWidth]],DiscreteStatsTable[[#This Row],[BatchMeansHalfWidth]])</f>
        <v>5.2200975502667557E-3</v>
      </c>
      <c r="X291" cm="1">
        <f t="array" ref="X291">COUNT(IF((DiscreteStatsTable[GroupByKey]=DiscreteStatsTable[[#This Row],[GroupByKey]]),(DiscreteStatsTable[GroupByKey]=DiscreteStatsTable[[#This Row],[GroupByKey]])*DiscreteStatsTable[Replication]))</f>
        <v>10</v>
      </c>
      <c r="Y291">
        <f>IF(DiscreteStatsTable[[#This Row],[RepsRequested]]=DiscreteStatsTable[[#This Row],[RepsWithStatObserved]],1,0)</f>
        <v>1</v>
      </c>
    </row>
    <row r="292" spans="1:25" x14ac:dyDescent="0.25">
      <c r="A292" t="s">
        <v>67</v>
      </c>
      <c r="B292" t="s">
        <v>243</v>
      </c>
      <c r="C292">
        <v>6</v>
      </c>
      <c r="D292" t="s">
        <v>97</v>
      </c>
      <c r="E292" t="s">
        <v>88</v>
      </c>
      <c r="F292" t="s">
        <v>87</v>
      </c>
      <c r="G292">
        <v>4.9966354396473802</v>
      </c>
      <c r="H292">
        <v>1.7169532460924199E-2</v>
      </c>
      <c r="I292">
        <v>1.0299186907359399</v>
      </c>
      <c r="J292">
        <v>8.7898771544569207</v>
      </c>
      <c r="K292">
        <v>18376</v>
      </c>
      <c r="L292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292" cm="1">
        <f t="array" ref="M292">MAX(IF((ProjectInfoTable[ProjectName]=DiscreteStatsTable[[#This Row],[ProjectName]]),(ProjectInfoTable[ProjectName]=DiscreteStatsTable[[#This Row],[ProjectName]])*ProjectInfoTable[NumberOfReplications]))</f>
        <v>10</v>
      </c>
      <c r="N292" cm="1">
        <f t="array" ref="N292">IFERROR(AVERAGE(IF((DiscreteStatsTable[GroupByKey]=DiscreteStatsTable[[#This Row],[GroupByKey]]),(DiscreteStatsTable[GroupByKey]=DiscreteStatsTable[[#This Row],[GroupByKey]])*DiscreteStatsTable[Average])),0)</f>
        <v>4.9976623193993781</v>
      </c>
      <c r="O292" cm="1">
        <f t="array" ref="O292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92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92" cm="1">
        <f t="array" ref="R292">MIN(IF((DiscreteStatsTable[GroupByKey]=DiscreteStatsTable[[#This Row],[GroupByKey]]),(DiscreteStatsTable[GroupByKey]=DiscreteStatsTable[[#This Row],[GroupByKey]])*DiscreteStatsTable[Average]))</f>
        <v>4.9854339864056998</v>
      </c>
      <c r="S292" cm="1">
        <f t="array" ref="S292">MAX(IF((DiscreteStatsTable[GroupByKey]=DiscreteStatsTable[[#This Row],[GroupByKey]]),(DiscreteStatsTable[GroupByKey]=DiscreteStatsTable[[#This Row],[GroupByKey]])*DiscreteStatsTable[Average]))</f>
        <v>5.0074759184603197</v>
      </c>
      <c r="T292" cm="1">
        <f t="array" ref="T292">MIN(IF((DiscreteStatsTable[GroupByKey]=DiscreteStatsTable[[#This Row],[GroupByKey]]),(DiscreteStatsTable[GroupByKey]=DiscreteStatsTable[[#This Row],[GroupByKey]])*DiscreteStatsTable[Minimum]))</f>
        <v>0.63562201993772804</v>
      </c>
      <c r="U292" cm="1">
        <f t="array" ref="U292">MAX(IF((DiscreteStatsTable[GroupByKey]=DiscreteStatsTable[[#This Row],[GroupByKey]]),(DiscreteStatsTable[GroupByKey]=DiscreteStatsTable[[#This Row],[GroupByKey]])*DiscreteStatsTable[Maximum]))</f>
        <v>9.6698289319465403</v>
      </c>
      <c r="V292" cm="1">
        <f t="array" ref="V292">IFERROR(AVERAGE(IF((DiscreteStatsTable[GroupByKey]=DiscreteStatsTable[[#This Row],[GroupByKey]]),(DiscreteStatsTable[GroupByKey]=DiscreteStatsTable[[#This Row],[GroupByKey]])*DiscreteStatsTable[NumberObservations])),0)</f>
        <v>18392</v>
      </c>
      <c r="W292">
        <f>IF((DiscreteStatsTable[[#This Row],[RepsRequested]]&gt;1),DiscreteStatsTable[[#This Row],[HalfWidth]],DiscreteStatsTable[[#This Row],[BatchMeansHalfWidth]])</f>
        <v>5.2200975502667557E-3</v>
      </c>
      <c r="X292" cm="1">
        <f t="array" ref="X292">COUNT(IF((DiscreteStatsTable[GroupByKey]=DiscreteStatsTable[[#This Row],[GroupByKey]]),(DiscreteStatsTable[GroupByKey]=DiscreteStatsTable[[#This Row],[GroupByKey]])*DiscreteStatsTable[Replication]))</f>
        <v>10</v>
      </c>
      <c r="Y292">
        <f>IF(DiscreteStatsTable[[#This Row],[RepsRequested]]=DiscreteStatsTable[[#This Row],[RepsWithStatObserved]],1,0)</f>
        <v>1</v>
      </c>
    </row>
    <row r="293" spans="1:25" x14ac:dyDescent="0.25">
      <c r="A293" t="s">
        <v>67</v>
      </c>
      <c r="B293" t="s">
        <v>243</v>
      </c>
      <c r="C293">
        <v>6</v>
      </c>
      <c r="D293" t="s">
        <v>97</v>
      </c>
      <c r="E293" t="s">
        <v>89</v>
      </c>
      <c r="F293" t="s">
        <v>87</v>
      </c>
      <c r="G293">
        <v>4.9966354396473802</v>
      </c>
      <c r="H293">
        <v>1.7169532460924199E-2</v>
      </c>
      <c r="I293">
        <v>1.0299186907359399</v>
      </c>
      <c r="J293">
        <v>8.7898771544569207</v>
      </c>
      <c r="K293">
        <v>18376</v>
      </c>
      <c r="L293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293" cm="1">
        <f t="array" ref="M293">MAX(IF((ProjectInfoTable[ProjectName]=DiscreteStatsTable[[#This Row],[ProjectName]]),(ProjectInfoTable[ProjectName]=DiscreteStatsTable[[#This Row],[ProjectName]])*ProjectInfoTable[NumberOfReplications]))</f>
        <v>10</v>
      </c>
      <c r="N293" cm="1">
        <f t="array" ref="N293">IFERROR(AVERAGE(IF((DiscreteStatsTable[GroupByKey]=DiscreteStatsTable[[#This Row],[GroupByKey]]),(DiscreteStatsTable[GroupByKey]=DiscreteStatsTable[[#This Row],[GroupByKey]])*DiscreteStatsTable[Average])),0)</f>
        <v>4.9976623193993781</v>
      </c>
      <c r="O293" cm="1">
        <f t="array" ref="O293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93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93" cm="1">
        <f t="array" ref="R293">MIN(IF((DiscreteStatsTable[GroupByKey]=DiscreteStatsTable[[#This Row],[GroupByKey]]),(DiscreteStatsTable[GroupByKey]=DiscreteStatsTable[[#This Row],[GroupByKey]])*DiscreteStatsTable[Average]))</f>
        <v>4.9854339864056998</v>
      </c>
      <c r="S293" cm="1">
        <f t="array" ref="S293">MAX(IF((DiscreteStatsTable[GroupByKey]=DiscreteStatsTable[[#This Row],[GroupByKey]]),(DiscreteStatsTable[GroupByKey]=DiscreteStatsTable[[#This Row],[GroupByKey]])*DiscreteStatsTable[Average]))</f>
        <v>5.0074759184603197</v>
      </c>
      <c r="T293" cm="1">
        <f t="array" ref="T293">MIN(IF((DiscreteStatsTable[GroupByKey]=DiscreteStatsTable[[#This Row],[GroupByKey]]),(DiscreteStatsTable[GroupByKey]=DiscreteStatsTable[[#This Row],[GroupByKey]])*DiscreteStatsTable[Minimum]))</f>
        <v>0.63562201993772804</v>
      </c>
      <c r="U293" cm="1">
        <f t="array" ref="U293">MAX(IF((DiscreteStatsTable[GroupByKey]=DiscreteStatsTable[[#This Row],[GroupByKey]]),(DiscreteStatsTable[GroupByKey]=DiscreteStatsTable[[#This Row],[GroupByKey]])*DiscreteStatsTable[Maximum]))</f>
        <v>9.6698289319465403</v>
      </c>
      <c r="V293" cm="1">
        <f t="array" ref="V293">IFERROR(AVERAGE(IF((DiscreteStatsTable[GroupByKey]=DiscreteStatsTable[[#This Row],[GroupByKey]]),(DiscreteStatsTable[GroupByKey]=DiscreteStatsTable[[#This Row],[GroupByKey]])*DiscreteStatsTable[NumberObservations])),0)</f>
        <v>18392</v>
      </c>
      <c r="W293">
        <f>IF((DiscreteStatsTable[[#This Row],[RepsRequested]]&gt;1),DiscreteStatsTable[[#This Row],[HalfWidth]],DiscreteStatsTable[[#This Row],[BatchMeansHalfWidth]])</f>
        <v>5.2200975502667557E-3</v>
      </c>
      <c r="X293" cm="1">
        <f t="array" ref="X293">COUNT(IF((DiscreteStatsTable[GroupByKey]=DiscreteStatsTable[[#This Row],[GroupByKey]]),(DiscreteStatsTable[GroupByKey]=DiscreteStatsTable[[#This Row],[GroupByKey]])*DiscreteStatsTable[Replication]))</f>
        <v>10</v>
      </c>
      <c r="Y293">
        <f>IF(DiscreteStatsTable[[#This Row],[RepsRequested]]=DiscreteStatsTable[[#This Row],[RepsWithStatObserved]],1,0)</f>
        <v>1</v>
      </c>
    </row>
    <row r="294" spans="1:25" x14ac:dyDescent="0.25">
      <c r="A294" t="s">
        <v>67</v>
      </c>
      <c r="B294" t="s">
        <v>243</v>
      </c>
      <c r="C294">
        <v>7</v>
      </c>
      <c r="D294" t="s">
        <v>97</v>
      </c>
      <c r="E294" t="s">
        <v>88</v>
      </c>
      <c r="F294" t="s">
        <v>87</v>
      </c>
      <c r="G294">
        <v>4.9997096218085302</v>
      </c>
      <c r="H294">
        <v>1.2749085631656601E-2</v>
      </c>
      <c r="I294">
        <v>0.63562201993772804</v>
      </c>
      <c r="J294">
        <v>9.0413047203328496</v>
      </c>
      <c r="K294">
        <v>18398</v>
      </c>
      <c r="L294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294" cm="1">
        <f t="array" ref="M294">MAX(IF((ProjectInfoTable[ProjectName]=DiscreteStatsTable[[#This Row],[ProjectName]]),(ProjectInfoTable[ProjectName]=DiscreteStatsTable[[#This Row],[ProjectName]])*ProjectInfoTable[NumberOfReplications]))</f>
        <v>10</v>
      </c>
      <c r="N294" cm="1">
        <f t="array" ref="N294">IFERROR(AVERAGE(IF((DiscreteStatsTable[GroupByKey]=DiscreteStatsTable[[#This Row],[GroupByKey]]),(DiscreteStatsTable[GroupByKey]=DiscreteStatsTable[[#This Row],[GroupByKey]])*DiscreteStatsTable[Average])),0)</f>
        <v>4.9976623193993781</v>
      </c>
      <c r="O294" cm="1">
        <f t="array" ref="O294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94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94" cm="1">
        <f t="array" ref="R294">MIN(IF((DiscreteStatsTable[GroupByKey]=DiscreteStatsTable[[#This Row],[GroupByKey]]),(DiscreteStatsTable[GroupByKey]=DiscreteStatsTable[[#This Row],[GroupByKey]])*DiscreteStatsTable[Average]))</f>
        <v>4.9854339864056998</v>
      </c>
      <c r="S294" cm="1">
        <f t="array" ref="S294">MAX(IF((DiscreteStatsTable[GroupByKey]=DiscreteStatsTable[[#This Row],[GroupByKey]]),(DiscreteStatsTable[GroupByKey]=DiscreteStatsTable[[#This Row],[GroupByKey]])*DiscreteStatsTable[Average]))</f>
        <v>5.0074759184603197</v>
      </c>
      <c r="T294" cm="1">
        <f t="array" ref="T294">MIN(IF((DiscreteStatsTable[GroupByKey]=DiscreteStatsTable[[#This Row],[GroupByKey]]),(DiscreteStatsTable[GroupByKey]=DiscreteStatsTable[[#This Row],[GroupByKey]])*DiscreteStatsTable[Minimum]))</f>
        <v>0.63562201993772804</v>
      </c>
      <c r="U294" cm="1">
        <f t="array" ref="U294">MAX(IF((DiscreteStatsTable[GroupByKey]=DiscreteStatsTable[[#This Row],[GroupByKey]]),(DiscreteStatsTable[GroupByKey]=DiscreteStatsTable[[#This Row],[GroupByKey]])*DiscreteStatsTable[Maximum]))</f>
        <v>9.6698289319465403</v>
      </c>
      <c r="V294" cm="1">
        <f t="array" ref="V294">IFERROR(AVERAGE(IF((DiscreteStatsTable[GroupByKey]=DiscreteStatsTable[[#This Row],[GroupByKey]]),(DiscreteStatsTable[GroupByKey]=DiscreteStatsTable[[#This Row],[GroupByKey]])*DiscreteStatsTable[NumberObservations])),0)</f>
        <v>18392</v>
      </c>
      <c r="W294">
        <f>IF((DiscreteStatsTable[[#This Row],[RepsRequested]]&gt;1),DiscreteStatsTable[[#This Row],[HalfWidth]],DiscreteStatsTable[[#This Row],[BatchMeansHalfWidth]])</f>
        <v>5.2200975502667557E-3</v>
      </c>
      <c r="X294" cm="1">
        <f t="array" ref="X294">COUNT(IF((DiscreteStatsTable[GroupByKey]=DiscreteStatsTable[[#This Row],[GroupByKey]]),(DiscreteStatsTable[GroupByKey]=DiscreteStatsTable[[#This Row],[GroupByKey]])*DiscreteStatsTable[Replication]))</f>
        <v>10</v>
      </c>
      <c r="Y294">
        <f>IF(DiscreteStatsTable[[#This Row],[RepsRequested]]=DiscreteStatsTable[[#This Row],[RepsWithStatObserved]],1,0)</f>
        <v>1</v>
      </c>
    </row>
    <row r="295" spans="1:25" x14ac:dyDescent="0.25">
      <c r="A295" t="s">
        <v>67</v>
      </c>
      <c r="B295" t="s">
        <v>243</v>
      </c>
      <c r="C295">
        <v>7</v>
      </c>
      <c r="D295" t="s">
        <v>97</v>
      </c>
      <c r="E295" t="s">
        <v>89</v>
      </c>
      <c r="F295" t="s">
        <v>87</v>
      </c>
      <c r="G295">
        <v>4.9997096218085302</v>
      </c>
      <c r="H295">
        <v>1.2749085631656601E-2</v>
      </c>
      <c r="I295">
        <v>0.63562201993772804</v>
      </c>
      <c r="J295">
        <v>9.0413047203328496</v>
      </c>
      <c r="K295">
        <v>18398</v>
      </c>
      <c r="L295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295" cm="1">
        <f t="array" ref="M295">MAX(IF((ProjectInfoTable[ProjectName]=DiscreteStatsTable[[#This Row],[ProjectName]]),(ProjectInfoTable[ProjectName]=DiscreteStatsTable[[#This Row],[ProjectName]])*ProjectInfoTable[NumberOfReplications]))</f>
        <v>10</v>
      </c>
      <c r="N295" cm="1">
        <f t="array" ref="N295">IFERROR(AVERAGE(IF((DiscreteStatsTable[GroupByKey]=DiscreteStatsTable[[#This Row],[GroupByKey]]),(DiscreteStatsTable[GroupByKey]=DiscreteStatsTable[[#This Row],[GroupByKey]])*DiscreteStatsTable[Average])),0)</f>
        <v>4.9976623193993781</v>
      </c>
      <c r="O295" cm="1">
        <f t="array" ref="O295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9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95" cm="1">
        <f t="array" ref="R295">MIN(IF((DiscreteStatsTable[GroupByKey]=DiscreteStatsTable[[#This Row],[GroupByKey]]),(DiscreteStatsTable[GroupByKey]=DiscreteStatsTable[[#This Row],[GroupByKey]])*DiscreteStatsTable[Average]))</f>
        <v>4.9854339864056998</v>
      </c>
      <c r="S295" cm="1">
        <f t="array" ref="S295">MAX(IF((DiscreteStatsTable[GroupByKey]=DiscreteStatsTable[[#This Row],[GroupByKey]]),(DiscreteStatsTable[GroupByKey]=DiscreteStatsTable[[#This Row],[GroupByKey]])*DiscreteStatsTable[Average]))</f>
        <v>5.0074759184603197</v>
      </c>
      <c r="T295" cm="1">
        <f t="array" ref="T295">MIN(IF((DiscreteStatsTable[GroupByKey]=DiscreteStatsTable[[#This Row],[GroupByKey]]),(DiscreteStatsTable[GroupByKey]=DiscreteStatsTable[[#This Row],[GroupByKey]])*DiscreteStatsTable[Minimum]))</f>
        <v>0.63562201993772804</v>
      </c>
      <c r="U295" cm="1">
        <f t="array" ref="U295">MAX(IF((DiscreteStatsTable[GroupByKey]=DiscreteStatsTable[[#This Row],[GroupByKey]]),(DiscreteStatsTable[GroupByKey]=DiscreteStatsTable[[#This Row],[GroupByKey]])*DiscreteStatsTable[Maximum]))</f>
        <v>9.6698289319465403</v>
      </c>
      <c r="V295" cm="1">
        <f t="array" ref="V295">IFERROR(AVERAGE(IF((DiscreteStatsTable[GroupByKey]=DiscreteStatsTable[[#This Row],[GroupByKey]]),(DiscreteStatsTable[GroupByKey]=DiscreteStatsTable[[#This Row],[GroupByKey]])*DiscreteStatsTable[NumberObservations])),0)</f>
        <v>18392</v>
      </c>
      <c r="W295">
        <f>IF((DiscreteStatsTable[[#This Row],[RepsRequested]]&gt;1),DiscreteStatsTable[[#This Row],[HalfWidth]],DiscreteStatsTable[[#This Row],[BatchMeansHalfWidth]])</f>
        <v>5.2200975502667557E-3</v>
      </c>
      <c r="X295" cm="1">
        <f t="array" ref="X295">COUNT(IF((DiscreteStatsTable[GroupByKey]=DiscreteStatsTable[[#This Row],[GroupByKey]]),(DiscreteStatsTable[GroupByKey]=DiscreteStatsTable[[#This Row],[GroupByKey]])*DiscreteStatsTable[Replication]))</f>
        <v>10</v>
      </c>
      <c r="Y295">
        <f>IF(DiscreteStatsTable[[#This Row],[RepsRequested]]=DiscreteStatsTable[[#This Row],[RepsWithStatObserved]],1,0)</f>
        <v>1</v>
      </c>
    </row>
    <row r="296" spans="1:25" x14ac:dyDescent="0.25">
      <c r="A296" t="s">
        <v>67</v>
      </c>
      <c r="B296" t="s">
        <v>243</v>
      </c>
      <c r="C296">
        <v>8</v>
      </c>
      <c r="D296" t="s">
        <v>97</v>
      </c>
      <c r="E296" t="s">
        <v>88</v>
      </c>
      <c r="F296" t="s">
        <v>87</v>
      </c>
      <c r="G296">
        <v>4.9883602711293902</v>
      </c>
      <c r="H296">
        <v>1.50741532820617E-2</v>
      </c>
      <c r="I296">
        <v>0.76862503285519801</v>
      </c>
      <c r="J296">
        <v>9.2443111565080507</v>
      </c>
      <c r="K296">
        <v>18377</v>
      </c>
      <c r="L296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296" cm="1">
        <f t="array" ref="M296">MAX(IF((ProjectInfoTable[ProjectName]=DiscreteStatsTable[[#This Row],[ProjectName]]),(ProjectInfoTable[ProjectName]=DiscreteStatsTable[[#This Row],[ProjectName]])*ProjectInfoTable[NumberOfReplications]))</f>
        <v>10</v>
      </c>
      <c r="N296" cm="1">
        <f t="array" ref="N296">IFERROR(AVERAGE(IF((DiscreteStatsTable[GroupByKey]=DiscreteStatsTable[[#This Row],[GroupByKey]]),(DiscreteStatsTable[GroupByKey]=DiscreteStatsTable[[#This Row],[GroupByKey]])*DiscreteStatsTable[Average])),0)</f>
        <v>4.9976623193993781</v>
      </c>
      <c r="O296" cm="1">
        <f t="array" ref="O296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96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96" cm="1">
        <f t="array" ref="R296">MIN(IF((DiscreteStatsTable[GroupByKey]=DiscreteStatsTable[[#This Row],[GroupByKey]]),(DiscreteStatsTable[GroupByKey]=DiscreteStatsTable[[#This Row],[GroupByKey]])*DiscreteStatsTable[Average]))</f>
        <v>4.9854339864056998</v>
      </c>
      <c r="S296" cm="1">
        <f t="array" ref="S296">MAX(IF((DiscreteStatsTable[GroupByKey]=DiscreteStatsTable[[#This Row],[GroupByKey]]),(DiscreteStatsTable[GroupByKey]=DiscreteStatsTable[[#This Row],[GroupByKey]])*DiscreteStatsTable[Average]))</f>
        <v>5.0074759184603197</v>
      </c>
      <c r="T296" cm="1">
        <f t="array" ref="T296">MIN(IF((DiscreteStatsTable[GroupByKey]=DiscreteStatsTable[[#This Row],[GroupByKey]]),(DiscreteStatsTable[GroupByKey]=DiscreteStatsTable[[#This Row],[GroupByKey]])*DiscreteStatsTable[Minimum]))</f>
        <v>0.63562201993772804</v>
      </c>
      <c r="U296" cm="1">
        <f t="array" ref="U296">MAX(IF((DiscreteStatsTable[GroupByKey]=DiscreteStatsTable[[#This Row],[GroupByKey]]),(DiscreteStatsTable[GroupByKey]=DiscreteStatsTable[[#This Row],[GroupByKey]])*DiscreteStatsTable[Maximum]))</f>
        <v>9.6698289319465403</v>
      </c>
      <c r="V296" cm="1">
        <f t="array" ref="V296">IFERROR(AVERAGE(IF((DiscreteStatsTable[GroupByKey]=DiscreteStatsTable[[#This Row],[GroupByKey]]),(DiscreteStatsTable[GroupByKey]=DiscreteStatsTable[[#This Row],[GroupByKey]])*DiscreteStatsTable[NumberObservations])),0)</f>
        <v>18392</v>
      </c>
      <c r="W296">
        <f>IF((DiscreteStatsTable[[#This Row],[RepsRequested]]&gt;1),DiscreteStatsTable[[#This Row],[HalfWidth]],DiscreteStatsTable[[#This Row],[BatchMeansHalfWidth]])</f>
        <v>5.2200975502667557E-3</v>
      </c>
      <c r="X296" cm="1">
        <f t="array" ref="X296">COUNT(IF((DiscreteStatsTable[GroupByKey]=DiscreteStatsTable[[#This Row],[GroupByKey]]),(DiscreteStatsTable[GroupByKey]=DiscreteStatsTable[[#This Row],[GroupByKey]])*DiscreteStatsTable[Replication]))</f>
        <v>10</v>
      </c>
      <c r="Y296">
        <f>IF(DiscreteStatsTable[[#This Row],[RepsRequested]]=DiscreteStatsTable[[#This Row],[RepsWithStatObserved]],1,0)</f>
        <v>1</v>
      </c>
    </row>
    <row r="297" spans="1:25" x14ac:dyDescent="0.25">
      <c r="A297" t="s">
        <v>67</v>
      </c>
      <c r="B297" t="s">
        <v>243</v>
      </c>
      <c r="C297">
        <v>8</v>
      </c>
      <c r="D297" t="s">
        <v>97</v>
      </c>
      <c r="E297" t="s">
        <v>89</v>
      </c>
      <c r="F297" t="s">
        <v>87</v>
      </c>
      <c r="G297">
        <v>4.9883602711293902</v>
      </c>
      <c r="H297">
        <v>1.50741532820617E-2</v>
      </c>
      <c r="I297">
        <v>0.76862503285519801</v>
      </c>
      <c r="J297">
        <v>9.2443111565080507</v>
      </c>
      <c r="K297">
        <v>18377</v>
      </c>
      <c r="L297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297" cm="1">
        <f t="array" ref="M297">MAX(IF((ProjectInfoTable[ProjectName]=DiscreteStatsTable[[#This Row],[ProjectName]]),(ProjectInfoTable[ProjectName]=DiscreteStatsTable[[#This Row],[ProjectName]])*ProjectInfoTable[NumberOfReplications]))</f>
        <v>10</v>
      </c>
      <c r="N297" cm="1">
        <f t="array" ref="N297">IFERROR(AVERAGE(IF((DiscreteStatsTable[GroupByKey]=DiscreteStatsTable[[#This Row],[GroupByKey]]),(DiscreteStatsTable[GroupByKey]=DiscreteStatsTable[[#This Row],[GroupByKey]])*DiscreteStatsTable[Average])),0)</f>
        <v>4.9976623193993781</v>
      </c>
      <c r="O297" cm="1">
        <f t="array" ref="O297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97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97" cm="1">
        <f t="array" ref="R297">MIN(IF((DiscreteStatsTable[GroupByKey]=DiscreteStatsTable[[#This Row],[GroupByKey]]),(DiscreteStatsTable[GroupByKey]=DiscreteStatsTable[[#This Row],[GroupByKey]])*DiscreteStatsTable[Average]))</f>
        <v>4.9854339864056998</v>
      </c>
      <c r="S297" cm="1">
        <f t="array" ref="S297">MAX(IF((DiscreteStatsTable[GroupByKey]=DiscreteStatsTable[[#This Row],[GroupByKey]]),(DiscreteStatsTable[GroupByKey]=DiscreteStatsTable[[#This Row],[GroupByKey]])*DiscreteStatsTable[Average]))</f>
        <v>5.0074759184603197</v>
      </c>
      <c r="T297" cm="1">
        <f t="array" ref="T297">MIN(IF((DiscreteStatsTable[GroupByKey]=DiscreteStatsTable[[#This Row],[GroupByKey]]),(DiscreteStatsTable[GroupByKey]=DiscreteStatsTable[[#This Row],[GroupByKey]])*DiscreteStatsTable[Minimum]))</f>
        <v>0.63562201993772804</v>
      </c>
      <c r="U297" cm="1">
        <f t="array" ref="U297">MAX(IF((DiscreteStatsTable[GroupByKey]=DiscreteStatsTable[[#This Row],[GroupByKey]]),(DiscreteStatsTable[GroupByKey]=DiscreteStatsTable[[#This Row],[GroupByKey]])*DiscreteStatsTable[Maximum]))</f>
        <v>9.6698289319465403</v>
      </c>
      <c r="V297" cm="1">
        <f t="array" ref="V297">IFERROR(AVERAGE(IF((DiscreteStatsTable[GroupByKey]=DiscreteStatsTable[[#This Row],[GroupByKey]]),(DiscreteStatsTable[GroupByKey]=DiscreteStatsTable[[#This Row],[GroupByKey]])*DiscreteStatsTable[NumberObservations])),0)</f>
        <v>18392</v>
      </c>
      <c r="W297">
        <f>IF((DiscreteStatsTable[[#This Row],[RepsRequested]]&gt;1),DiscreteStatsTable[[#This Row],[HalfWidth]],DiscreteStatsTable[[#This Row],[BatchMeansHalfWidth]])</f>
        <v>5.2200975502667557E-3</v>
      </c>
      <c r="X297" cm="1">
        <f t="array" ref="X297">COUNT(IF((DiscreteStatsTable[GroupByKey]=DiscreteStatsTable[[#This Row],[GroupByKey]]),(DiscreteStatsTable[GroupByKey]=DiscreteStatsTable[[#This Row],[GroupByKey]])*DiscreteStatsTable[Replication]))</f>
        <v>10</v>
      </c>
      <c r="Y297">
        <f>IF(DiscreteStatsTable[[#This Row],[RepsRequested]]=DiscreteStatsTable[[#This Row],[RepsWithStatObserved]],1,0)</f>
        <v>1</v>
      </c>
    </row>
    <row r="298" spans="1:25" x14ac:dyDescent="0.25">
      <c r="A298" t="s">
        <v>67</v>
      </c>
      <c r="B298" t="s">
        <v>243</v>
      </c>
      <c r="C298">
        <v>9</v>
      </c>
      <c r="D298" t="s">
        <v>97</v>
      </c>
      <c r="E298" t="s">
        <v>88</v>
      </c>
      <c r="F298" t="s">
        <v>87</v>
      </c>
      <c r="G298">
        <v>5.0074759184603197</v>
      </c>
      <c r="H298">
        <v>1.7895550203229599E-2</v>
      </c>
      <c r="I298">
        <v>1.1544445413601401</v>
      </c>
      <c r="J298">
        <v>8.7334901442518493</v>
      </c>
      <c r="K298">
        <v>18405</v>
      </c>
      <c r="L298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298" cm="1">
        <f t="array" ref="M298">MAX(IF((ProjectInfoTable[ProjectName]=DiscreteStatsTable[[#This Row],[ProjectName]]),(ProjectInfoTable[ProjectName]=DiscreteStatsTable[[#This Row],[ProjectName]])*ProjectInfoTable[NumberOfReplications]))</f>
        <v>10</v>
      </c>
      <c r="N298" cm="1">
        <f t="array" ref="N298">IFERROR(AVERAGE(IF((DiscreteStatsTable[GroupByKey]=DiscreteStatsTable[[#This Row],[GroupByKey]]),(DiscreteStatsTable[GroupByKey]=DiscreteStatsTable[[#This Row],[GroupByKey]])*DiscreteStatsTable[Average])),0)</f>
        <v>4.9976623193993781</v>
      </c>
      <c r="O298" cm="1">
        <f t="array" ref="O298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98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98" cm="1">
        <f t="array" ref="R298">MIN(IF((DiscreteStatsTable[GroupByKey]=DiscreteStatsTable[[#This Row],[GroupByKey]]),(DiscreteStatsTable[GroupByKey]=DiscreteStatsTable[[#This Row],[GroupByKey]])*DiscreteStatsTable[Average]))</f>
        <v>4.9854339864056998</v>
      </c>
      <c r="S298" cm="1">
        <f t="array" ref="S298">MAX(IF((DiscreteStatsTable[GroupByKey]=DiscreteStatsTable[[#This Row],[GroupByKey]]),(DiscreteStatsTable[GroupByKey]=DiscreteStatsTable[[#This Row],[GroupByKey]])*DiscreteStatsTable[Average]))</f>
        <v>5.0074759184603197</v>
      </c>
      <c r="T298" cm="1">
        <f t="array" ref="T298">MIN(IF((DiscreteStatsTable[GroupByKey]=DiscreteStatsTable[[#This Row],[GroupByKey]]),(DiscreteStatsTable[GroupByKey]=DiscreteStatsTable[[#This Row],[GroupByKey]])*DiscreteStatsTable[Minimum]))</f>
        <v>0.63562201993772804</v>
      </c>
      <c r="U298" cm="1">
        <f t="array" ref="U298">MAX(IF((DiscreteStatsTable[GroupByKey]=DiscreteStatsTable[[#This Row],[GroupByKey]]),(DiscreteStatsTable[GroupByKey]=DiscreteStatsTable[[#This Row],[GroupByKey]])*DiscreteStatsTable[Maximum]))</f>
        <v>9.6698289319465403</v>
      </c>
      <c r="V298" cm="1">
        <f t="array" ref="V298">IFERROR(AVERAGE(IF((DiscreteStatsTable[GroupByKey]=DiscreteStatsTable[[#This Row],[GroupByKey]]),(DiscreteStatsTable[GroupByKey]=DiscreteStatsTable[[#This Row],[GroupByKey]])*DiscreteStatsTable[NumberObservations])),0)</f>
        <v>18392</v>
      </c>
      <c r="W298">
        <f>IF((DiscreteStatsTable[[#This Row],[RepsRequested]]&gt;1),DiscreteStatsTable[[#This Row],[HalfWidth]],DiscreteStatsTable[[#This Row],[BatchMeansHalfWidth]])</f>
        <v>5.2200975502667557E-3</v>
      </c>
      <c r="X298" cm="1">
        <f t="array" ref="X298">COUNT(IF((DiscreteStatsTable[GroupByKey]=DiscreteStatsTable[[#This Row],[GroupByKey]]),(DiscreteStatsTable[GroupByKey]=DiscreteStatsTable[[#This Row],[GroupByKey]])*DiscreteStatsTable[Replication]))</f>
        <v>10</v>
      </c>
      <c r="Y298">
        <f>IF(DiscreteStatsTable[[#This Row],[RepsRequested]]=DiscreteStatsTable[[#This Row],[RepsWithStatObserved]],1,0)</f>
        <v>1</v>
      </c>
    </row>
    <row r="299" spans="1:25" x14ac:dyDescent="0.25">
      <c r="A299" t="s">
        <v>67</v>
      </c>
      <c r="B299" t="s">
        <v>243</v>
      </c>
      <c r="C299">
        <v>9</v>
      </c>
      <c r="D299" t="s">
        <v>97</v>
      </c>
      <c r="E299" t="s">
        <v>89</v>
      </c>
      <c r="F299" t="s">
        <v>87</v>
      </c>
      <c r="G299">
        <v>5.0074759184603197</v>
      </c>
      <c r="H299">
        <v>1.7895550203229599E-2</v>
      </c>
      <c r="I299">
        <v>1.1544445413601401</v>
      </c>
      <c r="J299">
        <v>8.7334901442518493</v>
      </c>
      <c r="K299">
        <v>18405</v>
      </c>
      <c r="L299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299" cm="1">
        <f t="array" ref="M299">MAX(IF((ProjectInfoTable[ProjectName]=DiscreteStatsTable[[#This Row],[ProjectName]]),(ProjectInfoTable[ProjectName]=DiscreteStatsTable[[#This Row],[ProjectName]])*ProjectInfoTable[NumberOfReplications]))</f>
        <v>10</v>
      </c>
      <c r="N299" cm="1">
        <f t="array" ref="N299">IFERROR(AVERAGE(IF((DiscreteStatsTable[GroupByKey]=DiscreteStatsTable[[#This Row],[GroupByKey]]),(DiscreteStatsTable[GroupByKey]=DiscreteStatsTable[[#This Row],[GroupByKey]])*DiscreteStatsTable[Average])),0)</f>
        <v>4.9976623193993781</v>
      </c>
      <c r="O299" cm="1">
        <f t="array" ref="O299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299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299" cm="1">
        <f t="array" ref="R299">MIN(IF((DiscreteStatsTable[GroupByKey]=DiscreteStatsTable[[#This Row],[GroupByKey]]),(DiscreteStatsTable[GroupByKey]=DiscreteStatsTable[[#This Row],[GroupByKey]])*DiscreteStatsTable[Average]))</f>
        <v>4.9854339864056998</v>
      </c>
      <c r="S299" cm="1">
        <f t="array" ref="S299">MAX(IF((DiscreteStatsTable[GroupByKey]=DiscreteStatsTable[[#This Row],[GroupByKey]]),(DiscreteStatsTable[GroupByKey]=DiscreteStatsTable[[#This Row],[GroupByKey]])*DiscreteStatsTable[Average]))</f>
        <v>5.0074759184603197</v>
      </c>
      <c r="T299" cm="1">
        <f t="array" ref="T299">MIN(IF((DiscreteStatsTable[GroupByKey]=DiscreteStatsTable[[#This Row],[GroupByKey]]),(DiscreteStatsTable[GroupByKey]=DiscreteStatsTable[[#This Row],[GroupByKey]])*DiscreteStatsTable[Minimum]))</f>
        <v>0.63562201993772804</v>
      </c>
      <c r="U299" cm="1">
        <f t="array" ref="U299">MAX(IF((DiscreteStatsTable[GroupByKey]=DiscreteStatsTable[[#This Row],[GroupByKey]]),(DiscreteStatsTable[GroupByKey]=DiscreteStatsTable[[#This Row],[GroupByKey]])*DiscreteStatsTable[Maximum]))</f>
        <v>9.6698289319465403</v>
      </c>
      <c r="V299" cm="1">
        <f t="array" ref="V299">IFERROR(AVERAGE(IF((DiscreteStatsTable[GroupByKey]=DiscreteStatsTable[[#This Row],[GroupByKey]]),(DiscreteStatsTable[GroupByKey]=DiscreteStatsTable[[#This Row],[GroupByKey]])*DiscreteStatsTable[NumberObservations])),0)</f>
        <v>18392</v>
      </c>
      <c r="W299">
        <f>IF((DiscreteStatsTable[[#This Row],[RepsRequested]]&gt;1),DiscreteStatsTable[[#This Row],[HalfWidth]],DiscreteStatsTable[[#This Row],[BatchMeansHalfWidth]])</f>
        <v>5.2200975502667557E-3</v>
      </c>
      <c r="X299" cm="1">
        <f t="array" ref="X299">COUNT(IF((DiscreteStatsTable[GroupByKey]=DiscreteStatsTable[[#This Row],[GroupByKey]]),(DiscreteStatsTable[GroupByKey]=DiscreteStatsTable[[#This Row],[GroupByKey]])*DiscreteStatsTable[Replication]))</f>
        <v>10</v>
      </c>
      <c r="Y299">
        <f>IF(DiscreteStatsTable[[#This Row],[RepsRequested]]=DiscreteStatsTable[[#This Row],[RepsWithStatObserved]],1,0)</f>
        <v>1</v>
      </c>
    </row>
    <row r="300" spans="1:25" x14ac:dyDescent="0.25">
      <c r="A300" t="s">
        <v>67</v>
      </c>
      <c r="B300" t="s">
        <v>243</v>
      </c>
      <c r="C300">
        <v>10</v>
      </c>
      <c r="D300" t="s">
        <v>97</v>
      </c>
      <c r="E300" t="s">
        <v>88</v>
      </c>
      <c r="F300" t="s">
        <v>87</v>
      </c>
      <c r="G300">
        <v>4.9854339864056998</v>
      </c>
      <c r="H300">
        <v>1.48009691008385E-2</v>
      </c>
      <c r="I300">
        <v>1.0588735526544</v>
      </c>
      <c r="J300">
        <v>8.8652360865380597</v>
      </c>
      <c r="K300">
        <v>18380</v>
      </c>
      <c r="L300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300" cm="1">
        <f t="array" ref="M300">MAX(IF((ProjectInfoTable[ProjectName]=DiscreteStatsTable[[#This Row],[ProjectName]]),(ProjectInfoTable[ProjectName]=DiscreteStatsTable[[#This Row],[ProjectName]])*ProjectInfoTable[NumberOfReplications]))</f>
        <v>10</v>
      </c>
      <c r="N300" cm="1">
        <f t="array" ref="N300">IFERROR(AVERAGE(IF((DiscreteStatsTable[GroupByKey]=DiscreteStatsTable[[#This Row],[GroupByKey]]),(DiscreteStatsTable[GroupByKey]=DiscreteStatsTable[[#This Row],[GroupByKey]])*DiscreteStatsTable[Average])),0)</f>
        <v>4.9976623193993781</v>
      </c>
      <c r="O300" cm="1">
        <f t="array" ref="O300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300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300" cm="1">
        <f t="array" ref="R300">MIN(IF((DiscreteStatsTable[GroupByKey]=DiscreteStatsTable[[#This Row],[GroupByKey]]),(DiscreteStatsTable[GroupByKey]=DiscreteStatsTable[[#This Row],[GroupByKey]])*DiscreteStatsTable[Average]))</f>
        <v>4.9854339864056998</v>
      </c>
      <c r="S300" cm="1">
        <f t="array" ref="S300">MAX(IF((DiscreteStatsTable[GroupByKey]=DiscreteStatsTable[[#This Row],[GroupByKey]]),(DiscreteStatsTable[GroupByKey]=DiscreteStatsTable[[#This Row],[GroupByKey]])*DiscreteStatsTable[Average]))</f>
        <v>5.0074759184603197</v>
      </c>
      <c r="T300" cm="1">
        <f t="array" ref="T300">MIN(IF((DiscreteStatsTable[GroupByKey]=DiscreteStatsTable[[#This Row],[GroupByKey]]),(DiscreteStatsTable[GroupByKey]=DiscreteStatsTable[[#This Row],[GroupByKey]])*DiscreteStatsTable[Minimum]))</f>
        <v>0.63562201993772804</v>
      </c>
      <c r="U300" cm="1">
        <f t="array" ref="U300">MAX(IF((DiscreteStatsTable[GroupByKey]=DiscreteStatsTable[[#This Row],[GroupByKey]]),(DiscreteStatsTable[GroupByKey]=DiscreteStatsTable[[#This Row],[GroupByKey]])*DiscreteStatsTable[Maximum]))</f>
        <v>9.6698289319465403</v>
      </c>
      <c r="V300" cm="1">
        <f t="array" ref="V300">IFERROR(AVERAGE(IF((DiscreteStatsTable[GroupByKey]=DiscreteStatsTable[[#This Row],[GroupByKey]]),(DiscreteStatsTable[GroupByKey]=DiscreteStatsTable[[#This Row],[GroupByKey]])*DiscreteStatsTable[NumberObservations])),0)</f>
        <v>18392</v>
      </c>
      <c r="W300">
        <f>IF((DiscreteStatsTable[[#This Row],[RepsRequested]]&gt;1),DiscreteStatsTable[[#This Row],[HalfWidth]],DiscreteStatsTable[[#This Row],[BatchMeansHalfWidth]])</f>
        <v>5.2200975502667557E-3</v>
      </c>
      <c r="X300" cm="1">
        <f t="array" ref="X300">COUNT(IF((DiscreteStatsTable[GroupByKey]=DiscreteStatsTable[[#This Row],[GroupByKey]]),(DiscreteStatsTable[GroupByKey]=DiscreteStatsTable[[#This Row],[GroupByKey]])*DiscreteStatsTable[Replication]))</f>
        <v>10</v>
      </c>
      <c r="Y300">
        <f>IF(DiscreteStatsTable[[#This Row],[RepsRequested]]=DiscreteStatsTable[[#This Row],[RepsWithStatObserved]],1,0)</f>
        <v>1</v>
      </c>
    </row>
    <row r="301" spans="1:25" x14ac:dyDescent="0.25">
      <c r="A301" t="s">
        <v>67</v>
      </c>
      <c r="B301" t="s">
        <v>243</v>
      </c>
      <c r="C301">
        <v>10</v>
      </c>
      <c r="D301" t="s">
        <v>97</v>
      </c>
      <c r="E301" t="s">
        <v>89</v>
      </c>
      <c r="F301" t="s">
        <v>87</v>
      </c>
      <c r="G301">
        <v>4.9854339864056998</v>
      </c>
      <c r="H301">
        <v>1.48009691008385E-2</v>
      </c>
      <c r="I301">
        <v>1.0588735526544</v>
      </c>
      <c r="J301">
        <v>8.8652360865380597</v>
      </c>
      <c r="K301">
        <v>18380</v>
      </c>
      <c r="L301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301" cm="1">
        <f t="array" ref="M301">MAX(IF((ProjectInfoTable[ProjectName]=DiscreteStatsTable[[#This Row],[ProjectName]]),(ProjectInfoTable[ProjectName]=DiscreteStatsTable[[#This Row],[ProjectName]])*ProjectInfoTable[NumberOfReplications]))</f>
        <v>10</v>
      </c>
      <c r="N301" cm="1">
        <f t="array" ref="N301">IFERROR(AVERAGE(IF((DiscreteStatsTable[GroupByKey]=DiscreteStatsTable[[#This Row],[GroupByKey]]),(DiscreteStatsTable[GroupByKey]=DiscreteStatsTable[[#This Row],[GroupByKey]])*DiscreteStatsTable[Average])),0)</f>
        <v>4.9976623193993781</v>
      </c>
      <c r="O301" cm="1">
        <f t="array" ref="O301">IFERROR(_xlfn.STDEV.S(IF((DiscreteStatsTable[GroupByKey]=DiscreteStatsTable[[#This Row],[GroupByKey]]),(DiscreteStatsTable[GroupByKey]=DiscreteStatsTable[[#This Row],[GroupByKey]])*DiscreteStatsTable[Average])),0)</f>
        <v>7.2971932006214834E-3</v>
      </c>
      <c r="P301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5.2200975502667557E-3</v>
      </c>
      <c r="R301" cm="1">
        <f t="array" ref="R301">MIN(IF((DiscreteStatsTable[GroupByKey]=DiscreteStatsTable[[#This Row],[GroupByKey]]),(DiscreteStatsTable[GroupByKey]=DiscreteStatsTable[[#This Row],[GroupByKey]])*DiscreteStatsTable[Average]))</f>
        <v>4.9854339864056998</v>
      </c>
      <c r="S301" cm="1">
        <f t="array" ref="S301">MAX(IF((DiscreteStatsTable[GroupByKey]=DiscreteStatsTable[[#This Row],[GroupByKey]]),(DiscreteStatsTable[GroupByKey]=DiscreteStatsTable[[#This Row],[GroupByKey]])*DiscreteStatsTable[Average]))</f>
        <v>5.0074759184603197</v>
      </c>
      <c r="T301" cm="1">
        <f t="array" ref="T301">MIN(IF((DiscreteStatsTable[GroupByKey]=DiscreteStatsTable[[#This Row],[GroupByKey]]),(DiscreteStatsTable[GroupByKey]=DiscreteStatsTable[[#This Row],[GroupByKey]])*DiscreteStatsTable[Minimum]))</f>
        <v>0.63562201993772804</v>
      </c>
      <c r="U301" cm="1">
        <f t="array" ref="U301">MAX(IF((DiscreteStatsTable[GroupByKey]=DiscreteStatsTable[[#This Row],[GroupByKey]]),(DiscreteStatsTable[GroupByKey]=DiscreteStatsTable[[#This Row],[GroupByKey]])*DiscreteStatsTable[Maximum]))</f>
        <v>9.6698289319465403</v>
      </c>
      <c r="V301" cm="1">
        <f t="array" ref="V301">IFERROR(AVERAGE(IF((DiscreteStatsTable[GroupByKey]=DiscreteStatsTable[[#This Row],[GroupByKey]]),(DiscreteStatsTable[GroupByKey]=DiscreteStatsTable[[#This Row],[GroupByKey]])*DiscreteStatsTable[NumberObservations])),0)</f>
        <v>18392</v>
      </c>
      <c r="W301">
        <f>IF((DiscreteStatsTable[[#This Row],[RepsRequested]]&gt;1),DiscreteStatsTable[[#This Row],[HalfWidth]],DiscreteStatsTable[[#This Row],[BatchMeansHalfWidth]])</f>
        <v>5.2200975502667557E-3</v>
      </c>
      <c r="X301" cm="1">
        <f t="array" ref="X301">COUNT(IF((DiscreteStatsTable[GroupByKey]=DiscreteStatsTable[[#This Row],[GroupByKey]]),(DiscreteStatsTable[GroupByKey]=DiscreteStatsTable[[#This Row],[GroupByKey]])*DiscreteStatsTable[Replication]))</f>
        <v>10</v>
      </c>
      <c r="Y301">
        <f>IF(DiscreteStatsTable[[#This Row],[RepsRequested]]=DiscreteStatsTable[[#This Row],[RepsWithStatObserved]],1,0)</f>
        <v>1</v>
      </c>
    </row>
    <row r="302" spans="1:25" x14ac:dyDescent="0.25">
      <c r="A302" t="s">
        <v>67</v>
      </c>
      <c r="B302" t="s">
        <v>243</v>
      </c>
      <c r="C302">
        <v>1</v>
      </c>
      <c r="D302" t="s">
        <v>98</v>
      </c>
      <c r="E302" t="s">
        <v>88</v>
      </c>
      <c r="F302" t="s">
        <v>87</v>
      </c>
      <c r="G302">
        <v>5.6714083354703497</v>
      </c>
      <c r="H302">
        <v>9.1625270410192194E-3</v>
      </c>
      <c r="I302">
        <v>4.0034717686212398</v>
      </c>
      <c r="J302">
        <v>6.9991346772876604</v>
      </c>
      <c r="K302">
        <v>18376</v>
      </c>
      <c r="L302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302" cm="1">
        <f t="array" ref="M302">MAX(IF((ProjectInfoTable[ProjectName]=DiscreteStatsTable[[#This Row],[ProjectName]]),(ProjectInfoTable[ProjectName]=DiscreteStatsTable[[#This Row],[ProjectName]])*ProjectInfoTable[NumberOfReplications]))</f>
        <v>10</v>
      </c>
      <c r="N302" cm="1">
        <f t="array" ref="N302">IFERROR(AVERAGE(IF((DiscreteStatsTable[GroupByKey]=DiscreteStatsTable[[#This Row],[GroupByKey]]),(DiscreteStatsTable[GroupByKey]=DiscreteStatsTable[[#This Row],[GroupByKey]])*DiscreteStatsTable[Average])),0)</f>
        <v>5.6662240506038115</v>
      </c>
      <c r="O302" cm="1">
        <f t="array" ref="O302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02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02" cm="1">
        <f t="array" ref="R302">MIN(IF((DiscreteStatsTable[GroupByKey]=DiscreteStatsTable[[#This Row],[GroupByKey]]),(DiscreteStatsTable[GroupByKey]=DiscreteStatsTable[[#This Row],[GroupByKey]])*DiscreteStatsTable[Average]))</f>
        <v>5.6585962909327998</v>
      </c>
      <c r="S302" cm="1">
        <f t="array" ref="S302">MAX(IF((DiscreteStatsTable[GroupByKey]=DiscreteStatsTable[[#This Row],[GroupByKey]]),(DiscreteStatsTable[GroupByKey]=DiscreteStatsTable[[#This Row],[GroupByKey]])*DiscreteStatsTable[Average]))</f>
        <v>5.67470397466536</v>
      </c>
      <c r="T302" cm="1">
        <f t="array" ref="T302">MIN(IF((DiscreteStatsTable[GroupByKey]=DiscreteStatsTable[[#This Row],[GroupByKey]]),(DiscreteStatsTable[GroupByKey]=DiscreteStatsTable[[#This Row],[GroupByKey]])*DiscreteStatsTable[Minimum]))</f>
        <v>4.0032314787386003</v>
      </c>
      <c r="U302" cm="1">
        <f t="array" ref="U302">MAX(IF((DiscreteStatsTable[GroupByKey]=DiscreteStatsTable[[#This Row],[GroupByKey]]),(DiscreteStatsTable[GroupByKey]=DiscreteStatsTable[[#This Row],[GroupByKey]])*DiscreteStatsTable[Maximum]))</f>
        <v>6.9991346772876604</v>
      </c>
      <c r="V302" cm="1">
        <f t="array" ref="V302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02">
        <f>IF((DiscreteStatsTable[[#This Row],[RepsRequested]]&gt;1),DiscreteStatsTable[[#This Row],[HalfWidth]],DiscreteStatsTable[[#This Row],[BatchMeansHalfWidth]])</f>
        <v>3.6752746911933721E-3</v>
      </c>
      <c r="X302" cm="1">
        <f t="array" ref="X302">COUNT(IF((DiscreteStatsTable[GroupByKey]=DiscreteStatsTable[[#This Row],[GroupByKey]]),(DiscreteStatsTable[GroupByKey]=DiscreteStatsTable[[#This Row],[GroupByKey]])*DiscreteStatsTable[Replication]))</f>
        <v>10</v>
      </c>
      <c r="Y302">
        <f>IF(DiscreteStatsTable[[#This Row],[RepsRequested]]=DiscreteStatsTable[[#This Row],[RepsWithStatObserved]],1,0)</f>
        <v>1</v>
      </c>
    </row>
    <row r="303" spans="1:25" x14ac:dyDescent="0.25">
      <c r="A303" t="s">
        <v>67</v>
      </c>
      <c r="B303" t="s">
        <v>243</v>
      </c>
      <c r="C303">
        <v>1</v>
      </c>
      <c r="D303" t="s">
        <v>98</v>
      </c>
      <c r="E303" t="s">
        <v>89</v>
      </c>
      <c r="F303" t="s">
        <v>87</v>
      </c>
      <c r="G303">
        <v>5.6714083354703497</v>
      </c>
      <c r="H303">
        <v>9.1625270410192194E-3</v>
      </c>
      <c r="I303">
        <v>4.0034717686212398</v>
      </c>
      <c r="J303">
        <v>6.9991346772876604</v>
      </c>
      <c r="K303">
        <v>18376</v>
      </c>
      <c r="L303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303" cm="1">
        <f t="array" ref="M303">MAX(IF((ProjectInfoTable[ProjectName]=DiscreteStatsTable[[#This Row],[ProjectName]]),(ProjectInfoTable[ProjectName]=DiscreteStatsTable[[#This Row],[ProjectName]])*ProjectInfoTable[NumberOfReplications]))</f>
        <v>10</v>
      </c>
      <c r="N303" cm="1">
        <f t="array" ref="N303">IFERROR(AVERAGE(IF((DiscreteStatsTable[GroupByKey]=DiscreteStatsTable[[#This Row],[GroupByKey]]),(DiscreteStatsTable[GroupByKey]=DiscreteStatsTable[[#This Row],[GroupByKey]])*DiscreteStatsTable[Average])),0)</f>
        <v>5.6662240506038115</v>
      </c>
      <c r="O303" cm="1">
        <f t="array" ref="O303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03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03" cm="1">
        <f t="array" ref="R303">MIN(IF((DiscreteStatsTable[GroupByKey]=DiscreteStatsTable[[#This Row],[GroupByKey]]),(DiscreteStatsTable[GroupByKey]=DiscreteStatsTable[[#This Row],[GroupByKey]])*DiscreteStatsTable[Average]))</f>
        <v>5.6585962909327998</v>
      </c>
      <c r="S303" cm="1">
        <f t="array" ref="S303">MAX(IF((DiscreteStatsTable[GroupByKey]=DiscreteStatsTable[[#This Row],[GroupByKey]]),(DiscreteStatsTable[GroupByKey]=DiscreteStatsTable[[#This Row],[GroupByKey]])*DiscreteStatsTable[Average]))</f>
        <v>5.67470397466536</v>
      </c>
      <c r="T303" cm="1">
        <f t="array" ref="T303">MIN(IF((DiscreteStatsTable[GroupByKey]=DiscreteStatsTable[[#This Row],[GroupByKey]]),(DiscreteStatsTable[GroupByKey]=DiscreteStatsTable[[#This Row],[GroupByKey]])*DiscreteStatsTable[Minimum]))</f>
        <v>4.0032314787386003</v>
      </c>
      <c r="U303" cm="1">
        <f t="array" ref="U303">MAX(IF((DiscreteStatsTable[GroupByKey]=DiscreteStatsTable[[#This Row],[GroupByKey]]),(DiscreteStatsTable[GroupByKey]=DiscreteStatsTable[[#This Row],[GroupByKey]])*DiscreteStatsTable[Maximum]))</f>
        <v>6.9991346772876604</v>
      </c>
      <c r="V303" cm="1">
        <f t="array" ref="V303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03">
        <f>IF((DiscreteStatsTable[[#This Row],[RepsRequested]]&gt;1),DiscreteStatsTable[[#This Row],[HalfWidth]],DiscreteStatsTable[[#This Row],[BatchMeansHalfWidth]])</f>
        <v>3.6752746911933721E-3</v>
      </c>
      <c r="X303" cm="1">
        <f t="array" ref="X303">COUNT(IF((DiscreteStatsTable[GroupByKey]=DiscreteStatsTable[[#This Row],[GroupByKey]]),(DiscreteStatsTable[GroupByKey]=DiscreteStatsTable[[#This Row],[GroupByKey]])*DiscreteStatsTable[Replication]))</f>
        <v>10</v>
      </c>
      <c r="Y303">
        <f>IF(DiscreteStatsTable[[#This Row],[RepsRequested]]=DiscreteStatsTable[[#This Row],[RepsWithStatObserved]],1,0)</f>
        <v>1</v>
      </c>
    </row>
    <row r="304" spans="1:25" x14ac:dyDescent="0.25">
      <c r="A304" t="s">
        <v>67</v>
      </c>
      <c r="B304" t="s">
        <v>243</v>
      </c>
      <c r="C304">
        <v>2</v>
      </c>
      <c r="D304" t="s">
        <v>98</v>
      </c>
      <c r="E304" t="s">
        <v>88</v>
      </c>
      <c r="F304" t="s">
        <v>87</v>
      </c>
      <c r="G304">
        <v>5.6619436083723702</v>
      </c>
      <c r="H304">
        <v>9.2312614152764601E-3</v>
      </c>
      <c r="I304">
        <v>4.0032314787386003</v>
      </c>
      <c r="J304">
        <v>6.9860265808092699</v>
      </c>
      <c r="K304">
        <v>18387</v>
      </c>
      <c r="L304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304" cm="1">
        <f t="array" ref="M304">MAX(IF((ProjectInfoTable[ProjectName]=DiscreteStatsTable[[#This Row],[ProjectName]]),(ProjectInfoTable[ProjectName]=DiscreteStatsTable[[#This Row],[ProjectName]])*ProjectInfoTable[NumberOfReplications]))</f>
        <v>10</v>
      </c>
      <c r="N304" cm="1">
        <f t="array" ref="N304">IFERROR(AVERAGE(IF((DiscreteStatsTable[GroupByKey]=DiscreteStatsTable[[#This Row],[GroupByKey]]),(DiscreteStatsTable[GroupByKey]=DiscreteStatsTable[[#This Row],[GroupByKey]])*DiscreteStatsTable[Average])),0)</f>
        <v>5.6662240506038115</v>
      </c>
      <c r="O304" cm="1">
        <f t="array" ref="O304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04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04" cm="1">
        <f t="array" ref="R304">MIN(IF((DiscreteStatsTable[GroupByKey]=DiscreteStatsTable[[#This Row],[GroupByKey]]),(DiscreteStatsTable[GroupByKey]=DiscreteStatsTable[[#This Row],[GroupByKey]])*DiscreteStatsTable[Average]))</f>
        <v>5.6585962909327998</v>
      </c>
      <c r="S304" cm="1">
        <f t="array" ref="S304">MAX(IF((DiscreteStatsTable[GroupByKey]=DiscreteStatsTable[[#This Row],[GroupByKey]]),(DiscreteStatsTable[GroupByKey]=DiscreteStatsTable[[#This Row],[GroupByKey]])*DiscreteStatsTable[Average]))</f>
        <v>5.67470397466536</v>
      </c>
      <c r="T304" cm="1">
        <f t="array" ref="T304">MIN(IF((DiscreteStatsTable[GroupByKey]=DiscreteStatsTable[[#This Row],[GroupByKey]]),(DiscreteStatsTable[GroupByKey]=DiscreteStatsTable[[#This Row],[GroupByKey]])*DiscreteStatsTable[Minimum]))</f>
        <v>4.0032314787386003</v>
      </c>
      <c r="U304" cm="1">
        <f t="array" ref="U304">MAX(IF((DiscreteStatsTable[GroupByKey]=DiscreteStatsTable[[#This Row],[GroupByKey]]),(DiscreteStatsTable[GroupByKey]=DiscreteStatsTable[[#This Row],[GroupByKey]])*DiscreteStatsTable[Maximum]))</f>
        <v>6.9991346772876604</v>
      </c>
      <c r="V304" cm="1">
        <f t="array" ref="V304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04">
        <f>IF((DiscreteStatsTable[[#This Row],[RepsRequested]]&gt;1),DiscreteStatsTable[[#This Row],[HalfWidth]],DiscreteStatsTable[[#This Row],[BatchMeansHalfWidth]])</f>
        <v>3.6752746911933721E-3</v>
      </c>
      <c r="X304" cm="1">
        <f t="array" ref="X304">COUNT(IF((DiscreteStatsTable[GroupByKey]=DiscreteStatsTable[[#This Row],[GroupByKey]]),(DiscreteStatsTable[GroupByKey]=DiscreteStatsTable[[#This Row],[GroupByKey]])*DiscreteStatsTable[Replication]))</f>
        <v>10</v>
      </c>
      <c r="Y304">
        <f>IF(DiscreteStatsTable[[#This Row],[RepsRequested]]=DiscreteStatsTable[[#This Row],[RepsWithStatObserved]],1,0)</f>
        <v>1</v>
      </c>
    </row>
    <row r="305" spans="1:25" x14ac:dyDescent="0.25">
      <c r="A305" t="s">
        <v>67</v>
      </c>
      <c r="B305" t="s">
        <v>243</v>
      </c>
      <c r="C305">
        <v>2</v>
      </c>
      <c r="D305" t="s">
        <v>98</v>
      </c>
      <c r="E305" t="s">
        <v>89</v>
      </c>
      <c r="F305" t="s">
        <v>87</v>
      </c>
      <c r="G305">
        <v>5.6619436083723702</v>
      </c>
      <c r="H305">
        <v>9.2312614152764601E-3</v>
      </c>
      <c r="I305">
        <v>4.0032314787386003</v>
      </c>
      <c r="J305">
        <v>6.9860265808092699</v>
      </c>
      <c r="K305">
        <v>18387</v>
      </c>
      <c r="L305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305" cm="1">
        <f t="array" ref="M305">MAX(IF((ProjectInfoTable[ProjectName]=DiscreteStatsTable[[#This Row],[ProjectName]]),(ProjectInfoTable[ProjectName]=DiscreteStatsTable[[#This Row],[ProjectName]])*ProjectInfoTable[NumberOfReplications]))</f>
        <v>10</v>
      </c>
      <c r="N305" cm="1">
        <f t="array" ref="N305">IFERROR(AVERAGE(IF((DiscreteStatsTable[GroupByKey]=DiscreteStatsTable[[#This Row],[GroupByKey]]),(DiscreteStatsTable[GroupByKey]=DiscreteStatsTable[[#This Row],[GroupByKey]])*DiscreteStatsTable[Average])),0)</f>
        <v>5.6662240506038115</v>
      </c>
      <c r="O305" cm="1">
        <f t="array" ref="O305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0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05" cm="1">
        <f t="array" ref="R305">MIN(IF((DiscreteStatsTable[GroupByKey]=DiscreteStatsTable[[#This Row],[GroupByKey]]),(DiscreteStatsTable[GroupByKey]=DiscreteStatsTable[[#This Row],[GroupByKey]])*DiscreteStatsTable[Average]))</f>
        <v>5.6585962909327998</v>
      </c>
      <c r="S305" cm="1">
        <f t="array" ref="S305">MAX(IF((DiscreteStatsTable[GroupByKey]=DiscreteStatsTable[[#This Row],[GroupByKey]]),(DiscreteStatsTable[GroupByKey]=DiscreteStatsTable[[#This Row],[GroupByKey]])*DiscreteStatsTable[Average]))</f>
        <v>5.67470397466536</v>
      </c>
      <c r="T305" cm="1">
        <f t="array" ref="T305">MIN(IF((DiscreteStatsTable[GroupByKey]=DiscreteStatsTable[[#This Row],[GroupByKey]]),(DiscreteStatsTable[GroupByKey]=DiscreteStatsTable[[#This Row],[GroupByKey]])*DiscreteStatsTable[Minimum]))</f>
        <v>4.0032314787386003</v>
      </c>
      <c r="U305" cm="1">
        <f t="array" ref="U305">MAX(IF((DiscreteStatsTable[GroupByKey]=DiscreteStatsTable[[#This Row],[GroupByKey]]),(DiscreteStatsTable[GroupByKey]=DiscreteStatsTable[[#This Row],[GroupByKey]])*DiscreteStatsTable[Maximum]))</f>
        <v>6.9991346772876604</v>
      </c>
      <c r="V305" cm="1">
        <f t="array" ref="V305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05">
        <f>IF((DiscreteStatsTable[[#This Row],[RepsRequested]]&gt;1),DiscreteStatsTable[[#This Row],[HalfWidth]],DiscreteStatsTable[[#This Row],[BatchMeansHalfWidth]])</f>
        <v>3.6752746911933721E-3</v>
      </c>
      <c r="X305" cm="1">
        <f t="array" ref="X305">COUNT(IF((DiscreteStatsTable[GroupByKey]=DiscreteStatsTable[[#This Row],[GroupByKey]]),(DiscreteStatsTable[GroupByKey]=DiscreteStatsTable[[#This Row],[GroupByKey]])*DiscreteStatsTable[Replication]))</f>
        <v>10</v>
      </c>
      <c r="Y305">
        <f>IF(DiscreteStatsTable[[#This Row],[RepsRequested]]=DiscreteStatsTable[[#This Row],[RepsWithStatObserved]],1,0)</f>
        <v>1</v>
      </c>
    </row>
    <row r="306" spans="1:25" x14ac:dyDescent="0.25">
      <c r="A306" t="s">
        <v>67</v>
      </c>
      <c r="B306" t="s">
        <v>243</v>
      </c>
      <c r="C306">
        <v>3</v>
      </c>
      <c r="D306" t="s">
        <v>98</v>
      </c>
      <c r="E306" t="s">
        <v>88</v>
      </c>
      <c r="F306" t="s">
        <v>87</v>
      </c>
      <c r="G306">
        <v>5.6689675166268101</v>
      </c>
      <c r="H306">
        <v>9.8447090443489396E-3</v>
      </c>
      <c r="I306">
        <v>4.01702261413448</v>
      </c>
      <c r="J306">
        <v>6.9900800380855799</v>
      </c>
      <c r="K306">
        <v>18404</v>
      </c>
      <c r="L306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306" cm="1">
        <f t="array" ref="M306">MAX(IF((ProjectInfoTable[ProjectName]=DiscreteStatsTable[[#This Row],[ProjectName]]),(ProjectInfoTable[ProjectName]=DiscreteStatsTable[[#This Row],[ProjectName]])*ProjectInfoTable[NumberOfReplications]))</f>
        <v>10</v>
      </c>
      <c r="N306" cm="1">
        <f t="array" ref="N306">IFERROR(AVERAGE(IF((DiscreteStatsTable[GroupByKey]=DiscreteStatsTable[[#This Row],[GroupByKey]]),(DiscreteStatsTable[GroupByKey]=DiscreteStatsTable[[#This Row],[GroupByKey]])*DiscreteStatsTable[Average])),0)</f>
        <v>5.6662240506038115</v>
      </c>
      <c r="O306" cm="1">
        <f t="array" ref="O306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06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06" cm="1">
        <f t="array" ref="R306">MIN(IF((DiscreteStatsTable[GroupByKey]=DiscreteStatsTable[[#This Row],[GroupByKey]]),(DiscreteStatsTable[GroupByKey]=DiscreteStatsTable[[#This Row],[GroupByKey]])*DiscreteStatsTable[Average]))</f>
        <v>5.6585962909327998</v>
      </c>
      <c r="S306" cm="1">
        <f t="array" ref="S306">MAX(IF((DiscreteStatsTable[GroupByKey]=DiscreteStatsTable[[#This Row],[GroupByKey]]),(DiscreteStatsTable[GroupByKey]=DiscreteStatsTable[[#This Row],[GroupByKey]])*DiscreteStatsTable[Average]))</f>
        <v>5.67470397466536</v>
      </c>
      <c r="T306" cm="1">
        <f t="array" ref="T306">MIN(IF((DiscreteStatsTable[GroupByKey]=DiscreteStatsTable[[#This Row],[GroupByKey]]),(DiscreteStatsTable[GroupByKey]=DiscreteStatsTable[[#This Row],[GroupByKey]])*DiscreteStatsTable[Minimum]))</f>
        <v>4.0032314787386003</v>
      </c>
      <c r="U306" cm="1">
        <f t="array" ref="U306">MAX(IF((DiscreteStatsTable[GroupByKey]=DiscreteStatsTable[[#This Row],[GroupByKey]]),(DiscreteStatsTable[GroupByKey]=DiscreteStatsTable[[#This Row],[GroupByKey]])*DiscreteStatsTable[Maximum]))</f>
        <v>6.9991346772876604</v>
      </c>
      <c r="V306" cm="1">
        <f t="array" ref="V306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06">
        <f>IF((DiscreteStatsTable[[#This Row],[RepsRequested]]&gt;1),DiscreteStatsTable[[#This Row],[HalfWidth]],DiscreteStatsTable[[#This Row],[BatchMeansHalfWidth]])</f>
        <v>3.6752746911933721E-3</v>
      </c>
      <c r="X306" cm="1">
        <f t="array" ref="X306">COUNT(IF((DiscreteStatsTable[GroupByKey]=DiscreteStatsTable[[#This Row],[GroupByKey]]),(DiscreteStatsTable[GroupByKey]=DiscreteStatsTable[[#This Row],[GroupByKey]])*DiscreteStatsTable[Replication]))</f>
        <v>10</v>
      </c>
      <c r="Y306">
        <f>IF(DiscreteStatsTable[[#This Row],[RepsRequested]]=DiscreteStatsTable[[#This Row],[RepsWithStatObserved]],1,0)</f>
        <v>1</v>
      </c>
    </row>
    <row r="307" spans="1:25" x14ac:dyDescent="0.25">
      <c r="A307" t="s">
        <v>67</v>
      </c>
      <c r="B307" t="s">
        <v>243</v>
      </c>
      <c r="C307">
        <v>3</v>
      </c>
      <c r="D307" t="s">
        <v>98</v>
      </c>
      <c r="E307" t="s">
        <v>89</v>
      </c>
      <c r="F307" t="s">
        <v>87</v>
      </c>
      <c r="G307">
        <v>5.6689675166268101</v>
      </c>
      <c r="H307">
        <v>9.8447090443489396E-3</v>
      </c>
      <c r="I307">
        <v>4.01702261413448</v>
      </c>
      <c r="J307">
        <v>6.9900800380855799</v>
      </c>
      <c r="K307">
        <v>18404</v>
      </c>
      <c r="L307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307" cm="1">
        <f t="array" ref="M307">MAX(IF((ProjectInfoTable[ProjectName]=DiscreteStatsTable[[#This Row],[ProjectName]]),(ProjectInfoTable[ProjectName]=DiscreteStatsTable[[#This Row],[ProjectName]])*ProjectInfoTable[NumberOfReplications]))</f>
        <v>10</v>
      </c>
      <c r="N307" cm="1">
        <f t="array" ref="N307">IFERROR(AVERAGE(IF((DiscreteStatsTable[GroupByKey]=DiscreteStatsTable[[#This Row],[GroupByKey]]),(DiscreteStatsTable[GroupByKey]=DiscreteStatsTable[[#This Row],[GroupByKey]])*DiscreteStatsTable[Average])),0)</f>
        <v>5.6662240506038115</v>
      </c>
      <c r="O307" cm="1">
        <f t="array" ref="O307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07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07" cm="1">
        <f t="array" ref="R307">MIN(IF((DiscreteStatsTable[GroupByKey]=DiscreteStatsTable[[#This Row],[GroupByKey]]),(DiscreteStatsTable[GroupByKey]=DiscreteStatsTable[[#This Row],[GroupByKey]])*DiscreteStatsTable[Average]))</f>
        <v>5.6585962909327998</v>
      </c>
      <c r="S307" cm="1">
        <f t="array" ref="S307">MAX(IF((DiscreteStatsTable[GroupByKey]=DiscreteStatsTable[[#This Row],[GroupByKey]]),(DiscreteStatsTable[GroupByKey]=DiscreteStatsTable[[#This Row],[GroupByKey]])*DiscreteStatsTable[Average]))</f>
        <v>5.67470397466536</v>
      </c>
      <c r="T307" cm="1">
        <f t="array" ref="T307">MIN(IF((DiscreteStatsTable[GroupByKey]=DiscreteStatsTable[[#This Row],[GroupByKey]]),(DiscreteStatsTable[GroupByKey]=DiscreteStatsTable[[#This Row],[GroupByKey]])*DiscreteStatsTable[Minimum]))</f>
        <v>4.0032314787386003</v>
      </c>
      <c r="U307" cm="1">
        <f t="array" ref="U307">MAX(IF((DiscreteStatsTable[GroupByKey]=DiscreteStatsTable[[#This Row],[GroupByKey]]),(DiscreteStatsTable[GroupByKey]=DiscreteStatsTable[[#This Row],[GroupByKey]])*DiscreteStatsTable[Maximum]))</f>
        <v>6.9991346772876604</v>
      </c>
      <c r="V307" cm="1">
        <f t="array" ref="V307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07">
        <f>IF((DiscreteStatsTable[[#This Row],[RepsRequested]]&gt;1),DiscreteStatsTable[[#This Row],[HalfWidth]],DiscreteStatsTable[[#This Row],[BatchMeansHalfWidth]])</f>
        <v>3.6752746911933721E-3</v>
      </c>
      <c r="X307" cm="1">
        <f t="array" ref="X307">COUNT(IF((DiscreteStatsTable[GroupByKey]=DiscreteStatsTable[[#This Row],[GroupByKey]]),(DiscreteStatsTable[GroupByKey]=DiscreteStatsTable[[#This Row],[GroupByKey]])*DiscreteStatsTable[Replication]))</f>
        <v>10</v>
      </c>
      <c r="Y307">
        <f>IF(DiscreteStatsTable[[#This Row],[RepsRequested]]=DiscreteStatsTable[[#This Row],[RepsWithStatObserved]],1,0)</f>
        <v>1</v>
      </c>
    </row>
    <row r="308" spans="1:25" x14ac:dyDescent="0.25">
      <c r="A308" t="s">
        <v>67</v>
      </c>
      <c r="B308" t="s">
        <v>243</v>
      </c>
      <c r="C308">
        <v>4</v>
      </c>
      <c r="D308" t="s">
        <v>98</v>
      </c>
      <c r="E308" t="s">
        <v>88</v>
      </c>
      <c r="F308" t="s">
        <v>87</v>
      </c>
      <c r="G308">
        <v>5.6706938539013896</v>
      </c>
      <c r="H308">
        <v>8.4508899779132292E-3</v>
      </c>
      <c r="I308">
        <v>4.0209875205327998</v>
      </c>
      <c r="J308">
        <v>6.9881168803549398</v>
      </c>
      <c r="K308">
        <v>18399</v>
      </c>
      <c r="L308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308" cm="1">
        <f t="array" ref="M308">MAX(IF((ProjectInfoTable[ProjectName]=DiscreteStatsTable[[#This Row],[ProjectName]]),(ProjectInfoTable[ProjectName]=DiscreteStatsTable[[#This Row],[ProjectName]])*ProjectInfoTable[NumberOfReplications]))</f>
        <v>10</v>
      </c>
      <c r="N308" cm="1">
        <f t="array" ref="N308">IFERROR(AVERAGE(IF((DiscreteStatsTable[GroupByKey]=DiscreteStatsTable[[#This Row],[GroupByKey]]),(DiscreteStatsTable[GroupByKey]=DiscreteStatsTable[[#This Row],[GroupByKey]])*DiscreteStatsTable[Average])),0)</f>
        <v>5.6662240506038115</v>
      </c>
      <c r="O308" cm="1">
        <f t="array" ref="O308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08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08" cm="1">
        <f t="array" ref="R308">MIN(IF((DiscreteStatsTable[GroupByKey]=DiscreteStatsTable[[#This Row],[GroupByKey]]),(DiscreteStatsTable[GroupByKey]=DiscreteStatsTable[[#This Row],[GroupByKey]])*DiscreteStatsTable[Average]))</f>
        <v>5.6585962909327998</v>
      </c>
      <c r="S308" cm="1">
        <f t="array" ref="S308">MAX(IF((DiscreteStatsTable[GroupByKey]=DiscreteStatsTable[[#This Row],[GroupByKey]]),(DiscreteStatsTable[GroupByKey]=DiscreteStatsTable[[#This Row],[GroupByKey]])*DiscreteStatsTable[Average]))</f>
        <v>5.67470397466536</v>
      </c>
      <c r="T308" cm="1">
        <f t="array" ref="T308">MIN(IF((DiscreteStatsTable[GroupByKey]=DiscreteStatsTable[[#This Row],[GroupByKey]]),(DiscreteStatsTable[GroupByKey]=DiscreteStatsTable[[#This Row],[GroupByKey]])*DiscreteStatsTable[Minimum]))</f>
        <v>4.0032314787386003</v>
      </c>
      <c r="U308" cm="1">
        <f t="array" ref="U308">MAX(IF((DiscreteStatsTable[GroupByKey]=DiscreteStatsTable[[#This Row],[GroupByKey]]),(DiscreteStatsTable[GroupByKey]=DiscreteStatsTable[[#This Row],[GroupByKey]])*DiscreteStatsTable[Maximum]))</f>
        <v>6.9991346772876604</v>
      </c>
      <c r="V308" cm="1">
        <f t="array" ref="V308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08">
        <f>IF((DiscreteStatsTable[[#This Row],[RepsRequested]]&gt;1),DiscreteStatsTable[[#This Row],[HalfWidth]],DiscreteStatsTable[[#This Row],[BatchMeansHalfWidth]])</f>
        <v>3.6752746911933721E-3</v>
      </c>
      <c r="X308" cm="1">
        <f t="array" ref="X308">COUNT(IF((DiscreteStatsTable[GroupByKey]=DiscreteStatsTable[[#This Row],[GroupByKey]]),(DiscreteStatsTable[GroupByKey]=DiscreteStatsTable[[#This Row],[GroupByKey]])*DiscreteStatsTable[Replication]))</f>
        <v>10</v>
      </c>
      <c r="Y308">
        <f>IF(DiscreteStatsTable[[#This Row],[RepsRequested]]=DiscreteStatsTable[[#This Row],[RepsWithStatObserved]],1,0)</f>
        <v>1</v>
      </c>
    </row>
    <row r="309" spans="1:25" x14ac:dyDescent="0.25">
      <c r="A309" t="s">
        <v>67</v>
      </c>
      <c r="B309" t="s">
        <v>243</v>
      </c>
      <c r="C309">
        <v>4</v>
      </c>
      <c r="D309" t="s">
        <v>98</v>
      </c>
      <c r="E309" t="s">
        <v>89</v>
      </c>
      <c r="F309" t="s">
        <v>87</v>
      </c>
      <c r="G309">
        <v>5.6706938539013896</v>
      </c>
      <c r="H309">
        <v>8.4508899779132292E-3</v>
      </c>
      <c r="I309">
        <v>4.0209875205327998</v>
      </c>
      <c r="J309">
        <v>6.9881168803549398</v>
      </c>
      <c r="K309">
        <v>18399</v>
      </c>
      <c r="L309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309" cm="1">
        <f t="array" ref="M309">MAX(IF((ProjectInfoTable[ProjectName]=DiscreteStatsTable[[#This Row],[ProjectName]]),(ProjectInfoTable[ProjectName]=DiscreteStatsTable[[#This Row],[ProjectName]])*ProjectInfoTable[NumberOfReplications]))</f>
        <v>10</v>
      </c>
      <c r="N309" cm="1">
        <f t="array" ref="N309">IFERROR(AVERAGE(IF((DiscreteStatsTable[GroupByKey]=DiscreteStatsTable[[#This Row],[GroupByKey]]),(DiscreteStatsTable[GroupByKey]=DiscreteStatsTable[[#This Row],[GroupByKey]])*DiscreteStatsTable[Average])),0)</f>
        <v>5.6662240506038115</v>
      </c>
      <c r="O309" cm="1">
        <f t="array" ref="O309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09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09" cm="1">
        <f t="array" ref="R309">MIN(IF((DiscreteStatsTable[GroupByKey]=DiscreteStatsTable[[#This Row],[GroupByKey]]),(DiscreteStatsTable[GroupByKey]=DiscreteStatsTable[[#This Row],[GroupByKey]])*DiscreteStatsTable[Average]))</f>
        <v>5.6585962909327998</v>
      </c>
      <c r="S309" cm="1">
        <f t="array" ref="S309">MAX(IF((DiscreteStatsTable[GroupByKey]=DiscreteStatsTable[[#This Row],[GroupByKey]]),(DiscreteStatsTable[GroupByKey]=DiscreteStatsTable[[#This Row],[GroupByKey]])*DiscreteStatsTable[Average]))</f>
        <v>5.67470397466536</v>
      </c>
      <c r="T309" cm="1">
        <f t="array" ref="T309">MIN(IF((DiscreteStatsTable[GroupByKey]=DiscreteStatsTable[[#This Row],[GroupByKey]]),(DiscreteStatsTable[GroupByKey]=DiscreteStatsTable[[#This Row],[GroupByKey]])*DiscreteStatsTable[Minimum]))</f>
        <v>4.0032314787386003</v>
      </c>
      <c r="U309" cm="1">
        <f t="array" ref="U309">MAX(IF((DiscreteStatsTable[GroupByKey]=DiscreteStatsTable[[#This Row],[GroupByKey]]),(DiscreteStatsTable[GroupByKey]=DiscreteStatsTable[[#This Row],[GroupByKey]])*DiscreteStatsTable[Maximum]))</f>
        <v>6.9991346772876604</v>
      </c>
      <c r="V309" cm="1">
        <f t="array" ref="V309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09">
        <f>IF((DiscreteStatsTable[[#This Row],[RepsRequested]]&gt;1),DiscreteStatsTable[[#This Row],[HalfWidth]],DiscreteStatsTable[[#This Row],[BatchMeansHalfWidth]])</f>
        <v>3.6752746911933721E-3</v>
      </c>
      <c r="X309" cm="1">
        <f t="array" ref="X309">COUNT(IF((DiscreteStatsTable[GroupByKey]=DiscreteStatsTable[[#This Row],[GroupByKey]]),(DiscreteStatsTable[GroupByKey]=DiscreteStatsTable[[#This Row],[GroupByKey]])*DiscreteStatsTable[Replication]))</f>
        <v>10</v>
      </c>
      <c r="Y309">
        <f>IF(DiscreteStatsTable[[#This Row],[RepsRequested]]=DiscreteStatsTable[[#This Row],[RepsWithStatObserved]],1,0)</f>
        <v>1</v>
      </c>
    </row>
    <row r="310" spans="1:25" x14ac:dyDescent="0.25">
      <c r="A310" t="s">
        <v>67</v>
      </c>
      <c r="B310" t="s">
        <v>243</v>
      </c>
      <c r="C310">
        <v>5</v>
      </c>
      <c r="D310" t="s">
        <v>98</v>
      </c>
      <c r="E310" t="s">
        <v>88</v>
      </c>
      <c r="F310" t="s">
        <v>87</v>
      </c>
      <c r="G310">
        <v>5.6585962909327998</v>
      </c>
      <c r="H310">
        <v>3E+20</v>
      </c>
      <c r="I310">
        <v>4.0245993077405702</v>
      </c>
      <c r="J310">
        <v>6.9931366480886901</v>
      </c>
      <c r="K310">
        <v>18401</v>
      </c>
      <c r="L310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310" cm="1">
        <f t="array" ref="M310">MAX(IF((ProjectInfoTable[ProjectName]=DiscreteStatsTable[[#This Row],[ProjectName]]),(ProjectInfoTable[ProjectName]=DiscreteStatsTable[[#This Row],[ProjectName]])*ProjectInfoTable[NumberOfReplications]))</f>
        <v>10</v>
      </c>
      <c r="N310" cm="1">
        <f t="array" ref="N310">IFERROR(AVERAGE(IF((DiscreteStatsTable[GroupByKey]=DiscreteStatsTable[[#This Row],[GroupByKey]]),(DiscreteStatsTable[GroupByKey]=DiscreteStatsTable[[#This Row],[GroupByKey]])*DiscreteStatsTable[Average])),0)</f>
        <v>5.6662240506038115</v>
      </c>
      <c r="O310" cm="1">
        <f t="array" ref="O310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10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10" cm="1">
        <f t="array" ref="R310">MIN(IF((DiscreteStatsTable[GroupByKey]=DiscreteStatsTable[[#This Row],[GroupByKey]]),(DiscreteStatsTable[GroupByKey]=DiscreteStatsTable[[#This Row],[GroupByKey]])*DiscreteStatsTable[Average]))</f>
        <v>5.6585962909327998</v>
      </c>
      <c r="S310" cm="1">
        <f t="array" ref="S310">MAX(IF((DiscreteStatsTable[GroupByKey]=DiscreteStatsTable[[#This Row],[GroupByKey]]),(DiscreteStatsTable[GroupByKey]=DiscreteStatsTable[[#This Row],[GroupByKey]])*DiscreteStatsTable[Average]))</f>
        <v>5.67470397466536</v>
      </c>
      <c r="T310" cm="1">
        <f t="array" ref="T310">MIN(IF((DiscreteStatsTable[GroupByKey]=DiscreteStatsTable[[#This Row],[GroupByKey]]),(DiscreteStatsTable[GroupByKey]=DiscreteStatsTable[[#This Row],[GroupByKey]])*DiscreteStatsTable[Minimum]))</f>
        <v>4.0032314787386003</v>
      </c>
      <c r="U310" cm="1">
        <f t="array" ref="U310">MAX(IF((DiscreteStatsTable[GroupByKey]=DiscreteStatsTable[[#This Row],[GroupByKey]]),(DiscreteStatsTable[GroupByKey]=DiscreteStatsTable[[#This Row],[GroupByKey]])*DiscreteStatsTable[Maximum]))</f>
        <v>6.9991346772876604</v>
      </c>
      <c r="V310" cm="1">
        <f t="array" ref="V310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10">
        <f>IF((DiscreteStatsTable[[#This Row],[RepsRequested]]&gt;1),DiscreteStatsTable[[#This Row],[HalfWidth]],DiscreteStatsTable[[#This Row],[BatchMeansHalfWidth]])</f>
        <v>3.6752746911933721E-3</v>
      </c>
      <c r="X310" cm="1">
        <f t="array" ref="X310">COUNT(IF((DiscreteStatsTable[GroupByKey]=DiscreteStatsTable[[#This Row],[GroupByKey]]),(DiscreteStatsTable[GroupByKey]=DiscreteStatsTable[[#This Row],[GroupByKey]])*DiscreteStatsTable[Replication]))</f>
        <v>10</v>
      </c>
      <c r="Y310">
        <f>IF(DiscreteStatsTable[[#This Row],[RepsRequested]]=DiscreteStatsTable[[#This Row],[RepsWithStatObserved]],1,0)</f>
        <v>1</v>
      </c>
    </row>
    <row r="311" spans="1:25" x14ac:dyDescent="0.25">
      <c r="A311" t="s">
        <v>67</v>
      </c>
      <c r="B311" t="s">
        <v>243</v>
      </c>
      <c r="C311">
        <v>5</v>
      </c>
      <c r="D311" t="s">
        <v>98</v>
      </c>
      <c r="E311" t="s">
        <v>89</v>
      </c>
      <c r="F311" t="s">
        <v>87</v>
      </c>
      <c r="G311">
        <v>5.6585962909327998</v>
      </c>
      <c r="H311">
        <v>3E+20</v>
      </c>
      <c r="I311">
        <v>4.0245993077405702</v>
      </c>
      <c r="J311">
        <v>6.9931366480886901</v>
      </c>
      <c r="K311">
        <v>18401</v>
      </c>
      <c r="L311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311" cm="1">
        <f t="array" ref="M311">MAX(IF((ProjectInfoTable[ProjectName]=DiscreteStatsTable[[#This Row],[ProjectName]]),(ProjectInfoTable[ProjectName]=DiscreteStatsTable[[#This Row],[ProjectName]])*ProjectInfoTable[NumberOfReplications]))</f>
        <v>10</v>
      </c>
      <c r="N311" cm="1">
        <f t="array" ref="N311">IFERROR(AVERAGE(IF((DiscreteStatsTable[GroupByKey]=DiscreteStatsTable[[#This Row],[GroupByKey]]),(DiscreteStatsTable[GroupByKey]=DiscreteStatsTable[[#This Row],[GroupByKey]])*DiscreteStatsTable[Average])),0)</f>
        <v>5.6662240506038115</v>
      </c>
      <c r="O311" cm="1">
        <f t="array" ref="O311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11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11" cm="1">
        <f t="array" ref="R311">MIN(IF((DiscreteStatsTable[GroupByKey]=DiscreteStatsTable[[#This Row],[GroupByKey]]),(DiscreteStatsTable[GroupByKey]=DiscreteStatsTable[[#This Row],[GroupByKey]])*DiscreteStatsTable[Average]))</f>
        <v>5.6585962909327998</v>
      </c>
      <c r="S311" cm="1">
        <f t="array" ref="S311">MAX(IF((DiscreteStatsTable[GroupByKey]=DiscreteStatsTable[[#This Row],[GroupByKey]]),(DiscreteStatsTable[GroupByKey]=DiscreteStatsTable[[#This Row],[GroupByKey]])*DiscreteStatsTable[Average]))</f>
        <v>5.67470397466536</v>
      </c>
      <c r="T311" cm="1">
        <f t="array" ref="T311">MIN(IF((DiscreteStatsTable[GroupByKey]=DiscreteStatsTable[[#This Row],[GroupByKey]]),(DiscreteStatsTable[GroupByKey]=DiscreteStatsTable[[#This Row],[GroupByKey]])*DiscreteStatsTable[Minimum]))</f>
        <v>4.0032314787386003</v>
      </c>
      <c r="U311" cm="1">
        <f t="array" ref="U311">MAX(IF((DiscreteStatsTable[GroupByKey]=DiscreteStatsTable[[#This Row],[GroupByKey]]),(DiscreteStatsTable[GroupByKey]=DiscreteStatsTable[[#This Row],[GroupByKey]])*DiscreteStatsTable[Maximum]))</f>
        <v>6.9991346772876604</v>
      </c>
      <c r="V311" cm="1">
        <f t="array" ref="V311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11">
        <f>IF((DiscreteStatsTable[[#This Row],[RepsRequested]]&gt;1),DiscreteStatsTable[[#This Row],[HalfWidth]],DiscreteStatsTable[[#This Row],[BatchMeansHalfWidth]])</f>
        <v>3.6752746911933721E-3</v>
      </c>
      <c r="X311" cm="1">
        <f t="array" ref="X311">COUNT(IF((DiscreteStatsTable[GroupByKey]=DiscreteStatsTable[[#This Row],[GroupByKey]]),(DiscreteStatsTable[GroupByKey]=DiscreteStatsTable[[#This Row],[GroupByKey]])*DiscreteStatsTable[Replication]))</f>
        <v>10</v>
      </c>
      <c r="Y311">
        <f>IF(DiscreteStatsTable[[#This Row],[RepsRequested]]=DiscreteStatsTable[[#This Row],[RepsWithStatObserved]],1,0)</f>
        <v>1</v>
      </c>
    </row>
    <row r="312" spans="1:25" x14ac:dyDescent="0.25">
      <c r="A312" t="s">
        <v>67</v>
      </c>
      <c r="B312" t="s">
        <v>243</v>
      </c>
      <c r="C312">
        <v>6</v>
      </c>
      <c r="D312" t="s">
        <v>98</v>
      </c>
      <c r="E312" t="s">
        <v>88</v>
      </c>
      <c r="F312" t="s">
        <v>87</v>
      </c>
      <c r="G312">
        <v>5.67470397466536</v>
      </c>
      <c r="H312">
        <v>1.0513389242974701E-2</v>
      </c>
      <c r="I312">
        <v>4.0102634388022098</v>
      </c>
      <c r="J312">
        <v>6.9944985768379402</v>
      </c>
      <c r="K312">
        <v>18376</v>
      </c>
      <c r="L312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312" cm="1">
        <f t="array" ref="M312">MAX(IF((ProjectInfoTable[ProjectName]=DiscreteStatsTable[[#This Row],[ProjectName]]),(ProjectInfoTable[ProjectName]=DiscreteStatsTable[[#This Row],[ProjectName]])*ProjectInfoTable[NumberOfReplications]))</f>
        <v>10</v>
      </c>
      <c r="N312" cm="1">
        <f t="array" ref="N312">IFERROR(AVERAGE(IF((DiscreteStatsTable[GroupByKey]=DiscreteStatsTable[[#This Row],[GroupByKey]]),(DiscreteStatsTable[GroupByKey]=DiscreteStatsTable[[#This Row],[GroupByKey]])*DiscreteStatsTable[Average])),0)</f>
        <v>5.6662240506038115</v>
      </c>
      <c r="O312" cm="1">
        <f t="array" ref="O312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12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12" cm="1">
        <f t="array" ref="R312">MIN(IF((DiscreteStatsTable[GroupByKey]=DiscreteStatsTable[[#This Row],[GroupByKey]]),(DiscreteStatsTable[GroupByKey]=DiscreteStatsTable[[#This Row],[GroupByKey]])*DiscreteStatsTable[Average]))</f>
        <v>5.6585962909327998</v>
      </c>
      <c r="S312" cm="1">
        <f t="array" ref="S312">MAX(IF((DiscreteStatsTable[GroupByKey]=DiscreteStatsTable[[#This Row],[GroupByKey]]),(DiscreteStatsTable[GroupByKey]=DiscreteStatsTable[[#This Row],[GroupByKey]])*DiscreteStatsTable[Average]))</f>
        <v>5.67470397466536</v>
      </c>
      <c r="T312" cm="1">
        <f t="array" ref="T312">MIN(IF((DiscreteStatsTable[GroupByKey]=DiscreteStatsTable[[#This Row],[GroupByKey]]),(DiscreteStatsTable[GroupByKey]=DiscreteStatsTable[[#This Row],[GroupByKey]])*DiscreteStatsTable[Minimum]))</f>
        <v>4.0032314787386003</v>
      </c>
      <c r="U312" cm="1">
        <f t="array" ref="U312">MAX(IF((DiscreteStatsTable[GroupByKey]=DiscreteStatsTable[[#This Row],[GroupByKey]]),(DiscreteStatsTable[GroupByKey]=DiscreteStatsTable[[#This Row],[GroupByKey]])*DiscreteStatsTable[Maximum]))</f>
        <v>6.9991346772876604</v>
      </c>
      <c r="V312" cm="1">
        <f t="array" ref="V312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12">
        <f>IF((DiscreteStatsTable[[#This Row],[RepsRequested]]&gt;1),DiscreteStatsTable[[#This Row],[HalfWidth]],DiscreteStatsTable[[#This Row],[BatchMeansHalfWidth]])</f>
        <v>3.6752746911933721E-3</v>
      </c>
      <c r="X312" cm="1">
        <f t="array" ref="X312">COUNT(IF((DiscreteStatsTable[GroupByKey]=DiscreteStatsTable[[#This Row],[GroupByKey]]),(DiscreteStatsTable[GroupByKey]=DiscreteStatsTable[[#This Row],[GroupByKey]])*DiscreteStatsTable[Replication]))</f>
        <v>10</v>
      </c>
      <c r="Y312">
        <f>IF(DiscreteStatsTable[[#This Row],[RepsRequested]]=DiscreteStatsTable[[#This Row],[RepsWithStatObserved]],1,0)</f>
        <v>1</v>
      </c>
    </row>
    <row r="313" spans="1:25" x14ac:dyDescent="0.25">
      <c r="A313" t="s">
        <v>67</v>
      </c>
      <c r="B313" t="s">
        <v>243</v>
      </c>
      <c r="C313">
        <v>6</v>
      </c>
      <c r="D313" t="s">
        <v>98</v>
      </c>
      <c r="E313" t="s">
        <v>89</v>
      </c>
      <c r="F313" t="s">
        <v>87</v>
      </c>
      <c r="G313">
        <v>5.67470397466536</v>
      </c>
      <c r="H313">
        <v>1.0513389242974701E-2</v>
      </c>
      <c r="I313">
        <v>4.0102634388022098</v>
      </c>
      <c r="J313">
        <v>6.9944985768379402</v>
      </c>
      <c r="K313">
        <v>18376</v>
      </c>
      <c r="L313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313" cm="1">
        <f t="array" ref="M313">MAX(IF((ProjectInfoTable[ProjectName]=DiscreteStatsTable[[#This Row],[ProjectName]]),(ProjectInfoTable[ProjectName]=DiscreteStatsTable[[#This Row],[ProjectName]])*ProjectInfoTable[NumberOfReplications]))</f>
        <v>10</v>
      </c>
      <c r="N313" cm="1">
        <f t="array" ref="N313">IFERROR(AVERAGE(IF((DiscreteStatsTable[GroupByKey]=DiscreteStatsTable[[#This Row],[GroupByKey]]),(DiscreteStatsTable[GroupByKey]=DiscreteStatsTable[[#This Row],[GroupByKey]])*DiscreteStatsTable[Average])),0)</f>
        <v>5.6662240506038115</v>
      </c>
      <c r="O313" cm="1">
        <f t="array" ref="O313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13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13" cm="1">
        <f t="array" ref="R313">MIN(IF((DiscreteStatsTable[GroupByKey]=DiscreteStatsTable[[#This Row],[GroupByKey]]),(DiscreteStatsTable[GroupByKey]=DiscreteStatsTable[[#This Row],[GroupByKey]])*DiscreteStatsTable[Average]))</f>
        <v>5.6585962909327998</v>
      </c>
      <c r="S313" cm="1">
        <f t="array" ref="S313">MAX(IF((DiscreteStatsTable[GroupByKey]=DiscreteStatsTable[[#This Row],[GroupByKey]]),(DiscreteStatsTable[GroupByKey]=DiscreteStatsTable[[#This Row],[GroupByKey]])*DiscreteStatsTable[Average]))</f>
        <v>5.67470397466536</v>
      </c>
      <c r="T313" cm="1">
        <f t="array" ref="T313">MIN(IF((DiscreteStatsTable[GroupByKey]=DiscreteStatsTable[[#This Row],[GroupByKey]]),(DiscreteStatsTable[GroupByKey]=DiscreteStatsTable[[#This Row],[GroupByKey]])*DiscreteStatsTable[Minimum]))</f>
        <v>4.0032314787386003</v>
      </c>
      <c r="U313" cm="1">
        <f t="array" ref="U313">MAX(IF((DiscreteStatsTable[GroupByKey]=DiscreteStatsTable[[#This Row],[GroupByKey]]),(DiscreteStatsTable[GroupByKey]=DiscreteStatsTable[[#This Row],[GroupByKey]])*DiscreteStatsTable[Maximum]))</f>
        <v>6.9991346772876604</v>
      </c>
      <c r="V313" cm="1">
        <f t="array" ref="V313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13">
        <f>IF((DiscreteStatsTable[[#This Row],[RepsRequested]]&gt;1),DiscreteStatsTable[[#This Row],[HalfWidth]],DiscreteStatsTable[[#This Row],[BatchMeansHalfWidth]])</f>
        <v>3.6752746911933721E-3</v>
      </c>
      <c r="X313" cm="1">
        <f t="array" ref="X313">COUNT(IF((DiscreteStatsTable[GroupByKey]=DiscreteStatsTable[[#This Row],[GroupByKey]]),(DiscreteStatsTable[GroupByKey]=DiscreteStatsTable[[#This Row],[GroupByKey]])*DiscreteStatsTable[Replication]))</f>
        <v>10</v>
      </c>
      <c r="Y313">
        <f>IF(DiscreteStatsTable[[#This Row],[RepsRequested]]=DiscreteStatsTable[[#This Row],[RepsWithStatObserved]],1,0)</f>
        <v>1</v>
      </c>
    </row>
    <row r="314" spans="1:25" x14ac:dyDescent="0.25">
      <c r="A314" t="s">
        <v>67</v>
      </c>
      <c r="B314" t="s">
        <v>243</v>
      </c>
      <c r="C314">
        <v>7</v>
      </c>
      <c r="D314" t="s">
        <v>98</v>
      </c>
      <c r="E314" t="s">
        <v>88</v>
      </c>
      <c r="F314" t="s">
        <v>87</v>
      </c>
      <c r="G314">
        <v>5.6655094124845302</v>
      </c>
      <c r="H314">
        <v>1.0291024564237399E-2</v>
      </c>
      <c r="I314">
        <v>4.0224339390551904</v>
      </c>
      <c r="J314">
        <v>6.9922016090422403</v>
      </c>
      <c r="K314">
        <v>18394</v>
      </c>
      <c r="L314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314" cm="1">
        <f t="array" ref="M314">MAX(IF((ProjectInfoTable[ProjectName]=DiscreteStatsTable[[#This Row],[ProjectName]]),(ProjectInfoTable[ProjectName]=DiscreteStatsTable[[#This Row],[ProjectName]])*ProjectInfoTable[NumberOfReplications]))</f>
        <v>10</v>
      </c>
      <c r="N314" cm="1">
        <f t="array" ref="N314">IFERROR(AVERAGE(IF((DiscreteStatsTable[GroupByKey]=DiscreteStatsTable[[#This Row],[GroupByKey]]),(DiscreteStatsTable[GroupByKey]=DiscreteStatsTable[[#This Row],[GroupByKey]])*DiscreteStatsTable[Average])),0)</f>
        <v>5.6662240506038115</v>
      </c>
      <c r="O314" cm="1">
        <f t="array" ref="O314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14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14" cm="1">
        <f t="array" ref="R314">MIN(IF((DiscreteStatsTable[GroupByKey]=DiscreteStatsTable[[#This Row],[GroupByKey]]),(DiscreteStatsTable[GroupByKey]=DiscreteStatsTable[[#This Row],[GroupByKey]])*DiscreteStatsTable[Average]))</f>
        <v>5.6585962909327998</v>
      </c>
      <c r="S314" cm="1">
        <f t="array" ref="S314">MAX(IF((DiscreteStatsTable[GroupByKey]=DiscreteStatsTable[[#This Row],[GroupByKey]]),(DiscreteStatsTable[GroupByKey]=DiscreteStatsTable[[#This Row],[GroupByKey]])*DiscreteStatsTable[Average]))</f>
        <v>5.67470397466536</v>
      </c>
      <c r="T314" cm="1">
        <f t="array" ref="T314">MIN(IF((DiscreteStatsTable[GroupByKey]=DiscreteStatsTable[[#This Row],[GroupByKey]]),(DiscreteStatsTable[GroupByKey]=DiscreteStatsTable[[#This Row],[GroupByKey]])*DiscreteStatsTable[Minimum]))</f>
        <v>4.0032314787386003</v>
      </c>
      <c r="U314" cm="1">
        <f t="array" ref="U314">MAX(IF((DiscreteStatsTable[GroupByKey]=DiscreteStatsTable[[#This Row],[GroupByKey]]),(DiscreteStatsTable[GroupByKey]=DiscreteStatsTable[[#This Row],[GroupByKey]])*DiscreteStatsTable[Maximum]))</f>
        <v>6.9991346772876604</v>
      </c>
      <c r="V314" cm="1">
        <f t="array" ref="V314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14">
        <f>IF((DiscreteStatsTable[[#This Row],[RepsRequested]]&gt;1),DiscreteStatsTable[[#This Row],[HalfWidth]],DiscreteStatsTable[[#This Row],[BatchMeansHalfWidth]])</f>
        <v>3.6752746911933721E-3</v>
      </c>
      <c r="X314" cm="1">
        <f t="array" ref="X314">COUNT(IF((DiscreteStatsTable[GroupByKey]=DiscreteStatsTable[[#This Row],[GroupByKey]]),(DiscreteStatsTable[GroupByKey]=DiscreteStatsTable[[#This Row],[GroupByKey]])*DiscreteStatsTable[Replication]))</f>
        <v>10</v>
      </c>
      <c r="Y314">
        <f>IF(DiscreteStatsTable[[#This Row],[RepsRequested]]=DiscreteStatsTable[[#This Row],[RepsWithStatObserved]],1,0)</f>
        <v>1</v>
      </c>
    </row>
    <row r="315" spans="1:25" x14ac:dyDescent="0.25">
      <c r="A315" t="s">
        <v>67</v>
      </c>
      <c r="B315" t="s">
        <v>243</v>
      </c>
      <c r="C315">
        <v>7</v>
      </c>
      <c r="D315" t="s">
        <v>98</v>
      </c>
      <c r="E315" t="s">
        <v>89</v>
      </c>
      <c r="F315" t="s">
        <v>87</v>
      </c>
      <c r="G315">
        <v>5.6655094124845302</v>
      </c>
      <c r="H315">
        <v>1.0291024564237399E-2</v>
      </c>
      <c r="I315">
        <v>4.0224339390551904</v>
      </c>
      <c r="J315">
        <v>6.9922016090422403</v>
      </c>
      <c r="K315">
        <v>18394</v>
      </c>
      <c r="L315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315" cm="1">
        <f t="array" ref="M315">MAX(IF((ProjectInfoTable[ProjectName]=DiscreteStatsTable[[#This Row],[ProjectName]]),(ProjectInfoTable[ProjectName]=DiscreteStatsTable[[#This Row],[ProjectName]])*ProjectInfoTable[NumberOfReplications]))</f>
        <v>10</v>
      </c>
      <c r="N315" cm="1">
        <f t="array" ref="N315">IFERROR(AVERAGE(IF((DiscreteStatsTable[GroupByKey]=DiscreteStatsTable[[#This Row],[GroupByKey]]),(DiscreteStatsTable[GroupByKey]=DiscreteStatsTable[[#This Row],[GroupByKey]])*DiscreteStatsTable[Average])),0)</f>
        <v>5.6662240506038115</v>
      </c>
      <c r="O315" cm="1">
        <f t="array" ref="O315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1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15" cm="1">
        <f t="array" ref="R315">MIN(IF((DiscreteStatsTable[GroupByKey]=DiscreteStatsTable[[#This Row],[GroupByKey]]),(DiscreteStatsTable[GroupByKey]=DiscreteStatsTable[[#This Row],[GroupByKey]])*DiscreteStatsTable[Average]))</f>
        <v>5.6585962909327998</v>
      </c>
      <c r="S315" cm="1">
        <f t="array" ref="S315">MAX(IF((DiscreteStatsTable[GroupByKey]=DiscreteStatsTable[[#This Row],[GroupByKey]]),(DiscreteStatsTable[GroupByKey]=DiscreteStatsTable[[#This Row],[GroupByKey]])*DiscreteStatsTable[Average]))</f>
        <v>5.67470397466536</v>
      </c>
      <c r="T315" cm="1">
        <f t="array" ref="T315">MIN(IF((DiscreteStatsTable[GroupByKey]=DiscreteStatsTable[[#This Row],[GroupByKey]]),(DiscreteStatsTable[GroupByKey]=DiscreteStatsTable[[#This Row],[GroupByKey]])*DiscreteStatsTable[Minimum]))</f>
        <v>4.0032314787386003</v>
      </c>
      <c r="U315" cm="1">
        <f t="array" ref="U315">MAX(IF((DiscreteStatsTable[GroupByKey]=DiscreteStatsTable[[#This Row],[GroupByKey]]),(DiscreteStatsTable[GroupByKey]=DiscreteStatsTable[[#This Row],[GroupByKey]])*DiscreteStatsTable[Maximum]))</f>
        <v>6.9991346772876604</v>
      </c>
      <c r="V315" cm="1">
        <f t="array" ref="V315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15">
        <f>IF((DiscreteStatsTable[[#This Row],[RepsRequested]]&gt;1),DiscreteStatsTable[[#This Row],[HalfWidth]],DiscreteStatsTable[[#This Row],[BatchMeansHalfWidth]])</f>
        <v>3.6752746911933721E-3</v>
      </c>
      <c r="X315" cm="1">
        <f t="array" ref="X315">COUNT(IF((DiscreteStatsTable[GroupByKey]=DiscreteStatsTable[[#This Row],[GroupByKey]]),(DiscreteStatsTable[GroupByKey]=DiscreteStatsTable[[#This Row],[GroupByKey]])*DiscreteStatsTable[Replication]))</f>
        <v>10</v>
      </c>
      <c r="Y315">
        <f>IF(DiscreteStatsTable[[#This Row],[RepsRequested]]=DiscreteStatsTable[[#This Row],[RepsWithStatObserved]],1,0)</f>
        <v>1</v>
      </c>
    </row>
    <row r="316" spans="1:25" x14ac:dyDescent="0.25">
      <c r="A316" t="s">
        <v>67</v>
      </c>
      <c r="B316" t="s">
        <v>243</v>
      </c>
      <c r="C316">
        <v>8</v>
      </c>
      <c r="D316" t="s">
        <v>98</v>
      </c>
      <c r="E316" t="s">
        <v>88</v>
      </c>
      <c r="F316" t="s">
        <v>87</v>
      </c>
      <c r="G316">
        <v>5.6660994716851798</v>
      </c>
      <c r="H316">
        <v>8.1515059754987806E-3</v>
      </c>
      <c r="I316">
        <v>4.0050579607486698</v>
      </c>
      <c r="J316">
        <v>6.9937156753949203</v>
      </c>
      <c r="K316">
        <v>18377</v>
      </c>
      <c r="L316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316" cm="1">
        <f t="array" ref="M316">MAX(IF((ProjectInfoTable[ProjectName]=DiscreteStatsTable[[#This Row],[ProjectName]]),(ProjectInfoTable[ProjectName]=DiscreteStatsTable[[#This Row],[ProjectName]])*ProjectInfoTable[NumberOfReplications]))</f>
        <v>10</v>
      </c>
      <c r="N316" cm="1">
        <f t="array" ref="N316">IFERROR(AVERAGE(IF((DiscreteStatsTable[GroupByKey]=DiscreteStatsTable[[#This Row],[GroupByKey]]),(DiscreteStatsTable[GroupByKey]=DiscreteStatsTable[[#This Row],[GroupByKey]])*DiscreteStatsTable[Average])),0)</f>
        <v>5.6662240506038115</v>
      </c>
      <c r="O316" cm="1">
        <f t="array" ref="O316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16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16" cm="1">
        <f t="array" ref="R316">MIN(IF((DiscreteStatsTable[GroupByKey]=DiscreteStatsTable[[#This Row],[GroupByKey]]),(DiscreteStatsTable[GroupByKey]=DiscreteStatsTable[[#This Row],[GroupByKey]])*DiscreteStatsTable[Average]))</f>
        <v>5.6585962909327998</v>
      </c>
      <c r="S316" cm="1">
        <f t="array" ref="S316">MAX(IF((DiscreteStatsTable[GroupByKey]=DiscreteStatsTable[[#This Row],[GroupByKey]]),(DiscreteStatsTable[GroupByKey]=DiscreteStatsTable[[#This Row],[GroupByKey]])*DiscreteStatsTable[Average]))</f>
        <v>5.67470397466536</v>
      </c>
      <c r="T316" cm="1">
        <f t="array" ref="T316">MIN(IF((DiscreteStatsTable[GroupByKey]=DiscreteStatsTable[[#This Row],[GroupByKey]]),(DiscreteStatsTable[GroupByKey]=DiscreteStatsTable[[#This Row],[GroupByKey]])*DiscreteStatsTable[Minimum]))</f>
        <v>4.0032314787386003</v>
      </c>
      <c r="U316" cm="1">
        <f t="array" ref="U316">MAX(IF((DiscreteStatsTable[GroupByKey]=DiscreteStatsTable[[#This Row],[GroupByKey]]),(DiscreteStatsTable[GroupByKey]=DiscreteStatsTable[[#This Row],[GroupByKey]])*DiscreteStatsTable[Maximum]))</f>
        <v>6.9991346772876604</v>
      </c>
      <c r="V316" cm="1">
        <f t="array" ref="V316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16">
        <f>IF((DiscreteStatsTable[[#This Row],[RepsRequested]]&gt;1),DiscreteStatsTable[[#This Row],[HalfWidth]],DiscreteStatsTable[[#This Row],[BatchMeansHalfWidth]])</f>
        <v>3.6752746911933721E-3</v>
      </c>
      <c r="X316" cm="1">
        <f t="array" ref="X316">COUNT(IF((DiscreteStatsTable[GroupByKey]=DiscreteStatsTable[[#This Row],[GroupByKey]]),(DiscreteStatsTable[GroupByKey]=DiscreteStatsTable[[#This Row],[GroupByKey]])*DiscreteStatsTable[Replication]))</f>
        <v>10</v>
      </c>
      <c r="Y316">
        <f>IF(DiscreteStatsTable[[#This Row],[RepsRequested]]=DiscreteStatsTable[[#This Row],[RepsWithStatObserved]],1,0)</f>
        <v>1</v>
      </c>
    </row>
    <row r="317" spans="1:25" x14ac:dyDescent="0.25">
      <c r="A317" t="s">
        <v>67</v>
      </c>
      <c r="B317" t="s">
        <v>243</v>
      </c>
      <c r="C317">
        <v>8</v>
      </c>
      <c r="D317" t="s">
        <v>98</v>
      </c>
      <c r="E317" t="s">
        <v>89</v>
      </c>
      <c r="F317" t="s">
        <v>87</v>
      </c>
      <c r="G317">
        <v>5.6660994716851798</v>
      </c>
      <c r="H317">
        <v>8.1515059754987806E-3</v>
      </c>
      <c r="I317">
        <v>4.0050579607486698</v>
      </c>
      <c r="J317">
        <v>6.9937156753949203</v>
      </c>
      <c r="K317">
        <v>18377</v>
      </c>
      <c r="L317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317" cm="1">
        <f t="array" ref="M317">MAX(IF((ProjectInfoTable[ProjectName]=DiscreteStatsTable[[#This Row],[ProjectName]]),(ProjectInfoTable[ProjectName]=DiscreteStatsTable[[#This Row],[ProjectName]])*ProjectInfoTable[NumberOfReplications]))</f>
        <v>10</v>
      </c>
      <c r="N317" cm="1">
        <f t="array" ref="N317">IFERROR(AVERAGE(IF((DiscreteStatsTable[GroupByKey]=DiscreteStatsTable[[#This Row],[GroupByKey]]),(DiscreteStatsTable[GroupByKey]=DiscreteStatsTable[[#This Row],[GroupByKey]])*DiscreteStatsTable[Average])),0)</f>
        <v>5.6662240506038115</v>
      </c>
      <c r="O317" cm="1">
        <f t="array" ref="O317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17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17" cm="1">
        <f t="array" ref="R317">MIN(IF((DiscreteStatsTable[GroupByKey]=DiscreteStatsTable[[#This Row],[GroupByKey]]),(DiscreteStatsTable[GroupByKey]=DiscreteStatsTable[[#This Row],[GroupByKey]])*DiscreteStatsTable[Average]))</f>
        <v>5.6585962909327998</v>
      </c>
      <c r="S317" cm="1">
        <f t="array" ref="S317">MAX(IF((DiscreteStatsTable[GroupByKey]=DiscreteStatsTable[[#This Row],[GroupByKey]]),(DiscreteStatsTable[GroupByKey]=DiscreteStatsTable[[#This Row],[GroupByKey]])*DiscreteStatsTable[Average]))</f>
        <v>5.67470397466536</v>
      </c>
      <c r="T317" cm="1">
        <f t="array" ref="T317">MIN(IF((DiscreteStatsTable[GroupByKey]=DiscreteStatsTable[[#This Row],[GroupByKey]]),(DiscreteStatsTable[GroupByKey]=DiscreteStatsTable[[#This Row],[GroupByKey]])*DiscreteStatsTable[Minimum]))</f>
        <v>4.0032314787386003</v>
      </c>
      <c r="U317" cm="1">
        <f t="array" ref="U317">MAX(IF((DiscreteStatsTable[GroupByKey]=DiscreteStatsTable[[#This Row],[GroupByKey]]),(DiscreteStatsTable[GroupByKey]=DiscreteStatsTable[[#This Row],[GroupByKey]])*DiscreteStatsTable[Maximum]))</f>
        <v>6.9991346772876604</v>
      </c>
      <c r="V317" cm="1">
        <f t="array" ref="V317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17">
        <f>IF((DiscreteStatsTable[[#This Row],[RepsRequested]]&gt;1),DiscreteStatsTable[[#This Row],[HalfWidth]],DiscreteStatsTable[[#This Row],[BatchMeansHalfWidth]])</f>
        <v>3.6752746911933721E-3</v>
      </c>
      <c r="X317" cm="1">
        <f t="array" ref="X317">COUNT(IF((DiscreteStatsTable[GroupByKey]=DiscreteStatsTable[[#This Row],[GroupByKey]]),(DiscreteStatsTable[GroupByKey]=DiscreteStatsTable[[#This Row],[GroupByKey]])*DiscreteStatsTable[Replication]))</f>
        <v>10</v>
      </c>
      <c r="Y317">
        <f>IF(DiscreteStatsTable[[#This Row],[RepsRequested]]=DiscreteStatsTable[[#This Row],[RepsWithStatObserved]],1,0)</f>
        <v>1</v>
      </c>
    </row>
    <row r="318" spans="1:25" x14ac:dyDescent="0.25">
      <c r="A318" t="s">
        <v>67</v>
      </c>
      <c r="B318" t="s">
        <v>243</v>
      </c>
      <c r="C318">
        <v>9</v>
      </c>
      <c r="D318" t="s">
        <v>98</v>
      </c>
      <c r="E318" t="s">
        <v>88</v>
      </c>
      <c r="F318" t="s">
        <v>87</v>
      </c>
      <c r="G318">
        <v>5.66293039863631</v>
      </c>
      <c r="H318">
        <v>1.0284795037167199E-2</v>
      </c>
      <c r="I318">
        <v>4.0049078301526597</v>
      </c>
      <c r="J318">
        <v>6.9865877323900403</v>
      </c>
      <c r="K318">
        <v>18403</v>
      </c>
      <c r="L318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318" cm="1">
        <f t="array" ref="M318">MAX(IF((ProjectInfoTable[ProjectName]=DiscreteStatsTable[[#This Row],[ProjectName]]),(ProjectInfoTable[ProjectName]=DiscreteStatsTable[[#This Row],[ProjectName]])*ProjectInfoTable[NumberOfReplications]))</f>
        <v>10</v>
      </c>
      <c r="N318" cm="1">
        <f t="array" ref="N318">IFERROR(AVERAGE(IF((DiscreteStatsTable[GroupByKey]=DiscreteStatsTable[[#This Row],[GroupByKey]]),(DiscreteStatsTable[GroupByKey]=DiscreteStatsTable[[#This Row],[GroupByKey]])*DiscreteStatsTable[Average])),0)</f>
        <v>5.6662240506038115</v>
      </c>
      <c r="O318" cm="1">
        <f t="array" ref="O318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18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18" cm="1">
        <f t="array" ref="R318">MIN(IF((DiscreteStatsTable[GroupByKey]=DiscreteStatsTable[[#This Row],[GroupByKey]]),(DiscreteStatsTable[GroupByKey]=DiscreteStatsTable[[#This Row],[GroupByKey]])*DiscreteStatsTable[Average]))</f>
        <v>5.6585962909327998</v>
      </c>
      <c r="S318" cm="1">
        <f t="array" ref="S318">MAX(IF((DiscreteStatsTable[GroupByKey]=DiscreteStatsTable[[#This Row],[GroupByKey]]),(DiscreteStatsTable[GroupByKey]=DiscreteStatsTable[[#This Row],[GroupByKey]])*DiscreteStatsTable[Average]))</f>
        <v>5.67470397466536</v>
      </c>
      <c r="T318" cm="1">
        <f t="array" ref="T318">MIN(IF((DiscreteStatsTable[GroupByKey]=DiscreteStatsTable[[#This Row],[GroupByKey]]),(DiscreteStatsTable[GroupByKey]=DiscreteStatsTable[[#This Row],[GroupByKey]])*DiscreteStatsTable[Minimum]))</f>
        <v>4.0032314787386003</v>
      </c>
      <c r="U318" cm="1">
        <f t="array" ref="U318">MAX(IF((DiscreteStatsTable[GroupByKey]=DiscreteStatsTable[[#This Row],[GroupByKey]]),(DiscreteStatsTable[GroupByKey]=DiscreteStatsTable[[#This Row],[GroupByKey]])*DiscreteStatsTable[Maximum]))</f>
        <v>6.9991346772876604</v>
      </c>
      <c r="V318" cm="1">
        <f t="array" ref="V318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18">
        <f>IF((DiscreteStatsTable[[#This Row],[RepsRequested]]&gt;1),DiscreteStatsTable[[#This Row],[HalfWidth]],DiscreteStatsTable[[#This Row],[BatchMeansHalfWidth]])</f>
        <v>3.6752746911933721E-3</v>
      </c>
      <c r="X318" cm="1">
        <f t="array" ref="X318">COUNT(IF((DiscreteStatsTable[GroupByKey]=DiscreteStatsTable[[#This Row],[GroupByKey]]),(DiscreteStatsTable[GroupByKey]=DiscreteStatsTable[[#This Row],[GroupByKey]])*DiscreteStatsTable[Replication]))</f>
        <v>10</v>
      </c>
      <c r="Y318">
        <f>IF(DiscreteStatsTable[[#This Row],[RepsRequested]]=DiscreteStatsTable[[#This Row],[RepsWithStatObserved]],1,0)</f>
        <v>1</v>
      </c>
    </row>
    <row r="319" spans="1:25" x14ac:dyDescent="0.25">
      <c r="A319" t="s">
        <v>67</v>
      </c>
      <c r="B319" t="s">
        <v>243</v>
      </c>
      <c r="C319">
        <v>9</v>
      </c>
      <c r="D319" t="s">
        <v>98</v>
      </c>
      <c r="E319" t="s">
        <v>89</v>
      </c>
      <c r="F319" t="s">
        <v>87</v>
      </c>
      <c r="G319">
        <v>5.66293039863631</v>
      </c>
      <c r="H319">
        <v>1.0284795037167199E-2</v>
      </c>
      <c r="I319">
        <v>4.0049078301526597</v>
      </c>
      <c r="J319">
        <v>6.9865877323900403</v>
      </c>
      <c r="K319">
        <v>18403</v>
      </c>
      <c r="L319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319" cm="1">
        <f t="array" ref="M319">MAX(IF((ProjectInfoTable[ProjectName]=DiscreteStatsTable[[#This Row],[ProjectName]]),(ProjectInfoTable[ProjectName]=DiscreteStatsTable[[#This Row],[ProjectName]])*ProjectInfoTable[NumberOfReplications]))</f>
        <v>10</v>
      </c>
      <c r="N319" cm="1">
        <f t="array" ref="N319">IFERROR(AVERAGE(IF((DiscreteStatsTable[GroupByKey]=DiscreteStatsTable[[#This Row],[GroupByKey]]),(DiscreteStatsTable[GroupByKey]=DiscreteStatsTable[[#This Row],[GroupByKey]])*DiscreteStatsTable[Average])),0)</f>
        <v>5.6662240506038115</v>
      </c>
      <c r="O319" cm="1">
        <f t="array" ref="O319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19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19" cm="1">
        <f t="array" ref="R319">MIN(IF((DiscreteStatsTable[GroupByKey]=DiscreteStatsTable[[#This Row],[GroupByKey]]),(DiscreteStatsTable[GroupByKey]=DiscreteStatsTable[[#This Row],[GroupByKey]])*DiscreteStatsTable[Average]))</f>
        <v>5.6585962909327998</v>
      </c>
      <c r="S319" cm="1">
        <f t="array" ref="S319">MAX(IF((DiscreteStatsTable[GroupByKey]=DiscreteStatsTable[[#This Row],[GroupByKey]]),(DiscreteStatsTable[GroupByKey]=DiscreteStatsTable[[#This Row],[GroupByKey]])*DiscreteStatsTable[Average]))</f>
        <v>5.67470397466536</v>
      </c>
      <c r="T319" cm="1">
        <f t="array" ref="T319">MIN(IF((DiscreteStatsTable[GroupByKey]=DiscreteStatsTable[[#This Row],[GroupByKey]]),(DiscreteStatsTable[GroupByKey]=DiscreteStatsTable[[#This Row],[GroupByKey]])*DiscreteStatsTable[Minimum]))</f>
        <v>4.0032314787386003</v>
      </c>
      <c r="U319" cm="1">
        <f t="array" ref="U319">MAX(IF((DiscreteStatsTable[GroupByKey]=DiscreteStatsTable[[#This Row],[GroupByKey]]),(DiscreteStatsTable[GroupByKey]=DiscreteStatsTable[[#This Row],[GroupByKey]])*DiscreteStatsTable[Maximum]))</f>
        <v>6.9991346772876604</v>
      </c>
      <c r="V319" cm="1">
        <f t="array" ref="V319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19">
        <f>IF((DiscreteStatsTable[[#This Row],[RepsRequested]]&gt;1),DiscreteStatsTable[[#This Row],[HalfWidth]],DiscreteStatsTable[[#This Row],[BatchMeansHalfWidth]])</f>
        <v>3.6752746911933721E-3</v>
      </c>
      <c r="X319" cm="1">
        <f t="array" ref="X319">COUNT(IF((DiscreteStatsTable[GroupByKey]=DiscreteStatsTable[[#This Row],[GroupByKey]]),(DiscreteStatsTable[GroupByKey]=DiscreteStatsTable[[#This Row],[GroupByKey]])*DiscreteStatsTable[Replication]))</f>
        <v>10</v>
      </c>
      <c r="Y319">
        <f>IF(DiscreteStatsTable[[#This Row],[RepsRequested]]=DiscreteStatsTable[[#This Row],[RepsWithStatObserved]],1,0)</f>
        <v>1</v>
      </c>
    </row>
    <row r="320" spans="1:25" x14ac:dyDescent="0.25">
      <c r="A320" t="s">
        <v>67</v>
      </c>
      <c r="B320" t="s">
        <v>243</v>
      </c>
      <c r="C320">
        <v>10</v>
      </c>
      <c r="D320" t="s">
        <v>98</v>
      </c>
      <c r="E320" t="s">
        <v>88</v>
      </c>
      <c r="F320" t="s">
        <v>87</v>
      </c>
      <c r="G320">
        <v>5.6613876432630104</v>
      </c>
      <c r="H320">
        <v>9.9848016131876792E-3</v>
      </c>
      <c r="I320">
        <v>4.0165952646639198</v>
      </c>
      <c r="J320">
        <v>6.9925892691826501</v>
      </c>
      <c r="K320">
        <v>18377</v>
      </c>
      <c r="L320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320" cm="1">
        <f t="array" ref="M320">MAX(IF((ProjectInfoTable[ProjectName]=DiscreteStatsTable[[#This Row],[ProjectName]]),(ProjectInfoTable[ProjectName]=DiscreteStatsTable[[#This Row],[ProjectName]])*ProjectInfoTable[NumberOfReplications]))</f>
        <v>10</v>
      </c>
      <c r="N320" cm="1">
        <f t="array" ref="N320">IFERROR(AVERAGE(IF((DiscreteStatsTable[GroupByKey]=DiscreteStatsTable[[#This Row],[GroupByKey]]),(DiscreteStatsTable[GroupByKey]=DiscreteStatsTable[[#This Row],[GroupByKey]])*DiscreteStatsTable[Average])),0)</f>
        <v>5.6662240506038115</v>
      </c>
      <c r="O320" cm="1">
        <f t="array" ref="O320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20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20" cm="1">
        <f t="array" ref="R320">MIN(IF((DiscreteStatsTable[GroupByKey]=DiscreteStatsTable[[#This Row],[GroupByKey]]),(DiscreteStatsTable[GroupByKey]=DiscreteStatsTable[[#This Row],[GroupByKey]])*DiscreteStatsTable[Average]))</f>
        <v>5.6585962909327998</v>
      </c>
      <c r="S320" cm="1">
        <f t="array" ref="S320">MAX(IF((DiscreteStatsTable[GroupByKey]=DiscreteStatsTable[[#This Row],[GroupByKey]]),(DiscreteStatsTable[GroupByKey]=DiscreteStatsTable[[#This Row],[GroupByKey]])*DiscreteStatsTable[Average]))</f>
        <v>5.67470397466536</v>
      </c>
      <c r="T320" cm="1">
        <f t="array" ref="T320">MIN(IF((DiscreteStatsTable[GroupByKey]=DiscreteStatsTable[[#This Row],[GroupByKey]]),(DiscreteStatsTable[GroupByKey]=DiscreteStatsTable[[#This Row],[GroupByKey]])*DiscreteStatsTable[Minimum]))</f>
        <v>4.0032314787386003</v>
      </c>
      <c r="U320" cm="1">
        <f t="array" ref="U320">MAX(IF((DiscreteStatsTable[GroupByKey]=DiscreteStatsTable[[#This Row],[GroupByKey]]),(DiscreteStatsTable[GroupByKey]=DiscreteStatsTable[[#This Row],[GroupByKey]])*DiscreteStatsTable[Maximum]))</f>
        <v>6.9991346772876604</v>
      </c>
      <c r="V320" cm="1">
        <f t="array" ref="V320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20">
        <f>IF((DiscreteStatsTable[[#This Row],[RepsRequested]]&gt;1),DiscreteStatsTable[[#This Row],[HalfWidth]],DiscreteStatsTable[[#This Row],[BatchMeansHalfWidth]])</f>
        <v>3.6752746911933721E-3</v>
      </c>
      <c r="X320" cm="1">
        <f t="array" ref="X320">COUNT(IF((DiscreteStatsTable[GroupByKey]=DiscreteStatsTable[[#This Row],[GroupByKey]]),(DiscreteStatsTable[GroupByKey]=DiscreteStatsTable[[#This Row],[GroupByKey]])*DiscreteStatsTable[Replication]))</f>
        <v>10</v>
      </c>
      <c r="Y320">
        <f>IF(DiscreteStatsTable[[#This Row],[RepsRequested]]=DiscreteStatsTable[[#This Row],[RepsWithStatObserved]],1,0)</f>
        <v>1</v>
      </c>
    </row>
    <row r="321" spans="1:25" x14ac:dyDescent="0.25">
      <c r="A321" t="s">
        <v>67</v>
      </c>
      <c r="B321" t="s">
        <v>243</v>
      </c>
      <c r="C321">
        <v>10</v>
      </c>
      <c r="D321" t="s">
        <v>98</v>
      </c>
      <c r="E321" t="s">
        <v>89</v>
      </c>
      <c r="F321" t="s">
        <v>87</v>
      </c>
      <c r="G321">
        <v>5.6613876432630104</v>
      </c>
      <c r="H321">
        <v>9.9848016131876792E-3</v>
      </c>
      <c r="I321">
        <v>4.0165952646639198</v>
      </c>
      <c r="J321">
        <v>6.9925892691826501</v>
      </c>
      <c r="K321">
        <v>18377</v>
      </c>
      <c r="L321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321" cm="1">
        <f t="array" ref="M321">MAX(IF((ProjectInfoTable[ProjectName]=DiscreteStatsTable[[#This Row],[ProjectName]]),(ProjectInfoTable[ProjectName]=DiscreteStatsTable[[#This Row],[ProjectName]])*ProjectInfoTable[NumberOfReplications]))</f>
        <v>10</v>
      </c>
      <c r="N321" cm="1">
        <f t="array" ref="N321">IFERROR(AVERAGE(IF((DiscreteStatsTable[GroupByKey]=DiscreteStatsTable[[#This Row],[GroupByKey]]),(DiscreteStatsTable[GroupByKey]=DiscreteStatsTable[[#This Row],[GroupByKey]])*DiscreteStatsTable[Average])),0)</f>
        <v>5.6662240506038115</v>
      </c>
      <c r="O321" cm="1">
        <f t="array" ref="O321">IFERROR(_xlfn.STDEV.S(IF((DiscreteStatsTable[GroupByKey]=DiscreteStatsTable[[#This Row],[GroupByKey]]),(DiscreteStatsTable[GroupByKey]=DiscreteStatsTable[[#This Row],[GroupByKey]])*DiscreteStatsTable[Average])),0)</f>
        <v>5.1376797519084661E-3</v>
      </c>
      <c r="P321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3.6752746911933721E-3</v>
      </c>
      <c r="R321" cm="1">
        <f t="array" ref="R321">MIN(IF((DiscreteStatsTable[GroupByKey]=DiscreteStatsTable[[#This Row],[GroupByKey]]),(DiscreteStatsTable[GroupByKey]=DiscreteStatsTable[[#This Row],[GroupByKey]])*DiscreteStatsTable[Average]))</f>
        <v>5.6585962909327998</v>
      </c>
      <c r="S321" cm="1">
        <f t="array" ref="S321">MAX(IF((DiscreteStatsTable[GroupByKey]=DiscreteStatsTable[[#This Row],[GroupByKey]]),(DiscreteStatsTable[GroupByKey]=DiscreteStatsTable[[#This Row],[GroupByKey]])*DiscreteStatsTable[Average]))</f>
        <v>5.67470397466536</v>
      </c>
      <c r="T321" cm="1">
        <f t="array" ref="T321">MIN(IF((DiscreteStatsTable[GroupByKey]=DiscreteStatsTable[[#This Row],[GroupByKey]]),(DiscreteStatsTable[GroupByKey]=DiscreteStatsTable[[#This Row],[GroupByKey]])*DiscreteStatsTable[Minimum]))</f>
        <v>4.0032314787386003</v>
      </c>
      <c r="U321" cm="1">
        <f t="array" ref="U321">MAX(IF((DiscreteStatsTable[GroupByKey]=DiscreteStatsTable[[#This Row],[GroupByKey]]),(DiscreteStatsTable[GroupByKey]=DiscreteStatsTable[[#This Row],[GroupByKey]])*DiscreteStatsTable[Maximum]))</f>
        <v>6.9991346772876604</v>
      </c>
      <c r="V321" cm="1">
        <f t="array" ref="V321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321">
        <f>IF((DiscreteStatsTable[[#This Row],[RepsRequested]]&gt;1),DiscreteStatsTable[[#This Row],[HalfWidth]],DiscreteStatsTable[[#This Row],[BatchMeansHalfWidth]])</f>
        <v>3.6752746911933721E-3</v>
      </c>
      <c r="X321" cm="1">
        <f t="array" ref="X321">COUNT(IF((DiscreteStatsTable[GroupByKey]=DiscreteStatsTable[[#This Row],[GroupByKey]]),(DiscreteStatsTable[GroupByKey]=DiscreteStatsTable[[#This Row],[GroupByKey]])*DiscreteStatsTable[Replication]))</f>
        <v>10</v>
      </c>
      <c r="Y321">
        <f>IF(DiscreteStatsTable[[#This Row],[RepsRequested]]=DiscreteStatsTable[[#This Row],[RepsWithStatObserved]],1,0)</f>
        <v>1</v>
      </c>
    </row>
    <row r="322" spans="1:25" x14ac:dyDescent="0.25">
      <c r="A322" t="s">
        <v>67</v>
      </c>
      <c r="B322" t="s">
        <v>243</v>
      </c>
      <c r="C322">
        <v>1</v>
      </c>
      <c r="D322" t="s">
        <v>242</v>
      </c>
      <c r="E322" t="s">
        <v>88</v>
      </c>
      <c r="F322" t="s">
        <v>87</v>
      </c>
      <c r="G322">
        <v>438.398155490384</v>
      </c>
      <c r="H322">
        <v>2E+20</v>
      </c>
      <c r="I322">
        <v>302.17766632678098</v>
      </c>
      <c r="J322">
        <v>592.92257682440697</v>
      </c>
      <c r="K322">
        <v>107</v>
      </c>
      <c r="L322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322" cm="1">
        <f t="array" ref="M322">MAX(IF((ProjectInfoTable[ProjectName]=DiscreteStatsTable[[#This Row],[ProjectName]]),(ProjectInfoTable[ProjectName]=DiscreteStatsTable[[#This Row],[ProjectName]])*ProjectInfoTable[NumberOfReplications]))</f>
        <v>10</v>
      </c>
      <c r="N322" cm="1">
        <f t="array" ref="N322">IFERROR(AVERAGE(IF((DiscreteStatsTable[GroupByKey]=DiscreteStatsTable[[#This Row],[GroupByKey]]),(DiscreteStatsTable[GroupByKey]=DiscreteStatsTable[[#This Row],[GroupByKey]])*DiscreteStatsTable[Average])),0)</f>
        <v>446.86698906668488</v>
      </c>
      <c r="O322" cm="1">
        <f t="array" ref="O322">IFERROR(_xlfn.STDEV.S(IF((DiscreteStatsTable[GroupByKey]=DiscreteStatsTable[[#This Row],[GroupByKey]]),(DiscreteStatsTable[GroupByKey]=DiscreteStatsTable[[#This Row],[GroupByKey]])*DiscreteStatsTable[Average])),0)</f>
        <v>10.112666499712928</v>
      </c>
      <c r="P322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22" cm="1">
        <f t="array" ref="R322">MIN(IF((DiscreteStatsTable[GroupByKey]=DiscreteStatsTable[[#This Row],[GroupByKey]]),(DiscreteStatsTable[GroupByKey]=DiscreteStatsTable[[#This Row],[GroupByKey]])*DiscreteStatsTable[Average]))</f>
        <v>430.49034311020301</v>
      </c>
      <c r="S322" cm="1">
        <f t="array" ref="S322">MAX(IF((DiscreteStatsTable[GroupByKey]=DiscreteStatsTable[[#This Row],[GroupByKey]]),(DiscreteStatsTable[GroupByKey]=DiscreteStatsTable[[#This Row],[GroupByKey]])*DiscreteStatsTable[Average]))</f>
        <v>461.17560348385501</v>
      </c>
      <c r="T322" cm="1">
        <f t="array" ref="T322">MIN(IF((DiscreteStatsTable[GroupByKey]=DiscreteStatsTable[[#This Row],[GroupByKey]]),(DiscreteStatsTable[GroupByKey]=DiscreteStatsTable[[#This Row],[GroupByKey]])*DiscreteStatsTable[Minimum]))</f>
        <v>300.33280676452</v>
      </c>
      <c r="U322" cm="1">
        <f t="array" ref="U322">MAX(IF((DiscreteStatsTable[GroupByKey]=DiscreteStatsTable[[#This Row],[GroupByKey]]),(DiscreteStatsTable[GroupByKey]=DiscreteStatsTable[[#This Row],[GroupByKey]])*DiscreteStatsTable[Maximum]))</f>
        <v>599.937375794834</v>
      </c>
      <c r="V322" cm="1">
        <f t="array" ref="V322">IFERROR(AVERAGE(IF((DiscreteStatsTable[GroupByKey]=DiscreteStatsTable[[#This Row],[GroupByKey]]),(DiscreteStatsTable[GroupByKey]=DiscreteStatsTable[[#This Row],[GroupByKey]])*DiscreteStatsTable[NumberObservations])),0)</f>
        <v>118.7</v>
      </c>
      <c r="W322">
        <f>IF((DiscreteStatsTable[[#This Row],[RepsRequested]]&gt;1),DiscreteStatsTable[[#This Row],[HalfWidth]],DiscreteStatsTable[[#This Row],[BatchMeansHalfWidth]])</f>
        <v>7.2341658183478312</v>
      </c>
      <c r="X322" cm="1">
        <f t="array" ref="X322">COUNT(IF((DiscreteStatsTable[GroupByKey]=DiscreteStatsTable[[#This Row],[GroupByKey]]),(DiscreteStatsTable[GroupByKey]=DiscreteStatsTable[[#This Row],[GroupByKey]])*DiscreteStatsTable[Replication]))</f>
        <v>10</v>
      </c>
      <c r="Y322">
        <f>IF(DiscreteStatsTable[[#This Row],[RepsRequested]]=DiscreteStatsTable[[#This Row],[RepsWithStatObserved]],1,0)</f>
        <v>1</v>
      </c>
    </row>
    <row r="323" spans="1:25" x14ac:dyDescent="0.25">
      <c r="A323" t="s">
        <v>67</v>
      </c>
      <c r="B323" t="s">
        <v>243</v>
      </c>
      <c r="C323">
        <v>1</v>
      </c>
      <c r="D323" t="s">
        <v>242</v>
      </c>
      <c r="E323" t="s">
        <v>89</v>
      </c>
      <c r="F323" t="s">
        <v>87</v>
      </c>
      <c r="G323">
        <v>438.398155490384</v>
      </c>
      <c r="H323">
        <v>2E+20</v>
      </c>
      <c r="I323">
        <v>302.17766632678098</v>
      </c>
      <c r="J323">
        <v>592.92257682440697</v>
      </c>
      <c r="K323">
        <v>107</v>
      </c>
      <c r="L323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323" cm="1">
        <f t="array" ref="M323">MAX(IF((ProjectInfoTable[ProjectName]=DiscreteStatsTable[[#This Row],[ProjectName]]),(ProjectInfoTable[ProjectName]=DiscreteStatsTable[[#This Row],[ProjectName]])*ProjectInfoTable[NumberOfReplications]))</f>
        <v>10</v>
      </c>
      <c r="N323" cm="1">
        <f t="array" ref="N323">IFERROR(AVERAGE(IF((DiscreteStatsTable[GroupByKey]=DiscreteStatsTable[[#This Row],[GroupByKey]]),(DiscreteStatsTable[GroupByKey]=DiscreteStatsTable[[#This Row],[GroupByKey]])*DiscreteStatsTable[Average])),0)</f>
        <v>446.86698906668488</v>
      </c>
      <c r="O323" cm="1">
        <f t="array" ref="O323">IFERROR(_xlfn.STDEV.S(IF((DiscreteStatsTable[GroupByKey]=DiscreteStatsTable[[#This Row],[GroupByKey]]),(DiscreteStatsTable[GroupByKey]=DiscreteStatsTable[[#This Row],[GroupByKey]])*DiscreteStatsTable[Average])),0)</f>
        <v>10.112666499712928</v>
      </c>
      <c r="P323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23" cm="1">
        <f t="array" ref="R323">MIN(IF((DiscreteStatsTable[GroupByKey]=DiscreteStatsTable[[#This Row],[GroupByKey]]),(DiscreteStatsTable[GroupByKey]=DiscreteStatsTable[[#This Row],[GroupByKey]])*DiscreteStatsTable[Average]))</f>
        <v>430.49034311020301</v>
      </c>
      <c r="S323" cm="1">
        <f t="array" ref="S323">MAX(IF((DiscreteStatsTable[GroupByKey]=DiscreteStatsTable[[#This Row],[GroupByKey]]),(DiscreteStatsTable[GroupByKey]=DiscreteStatsTable[[#This Row],[GroupByKey]])*DiscreteStatsTable[Average]))</f>
        <v>461.17560348385501</v>
      </c>
      <c r="T323" cm="1">
        <f t="array" ref="T323">MIN(IF((DiscreteStatsTable[GroupByKey]=DiscreteStatsTable[[#This Row],[GroupByKey]]),(DiscreteStatsTable[GroupByKey]=DiscreteStatsTable[[#This Row],[GroupByKey]])*DiscreteStatsTable[Minimum]))</f>
        <v>300.33280676452</v>
      </c>
      <c r="U323" cm="1">
        <f t="array" ref="U323">MAX(IF((DiscreteStatsTable[GroupByKey]=DiscreteStatsTable[[#This Row],[GroupByKey]]),(DiscreteStatsTable[GroupByKey]=DiscreteStatsTable[[#This Row],[GroupByKey]])*DiscreteStatsTable[Maximum]))</f>
        <v>599.937375794834</v>
      </c>
      <c r="V323" cm="1">
        <f t="array" ref="V323">IFERROR(AVERAGE(IF((DiscreteStatsTable[GroupByKey]=DiscreteStatsTable[[#This Row],[GroupByKey]]),(DiscreteStatsTable[GroupByKey]=DiscreteStatsTable[[#This Row],[GroupByKey]])*DiscreteStatsTable[NumberObservations])),0)</f>
        <v>118.7</v>
      </c>
      <c r="W323">
        <f>IF((DiscreteStatsTable[[#This Row],[RepsRequested]]&gt;1),DiscreteStatsTable[[#This Row],[HalfWidth]],DiscreteStatsTable[[#This Row],[BatchMeansHalfWidth]])</f>
        <v>7.2341658183478312</v>
      </c>
      <c r="X323" cm="1">
        <f t="array" ref="X323">COUNT(IF((DiscreteStatsTable[GroupByKey]=DiscreteStatsTable[[#This Row],[GroupByKey]]),(DiscreteStatsTable[GroupByKey]=DiscreteStatsTable[[#This Row],[GroupByKey]])*DiscreteStatsTable[Replication]))</f>
        <v>10</v>
      </c>
      <c r="Y323">
        <f>IF(DiscreteStatsTable[[#This Row],[RepsRequested]]=DiscreteStatsTable[[#This Row],[RepsWithStatObserved]],1,0)</f>
        <v>1</v>
      </c>
    </row>
    <row r="324" spans="1:25" x14ac:dyDescent="0.25">
      <c r="A324" t="s">
        <v>67</v>
      </c>
      <c r="B324" t="s">
        <v>243</v>
      </c>
      <c r="C324">
        <v>2</v>
      </c>
      <c r="D324" t="s">
        <v>242</v>
      </c>
      <c r="E324" t="s">
        <v>88</v>
      </c>
      <c r="F324" t="s">
        <v>87</v>
      </c>
      <c r="G324">
        <v>459.28844531819601</v>
      </c>
      <c r="H324">
        <v>2E+20</v>
      </c>
      <c r="I324">
        <v>300.92105462506902</v>
      </c>
      <c r="J324">
        <v>597.759614822397</v>
      </c>
      <c r="K324">
        <v>95</v>
      </c>
      <c r="L324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324" cm="1">
        <f t="array" ref="M324">MAX(IF((ProjectInfoTable[ProjectName]=DiscreteStatsTable[[#This Row],[ProjectName]]),(ProjectInfoTable[ProjectName]=DiscreteStatsTable[[#This Row],[ProjectName]])*ProjectInfoTable[NumberOfReplications]))</f>
        <v>10</v>
      </c>
      <c r="N324" cm="1">
        <f t="array" ref="N324">IFERROR(AVERAGE(IF((DiscreteStatsTable[GroupByKey]=DiscreteStatsTable[[#This Row],[GroupByKey]]),(DiscreteStatsTable[GroupByKey]=DiscreteStatsTable[[#This Row],[GroupByKey]])*DiscreteStatsTable[Average])),0)</f>
        <v>446.86698906668488</v>
      </c>
      <c r="O324" cm="1">
        <f t="array" ref="O324">IFERROR(_xlfn.STDEV.S(IF((DiscreteStatsTable[GroupByKey]=DiscreteStatsTable[[#This Row],[GroupByKey]]),(DiscreteStatsTable[GroupByKey]=DiscreteStatsTable[[#This Row],[GroupByKey]])*DiscreteStatsTable[Average])),0)</f>
        <v>10.112666499712928</v>
      </c>
      <c r="P324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24" cm="1">
        <f t="array" ref="R324">MIN(IF((DiscreteStatsTable[GroupByKey]=DiscreteStatsTable[[#This Row],[GroupByKey]]),(DiscreteStatsTable[GroupByKey]=DiscreteStatsTable[[#This Row],[GroupByKey]])*DiscreteStatsTable[Average]))</f>
        <v>430.49034311020301</v>
      </c>
      <c r="S324" cm="1">
        <f t="array" ref="S324">MAX(IF((DiscreteStatsTable[GroupByKey]=DiscreteStatsTable[[#This Row],[GroupByKey]]),(DiscreteStatsTable[GroupByKey]=DiscreteStatsTable[[#This Row],[GroupByKey]])*DiscreteStatsTable[Average]))</f>
        <v>461.17560348385501</v>
      </c>
      <c r="T324" cm="1">
        <f t="array" ref="T324">MIN(IF((DiscreteStatsTable[GroupByKey]=DiscreteStatsTable[[#This Row],[GroupByKey]]),(DiscreteStatsTable[GroupByKey]=DiscreteStatsTable[[#This Row],[GroupByKey]])*DiscreteStatsTable[Minimum]))</f>
        <v>300.33280676452</v>
      </c>
      <c r="U324" cm="1">
        <f t="array" ref="U324">MAX(IF((DiscreteStatsTable[GroupByKey]=DiscreteStatsTable[[#This Row],[GroupByKey]]),(DiscreteStatsTable[GroupByKey]=DiscreteStatsTable[[#This Row],[GroupByKey]])*DiscreteStatsTable[Maximum]))</f>
        <v>599.937375794834</v>
      </c>
      <c r="V324" cm="1">
        <f t="array" ref="V324">IFERROR(AVERAGE(IF((DiscreteStatsTable[GroupByKey]=DiscreteStatsTable[[#This Row],[GroupByKey]]),(DiscreteStatsTable[GroupByKey]=DiscreteStatsTable[[#This Row],[GroupByKey]])*DiscreteStatsTable[NumberObservations])),0)</f>
        <v>118.7</v>
      </c>
      <c r="W324">
        <f>IF((DiscreteStatsTable[[#This Row],[RepsRequested]]&gt;1),DiscreteStatsTable[[#This Row],[HalfWidth]],DiscreteStatsTable[[#This Row],[BatchMeansHalfWidth]])</f>
        <v>7.2341658183478312</v>
      </c>
      <c r="X324" cm="1">
        <f t="array" ref="X324">COUNT(IF((DiscreteStatsTable[GroupByKey]=DiscreteStatsTable[[#This Row],[GroupByKey]]),(DiscreteStatsTable[GroupByKey]=DiscreteStatsTable[[#This Row],[GroupByKey]])*DiscreteStatsTable[Replication]))</f>
        <v>10</v>
      </c>
      <c r="Y324">
        <f>IF(DiscreteStatsTable[[#This Row],[RepsRequested]]=DiscreteStatsTable[[#This Row],[RepsWithStatObserved]],1,0)</f>
        <v>1</v>
      </c>
    </row>
    <row r="325" spans="1:25" x14ac:dyDescent="0.25">
      <c r="A325" t="s">
        <v>67</v>
      </c>
      <c r="B325" t="s">
        <v>243</v>
      </c>
      <c r="C325">
        <v>2</v>
      </c>
      <c r="D325" t="s">
        <v>242</v>
      </c>
      <c r="E325" t="s">
        <v>89</v>
      </c>
      <c r="F325" t="s">
        <v>87</v>
      </c>
      <c r="G325">
        <v>459.28844531819601</v>
      </c>
      <c r="H325">
        <v>2E+20</v>
      </c>
      <c r="I325">
        <v>300.92105462506902</v>
      </c>
      <c r="J325">
        <v>597.759614822397</v>
      </c>
      <c r="K325">
        <v>95</v>
      </c>
      <c r="L325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325" cm="1">
        <f t="array" ref="M325">MAX(IF((ProjectInfoTable[ProjectName]=DiscreteStatsTable[[#This Row],[ProjectName]]),(ProjectInfoTable[ProjectName]=DiscreteStatsTable[[#This Row],[ProjectName]])*ProjectInfoTable[NumberOfReplications]))</f>
        <v>10</v>
      </c>
      <c r="N325" cm="1">
        <f t="array" ref="N325">IFERROR(AVERAGE(IF((DiscreteStatsTable[GroupByKey]=DiscreteStatsTable[[#This Row],[GroupByKey]]),(DiscreteStatsTable[GroupByKey]=DiscreteStatsTable[[#This Row],[GroupByKey]])*DiscreteStatsTable[Average])),0)</f>
        <v>446.86698906668488</v>
      </c>
      <c r="O325" cm="1">
        <f t="array" ref="O325">IFERROR(_xlfn.STDEV.S(IF((DiscreteStatsTable[GroupByKey]=DiscreteStatsTable[[#This Row],[GroupByKey]]),(DiscreteStatsTable[GroupByKey]=DiscreteStatsTable[[#This Row],[GroupByKey]])*DiscreteStatsTable[Average])),0)</f>
        <v>10.112666499712928</v>
      </c>
      <c r="P32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25" cm="1">
        <f t="array" ref="R325">MIN(IF((DiscreteStatsTable[GroupByKey]=DiscreteStatsTable[[#This Row],[GroupByKey]]),(DiscreteStatsTable[GroupByKey]=DiscreteStatsTable[[#This Row],[GroupByKey]])*DiscreteStatsTable[Average]))</f>
        <v>430.49034311020301</v>
      </c>
      <c r="S325" cm="1">
        <f t="array" ref="S325">MAX(IF((DiscreteStatsTable[GroupByKey]=DiscreteStatsTable[[#This Row],[GroupByKey]]),(DiscreteStatsTable[GroupByKey]=DiscreteStatsTable[[#This Row],[GroupByKey]])*DiscreteStatsTable[Average]))</f>
        <v>461.17560348385501</v>
      </c>
      <c r="T325" cm="1">
        <f t="array" ref="T325">MIN(IF((DiscreteStatsTable[GroupByKey]=DiscreteStatsTable[[#This Row],[GroupByKey]]),(DiscreteStatsTable[GroupByKey]=DiscreteStatsTable[[#This Row],[GroupByKey]])*DiscreteStatsTable[Minimum]))</f>
        <v>300.33280676452</v>
      </c>
      <c r="U325" cm="1">
        <f t="array" ref="U325">MAX(IF((DiscreteStatsTable[GroupByKey]=DiscreteStatsTable[[#This Row],[GroupByKey]]),(DiscreteStatsTable[GroupByKey]=DiscreteStatsTable[[#This Row],[GroupByKey]])*DiscreteStatsTable[Maximum]))</f>
        <v>599.937375794834</v>
      </c>
      <c r="V325" cm="1">
        <f t="array" ref="V325">IFERROR(AVERAGE(IF((DiscreteStatsTable[GroupByKey]=DiscreteStatsTable[[#This Row],[GroupByKey]]),(DiscreteStatsTable[GroupByKey]=DiscreteStatsTable[[#This Row],[GroupByKey]])*DiscreteStatsTable[NumberObservations])),0)</f>
        <v>118.7</v>
      </c>
      <c r="W325">
        <f>IF((DiscreteStatsTable[[#This Row],[RepsRequested]]&gt;1),DiscreteStatsTable[[#This Row],[HalfWidth]],DiscreteStatsTable[[#This Row],[BatchMeansHalfWidth]])</f>
        <v>7.2341658183478312</v>
      </c>
      <c r="X325" cm="1">
        <f t="array" ref="X325">COUNT(IF((DiscreteStatsTable[GroupByKey]=DiscreteStatsTable[[#This Row],[GroupByKey]]),(DiscreteStatsTable[GroupByKey]=DiscreteStatsTable[[#This Row],[GroupByKey]])*DiscreteStatsTable[Replication]))</f>
        <v>10</v>
      </c>
      <c r="Y325">
        <f>IF(DiscreteStatsTable[[#This Row],[RepsRequested]]=DiscreteStatsTable[[#This Row],[RepsWithStatObserved]],1,0)</f>
        <v>1</v>
      </c>
    </row>
    <row r="326" spans="1:25" x14ac:dyDescent="0.25">
      <c r="A326" t="s">
        <v>67</v>
      </c>
      <c r="B326" t="s">
        <v>243</v>
      </c>
      <c r="C326">
        <v>3</v>
      </c>
      <c r="D326" t="s">
        <v>242</v>
      </c>
      <c r="E326" t="s">
        <v>88</v>
      </c>
      <c r="F326" t="s">
        <v>87</v>
      </c>
      <c r="G326">
        <v>441.37454468850598</v>
      </c>
      <c r="H326">
        <v>2E+20</v>
      </c>
      <c r="I326">
        <v>301.67941063433</v>
      </c>
      <c r="J326">
        <v>599.937375794834</v>
      </c>
      <c r="K326">
        <v>129</v>
      </c>
      <c r="L326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326" cm="1">
        <f t="array" ref="M326">MAX(IF((ProjectInfoTable[ProjectName]=DiscreteStatsTable[[#This Row],[ProjectName]]),(ProjectInfoTable[ProjectName]=DiscreteStatsTable[[#This Row],[ProjectName]])*ProjectInfoTable[NumberOfReplications]))</f>
        <v>10</v>
      </c>
      <c r="N326" cm="1">
        <f t="array" ref="N326">IFERROR(AVERAGE(IF((DiscreteStatsTable[GroupByKey]=DiscreteStatsTable[[#This Row],[GroupByKey]]),(DiscreteStatsTable[GroupByKey]=DiscreteStatsTable[[#This Row],[GroupByKey]])*DiscreteStatsTable[Average])),0)</f>
        <v>446.86698906668488</v>
      </c>
      <c r="O326" cm="1">
        <f t="array" ref="O326">IFERROR(_xlfn.STDEV.S(IF((DiscreteStatsTable[GroupByKey]=DiscreteStatsTable[[#This Row],[GroupByKey]]),(DiscreteStatsTable[GroupByKey]=DiscreteStatsTable[[#This Row],[GroupByKey]])*DiscreteStatsTable[Average])),0)</f>
        <v>10.112666499712928</v>
      </c>
      <c r="P326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26" cm="1">
        <f t="array" ref="R326">MIN(IF((DiscreteStatsTable[GroupByKey]=DiscreteStatsTable[[#This Row],[GroupByKey]]),(DiscreteStatsTable[GroupByKey]=DiscreteStatsTable[[#This Row],[GroupByKey]])*DiscreteStatsTable[Average]))</f>
        <v>430.49034311020301</v>
      </c>
      <c r="S326" cm="1">
        <f t="array" ref="S326">MAX(IF((DiscreteStatsTable[GroupByKey]=DiscreteStatsTable[[#This Row],[GroupByKey]]),(DiscreteStatsTable[GroupByKey]=DiscreteStatsTable[[#This Row],[GroupByKey]])*DiscreteStatsTable[Average]))</f>
        <v>461.17560348385501</v>
      </c>
      <c r="T326" cm="1">
        <f t="array" ref="T326">MIN(IF((DiscreteStatsTable[GroupByKey]=DiscreteStatsTable[[#This Row],[GroupByKey]]),(DiscreteStatsTable[GroupByKey]=DiscreteStatsTable[[#This Row],[GroupByKey]])*DiscreteStatsTable[Minimum]))</f>
        <v>300.33280676452</v>
      </c>
      <c r="U326" cm="1">
        <f t="array" ref="U326">MAX(IF((DiscreteStatsTable[GroupByKey]=DiscreteStatsTable[[#This Row],[GroupByKey]]),(DiscreteStatsTable[GroupByKey]=DiscreteStatsTable[[#This Row],[GroupByKey]])*DiscreteStatsTable[Maximum]))</f>
        <v>599.937375794834</v>
      </c>
      <c r="V326" cm="1">
        <f t="array" ref="V326">IFERROR(AVERAGE(IF((DiscreteStatsTable[GroupByKey]=DiscreteStatsTable[[#This Row],[GroupByKey]]),(DiscreteStatsTable[GroupByKey]=DiscreteStatsTable[[#This Row],[GroupByKey]])*DiscreteStatsTable[NumberObservations])),0)</f>
        <v>118.7</v>
      </c>
      <c r="W326">
        <f>IF((DiscreteStatsTable[[#This Row],[RepsRequested]]&gt;1),DiscreteStatsTable[[#This Row],[HalfWidth]],DiscreteStatsTable[[#This Row],[BatchMeansHalfWidth]])</f>
        <v>7.2341658183478312</v>
      </c>
      <c r="X326" cm="1">
        <f t="array" ref="X326">COUNT(IF((DiscreteStatsTable[GroupByKey]=DiscreteStatsTable[[#This Row],[GroupByKey]]),(DiscreteStatsTable[GroupByKey]=DiscreteStatsTable[[#This Row],[GroupByKey]])*DiscreteStatsTable[Replication]))</f>
        <v>10</v>
      </c>
      <c r="Y326">
        <f>IF(DiscreteStatsTable[[#This Row],[RepsRequested]]=DiscreteStatsTable[[#This Row],[RepsWithStatObserved]],1,0)</f>
        <v>1</v>
      </c>
    </row>
    <row r="327" spans="1:25" x14ac:dyDescent="0.25">
      <c r="A327" t="s">
        <v>67</v>
      </c>
      <c r="B327" t="s">
        <v>243</v>
      </c>
      <c r="C327">
        <v>3</v>
      </c>
      <c r="D327" t="s">
        <v>242</v>
      </c>
      <c r="E327" t="s">
        <v>89</v>
      </c>
      <c r="F327" t="s">
        <v>87</v>
      </c>
      <c r="G327">
        <v>441.37454468850598</v>
      </c>
      <c r="H327">
        <v>2E+20</v>
      </c>
      <c r="I327">
        <v>301.67941063433</v>
      </c>
      <c r="J327">
        <v>599.937375794834</v>
      </c>
      <c r="K327">
        <v>129</v>
      </c>
      <c r="L327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327" cm="1">
        <f t="array" ref="M327">MAX(IF((ProjectInfoTable[ProjectName]=DiscreteStatsTable[[#This Row],[ProjectName]]),(ProjectInfoTable[ProjectName]=DiscreteStatsTable[[#This Row],[ProjectName]])*ProjectInfoTable[NumberOfReplications]))</f>
        <v>10</v>
      </c>
      <c r="N327" cm="1">
        <f t="array" ref="N327">IFERROR(AVERAGE(IF((DiscreteStatsTable[GroupByKey]=DiscreteStatsTable[[#This Row],[GroupByKey]]),(DiscreteStatsTable[GroupByKey]=DiscreteStatsTable[[#This Row],[GroupByKey]])*DiscreteStatsTable[Average])),0)</f>
        <v>446.86698906668488</v>
      </c>
      <c r="O327" cm="1">
        <f t="array" ref="O327">IFERROR(_xlfn.STDEV.S(IF((DiscreteStatsTable[GroupByKey]=DiscreteStatsTable[[#This Row],[GroupByKey]]),(DiscreteStatsTable[GroupByKey]=DiscreteStatsTable[[#This Row],[GroupByKey]])*DiscreteStatsTable[Average])),0)</f>
        <v>10.112666499712928</v>
      </c>
      <c r="P327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27" cm="1">
        <f t="array" ref="R327">MIN(IF((DiscreteStatsTable[GroupByKey]=DiscreteStatsTable[[#This Row],[GroupByKey]]),(DiscreteStatsTable[GroupByKey]=DiscreteStatsTable[[#This Row],[GroupByKey]])*DiscreteStatsTable[Average]))</f>
        <v>430.49034311020301</v>
      </c>
      <c r="S327" cm="1">
        <f t="array" ref="S327">MAX(IF((DiscreteStatsTable[GroupByKey]=DiscreteStatsTable[[#This Row],[GroupByKey]]),(DiscreteStatsTable[GroupByKey]=DiscreteStatsTable[[#This Row],[GroupByKey]])*DiscreteStatsTable[Average]))</f>
        <v>461.17560348385501</v>
      </c>
      <c r="T327" cm="1">
        <f t="array" ref="T327">MIN(IF((DiscreteStatsTable[GroupByKey]=DiscreteStatsTable[[#This Row],[GroupByKey]]),(DiscreteStatsTable[GroupByKey]=DiscreteStatsTable[[#This Row],[GroupByKey]])*DiscreteStatsTable[Minimum]))</f>
        <v>300.33280676452</v>
      </c>
      <c r="U327" cm="1">
        <f t="array" ref="U327">MAX(IF((DiscreteStatsTable[GroupByKey]=DiscreteStatsTable[[#This Row],[GroupByKey]]),(DiscreteStatsTable[GroupByKey]=DiscreteStatsTable[[#This Row],[GroupByKey]])*DiscreteStatsTable[Maximum]))</f>
        <v>599.937375794834</v>
      </c>
      <c r="V327" cm="1">
        <f t="array" ref="V327">IFERROR(AVERAGE(IF((DiscreteStatsTable[GroupByKey]=DiscreteStatsTable[[#This Row],[GroupByKey]]),(DiscreteStatsTable[GroupByKey]=DiscreteStatsTable[[#This Row],[GroupByKey]])*DiscreteStatsTable[NumberObservations])),0)</f>
        <v>118.7</v>
      </c>
      <c r="W327">
        <f>IF((DiscreteStatsTable[[#This Row],[RepsRequested]]&gt;1),DiscreteStatsTable[[#This Row],[HalfWidth]],DiscreteStatsTable[[#This Row],[BatchMeansHalfWidth]])</f>
        <v>7.2341658183478312</v>
      </c>
      <c r="X327" cm="1">
        <f t="array" ref="X327">COUNT(IF((DiscreteStatsTable[GroupByKey]=DiscreteStatsTable[[#This Row],[GroupByKey]]),(DiscreteStatsTable[GroupByKey]=DiscreteStatsTable[[#This Row],[GroupByKey]])*DiscreteStatsTable[Replication]))</f>
        <v>10</v>
      </c>
      <c r="Y327">
        <f>IF(DiscreteStatsTable[[#This Row],[RepsRequested]]=DiscreteStatsTable[[#This Row],[RepsWithStatObserved]],1,0)</f>
        <v>1</v>
      </c>
    </row>
    <row r="328" spans="1:25" x14ac:dyDescent="0.25">
      <c r="A328" t="s">
        <v>67</v>
      </c>
      <c r="B328" t="s">
        <v>243</v>
      </c>
      <c r="C328">
        <v>4</v>
      </c>
      <c r="D328" t="s">
        <v>242</v>
      </c>
      <c r="E328" t="s">
        <v>88</v>
      </c>
      <c r="F328" t="s">
        <v>87</v>
      </c>
      <c r="G328">
        <v>461.17560348385501</v>
      </c>
      <c r="H328">
        <v>2E+20</v>
      </c>
      <c r="I328">
        <v>301.66482074372499</v>
      </c>
      <c r="J328">
        <v>597.75906916047097</v>
      </c>
      <c r="K328">
        <v>116</v>
      </c>
      <c r="L328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328" cm="1">
        <f t="array" ref="M328">MAX(IF((ProjectInfoTable[ProjectName]=DiscreteStatsTable[[#This Row],[ProjectName]]),(ProjectInfoTable[ProjectName]=DiscreteStatsTable[[#This Row],[ProjectName]])*ProjectInfoTable[NumberOfReplications]))</f>
        <v>10</v>
      </c>
      <c r="N328" cm="1">
        <f t="array" ref="N328">IFERROR(AVERAGE(IF((DiscreteStatsTable[GroupByKey]=DiscreteStatsTable[[#This Row],[GroupByKey]]),(DiscreteStatsTable[GroupByKey]=DiscreteStatsTable[[#This Row],[GroupByKey]])*DiscreteStatsTable[Average])),0)</f>
        <v>446.86698906668488</v>
      </c>
      <c r="O328" cm="1">
        <f t="array" ref="O328">IFERROR(_xlfn.STDEV.S(IF((DiscreteStatsTable[GroupByKey]=DiscreteStatsTable[[#This Row],[GroupByKey]]),(DiscreteStatsTable[GroupByKey]=DiscreteStatsTable[[#This Row],[GroupByKey]])*DiscreteStatsTable[Average])),0)</f>
        <v>10.112666499712928</v>
      </c>
      <c r="P328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28" cm="1">
        <f t="array" ref="R328">MIN(IF((DiscreteStatsTable[GroupByKey]=DiscreteStatsTable[[#This Row],[GroupByKey]]),(DiscreteStatsTable[GroupByKey]=DiscreteStatsTable[[#This Row],[GroupByKey]])*DiscreteStatsTable[Average]))</f>
        <v>430.49034311020301</v>
      </c>
      <c r="S328" cm="1">
        <f t="array" ref="S328">MAX(IF((DiscreteStatsTable[GroupByKey]=DiscreteStatsTable[[#This Row],[GroupByKey]]),(DiscreteStatsTable[GroupByKey]=DiscreteStatsTable[[#This Row],[GroupByKey]])*DiscreteStatsTable[Average]))</f>
        <v>461.17560348385501</v>
      </c>
      <c r="T328" cm="1">
        <f t="array" ref="T328">MIN(IF((DiscreteStatsTable[GroupByKey]=DiscreteStatsTable[[#This Row],[GroupByKey]]),(DiscreteStatsTable[GroupByKey]=DiscreteStatsTable[[#This Row],[GroupByKey]])*DiscreteStatsTable[Minimum]))</f>
        <v>300.33280676452</v>
      </c>
      <c r="U328" cm="1">
        <f t="array" ref="U328">MAX(IF((DiscreteStatsTable[GroupByKey]=DiscreteStatsTable[[#This Row],[GroupByKey]]),(DiscreteStatsTable[GroupByKey]=DiscreteStatsTable[[#This Row],[GroupByKey]])*DiscreteStatsTable[Maximum]))</f>
        <v>599.937375794834</v>
      </c>
      <c r="V328" cm="1">
        <f t="array" ref="V328">IFERROR(AVERAGE(IF((DiscreteStatsTable[GroupByKey]=DiscreteStatsTable[[#This Row],[GroupByKey]]),(DiscreteStatsTable[GroupByKey]=DiscreteStatsTable[[#This Row],[GroupByKey]])*DiscreteStatsTable[NumberObservations])),0)</f>
        <v>118.7</v>
      </c>
      <c r="W328">
        <f>IF((DiscreteStatsTable[[#This Row],[RepsRequested]]&gt;1),DiscreteStatsTable[[#This Row],[HalfWidth]],DiscreteStatsTable[[#This Row],[BatchMeansHalfWidth]])</f>
        <v>7.2341658183478312</v>
      </c>
      <c r="X328" cm="1">
        <f t="array" ref="X328">COUNT(IF((DiscreteStatsTable[GroupByKey]=DiscreteStatsTable[[#This Row],[GroupByKey]]),(DiscreteStatsTable[GroupByKey]=DiscreteStatsTable[[#This Row],[GroupByKey]])*DiscreteStatsTable[Replication]))</f>
        <v>10</v>
      </c>
      <c r="Y328">
        <f>IF(DiscreteStatsTable[[#This Row],[RepsRequested]]=DiscreteStatsTable[[#This Row],[RepsWithStatObserved]],1,0)</f>
        <v>1</v>
      </c>
    </row>
    <row r="329" spans="1:25" x14ac:dyDescent="0.25">
      <c r="A329" t="s">
        <v>67</v>
      </c>
      <c r="B329" t="s">
        <v>243</v>
      </c>
      <c r="C329">
        <v>4</v>
      </c>
      <c r="D329" t="s">
        <v>242</v>
      </c>
      <c r="E329" t="s">
        <v>89</v>
      </c>
      <c r="F329" t="s">
        <v>87</v>
      </c>
      <c r="G329">
        <v>461.17560348385501</v>
      </c>
      <c r="H329">
        <v>2E+20</v>
      </c>
      <c r="I329">
        <v>301.66482074372499</v>
      </c>
      <c r="J329">
        <v>597.75906916047097</v>
      </c>
      <c r="K329">
        <v>116</v>
      </c>
      <c r="L329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329" cm="1">
        <f t="array" ref="M329">MAX(IF((ProjectInfoTable[ProjectName]=DiscreteStatsTable[[#This Row],[ProjectName]]),(ProjectInfoTable[ProjectName]=DiscreteStatsTable[[#This Row],[ProjectName]])*ProjectInfoTable[NumberOfReplications]))</f>
        <v>10</v>
      </c>
      <c r="N329" cm="1">
        <f t="array" ref="N329">IFERROR(AVERAGE(IF((DiscreteStatsTable[GroupByKey]=DiscreteStatsTable[[#This Row],[GroupByKey]]),(DiscreteStatsTable[GroupByKey]=DiscreteStatsTable[[#This Row],[GroupByKey]])*DiscreteStatsTable[Average])),0)</f>
        <v>446.86698906668488</v>
      </c>
      <c r="O329" cm="1">
        <f t="array" ref="O329">IFERROR(_xlfn.STDEV.S(IF((DiscreteStatsTable[GroupByKey]=DiscreteStatsTable[[#This Row],[GroupByKey]]),(DiscreteStatsTable[GroupByKey]=DiscreteStatsTable[[#This Row],[GroupByKey]])*DiscreteStatsTable[Average])),0)</f>
        <v>10.112666499712928</v>
      </c>
      <c r="P329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29" cm="1">
        <f t="array" ref="R329">MIN(IF((DiscreteStatsTable[GroupByKey]=DiscreteStatsTable[[#This Row],[GroupByKey]]),(DiscreteStatsTable[GroupByKey]=DiscreteStatsTable[[#This Row],[GroupByKey]])*DiscreteStatsTable[Average]))</f>
        <v>430.49034311020301</v>
      </c>
      <c r="S329" cm="1">
        <f t="array" ref="S329">MAX(IF((DiscreteStatsTable[GroupByKey]=DiscreteStatsTable[[#This Row],[GroupByKey]]),(DiscreteStatsTable[GroupByKey]=DiscreteStatsTable[[#This Row],[GroupByKey]])*DiscreteStatsTable[Average]))</f>
        <v>461.17560348385501</v>
      </c>
      <c r="T329" cm="1">
        <f t="array" ref="T329">MIN(IF((DiscreteStatsTable[GroupByKey]=DiscreteStatsTable[[#This Row],[GroupByKey]]),(DiscreteStatsTable[GroupByKey]=DiscreteStatsTable[[#This Row],[GroupByKey]])*DiscreteStatsTable[Minimum]))</f>
        <v>300.33280676452</v>
      </c>
      <c r="U329" cm="1">
        <f t="array" ref="U329">MAX(IF((DiscreteStatsTable[GroupByKey]=DiscreteStatsTable[[#This Row],[GroupByKey]]),(DiscreteStatsTable[GroupByKey]=DiscreteStatsTable[[#This Row],[GroupByKey]])*DiscreteStatsTable[Maximum]))</f>
        <v>599.937375794834</v>
      </c>
      <c r="V329" cm="1">
        <f t="array" ref="V329">IFERROR(AVERAGE(IF((DiscreteStatsTable[GroupByKey]=DiscreteStatsTable[[#This Row],[GroupByKey]]),(DiscreteStatsTable[GroupByKey]=DiscreteStatsTable[[#This Row],[GroupByKey]])*DiscreteStatsTable[NumberObservations])),0)</f>
        <v>118.7</v>
      </c>
      <c r="W329">
        <f>IF((DiscreteStatsTable[[#This Row],[RepsRequested]]&gt;1),DiscreteStatsTable[[#This Row],[HalfWidth]],DiscreteStatsTable[[#This Row],[BatchMeansHalfWidth]])</f>
        <v>7.2341658183478312</v>
      </c>
      <c r="X329" cm="1">
        <f t="array" ref="X329">COUNT(IF((DiscreteStatsTable[GroupByKey]=DiscreteStatsTable[[#This Row],[GroupByKey]]),(DiscreteStatsTable[GroupByKey]=DiscreteStatsTable[[#This Row],[GroupByKey]])*DiscreteStatsTable[Replication]))</f>
        <v>10</v>
      </c>
      <c r="Y329">
        <f>IF(DiscreteStatsTable[[#This Row],[RepsRequested]]=DiscreteStatsTable[[#This Row],[RepsWithStatObserved]],1,0)</f>
        <v>1</v>
      </c>
    </row>
    <row r="330" spans="1:25" x14ac:dyDescent="0.25">
      <c r="A330" t="s">
        <v>67</v>
      </c>
      <c r="B330" t="s">
        <v>243</v>
      </c>
      <c r="C330">
        <v>5</v>
      </c>
      <c r="D330" t="s">
        <v>242</v>
      </c>
      <c r="E330" t="s">
        <v>88</v>
      </c>
      <c r="F330" t="s">
        <v>87</v>
      </c>
      <c r="G330">
        <v>449.89861065413902</v>
      </c>
      <c r="H330">
        <v>2E+20</v>
      </c>
      <c r="I330">
        <v>301.11888745654102</v>
      </c>
      <c r="J330">
        <v>598.12280975925398</v>
      </c>
      <c r="K330">
        <v>116</v>
      </c>
      <c r="L330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330" cm="1">
        <f t="array" ref="M330">MAX(IF((ProjectInfoTable[ProjectName]=DiscreteStatsTable[[#This Row],[ProjectName]]),(ProjectInfoTable[ProjectName]=DiscreteStatsTable[[#This Row],[ProjectName]])*ProjectInfoTable[NumberOfReplications]))</f>
        <v>10</v>
      </c>
      <c r="N330" cm="1">
        <f t="array" ref="N330">IFERROR(AVERAGE(IF((DiscreteStatsTable[GroupByKey]=DiscreteStatsTable[[#This Row],[GroupByKey]]),(DiscreteStatsTable[GroupByKey]=DiscreteStatsTable[[#This Row],[GroupByKey]])*DiscreteStatsTable[Average])),0)</f>
        <v>446.86698906668488</v>
      </c>
      <c r="O330" cm="1">
        <f t="array" ref="O330">IFERROR(_xlfn.STDEV.S(IF((DiscreteStatsTable[GroupByKey]=DiscreteStatsTable[[#This Row],[GroupByKey]]),(DiscreteStatsTable[GroupByKey]=DiscreteStatsTable[[#This Row],[GroupByKey]])*DiscreteStatsTable[Average])),0)</f>
        <v>10.112666499712928</v>
      </c>
      <c r="P330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30" cm="1">
        <f t="array" ref="R330">MIN(IF((DiscreteStatsTable[GroupByKey]=DiscreteStatsTable[[#This Row],[GroupByKey]]),(DiscreteStatsTable[GroupByKey]=DiscreteStatsTable[[#This Row],[GroupByKey]])*DiscreteStatsTable[Average]))</f>
        <v>430.49034311020301</v>
      </c>
      <c r="S330" cm="1">
        <f t="array" ref="S330">MAX(IF((DiscreteStatsTable[GroupByKey]=DiscreteStatsTable[[#This Row],[GroupByKey]]),(DiscreteStatsTable[GroupByKey]=DiscreteStatsTable[[#This Row],[GroupByKey]])*DiscreteStatsTable[Average]))</f>
        <v>461.17560348385501</v>
      </c>
      <c r="T330" cm="1">
        <f t="array" ref="T330">MIN(IF((DiscreteStatsTable[GroupByKey]=DiscreteStatsTable[[#This Row],[GroupByKey]]),(DiscreteStatsTable[GroupByKey]=DiscreteStatsTable[[#This Row],[GroupByKey]])*DiscreteStatsTable[Minimum]))</f>
        <v>300.33280676452</v>
      </c>
      <c r="U330" cm="1">
        <f t="array" ref="U330">MAX(IF((DiscreteStatsTable[GroupByKey]=DiscreteStatsTable[[#This Row],[GroupByKey]]),(DiscreteStatsTable[GroupByKey]=DiscreteStatsTable[[#This Row],[GroupByKey]])*DiscreteStatsTable[Maximum]))</f>
        <v>599.937375794834</v>
      </c>
      <c r="V330" cm="1">
        <f t="array" ref="V330">IFERROR(AVERAGE(IF((DiscreteStatsTable[GroupByKey]=DiscreteStatsTable[[#This Row],[GroupByKey]]),(DiscreteStatsTable[GroupByKey]=DiscreteStatsTable[[#This Row],[GroupByKey]])*DiscreteStatsTable[NumberObservations])),0)</f>
        <v>118.7</v>
      </c>
      <c r="W330">
        <f>IF((DiscreteStatsTable[[#This Row],[RepsRequested]]&gt;1),DiscreteStatsTable[[#This Row],[HalfWidth]],DiscreteStatsTable[[#This Row],[BatchMeansHalfWidth]])</f>
        <v>7.2341658183478312</v>
      </c>
      <c r="X330" cm="1">
        <f t="array" ref="X330">COUNT(IF((DiscreteStatsTable[GroupByKey]=DiscreteStatsTable[[#This Row],[GroupByKey]]),(DiscreteStatsTable[GroupByKey]=DiscreteStatsTable[[#This Row],[GroupByKey]])*DiscreteStatsTable[Replication]))</f>
        <v>10</v>
      </c>
      <c r="Y330">
        <f>IF(DiscreteStatsTable[[#This Row],[RepsRequested]]=DiscreteStatsTable[[#This Row],[RepsWithStatObserved]],1,0)</f>
        <v>1</v>
      </c>
    </row>
    <row r="331" spans="1:25" x14ac:dyDescent="0.25">
      <c r="A331" t="s">
        <v>67</v>
      </c>
      <c r="B331" t="s">
        <v>243</v>
      </c>
      <c r="C331">
        <v>5</v>
      </c>
      <c r="D331" t="s">
        <v>242</v>
      </c>
      <c r="E331" t="s">
        <v>89</v>
      </c>
      <c r="F331" t="s">
        <v>87</v>
      </c>
      <c r="G331">
        <v>449.89861065413902</v>
      </c>
      <c r="H331">
        <v>2E+20</v>
      </c>
      <c r="I331">
        <v>301.11888745654102</v>
      </c>
      <c r="J331">
        <v>598.12280975925398</v>
      </c>
      <c r="K331">
        <v>116</v>
      </c>
      <c r="L331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331" cm="1">
        <f t="array" ref="M331">MAX(IF((ProjectInfoTable[ProjectName]=DiscreteStatsTable[[#This Row],[ProjectName]]),(ProjectInfoTable[ProjectName]=DiscreteStatsTable[[#This Row],[ProjectName]])*ProjectInfoTable[NumberOfReplications]))</f>
        <v>10</v>
      </c>
      <c r="N331" cm="1">
        <f t="array" ref="N331">IFERROR(AVERAGE(IF((DiscreteStatsTable[GroupByKey]=DiscreteStatsTable[[#This Row],[GroupByKey]]),(DiscreteStatsTable[GroupByKey]=DiscreteStatsTable[[#This Row],[GroupByKey]])*DiscreteStatsTable[Average])),0)</f>
        <v>446.86698906668488</v>
      </c>
      <c r="O331" cm="1">
        <f t="array" ref="O331">IFERROR(_xlfn.STDEV.S(IF((DiscreteStatsTable[GroupByKey]=DiscreteStatsTable[[#This Row],[GroupByKey]]),(DiscreteStatsTable[GroupByKey]=DiscreteStatsTable[[#This Row],[GroupByKey]])*DiscreteStatsTable[Average])),0)</f>
        <v>10.112666499712928</v>
      </c>
      <c r="P331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31" cm="1">
        <f t="array" ref="R331">MIN(IF((DiscreteStatsTable[GroupByKey]=DiscreteStatsTable[[#This Row],[GroupByKey]]),(DiscreteStatsTable[GroupByKey]=DiscreteStatsTable[[#This Row],[GroupByKey]])*DiscreteStatsTable[Average]))</f>
        <v>430.49034311020301</v>
      </c>
      <c r="S331" cm="1">
        <f t="array" ref="S331">MAX(IF((DiscreteStatsTable[GroupByKey]=DiscreteStatsTable[[#This Row],[GroupByKey]]),(DiscreteStatsTable[GroupByKey]=DiscreteStatsTable[[#This Row],[GroupByKey]])*DiscreteStatsTable[Average]))</f>
        <v>461.17560348385501</v>
      </c>
      <c r="T331" cm="1">
        <f t="array" ref="T331">MIN(IF((DiscreteStatsTable[GroupByKey]=DiscreteStatsTable[[#This Row],[GroupByKey]]),(DiscreteStatsTable[GroupByKey]=DiscreteStatsTable[[#This Row],[GroupByKey]])*DiscreteStatsTable[Minimum]))</f>
        <v>300.33280676452</v>
      </c>
      <c r="U331" cm="1">
        <f t="array" ref="U331">MAX(IF((DiscreteStatsTable[GroupByKey]=DiscreteStatsTable[[#This Row],[GroupByKey]]),(DiscreteStatsTable[GroupByKey]=DiscreteStatsTable[[#This Row],[GroupByKey]])*DiscreteStatsTable[Maximum]))</f>
        <v>599.937375794834</v>
      </c>
      <c r="V331" cm="1">
        <f t="array" ref="V331">IFERROR(AVERAGE(IF((DiscreteStatsTable[GroupByKey]=DiscreteStatsTable[[#This Row],[GroupByKey]]),(DiscreteStatsTable[GroupByKey]=DiscreteStatsTable[[#This Row],[GroupByKey]])*DiscreteStatsTable[NumberObservations])),0)</f>
        <v>118.7</v>
      </c>
      <c r="W331">
        <f>IF((DiscreteStatsTable[[#This Row],[RepsRequested]]&gt;1),DiscreteStatsTable[[#This Row],[HalfWidth]],DiscreteStatsTable[[#This Row],[BatchMeansHalfWidth]])</f>
        <v>7.2341658183478312</v>
      </c>
      <c r="X331" cm="1">
        <f t="array" ref="X331">COUNT(IF((DiscreteStatsTable[GroupByKey]=DiscreteStatsTable[[#This Row],[GroupByKey]]),(DiscreteStatsTable[GroupByKey]=DiscreteStatsTable[[#This Row],[GroupByKey]])*DiscreteStatsTable[Replication]))</f>
        <v>10</v>
      </c>
      <c r="Y331">
        <f>IF(DiscreteStatsTable[[#This Row],[RepsRequested]]=DiscreteStatsTable[[#This Row],[RepsWithStatObserved]],1,0)</f>
        <v>1</v>
      </c>
    </row>
    <row r="332" spans="1:25" x14ac:dyDescent="0.25">
      <c r="A332" t="s">
        <v>67</v>
      </c>
      <c r="B332" t="s">
        <v>243</v>
      </c>
      <c r="C332">
        <v>6</v>
      </c>
      <c r="D332" t="s">
        <v>242</v>
      </c>
      <c r="E332" t="s">
        <v>88</v>
      </c>
      <c r="F332" t="s">
        <v>87</v>
      </c>
      <c r="G332">
        <v>453.20797435289501</v>
      </c>
      <c r="H332">
        <v>2E+20</v>
      </c>
      <c r="I332">
        <v>300.33280676452</v>
      </c>
      <c r="J332">
        <v>598.14608253363997</v>
      </c>
      <c r="K332">
        <v>129</v>
      </c>
      <c r="L332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332" cm="1">
        <f t="array" ref="M332">MAX(IF((ProjectInfoTable[ProjectName]=DiscreteStatsTable[[#This Row],[ProjectName]]),(ProjectInfoTable[ProjectName]=DiscreteStatsTable[[#This Row],[ProjectName]])*ProjectInfoTable[NumberOfReplications]))</f>
        <v>10</v>
      </c>
      <c r="N332" cm="1">
        <f t="array" ref="N332">IFERROR(AVERAGE(IF((DiscreteStatsTable[GroupByKey]=DiscreteStatsTable[[#This Row],[GroupByKey]]),(DiscreteStatsTable[GroupByKey]=DiscreteStatsTable[[#This Row],[GroupByKey]])*DiscreteStatsTable[Average])),0)</f>
        <v>446.86698906668488</v>
      </c>
      <c r="O332" cm="1">
        <f t="array" ref="O332">IFERROR(_xlfn.STDEV.S(IF((DiscreteStatsTable[GroupByKey]=DiscreteStatsTable[[#This Row],[GroupByKey]]),(DiscreteStatsTable[GroupByKey]=DiscreteStatsTable[[#This Row],[GroupByKey]])*DiscreteStatsTable[Average])),0)</f>
        <v>10.112666499712928</v>
      </c>
      <c r="P332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32" cm="1">
        <f t="array" ref="R332">MIN(IF((DiscreteStatsTable[GroupByKey]=DiscreteStatsTable[[#This Row],[GroupByKey]]),(DiscreteStatsTable[GroupByKey]=DiscreteStatsTable[[#This Row],[GroupByKey]])*DiscreteStatsTable[Average]))</f>
        <v>430.49034311020301</v>
      </c>
      <c r="S332" cm="1">
        <f t="array" ref="S332">MAX(IF((DiscreteStatsTable[GroupByKey]=DiscreteStatsTable[[#This Row],[GroupByKey]]),(DiscreteStatsTable[GroupByKey]=DiscreteStatsTable[[#This Row],[GroupByKey]])*DiscreteStatsTable[Average]))</f>
        <v>461.17560348385501</v>
      </c>
      <c r="T332" cm="1">
        <f t="array" ref="T332">MIN(IF((DiscreteStatsTable[GroupByKey]=DiscreteStatsTable[[#This Row],[GroupByKey]]),(DiscreteStatsTable[GroupByKey]=DiscreteStatsTable[[#This Row],[GroupByKey]])*DiscreteStatsTable[Minimum]))</f>
        <v>300.33280676452</v>
      </c>
      <c r="U332" cm="1">
        <f t="array" ref="U332">MAX(IF((DiscreteStatsTable[GroupByKey]=DiscreteStatsTable[[#This Row],[GroupByKey]]),(DiscreteStatsTable[GroupByKey]=DiscreteStatsTable[[#This Row],[GroupByKey]])*DiscreteStatsTable[Maximum]))</f>
        <v>599.937375794834</v>
      </c>
      <c r="V332" cm="1">
        <f t="array" ref="V332">IFERROR(AVERAGE(IF((DiscreteStatsTable[GroupByKey]=DiscreteStatsTable[[#This Row],[GroupByKey]]),(DiscreteStatsTable[GroupByKey]=DiscreteStatsTable[[#This Row],[GroupByKey]])*DiscreteStatsTable[NumberObservations])),0)</f>
        <v>118.7</v>
      </c>
      <c r="W332">
        <f>IF((DiscreteStatsTable[[#This Row],[RepsRequested]]&gt;1),DiscreteStatsTable[[#This Row],[HalfWidth]],DiscreteStatsTable[[#This Row],[BatchMeansHalfWidth]])</f>
        <v>7.2341658183478312</v>
      </c>
      <c r="X332" cm="1">
        <f t="array" ref="X332">COUNT(IF((DiscreteStatsTable[GroupByKey]=DiscreteStatsTable[[#This Row],[GroupByKey]]),(DiscreteStatsTable[GroupByKey]=DiscreteStatsTable[[#This Row],[GroupByKey]])*DiscreteStatsTable[Replication]))</f>
        <v>10</v>
      </c>
      <c r="Y332">
        <f>IF(DiscreteStatsTable[[#This Row],[RepsRequested]]=DiscreteStatsTable[[#This Row],[RepsWithStatObserved]],1,0)</f>
        <v>1</v>
      </c>
    </row>
    <row r="333" spans="1:25" x14ac:dyDescent="0.25">
      <c r="A333" t="s">
        <v>67</v>
      </c>
      <c r="B333" t="s">
        <v>243</v>
      </c>
      <c r="C333">
        <v>6</v>
      </c>
      <c r="D333" t="s">
        <v>242</v>
      </c>
      <c r="E333" t="s">
        <v>89</v>
      </c>
      <c r="F333" t="s">
        <v>87</v>
      </c>
      <c r="G333">
        <v>453.20797435289501</v>
      </c>
      <c r="H333">
        <v>2E+20</v>
      </c>
      <c r="I333">
        <v>300.33280676452</v>
      </c>
      <c r="J333">
        <v>598.14608253363997</v>
      </c>
      <c r="K333">
        <v>129</v>
      </c>
      <c r="L333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333" cm="1">
        <f t="array" ref="M333">MAX(IF((ProjectInfoTable[ProjectName]=DiscreteStatsTable[[#This Row],[ProjectName]]),(ProjectInfoTable[ProjectName]=DiscreteStatsTable[[#This Row],[ProjectName]])*ProjectInfoTable[NumberOfReplications]))</f>
        <v>10</v>
      </c>
      <c r="N333" cm="1">
        <f t="array" ref="N333">IFERROR(AVERAGE(IF((DiscreteStatsTable[GroupByKey]=DiscreteStatsTable[[#This Row],[GroupByKey]]),(DiscreteStatsTable[GroupByKey]=DiscreteStatsTable[[#This Row],[GroupByKey]])*DiscreteStatsTable[Average])),0)</f>
        <v>446.86698906668488</v>
      </c>
      <c r="O333" cm="1">
        <f t="array" ref="O333">IFERROR(_xlfn.STDEV.S(IF((DiscreteStatsTable[GroupByKey]=DiscreteStatsTable[[#This Row],[GroupByKey]]),(DiscreteStatsTable[GroupByKey]=DiscreteStatsTable[[#This Row],[GroupByKey]])*DiscreteStatsTable[Average])),0)</f>
        <v>10.112666499712928</v>
      </c>
      <c r="P333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33" cm="1">
        <f t="array" ref="R333">MIN(IF((DiscreteStatsTable[GroupByKey]=DiscreteStatsTable[[#This Row],[GroupByKey]]),(DiscreteStatsTable[GroupByKey]=DiscreteStatsTable[[#This Row],[GroupByKey]])*DiscreteStatsTable[Average]))</f>
        <v>430.49034311020301</v>
      </c>
      <c r="S333" cm="1">
        <f t="array" ref="S333">MAX(IF((DiscreteStatsTable[GroupByKey]=DiscreteStatsTable[[#This Row],[GroupByKey]]),(DiscreteStatsTable[GroupByKey]=DiscreteStatsTable[[#This Row],[GroupByKey]])*DiscreteStatsTable[Average]))</f>
        <v>461.17560348385501</v>
      </c>
      <c r="T333" cm="1">
        <f t="array" ref="T333">MIN(IF((DiscreteStatsTable[GroupByKey]=DiscreteStatsTable[[#This Row],[GroupByKey]]),(DiscreteStatsTable[GroupByKey]=DiscreteStatsTable[[#This Row],[GroupByKey]])*DiscreteStatsTable[Minimum]))</f>
        <v>300.33280676452</v>
      </c>
      <c r="U333" cm="1">
        <f t="array" ref="U333">MAX(IF((DiscreteStatsTable[GroupByKey]=DiscreteStatsTable[[#This Row],[GroupByKey]]),(DiscreteStatsTable[GroupByKey]=DiscreteStatsTable[[#This Row],[GroupByKey]])*DiscreteStatsTable[Maximum]))</f>
        <v>599.937375794834</v>
      </c>
      <c r="V333" cm="1">
        <f t="array" ref="V333">IFERROR(AVERAGE(IF((DiscreteStatsTable[GroupByKey]=DiscreteStatsTable[[#This Row],[GroupByKey]]),(DiscreteStatsTable[GroupByKey]=DiscreteStatsTable[[#This Row],[GroupByKey]])*DiscreteStatsTable[NumberObservations])),0)</f>
        <v>118.7</v>
      </c>
      <c r="W333">
        <f>IF((DiscreteStatsTable[[#This Row],[RepsRequested]]&gt;1),DiscreteStatsTable[[#This Row],[HalfWidth]],DiscreteStatsTable[[#This Row],[BatchMeansHalfWidth]])</f>
        <v>7.2341658183478312</v>
      </c>
      <c r="X333" cm="1">
        <f t="array" ref="X333">COUNT(IF((DiscreteStatsTable[GroupByKey]=DiscreteStatsTable[[#This Row],[GroupByKey]]),(DiscreteStatsTable[GroupByKey]=DiscreteStatsTable[[#This Row],[GroupByKey]])*DiscreteStatsTable[Replication]))</f>
        <v>10</v>
      </c>
      <c r="Y333">
        <f>IF(DiscreteStatsTable[[#This Row],[RepsRequested]]=DiscreteStatsTable[[#This Row],[RepsWithStatObserved]],1,0)</f>
        <v>1</v>
      </c>
    </row>
    <row r="334" spans="1:25" x14ac:dyDescent="0.25">
      <c r="A334" t="s">
        <v>67</v>
      </c>
      <c r="B334" t="s">
        <v>243</v>
      </c>
      <c r="C334">
        <v>7</v>
      </c>
      <c r="D334" t="s">
        <v>242</v>
      </c>
      <c r="E334" t="s">
        <v>88</v>
      </c>
      <c r="F334" t="s">
        <v>87</v>
      </c>
      <c r="G334">
        <v>451.78315556601302</v>
      </c>
      <c r="H334">
        <v>2E+20</v>
      </c>
      <c r="I334">
        <v>300.66757377691101</v>
      </c>
      <c r="J334">
        <v>599.56500972830702</v>
      </c>
      <c r="K334">
        <v>141</v>
      </c>
      <c r="L334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334" cm="1">
        <f t="array" ref="M334">MAX(IF((ProjectInfoTable[ProjectName]=DiscreteStatsTable[[#This Row],[ProjectName]]),(ProjectInfoTable[ProjectName]=DiscreteStatsTable[[#This Row],[ProjectName]])*ProjectInfoTable[NumberOfReplications]))</f>
        <v>10</v>
      </c>
      <c r="N334" cm="1">
        <f t="array" ref="N334">IFERROR(AVERAGE(IF((DiscreteStatsTable[GroupByKey]=DiscreteStatsTable[[#This Row],[GroupByKey]]),(DiscreteStatsTable[GroupByKey]=DiscreteStatsTable[[#This Row],[GroupByKey]])*DiscreteStatsTable[Average])),0)</f>
        <v>446.86698906668488</v>
      </c>
      <c r="O334" cm="1">
        <f t="array" ref="O334">IFERROR(_xlfn.STDEV.S(IF((DiscreteStatsTable[GroupByKey]=DiscreteStatsTable[[#This Row],[GroupByKey]]),(DiscreteStatsTable[GroupByKey]=DiscreteStatsTable[[#This Row],[GroupByKey]])*DiscreteStatsTable[Average])),0)</f>
        <v>10.112666499712928</v>
      </c>
      <c r="P334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34" cm="1">
        <f t="array" ref="R334">MIN(IF((DiscreteStatsTable[GroupByKey]=DiscreteStatsTable[[#This Row],[GroupByKey]]),(DiscreteStatsTable[GroupByKey]=DiscreteStatsTable[[#This Row],[GroupByKey]])*DiscreteStatsTable[Average]))</f>
        <v>430.49034311020301</v>
      </c>
      <c r="S334" cm="1">
        <f t="array" ref="S334">MAX(IF((DiscreteStatsTable[GroupByKey]=DiscreteStatsTable[[#This Row],[GroupByKey]]),(DiscreteStatsTable[GroupByKey]=DiscreteStatsTable[[#This Row],[GroupByKey]])*DiscreteStatsTable[Average]))</f>
        <v>461.17560348385501</v>
      </c>
      <c r="T334" cm="1">
        <f t="array" ref="T334">MIN(IF((DiscreteStatsTable[GroupByKey]=DiscreteStatsTable[[#This Row],[GroupByKey]]),(DiscreteStatsTable[GroupByKey]=DiscreteStatsTable[[#This Row],[GroupByKey]])*DiscreteStatsTable[Minimum]))</f>
        <v>300.33280676452</v>
      </c>
      <c r="U334" cm="1">
        <f t="array" ref="U334">MAX(IF((DiscreteStatsTable[GroupByKey]=DiscreteStatsTable[[#This Row],[GroupByKey]]),(DiscreteStatsTable[GroupByKey]=DiscreteStatsTable[[#This Row],[GroupByKey]])*DiscreteStatsTable[Maximum]))</f>
        <v>599.937375794834</v>
      </c>
      <c r="V334" cm="1">
        <f t="array" ref="V334">IFERROR(AVERAGE(IF((DiscreteStatsTable[GroupByKey]=DiscreteStatsTable[[#This Row],[GroupByKey]]),(DiscreteStatsTable[GroupByKey]=DiscreteStatsTable[[#This Row],[GroupByKey]])*DiscreteStatsTable[NumberObservations])),0)</f>
        <v>118.7</v>
      </c>
      <c r="W334">
        <f>IF((DiscreteStatsTable[[#This Row],[RepsRequested]]&gt;1),DiscreteStatsTable[[#This Row],[HalfWidth]],DiscreteStatsTable[[#This Row],[BatchMeansHalfWidth]])</f>
        <v>7.2341658183478312</v>
      </c>
      <c r="X334" cm="1">
        <f t="array" ref="X334">COUNT(IF((DiscreteStatsTable[GroupByKey]=DiscreteStatsTable[[#This Row],[GroupByKey]]),(DiscreteStatsTable[GroupByKey]=DiscreteStatsTable[[#This Row],[GroupByKey]])*DiscreteStatsTable[Replication]))</f>
        <v>10</v>
      </c>
      <c r="Y334">
        <f>IF(DiscreteStatsTable[[#This Row],[RepsRequested]]=DiscreteStatsTable[[#This Row],[RepsWithStatObserved]],1,0)</f>
        <v>1</v>
      </c>
    </row>
    <row r="335" spans="1:25" x14ac:dyDescent="0.25">
      <c r="A335" t="s">
        <v>67</v>
      </c>
      <c r="B335" t="s">
        <v>243</v>
      </c>
      <c r="C335">
        <v>7</v>
      </c>
      <c r="D335" t="s">
        <v>242</v>
      </c>
      <c r="E335" t="s">
        <v>89</v>
      </c>
      <c r="F335" t="s">
        <v>87</v>
      </c>
      <c r="G335">
        <v>451.78315556601302</v>
      </c>
      <c r="H335">
        <v>2E+20</v>
      </c>
      <c r="I335">
        <v>300.66757377691101</v>
      </c>
      <c r="J335">
        <v>599.56500972830702</v>
      </c>
      <c r="K335">
        <v>141</v>
      </c>
      <c r="L335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335" cm="1">
        <f t="array" ref="M335">MAX(IF((ProjectInfoTable[ProjectName]=DiscreteStatsTable[[#This Row],[ProjectName]]),(ProjectInfoTable[ProjectName]=DiscreteStatsTable[[#This Row],[ProjectName]])*ProjectInfoTable[NumberOfReplications]))</f>
        <v>10</v>
      </c>
      <c r="N335" cm="1">
        <f t="array" ref="N335">IFERROR(AVERAGE(IF((DiscreteStatsTable[GroupByKey]=DiscreteStatsTable[[#This Row],[GroupByKey]]),(DiscreteStatsTable[GroupByKey]=DiscreteStatsTable[[#This Row],[GroupByKey]])*DiscreteStatsTable[Average])),0)</f>
        <v>446.86698906668488</v>
      </c>
      <c r="O335" cm="1">
        <f t="array" ref="O335">IFERROR(_xlfn.STDEV.S(IF((DiscreteStatsTable[GroupByKey]=DiscreteStatsTable[[#This Row],[GroupByKey]]),(DiscreteStatsTable[GroupByKey]=DiscreteStatsTable[[#This Row],[GroupByKey]])*DiscreteStatsTable[Average])),0)</f>
        <v>10.112666499712928</v>
      </c>
      <c r="P33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35" cm="1">
        <f t="array" ref="R335">MIN(IF((DiscreteStatsTable[GroupByKey]=DiscreteStatsTable[[#This Row],[GroupByKey]]),(DiscreteStatsTable[GroupByKey]=DiscreteStatsTable[[#This Row],[GroupByKey]])*DiscreteStatsTable[Average]))</f>
        <v>430.49034311020301</v>
      </c>
      <c r="S335" cm="1">
        <f t="array" ref="S335">MAX(IF((DiscreteStatsTable[GroupByKey]=DiscreteStatsTable[[#This Row],[GroupByKey]]),(DiscreteStatsTable[GroupByKey]=DiscreteStatsTable[[#This Row],[GroupByKey]])*DiscreteStatsTable[Average]))</f>
        <v>461.17560348385501</v>
      </c>
      <c r="T335" cm="1">
        <f t="array" ref="T335">MIN(IF((DiscreteStatsTable[GroupByKey]=DiscreteStatsTable[[#This Row],[GroupByKey]]),(DiscreteStatsTable[GroupByKey]=DiscreteStatsTable[[#This Row],[GroupByKey]])*DiscreteStatsTable[Minimum]))</f>
        <v>300.33280676452</v>
      </c>
      <c r="U335" cm="1">
        <f t="array" ref="U335">MAX(IF((DiscreteStatsTable[GroupByKey]=DiscreteStatsTable[[#This Row],[GroupByKey]]),(DiscreteStatsTable[GroupByKey]=DiscreteStatsTable[[#This Row],[GroupByKey]])*DiscreteStatsTable[Maximum]))</f>
        <v>599.937375794834</v>
      </c>
      <c r="V335" cm="1">
        <f t="array" ref="V335">IFERROR(AVERAGE(IF((DiscreteStatsTable[GroupByKey]=DiscreteStatsTable[[#This Row],[GroupByKey]]),(DiscreteStatsTable[GroupByKey]=DiscreteStatsTable[[#This Row],[GroupByKey]])*DiscreteStatsTable[NumberObservations])),0)</f>
        <v>118.7</v>
      </c>
      <c r="W335">
        <f>IF((DiscreteStatsTable[[#This Row],[RepsRequested]]&gt;1),DiscreteStatsTable[[#This Row],[HalfWidth]],DiscreteStatsTable[[#This Row],[BatchMeansHalfWidth]])</f>
        <v>7.2341658183478312</v>
      </c>
      <c r="X335" cm="1">
        <f t="array" ref="X335">COUNT(IF((DiscreteStatsTable[GroupByKey]=DiscreteStatsTable[[#This Row],[GroupByKey]]),(DiscreteStatsTable[GroupByKey]=DiscreteStatsTable[[#This Row],[GroupByKey]])*DiscreteStatsTable[Replication]))</f>
        <v>10</v>
      </c>
      <c r="Y335">
        <f>IF(DiscreteStatsTable[[#This Row],[RepsRequested]]=DiscreteStatsTable[[#This Row],[RepsWithStatObserved]],1,0)</f>
        <v>1</v>
      </c>
    </row>
    <row r="336" spans="1:25" x14ac:dyDescent="0.25">
      <c r="A336" t="s">
        <v>67</v>
      </c>
      <c r="B336" t="s">
        <v>243</v>
      </c>
      <c r="C336">
        <v>8</v>
      </c>
      <c r="D336" t="s">
        <v>242</v>
      </c>
      <c r="E336" t="s">
        <v>88</v>
      </c>
      <c r="F336" t="s">
        <v>87</v>
      </c>
      <c r="G336">
        <v>447.034433646926</v>
      </c>
      <c r="H336">
        <v>2E+20</v>
      </c>
      <c r="I336">
        <v>300.37488992753799</v>
      </c>
      <c r="J336">
        <v>596.94835007243103</v>
      </c>
      <c r="K336">
        <v>117</v>
      </c>
      <c r="L336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336" cm="1">
        <f t="array" ref="M336">MAX(IF((ProjectInfoTable[ProjectName]=DiscreteStatsTable[[#This Row],[ProjectName]]),(ProjectInfoTable[ProjectName]=DiscreteStatsTable[[#This Row],[ProjectName]])*ProjectInfoTable[NumberOfReplications]))</f>
        <v>10</v>
      </c>
      <c r="N336" cm="1">
        <f t="array" ref="N336">IFERROR(AVERAGE(IF((DiscreteStatsTable[GroupByKey]=DiscreteStatsTable[[#This Row],[GroupByKey]]),(DiscreteStatsTable[GroupByKey]=DiscreteStatsTable[[#This Row],[GroupByKey]])*DiscreteStatsTable[Average])),0)</f>
        <v>446.86698906668488</v>
      </c>
      <c r="O336" cm="1">
        <f t="array" ref="O336">IFERROR(_xlfn.STDEV.S(IF((DiscreteStatsTable[GroupByKey]=DiscreteStatsTable[[#This Row],[GroupByKey]]),(DiscreteStatsTable[GroupByKey]=DiscreteStatsTable[[#This Row],[GroupByKey]])*DiscreteStatsTable[Average])),0)</f>
        <v>10.112666499712928</v>
      </c>
      <c r="P336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36" cm="1">
        <f t="array" ref="R336">MIN(IF((DiscreteStatsTable[GroupByKey]=DiscreteStatsTable[[#This Row],[GroupByKey]]),(DiscreteStatsTable[GroupByKey]=DiscreteStatsTable[[#This Row],[GroupByKey]])*DiscreteStatsTable[Average]))</f>
        <v>430.49034311020301</v>
      </c>
      <c r="S336" cm="1">
        <f t="array" ref="S336">MAX(IF((DiscreteStatsTable[GroupByKey]=DiscreteStatsTable[[#This Row],[GroupByKey]]),(DiscreteStatsTable[GroupByKey]=DiscreteStatsTable[[#This Row],[GroupByKey]])*DiscreteStatsTable[Average]))</f>
        <v>461.17560348385501</v>
      </c>
      <c r="T336" cm="1">
        <f t="array" ref="T336">MIN(IF((DiscreteStatsTable[GroupByKey]=DiscreteStatsTable[[#This Row],[GroupByKey]]),(DiscreteStatsTable[GroupByKey]=DiscreteStatsTable[[#This Row],[GroupByKey]])*DiscreteStatsTable[Minimum]))</f>
        <v>300.33280676452</v>
      </c>
      <c r="U336" cm="1">
        <f t="array" ref="U336">MAX(IF((DiscreteStatsTable[GroupByKey]=DiscreteStatsTable[[#This Row],[GroupByKey]]),(DiscreteStatsTable[GroupByKey]=DiscreteStatsTable[[#This Row],[GroupByKey]])*DiscreteStatsTable[Maximum]))</f>
        <v>599.937375794834</v>
      </c>
      <c r="V336" cm="1">
        <f t="array" ref="V336">IFERROR(AVERAGE(IF((DiscreteStatsTable[GroupByKey]=DiscreteStatsTable[[#This Row],[GroupByKey]]),(DiscreteStatsTable[GroupByKey]=DiscreteStatsTable[[#This Row],[GroupByKey]])*DiscreteStatsTable[NumberObservations])),0)</f>
        <v>118.7</v>
      </c>
      <c r="W336">
        <f>IF((DiscreteStatsTable[[#This Row],[RepsRequested]]&gt;1),DiscreteStatsTable[[#This Row],[HalfWidth]],DiscreteStatsTable[[#This Row],[BatchMeansHalfWidth]])</f>
        <v>7.2341658183478312</v>
      </c>
      <c r="X336" cm="1">
        <f t="array" ref="X336">COUNT(IF((DiscreteStatsTable[GroupByKey]=DiscreteStatsTable[[#This Row],[GroupByKey]]),(DiscreteStatsTable[GroupByKey]=DiscreteStatsTable[[#This Row],[GroupByKey]])*DiscreteStatsTable[Replication]))</f>
        <v>10</v>
      </c>
      <c r="Y336">
        <f>IF(DiscreteStatsTable[[#This Row],[RepsRequested]]=DiscreteStatsTable[[#This Row],[RepsWithStatObserved]],1,0)</f>
        <v>1</v>
      </c>
    </row>
    <row r="337" spans="1:25" x14ac:dyDescent="0.25">
      <c r="A337" t="s">
        <v>67</v>
      </c>
      <c r="B337" t="s">
        <v>243</v>
      </c>
      <c r="C337">
        <v>8</v>
      </c>
      <c r="D337" t="s">
        <v>242</v>
      </c>
      <c r="E337" t="s">
        <v>89</v>
      </c>
      <c r="F337" t="s">
        <v>87</v>
      </c>
      <c r="G337">
        <v>447.034433646926</v>
      </c>
      <c r="H337">
        <v>2E+20</v>
      </c>
      <c r="I337">
        <v>300.37488992753799</v>
      </c>
      <c r="J337">
        <v>596.94835007243103</v>
      </c>
      <c r="K337">
        <v>117</v>
      </c>
      <c r="L337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337" cm="1">
        <f t="array" ref="M337">MAX(IF((ProjectInfoTable[ProjectName]=DiscreteStatsTable[[#This Row],[ProjectName]]),(ProjectInfoTable[ProjectName]=DiscreteStatsTable[[#This Row],[ProjectName]])*ProjectInfoTable[NumberOfReplications]))</f>
        <v>10</v>
      </c>
      <c r="N337" cm="1">
        <f t="array" ref="N337">IFERROR(AVERAGE(IF((DiscreteStatsTable[GroupByKey]=DiscreteStatsTable[[#This Row],[GroupByKey]]),(DiscreteStatsTable[GroupByKey]=DiscreteStatsTable[[#This Row],[GroupByKey]])*DiscreteStatsTable[Average])),0)</f>
        <v>446.86698906668488</v>
      </c>
      <c r="O337" cm="1">
        <f t="array" ref="O337">IFERROR(_xlfn.STDEV.S(IF((DiscreteStatsTable[GroupByKey]=DiscreteStatsTable[[#This Row],[GroupByKey]]),(DiscreteStatsTable[GroupByKey]=DiscreteStatsTable[[#This Row],[GroupByKey]])*DiscreteStatsTable[Average])),0)</f>
        <v>10.112666499712928</v>
      </c>
      <c r="P337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37" cm="1">
        <f t="array" ref="R337">MIN(IF((DiscreteStatsTable[GroupByKey]=DiscreteStatsTable[[#This Row],[GroupByKey]]),(DiscreteStatsTable[GroupByKey]=DiscreteStatsTable[[#This Row],[GroupByKey]])*DiscreteStatsTable[Average]))</f>
        <v>430.49034311020301</v>
      </c>
      <c r="S337" cm="1">
        <f t="array" ref="S337">MAX(IF((DiscreteStatsTable[GroupByKey]=DiscreteStatsTable[[#This Row],[GroupByKey]]),(DiscreteStatsTable[GroupByKey]=DiscreteStatsTable[[#This Row],[GroupByKey]])*DiscreteStatsTable[Average]))</f>
        <v>461.17560348385501</v>
      </c>
      <c r="T337" cm="1">
        <f t="array" ref="T337">MIN(IF((DiscreteStatsTable[GroupByKey]=DiscreteStatsTable[[#This Row],[GroupByKey]]),(DiscreteStatsTable[GroupByKey]=DiscreteStatsTable[[#This Row],[GroupByKey]])*DiscreteStatsTable[Minimum]))</f>
        <v>300.33280676452</v>
      </c>
      <c r="U337" cm="1">
        <f t="array" ref="U337">MAX(IF((DiscreteStatsTable[GroupByKey]=DiscreteStatsTable[[#This Row],[GroupByKey]]),(DiscreteStatsTable[GroupByKey]=DiscreteStatsTable[[#This Row],[GroupByKey]])*DiscreteStatsTable[Maximum]))</f>
        <v>599.937375794834</v>
      </c>
      <c r="V337" cm="1">
        <f t="array" ref="V337">IFERROR(AVERAGE(IF((DiscreteStatsTable[GroupByKey]=DiscreteStatsTable[[#This Row],[GroupByKey]]),(DiscreteStatsTable[GroupByKey]=DiscreteStatsTable[[#This Row],[GroupByKey]])*DiscreteStatsTable[NumberObservations])),0)</f>
        <v>118.7</v>
      </c>
      <c r="W337">
        <f>IF((DiscreteStatsTable[[#This Row],[RepsRequested]]&gt;1),DiscreteStatsTable[[#This Row],[HalfWidth]],DiscreteStatsTable[[#This Row],[BatchMeansHalfWidth]])</f>
        <v>7.2341658183478312</v>
      </c>
      <c r="X337" cm="1">
        <f t="array" ref="X337">COUNT(IF((DiscreteStatsTable[GroupByKey]=DiscreteStatsTable[[#This Row],[GroupByKey]]),(DiscreteStatsTable[GroupByKey]=DiscreteStatsTable[[#This Row],[GroupByKey]])*DiscreteStatsTable[Replication]))</f>
        <v>10</v>
      </c>
      <c r="Y337">
        <f>IF(DiscreteStatsTable[[#This Row],[RepsRequested]]=DiscreteStatsTable[[#This Row],[RepsWithStatObserved]],1,0)</f>
        <v>1</v>
      </c>
    </row>
    <row r="338" spans="1:25" x14ac:dyDescent="0.25">
      <c r="A338" t="s">
        <v>67</v>
      </c>
      <c r="B338" t="s">
        <v>243</v>
      </c>
      <c r="C338">
        <v>9</v>
      </c>
      <c r="D338" t="s">
        <v>242</v>
      </c>
      <c r="E338" t="s">
        <v>88</v>
      </c>
      <c r="F338" t="s">
        <v>87</v>
      </c>
      <c r="G338">
        <v>430.49034311020301</v>
      </c>
      <c r="H338">
        <v>2E+20</v>
      </c>
      <c r="I338">
        <v>303.25672535240301</v>
      </c>
      <c r="J338">
        <v>598.31204499286798</v>
      </c>
      <c r="K338">
        <v>118</v>
      </c>
      <c r="L338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338" cm="1">
        <f t="array" ref="M338">MAX(IF((ProjectInfoTable[ProjectName]=DiscreteStatsTable[[#This Row],[ProjectName]]),(ProjectInfoTable[ProjectName]=DiscreteStatsTable[[#This Row],[ProjectName]])*ProjectInfoTable[NumberOfReplications]))</f>
        <v>10</v>
      </c>
      <c r="N338" cm="1">
        <f t="array" ref="N338">IFERROR(AVERAGE(IF((DiscreteStatsTable[GroupByKey]=DiscreteStatsTable[[#This Row],[GroupByKey]]),(DiscreteStatsTable[GroupByKey]=DiscreteStatsTable[[#This Row],[GroupByKey]])*DiscreteStatsTable[Average])),0)</f>
        <v>446.86698906668488</v>
      </c>
      <c r="O338" cm="1">
        <f t="array" ref="O338">IFERROR(_xlfn.STDEV.S(IF((DiscreteStatsTable[GroupByKey]=DiscreteStatsTable[[#This Row],[GroupByKey]]),(DiscreteStatsTable[GroupByKey]=DiscreteStatsTable[[#This Row],[GroupByKey]])*DiscreteStatsTable[Average])),0)</f>
        <v>10.112666499712928</v>
      </c>
      <c r="P338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38" cm="1">
        <f t="array" ref="R338">MIN(IF((DiscreteStatsTable[GroupByKey]=DiscreteStatsTable[[#This Row],[GroupByKey]]),(DiscreteStatsTable[GroupByKey]=DiscreteStatsTable[[#This Row],[GroupByKey]])*DiscreteStatsTable[Average]))</f>
        <v>430.49034311020301</v>
      </c>
      <c r="S338" cm="1">
        <f t="array" ref="S338">MAX(IF((DiscreteStatsTable[GroupByKey]=DiscreteStatsTable[[#This Row],[GroupByKey]]),(DiscreteStatsTable[GroupByKey]=DiscreteStatsTable[[#This Row],[GroupByKey]])*DiscreteStatsTable[Average]))</f>
        <v>461.17560348385501</v>
      </c>
      <c r="T338" cm="1">
        <f t="array" ref="T338">MIN(IF((DiscreteStatsTable[GroupByKey]=DiscreteStatsTable[[#This Row],[GroupByKey]]),(DiscreteStatsTable[GroupByKey]=DiscreteStatsTable[[#This Row],[GroupByKey]])*DiscreteStatsTable[Minimum]))</f>
        <v>300.33280676452</v>
      </c>
      <c r="U338" cm="1">
        <f t="array" ref="U338">MAX(IF((DiscreteStatsTable[GroupByKey]=DiscreteStatsTable[[#This Row],[GroupByKey]]),(DiscreteStatsTable[GroupByKey]=DiscreteStatsTable[[#This Row],[GroupByKey]])*DiscreteStatsTable[Maximum]))</f>
        <v>599.937375794834</v>
      </c>
      <c r="V338" cm="1">
        <f t="array" ref="V338">IFERROR(AVERAGE(IF((DiscreteStatsTable[GroupByKey]=DiscreteStatsTable[[#This Row],[GroupByKey]]),(DiscreteStatsTable[GroupByKey]=DiscreteStatsTable[[#This Row],[GroupByKey]])*DiscreteStatsTable[NumberObservations])),0)</f>
        <v>118.7</v>
      </c>
      <c r="W338">
        <f>IF((DiscreteStatsTable[[#This Row],[RepsRequested]]&gt;1),DiscreteStatsTable[[#This Row],[HalfWidth]],DiscreteStatsTable[[#This Row],[BatchMeansHalfWidth]])</f>
        <v>7.2341658183478312</v>
      </c>
      <c r="X338" cm="1">
        <f t="array" ref="X338">COUNT(IF((DiscreteStatsTable[GroupByKey]=DiscreteStatsTable[[#This Row],[GroupByKey]]),(DiscreteStatsTable[GroupByKey]=DiscreteStatsTable[[#This Row],[GroupByKey]])*DiscreteStatsTable[Replication]))</f>
        <v>10</v>
      </c>
      <c r="Y338">
        <f>IF(DiscreteStatsTable[[#This Row],[RepsRequested]]=DiscreteStatsTable[[#This Row],[RepsWithStatObserved]],1,0)</f>
        <v>1</v>
      </c>
    </row>
    <row r="339" spans="1:25" x14ac:dyDescent="0.25">
      <c r="A339" t="s">
        <v>67</v>
      </c>
      <c r="B339" t="s">
        <v>243</v>
      </c>
      <c r="C339">
        <v>9</v>
      </c>
      <c r="D339" t="s">
        <v>242</v>
      </c>
      <c r="E339" t="s">
        <v>89</v>
      </c>
      <c r="F339" t="s">
        <v>87</v>
      </c>
      <c r="G339">
        <v>430.49034311020301</v>
      </c>
      <c r="H339">
        <v>2E+20</v>
      </c>
      <c r="I339">
        <v>303.25672535240301</v>
      </c>
      <c r="J339">
        <v>598.31204499286798</v>
      </c>
      <c r="K339">
        <v>118</v>
      </c>
      <c r="L339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339" cm="1">
        <f t="array" ref="M339">MAX(IF((ProjectInfoTable[ProjectName]=DiscreteStatsTable[[#This Row],[ProjectName]]),(ProjectInfoTable[ProjectName]=DiscreteStatsTable[[#This Row],[ProjectName]])*ProjectInfoTable[NumberOfReplications]))</f>
        <v>10</v>
      </c>
      <c r="N339" cm="1">
        <f t="array" ref="N339">IFERROR(AVERAGE(IF((DiscreteStatsTable[GroupByKey]=DiscreteStatsTable[[#This Row],[GroupByKey]]),(DiscreteStatsTable[GroupByKey]=DiscreteStatsTable[[#This Row],[GroupByKey]])*DiscreteStatsTable[Average])),0)</f>
        <v>446.86698906668488</v>
      </c>
      <c r="O339" cm="1">
        <f t="array" ref="O339">IFERROR(_xlfn.STDEV.S(IF((DiscreteStatsTable[GroupByKey]=DiscreteStatsTable[[#This Row],[GroupByKey]]),(DiscreteStatsTable[GroupByKey]=DiscreteStatsTable[[#This Row],[GroupByKey]])*DiscreteStatsTable[Average])),0)</f>
        <v>10.112666499712928</v>
      </c>
      <c r="P339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39" cm="1">
        <f t="array" ref="R339">MIN(IF((DiscreteStatsTable[GroupByKey]=DiscreteStatsTable[[#This Row],[GroupByKey]]),(DiscreteStatsTable[GroupByKey]=DiscreteStatsTable[[#This Row],[GroupByKey]])*DiscreteStatsTable[Average]))</f>
        <v>430.49034311020301</v>
      </c>
      <c r="S339" cm="1">
        <f t="array" ref="S339">MAX(IF((DiscreteStatsTable[GroupByKey]=DiscreteStatsTable[[#This Row],[GroupByKey]]),(DiscreteStatsTable[GroupByKey]=DiscreteStatsTable[[#This Row],[GroupByKey]])*DiscreteStatsTable[Average]))</f>
        <v>461.17560348385501</v>
      </c>
      <c r="T339" cm="1">
        <f t="array" ref="T339">MIN(IF((DiscreteStatsTable[GroupByKey]=DiscreteStatsTable[[#This Row],[GroupByKey]]),(DiscreteStatsTable[GroupByKey]=DiscreteStatsTable[[#This Row],[GroupByKey]])*DiscreteStatsTable[Minimum]))</f>
        <v>300.33280676452</v>
      </c>
      <c r="U339" cm="1">
        <f t="array" ref="U339">MAX(IF((DiscreteStatsTable[GroupByKey]=DiscreteStatsTable[[#This Row],[GroupByKey]]),(DiscreteStatsTable[GroupByKey]=DiscreteStatsTable[[#This Row],[GroupByKey]])*DiscreteStatsTable[Maximum]))</f>
        <v>599.937375794834</v>
      </c>
      <c r="V339" cm="1">
        <f t="array" ref="V339">IFERROR(AVERAGE(IF((DiscreteStatsTable[GroupByKey]=DiscreteStatsTable[[#This Row],[GroupByKey]]),(DiscreteStatsTable[GroupByKey]=DiscreteStatsTable[[#This Row],[GroupByKey]])*DiscreteStatsTable[NumberObservations])),0)</f>
        <v>118.7</v>
      </c>
      <c r="W339">
        <f>IF((DiscreteStatsTable[[#This Row],[RepsRequested]]&gt;1),DiscreteStatsTable[[#This Row],[HalfWidth]],DiscreteStatsTable[[#This Row],[BatchMeansHalfWidth]])</f>
        <v>7.2341658183478312</v>
      </c>
      <c r="X339" cm="1">
        <f t="array" ref="X339">COUNT(IF((DiscreteStatsTable[GroupByKey]=DiscreteStatsTable[[#This Row],[GroupByKey]]),(DiscreteStatsTable[GroupByKey]=DiscreteStatsTable[[#This Row],[GroupByKey]])*DiscreteStatsTable[Replication]))</f>
        <v>10</v>
      </c>
      <c r="Y339">
        <f>IF(DiscreteStatsTable[[#This Row],[RepsRequested]]=DiscreteStatsTable[[#This Row],[RepsWithStatObserved]],1,0)</f>
        <v>1</v>
      </c>
    </row>
    <row r="340" spans="1:25" x14ac:dyDescent="0.25">
      <c r="A340" t="s">
        <v>67</v>
      </c>
      <c r="B340" t="s">
        <v>243</v>
      </c>
      <c r="C340">
        <v>10</v>
      </c>
      <c r="D340" t="s">
        <v>242</v>
      </c>
      <c r="E340" t="s">
        <v>88</v>
      </c>
      <c r="F340" t="s">
        <v>87</v>
      </c>
      <c r="G340">
        <v>436.01862435573202</v>
      </c>
      <c r="H340">
        <v>2E+20</v>
      </c>
      <c r="I340">
        <v>304.257541822706</v>
      </c>
      <c r="J340">
        <v>597.90141854001604</v>
      </c>
      <c r="K340">
        <v>119</v>
      </c>
      <c r="L340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340" cm="1">
        <f t="array" ref="M340">MAX(IF((ProjectInfoTable[ProjectName]=DiscreteStatsTable[[#This Row],[ProjectName]]),(ProjectInfoTable[ProjectName]=DiscreteStatsTable[[#This Row],[ProjectName]])*ProjectInfoTable[NumberOfReplications]))</f>
        <v>10</v>
      </c>
      <c r="N340" cm="1">
        <f t="array" ref="N340">IFERROR(AVERAGE(IF((DiscreteStatsTable[GroupByKey]=DiscreteStatsTable[[#This Row],[GroupByKey]]),(DiscreteStatsTable[GroupByKey]=DiscreteStatsTable[[#This Row],[GroupByKey]])*DiscreteStatsTable[Average])),0)</f>
        <v>446.86698906668488</v>
      </c>
      <c r="O340" cm="1">
        <f t="array" ref="O340">IFERROR(_xlfn.STDEV.S(IF((DiscreteStatsTable[GroupByKey]=DiscreteStatsTable[[#This Row],[GroupByKey]]),(DiscreteStatsTable[GroupByKey]=DiscreteStatsTable[[#This Row],[GroupByKey]])*DiscreteStatsTable[Average])),0)</f>
        <v>10.112666499712928</v>
      </c>
      <c r="P340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40" cm="1">
        <f t="array" ref="R340">MIN(IF((DiscreteStatsTable[GroupByKey]=DiscreteStatsTable[[#This Row],[GroupByKey]]),(DiscreteStatsTable[GroupByKey]=DiscreteStatsTable[[#This Row],[GroupByKey]])*DiscreteStatsTable[Average]))</f>
        <v>430.49034311020301</v>
      </c>
      <c r="S340" cm="1">
        <f t="array" ref="S340">MAX(IF((DiscreteStatsTable[GroupByKey]=DiscreteStatsTable[[#This Row],[GroupByKey]]),(DiscreteStatsTable[GroupByKey]=DiscreteStatsTable[[#This Row],[GroupByKey]])*DiscreteStatsTable[Average]))</f>
        <v>461.17560348385501</v>
      </c>
      <c r="T340" cm="1">
        <f t="array" ref="T340">MIN(IF((DiscreteStatsTable[GroupByKey]=DiscreteStatsTable[[#This Row],[GroupByKey]]),(DiscreteStatsTable[GroupByKey]=DiscreteStatsTable[[#This Row],[GroupByKey]])*DiscreteStatsTable[Minimum]))</f>
        <v>300.33280676452</v>
      </c>
      <c r="U340" cm="1">
        <f t="array" ref="U340">MAX(IF((DiscreteStatsTable[GroupByKey]=DiscreteStatsTable[[#This Row],[GroupByKey]]),(DiscreteStatsTable[GroupByKey]=DiscreteStatsTable[[#This Row],[GroupByKey]])*DiscreteStatsTable[Maximum]))</f>
        <v>599.937375794834</v>
      </c>
      <c r="V340" cm="1">
        <f t="array" ref="V340">IFERROR(AVERAGE(IF((DiscreteStatsTable[GroupByKey]=DiscreteStatsTable[[#This Row],[GroupByKey]]),(DiscreteStatsTable[GroupByKey]=DiscreteStatsTable[[#This Row],[GroupByKey]])*DiscreteStatsTable[NumberObservations])),0)</f>
        <v>118.7</v>
      </c>
      <c r="W340">
        <f>IF((DiscreteStatsTable[[#This Row],[RepsRequested]]&gt;1),DiscreteStatsTable[[#This Row],[HalfWidth]],DiscreteStatsTable[[#This Row],[BatchMeansHalfWidth]])</f>
        <v>7.2341658183478312</v>
      </c>
      <c r="X340" cm="1">
        <f t="array" ref="X340">COUNT(IF((DiscreteStatsTable[GroupByKey]=DiscreteStatsTable[[#This Row],[GroupByKey]]),(DiscreteStatsTable[GroupByKey]=DiscreteStatsTable[[#This Row],[GroupByKey]])*DiscreteStatsTable[Replication]))</f>
        <v>10</v>
      </c>
      <c r="Y340">
        <f>IF(DiscreteStatsTable[[#This Row],[RepsRequested]]=DiscreteStatsTable[[#This Row],[RepsWithStatObserved]],1,0)</f>
        <v>1</v>
      </c>
    </row>
    <row r="341" spans="1:25" x14ac:dyDescent="0.25">
      <c r="A341" t="s">
        <v>67</v>
      </c>
      <c r="B341" t="s">
        <v>243</v>
      </c>
      <c r="C341">
        <v>10</v>
      </c>
      <c r="D341" t="s">
        <v>242</v>
      </c>
      <c r="E341" t="s">
        <v>89</v>
      </c>
      <c r="F341" t="s">
        <v>87</v>
      </c>
      <c r="G341">
        <v>436.01862435573202</v>
      </c>
      <c r="H341">
        <v>2E+20</v>
      </c>
      <c r="I341">
        <v>304.257541822706</v>
      </c>
      <c r="J341">
        <v>597.90141854001604</v>
      </c>
      <c r="K341">
        <v>119</v>
      </c>
      <c r="L341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341" cm="1">
        <f t="array" ref="M341">MAX(IF((ProjectInfoTable[ProjectName]=DiscreteStatsTable[[#This Row],[ProjectName]]),(ProjectInfoTable[ProjectName]=DiscreteStatsTable[[#This Row],[ProjectName]])*ProjectInfoTable[NumberOfReplications]))</f>
        <v>10</v>
      </c>
      <c r="N341" cm="1">
        <f t="array" ref="N341">IFERROR(AVERAGE(IF((DiscreteStatsTable[GroupByKey]=DiscreteStatsTable[[#This Row],[GroupByKey]]),(DiscreteStatsTable[GroupByKey]=DiscreteStatsTable[[#This Row],[GroupByKey]])*DiscreteStatsTable[Average])),0)</f>
        <v>446.86698906668488</v>
      </c>
      <c r="O341" cm="1">
        <f t="array" ref="O341">IFERROR(_xlfn.STDEV.S(IF((DiscreteStatsTable[GroupByKey]=DiscreteStatsTable[[#This Row],[GroupByKey]]),(DiscreteStatsTable[GroupByKey]=DiscreteStatsTable[[#This Row],[GroupByKey]])*DiscreteStatsTable[Average])),0)</f>
        <v>10.112666499712928</v>
      </c>
      <c r="P341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7.2341658183478312</v>
      </c>
      <c r="R341" cm="1">
        <f t="array" ref="R341">MIN(IF((DiscreteStatsTable[GroupByKey]=DiscreteStatsTable[[#This Row],[GroupByKey]]),(DiscreteStatsTable[GroupByKey]=DiscreteStatsTable[[#This Row],[GroupByKey]])*DiscreteStatsTable[Average]))</f>
        <v>430.49034311020301</v>
      </c>
      <c r="S341" cm="1">
        <f t="array" ref="S341">MAX(IF((DiscreteStatsTable[GroupByKey]=DiscreteStatsTable[[#This Row],[GroupByKey]]),(DiscreteStatsTable[GroupByKey]=DiscreteStatsTable[[#This Row],[GroupByKey]])*DiscreteStatsTable[Average]))</f>
        <v>461.17560348385501</v>
      </c>
      <c r="T341" cm="1">
        <f t="array" ref="T341">MIN(IF((DiscreteStatsTable[GroupByKey]=DiscreteStatsTable[[#This Row],[GroupByKey]]),(DiscreteStatsTable[GroupByKey]=DiscreteStatsTable[[#This Row],[GroupByKey]])*DiscreteStatsTable[Minimum]))</f>
        <v>300.33280676452</v>
      </c>
      <c r="U341" cm="1">
        <f t="array" ref="U341">MAX(IF((DiscreteStatsTable[GroupByKey]=DiscreteStatsTable[[#This Row],[GroupByKey]]),(DiscreteStatsTable[GroupByKey]=DiscreteStatsTable[[#This Row],[GroupByKey]])*DiscreteStatsTable[Maximum]))</f>
        <v>599.937375794834</v>
      </c>
      <c r="V341" cm="1">
        <f t="array" ref="V341">IFERROR(AVERAGE(IF((DiscreteStatsTable[GroupByKey]=DiscreteStatsTable[[#This Row],[GroupByKey]]),(DiscreteStatsTable[GroupByKey]=DiscreteStatsTable[[#This Row],[GroupByKey]])*DiscreteStatsTable[NumberObservations])),0)</f>
        <v>118.7</v>
      </c>
      <c r="W341">
        <f>IF((DiscreteStatsTable[[#This Row],[RepsRequested]]&gt;1),DiscreteStatsTable[[#This Row],[HalfWidth]],DiscreteStatsTable[[#This Row],[BatchMeansHalfWidth]])</f>
        <v>7.2341658183478312</v>
      </c>
      <c r="X341" cm="1">
        <f t="array" ref="X341">COUNT(IF((DiscreteStatsTable[GroupByKey]=DiscreteStatsTable[[#This Row],[GroupByKey]]),(DiscreteStatsTable[GroupByKey]=DiscreteStatsTable[[#This Row],[GroupByKey]])*DiscreteStatsTable[Replication]))</f>
        <v>10</v>
      </c>
      <c r="Y341">
        <f>IF(DiscreteStatsTable[[#This Row],[RepsRequested]]=DiscreteStatsTable[[#This Row],[RepsWithStatObserved]],1,0)</f>
        <v>1</v>
      </c>
    </row>
    <row r="342" spans="1:25" x14ac:dyDescent="0.25">
      <c r="A342" t="s">
        <v>67</v>
      </c>
      <c r="B342" t="s">
        <v>243</v>
      </c>
      <c r="C342">
        <v>1</v>
      </c>
      <c r="D342" t="s">
        <v>99</v>
      </c>
      <c r="E342" t="s">
        <v>72</v>
      </c>
      <c r="F342" t="s">
        <v>71</v>
      </c>
      <c r="G342">
        <v>2781.1008030870698</v>
      </c>
      <c r="H342">
        <v>1272.0925972648399</v>
      </c>
      <c r="I342">
        <v>184.205750514957</v>
      </c>
      <c r="J342">
        <v>52690.835551304197</v>
      </c>
      <c r="K342">
        <v>13094</v>
      </c>
      <c r="L342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342" cm="1">
        <f t="array" ref="M342">MAX(IF((ProjectInfoTable[ProjectName]=DiscreteStatsTable[[#This Row],[ProjectName]]),(ProjectInfoTable[ProjectName]=DiscreteStatsTable[[#This Row],[ProjectName]])*ProjectInfoTable[NumberOfReplications]))</f>
        <v>10</v>
      </c>
      <c r="N342" cm="1">
        <f t="array" ref="N342">IFERROR(AVERAGE(IF((DiscreteStatsTable[GroupByKey]=DiscreteStatsTable[[#This Row],[GroupByKey]]),(DiscreteStatsTable[GroupByKey]=DiscreteStatsTable[[#This Row],[GroupByKey]])*DiscreteStatsTable[Average])),0)</f>
        <v>3214.1574517420095</v>
      </c>
      <c r="O342" cm="1">
        <f t="array" ref="O342">IFERROR(_xlfn.STDEV.S(IF((DiscreteStatsTable[GroupByKey]=DiscreteStatsTable[[#This Row],[GroupByKey]]),(DiscreteStatsTable[GroupByKey]=DiscreteStatsTable[[#This Row],[GroupByKey]])*DiscreteStatsTable[Average])),0)</f>
        <v>235.04700580186517</v>
      </c>
      <c r="P342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168.14249882809111</v>
      </c>
      <c r="R342" cm="1">
        <f t="array" ref="R342">MIN(IF((DiscreteStatsTable[GroupByKey]=DiscreteStatsTable[[#This Row],[GroupByKey]]),(DiscreteStatsTable[GroupByKey]=DiscreteStatsTable[[#This Row],[GroupByKey]])*DiscreteStatsTable[Average]))</f>
        <v>2781.1008030870698</v>
      </c>
      <c r="S342" cm="1">
        <f t="array" ref="S342">MAX(IF((DiscreteStatsTable[GroupByKey]=DiscreteStatsTable[[#This Row],[GroupByKey]]),(DiscreteStatsTable[GroupByKey]=DiscreteStatsTable[[#This Row],[GroupByKey]])*DiscreteStatsTable[Average]))</f>
        <v>3506.3255654525101</v>
      </c>
      <c r="T342" cm="1">
        <f t="array" ref="T342">MIN(IF((DiscreteStatsTable[GroupByKey]=DiscreteStatsTable[[#This Row],[GroupByKey]]),(DiscreteStatsTable[GroupByKey]=DiscreteStatsTable[[#This Row],[GroupByKey]])*DiscreteStatsTable[Minimum]))</f>
        <v>56.275670389641199</v>
      </c>
      <c r="U342" cm="1">
        <f t="array" ref="U342">MAX(IF((DiscreteStatsTable[GroupByKey]=DiscreteStatsTable[[#This Row],[GroupByKey]]),(DiscreteStatsTable[GroupByKey]=DiscreteStatsTable[[#This Row],[GroupByKey]])*DiscreteStatsTable[Maximum]))</f>
        <v>53362.6000961518</v>
      </c>
      <c r="V342" cm="1">
        <f t="array" ref="V342">IFERROR(AVERAGE(IF((DiscreteStatsTable[GroupByKey]=DiscreteStatsTable[[#This Row],[GroupByKey]]),(DiscreteStatsTable[GroupByKey]=DiscreteStatsTable[[#This Row],[GroupByKey]])*DiscreteStatsTable[NumberObservations])),0)</f>
        <v>13103.5</v>
      </c>
      <c r="W342">
        <f>IF((DiscreteStatsTable[[#This Row],[RepsRequested]]&gt;1),DiscreteStatsTable[[#This Row],[HalfWidth]],DiscreteStatsTable[[#This Row],[BatchMeansHalfWidth]])</f>
        <v>168.14249882809111</v>
      </c>
      <c r="X342" cm="1">
        <f t="array" ref="X342">COUNT(IF((DiscreteStatsTable[GroupByKey]=DiscreteStatsTable[[#This Row],[GroupByKey]]),(DiscreteStatsTable[GroupByKey]=DiscreteStatsTable[[#This Row],[GroupByKey]])*DiscreteStatsTable[Replication]))</f>
        <v>10</v>
      </c>
      <c r="Y342">
        <f>IF(DiscreteStatsTable[[#This Row],[RepsRequested]]=DiscreteStatsTable[[#This Row],[RepsWithStatObserved]],1,0)</f>
        <v>1</v>
      </c>
    </row>
    <row r="343" spans="1:25" x14ac:dyDescent="0.25">
      <c r="A343" t="s">
        <v>67</v>
      </c>
      <c r="B343" t="s">
        <v>243</v>
      </c>
      <c r="C343">
        <v>2</v>
      </c>
      <c r="D343" t="s">
        <v>99</v>
      </c>
      <c r="E343" t="s">
        <v>72</v>
      </c>
      <c r="F343" t="s">
        <v>71</v>
      </c>
      <c r="G343">
        <v>3031.0701282780501</v>
      </c>
      <c r="H343">
        <v>1403.64932164072</v>
      </c>
      <c r="I343">
        <v>137.11549150362001</v>
      </c>
      <c r="J343">
        <v>52856.629622164801</v>
      </c>
      <c r="K343">
        <v>13120</v>
      </c>
      <c r="L343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343" cm="1">
        <f t="array" ref="M343">MAX(IF((ProjectInfoTable[ProjectName]=DiscreteStatsTable[[#This Row],[ProjectName]]),(ProjectInfoTable[ProjectName]=DiscreteStatsTable[[#This Row],[ProjectName]])*ProjectInfoTable[NumberOfReplications]))</f>
        <v>10</v>
      </c>
      <c r="N343" cm="1">
        <f t="array" ref="N343">IFERROR(AVERAGE(IF((DiscreteStatsTable[GroupByKey]=DiscreteStatsTable[[#This Row],[GroupByKey]]),(DiscreteStatsTable[GroupByKey]=DiscreteStatsTable[[#This Row],[GroupByKey]])*DiscreteStatsTable[Average])),0)</f>
        <v>3214.1574517420095</v>
      </c>
      <c r="O343" cm="1">
        <f t="array" ref="O343">IFERROR(_xlfn.STDEV.S(IF((DiscreteStatsTable[GroupByKey]=DiscreteStatsTable[[#This Row],[GroupByKey]]),(DiscreteStatsTable[GroupByKey]=DiscreteStatsTable[[#This Row],[GroupByKey]])*DiscreteStatsTable[Average])),0)</f>
        <v>235.04700580186517</v>
      </c>
      <c r="P343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168.14249882809111</v>
      </c>
      <c r="R343" cm="1">
        <f t="array" ref="R343">MIN(IF((DiscreteStatsTable[GroupByKey]=DiscreteStatsTable[[#This Row],[GroupByKey]]),(DiscreteStatsTable[GroupByKey]=DiscreteStatsTable[[#This Row],[GroupByKey]])*DiscreteStatsTable[Average]))</f>
        <v>2781.1008030870698</v>
      </c>
      <c r="S343" cm="1">
        <f t="array" ref="S343">MAX(IF((DiscreteStatsTable[GroupByKey]=DiscreteStatsTable[[#This Row],[GroupByKey]]),(DiscreteStatsTable[GroupByKey]=DiscreteStatsTable[[#This Row],[GroupByKey]])*DiscreteStatsTable[Average]))</f>
        <v>3506.3255654525101</v>
      </c>
      <c r="T343" cm="1">
        <f t="array" ref="T343">MIN(IF((DiscreteStatsTable[GroupByKey]=DiscreteStatsTable[[#This Row],[GroupByKey]]),(DiscreteStatsTable[GroupByKey]=DiscreteStatsTable[[#This Row],[GroupByKey]])*DiscreteStatsTable[Minimum]))</f>
        <v>56.275670389641199</v>
      </c>
      <c r="U343" cm="1">
        <f t="array" ref="U343">MAX(IF((DiscreteStatsTable[GroupByKey]=DiscreteStatsTable[[#This Row],[GroupByKey]]),(DiscreteStatsTable[GroupByKey]=DiscreteStatsTable[[#This Row],[GroupByKey]])*DiscreteStatsTable[Maximum]))</f>
        <v>53362.6000961518</v>
      </c>
      <c r="V343" cm="1">
        <f t="array" ref="V343">IFERROR(AVERAGE(IF((DiscreteStatsTable[GroupByKey]=DiscreteStatsTable[[#This Row],[GroupByKey]]),(DiscreteStatsTable[GroupByKey]=DiscreteStatsTable[[#This Row],[GroupByKey]])*DiscreteStatsTable[NumberObservations])),0)</f>
        <v>13103.5</v>
      </c>
      <c r="W343">
        <f>IF((DiscreteStatsTable[[#This Row],[RepsRequested]]&gt;1),DiscreteStatsTable[[#This Row],[HalfWidth]],DiscreteStatsTable[[#This Row],[BatchMeansHalfWidth]])</f>
        <v>168.14249882809111</v>
      </c>
      <c r="X343" cm="1">
        <f t="array" ref="X343">COUNT(IF((DiscreteStatsTable[GroupByKey]=DiscreteStatsTable[[#This Row],[GroupByKey]]),(DiscreteStatsTable[GroupByKey]=DiscreteStatsTable[[#This Row],[GroupByKey]])*DiscreteStatsTable[Replication]))</f>
        <v>10</v>
      </c>
      <c r="Y343">
        <f>IF(DiscreteStatsTable[[#This Row],[RepsRequested]]=DiscreteStatsTable[[#This Row],[RepsWithStatObserved]],1,0)</f>
        <v>1</v>
      </c>
    </row>
    <row r="344" spans="1:25" x14ac:dyDescent="0.25">
      <c r="A344" t="s">
        <v>67</v>
      </c>
      <c r="B344" t="s">
        <v>243</v>
      </c>
      <c r="C344">
        <v>3</v>
      </c>
      <c r="D344" t="s">
        <v>99</v>
      </c>
      <c r="E344" t="s">
        <v>72</v>
      </c>
      <c r="F344" t="s">
        <v>71</v>
      </c>
      <c r="G344">
        <v>3227.8943077754602</v>
      </c>
      <c r="H344">
        <v>1488.2901873999599</v>
      </c>
      <c r="I344">
        <v>167.06009690549001</v>
      </c>
      <c r="J344">
        <v>53212.872760259001</v>
      </c>
      <c r="K344">
        <v>13101</v>
      </c>
      <c r="L344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344" cm="1">
        <f t="array" ref="M344">MAX(IF((ProjectInfoTable[ProjectName]=DiscreteStatsTable[[#This Row],[ProjectName]]),(ProjectInfoTable[ProjectName]=DiscreteStatsTable[[#This Row],[ProjectName]])*ProjectInfoTable[NumberOfReplications]))</f>
        <v>10</v>
      </c>
      <c r="N344" cm="1">
        <f t="array" ref="N344">IFERROR(AVERAGE(IF((DiscreteStatsTable[GroupByKey]=DiscreteStatsTable[[#This Row],[GroupByKey]]),(DiscreteStatsTable[GroupByKey]=DiscreteStatsTable[[#This Row],[GroupByKey]])*DiscreteStatsTable[Average])),0)</f>
        <v>3214.1574517420095</v>
      </c>
      <c r="O344" cm="1">
        <f t="array" ref="O344">IFERROR(_xlfn.STDEV.S(IF((DiscreteStatsTable[GroupByKey]=DiscreteStatsTable[[#This Row],[GroupByKey]]),(DiscreteStatsTable[GroupByKey]=DiscreteStatsTable[[#This Row],[GroupByKey]])*DiscreteStatsTable[Average])),0)</f>
        <v>235.04700580186517</v>
      </c>
      <c r="P344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168.14249882809111</v>
      </c>
      <c r="R344" cm="1">
        <f t="array" ref="R344">MIN(IF((DiscreteStatsTable[GroupByKey]=DiscreteStatsTable[[#This Row],[GroupByKey]]),(DiscreteStatsTable[GroupByKey]=DiscreteStatsTable[[#This Row],[GroupByKey]])*DiscreteStatsTable[Average]))</f>
        <v>2781.1008030870698</v>
      </c>
      <c r="S344" cm="1">
        <f t="array" ref="S344">MAX(IF((DiscreteStatsTable[GroupByKey]=DiscreteStatsTable[[#This Row],[GroupByKey]]),(DiscreteStatsTable[GroupByKey]=DiscreteStatsTable[[#This Row],[GroupByKey]])*DiscreteStatsTable[Average]))</f>
        <v>3506.3255654525101</v>
      </c>
      <c r="T344" cm="1">
        <f t="array" ref="T344">MIN(IF((DiscreteStatsTable[GroupByKey]=DiscreteStatsTable[[#This Row],[GroupByKey]]),(DiscreteStatsTable[GroupByKey]=DiscreteStatsTable[[#This Row],[GroupByKey]])*DiscreteStatsTable[Minimum]))</f>
        <v>56.275670389641199</v>
      </c>
      <c r="U344" cm="1">
        <f t="array" ref="U344">MAX(IF((DiscreteStatsTable[GroupByKey]=DiscreteStatsTable[[#This Row],[GroupByKey]]),(DiscreteStatsTable[GroupByKey]=DiscreteStatsTable[[#This Row],[GroupByKey]])*DiscreteStatsTable[Maximum]))</f>
        <v>53362.6000961518</v>
      </c>
      <c r="V344" cm="1">
        <f t="array" ref="V344">IFERROR(AVERAGE(IF((DiscreteStatsTable[GroupByKey]=DiscreteStatsTable[[#This Row],[GroupByKey]]),(DiscreteStatsTable[GroupByKey]=DiscreteStatsTable[[#This Row],[GroupByKey]])*DiscreteStatsTable[NumberObservations])),0)</f>
        <v>13103.5</v>
      </c>
      <c r="W344">
        <f>IF((DiscreteStatsTable[[#This Row],[RepsRequested]]&gt;1),DiscreteStatsTable[[#This Row],[HalfWidth]],DiscreteStatsTable[[#This Row],[BatchMeansHalfWidth]])</f>
        <v>168.14249882809111</v>
      </c>
      <c r="X344" cm="1">
        <f t="array" ref="X344">COUNT(IF((DiscreteStatsTable[GroupByKey]=DiscreteStatsTable[[#This Row],[GroupByKey]]),(DiscreteStatsTable[GroupByKey]=DiscreteStatsTable[[#This Row],[GroupByKey]])*DiscreteStatsTable[Replication]))</f>
        <v>10</v>
      </c>
      <c r="Y344">
        <f>IF(DiscreteStatsTable[[#This Row],[RepsRequested]]=DiscreteStatsTable[[#This Row],[RepsWithStatObserved]],1,0)</f>
        <v>1</v>
      </c>
    </row>
    <row r="345" spans="1:25" x14ac:dyDescent="0.25">
      <c r="A345" t="s">
        <v>67</v>
      </c>
      <c r="B345" t="s">
        <v>243</v>
      </c>
      <c r="C345">
        <v>4</v>
      </c>
      <c r="D345" t="s">
        <v>99</v>
      </c>
      <c r="E345" t="s">
        <v>72</v>
      </c>
      <c r="F345" t="s">
        <v>71</v>
      </c>
      <c r="G345">
        <v>3369.1281876146199</v>
      </c>
      <c r="H345">
        <v>1552.15038621903</v>
      </c>
      <c r="I345">
        <v>137.88357626384101</v>
      </c>
      <c r="J345">
        <v>53228.687559356702</v>
      </c>
      <c r="K345">
        <v>13088</v>
      </c>
      <c r="L345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345" cm="1">
        <f t="array" ref="M345">MAX(IF((ProjectInfoTable[ProjectName]=DiscreteStatsTable[[#This Row],[ProjectName]]),(ProjectInfoTable[ProjectName]=DiscreteStatsTable[[#This Row],[ProjectName]])*ProjectInfoTable[NumberOfReplications]))</f>
        <v>10</v>
      </c>
      <c r="N345" cm="1">
        <f t="array" ref="N345">IFERROR(AVERAGE(IF((DiscreteStatsTable[GroupByKey]=DiscreteStatsTable[[#This Row],[GroupByKey]]),(DiscreteStatsTable[GroupByKey]=DiscreteStatsTable[[#This Row],[GroupByKey]])*DiscreteStatsTable[Average])),0)</f>
        <v>3214.1574517420095</v>
      </c>
      <c r="O345" cm="1">
        <f t="array" ref="O345">IFERROR(_xlfn.STDEV.S(IF((DiscreteStatsTable[GroupByKey]=DiscreteStatsTable[[#This Row],[GroupByKey]]),(DiscreteStatsTable[GroupByKey]=DiscreteStatsTable[[#This Row],[GroupByKey]])*DiscreteStatsTable[Average])),0)</f>
        <v>235.04700580186517</v>
      </c>
      <c r="P34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168.14249882809111</v>
      </c>
      <c r="R345" cm="1">
        <f t="array" ref="R345">MIN(IF((DiscreteStatsTable[GroupByKey]=DiscreteStatsTable[[#This Row],[GroupByKey]]),(DiscreteStatsTable[GroupByKey]=DiscreteStatsTable[[#This Row],[GroupByKey]])*DiscreteStatsTable[Average]))</f>
        <v>2781.1008030870698</v>
      </c>
      <c r="S345" cm="1">
        <f t="array" ref="S345">MAX(IF((DiscreteStatsTable[GroupByKey]=DiscreteStatsTable[[#This Row],[GroupByKey]]),(DiscreteStatsTable[GroupByKey]=DiscreteStatsTable[[#This Row],[GroupByKey]])*DiscreteStatsTable[Average]))</f>
        <v>3506.3255654525101</v>
      </c>
      <c r="T345" cm="1">
        <f t="array" ref="T345">MIN(IF((DiscreteStatsTable[GroupByKey]=DiscreteStatsTable[[#This Row],[GroupByKey]]),(DiscreteStatsTable[GroupByKey]=DiscreteStatsTable[[#This Row],[GroupByKey]])*DiscreteStatsTable[Minimum]))</f>
        <v>56.275670389641199</v>
      </c>
      <c r="U345" cm="1">
        <f t="array" ref="U345">MAX(IF((DiscreteStatsTable[GroupByKey]=DiscreteStatsTable[[#This Row],[GroupByKey]]),(DiscreteStatsTable[GroupByKey]=DiscreteStatsTable[[#This Row],[GroupByKey]])*DiscreteStatsTable[Maximum]))</f>
        <v>53362.6000961518</v>
      </c>
      <c r="V345" cm="1">
        <f t="array" ref="V345">IFERROR(AVERAGE(IF((DiscreteStatsTable[GroupByKey]=DiscreteStatsTable[[#This Row],[GroupByKey]]),(DiscreteStatsTable[GroupByKey]=DiscreteStatsTable[[#This Row],[GroupByKey]])*DiscreteStatsTable[NumberObservations])),0)</f>
        <v>13103.5</v>
      </c>
      <c r="W345">
        <f>IF((DiscreteStatsTable[[#This Row],[RepsRequested]]&gt;1),DiscreteStatsTable[[#This Row],[HalfWidth]],DiscreteStatsTable[[#This Row],[BatchMeansHalfWidth]])</f>
        <v>168.14249882809111</v>
      </c>
      <c r="X345" cm="1">
        <f t="array" ref="X345">COUNT(IF((DiscreteStatsTable[GroupByKey]=DiscreteStatsTable[[#This Row],[GroupByKey]]),(DiscreteStatsTable[GroupByKey]=DiscreteStatsTable[[#This Row],[GroupByKey]])*DiscreteStatsTable[Replication]))</f>
        <v>10</v>
      </c>
      <c r="Y345">
        <f>IF(DiscreteStatsTable[[#This Row],[RepsRequested]]=DiscreteStatsTable[[#This Row],[RepsWithStatObserved]],1,0)</f>
        <v>1</v>
      </c>
    </row>
    <row r="346" spans="1:25" x14ac:dyDescent="0.25">
      <c r="A346" t="s">
        <v>67</v>
      </c>
      <c r="B346" t="s">
        <v>243</v>
      </c>
      <c r="C346">
        <v>5</v>
      </c>
      <c r="D346" t="s">
        <v>99</v>
      </c>
      <c r="E346" t="s">
        <v>72</v>
      </c>
      <c r="F346" t="s">
        <v>71</v>
      </c>
      <c r="G346">
        <v>3101.6932276840598</v>
      </c>
      <c r="H346">
        <v>1436.7736287375001</v>
      </c>
      <c r="I346">
        <v>74.483396606672599</v>
      </c>
      <c r="J346">
        <v>52951.153209689197</v>
      </c>
      <c r="K346">
        <v>13114</v>
      </c>
      <c r="L346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346" cm="1">
        <f t="array" ref="M346">MAX(IF((ProjectInfoTable[ProjectName]=DiscreteStatsTable[[#This Row],[ProjectName]]),(ProjectInfoTable[ProjectName]=DiscreteStatsTable[[#This Row],[ProjectName]])*ProjectInfoTable[NumberOfReplications]))</f>
        <v>10</v>
      </c>
      <c r="N346" cm="1">
        <f t="array" ref="N346">IFERROR(AVERAGE(IF((DiscreteStatsTable[GroupByKey]=DiscreteStatsTable[[#This Row],[GroupByKey]]),(DiscreteStatsTable[GroupByKey]=DiscreteStatsTable[[#This Row],[GroupByKey]])*DiscreteStatsTable[Average])),0)</f>
        <v>3214.1574517420095</v>
      </c>
      <c r="O346" cm="1">
        <f t="array" ref="O346">IFERROR(_xlfn.STDEV.S(IF((DiscreteStatsTable[GroupByKey]=DiscreteStatsTable[[#This Row],[GroupByKey]]),(DiscreteStatsTable[GroupByKey]=DiscreteStatsTable[[#This Row],[GroupByKey]])*DiscreteStatsTable[Average])),0)</f>
        <v>235.04700580186517</v>
      </c>
      <c r="P346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168.14249882809111</v>
      </c>
      <c r="R346" cm="1">
        <f t="array" ref="R346">MIN(IF((DiscreteStatsTable[GroupByKey]=DiscreteStatsTable[[#This Row],[GroupByKey]]),(DiscreteStatsTable[GroupByKey]=DiscreteStatsTable[[#This Row],[GroupByKey]])*DiscreteStatsTable[Average]))</f>
        <v>2781.1008030870698</v>
      </c>
      <c r="S346" cm="1">
        <f t="array" ref="S346">MAX(IF((DiscreteStatsTable[GroupByKey]=DiscreteStatsTable[[#This Row],[GroupByKey]]),(DiscreteStatsTable[GroupByKey]=DiscreteStatsTable[[#This Row],[GroupByKey]])*DiscreteStatsTable[Average]))</f>
        <v>3506.3255654525101</v>
      </c>
      <c r="T346" cm="1">
        <f t="array" ref="T346">MIN(IF((DiscreteStatsTable[GroupByKey]=DiscreteStatsTable[[#This Row],[GroupByKey]]),(DiscreteStatsTable[GroupByKey]=DiscreteStatsTable[[#This Row],[GroupByKey]])*DiscreteStatsTable[Minimum]))</f>
        <v>56.275670389641199</v>
      </c>
      <c r="U346" cm="1">
        <f t="array" ref="U346">MAX(IF((DiscreteStatsTable[GroupByKey]=DiscreteStatsTable[[#This Row],[GroupByKey]]),(DiscreteStatsTable[GroupByKey]=DiscreteStatsTable[[#This Row],[GroupByKey]])*DiscreteStatsTable[Maximum]))</f>
        <v>53362.6000961518</v>
      </c>
      <c r="V346" cm="1">
        <f t="array" ref="V346">IFERROR(AVERAGE(IF((DiscreteStatsTable[GroupByKey]=DiscreteStatsTable[[#This Row],[GroupByKey]]),(DiscreteStatsTable[GroupByKey]=DiscreteStatsTable[[#This Row],[GroupByKey]])*DiscreteStatsTable[NumberObservations])),0)</f>
        <v>13103.5</v>
      </c>
      <c r="W346">
        <f>IF((DiscreteStatsTable[[#This Row],[RepsRequested]]&gt;1),DiscreteStatsTable[[#This Row],[HalfWidth]],DiscreteStatsTable[[#This Row],[BatchMeansHalfWidth]])</f>
        <v>168.14249882809111</v>
      </c>
      <c r="X346" cm="1">
        <f t="array" ref="X346">COUNT(IF((DiscreteStatsTable[GroupByKey]=DiscreteStatsTable[[#This Row],[GroupByKey]]),(DiscreteStatsTable[GroupByKey]=DiscreteStatsTable[[#This Row],[GroupByKey]])*DiscreteStatsTable[Replication]))</f>
        <v>10</v>
      </c>
      <c r="Y346">
        <f>IF(DiscreteStatsTable[[#This Row],[RepsRequested]]=DiscreteStatsTable[[#This Row],[RepsWithStatObserved]],1,0)</f>
        <v>1</v>
      </c>
    </row>
    <row r="347" spans="1:25" x14ac:dyDescent="0.25">
      <c r="A347" t="s">
        <v>67</v>
      </c>
      <c r="B347" t="s">
        <v>243</v>
      </c>
      <c r="C347">
        <v>6</v>
      </c>
      <c r="D347" t="s">
        <v>99</v>
      </c>
      <c r="E347" t="s">
        <v>72</v>
      </c>
      <c r="F347" t="s">
        <v>71</v>
      </c>
      <c r="G347">
        <v>3325.4975832659002</v>
      </c>
      <c r="H347">
        <v>1520.8344532651899</v>
      </c>
      <c r="I347">
        <v>217.98203112104201</v>
      </c>
      <c r="J347">
        <v>53165.918742742302</v>
      </c>
      <c r="K347">
        <v>13107</v>
      </c>
      <c r="L347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347" cm="1">
        <f t="array" ref="M347">MAX(IF((ProjectInfoTable[ProjectName]=DiscreteStatsTable[[#This Row],[ProjectName]]),(ProjectInfoTable[ProjectName]=DiscreteStatsTable[[#This Row],[ProjectName]])*ProjectInfoTable[NumberOfReplications]))</f>
        <v>10</v>
      </c>
      <c r="N347" cm="1">
        <f t="array" ref="N347">IFERROR(AVERAGE(IF((DiscreteStatsTable[GroupByKey]=DiscreteStatsTable[[#This Row],[GroupByKey]]),(DiscreteStatsTable[GroupByKey]=DiscreteStatsTable[[#This Row],[GroupByKey]])*DiscreteStatsTable[Average])),0)</f>
        <v>3214.1574517420095</v>
      </c>
      <c r="O347" cm="1">
        <f t="array" ref="O347">IFERROR(_xlfn.STDEV.S(IF((DiscreteStatsTable[GroupByKey]=DiscreteStatsTable[[#This Row],[GroupByKey]]),(DiscreteStatsTable[GroupByKey]=DiscreteStatsTable[[#This Row],[GroupByKey]])*DiscreteStatsTable[Average])),0)</f>
        <v>235.04700580186517</v>
      </c>
      <c r="P347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168.14249882809111</v>
      </c>
      <c r="R347" cm="1">
        <f t="array" ref="R347">MIN(IF((DiscreteStatsTable[GroupByKey]=DiscreteStatsTable[[#This Row],[GroupByKey]]),(DiscreteStatsTable[GroupByKey]=DiscreteStatsTable[[#This Row],[GroupByKey]])*DiscreteStatsTable[Average]))</f>
        <v>2781.1008030870698</v>
      </c>
      <c r="S347" cm="1">
        <f t="array" ref="S347">MAX(IF((DiscreteStatsTable[GroupByKey]=DiscreteStatsTable[[#This Row],[GroupByKey]]),(DiscreteStatsTable[GroupByKey]=DiscreteStatsTable[[#This Row],[GroupByKey]])*DiscreteStatsTable[Average]))</f>
        <v>3506.3255654525101</v>
      </c>
      <c r="T347" cm="1">
        <f t="array" ref="T347">MIN(IF((DiscreteStatsTable[GroupByKey]=DiscreteStatsTable[[#This Row],[GroupByKey]]),(DiscreteStatsTable[GroupByKey]=DiscreteStatsTable[[#This Row],[GroupByKey]])*DiscreteStatsTable[Minimum]))</f>
        <v>56.275670389641199</v>
      </c>
      <c r="U347" cm="1">
        <f t="array" ref="U347">MAX(IF((DiscreteStatsTable[GroupByKey]=DiscreteStatsTable[[#This Row],[GroupByKey]]),(DiscreteStatsTable[GroupByKey]=DiscreteStatsTable[[#This Row],[GroupByKey]])*DiscreteStatsTable[Maximum]))</f>
        <v>53362.6000961518</v>
      </c>
      <c r="V347" cm="1">
        <f t="array" ref="V347">IFERROR(AVERAGE(IF((DiscreteStatsTable[GroupByKey]=DiscreteStatsTable[[#This Row],[GroupByKey]]),(DiscreteStatsTable[GroupByKey]=DiscreteStatsTable[[#This Row],[GroupByKey]])*DiscreteStatsTable[NumberObservations])),0)</f>
        <v>13103.5</v>
      </c>
      <c r="W347">
        <f>IF((DiscreteStatsTable[[#This Row],[RepsRequested]]&gt;1),DiscreteStatsTable[[#This Row],[HalfWidth]],DiscreteStatsTable[[#This Row],[BatchMeansHalfWidth]])</f>
        <v>168.14249882809111</v>
      </c>
      <c r="X347" cm="1">
        <f t="array" ref="X347">COUNT(IF((DiscreteStatsTable[GroupByKey]=DiscreteStatsTable[[#This Row],[GroupByKey]]),(DiscreteStatsTable[GroupByKey]=DiscreteStatsTable[[#This Row],[GroupByKey]])*DiscreteStatsTable[Replication]))</f>
        <v>10</v>
      </c>
      <c r="Y347">
        <f>IF(DiscreteStatsTable[[#This Row],[RepsRequested]]=DiscreteStatsTable[[#This Row],[RepsWithStatObserved]],1,0)</f>
        <v>1</v>
      </c>
    </row>
    <row r="348" spans="1:25" x14ac:dyDescent="0.25">
      <c r="A348" t="s">
        <v>67</v>
      </c>
      <c r="B348" t="s">
        <v>243</v>
      </c>
      <c r="C348">
        <v>7</v>
      </c>
      <c r="D348" t="s">
        <v>99</v>
      </c>
      <c r="E348" t="s">
        <v>72</v>
      </c>
      <c r="F348" t="s">
        <v>71</v>
      </c>
      <c r="G348">
        <v>2990.6230638584302</v>
      </c>
      <c r="H348">
        <v>1414.55762471499</v>
      </c>
      <c r="I348">
        <v>56.275670389641199</v>
      </c>
      <c r="J348">
        <v>52941.792739645804</v>
      </c>
      <c r="K348">
        <v>13115</v>
      </c>
      <c r="L348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348" cm="1">
        <f t="array" ref="M348">MAX(IF((ProjectInfoTable[ProjectName]=DiscreteStatsTable[[#This Row],[ProjectName]]),(ProjectInfoTable[ProjectName]=DiscreteStatsTable[[#This Row],[ProjectName]])*ProjectInfoTable[NumberOfReplications]))</f>
        <v>10</v>
      </c>
      <c r="N348" cm="1">
        <f t="array" ref="N348">IFERROR(AVERAGE(IF((DiscreteStatsTable[GroupByKey]=DiscreteStatsTable[[#This Row],[GroupByKey]]),(DiscreteStatsTable[GroupByKey]=DiscreteStatsTable[[#This Row],[GroupByKey]])*DiscreteStatsTable[Average])),0)</f>
        <v>3214.1574517420095</v>
      </c>
      <c r="O348" cm="1">
        <f t="array" ref="O348">IFERROR(_xlfn.STDEV.S(IF((DiscreteStatsTable[GroupByKey]=DiscreteStatsTable[[#This Row],[GroupByKey]]),(DiscreteStatsTable[GroupByKey]=DiscreteStatsTable[[#This Row],[GroupByKey]])*DiscreteStatsTable[Average])),0)</f>
        <v>235.04700580186517</v>
      </c>
      <c r="P348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168.14249882809111</v>
      </c>
      <c r="R348" cm="1">
        <f t="array" ref="R348">MIN(IF((DiscreteStatsTable[GroupByKey]=DiscreteStatsTable[[#This Row],[GroupByKey]]),(DiscreteStatsTable[GroupByKey]=DiscreteStatsTable[[#This Row],[GroupByKey]])*DiscreteStatsTable[Average]))</f>
        <v>2781.1008030870698</v>
      </c>
      <c r="S348" cm="1">
        <f t="array" ref="S348">MAX(IF((DiscreteStatsTable[GroupByKey]=DiscreteStatsTable[[#This Row],[GroupByKey]]),(DiscreteStatsTable[GroupByKey]=DiscreteStatsTable[[#This Row],[GroupByKey]])*DiscreteStatsTable[Average]))</f>
        <v>3506.3255654525101</v>
      </c>
      <c r="T348" cm="1">
        <f t="array" ref="T348">MIN(IF((DiscreteStatsTable[GroupByKey]=DiscreteStatsTable[[#This Row],[GroupByKey]]),(DiscreteStatsTable[GroupByKey]=DiscreteStatsTable[[#This Row],[GroupByKey]])*DiscreteStatsTable[Minimum]))</f>
        <v>56.275670389641199</v>
      </c>
      <c r="U348" cm="1">
        <f t="array" ref="U348">MAX(IF((DiscreteStatsTable[GroupByKey]=DiscreteStatsTable[[#This Row],[GroupByKey]]),(DiscreteStatsTable[GroupByKey]=DiscreteStatsTable[[#This Row],[GroupByKey]])*DiscreteStatsTable[Maximum]))</f>
        <v>53362.6000961518</v>
      </c>
      <c r="V348" cm="1">
        <f t="array" ref="V348">IFERROR(AVERAGE(IF((DiscreteStatsTable[GroupByKey]=DiscreteStatsTable[[#This Row],[GroupByKey]]),(DiscreteStatsTable[GroupByKey]=DiscreteStatsTable[[#This Row],[GroupByKey]])*DiscreteStatsTable[NumberObservations])),0)</f>
        <v>13103.5</v>
      </c>
      <c r="W348">
        <f>IF((DiscreteStatsTable[[#This Row],[RepsRequested]]&gt;1),DiscreteStatsTable[[#This Row],[HalfWidth]],DiscreteStatsTable[[#This Row],[BatchMeansHalfWidth]])</f>
        <v>168.14249882809111</v>
      </c>
      <c r="X348" cm="1">
        <f t="array" ref="X348">COUNT(IF((DiscreteStatsTable[GroupByKey]=DiscreteStatsTable[[#This Row],[GroupByKey]]),(DiscreteStatsTable[GroupByKey]=DiscreteStatsTable[[#This Row],[GroupByKey]])*DiscreteStatsTable[Replication]))</f>
        <v>10</v>
      </c>
      <c r="Y348">
        <f>IF(DiscreteStatsTable[[#This Row],[RepsRequested]]=DiscreteStatsTable[[#This Row],[RepsWithStatObserved]],1,0)</f>
        <v>1</v>
      </c>
    </row>
    <row r="349" spans="1:25" x14ac:dyDescent="0.25">
      <c r="A349" t="s">
        <v>67</v>
      </c>
      <c r="B349" t="s">
        <v>243</v>
      </c>
      <c r="C349">
        <v>8</v>
      </c>
      <c r="D349" t="s">
        <v>99</v>
      </c>
      <c r="E349" t="s">
        <v>72</v>
      </c>
      <c r="F349" t="s">
        <v>71</v>
      </c>
      <c r="G349">
        <v>3305.5983075960598</v>
      </c>
      <c r="H349">
        <v>1478.3805922264901</v>
      </c>
      <c r="I349">
        <v>123.516835384478</v>
      </c>
      <c r="J349">
        <v>52971.8342923073</v>
      </c>
      <c r="K349">
        <v>13100</v>
      </c>
      <c r="L349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349" cm="1">
        <f t="array" ref="M349">MAX(IF((ProjectInfoTable[ProjectName]=DiscreteStatsTable[[#This Row],[ProjectName]]),(ProjectInfoTable[ProjectName]=DiscreteStatsTable[[#This Row],[ProjectName]])*ProjectInfoTable[NumberOfReplications]))</f>
        <v>10</v>
      </c>
      <c r="N349" cm="1">
        <f t="array" ref="N349">IFERROR(AVERAGE(IF((DiscreteStatsTable[GroupByKey]=DiscreteStatsTable[[#This Row],[GroupByKey]]),(DiscreteStatsTable[GroupByKey]=DiscreteStatsTable[[#This Row],[GroupByKey]])*DiscreteStatsTable[Average])),0)</f>
        <v>3214.1574517420095</v>
      </c>
      <c r="O349" cm="1">
        <f t="array" ref="O349">IFERROR(_xlfn.STDEV.S(IF((DiscreteStatsTable[GroupByKey]=DiscreteStatsTable[[#This Row],[GroupByKey]]),(DiscreteStatsTable[GroupByKey]=DiscreteStatsTable[[#This Row],[GroupByKey]])*DiscreteStatsTable[Average])),0)</f>
        <v>235.04700580186517</v>
      </c>
      <c r="P349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168.14249882809111</v>
      </c>
      <c r="R349" cm="1">
        <f t="array" ref="R349">MIN(IF((DiscreteStatsTable[GroupByKey]=DiscreteStatsTable[[#This Row],[GroupByKey]]),(DiscreteStatsTable[GroupByKey]=DiscreteStatsTable[[#This Row],[GroupByKey]])*DiscreteStatsTable[Average]))</f>
        <v>2781.1008030870698</v>
      </c>
      <c r="S349" cm="1">
        <f t="array" ref="S349">MAX(IF((DiscreteStatsTable[GroupByKey]=DiscreteStatsTable[[#This Row],[GroupByKey]]),(DiscreteStatsTable[GroupByKey]=DiscreteStatsTable[[#This Row],[GroupByKey]])*DiscreteStatsTable[Average]))</f>
        <v>3506.3255654525101</v>
      </c>
      <c r="T349" cm="1">
        <f t="array" ref="T349">MIN(IF((DiscreteStatsTable[GroupByKey]=DiscreteStatsTable[[#This Row],[GroupByKey]]),(DiscreteStatsTable[GroupByKey]=DiscreteStatsTable[[#This Row],[GroupByKey]])*DiscreteStatsTable[Minimum]))</f>
        <v>56.275670389641199</v>
      </c>
      <c r="U349" cm="1">
        <f t="array" ref="U349">MAX(IF((DiscreteStatsTable[GroupByKey]=DiscreteStatsTable[[#This Row],[GroupByKey]]),(DiscreteStatsTable[GroupByKey]=DiscreteStatsTable[[#This Row],[GroupByKey]])*DiscreteStatsTable[Maximum]))</f>
        <v>53362.6000961518</v>
      </c>
      <c r="V349" cm="1">
        <f t="array" ref="V349">IFERROR(AVERAGE(IF((DiscreteStatsTable[GroupByKey]=DiscreteStatsTable[[#This Row],[GroupByKey]]),(DiscreteStatsTable[GroupByKey]=DiscreteStatsTable[[#This Row],[GroupByKey]])*DiscreteStatsTable[NumberObservations])),0)</f>
        <v>13103.5</v>
      </c>
      <c r="W349">
        <f>IF((DiscreteStatsTable[[#This Row],[RepsRequested]]&gt;1),DiscreteStatsTable[[#This Row],[HalfWidth]],DiscreteStatsTable[[#This Row],[BatchMeansHalfWidth]])</f>
        <v>168.14249882809111</v>
      </c>
      <c r="X349" cm="1">
        <f t="array" ref="X349">COUNT(IF((DiscreteStatsTable[GroupByKey]=DiscreteStatsTable[[#This Row],[GroupByKey]]),(DiscreteStatsTable[GroupByKey]=DiscreteStatsTable[[#This Row],[GroupByKey]])*DiscreteStatsTable[Replication]))</f>
        <v>10</v>
      </c>
      <c r="Y349">
        <f>IF(DiscreteStatsTable[[#This Row],[RepsRequested]]=DiscreteStatsTable[[#This Row],[RepsWithStatObserved]],1,0)</f>
        <v>1</v>
      </c>
    </row>
    <row r="350" spans="1:25" x14ac:dyDescent="0.25">
      <c r="A350" t="s">
        <v>67</v>
      </c>
      <c r="B350" t="s">
        <v>243</v>
      </c>
      <c r="C350">
        <v>9</v>
      </c>
      <c r="D350" t="s">
        <v>99</v>
      </c>
      <c r="E350" t="s">
        <v>72</v>
      </c>
      <c r="F350" t="s">
        <v>71</v>
      </c>
      <c r="G350">
        <v>3506.3255654525101</v>
      </c>
      <c r="H350">
        <v>1655.2813702383801</v>
      </c>
      <c r="I350">
        <v>121.315054226001</v>
      </c>
      <c r="J350">
        <v>53362.6000961518</v>
      </c>
      <c r="K350">
        <v>13109</v>
      </c>
      <c r="L350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350" cm="1">
        <f t="array" ref="M350">MAX(IF((ProjectInfoTable[ProjectName]=DiscreteStatsTable[[#This Row],[ProjectName]]),(ProjectInfoTable[ProjectName]=DiscreteStatsTable[[#This Row],[ProjectName]])*ProjectInfoTable[NumberOfReplications]))</f>
        <v>10</v>
      </c>
      <c r="N350" cm="1">
        <f t="array" ref="N350">IFERROR(AVERAGE(IF((DiscreteStatsTable[GroupByKey]=DiscreteStatsTable[[#This Row],[GroupByKey]]),(DiscreteStatsTable[GroupByKey]=DiscreteStatsTable[[#This Row],[GroupByKey]])*DiscreteStatsTable[Average])),0)</f>
        <v>3214.1574517420095</v>
      </c>
      <c r="O350" cm="1">
        <f t="array" ref="O350">IFERROR(_xlfn.STDEV.S(IF((DiscreteStatsTable[GroupByKey]=DiscreteStatsTable[[#This Row],[GroupByKey]]),(DiscreteStatsTable[GroupByKey]=DiscreteStatsTable[[#This Row],[GroupByKey]])*DiscreteStatsTable[Average])),0)</f>
        <v>235.04700580186517</v>
      </c>
      <c r="P350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168.14249882809111</v>
      </c>
      <c r="R350" cm="1">
        <f t="array" ref="R350">MIN(IF((DiscreteStatsTable[GroupByKey]=DiscreteStatsTable[[#This Row],[GroupByKey]]),(DiscreteStatsTable[GroupByKey]=DiscreteStatsTable[[#This Row],[GroupByKey]])*DiscreteStatsTable[Average]))</f>
        <v>2781.1008030870698</v>
      </c>
      <c r="S350" cm="1">
        <f t="array" ref="S350">MAX(IF((DiscreteStatsTable[GroupByKey]=DiscreteStatsTable[[#This Row],[GroupByKey]]),(DiscreteStatsTable[GroupByKey]=DiscreteStatsTable[[#This Row],[GroupByKey]])*DiscreteStatsTable[Average]))</f>
        <v>3506.3255654525101</v>
      </c>
      <c r="T350" cm="1">
        <f t="array" ref="T350">MIN(IF((DiscreteStatsTable[GroupByKey]=DiscreteStatsTable[[#This Row],[GroupByKey]]),(DiscreteStatsTable[GroupByKey]=DiscreteStatsTable[[#This Row],[GroupByKey]])*DiscreteStatsTable[Minimum]))</f>
        <v>56.275670389641199</v>
      </c>
      <c r="U350" cm="1">
        <f t="array" ref="U350">MAX(IF((DiscreteStatsTable[GroupByKey]=DiscreteStatsTable[[#This Row],[GroupByKey]]),(DiscreteStatsTable[GroupByKey]=DiscreteStatsTable[[#This Row],[GroupByKey]])*DiscreteStatsTable[Maximum]))</f>
        <v>53362.6000961518</v>
      </c>
      <c r="V350" cm="1">
        <f t="array" ref="V350">IFERROR(AVERAGE(IF((DiscreteStatsTable[GroupByKey]=DiscreteStatsTable[[#This Row],[GroupByKey]]),(DiscreteStatsTable[GroupByKey]=DiscreteStatsTable[[#This Row],[GroupByKey]])*DiscreteStatsTable[NumberObservations])),0)</f>
        <v>13103.5</v>
      </c>
      <c r="W350">
        <f>IF((DiscreteStatsTable[[#This Row],[RepsRequested]]&gt;1),DiscreteStatsTable[[#This Row],[HalfWidth]],DiscreteStatsTable[[#This Row],[BatchMeansHalfWidth]])</f>
        <v>168.14249882809111</v>
      </c>
      <c r="X350" cm="1">
        <f t="array" ref="X350">COUNT(IF((DiscreteStatsTable[GroupByKey]=DiscreteStatsTable[[#This Row],[GroupByKey]]),(DiscreteStatsTable[GroupByKey]=DiscreteStatsTable[[#This Row],[GroupByKey]])*DiscreteStatsTable[Replication]))</f>
        <v>10</v>
      </c>
      <c r="Y350">
        <f>IF(DiscreteStatsTable[[#This Row],[RepsRequested]]=DiscreteStatsTable[[#This Row],[RepsWithStatObserved]],1,0)</f>
        <v>1</v>
      </c>
    </row>
    <row r="351" spans="1:25" x14ac:dyDescent="0.25">
      <c r="A351" t="s">
        <v>67</v>
      </c>
      <c r="B351" t="s">
        <v>243</v>
      </c>
      <c r="C351">
        <v>10</v>
      </c>
      <c r="D351" t="s">
        <v>99</v>
      </c>
      <c r="E351" t="s">
        <v>72</v>
      </c>
      <c r="F351" t="s">
        <v>71</v>
      </c>
      <c r="G351">
        <v>3502.6433428079299</v>
      </c>
      <c r="H351">
        <v>1575.5276655118</v>
      </c>
      <c r="I351">
        <v>357.64812284189998</v>
      </c>
      <c r="J351">
        <v>53297.786264049202</v>
      </c>
      <c r="K351">
        <v>13087</v>
      </c>
      <c r="L351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351" cm="1">
        <f t="array" ref="M351">MAX(IF((ProjectInfoTable[ProjectName]=DiscreteStatsTable[[#This Row],[ProjectName]]),(ProjectInfoTable[ProjectName]=DiscreteStatsTable[[#This Row],[ProjectName]])*ProjectInfoTable[NumberOfReplications]))</f>
        <v>10</v>
      </c>
      <c r="N351" cm="1">
        <f t="array" ref="N351">IFERROR(AVERAGE(IF((DiscreteStatsTable[GroupByKey]=DiscreteStatsTable[[#This Row],[GroupByKey]]),(DiscreteStatsTable[GroupByKey]=DiscreteStatsTable[[#This Row],[GroupByKey]])*DiscreteStatsTable[Average])),0)</f>
        <v>3214.1574517420095</v>
      </c>
      <c r="O351" cm="1">
        <f t="array" ref="O351">IFERROR(_xlfn.STDEV.S(IF((DiscreteStatsTable[GroupByKey]=DiscreteStatsTable[[#This Row],[GroupByKey]]),(DiscreteStatsTable[GroupByKey]=DiscreteStatsTable[[#This Row],[GroupByKey]])*DiscreteStatsTable[Average])),0)</f>
        <v>235.04700580186517</v>
      </c>
      <c r="P351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168.14249882809111</v>
      </c>
      <c r="R351" cm="1">
        <f t="array" ref="R351">MIN(IF((DiscreteStatsTable[GroupByKey]=DiscreteStatsTable[[#This Row],[GroupByKey]]),(DiscreteStatsTable[GroupByKey]=DiscreteStatsTable[[#This Row],[GroupByKey]])*DiscreteStatsTable[Average]))</f>
        <v>2781.1008030870698</v>
      </c>
      <c r="S351" cm="1">
        <f t="array" ref="S351">MAX(IF((DiscreteStatsTable[GroupByKey]=DiscreteStatsTable[[#This Row],[GroupByKey]]),(DiscreteStatsTable[GroupByKey]=DiscreteStatsTable[[#This Row],[GroupByKey]])*DiscreteStatsTable[Average]))</f>
        <v>3506.3255654525101</v>
      </c>
      <c r="T351" cm="1">
        <f t="array" ref="T351">MIN(IF((DiscreteStatsTable[GroupByKey]=DiscreteStatsTable[[#This Row],[GroupByKey]]),(DiscreteStatsTable[GroupByKey]=DiscreteStatsTable[[#This Row],[GroupByKey]])*DiscreteStatsTable[Minimum]))</f>
        <v>56.275670389641199</v>
      </c>
      <c r="U351" cm="1">
        <f t="array" ref="U351">MAX(IF((DiscreteStatsTable[GroupByKey]=DiscreteStatsTable[[#This Row],[GroupByKey]]),(DiscreteStatsTable[GroupByKey]=DiscreteStatsTable[[#This Row],[GroupByKey]])*DiscreteStatsTable[Maximum]))</f>
        <v>53362.6000961518</v>
      </c>
      <c r="V351" cm="1">
        <f t="array" ref="V351">IFERROR(AVERAGE(IF((DiscreteStatsTable[GroupByKey]=DiscreteStatsTable[[#This Row],[GroupByKey]]),(DiscreteStatsTable[GroupByKey]=DiscreteStatsTable[[#This Row],[GroupByKey]])*DiscreteStatsTable[NumberObservations])),0)</f>
        <v>13103.5</v>
      </c>
      <c r="W351">
        <f>IF((DiscreteStatsTable[[#This Row],[RepsRequested]]&gt;1),DiscreteStatsTable[[#This Row],[HalfWidth]],DiscreteStatsTable[[#This Row],[BatchMeansHalfWidth]])</f>
        <v>168.14249882809111</v>
      </c>
      <c r="X351" cm="1">
        <f t="array" ref="X351">COUNT(IF((DiscreteStatsTable[GroupByKey]=DiscreteStatsTable[[#This Row],[GroupByKey]]),(DiscreteStatsTable[GroupByKey]=DiscreteStatsTable[[#This Row],[GroupByKey]])*DiscreteStatsTable[Replication]))</f>
        <v>10</v>
      </c>
      <c r="Y351">
        <f>IF(DiscreteStatsTable[[#This Row],[RepsRequested]]=DiscreteStatsTable[[#This Row],[RepsWithStatObserved]],1,0)</f>
        <v>1</v>
      </c>
    </row>
    <row r="352" spans="1:25" x14ac:dyDescent="0.25">
      <c r="A352" t="s">
        <v>67</v>
      </c>
      <c r="B352" t="s">
        <v>243</v>
      </c>
      <c r="C352">
        <v>1</v>
      </c>
      <c r="D352" t="s">
        <v>100</v>
      </c>
      <c r="E352" t="s">
        <v>72</v>
      </c>
      <c r="F352" t="s">
        <v>71</v>
      </c>
      <c r="G352">
        <v>37.857616642272703</v>
      </c>
      <c r="H352">
        <v>29.364810763083799</v>
      </c>
      <c r="I352">
        <v>0</v>
      </c>
      <c r="J352">
        <v>50393.462753189</v>
      </c>
      <c r="K352">
        <v>6543</v>
      </c>
      <c r="L352" t="str">
        <f>DiscreteStatsTable[[#This Row],[ProjectName]]&amp;DiscreteStatsTable[[#This Row],[Name]]&amp;DiscreteStatsTable[[#This Row],[Type]]&amp;DiscreteStatsTable[[#This Row],[Source]]</f>
        <v>Unnamed ProjectSeize 10.QueueWaiting TimeQueue</v>
      </c>
      <c r="M352" cm="1">
        <f t="array" ref="M352">MAX(IF((ProjectInfoTable[ProjectName]=DiscreteStatsTable[[#This Row],[ProjectName]]),(ProjectInfoTable[ProjectName]=DiscreteStatsTable[[#This Row],[ProjectName]])*ProjectInfoTable[NumberOfReplications]))</f>
        <v>10</v>
      </c>
      <c r="N352" cm="1">
        <f t="array" ref="N352">IFERROR(AVERAGE(IF((DiscreteStatsTable[GroupByKey]=DiscreteStatsTable[[#This Row],[GroupByKey]]),(DiscreteStatsTable[GroupByKey]=DiscreteStatsTable[[#This Row],[GroupByKey]])*DiscreteStatsTable[Average])),0)</f>
        <v>56.164806958974978</v>
      </c>
      <c r="O352" cm="1">
        <f t="array" ref="O352">IFERROR(_xlfn.STDEV.S(IF((DiscreteStatsTable[GroupByKey]=DiscreteStatsTable[[#This Row],[GroupByKey]]),(DiscreteStatsTable[GroupByKey]=DiscreteStatsTable[[#This Row],[GroupByKey]])*DiscreteStatsTable[Average])),0)</f>
        <v>12.252425807282485</v>
      </c>
      <c r="P352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8.7648574161327222</v>
      </c>
      <c r="R352" cm="1">
        <f t="array" ref="R352">MIN(IF((DiscreteStatsTable[GroupByKey]=DiscreteStatsTable[[#This Row],[GroupByKey]]),(DiscreteStatsTable[GroupByKey]=DiscreteStatsTable[[#This Row],[GroupByKey]])*DiscreteStatsTable[Average]))</f>
        <v>37.857616642272703</v>
      </c>
      <c r="S352" cm="1">
        <f t="array" ref="S352">MAX(IF((DiscreteStatsTable[GroupByKey]=DiscreteStatsTable[[#This Row],[GroupByKey]]),(DiscreteStatsTable[GroupByKey]=DiscreteStatsTable[[#This Row],[GroupByKey]])*DiscreteStatsTable[Average]))</f>
        <v>71.836270525000302</v>
      </c>
      <c r="T352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cm="1">
        <f t="array" ref="U352">MAX(IF((DiscreteStatsTable[GroupByKey]=DiscreteStatsTable[[#This Row],[GroupByKey]]),(DiscreteStatsTable[GroupByKey]=DiscreteStatsTable[[#This Row],[GroupByKey]])*DiscreteStatsTable[Maximum]))</f>
        <v>50396.317941052599</v>
      </c>
      <c r="V352" cm="1">
        <f t="array" ref="V352">IFERROR(AVERAGE(IF((DiscreteStatsTable[GroupByKey]=DiscreteStatsTable[[#This Row],[GroupByKey]]),(DiscreteStatsTable[GroupByKey]=DiscreteStatsTable[[#This Row],[GroupByKey]])*DiscreteStatsTable[NumberObservations])),0)</f>
        <v>6547.7</v>
      </c>
      <c r="W352">
        <f>IF((DiscreteStatsTable[[#This Row],[RepsRequested]]&gt;1),DiscreteStatsTable[[#This Row],[HalfWidth]],DiscreteStatsTable[[#This Row],[BatchMeansHalfWidth]])</f>
        <v>8.7648574161327222</v>
      </c>
      <c r="X352" cm="1">
        <f t="array" ref="X352">COUNT(IF((DiscreteStatsTable[GroupByKey]=DiscreteStatsTable[[#This Row],[GroupByKey]]),(DiscreteStatsTable[GroupByKey]=DiscreteStatsTable[[#This Row],[GroupByKey]])*DiscreteStatsTable[Replication]))</f>
        <v>10</v>
      </c>
      <c r="Y352">
        <f>IF(DiscreteStatsTable[[#This Row],[RepsRequested]]=DiscreteStatsTable[[#This Row],[RepsWithStatObserved]],1,0)</f>
        <v>1</v>
      </c>
    </row>
    <row r="353" spans="1:25" x14ac:dyDescent="0.25">
      <c r="A353" t="s">
        <v>67</v>
      </c>
      <c r="B353" t="s">
        <v>243</v>
      </c>
      <c r="C353">
        <v>2</v>
      </c>
      <c r="D353" t="s">
        <v>100</v>
      </c>
      <c r="E353" t="s">
        <v>72</v>
      </c>
      <c r="F353" t="s">
        <v>71</v>
      </c>
      <c r="G353">
        <v>71.740547867915396</v>
      </c>
      <c r="H353">
        <v>58.446122504046699</v>
      </c>
      <c r="I353">
        <v>0</v>
      </c>
      <c r="J353">
        <v>50377.759065881699</v>
      </c>
      <c r="K353">
        <v>6557</v>
      </c>
      <c r="L353" t="str">
        <f>DiscreteStatsTable[[#This Row],[ProjectName]]&amp;DiscreteStatsTable[[#This Row],[Name]]&amp;DiscreteStatsTable[[#This Row],[Type]]&amp;DiscreteStatsTable[[#This Row],[Source]]</f>
        <v>Unnamed ProjectSeize 10.QueueWaiting TimeQueue</v>
      </c>
      <c r="M353" cm="1">
        <f t="array" ref="M353">MAX(IF((ProjectInfoTable[ProjectName]=DiscreteStatsTable[[#This Row],[ProjectName]]),(ProjectInfoTable[ProjectName]=DiscreteStatsTable[[#This Row],[ProjectName]])*ProjectInfoTable[NumberOfReplications]))</f>
        <v>10</v>
      </c>
      <c r="N353" cm="1">
        <f t="array" ref="N353">IFERROR(AVERAGE(IF((DiscreteStatsTable[GroupByKey]=DiscreteStatsTable[[#This Row],[GroupByKey]]),(DiscreteStatsTable[GroupByKey]=DiscreteStatsTable[[#This Row],[GroupByKey]])*DiscreteStatsTable[Average])),0)</f>
        <v>56.164806958974978</v>
      </c>
      <c r="O353" cm="1">
        <f t="array" ref="O353">IFERROR(_xlfn.STDEV.S(IF((DiscreteStatsTable[GroupByKey]=DiscreteStatsTable[[#This Row],[GroupByKey]]),(DiscreteStatsTable[GroupByKey]=DiscreteStatsTable[[#This Row],[GroupByKey]])*DiscreteStatsTable[Average])),0)</f>
        <v>12.252425807282485</v>
      </c>
      <c r="P353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8.7648574161327222</v>
      </c>
      <c r="R353" cm="1">
        <f t="array" ref="R353">MIN(IF((DiscreteStatsTable[GroupByKey]=DiscreteStatsTable[[#This Row],[GroupByKey]]),(DiscreteStatsTable[GroupByKey]=DiscreteStatsTable[[#This Row],[GroupByKey]])*DiscreteStatsTable[Average]))</f>
        <v>37.857616642272703</v>
      </c>
      <c r="S353" cm="1">
        <f t="array" ref="S353">MAX(IF((DiscreteStatsTable[GroupByKey]=DiscreteStatsTable[[#This Row],[GroupByKey]]),(DiscreteStatsTable[GroupByKey]=DiscreteStatsTable[[#This Row],[GroupByKey]])*DiscreteStatsTable[Average]))</f>
        <v>71.836270525000302</v>
      </c>
      <c r="T353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cm="1">
        <f t="array" ref="U353">MAX(IF((DiscreteStatsTable[GroupByKey]=DiscreteStatsTable[[#This Row],[GroupByKey]]),(DiscreteStatsTable[GroupByKey]=DiscreteStatsTable[[#This Row],[GroupByKey]])*DiscreteStatsTable[Maximum]))</f>
        <v>50396.317941052599</v>
      </c>
      <c r="V353" cm="1">
        <f t="array" ref="V353">IFERROR(AVERAGE(IF((DiscreteStatsTable[GroupByKey]=DiscreteStatsTable[[#This Row],[GroupByKey]]),(DiscreteStatsTable[GroupByKey]=DiscreteStatsTable[[#This Row],[GroupByKey]])*DiscreteStatsTable[NumberObservations])),0)</f>
        <v>6547.7</v>
      </c>
      <c r="W353">
        <f>IF((DiscreteStatsTable[[#This Row],[RepsRequested]]&gt;1),DiscreteStatsTable[[#This Row],[HalfWidth]],DiscreteStatsTable[[#This Row],[BatchMeansHalfWidth]])</f>
        <v>8.7648574161327222</v>
      </c>
      <c r="X353" cm="1">
        <f t="array" ref="X353">COUNT(IF((DiscreteStatsTable[GroupByKey]=DiscreteStatsTable[[#This Row],[GroupByKey]]),(DiscreteStatsTable[GroupByKey]=DiscreteStatsTable[[#This Row],[GroupByKey]])*DiscreteStatsTable[Replication]))</f>
        <v>10</v>
      </c>
      <c r="Y353">
        <f>IF(DiscreteStatsTable[[#This Row],[RepsRequested]]=DiscreteStatsTable[[#This Row],[RepsWithStatObserved]],1,0)</f>
        <v>1</v>
      </c>
    </row>
    <row r="354" spans="1:25" x14ac:dyDescent="0.25">
      <c r="A354" t="s">
        <v>67</v>
      </c>
      <c r="B354" t="s">
        <v>243</v>
      </c>
      <c r="C354">
        <v>3</v>
      </c>
      <c r="D354" t="s">
        <v>100</v>
      </c>
      <c r="E354" t="s">
        <v>72</v>
      </c>
      <c r="F354" t="s">
        <v>71</v>
      </c>
      <c r="G354">
        <v>38.957763669831401</v>
      </c>
      <c r="H354">
        <v>37.5479706150807</v>
      </c>
      <c r="I354">
        <v>0</v>
      </c>
      <c r="J354">
        <v>50386.070039929502</v>
      </c>
      <c r="K354">
        <v>6546</v>
      </c>
      <c r="L354" t="str">
        <f>DiscreteStatsTable[[#This Row],[ProjectName]]&amp;DiscreteStatsTable[[#This Row],[Name]]&amp;DiscreteStatsTable[[#This Row],[Type]]&amp;DiscreteStatsTable[[#This Row],[Source]]</f>
        <v>Unnamed ProjectSeize 10.QueueWaiting TimeQueue</v>
      </c>
      <c r="M354" cm="1">
        <f t="array" ref="M354">MAX(IF((ProjectInfoTable[ProjectName]=DiscreteStatsTable[[#This Row],[ProjectName]]),(ProjectInfoTable[ProjectName]=DiscreteStatsTable[[#This Row],[ProjectName]])*ProjectInfoTable[NumberOfReplications]))</f>
        <v>10</v>
      </c>
      <c r="N354" cm="1">
        <f t="array" ref="N354">IFERROR(AVERAGE(IF((DiscreteStatsTable[GroupByKey]=DiscreteStatsTable[[#This Row],[GroupByKey]]),(DiscreteStatsTable[GroupByKey]=DiscreteStatsTable[[#This Row],[GroupByKey]])*DiscreteStatsTable[Average])),0)</f>
        <v>56.164806958974978</v>
      </c>
      <c r="O354" cm="1">
        <f t="array" ref="O354">IFERROR(_xlfn.STDEV.S(IF((DiscreteStatsTable[GroupByKey]=DiscreteStatsTable[[#This Row],[GroupByKey]]),(DiscreteStatsTable[GroupByKey]=DiscreteStatsTable[[#This Row],[GroupByKey]])*DiscreteStatsTable[Average])),0)</f>
        <v>12.252425807282485</v>
      </c>
      <c r="P354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8.7648574161327222</v>
      </c>
      <c r="R354" cm="1">
        <f t="array" ref="R354">MIN(IF((DiscreteStatsTable[GroupByKey]=DiscreteStatsTable[[#This Row],[GroupByKey]]),(DiscreteStatsTable[GroupByKey]=DiscreteStatsTable[[#This Row],[GroupByKey]])*DiscreteStatsTable[Average]))</f>
        <v>37.857616642272703</v>
      </c>
      <c r="S354" cm="1">
        <f t="array" ref="S354">MAX(IF((DiscreteStatsTable[GroupByKey]=DiscreteStatsTable[[#This Row],[GroupByKey]]),(DiscreteStatsTable[GroupByKey]=DiscreteStatsTable[[#This Row],[GroupByKey]])*DiscreteStatsTable[Average]))</f>
        <v>71.836270525000302</v>
      </c>
      <c r="T354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cm="1">
        <f t="array" ref="U354">MAX(IF((DiscreteStatsTable[GroupByKey]=DiscreteStatsTable[[#This Row],[GroupByKey]]),(DiscreteStatsTable[GroupByKey]=DiscreteStatsTable[[#This Row],[GroupByKey]])*DiscreteStatsTable[Maximum]))</f>
        <v>50396.317941052599</v>
      </c>
      <c r="V354" cm="1">
        <f t="array" ref="V354">IFERROR(AVERAGE(IF((DiscreteStatsTable[GroupByKey]=DiscreteStatsTable[[#This Row],[GroupByKey]]),(DiscreteStatsTable[GroupByKey]=DiscreteStatsTable[[#This Row],[GroupByKey]])*DiscreteStatsTable[NumberObservations])),0)</f>
        <v>6547.7</v>
      </c>
      <c r="W354">
        <f>IF((DiscreteStatsTable[[#This Row],[RepsRequested]]&gt;1),DiscreteStatsTable[[#This Row],[HalfWidth]],DiscreteStatsTable[[#This Row],[BatchMeansHalfWidth]])</f>
        <v>8.7648574161327222</v>
      </c>
      <c r="X354" cm="1">
        <f t="array" ref="X354">COUNT(IF((DiscreteStatsTable[GroupByKey]=DiscreteStatsTable[[#This Row],[GroupByKey]]),(DiscreteStatsTable[GroupByKey]=DiscreteStatsTable[[#This Row],[GroupByKey]])*DiscreteStatsTable[Replication]))</f>
        <v>10</v>
      </c>
      <c r="Y354">
        <f>IF(DiscreteStatsTable[[#This Row],[RepsRequested]]=DiscreteStatsTable[[#This Row],[RepsWithStatObserved]],1,0)</f>
        <v>1</v>
      </c>
    </row>
    <row r="355" spans="1:25" x14ac:dyDescent="0.25">
      <c r="A355" t="s">
        <v>67</v>
      </c>
      <c r="B355" t="s">
        <v>243</v>
      </c>
      <c r="C355">
        <v>4</v>
      </c>
      <c r="D355" t="s">
        <v>100</v>
      </c>
      <c r="E355" t="s">
        <v>72</v>
      </c>
      <c r="F355" t="s">
        <v>71</v>
      </c>
      <c r="G355">
        <v>55.459050586615099</v>
      </c>
      <c r="H355">
        <v>47.132973875203703</v>
      </c>
      <c r="I355">
        <v>0</v>
      </c>
      <c r="J355">
        <v>50364.645380804097</v>
      </c>
      <c r="K355">
        <v>6540</v>
      </c>
      <c r="L355" t="str">
        <f>DiscreteStatsTable[[#This Row],[ProjectName]]&amp;DiscreteStatsTable[[#This Row],[Name]]&amp;DiscreteStatsTable[[#This Row],[Type]]&amp;DiscreteStatsTable[[#This Row],[Source]]</f>
        <v>Unnamed ProjectSeize 10.QueueWaiting TimeQueue</v>
      </c>
      <c r="M355" cm="1">
        <f t="array" ref="M355">MAX(IF((ProjectInfoTable[ProjectName]=DiscreteStatsTable[[#This Row],[ProjectName]]),(ProjectInfoTable[ProjectName]=DiscreteStatsTable[[#This Row],[ProjectName]])*ProjectInfoTable[NumberOfReplications]))</f>
        <v>10</v>
      </c>
      <c r="N355" cm="1">
        <f t="array" ref="N355">IFERROR(AVERAGE(IF((DiscreteStatsTable[GroupByKey]=DiscreteStatsTable[[#This Row],[GroupByKey]]),(DiscreteStatsTable[GroupByKey]=DiscreteStatsTable[[#This Row],[GroupByKey]])*DiscreteStatsTable[Average])),0)</f>
        <v>56.164806958974978</v>
      </c>
      <c r="O355" cm="1">
        <f t="array" ref="O355">IFERROR(_xlfn.STDEV.S(IF((DiscreteStatsTable[GroupByKey]=DiscreteStatsTable[[#This Row],[GroupByKey]]),(DiscreteStatsTable[GroupByKey]=DiscreteStatsTable[[#This Row],[GroupByKey]])*DiscreteStatsTable[Average])),0)</f>
        <v>12.252425807282485</v>
      </c>
      <c r="P35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8.7648574161327222</v>
      </c>
      <c r="R355" cm="1">
        <f t="array" ref="R355">MIN(IF((DiscreteStatsTable[GroupByKey]=DiscreteStatsTable[[#This Row],[GroupByKey]]),(DiscreteStatsTable[GroupByKey]=DiscreteStatsTable[[#This Row],[GroupByKey]])*DiscreteStatsTable[Average]))</f>
        <v>37.857616642272703</v>
      </c>
      <c r="S355" cm="1">
        <f t="array" ref="S355">MAX(IF((DiscreteStatsTable[GroupByKey]=DiscreteStatsTable[[#This Row],[GroupByKey]]),(DiscreteStatsTable[GroupByKey]=DiscreteStatsTable[[#This Row],[GroupByKey]])*DiscreteStatsTable[Average]))</f>
        <v>71.836270525000302</v>
      </c>
      <c r="T35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cm="1">
        <f t="array" ref="U355">MAX(IF((DiscreteStatsTable[GroupByKey]=DiscreteStatsTable[[#This Row],[GroupByKey]]),(DiscreteStatsTable[GroupByKey]=DiscreteStatsTable[[#This Row],[GroupByKey]])*DiscreteStatsTable[Maximum]))</f>
        <v>50396.317941052599</v>
      </c>
      <c r="V355" cm="1">
        <f t="array" ref="V355">IFERROR(AVERAGE(IF((DiscreteStatsTable[GroupByKey]=DiscreteStatsTable[[#This Row],[GroupByKey]]),(DiscreteStatsTable[GroupByKey]=DiscreteStatsTable[[#This Row],[GroupByKey]])*DiscreteStatsTable[NumberObservations])),0)</f>
        <v>6547.7</v>
      </c>
      <c r="W355">
        <f>IF((DiscreteStatsTable[[#This Row],[RepsRequested]]&gt;1),DiscreteStatsTable[[#This Row],[HalfWidth]],DiscreteStatsTable[[#This Row],[BatchMeansHalfWidth]])</f>
        <v>8.7648574161327222</v>
      </c>
      <c r="X355" cm="1">
        <f t="array" ref="X355">COUNT(IF((DiscreteStatsTable[GroupByKey]=DiscreteStatsTable[[#This Row],[GroupByKey]]),(DiscreteStatsTable[GroupByKey]=DiscreteStatsTable[[#This Row],[GroupByKey]])*DiscreteStatsTable[Replication]))</f>
        <v>10</v>
      </c>
      <c r="Y355">
        <f>IF(DiscreteStatsTable[[#This Row],[RepsRequested]]=DiscreteStatsTable[[#This Row],[RepsWithStatObserved]],1,0)</f>
        <v>1</v>
      </c>
    </row>
    <row r="356" spans="1:25" x14ac:dyDescent="0.25">
      <c r="A356" t="s">
        <v>67</v>
      </c>
      <c r="B356" t="s">
        <v>243</v>
      </c>
      <c r="C356">
        <v>5</v>
      </c>
      <c r="D356" t="s">
        <v>100</v>
      </c>
      <c r="E356" t="s">
        <v>72</v>
      </c>
      <c r="F356" t="s">
        <v>71</v>
      </c>
      <c r="G356">
        <v>45.500710691834499</v>
      </c>
      <c r="H356">
        <v>39.585698580518603</v>
      </c>
      <c r="I356">
        <v>0</v>
      </c>
      <c r="J356">
        <v>50386.841794354703</v>
      </c>
      <c r="K356">
        <v>6553</v>
      </c>
      <c r="L356" t="str">
        <f>DiscreteStatsTable[[#This Row],[ProjectName]]&amp;DiscreteStatsTable[[#This Row],[Name]]&amp;DiscreteStatsTable[[#This Row],[Type]]&amp;DiscreteStatsTable[[#This Row],[Source]]</f>
        <v>Unnamed ProjectSeize 10.QueueWaiting TimeQueue</v>
      </c>
      <c r="M356" cm="1">
        <f t="array" ref="M356">MAX(IF((ProjectInfoTable[ProjectName]=DiscreteStatsTable[[#This Row],[ProjectName]]),(ProjectInfoTable[ProjectName]=DiscreteStatsTable[[#This Row],[ProjectName]])*ProjectInfoTable[NumberOfReplications]))</f>
        <v>10</v>
      </c>
      <c r="N356" cm="1">
        <f t="array" ref="N356">IFERROR(AVERAGE(IF((DiscreteStatsTable[GroupByKey]=DiscreteStatsTable[[#This Row],[GroupByKey]]),(DiscreteStatsTable[GroupByKey]=DiscreteStatsTable[[#This Row],[GroupByKey]])*DiscreteStatsTable[Average])),0)</f>
        <v>56.164806958974978</v>
      </c>
      <c r="O356" cm="1">
        <f t="array" ref="O356">IFERROR(_xlfn.STDEV.S(IF((DiscreteStatsTable[GroupByKey]=DiscreteStatsTable[[#This Row],[GroupByKey]]),(DiscreteStatsTable[GroupByKey]=DiscreteStatsTable[[#This Row],[GroupByKey]])*DiscreteStatsTable[Average])),0)</f>
        <v>12.252425807282485</v>
      </c>
      <c r="P356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8.7648574161327222</v>
      </c>
      <c r="R356" cm="1">
        <f t="array" ref="R356">MIN(IF((DiscreteStatsTable[GroupByKey]=DiscreteStatsTable[[#This Row],[GroupByKey]]),(DiscreteStatsTable[GroupByKey]=DiscreteStatsTable[[#This Row],[GroupByKey]])*DiscreteStatsTable[Average]))</f>
        <v>37.857616642272703</v>
      </c>
      <c r="S356" cm="1">
        <f t="array" ref="S356">MAX(IF((DiscreteStatsTable[GroupByKey]=DiscreteStatsTable[[#This Row],[GroupByKey]]),(DiscreteStatsTable[GroupByKey]=DiscreteStatsTable[[#This Row],[GroupByKey]])*DiscreteStatsTable[Average]))</f>
        <v>71.836270525000302</v>
      </c>
      <c r="T356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cm="1">
        <f t="array" ref="U356">MAX(IF((DiscreteStatsTable[GroupByKey]=DiscreteStatsTable[[#This Row],[GroupByKey]]),(DiscreteStatsTable[GroupByKey]=DiscreteStatsTable[[#This Row],[GroupByKey]])*DiscreteStatsTable[Maximum]))</f>
        <v>50396.317941052599</v>
      </c>
      <c r="V356" cm="1">
        <f t="array" ref="V356">IFERROR(AVERAGE(IF((DiscreteStatsTable[GroupByKey]=DiscreteStatsTable[[#This Row],[GroupByKey]]),(DiscreteStatsTable[GroupByKey]=DiscreteStatsTable[[#This Row],[GroupByKey]])*DiscreteStatsTable[NumberObservations])),0)</f>
        <v>6547.7</v>
      </c>
      <c r="W356">
        <f>IF((DiscreteStatsTable[[#This Row],[RepsRequested]]&gt;1),DiscreteStatsTable[[#This Row],[HalfWidth]],DiscreteStatsTable[[#This Row],[BatchMeansHalfWidth]])</f>
        <v>8.7648574161327222</v>
      </c>
      <c r="X356" cm="1">
        <f t="array" ref="X356">COUNT(IF((DiscreteStatsTable[GroupByKey]=DiscreteStatsTable[[#This Row],[GroupByKey]]),(DiscreteStatsTable[GroupByKey]=DiscreteStatsTable[[#This Row],[GroupByKey]])*DiscreteStatsTable[Replication]))</f>
        <v>10</v>
      </c>
      <c r="Y356">
        <f>IF(DiscreteStatsTable[[#This Row],[RepsRequested]]=DiscreteStatsTable[[#This Row],[RepsWithStatObserved]],1,0)</f>
        <v>1</v>
      </c>
    </row>
    <row r="357" spans="1:25" x14ac:dyDescent="0.25">
      <c r="A357" t="s">
        <v>67</v>
      </c>
      <c r="B357" t="s">
        <v>243</v>
      </c>
      <c r="C357">
        <v>6</v>
      </c>
      <c r="D357" t="s">
        <v>100</v>
      </c>
      <c r="E357" t="s">
        <v>72</v>
      </c>
      <c r="F357" t="s">
        <v>71</v>
      </c>
      <c r="G357">
        <v>62.535575887811703</v>
      </c>
      <c r="H357">
        <v>47.235911221614501</v>
      </c>
      <c r="I357">
        <v>0</v>
      </c>
      <c r="J357">
        <v>50396.317941052599</v>
      </c>
      <c r="K357">
        <v>6550</v>
      </c>
      <c r="L357" t="str">
        <f>DiscreteStatsTable[[#This Row],[ProjectName]]&amp;DiscreteStatsTable[[#This Row],[Name]]&amp;DiscreteStatsTable[[#This Row],[Type]]&amp;DiscreteStatsTable[[#This Row],[Source]]</f>
        <v>Unnamed ProjectSeize 10.QueueWaiting TimeQueue</v>
      </c>
      <c r="M357" cm="1">
        <f t="array" ref="M357">MAX(IF((ProjectInfoTable[ProjectName]=DiscreteStatsTable[[#This Row],[ProjectName]]),(ProjectInfoTable[ProjectName]=DiscreteStatsTable[[#This Row],[ProjectName]])*ProjectInfoTable[NumberOfReplications]))</f>
        <v>10</v>
      </c>
      <c r="N357" cm="1">
        <f t="array" ref="N357">IFERROR(AVERAGE(IF((DiscreteStatsTable[GroupByKey]=DiscreteStatsTable[[#This Row],[GroupByKey]]),(DiscreteStatsTable[GroupByKey]=DiscreteStatsTable[[#This Row],[GroupByKey]])*DiscreteStatsTable[Average])),0)</f>
        <v>56.164806958974978</v>
      </c>
      <c r="O357" cm="1">
        <f t="array" ref="O357">IFERROR(_xlfn.STDEV.S(IF((DiscreteStatsTable[GroupByKey]=DiscreteStatsTable[[#This Row],[GroupByKey]]),(DiscreteStatsTable[GroupByKey]=DiscreteStatsTable[[#This Row],[GroupByKey]])*DiscreteStatsTable[Average])),0)</f>
        <v>12.252425807282485</v>
      </c>
      <c r="P357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8.7648574161327222</v>
      </c>
      <c r="R357" cm="1">
        <f t="array" ref="R357">MIN(IF((DiscreteStatsTable[GroupByKey]=DiscreteStatsTable[[#This Row],[GroupByKey]]),(DiscreteStatsTable[GroupByKey]=DiscreteStatsTable[[#This Row],[GroupByKey]])*DiscreteStatsTable[Average]))</f>
        <v>37.857616642272703</v>
      </c>
      <c r="S357" cm="1">
        <f t="array" ref="S357">MAX(IF((DiscreteStatsTable[GroupByKey]=DiscreteStatsTable[[#This Row],[GroupByKey]]),(DiscreteStatsTable[GroupByKey]=DiscreteStatsTable[[#This Row],[GroupByKey]])*DiscreteStatsTable[Average]))</f>
        <v>71.836270525000302</v>
      </c>
      <c r="T357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cm="1">
        <f t="array" ref="U357">MAX(IF((DiscreteStatsTable[GroupByKey]=DiscreteStatsTable[[#This Row],[GroupByKey]]),(DiscreteStatsTable[GroupByKey]=DiscreteStatsTable[[#This Row],[GroupByKey]])*DiscreteStatsTable[Maximum]))</f>
        <v>50396.317941052599</v>
      </c>
      <c r="V357" cm="1">
        <f t="array" ref="V357">IFERROR(AVERAGE(IF((DiscreteStatsTable[GroupByKey]=DiscreteStatsTable[[#This Row],[GroupByKey]]),(DiscreteStatsTable[GroupByKey]=DiscreteStatsTable[[#This Row],[GroupByKey]])*DiscreteStatsTable[NumberObservations])),0)</f>
        <v>6547.7</v>
      </c>
      <c r="W357">
        <f>IF((DiscreteStatsTable[[#This Row],[RepsRequested]]&gt;1),DiscreteStatsTable[[#This Row],[HalfWidth]],DiscreteStatsTable[[#This Row],[BatchMeansHalfWidth]])</f>
        <v>8.7648574161327222</v>
      </c>
      <c r="X357" cm="1">
        <f t="array" ref="X357">COUNT(IF((DiscreteStatsTable[GroupByKey]=DiscreteStatsTable[[#This Row],[GroupByKey]]),(DiscreteStatsTable[GroupByKey]=DiscreteStatsTable[[#This Row],[GroupByKey]])*DiscreteStatsTable[Replication]))</f>
        <v>10</v>
      </c>
      <c r="Y357">
        <f>IF(DiscreteStatsTable[[#This Row],[RepsRequested]]=DiscreteStatsTable[[#This Row],[RepsWithStatObserved]],1,0)</f>
        <v>1</v>
      </c>
    </row>
    <row r="358" spans="1:25" x14ac:dyDescent="0.25">
      <c r="A358" t="s">
        <v>67</v>
      </c>
      <c r="B358" t="s">
        <v>243</v>
      </c>
      <c r="C358">
        <v>7</v>
      </c>
      <c r="D358" t="s">
        <v>100</v>
      </c>
      <c r="E358" t="s">
        <v>72</v>
      </c>
      <c r="F358" t="s">
        <v>71</v>
      </c>
      <c r="G358">
        <v>53.7086295461365</v>
      </c>
      <c r="H358">
        <v>57.876603401918601</v>
      </c>
      <c r="I358">
        <v>0</v>
      </c>
      <c r="J358">
        <v>50390.494796871702</v>
      </c>
      <c r="K358">
        <v>6553</v>
      </c>
      <c r="L358" t="str">
        <f>DiscreteStatsTable[[#This Row],[ProjectName]]&amp;DiscreteStatsTable[[#This Row],[Name]]&amp;DiscreteStatsTable[[#This Row],[Type]]&amp;DiscreteStatsTable[[#This Row],[Source]]</f>
        <v>Unnamed ProjectSeize 10.QueueWaiting TimeQueue</v>
      </c>
      <c r="M358" cm="1">
        <f t="array" ref="M358">MAX(IF((ProjectInfoTable[ProjectName]=DiscreteStatsTable[[#This Row],[ProjectName]]),(ProjectInfoTable[ProjectName]=DiscreteStatsTable[[#This Row],[ProjectName]])*ProjectInfoTable[NumberOfReplications]))</f>
        <v>10</v>
      </c>
      <c r="N358" cm="1">
        <f t="array" ref="N358">IFERROR(AVERAGE(IF((DiscreteStatsTable[GroupByKey]=DiscreteStatsTable[[#This Row],[GroupByKey]]),(DiscreteStatsTable[GroupByKey]=DiscreteStatsTable[[#This Row],[GroupByKey]])*DiscreteStatsTable[Average])),0)</f>
        <v>56.164806958974978</v>
      </c>
      <c r="O358" cm="1">
        <f t="array" ref="O358">IFERROR(_xlfn.STDEV.S(IF((DiscreteStatsTable[GroupByKey]=DiscreteStatsTable[[#This Row],[GroupByKey]]),(DiscreteStatsTable[GroupByKey]=DiscreteStatsTable[[#This Row],[GroupByKey]])*DiscreteStatsTable[Average])),0)</f>
        <v>12.252425807282485</v>
      </c>
      <c r="P358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8.7648574161327222</v>
      </c>
      <c r="R358" cm="1">
        <f t="array" ref="R358">MIN(IF((DiscreteStatsTable[GroupByKey]=DiscreteStatsTable[[#This Row],[GroupByKey]]),(DiscreteStatsTable[GroupByKey]=DiscreteStatsTable[[#This Row],[GroupByKey]])*DiscreteStatsTable[Average]))</f>
        <v>37.857616642272703</v>
      </c>
      <c r="S358" cm="1">
        <f t="array" ref="S358">MAX(IF((DiscreteStatsTable[GroupByKey]=DiscreteStatsTable[[#This Row],[GroupByKey]]),(DiscreteStatsTable[GroupByKey]=DiscreteStatsTable[[#This Row],[GroupByKey]])*DiscreteStatsTable[Average]))</f>
        <v>71.836270525000302</v>
      </c>
      <c r="T358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cm="1">
        <f t="array" ref="U358">MAX(IF((DiscreteStatsTable[GroupByKey]=DiscreteStatsTable[[#This Row],[GroupByKey]]),(DiscreteStatsTable[GroupByKey]=DiscreteStatsTable[[#This Row],[GroupByKey]])*DiscreteStatsTable[Maximum]))</f>
        <v>50396.317941052599</v>
      </c>
      <c r="V358" cm="1">
        <f t="array" ref="V358">IFERROR(AVERAGE(IF((DiscreteStatsTable[GroupByKey]=DiscreteStatsTable[[#This Row],[GroupByKey]]),(DiscreteStatsTable[GroupByKey]=DiscreteStatsTable[[#This Row],[GroupByKey]])*DiscreteStatsTable[NumberObservations])),0)</f>
        <v>6547.7</v>
      </c>
      <c r="W358">
        <f>IF((DiscreteStatsTable[[#This Row],[RepsRequested]]&gt;1),DiscreteStatsTable[[#This Row],[HalfWidth]],DiscreteStatsTable[[#This Row],[BatchMeansHalfWidth]])</f>
        <v>8.7648574161327222</v>
      </c>
      <c r="X358" cm="1">
        <f t="array" ref="X358">COUNT(IF((DiscreteStatsTable[GroupByKey]=DiscreteStatsTable[[#This Row],[GroupByKey]]),(DiscreteStatsTable[GroupByKey]=DiscreteStatsTable[[#This Row],[GroupByKey]])*DiscreteStatsTable[Replication]))</f>
        <v>10</v>
      </c>
      <c r="Y358">
        <f>IF(DiscreteStatsTable[[#This Row],[RepsRequested]]=DiscreteStatsTable[[#This Row],[RepsWithStatObserved]],1,0)</f>
        <v>1</v>
      </c>
    </row>
    <row r="359" spans="1:25" x14ac:dyDescent="0.25">
      <c r="A359" t="s">
        <v>67</v>
      </c>
      <c r="B359" t="s">
        <v>243</v>
      </c>
      <c r="C359">
        <v>8</v>
      </c>
      <c r="D359" t="s">
        <v>100</v>
      </c>
      <c r="E359" t="s">
        <v>72</v>
      </c>
      <c r="F359" t="s">
        <v>71</v>
      </c>
      <c r="G359">
        <v>71.836270525000302</v>
      </c>
      <c r="H359">
        <v>58.496084670211502</v>
      </c>
      <c r="I359">
        <v>0</v>
      </c>
      <c r="J359">
        <v>50384.351706463203</v>
      </c>
      <c r="K359">
        <v>6546</v>
      </c>
      <c r="L359" t="str">
        <f>DiscreteStatsTable[[#This Row],[ProjectName]]&amp;DiscreteStatsTable[[#This Row],[Name]]&amp;DiscreteStatsTable[[#This Row],[Type]]&amp;DiscreteStatsTable[[#This Row],[Source]]</f>
        <v>Unnamed ProjectSeize 10.QueueWaiting TimeQueue</v>
      </c>
      <c r="M359" cm="1">
        <f t="array" ref="M359">MAX(IF((ProjectInfoTable[ProjectName]=DiscreteStatsTable[[#This Row],[ProjectName]]),(ProjectInfoTable[ProjectName]=DiscreteStatsTable[[#This Row],[ProjectName]])*ProjectInfoTable[NumberOfReplications]))</f>
        <v>10</v>
      </c>
      <c r="N359" cm="1">
        <f t="array" ref="N359">IFERROR(AVERAGE(IF((DiscreteStatsTable[GroupByKey]=DiscreteStatsTable[[#This Row],[GroupByKey]]),(DiscreteStatsTable[GroupByKey]=DiscreteStatsTable[[#This Row],[GroupByKey]])*DiscreteStatsTable[Average])),0)</f>
        <v>56.164806958974978</v>
      </c>
      <c r="O359" cm="1">
        <f t="array" ref="O359">IFERROR(_xlfn.STDEV.S(IF((DiscreteStatsTable[GroupByKey]=DiscreteStatsTable[[#This Row],[GroupByKey]]),(DiscreteStatsTable[GroupByKey]=DiscreteStatsTable[[#This Row],[GroupByKey]])*DiscreteStatsTable[Average])),0)</f>
        <v>12.252425807282485</v>
      </c>
      <c r="P359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8.7648574161327222</v>
      </c>
      <c r="R359" cm="1">
        <f t="array" ref="R359">MIN(IF((DiscreteStatsTable[GroupByKey]=DiscreteStatsTable[[#This Row],[GroupByKey]]),(DiscreteStatsTable[GroupByKey]=DiscreteStatsTable[[#This Row],[GroupByKey]])*DiscreteStatsTable[Average]))</f>
        <v>37.857616642272703</v>
      </c>
      <c r="S359" cm="1">
        <f t="array" ref="S359">MAX(IF((DiscreteStatsTable[GroupByKey]=DiscreteStatsTable[[#This Row],[GroupByKey]]),(DiscreteStatsTable[GroupByKey]=DiscreteStatsTable[[#This Row],[GroupByKey]])*DiscreteStatsTable[Average]))</f>
        <v>71.836270525000302</v>
      </c>
      <c r="T359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cm="1">
        <f t="array" ref="U359">MAX(IF((DiscreteStatsTable[GroupByKey]=DiscreteStatsTable[[#This Row],[GroupByKey]]),(DiscreteStatsTable[GroupByKey]=DiscreteStatsTable[[#This Row],[GroupByKey]])*DiscreteStatsTable[Maximum]))</f>
        <v>50396.317941052599</v>
      </c>
      <c r="V359" cm="1">
        <f t="array" ref="V359">IFERROR(AVERAGE(IF((DiscreteStatsTable[GroupByKey]=DiscreteStatsTable[[#This Row],[GroupByKey]]),(DiscreteStatsTable[GroupByKey]=DiscreteStatsTable[[#This Row],[GroupByKey]])*DiscreteStatsTable[NumberObservations])),0)</f>
        <v>6547.7</v>
      </c>
      <c r="W359">
        <f>IF((DiscreteStatsTable[[#This Row],[RepsRequested]]&gt;1),DiscreteStatsTable[[#This Row],[HalfWidth]],DiscreteStatsTable[[#This Row],[BatchMeansHalfWidth]])</f>
        <v>8.7648574161327222</v>
      </c>
      <c r="X359" cm="1">
        <f t="array" ref="X359">COUNT(IF((DiscreteStatsTable[GroupByKey]=DiscreteStatsTable[[#This Row],[GroupByKey]]),(DiscreteStatsTable[GroupByKey]=DiscreteStatsTable[[#This Row],[GroupByKey]])*DiscreteStatsTable[Replication]))</f>
        <v>10</v>
      </c>
      <c r="Y359">
        <f>IF(DiscreteStatsTable[[#This Row],[RepsRequested]]=DiscreteStatsTable[[#This Row],[RepsWithStatObserved]],1,0)</f>
        <v>1</v>
      </c>
    </row>
    <row r="360" spans="1:25" x14ac:dyDescent="0.25">
      <c r="A360" t="s">
        <v>67</v>
      </c>
      <c r="B360" t="s">
        <v>243</v>
      </c>
      <c r="C360">
        <v>9</v>
      </c>
      <c r="D360" t="s">
        <v>100</v>
      </c>
      <c r="E360" t="s">
        <v>72</v>
      </c>
      <c r="F360" t="s">
        <v>71</v>
      </c>
      <c r="G360">
        <v>63.054743214773097</v>
      </c>
      <c r="H360">
        <v>53.694897889306198</v>
      </c>
      <c r="I360">
        <v>0</v>
      </c>
      <c r="J360">
        <v>50389.092599307201</v>
      </c>
      <c r="K360">
        <v>6549</v>
      </c>
      <c r="L360" t="str">
        <f>DiscreteStatsTable[[#This Row],[ProjectName]]&amp;DiscreteStatsTable[[#This Row],[Name]]&amp;DiscreteStatsTable[[#This Row],[Type]]&amp;DiscreteStatsTable[[#This Row],[Source]]</f>
        <v>Unnamed ProjectSeize 10.QueueWaiting TimeQueue</v>
      </c>
      <c r="M360" cm="1">
        <f t="array" ref="M360">MAX(IF((ProjectInfoTable[ProjectName]=DiscreteStatsTable[[#This Row],[ProjectName]]),(ProjectInfoTable[ProjectName]=DiscreteStatsTable[[#This Row],[ProjectName]])*ProjectInfoTable[NumberOfReplications]))</f>
        <v>10</v>
      </c>
      <c r="N360" cm="1">
        <f t="array" ref="N360">IFERROR(AVERAGE(IF((DiscreteStatsTable[GroupByKey]=DiscreteStatsTable[[#This Row],[GroupByKey]]),(DiscreteStatsTable[GroupByKey]=DiscreteStatsTable[[#This Row],[GroupByKey]])*DiscreteStatsTable[Average])),0)</f>
        <v>56.164806958974978</v>
      </c>
      <c r="O360" cm="1">
        <f t="array" ref="O360">IFERROR(_xlfn.STDEV.S(IF((DiscreteStatsTable[GroupByKey]=DiscreteStatsTable[[#This Row],[GroupByKey]]),(DiscreteStatsTable[GroupByKey]=DiscreteStatsTable[[#This Row],[GroupByKey]])*DiscreteStatsTable[Average])),0)</f>
        <v>12.252425807282485</v>
      </c>
      <c r="P360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8.7648574161327222</v>
      </c>
      <c r="R360" cm="1">
        <f t="array" ref="R360">MIN(IF((DiscreteStatsTable[GroupByKey]=DiscreteStatsTable[[#This Row],[GroupByKey]]),(DiscreteStatsTable[GroupByKey]=DiscreteStatsTable[[#This Row],[GroupByKey]])*DiscreteStatsTable[Average]))</f>
        <v>37.857616642272703</v>
      </c>
      <c r="S360" cm="1">
        <f t="array" ref="S360">MAX(IF((DiscreteStatsTable[GroupByKey]=DiscreteStatsTable[[#This Row],[GroupByKey]]),(DiscreteStatsTable[GroupByKey]=DiscreteStatsTable[[#This Row],[GroupByKey]])*DiscreteStatsTable[Average]))</f>
        <v>71.836270525000302</v>
      </c>
      <c r="T360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cm="1">
        <f t="array" ref="U360">MAX(IF((DiscreteStatsTable[GroupByKey]=DiscreteStatsTable[[#This Row],[GroupByKey]]),(DiscreteStatsTable[GroupByKey]=DiscreteStatsTable[[#This Row],[GroupByKey]])*DiscreteStatsTable[Maximum]))</f>
        <v>50396.317941052599</v>
      </c>
      <c r="V360" cm="1">
        <f t="array" ref="V360">IFERROR(AVERAGE(IF((DiscreteStatsTable[GroupByKey]=DiscreteStatsTable[[#This Row],[GroupByKey]]),(DiscreteStatsTable[GroupByKey]=DiscreteStatsTable[[#This Row],[GroupByKey]])*DiscreteStatsTable[NumberObservations])),0)</f>
        <v>6547.7</v>
      </c>
      <c r="W360">
        <f>IF((DiscreteStatsTable[[#This Row],[RepsRequested]]&gt;1),DiscreteStatsTable[[#This Row],[HalfWidth]],DiscreteStatsTable[[#This Row],[BatchMeansHalfWidth]])</f>
        <v>8.7648574161327222</v>
      </c>
      <c r="X360" cm="1">
        <f t="array" ref="X360">COUNT(IF((DiscreteStatsTable[GroupByKey]=DiscreteStatsTable[[#This Row],[GroupByKey]]),(DiscreteStatsTable[GroupByKey]=DiscreteStatsTable[[#This Row],[GroupByKey]])*DiscreteStatsTable[Replication]))</f>
        <v>10</v>
      </c>
      <c r="Y360">
        <f>IF(DiscreteStatsTable[[#This Row],[RepsRequested]]=DiscreteStatsTable[[#This Row],[RepsWithStatObserved]],1,0)</f>
        <v>1</v>
      </c>
    </row>
    <row r="361" spans="1:25" x14ac:dyDescent="0.25">
      <c r="A361" t="s">
        <v>67</v>
      </c>
      <c r="B361" t="s">
        <v>243</v>
      </c>
      <c r="C361">
        <v>10</v>
      </c>
      <c r="D361" t="s">
        <v>100</v>
      </c>
      <c r="E361" t="s">
        <v>72</v>
      </c>
      <c r="F361" t="s">
        <v>71</v>
      </c>
      <c r="G361">
        <v>60.997160957559103</v>
      </c>
      <c r="H361">
        <v>47.469100991173697</v>
      </c>
      <c r="I361">
        <v>0</v>
      </c>
      <c r="J361">
        <v>50390.1857790418</v>
      </c>
      <c r="K361">
        <v>6540</v>
      </c>
      <c r="L361" t="str">
        <f>DiscreteStatsTable[[#This Row],[ProjectName]]&amp;DiscreteStatsTable[[#This Row],[Name]]&amp;DiscreteStatsTable[[#This Row],[Type]]&amp;DiscreteStatsTable[[#This Row],[Source]]</f>
        <v>Unnamed ProjectSeize 10.QueueWaiting TimeQueue</v>
      </c>
      <c r="M361" cm="1">
        <f t="array" ref="M361">MAX(IF((ProjectInfoTable[ProjectName]=DiscreteStatsTable[[#This Row],[ProjectName]]),(ProjectInfoTable[ProjectName]=DiscreteStatsTable[[#This Row],[ProjectName]])*ProjectInfoTable[NumberOfReplications]))</f>
        <v>10</v>
      </c>
      <c r="N361" cm="1">
        <f t="array" ref="N361">IFERROR(AVERAGE(IF((DiscreteStatsTable[GroupByKey]=DiscreteStatsTable[[#This Row],[GroupByKey]]),(DiscreteStatsTable[GroupByKey]=DiscreteStatsTable[[#This Row],[GroupByKey]])*DiscreteStatsTable[Average])),0)</f>
        <v>56.164806958974978</v>
      </c>
      <c r="O361" cm="1">
        <f t="array" ref="O361">IFERROR(_xlfn.STDEV.S(IF((DiscreteStatsTable[GroupByKey]=DiscreteStatsTable[[#This Row],[GroupByKey]]),(DiscreteStatsTable[GroupByKey]=DiscreteStatsTable[[#This Row],[GroupByKey]])*DiscreteStatsTable[Average])),0)</f>
        <v>12.252425807282485</v>
      </c>
      <c r="P361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8.7648574161327222</v>
      </c>
      <c r="R361" cm="1">
        <f t="array" ref="R361">MIN(IF((DiscreteStatsTable[GroupByKey]=DiscreteStatsTable[[#This Row],[GroupByKey]]),(DiscreteStatsTable[GroupByKey]=DiscreteStatsTable[[#This Row],[GroupByKey]])*DiscreteStatsTable[Average]))</f>
        <v>37.857616642272703</v>
      </c>
      <c r="S361" cm="1">
        <f t="array" ref="S361">MAX(IF((DiscreteStatsTable[GroupByKey]=DiscreteStatsTable[[#This Row],[GroupByKey]]),(DiscreteStatsTable[GroupByKey]=DiscreteStatsTable[[#This Row],[GroupByKey]])*DiscreteStatsTable[Average]))</f>
        <v>71.836270525000302</v>
      </c>
      <c r="T361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cm="1">
        <f t="array" ref="U361">MAX(IF((DiscreteStatsTable[GroupByKey]=DiscreteStatsTable[[#This Row],[GroupByKey]]),(DiscreteStatsTable[GroupByKey]=DiscreteStatsTable[[#This Row],[GroupByKey]])*DiscreteStatsTable[Maximum]))</f>
        <v>50396.317941052599</v>
      </c>
      <c r="V361" cm="1">
        <f t="array" ref="V361">IFERROR(AVERAGE(IF((DiscreteStatsTable[GroupByKey]=DiscreteStatsTable[[#This Row],[GroupByKey]]),(DiscreteStatsTable[GroupByKey]=DiscreteStatsTable[[#This Row],[GroupByKey]])*DiscreteStatsTable[NumberObservations])),0)</f>
        <v>6547.7</v>
      </c>
      <c r="W361">
        <f>IF((DiscreteStatsTable[[#This Row],[RepsRequested]]&gt;1),DiscreteStatsTable[[#This Row],[HalfWidth]],DiscreteStatsTable[[#This Row],[BatchMeansHalfWidth]])</f>
        <v>8.7648574161327222</v>
      </c>
      <c r="X361" cm="1">
        <f t="array" ref="X361">COUNT(IF((DiscreteStatsTable[GroupByKey]=DiscreteStatsTable[[#This Row],[GroupByKey]]),(DiscreteStatsTable[GroupByKey]=DiscreteStatsTable[[#This Row],[GroupByKey]])*DiscreteStatsTable[Replication]))</f>
        <v>10</v>
      </c>
      <c r="Y361">
        <f>IF(DiscreteStatsTable[[#This Row],[RepsRequested]]=DiscreteStatsTable[[#This Row],[RepsWithStatObserved]],1,0)</f>
        <v>1</v>
      </c>
    </row>
    <row r="362" spans="1:25" x14ac:dyDescent="0.25">
      <c r="A362" t="s">
        <v>67</v>
      </c>
      <c r="B362" t="s">
        <v>243</v>
      </c>
      <c r="C362">
        <v>1</v>
      </c>
      <c r="D362" t="s">
        <v>101</v>
      </c>
      <c r="E362" t="s">
        <v>72</v>
      </c>
      <c r="F362" t="s">
        <v>71</v>
      </c>
      <c r="G362">
        <v>76771.074123022307</v>
      </c>
      <c r="H362">
        <v>2E+20</v>
      </c>
      <c r="I362">
        <v>0</v>
      </c>
      <c r="J362">
        <v>132377.01760926301</v>
      </c>
      <c r="K362">
        <v>107</v>
      </c>
      <c r="L362" t="str">
        <f>DiscreteStatsTable[[#This Row],[ProjectName]]&amp;DiscreteStatsTable[[#This Row],[Name]]&amp;DiscreteStatsTable[[#This Row],[Type]]&amp;DiscreteStatsTable[[#This Row],[Source]]</f>
        <v>Unnamed ProjectSeize 11.QueueWaiting TimeQueue</v>
      </c>
      <c r="M362" cm="1">
        <f t="array" ref="M362">MAX(IF((ProjectInfoTable[ProjectName]=DiscreteStatsTable[[#This Row],[ProjectName]]),(ProjectInfoTable[ProjectName]=DiscreteStatsTable[[#This Row],[ProjectName]])*ProjectInfoTable[NumberOfReplications]))</f>
        <v>10</v>
      </c>
      <c r="N362" cm="1">
        <f t="array" ref="N362">IFERROR(AVERAGE(IF((DiscreteStatsTable[GroupByKey]=DiscreteStatsTable[[#This Row],[GroupByKey]]),(DiscreteStatsTable[GroupByKey]=DiscreteStatsTable[[#This Row],[GroupByKey]])*DiscreteStatsTable[Average])),0)</f>
        <v>88046.738172937825</v>
      </c>
      <c r="O362" cm="1">
        <f t="array" ref="O362">IFERROR(_xlfn.STDEV.S(IF((DiscreteStatsTable[GroupByKey]=DiscreteStatsTable[[#This Row],[GroupByKey]]),(DiscreteStatsTable[GroupByKey]=DiscreteStatsTable[[#This Row],[GroupByKey]])*DiscreteStatsTable[Average])),0)</f>
        <v>11777.771875557994</v>
      </c>
      <c r="P362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8425.3104481274768</v>
      </c>
      <c r="R362" cm="1">
        <f t="array" ref="R362">MIN(IF((DiscreteStatsTable[GroupByKey]=DiscreteStatsTable[[#This Row],[GroupByKey]]),(DiscreteStatsTable[GroupByKey]=DiscreteStatsTable[[#This Row],[GroupByKey]])*DiscreteStatsTable[Average]))</f>
        <v>68567.253415256797</v>
      </c>
      <c r="S362" cm="1">
        <f t="array" ref="S362">MAX(IF((DiscreteStatsTable[GroupByKey]=DiscreteStatsTable[[#This Row],[GroupByKey]]),(DiscreteStatsTable[GroupByKey]=DiscreteStatsTable[[#This Row],[GroupByKey]])*DiscreteStatsTable[Average]))</f>
        <v>110513.939109851</v>
      </c>
      <c r="T362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cm="1">
        <f t="array" ref="U362">MAX(IF((DiscreteStatsTable[GroupByKey]=DiscreteStatsTable[[#This Row],[GroupByKey]]),(DiscreteStatsTable[GroupByKey]=DiscreteStatsTable[[#This Row],[GroupByKey]])*DiscreteStatsTable[Maximum]))</f>
        <v>157355.353923986</v>
      </c>
      <c r="V362" cm="1">
        <f t="array" ref="V362">IFERROR(AVERAGE(IF((DiscreteStatsTable[GroupByKey]=DiscreteStatsTable[[#This Row],[GroupByKey]]),(DiscreteStatsTable[GroupByKey]=DiscreteStatsTable[[#This Row],[GroupByKey]])*DiscreteStatsTable[NumberObservations])),0)</f>
        <v>118.7</v>
      </c>
      <c r="W362">
        <f>IF((DiscreteStatsTable[[#This Row],[RepsRequested]]&gt;1),DiscreteStatsTable[[#This Row],[HalfWidth]],DiscreteStatsTable[[#This Row],[BatchMeansHalfWidth]])</f>
        <v>8425.3104481274768</v>
      </c>
      <c r="X362" cm="1">
        <f t="array" ref="X362">COUNT(IF((DiscreteStatsTable[GroupByKey]=DiscreteStatsTable[[#This Row],[GroupByKey]]),(DiscreteStatsTable[GroupByKey]=DiscreteStatsTable[[#This Row],[GroupByKey]])*DiscreteStatsTable[Replication]))</f>
        <v>10</v>
      </c>
      <c r="Y362">
        <f>IF(DiscreteStatsTable[[#This Row],[RepsRequested]]=DiscreteStatsTable[[#This Row],[RepsWithStatObserved]],1,0)</f>
        <v>1</v>
      </c>
    </row>
    <row r="363" spans="1:25" x14ac:dyDescent="0.25">
      <c r="A363" t="s">
        <v>67</v>
      </c>
      <c r="B363" t="s">
        <v>243</v>
      </c>
      <c r="C363">
        <v>2</v>
      </c>
      <c r="D363" t="s">
        <v>101</v>
      </c>
      <c r="E363" t="s">
        <v>72</v>
      </c>
      <c r="F363" t="s">
        <v>71</v>
      </c>
      <c r="G363">
        <v>68567.253415256797</v>
      </c>
      <c r="H363">
        <v>2E+20</v>
      </c>
      <c r="I363">
        <v>0</v>
      </c>
      <c r="J363">
        <v>130793.88854732399</v>
      </c>
      <c r="K363">
        <v>95</v>
      </c>
      <c r="L363" t="str">
        <f>DiscreteStatsTable[[#This Row],[ProjectName]]&amp;DiscreteStatsTable[[#This Row],[Name]]&amp;DiscreteStatsTable[[#This Row],[Type]]&amp;DiscreteStatsTable[[#This Row],[Source]]</f>
        <v>Unnamed ProjectSeize 11.QueueWaiting TimeQueue</v>
      </c>
      <c r="M363" cm="1">
        <f t="array" ref="M363">MAX(IF((ProjectInfoTable[ProjectName]=DiscreteStatsTable[[#This Row],[ProjectName]]),(ProjectInfoTable[ProjectName]=DiscreteStatsTable[[#This Row],[ProjectName]])*ProjectInfoTable[NumberOfReplications]))</f>
        <v>10</v>
      </c>
      <c r="N363" cm="1">
        <f t="array" ref="N363">IFERROR(AVERAGE(IF((DiscreteStatsTable[GroupByKey]=DiscreteStatsTable[[#This Row],[GroupByKey]]),(DiscreteStatsTable[GroupByKey]=DiscreteStatsTable[[#This Row],[GroupByKey]])*DiscreteStatsTable[Average])),0)</f>
        <v>88046.738172937825</v>
      </c>
      <c r="O363" cm="1">
        <f t="array" ref="O363">IFERROR(_xlfn.STDEV.S(IF((DiscreteStatsTable[GroupByKey]=DiscreteStatsTable[[#This Row],[GroupByKey]]),(DiscreteStatsTable[GroupByKey]=DiscreteStatsTable[[#This Row],[GroupByKey]])*DiscreteStatsTable[Average])),0)</f>
        <v>11777.771875557994</v>
      </c>
      <c r="P363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8425.3104481274768</v>
      </c>
      <c r="R363" cm="1">
        <f t="array" ref="R363">MIN(IF((DiscreteStatsTable[GroupByKey]=DiscreteStatsTable[[#This Row],[GroupByKey]]),(DiscreteStatsTable[GroupByKey]=DiscreteStatsTable[[#This Row],[GroupByKey]])*DiscreteStatsTable[Average]))</f>
        <v>68567.253415256797</v>
      </c>
      <c r="S363" cm="1">
        <f t="array" ref="S363">MAX(IF((DiscreteStatsTable[GroupByKey]=DiscreteStatsTable[[#This Row],[GroupByKey]]),(DiscreteStatsTable[GroupByKey]=DiscreteStatsTable[[#This Row],[GroupByKey]])*DiscreteStatsTable[Average]))</f>
        <v>110513.939109851</v>
      </c>
      <c r="T363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cm="1">
        <f t="array" ref="U363">MAX(IF((DiscreteStatsTable[GroupByKey]=DiscreteStatsTable[[#This Row],[GroupByKey]]),(DiscreteStatsTable[GroupByKey]=DiscreteStatsTable[[#This Row],[GroupByKey]])*DiscreteStatsTable[Maximum]))</f>
        <v>157355.353923986</v>
      </c>
      <c r="V363" cm="1">
        <f t="array" ref="V363">IFERROR(AVERAGE(IF((DiscreteStatsTable[GroupByKey]=DiscreteStatsTable[[#This Row],[GroupByKey]]),(DiscreteStatsTable[GroupByKey]=DiscreteStatsTable[[#This Row],[GroupByKey]])*DiscreteStatsTable[NumberObservations])),0)</f>
        <v>118.7</v>
      </c>
      <c r="W363">
        <f>IF((DiscreteStatsTable[[#This Row],[RepsRequested]]&gt;1),DiscreteStatsTable[[#This Row],[HalfWidth]],DiscreteStatsTable[[#This Row],[BatchMeansHalfWidth]])</f>
        <v>8425.3104481274768</v>
      </c>
      <c r="X363" cm="1">
        <f t="array" ref="X363">COUNT(IF((DiscreteStatsTable[GroupByKey]=DiscreteStatsTable[[#This Row],[GroupByKey]]),(DiscreteStatsTable[GroupByKey]=DiscreteStatsTable[[#This Row],[GroupByKey]])*DiscreteStatsTable[Replication]))</f>
        <v>10</v>
      </c>
      <c r="Y363">
        <f>IF(DiscreteStatsTable[[#This Row],[RepsRequested]]=DiscreteStatsTable[[#This Row],[RepsWithStatObserved]],1,0)</f>
        <v>1</v>
      </c>
    </row>
    <row r="364" spans="1:25" x14ac:dyDescent="0.25">
      <c r="A364" t="s">
        <v>67</v>
      </c>
      <c r="B364" t="s">
        <v>243</v>
      </c>
      <c r="C364">
        <v>3</v>
      </c>
      <c r="D364" t="s">
        <v>101</v>
      </c>
      <c r="E364" t="s">
        <v>72</v>
      </c>
      <c r="F364" t="s">
        <v>71</v>
      </c>
      <c r="G364">
        <v>96143.778220276901</v>
      </c>
      <c r="H364">
        <v>2E+20</v>
      </c>
      <c r="I364">
        <v>0</v>
      </c>
      <c r="J364">
        <v>146289.36993855899</v>
      </c>
      <c r="K364">
        <v>129</v>
      </c>
      <c r="L364" t="str">
        <f>DiscreteStatsTable[[#This Row],[ProjectName]]&amp;DiscreteStatsTable[[#This Row],[Name]]&amp;DiscreteStatsTable[[#This Row],[Type]]&amp;DiscreteStatsTable[[#This Row],[Source]]</f>
        <v>Unnamed ProjectSeize 11.QueueWaiting TimeQueue</v>
      </c>
      <c r="M364" cm="1">
        <f t="array" ref="M364">MAX(IF((ProjectInfoTable[ProjectName]=DiscreteStatsTable[[#This Row],[ProjectName]]),(ProjectInfoTable[ProjectName]=DiscreteStatsTable[[#This Row],[ProjectName]])*ProjectInfoTable[NumberOfReplications]))</f>
        <v>10</v>
      </c>
      <c r="N364" cm="1">
        <f t="array" ref="N364">IFERROR(AVERAGE(IF((DiscreteStatsTable[GroupByKey]=DiscreteStatsTable[[#This Row],[GroupByKey]]),(DiscreteStatsTable[GroupByKey]=DiscreteStatsTable[[#This Row],[GroupByKey]])*DiscreteStatsTable[Average])),0)</f>
        <v>88046.738172937825</v>
      </c>
      <c r="O364" cm="1">
        <f t="array" ref="O364">IFERROR(_xlfn.STDEV.S(IF((DiscreteStatsTable[GroupByKey]=DiscreteStatsTable[[#This Row],[GroupByKey]]),(DiscreteStatsTable[GroupByKey]=DiscreteStatsTable[[#This Row],[GroupByKey]])*DiscreteStatsTable[Average])),0)</f>
        <v>11777.771875557994</v>
      </c>
      <c r="P364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8425.3104481274768</v>
      </c>
      <c r="R364" cm="1">
        <f t="array" ref="R364">MIN(IF((DiscreteStatsTable[GroupByKey]=DiscreteStatsTable[[#This Row],[GroupByKey]]),(DiscreteStatsTable[GroupByKey]=DiscreteStatsTable[[#This Row],[GroupByKey]])*DiscreteStatsTable[Average]))</f>
        <v>68567.253415256797</v>
      </c>
      <c r="S364" cm="1">
        <f t="array" ref="S364">MAX(IF((DiscreteStatsTable[GroupByKey]=DiscreteStatsTable[[#This Row],[GroupByKey]]),(DiscreteStatsTable[GroupByKey]=DiscreteStatsTable[[#This Row],[GroupByKey]])*DiscreteStatsTable[Average]))</f>
        <v>110513.939109851</v>
      </c>
      <c r="T364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cm="1">
        <f t="array" ref="U364">MAX(IF((DiscreteStatsTable[GroupByKey]=DiscreteStatsTable[[#This Row],[GroupByKey]]),(DiscreteStatsTable[GroupByKey]=DiscreteStatsTable[[#This Row],[GroupByKey]])*DiscreteStatsTable[Maximum]))</f>
        <v>157355.353923986</v>
      </c>
      <c r="V364" cm="1">
        <f t="array" ref="V364">IFERROR(AVERAGE(IF((DiscreteStatsTable[GroupByKey]=DiscreteStatsTable[[#This Row],[GroupByKey]]),(DiscreteStatsTable[GroupByKey]=DiscreteStatsTable[[#This Row],[GroupByKey]])*DiscreteStatsTable[NumberObservations])),0)</f>
        <v>118.7</v>
      </c>
      <c r="W364">
        <f>IF((DiscreteStatsTable[[#This Row],[RepsRequested]]&gt;1),DiscreteStatsTable[[#This Row],[HalfWidth]],DiscreteStatsTable[[#This Row],[BatchMeansHalfWidth]])</f>
        <v>8425.3104481274768</v>
      </c>
      <c r="X364" cm="1">
        <f t="array" ref="X364">COUNT(IF((DiscreteStatsTable[GroupByKey]=DiscreteStatsTable[[#This Row],[GroupByKey]]),(DiscreteStatsTable[GroupByKey]=DiscreteStatsTable[[#This Row],[GroupByKey]])*DiscreteStatsTable[Replication]))</f>
        <v>10</v>
      </c>
      <c r="Y364">
        <f>IF(DiscreteStatsTable[[#This Row],[RepsRequested]]=DiscreteStatsTable[[#This Row],[RepsWithStatObserved]],1,0)</f>
        <v>1</v>
      </c>
    </row>
    <row r="365" spans="1:25" x14ac:dyDescent="0.25">
      <c r="A365" t="s">
        <v>67</v>
      </c>
      <c r="B365" t="s">
        <v>243</v>
      </c>
      <c r="C365">
        <v>4</v>
      </c>
      <c r="D365" t="s">
        <v>101</v>
      </c>
      <c r="E365" t="s">
        <v>72</v>
      </c>
      <c r="F365" t="s">
        <v>71</v>
      </c>
      <c r="G365">
        <v>89647.508847337594</v>
      </c>
      <c r="H365">
        <v>2E+20</v>
      </c>
      <c r="I365">
        <v>0</v>
      </c>
      <c r="J365">
        <v>141360.67932553301</v>
      </c>
      <c r="K365">
        <v>116</v>
      </c>
      <c r="L365" t="str">
        <f>DiscreteStatsTable[[#This Row],[ProjectName]]&amp;DiscreteStatsTable[[#This Row],[Name]]&amp;DiscreteStatsTable[[#This Row],[Type]]&amp;DiscreteStatsTable[[#This Row],[Source]]</f>
        <v>Unnamed ProjectSeize 11.QueueWaiting TimeQueue</v>
      </c>
      <c r="M365" cm="1">
        <f t="array" ref="M365">MAX(IF((ProjectInfoTable[ProjectName]=DiscreteStatsTable[[#This Row],[ProjectName]]),(ProjectInfoTable[ProjectName]=DiscreteStatsTable[[#This Row],[ProjectName]])*ProjectInfoTable[NumberOfReplications]))</f>
        <v>10</v>
      </c>
      <c r="N365" cm="1">
        <f t="array" ref="N365">IFERROR(AVERAGE(IF((DiscreteStatsTable[GroupByKey]=DiscreteStatsTable[[#This Row],[GroupByKey]]),(DiscreteStatsTable[GroupByKey]=DiscreteStatsTable[[#This Row],[GroupByKey]])*DiscreteStatsTable[Average])),0)</f>
        <v>88046.738172937825</v>
      </c>
      <c r="O365" cm="1">
        <f t="array" ref="O365">IFERROR(_xlfn.STDEV.S(IF((DiscreteStatsTable[GroupByKey]=DiscreteStatsTable[[#This Row],[GroupByKey]]),(DiscreteStatsTable[GroupByKey]=DiscreteStatsTable[[#This Row],[GroupByKey]])*DiscreteStatsTable[Average])),0)</f>
        <v>11777.771875557994</v>
      </c>
      <c r="P36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8425.3104481274768</v>
      </c>
      <c r="R365" cm="1">
        <f t="array" ref="R365">MIN(IF((DiscreteStatsTable[GroupByKey]=DiscreteStatsTable[[#This Row],[GroupByKey]]),(DiscreteStatsTable[GroupByKey]=DiscreteStatsTable[[#This Row],[GroupByKey]])*DiscreteStatsTable[Average]))</f>
        <v>68567.253415256797</v>
      </c>
      <c r="S365" cm="1">
        <f t="array" ref="S365">MAX(IF((DiscreteStatsTable[GroupByKey]=DiscreteStatsTable[[#This Row],[GroupByKey]]),(DiscreteStatsTable[GroupByKey]=DiscreteStatsTable[[#This Row],[GroupByKey]])*DiscreteStatsTable[Average]))</f>
        <v>110513.939109851</v>
      </c>
      <c r="T36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cm="1">
        <f t="array" ref="U365">MAX(IF((DiscreteStatsTable[GroupByKey]=DiscreteStatsTable[[#This Row],[GroupByKey]]),(DiscreteStatsTable[GroupByKey]=DiscreteStatsTable[[#This Row],[GroupByKey]])*DiscreteStatsTable[Maximum]))</f>
        <v>157355.353923986</v>
      </c>
      <c r="V365" cm="1">
        <f t="array" ref="V365">IFERROR(AVERAGE(IF((DiscreteStatsTable[GroupByKey]=DiscreteStatsTable[[#This Row],[GroupByKey]]),(DiscreteStatsTable[GroupByKey]=DiscreteStatsTable[[#This Row],[GroupByKey]])*DiscreteStatsTable[NumberObservations])),0)</f>
        <v>118.7</v>
      </c>
      <c r="W365">
        <f>IF((DiscreteStatsTable[[#This Row],[RepsRequested]]&gt;1),DiscreteStatsTable[[#This Row],[HalfWidth]],DiscreteStatsTable[[#This Row],[BatchMeansHalfWidth]])</f>
        <v>8425.3104481274768</v>
      </c>
      <c r="X365" cm="1">
        <f t="array" ref="X365">COUNT(IF((DiscreteStatsTable[GroupByKey]=DiscreteStatsTable[[#This Row],[GroupByKey]]),(DiscreteStatsTable[GroupByKey]=DiscreteStatsTable[[#This Row],[GroupByKey]])*DiscreteStatsTable[Replication]))</f>
        <v>10</v>
      </c>
      <c r="Y365">
        <f>IF(DiscreteStatsTable[[#This Row],[RepsRequested]]=DiscreteStatsTable[[#This Row],[RepsWithStatObserved]],1,0)</f>
        <v>1</v>
      </c>
    </row>
    <row r="366" spans="1:25" x14ac:dyDescent="0.25">
      <c r="A366" t="s">
        <v>67</v>
      </c>
      <c r="B366" t="s">
        <v>243</v>
      </c>
      <c r="C366">
        <v>5</v>
      </c>
      <c r="D366" t="s">
        <v>101</v>
      </c>
      <c r="E366" t="s">
        <v>72</v>
      </c>
      <c r="F366" t="s">
        <v>71</v>
      </c>
      <c r="G366">
        <v>81672.294747715496</v>
      </c>
      <c r="H366">
        <v>2E+20</v>
      </c>
      <c r="I366">
        <v>0</v>
      </c>
      <c r="J366">
        <v>136456.245959572</v>
      </c>
      <c r="K366">
        <v>116</v>
      </c>
      <c r="L366" t="str">
        <f>DiscreteStatsTable[[#This Row],[ProjectName]]&amp;DiscreteStatsTable[[#This Row],[Name]]&amp;DiscreteStatsTable[[#This Row],[Type]]&amp;DiscreteStatsTable[[#This Row],[Source]]</f>
        <v>Unnamed ProjectSeize 11.QueueWaiting TimeQueue</v>
      </c>
      <c r="M366" cm="1">
        <f t="array" ref="M366">MAX(IF((ProjectInfoTable[ProjectName]=DiscreteStatsTable[[#This Row],[ProjectName]]),(ProjectInfoTable[ProjectName]=DiscreteStatsTable[[#This Row],[ProjectName]])*ProjectInfoTable[NumberOfReplications]))</f>
        <v>10</v>
      </c>
      <c r="N366" cm="1">
        <f t="array" ref="N366">IFERROR(AVERAGE(IF((DiscreteStatsTable[GroupByKey]=DiscreteStatsTable[[#This Row],[GroupByKey]]),(DiscreteStatsTable[GroupByKey]=DiscreteStatsTable[[#This Row],[GroupByKey]])*DiscreteStatsTable[Average])),0)</f>
        <v>88046.738172937825</v>
      </c>
      <c r="O366" cm="1">
        <f t="array" ref="O366">IFERROR(_xlfn.STDEV.S(IF((DiscreteStatsTable[GroupByKey]=DiscreteStatsTable[[#This Row],[GroupByKey]]),(DiscreteStatsTable[GroupByKey]=DiscreteStatsTable[[#This Row],[GroupByKey]])*DiscreteStatsTable[Average])),0)</f>
        <v>11777.771875557994</v>
      </c>
      <c r="P366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8425.3104481274768</v>
      </c>
      <c r="R366" cm="1">
        <f t="array" ref="R366">MIN(IF((DiscreteStatsTable[GroupByKey]=DiscreteStatsTable[[#This Row],[GroupByKey]]),(DiscreteStatsTable[GroupByKey]=DiscreteStatsTable[[#This Row],[GroupByKey]])*DiscreteStatsTable[Average]))</f>
        <v>68567.253415256797</v>
      </c>
      <c r="S366" cm="1">
        <f t="array" ref="S366">MAX(IF((DiscreteStatsTable[GroupByKey]=DiscreteStatsTable[[#This Row],[GroupByKey]]),(DiscreteStatsTable[GroupByKey]=DiscreteStatsTable[[#This Row],[GroupByKey]])*DiscreteStatsTable[Average]))</f>
        <v>110513.939109851</v>
      </c>
      <c r="T366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cm="1">
        <f t="array" ref="U366">MAX(IF((DiscreteStatsTable[GroupByKey]=DiscreteStatsTable[[#This Row],[GroupByKey]]),(DiscreteStatsTable[GroupByKey]=DiscreteStatsTable[[#This Row],[GroupByKey]])*DiscreteStatsTable[Maximum]))</f>
        <v>157355.353923986</v>
      </c>
      <c r="V366" cm="1">
        <f t="array" ref="V366">IFERROR(AVERAGE(IF((DiscreteStatsTable[GroupByKey]=DiscreteStatsTable[[#This Row],[GroupByKey]]),(DiscreteStatsTable[GroupByKey]=DiscreteStatsTable[[#This Row],[GroupByKey]])*DiscreteStatsTable[NumberObservations])),0)</f>
        <v>118.7</v>
      </c>
      <c r="W366">
        <f>IF((DiscreteStatsTable[[#This Row],[RepsRequested]]&gt;1),DiscreteStatsTable[[#This Row],[HalfWidth]],DiscreteStatsTable[[#This Row],[BatchMeansHalfWidth]])</f>
        <v>8425.3104481274768</v>
      </c>
      <c r="X366" cm="1">
        <f t="array" ref="X366">COUNT(IF((DiscreteStatsTable[GroupByKey]=DiscreteStatsTable[[#This Row],[GroupByKey]]),(DiscreteStatsTable[GroupByKey]=DiscreteStatsTable[[#This Row],[GroupByKey]])*DiscreteStatsTable[Replication]))</f>
        <v>10</v>
      </c>
      <c r="Y366">
        <f>IF(DiscreteStatsTable[[#This Row],[RepsRequested]]=DiscreteStatsTable[[#This Row],[RepsWithStatObserved]],1,0)</f>
        <v>1</v>
      </c>
    </row>
    <row r="367" spans="1:25" x14ac:dyDescent="0.25">
      <c r="A367" t="s">
        <v>67</v>
      </c>
      <c r="B367" t="s">
        <v>243</v>
      </c>
      <c r="C367">
        <v>6</v>
      </c>
      <c r="D367" t="s">
        <v>101</v>
      </c>
      <c r="E367" t="s">
        <v>72</v>
      </c>
      <c r="F367" t="s">
        <v>71</v>
      </c>
      <c r="G367">
        <v>98159.071375228697</v>
      </c>
      <c r="H367">
        <v>2E+20</v>
      </c>
      <c r="I367">
        <v>0</v>
      </c>
      <c r="J367">
        <v>148057.332798369</v>
      </c>
      <c r="K367">
        <v>129</v>
      </c>
      <c r="L367" t="str">
        <f>DiscreteStatsTable[[#This Row],[ProjectName]]&amp;DiscreteStatsTable[[#This Row],[Name]]&amp;DiscreteStatsTable[[#This Row],[Type]]&amp;DiscreteStatsTable[[#This Row],[Source]]</f>
        <v>Unnamed ProjectSeize 11.QueueWaiting TimeQueue</v>
      </c>
      <c r="M367" cm="1">
        <f t="array" ref="M367">MAX(IF((ProjectInfoTable[ProjectName]=DiscreteStatsTable[[#This Row],[ProjectName]]),(ProjectInfoTable[ProjectName]=DiscreteStatsTable[[#This Row],[ProjectName]])*ProjectInfoTable[NumberOfReplications]))</f>
        <v>10</v>
      </c>
      <c r="N367" cm="1">
        <f t="array" ref="N367">IFERROR(AVERAGE(IF((DiscreteStatsTable[GroupByKey]=DiscreteStatsTable[[#This Row],[GroupByKey]]),(DiscreteStatsTable[GroupByKey]=DiscreteStatsTable[[#This Row],[GroupByKey]])*DiscreteStatsTable[Average])),0)</f>
        <v>88046.738172937825</v>
      </c>
      <c r="O367" cm="1">
        <f t="array" ref="O367">IFERROR(_xlfn.STDEV.S(IF((DiscreteStatsTable[GroupByKey]=DiscreteStatsTable[[#This Row],[GroupByKey]]),(DiscreteStatsTable[GroupByKey]=DiscreteStatsTable[[#This Row],[GroupByKey]])*DiscreteStatsTable[Average])),0)</f>
        <v>11777.771875557994</v>
      </c>
      <c r="P367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8425.3104481274768</v>
      </c>
      <c r="R367" cm="1">
        <f t="array" ref="R367">MIN(IF((DiscreteStatsTable[GroupByKey]=DiscreteStatsTable[[#This Row],[GroupByKey]]),(DiscreteStatsTable[GroupByKey]=DiscreteStatsTable[[#This Row],[GroupByKey]])*DiscreteStatsTable[Average]))</f>
        <v>68567.253415256797</v>
      </c>
      <c r="S367" cm="1">
        <f t="array" ref="S367">MAX(IF((DiscreteStatsTable[GroupByKey]=DiscreteStatsTable[[#This Row],[GroupByKey]]),(DiscreteStatsTable[GroupByKey]=DiscreteStatsTable[[#This Row],[GroupByKey]])*DiscreteStatsTable[Average]))</f>
        <v>110513.939109851</v>
      </c>
      <c r="T367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cm="1">
        <f t="array" ref="U367">MAX(IF((DiscreteStatsTable[GroupByKey]=DiscreteStatsTable[[#This Row],[GroupByKey]]),(DiscreteStatsTable[GroupByKey]=DiscreteStatsTable[[#This Row],[GroupByKey]])*DiscreteStatsTable[Maximum]))</f>
        <v>157355.353923986</v>
      </c>
      <c r="V367" cm="1">
        <f t="array" ref="V367">IFERROR(AVERAGE(IF((DiscreteStatsTable[GroupByKey]=DiscreteStatsTable[[#This Row],[GroupByKey]]),(DiscreteStatsTable[GroupByKey]=DiscreteStatsTable[[#This Row],[GroupByKey]])*DiscreteStatsTable[NumberObservations])),0)</f>
        <v>118.7</v>
      </c>
      <c r="W367">
        <f>IF((DiscreteStatsTable[[#This Row],[RepsRequested]]&gt;1),DiscreteStatsTable[[#This Row],[HalfWidth]],DiscreteStatsTable[[#This Row],[BatchMeansHalfWidth]])</f>
        <v>8425.3104481274768</v>
      </c>
      <c r="X367" cm="1">
        <f t="array" ref="X367">COUNT(IF((DiscreteStatsTable[GroupByKey]=DiscreteStatsTable[[#This Row],[GroupByKey]]),(DiscreteStatsTable[GroupByKey]=DiscreteStatsTable[[#This Row],[GroupByKey]])*DiscreteStatsTable[Replication]))</f>
        <v>10</v>
      </c>
      <c r="Y367">
        <f>IF(DiscreteStatsTable[[#This Row],[RepsRequested]]=DiscreteStatsTable[[#This Row],[RepsWithStatObserved]],1,0)</f>
        <v>1</v>
      </c>
    </row>
    <row r="368" spans="1:25" x14ac:dyDescent="0.25">
      <c r="A368" t="s">
        <v>67</v>
      </c>
      <c r="B368" t="s">
        <v>243</v>
      </c>
      <c r="C368">
        <v>7</v>
      </c>
      <c r="D368" t="s">
        <v>101</v>
      </c>
      <c r="E368" t="s">
        <v>72</v>
      </c>
      <c r="F368" t="s">
        <v>71</v>
      </c>
      <c r="G368">
        <v>110513.939109851</v>
      </c>
      <c r="H368">
        <v>2E+20</v>
      </c>
      <c r="I368">
        <v>0</v>
      </c>
      <c r="J368">
        <v>157355.353923986</v>
      </c>
      <c r="K368">
        <v>141</v>
      </c>
      <c r="L368" t="str">
        <f>DiscreteStatsTable[[#This Row],[ProjectName]]&amp;DiscreteStatsTable[[#This Row],[Name]]&amp;DiscreteStatsTable[[#This Row],[Type]]&amp;DiscreteStatsTable[[#This Row],[Source]]</f>
        <v>Unnamed ProjectSeize 11.QueueWaiting TimeQueue</v>
      </c>
      <c r="M368" cm="1">
        <f t="array" ref="M368">MAX(IF((ProjectInfoTable[ProjectName]=DiscreteStatsTable[[#This Row],[ProjectName]]),(ProjectInfoTable[ProjectName]=DiscreteStatsTable[[#This Row],[ProjectName]])*ProjectInfoTable[NumberOfReplications]))</f>
        <v>10</v>
      </c>
      <c r="N368" cm="1">
        <f t="array" ref="N368">IFERROR(AVERAGE(IF((DiscreteStatsTable[GroupByKey]=DiscreteStatsTable[[#This Row],[GroupByKey]]),(DiscreteStatsTable[GroupByKey]=DiscreteStatsTable[[#This Row],[GroupByKey]])*DiscreteStatsTable[Average])),0)</f>
        <v>88046.738172937825</v>
      </c>
      <c r="O368" cm="1">
        <f t="array" ref="O368">IFERROR(_xlfn.STDEV.S(IF((DiscreteStatsTable[GroupByKey]=DiscreteStatsTable[[#This Row],[GroupByKey]]),(DiscreteStatsTable[GroupByKey]=DiscreteStatsTable[[#This Row],[GroupByKey]])*DiscreteStatsTable[Average])),0)</f>
        <v>11777.771875557994</v>
      </c>
      <c r="P368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8425.3104481274768</v>
      </c>
      <c r="R368" cm="1">
        <f t="array" ref="R368">MIN(IF((DiscreteStatsTable[GroupByKey]=DiscreteStatsTable[[#This Row],[GroupByKey]]),(DiscreteStatsTable[GroupByKey]=DiscreteStatsTable[[#This Row],[GroupByKey]])*DiscreteStatsTable[Average]))</f>
        <v>68567.253415256797</v>
      </c>
      <c r="S368" cm="1">
        <f t="array" ref="S368">MAX(IF((DiscreteStatsTable[GroupByKey]=DiscreteStatsTable[[#This Row],[GroupByKey]]),(DiscreteStatsTable[GroupByKey]=DiscreteStatsTable[[#This Row],[GroupByKey]])*DiscreteStatsTable[Average]))</f>
        <v>110513.939109851</v>
      </c>
      <c r="T368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cm="1">
        <f t="array" ref="U368">MAX(IF((DiscreteStatsTable[GroupByKey]=DiscreteStatsTable[[#This Row],[GroupByKey]]),(DiscreteStatsTable[GroupByKey]=DiscreteStatsTable[[#This Row],[GroupByKey]])*DiscreteStatsTable[Maximum]))</f>
        <v>157355.353923986</v>
      </c>
      <c r="V368" cm="1">
        <f t="array" ref="V368">IFERROR(AVERAGE(IF((DiscreteStatsTable[GroupByKey]=DiscreteStatsTable[[#This Row],[GroupByKey]]),(DiscreteStatsTable[GroupByKey]=DiscreteStatsTable[[#This Row],[GroupByKey]])*DiscreteStatsTable[NumberObservations])),0)</f>
        <v>118.7</v>
      </c>
      <c r="W368">
        <f>IF((DiscreteStatsTable[[#This Row],[RepsRequested]]&gt;1),DiscreteStatsTable[[#This Row],[HalfWidth]],DiscreteStatsTable[[#This Row],[BatchMeansHalfWidth]])</f>
        <v>8425.3104481274768</v>
      </c>
      <c r="X368" cm="1">
        <f t="array" ref="X368">COUNT(IF((DiscreteStatsTable[GroupByKey]=DiscreteStatsTable[[#This Row],[GroupByKey]]),(DiscreteStatsTable[GroupByKey]=DiscreteStatsTable[[#This Row],[GroupByKey]])*DiscreteStatsTable[Replication]))</f>
        <v>10</v>
      </c>
      <c r="Y368">
        <f>IF(DiscreteStatsTable[[#This Row],[RepsRequested]]=DiscreteStatsTable[[#This Row],[RepsWithStatObserved]],1,0)</f>
        <v>1</v>
      </c>
    </row>
    <row r="369" spans="1:25" x14ac:dyDescent="0.25">
      <c r="A369" t="s">
        <v>67</v>
      </c>
      <c r="B369" t="s">
        <v>243</v>
      </c>
      <c r="C369">
        <v>8</v>
      </c>
      <c r="D369" t="s">
        <v>101</v>
      </c>
      <c r="E369" t="s">
        <v>72</v>
      </c>
      <c r="F369" t="s">
        <v>71</v>
      </c>
      <c r="G369">
        <v>84966.129030206401</v>
      </c>
      <c r="H369">
        <v>2E+20</v>
      </c>
      <c r="I369">
        <v>0</v>
      </c>
      <c r="J369">
        <v>138171.10398225501</v>
      </c>
      <c r="K369">
        <v>117</v>
      </c>
      <c r="L369" t="str">
        <f>DiscreteStatsTable[[#This Row],[ProjectName]]&amp;DiscreteStatsTable[[#This Row],[Name]]&amp;DiscreteStatsTable[[#This Row],[Type]]&amp;DiscreteStatsTable[[#This Row],[Source]]</f>
        <v>Unnamed ProjectSeize 11.QueueWaiting TimeQueue</v>
      </c>
      <c r="M369" cm="1">
        <f t="array" ref="M369">MAX(IF((ProjectInfoTable[ProjectName]=DiscreteStatsTable[[#This Row],[ProjectName]]),(ProjectInfoTable[ProjectName]=DiscreteStatsTable[[#This Row],[ProjectName]])*ProjectInfoTable[NumberOfReplications]))</f>
        <v>10</v>
      </c>
      <c r="N369" cm="1">
        <f t="array" ref="N369">IFERROR(AVERAGE(IF((DiscreteStatsTable[GroupByKey]=DiscreteStatsTable[[#This Row],[GroupByKey]]),(DiscreteStatsTable[GroupByKey]=DiscreteStatsTable[[#This Row],[GroupByKey]])*DiscreteStatsTable[Average])),0)</f>
        <v>88046.738172937825</v>
      </c>
      <c r="O369" cm="1">
        <f t="array" ref="O369">IFERROR(_xlfn.STDEV.S(IF((DiscreteStatsTable[GroupByKey]=DiscreteStatsTable[[#This Row],[GroupByKey]]),(DiscreteStatsTable[GroupByKey]=DiscreteStatsTable[[#This Row],[GroupByKey]])*DiscreteStatsTable[Average])),0)</f>
        <v>11777.771875557994</v>
      </c>
      <c r="P369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8425.3104481274768</v>
      </c>
      <c r="R369" cm="1">
        <f t="array" ref="R369">MIN(IF((DiscreteStatsTable[GroupByKey]=DiscreteStatsTable[[#This Row],[GroupByKey]]),(DiscreteStatsTable[GroupByKey]=DiscreteStatsTable[[#This Row],[GroupByKey]])*DiscreteStatsTable[Average]))</f>
        <v>68567.253415256797</v>
      </c>
      <c r="S369" cm="1">
        <f t="array" ref="S369">MAX(IF((DiscreteStatsTable[GroupByKey]=DiscreteStatsTable[[#This Row],[GroupByKey]]),(DiscreteStatsTable[GroupByKey]=DiscreteStatsTable[[#This Row],[GroupByKey]])*DiscreteStatsTable[Average]))</f>
        <v>110513.939109851</v>
      </c>
      <c r="T369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cm="1">
        <f t="array" ref="U369">MAX(IF((DiscreteStatsTable[GroupByKey]=DiscreteStatsTable[[#This Row],[GroupByKey]]),(DiscreteStatsTable[GroupByKey]=DiscreteStatsTable[[#This Row],[GroupByKey]])*DiscreteStatsTable[Maximum]))</f>
        <v>157355.353923986</v>
      </c>
      <c r="V369" cm="1">
        <f t="array" ref="V369">IFERROR(AVERAGE(IF((DiscreteStatsTable[GroupByKey]=DiscreteStatsTable[[#This Row],[GroupByKey]]),(DiscreteStatsTable[GroupByKey]=DiscreteStatsTable[[#This Row],[GroupByKey]])*DiscreteStatsTable[NumberObservations])),0)</f>
        <v>118.7</v>
      </c>
      <c r="W369">
        <f>IF((DiscreteStatsTable[[#This Row],[RepsRequested]]&gt;1),DiscreteStatsTable[[#This Row],[HalfWidth]],DiscreteStatsTable[[#This Row],[BatchMeansHalfWidth]])</f>
        <v>8425.3104481274768</v>
      </c>
      <c r="X369" cm="1">
        <f t="array" ref="X369">COUNT(IF((DiscreteStatsTable[GroupByKey]=DiscreteStatsTable[[#This Row],[GroupByKey]]),(DiscreteStatsTable[GroupByKey]=DiscreteStatsTable[[#This Row],[GroupByKey]])*DiscreteStatsTable[Replication]))</f>
        <v>10</v>
      </c>
      <c r="Y369">
        <f>IF(DiscreteStatsTable[[#This Row],[RepsRequested]]=DiscreteStatsTable[[#This Row],[RepsWithStatObserved]],1,0)</f>
        <v>1</v>
      </c>
    </row>
    <row r="370" spans="1:25" x14ac:dyDescent="0.25">
      <c r="A370" t="s">
        <v>67</v>
      </c>
      <c r="B370" t="s">
        <v>243</v>
      </c>
      <c r="C370">
        <v>9</v>
      </c>
      <c r="D370" t="s">
        <v>101</v>
      </c>
      <c r="E370" t="s">
        <v>72</v>
      </c>
      <c r="F370" t="s">
        <v>71</v>
      </c>
      <c r="G370">
        <v>84326.800929921505</v>
      </c>
      <c r="H370">
        <v>2E+20</v>
      </c>
      <c r="I370">
        <v>0</v>
      </c>
      <c r="J370">
        <v>141502.17881267899</v>
      </c>
      <c r="K370">
        <v>118</v>
      </c>
      <c r="L370" t="str">
        <f>DiscreteStatsTable[[#This Row],[ProjectName]]&amp;DiscreteStatsTable[[#This Row],[Name]]&amp;DiscreteStatsTable[[#This Row],[Type]]&amp;DiscreteStatsTable[[#This Row],[Source]]</f>
        <v>Unnamed ProjectSeize 11.QueueWaiting TimeQueue</v>
      </c>
      <c r="M370" cm="1">
        <f t="array" ref="M370">MAX(IF((ProjectInfoTable[ProjectName]=DiscreteStatsTable[[#This Row],[ProjectName]]),(ProjectInfoTable[ProjectName]=DiscreteStatsTable[[#This Row],[ProjectName]])*ProjectInfoTable[NumberOfReplications]))</f>
        <v>10</v>
      </c>
      <c r="N370" cm="1">
        <f t="array" ref="N370">IFERROR(AVERAGE(IF((DiscreteStatsTable[GroupByKey]=DiscreteStatsTable[[#This Row],[GroupByKey]]),(DiscreteStatsTable[GroupByKey]=DiscreteStatsTable[[#This Row],[GroupByKey]])*DiscreteStatsTable[Average])),0)</f>
        <v>88046.738172937825</v>
      </c>
      <c r="O370" cm="1">
        <f t="array" ref="O370">IFERROR(_xlfn.STDEV.S(IF((DiscreteStatsTable[GroupByKey]=DiscreteStatsTable[[#This Row],[GroupByKey]]),(DiscreteStatsTable[GroupByKey]=DiscreteStatsTable[[#This Row],[GroupByKey]])*DiscreteStatsTable[Average])),0)</f>
        <v>11777.771875557994</v>
      </c>
      <c r="P370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8425.3104481274768</v>
      </c>
      <c r="R370" cm="1">
        <f t="array" ref="R370">MIN(IF((DiscreteStatsTable[GroupByKey]=DiscreteStatsTable[[#This Row],[GroupByKey]]),(DiscreteStatsTable[GroupByKey]=DiscreteStatsTable[[#This Row],[GroupByKey]])*DiscreteStatsTable[Average]))</f>
        <v>68567.253415256797</v>
      </c>
      <c r="S370" cm="1">
        <f t="array" ref="S370">MAX(IF((DiscreteStatsTable[GroupByKey]=DiscreteStatsTable[[#This Row],[GroupByKey]]),(DiscreteStatsTable[GroupByKey]=DiscreteStatsTable[[#This Row],[GroupByKey]])*DiscreteStatsTable[Average]))</f>
        <v>110513.939109851</v>
      </c>
      <c r="T370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cm="1">
        <f t="array" ref="U370">MAX(IF((DiscreteStatsTable[GroupByKey]=DiscreteStatsTable[[#This Row],[GroupByKey]]),(DiscreteStatsTable[GroupByKey]=DiscreteStatsTable[[#This Row],[GroupByKey]])*DiscreteStatsTable[Maximum]))</f>
        <v>157355.353923986</v>
      </c>
      <c r="V370" cm="1">
        <f t="array" ref="V370">IFERROR(AVERAGE(IF((DiscreteStatsTable[GroupByKey]=DiscreteStatsTable[[#This Row],[GroupByKey]]),(DiscreteStatsTable[GroupByKey]=DiscreteStatsTable[[#This Row],[GroupByKey]])*DiscreteStatsTable[NumberObservations])),0)</f>
        <v>118.7</v>
      </c>
      <c r="W370">
        <f>IF((DiscreteStatsTable[[#This Row],[RepsRequested]]&gt;1),DiscreteStatsTable[[#This Row],[HalfWidth]],DiscreteStatsTable[[#This Row],[BatchMeansHalfWidth]])</f>
        <v>8425.3104481274768</v>
      </c>
      <c r="X370" cm="1">
        <f t="array" ref="X370">COUNT(IF((DiscreteStatsTable[GroupByKey]=DiscreteStatsTable[[#This Row],[GroupByKey]]),(DiscreteStatsTable[GroupByKey]=DiscreteStatsTable[[#This Row],[GroupByKey]])*DiscreteStatsTable[Replication]))</f>
        <v>10</v>
      </c>
      <c r="Y370">
        <f>IF(DiscreteStatsTable[[#This Row],[RepsRequested]]=DiscreteStatsTable[[#This Row],[RepsWithStatObserved]],1,0)</f>
        <v>1</v>
      </c>
    </row>
    <row r="371" spans="1:25" x14ac:dyDescent="0.25">
      <c r="A371" t="s">
        <v>67</v>
      </c>
      <c r="B371" t="s">
        <v>243</v>
      </c>
      <c r="C371">
        <v>10</v>
      </c>
      <c r="D371" t="s">
        <v>101</v>
      </c>
      <c r="E371" t="s">
        <v>72</v>
      </c>
      <c r="F371" t="s">
        <v>71</v>
      </c>
      <c r="G371">
        <v>89699.531930561498</v>
      </c>
      <c r="H371">
        <v>2E+20</v>
      </c>
      <c r="I371">
        <v>0</v>
      </c>
      <c r="J371">
        <v>141522.16344648699</v>
      </c>
      <c r="K371">
        <v>119</v>
      </c>
      <c r="L371" t="str">
        <f>DiscreteStatsTable[[#This Row],[ProjectName]]&amp;DiscreteStatsTable[[#This Row],[Name]]&amp;DiscreteStatsTable[[#This Row],[Type]]&amp;DiscreteStatsTable[[#This Row],[Source]]</f>
        <v>Unnamed ProjectSeize 11.QueueWaiting TimeQueue</v>
      </c>
      <c r="M371" cm="1">
        <f t="array" ref="M371">MAX(IF((ProjectInfoTable[ProjectName]=DiscreteStatsTable[[#This Row],[ProjectName]]),(ProjectInfoTable[ProjectName]=DiscreteStatsTable[[#This Row],[ProjectName]])*ProjectInfoTable[NumberOfReplications]))</f>
        <v>10</v>
      </c>
      <c r="N371" cm="1">
        <f t="array" ref="N371">IFERROR(AVERAGE(IF((DiscreteStatsTable[GroupByKey]=DiscreteStatsTable[[#This Row],[GroupByKey]]),(DiscreteStatsTable[GroupByKey]=DiscreteStatsTable[[#This Row],[GroupByKey]])*DiscreteStatsTable[Average])),0)</f>
        <v>88046.738172937825</v>
      </c>
      <c r="O371" cm="1">
        <f t="array" ref="O371">IFERROR(_xlfn.STDEV.S(IF((DiscreteStatsTable[GroupByKey]=DiscreteStatsTable[[#This Row],[GroupByKey]]),(DiscreteStatsTable[GroupByKey]=DiscreteStatsTable[[#This Row],[GroupByKey]])*DiscreteStatsTable[Average])),0)</f>
        <v>11777.771875557994</v>
      </c>
      <c r="P371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8425.3104481274768</v>
      </c>
      <c r="R371" cm="1">
        <f t="array" ref="R371">MIN(IF((DiscreteStatsTable[GroupByKey]=DiscreteStatsTable[[#This Row],[GroupByKey]]),(DiscreteStatsTable[GroupByKey]=DiscreteStatsTable[[#This Row],[GroupByKey]])*DiscreteStatsTable[Average]))</f>
        <v>68567.253415256797</v>
      </c>
      <c r="S371" cm="1">
        <f t="array" ref="S371">MAX(IF((DiscreteStatsTable[GroupByKey]=DiscreteStatsTable[[#This Row],[GroupByKey]]),(DiscreteStatsTable[GroupByKey]=DiscreteStatsTable[[#This Row],[GroupByKey]])*DiscreteStatsTable[Average]))</f>
        <v>110513.939109851</v>
      </c>
      <c r="T371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cm="1">
        <f t="array" ref="U371">MAX(IF((DiscreteStatsTable[GroupByKey]=DiscreteStatsTable[[#This Row],[GroupByKey]]),(DiscreteStatsTable[GroupByKey]=DiscreteStatsTable[[#This Row],[GroupByKey]])*DiscreteStatsTable[Maximum]))</f>
        <v>157355.353923986</v>
      </c>
      <c r="V371" cm="1">
        <f t="array" ref="V371">IFERROR(AVERAGE(IF((DiscreteStatsTable[GroupByKey]=DiscreteStatsTable[[#This Row],[GroupByKey]]),(DiscreteStatsTable[GroupByKey]=DiscreteStatsTable[[#This Row],[GroupByKey]])*DiscreteStatsTable[NumberObservations])),0)</f>
        <v>118.7</v>
      </c>
      <c r="W371">
        <f>IF((DiscreteStatsTable[[#This Row],[RepsRequested]]&gt;1),DiscreteStatsTable[[#This Row],[HalfWidth]],DiscreteStatsTable[[#This Row],[BatchMeansHalfWidth]])</f>
        <v>8425.3104481274768</v>
      </c>
      <c r="X371" cm="1">
        <f t="array" ref="X371">COUNT(IF((DiscreteStatsTable[GroupByKey]=DiscreteStatsTable[[#This Row],[GroupByKey]]),(DiscreteStatsTable[GroupByKey]=DiscreteStatsTable[[#This Row],[GroupByKey]])*DiscreteStatsTable[Replication]))</f>
        <v>10</v>
      </c>
      <c r="Y371">
        <f>IF(DiscreteStatsTable[[#This Row],[RepsRequested]]=DiscreteStatsTable[[#This Row],[RepsWithStatObserved]],1,0)</f>
        <v>1</v>
      </c>
    </row>
    <row r="372" spans="1:25" x14ac:dyDescent="0.25">
      <c r="A372" t="s">
        <v>67</v>
      </c>
      <c r="B372" t="s">
        <v>243</v>
      </c>
      <c r="C372">
        <v>1</v>
      </c>
      <c r="D372" t="s">
        <v>102</v>
      </c>
      <c r="E372" t="s">
        <v>72</v>
      </c>
      <c r="F372" t="s">
        <v>71</v>
      </c>
      <c r="G372">
        <v>54.1463615551882</v>
      </c>
      <c r="H372">
        <v>48.7697669296276</v>
      </c>
      <c r="I372">
        <v>0</v>
      </c>
      <c r="J372">
        <v>50399.1086907344</v>
      </c>
      <c r="K372">
        <v>13090</v>
      </c>
      <c r="L372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372" cm="1">
        <f t="array" ref="M372">MAX(IF((ProjectInfoTable[ProjectName]=DiscreteStatsTable[[#This Row],[ProjectName]]),(ProjectInfoTable[ProjectName]=DiscreteStatsTable[[#This Row],[ProjectName]])*ProjectInfoTable[NumberOfReplications]))</f>
        <v>10</v>
      </c>
      <c r="N372" cm="1">
        <f t="array" ref="N372">IFERROR(AVERAGE(IF((DiscreteStatsTable[GroupByKey]=DiscreteStatsTable[[#This Row],[GroupByKey]]),(DiscreteStatsTable[GroupByKey]=DiscreteStatsTable[[#This Row],[GroupByKey]])*DiscreteStatsTable[Average])),0)</f>
        <v>43.895956091204496</v>
      </c>
      <c r="O372" cm="1">
        <f t="array" ref="O372">IFERROR(_xlfn.STDEV.S(IF((DiscreteStatsTable[GroupByKey]=DiscreteStatsTable[[#This Row],[GroupByKey]]),(DiscreteStatsTable[GroupByKey]=DiscreteStatsTable[[#This Row],[GroupByKey]])*DiscreteStatsTable[Average])),0)</f>
        <v>12.119794487325622</v>
      </c>
      <c r="P372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8.6699786854535752</v>
      </c>
      <c r="R372" cm="1">
        <f t="array" ref="R372">MIN(IF((DiscreteStatsTable[GroupByKey]=DiscreteStatsTable[[#This Row],[GroupByKey]]),(DiscreteStatsTable[GroupByKey]=DiscreteStatsTable[[#This Row],[GroupByKey]])*DiscreteStatsTable[Average]))</f>
        <v>18.156136666344501</v>
      </c>
      <c r="S372" cm="1">
        <f t="array" ref="S372">MAX(IF((DiscreteStatsTable[GroupByKey]=DiscreteStatsTable[[#This Row],[GroupByKey]]),(DiscreteStatsTable[GroupByKey]=DiscreteStatsTable[[#This Row],[GroupByKey]])*DiscreteStatsTable[Average]))</f>
        <v>58.212092015181497</v>
      </c>
      <c r="T372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cm="1">
        <f t="array" ref="U372">MAX(IF((DiscreteStatsTable[GroupByKey]=DiscreteStatsTable[[#This Row],[GroupByKey]]),(DiscreteStatsTable[GroupByKey]=DiscreteStatsTable[[#This Row],[GroupByKey]])*DiscreteStatsTable[Maximum]))</f>
        <v>50399.169114564698</v>
      </c>
      <c r="V372" cm="1">
        <f t="array" ref="V372">IFERROR(AVERAGE(IF((DiscreteStatsTable[GroupByKey]=DiscreteStatsTable[[#This Row],[GroupByKey]]),(DiscreteStatsTable[GroupByKey]=DiscreteStatsTable[[#This Row],[GroupByKey]])*DiscreteStatsTable[NumberObservations])),0)</f>
        <v>13100.1</v>
      </c>
      <c r="W372">
        <f>IF((DiscreteStatsTable[[#This Row],[RepsRequested]]&gt;1),DiscreteStatsTable[[#This Row],[HalfWidth]],DiscreteStatsTable[[#This Row],[BatchMeansHalfWidth]])</f>
        <v>8.6699786854535752</v>
      </c>
      <c r="X372" cm="1">
        <f t="array" ref="X372">COUNT(IF((DiscreteStatsTable[GroupByKey]=DiscreteStatsTable[[#This Row],[GroupByKey]]),(DiscreteStatsTable[GroupByKey]=DiscreteStatsTable[[#This Row],[GroupByKey]])*DiscreteStatsTable[Replication]))</f>
        <v>10</v>
      </c>
      <c r="Y372">
        <f>IF(DiscreteStatsTable[[#This Row],[RepsRequested]]=DiscreteStatsTable[[#This Row],[RepsWithStatObserved]],1,0)</f>
        <v>1</v>
      </c>
    </row>
    <row r="373" spans="1:25" x14ac:dyDescent="0.25">
      <c r="A373" t="s">
        <v>67</v>
      </c>
      <c r="B373" t="s">
        <v>243</v>
      </c>
      <c r="C373">
        <v>2</v>
      </c>
      <c r="D373" t="s">
        <v>102</v>
      </c>
      <c r="E373" t="s">
        <v>72</v>
      </c>
      <c r="F373" t="s">
        <v>71</v>
      </c>
      <c r="G373">
        <v>31.8264634343181</v>
      </c>
      <c r="H373">
        <v>26.781798202118299</v>
      </c>
      <c r="I373">
        <v>0</v>
      </c>
      <c r="J373">
        <v>50398.225814604099</v>
      </c>
      <c r="K373">
        <v>13118</v>
      </c>
      <c r="L373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373" cm="1">
        <f t="array" ref="M373">MAX(IF((ProjectInfoTable[ProjectName]=DiscreteStatsTable[[#This Row],[ProjectName]]),(ProjectInfoTable[ProjectName]=DiscreteStatsTable[[#This Row],[ProjectName]])*ProjectInfoTable[NumberOfReplications]))</f>
        <v>10</v>
      </c>
      <c r="N373" cm="1">
        <f t="array" ref="N373">IFERROR(AVERAGE(IF((DiscreteStatsTable[GroupByKey]=DiscreteStatsTable[[#This Row],[GroupByKey]]),(DiscreteStatsTable[GroupByKey]=DiscreteStatsTable[[#This Row],[GroupByKey]])*DiscreteStatsTable[Average])),0)</f>
        <v>43.895956091204496</v>
      </c>
      <c r="O373" cm="1">
        <f t="array" ref="O373">IFERROR(_xlfn.STDEV.S(IF((DiscreteStatsTable[GroupByKey]=DiscreteStatsTable[[#This Row],[GroupByKey]]),(DiscreteStatsTable[GroupByKey]=DiscreteStatsTable[[#This Row],[GroupByKey]])*DiscreteStatsTable[Average])),0)</f>
        <v>12.119794487325622</v>
      </c>
      <c r="P373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8.6699786854535752</v>
      </c>
      <c r="R373" cm="1">
        <f t="array" ref="R373">MIN(IF((DiscreteStatsTable[GroupByKey]=DiscreteStatsTable[[#This Row],[GroupByKey]]),(DiscreteStatsTable[GroupByKey]=DiscreteStatsTable[[#This Row],[GroupByKey]])*DiscreteStatsTable[Average]))</f>
        <v>18.156136666344501</v>
      </c>
      <c r="S373" cm="1">
        <f t="array" ref="S373">MAX(IF((DiscreteStatsTable[GroupByKey]=DiscreteStatsTable[[#This Row],[GroupByKey]]),(DiscreteStatsTable[GroupByKey]=DiscreteStatsTable[[#This Row],[GroupByKey]])*DiscreteStatsTable[Average]))</f>
        <v>58.212092015181497</v>
      </c>
      <c r="T373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cm="1">
        <f t="array" ref="U373">MAX(IF((DiscreteStatsTable[GroupByKey]=DiscreteStatsTable[[#This Row],[GroupByKey]]),(DiscreteStatsTable[GroupByKey]=DiscreteStatsTable[[#This Row],[GroupByKey]])*DiscreteStatsTable[Maximum]))</f>
        <v>50399.169114564698</v>
      </c>
      <c r="V373" cm="1">
        <f t="array" ref="V373">IFERROR(AVERAGE(IF((DiscreteStatsTable[GroupByKey]=DiscreteStatsTable[[#This Row],[GroupByKey]]),(DiscreteStatsTable[GroupByKey]=DiscreteStatsTable[[#This Row],[GroupByKey]])*DiscreteStatsTable[NumberObservations])),0)</f>
        <v>13100.1</v>
      </c>
      <c r="W373">
        <f>IF((DiscreteStatsTable[[#This Row],[RepsRequested]]&gt;1),DiscreteStatsTable[[#This Row],[HalfWidth]],DiscreteStatsTable[[#This Row],[BatchMeansHalfWidth]])</f>
        <v>8.6699786854535752</v>
      </c>
      <c r="X373" cm="1">
        <f t="array" ref="X373">COUNT(IF((DiscreteStatsTable[GroupByKey]=DiscreteStatsTable[[#This Row],[GroupByKey]]),(DiscreteStatsTable[GroupByKey]=DiscreteStatsTable[[#This Row],[GroupByKey]])*DiscreteStatsTable[Replication]))</f>
        <v>10</v>
      </c>
      <c r="Y373">
        <f>IF(DiscreteStatsTable[[#This Row],[RepsRequested]]=DiscreteStatsTable[[#This Row],[RepsWithStatObserved]],1,0)</f>
        <v>1</v>
      </c>
    </row>
    <row r="374" spans="1:25" x14ac:dyDescent="0.25">
      <c r="A374" t="s">
        <v>67</v>
      </c>
      <c r="B374" t="s">
        <v>243</v>
      </c>
      <c r="C374">
        <v>3</v>
      </c>
      <c r="D374" t="s">
        <v>102</v>
      </c>
      <c r="E374" t="s">
        <v>72</v>
      </c>
      <c r="F374" t="s">
        <v>71</v>
      </c>
      <c r="G374">
        <v>45.334550034231803</v>
      </c>
      <c r="H374">
        <v>41.314166484800701</v>
      </c>
      <c r="I374">
        <v>0</v>
      </c>
      <c r="J374">
        <v>50397.321499802099</v>
      </c>
      <c r="K374">
        <v>13097</v>
      </c>
      <c r="L374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374" cm="1">
        <f t="array" ref="M374">MAX(IF((ProjectInfoTable[ProjectName]=DiscreteStatsTable[[#This Row],[ProjectName]]),(ProjectInfoTable[ProjectName]=DiscreteStatsTable[[#This Row],[ProjectName]])*ProjectInfoTable[NumberOfReplications]))</f>
        <v>10</v>
      </c>
      <c r="N374" cm="1">
        <f t="array" ref="N374">IFERROR(AVERAGE(IF((DiscreteStatsTable[GroupByKey]=DiscreteStatsTable[[#This Row],[GroupByKey]]),(DiscreteStatsTable[GroupByKey]=DiscreteStatsTable[[#This Row],[GroupByKey]])*DiscreteStatsTable[Average])),0)</f>
        <v>43.895956091204496</v>
      </c>
      <c r="O374" cm="1">
        <f t="array" ref="O374">IFERROR(_xlfn.STDEV.S(IF((DiscreteStatsTable[GroupByKey]=DiscreteStatsTable[[#This Row],[GroupByKey]]),(DiscreteStatsTable[GroupByKey]=DiscreteStatsTable[[#This Row],[GroupByKey]])*DiscreteStatsTable[Average])),0)</f>
        <v>12.119794487325622</v>
      </c>
      <c r="P374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8.6699786854535752</v>
      </c>
      <c r="R374" cm="1">
        <f t="array" ref="R374">MIN(IF((DiscreteStatsTable[GroupByKey]=DiscreteStatsTable[[#This Row],[GroupByKey]]),(DiscreteStatsTable[GroupByKey]=DiscreteStatsTable[[#This Row],[GroupByKey]])*DiscreteStatsTable[Average]))</f>
        <v>18.156136666344501</v>
      </c>
      <c r="S374" cm="1">
        <f t="array" ref="S374">MAX(IF((DiscreteStatsTable[GroupByKey]=DiscreteStatsTable[[#This Row],[GroupByKey]]),(DiscreteStatsTable[GroupByKey]=DiscreteStatsTable[[#This Row],[GroupByKey]])*DiscreteStatsTable[Average]))</f>
        <v>58.212092015181497</v>
      </c>
      <c r="T374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cm="1">
        <f t="array" ref="U374">MAX(IF((DiscreteStatsTable[GroupByKey]=DiscreteStatsTable[[#This Row],[GroupByKey]]),(DiscreteStatsTable[GroupByKey]=DiscreteStatsTable[[#This Row],[GroupByKey]])*DiscreteStatsTable[Maximum]))</f>
        <v>50399.169114564698</v>
      </c>
      <c r="V374" cm="1">
        <f t="array" ref="V374">IFERROR(AVERAGE(IF((DiscreteStatsTable[GroupByKey]=DiscreteStatsTable[[#This Row],[GroupByKey]]),(DiscreteStatsTable[GroupByKey]=DiscreteStatsTable[[#This Row],[GroupByKey]])*DiscreteStatsTable[NumberObservations])),0)</f>
        <v>13100.1</v>
      </c>
      <c r="W374">
        <f>IF((DiscreteStatsTable[[#This Row],[RepsRequested]]&gt;1),DiscreteStatsTable[[#This Row],[HalfWidth]],DiscreteStatsTable[[#This Row],[BatchMeansHalfWidth]])</f>
        <v>8.6699786854535752</v>
      </c>
      <c r="X374" cm="1">
        <f t="array" ref="X374">COUNT(IF((DiscreteStatsTable[GroupByKey]=DiscreteStatsTable[[#This Row],[GroupByKey]]),(DiscreteStatsTable[GroupByKey]=DiscreteStatsTable[[#This Row],[GroupByKey]])*DiscreteStatsTable[Replication]))</f>
        <v>10</v>
      </c>
      <c r="Y374">
        <f>IF(DiscreteStatsTable[[#This Row],[RepsRequested]]=DiscreteStatsTable[[#This Row],[RepsWithStatObserved]],1,0)</f>
        <v>1</v>
      </c>
    </row>
    <row r="375" spans="1:25" x14ac:dyDescent="0.25">
      <c r="A375" t="s">
        <v>67</v>
      </c>
      <c r="B375" t="s">
        <v>243</v>
      </c>
      <c r="C375">
        <v>4</v>
      </c>
      <c r="D375" t="s">
        <v>102</v>
      </c>
      <c r="E375" t="s">
        <v>72</v>
      </c>
      <c r="F375" t="s">
        <v>71</v>
      </c>
      <c r="G375">
        <v>18.156136666344501</v>
      </c>
      <c r="H375">
        <v>14.7481608850062</v>
      </c>
      <c r="I375">
        <v>0</v>
      </c>
      <c r="J375">
        <v>50395.757191463599</v>
      </c>
      <c r="K375">
        <v>13087</v>
      </c>
      <c r="L375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375" cm="1">
        <f t="array" ref="M375">MAX(IF((ProjectInfoTable[ProjectName]=DiscreteStatsTable[[#This Row],[ProjectName]]),(ProjectInfoTable[ProjectName]=DiscreteStatsTable[[#This Row],[ProjectName]])*ProjectInfoTable[NumberOfReplications]))</f>
        <v>10</v>
      </c>
      <c r="N375" cm="1">
        <f t="array" ref="N375">IFERROR(AVERAGE(IF((DiscreteStatsTable[GroupByKey]=DiscreteStatsTable[[#This Row],[GroupByKey]]),(DiscreteStatsTable[GroupByKey]=DiscreteStatsTable[[#This Row],[GroupByKey]])*DiscreteStatsTable[Average])),0)</f>
        <v>43.895956091204496</v>
      </c>
      <c r="O375" cm="1">
        <f t="array" ref="O375">IFERROR(_xlfn.STDEV.S(IF((DiscreteStatsTable[GroupByKey]=DiscreteStatsTable[[#This Row],[GroupByKey]]),(DiscreteStatsTable[GroupByKey]=DiscreteStatsTable[[#This Row],[GroupByKey]])*DiscreteStatsTable[Average])),0)</f>
        <v>12.119794487325622</v>
      </c>
      <c r="P37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8.6699786854535752</v>
      </c>
      <c r="R375" cm="1">
        <f t="array" ref="R375">MIN(IF((DiscreteStatsTable[GroupByKey]=DiscreteStatsTable[[#This Row],[GroupByKey]]),(DiscreteStatsTable[GroupByKey]=DiscreteStatsTable[[#This Row],[GroupByKey]])*DiscreteStatsTable[Average]))</f>
        <v>18.156136666344501</v>
      </c>
      <c r="S375" cm="1">
        <f t="array" ref="S375">MAX(IF((DiscreteStatsTable[GroupByKey]=DiscreteStatsTable[[#This Row],[GroupByKey]]),(DiscreteStatsTable[GroupByKey]=DiscreteStatsTable[[#This Row],[GroupByKey]])*DiscreteStatsTable[Average]))</f>
        <v>58.212092015181497</v>
      </c>
      <c r="T37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cm="1">
        <f t="array" ref="U375">MAX(IF((DiscreteStatsTable[GroupByKey]=DiscreteStatsTable[[#This Row],[GroupByKey]]),(DiscreteStatsTable[GroupByKey]=DiscreteStatsTable[[#This Row],[GroupByKey]])*DiscreteStatsTable[Maximum]))</f>
        <v>50399.169114564698</v>
      </c>
      <c r="V375" cm="1">
        <f t="array" ref="V375">IFERROR(AVERAGE(IF((DiscreteStatsTable[GroupByKey]=DiscreteStatsTable[[#This Row],[GroupByKey]]),(DiscreteStatsTable[GroupByKey]=DiscreteStatsTable[[#This Row],[GroupByKey]])*DiscreteStatsTable[NumberObservations])),0)</f>
        <v>13100.1</v>
      </c>
      <c r="W375">
        <f>IF((DiscreteStatsTable[[#This Row],[RepsRequested]]&gt;1),DiscreteStatsTable[[#This Row],[HalfWidth]],DiscreteStatsTable[[#This Row],[BatchMeansHalfWidth]])</f>
        <v>8.6699786854535752</v>
      </c>
      <c r="X375" cm="1">
        <f t="array" ref="X375">COUNT(IF((DiscreteStatsTable[GroupByKey]=DiscreteStatsTable[[#This Row],[GroupByKey]]),(DiscreteStatsTable[GroupByKey]=DiscreteStatsTable[[#This Row],[GroupByKey]])*DiscreteStatsTable[Replication]))</f>
        <v>10</v>
      </c>
      <c r="Y375">
        <f>IF(DiscreteStatsTable[[#This Row],[RepsRequested]]=DiscreteStatsTable[[#This Row],[RepsWithStatObserved]],1,0)</f>
        <v>1</v>
      </c>
    </row>
    <row r="376" spans="1:25" x14ac:dyDescent="0.25">
      <c r="A376" t="s">
        <v>67</v>
      </c>
      <c r="B376" t="s">
        <v>243</v>
      </c>
      <c r="C376">
        <v>5</v>
      </c>
      <c r="D376" t="s">
        <v>102</v>
      </c>
      <c r="E376" t="s">
        <v>72</v>
      </c>
      <c r="F376" t="s">
        <v>71</v>
      </c>
      <c r="G376">
        <v>36.506800446227402</v>
      </c>
      <c r="H376">
        <v>31.732352708371199</v>
      </c>
      <c r="I376">
        <v>0</v>
      </c>
      <c r="J376">
        <v>50397.719927425504</v>
      </c>
      <c r="K376">
        <v>13111</v>
      </c>
      <c r="L376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376" cm="1">
        <f t="array" ref="M376">MAX(IF((ProjectInfoTable[ProjectName]=DiscreteStatsTable[[#This Row],[ProjectName]]),(ProjectInfoTable[ProjectName]=DiscreteStatsTable[[#This Row],[ProjectName]])*ProjectInfoTable[NumberOfReplications]))</f>
        <v>10</v>
      </c>
      <c r="N376" cm="1">
        <f t="array" ref="N376">IFERROR(AVERAGE(IF((DiscreteStatsTable[GroupByKey]=DiscreteStatsTable[[#This Row],[GroupByKey]]),(DiscreteStatsTable[GroupByKey]=DiscreteStatsTable[[#This Row],[GroupByKey]])*DiscreteStatsTable[Average])),0)</f>
        <v>43.895956091204496</v>
      </c>
      <c r="O376" cm="1">
        <f t="array" ref="O376">IFERROR(_xlfn.STDEV.S(IF((DiscreteStatsTable[GroupByKey]=DiscreteStatsTable[[#This Row],[GroupByKey]]),(DiscreteStatsTable[GroupByKey]=DiscreteStatsTable[[#This Row],[GroupByKey]])*DiscreteStatsTable[Average])),0)</f>
        <v>12.119794487325622</v>
      </c>
      <c r="P376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8.6699786854535752</v>
      </c>
      <c r="R376" cm="1">
        <f t="array" ref="R376">MIN(IF((DiscreteStatsTable[GroupByKey]=DiscreteStatsTable[[#This Row],[GroupByKey]]),(DiscreteStatsTable[GroupByKey]=DiscreteStatsTable[[#This Row],[GroupByKey]])*DiscreteStatsTable[Average]))</f>
        <v>18.156136666344501</v>
      </c>
      <c r="S376" cm="1">
        <f t="array" ref="S376">MAX(IF((DiscreteStatsTable[GroupByKey]=DiscreteStatsTable[[#This Row],[GroupByKey]]),(DiscreteStatsTable[GroupByKey]=DiscreteStatsTable[[#This Row],[GroupByKey]])*DiscreteStatsTable[Average]))</f>
        <v>58.212092015181497</v>
      </c>
      <c r="T376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cm="1">
        <f t="array" ref="U376">MAX(IF((DiscreteStatsTable[GroupByKey]=DiscreteStatsTable[[#This Row],[GroupByKey]]),(DiscreteStatsTable[GroupByKey]=DiscreteStatsTable[[#This Row],[GroupByKey]])*DiscreteStatsTable[Maximum]))</f>
        <v>50399.169114564698</v>
      </c>
      <c r="V376" cm="1">
        <f t="array" ref="V376">IFERROR(AVERAGE(IF((DiscreteStatsTable[GroupByKey]=DiscreteStatsTable[[#This Row],[GroupByKey]]),(DiscreteStatsTable[GroupByKey]=DiscreteStatsTable[[#This Row],[GroupByKey]])*DiscreteStatsTable[NumberObservations])),0)</f>
        <v>13100.1</v>
      </c>
      <c r="W376">
        <f>IF((DiscreteStatsTable[[#This Row],[RepsRequested]]&gt;1),DiscreteStatsTable[[#This Row],[HalfWidth]],DiscreteStatsTable[[#This Row],[BatchMeansHalfWidth]])</f>
        <v>8.6699786854535752</v>
      </c>
      <c r="X376" cm="1">
        <f t="array" ref="X376">COUNT(IF((DiscreteStatsTable[GroupByKey]=DiscreteStatsTable[[#This Row],[GroupByKey]]),(DiscreteStatsTable[GroupByKey]=DiscreteStatsTable[[#This Row],[GroupByKey]])*DiscreteStatsTable[Replication]))</f>
        <v>10</v>
      </c>
      <c r="Y376">
        <f>IF(DiscreteStatsTable[[#This Row],[RepsRequested]]=DiscreteStatsTable[[#This Row],[RepsWithStatObserved]],1,0)</f>
        <v>1</v>
      </c>
    </row>
    <row r="377" spans="1:25" x14ac:dyDescent="0.25">
      <c r="A377" t="s">
        <v>67</v>
      </c>
      <c r="B377" t="s">
        <v>243</v>
      </c>
      <c r="C377">
        <v>6</v>
      </c>
      <c r="D377" t="s">
        <v>102</v>
      </c>
      <c r="E377" t="s">
        <v>72</v>
      </c>
      <c r="F377" t="s">
        <v>71</v>
      </c>
      <c r="G377">
        <v>58.212092015181497</v>
      </c>
      <c r="H377">
        <v>50.013195957585701</v>
      </c>
      <c r="I377">
        <v>0</v>
      </c>
      <c r="J377">
        <v>50397.002219471899</v>
      </c>
      <c r="K377">
        <v>13103</v>
      </c>
      <c r="L377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377" cm="1">
        <f t="array" ref="M377">MAX(IF((ProjectInfoTable[ProjectName]=DiscreteStatsTable[[#This Row],[ProjectName]]),(ProjectInfoTable[ProjectName]=DiscreteStatsTable[[#This Row],[ProjectName]])*ProjectInfoTable[NumberOfReplications]))</f>
        <v>10</v>
      </c>
      <c r="N377" cm="1">
        <f t="array" ref="N377">IFERROR(AVERAGE(IF((DiscreteStatsTable[GroupByKey]=DiscreteStatsTable[[#This Row],[GroupByKey]]),(DiscreteStatsTable[GroupByKey]=DiscreteStatsTable[[#This Row],[GroupByKey]])*DiscreteStatsTable[Average])),0)</f>
        <v>43.895956091204496</v>
      </c>
      <c r="O377" cm="1">
        <f t="array" ref="O377">IFERROR(_xlfn.STDEV.S(IF((DiscreteStatsTable[GroupByKey]=DiscreteStatsTable[[#This Row],[GroupByKey]]),(DiscreteStatsTable[GroupByKey]=DiscreteStatsTable[[#This Row],[GroupByKey]])*DiscreteStatsTable[Average])),0)</f>
        <v>12.119794487325622</v>
      </c>
      <c r="P377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8.6699786854535752</v>
      </c>
      <c r="R377" cm="1">
        <f t="array" ref="R377">MIN(IF((DiscreteStatsTable[GroupByKey]=DiscreteStatsTable[[#This Row],[GroupByKey]]),(DiscreteStatsTable[GroupByKey]=DiscreteStatsTable[[#This Row],[GroupByKey]])*DiscreteStatsTable[Average]))</f>
        <v>18.156136666344501</v>
      </c>
      <c r="S377" cm="1">
        <f t="array" ref="S377">MAX(IF((DiscreteStatsTable[GroupByKey]=DiscreteStatsTable[[#This Row],[GroupByKey]]),(DiscreteStatsTable[GroupByKey]=DiscreteStatsTable[[#This Row],[GroupByKey]])*DiscreteStatsTable[Average]))</f>
        <v>58.212092015181497</v>
      </c>
      <c r="T377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cm="1">
        <f t="array" ref="U377">MAX(IF((DiscreteStatsTable[GroupByKey]=DiscreteStatsTable[[#This Row],[GroupByKey]]),(DiscreteStatsTable[GroupByKey]=DiscreteStatsTable[[#This Row],[GroupByKey]])*DiscreteStatsTable[Maximum]))</f>
        <v>50399.169114564698</v>
      </c>
      <c r="V377" cm="1">
        <f t="array" ref="V377">IFERROR(AVERAGE(IF((DiscreteStatsTable[GroupByKey]=DiscreteStatsTable[[#This Row],[GroupByKey]]),(DiscreteStatsTable[GroupByKey]=DiscreteStatsTable[[#This Row],[GroupByKey]])*DiscreteStatsTable[NumberObservations])),0)</f>
        <v>13100.1</v>
      </c>
      <c r="W377">
        <f>IF((DiscreteStatsTable[[#This Row],[RepsRequested]]&gt;1),DiscreteStatsTable[[#This Row],[HalfWidth]],DiscreteStatsTable[[#This Row],[BatchMeansHalfWidth]])</f>
        <v>8.6699786854535752</v>
      </c>
      <c r="X377" cm="1">
        <f t="array" ref="X377">COUNT(IF((DiscreteStatsTable[GroupByKey]=DiscreteStatsTable[[#This Row],[GroupByKey]]),(DiscreteStatsTable[GroupByKey]=DiscreteStatsTable[[#This Row],[GroupByKey]])*DiscreteStatsTable[Replication]))</f>
        <v>10</v>
      </c>
      <c r="Y377">
        <f>IF(DiscreteStatsTable[[#This Row],[RepsRequested]]=DiscreteStatsTable[[#This Row],[RepsWithStatObserved]],1,0)</f>
        <v>1</v>
      </c>
    </row>
    <row r="378" spans="1:25" x14ac:dyDescent="0.25">
      <c r="A378" t="s">
        <v>67</v>
      </c>
      <c r="B378" t="s">
        <v>243</v>
      </c>
      <c r="C378">
        <v>7</v>
      </c>
      <c r="D378" t="s">
        <v>102</v>
      </c>
      <c r="E378" t="s">
        <v>72</v>
      </c>
      <c r="F378" t="s">
        <v>71</v>
      </c>
      <c r="G378">
        <v>45.560970188824399</v>
      </c>
      <c r="H378">
        <v>37.781762593516703</v>
      </c>
      <c r="I378">
        <v>0</v>
      </c>
      <c r="J378">
        <v>50398.184175567403</v>
      </c>
      <c r="K378">
        <v>13111</v>
      </c>
      <c r="L378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378" cm="1">
        <f t="array" ref="M378">MAX(IF((ProjectInfoTable[ProjectName]=DiscreteStatsTable[[#This Row],[ProjectName]]),(ProjectInfoTable[ProjectName]=DiscreteStatsTable[[#This Row],[ProjectName]])*ProjectInfoTable[NumberOfReplications]))</f>
        <v>10</v>
      </c>
      <c r="N378" cm="1">
        <f t="array" ref="N378">IFERROR(AVERAGE(IF((DiscreteStatsTable[GroupByKey]=DiscreteStatsTable[[#This Row],[GroupByKey]]),(DiscreteStatsTable[GroupByKey]=DiscreteStatsTable[[#This Row],[GroupByKey]])*DiscreteStatsTable[Average])),0)</f>
        <v>43.895956091204496</v>
      </c>
      <c r="O378" cm="1">
        <f t="array" ref="O378">IFERROR(_xlfn.STDEV.S(IF((DiscreteStatsTable[GroupByKey]=DiscreteStatsTable[[#This Row],[GroupByKey]]),(DiscreteStatsTable[GroupByKey]=DiscreteStatsTable[[#This Row],[GroupByKey]])*DiscreteStatsTable[Average])),0)</f>
        <v>12.119794487325622</v>
      </c>
      <c r="P378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8.6699786854535752</v>
      </c>
      <c r="R378" cm="1">
        <f t="array" ref="R378">MIN(IF((DiscreteStatsTable[GroupByKey]=DiscreteStatsTable[[#This Row],[GroupByKey]]),(DiscreteStatsTable[GroupByKey]=DiscreteStatsTable[[#This Row],[GroupByKey]])*DiscreteStatsTable[Average]))</f>
        <v>18.156136666344501</v>
      </c>
      <c r="S378" cm="1">
        <f t="array" ref="S378">MAX(IF((DiscreteStatsTable[GroupByKey]=DiscreteStatsTable[[#This Row],[GroupByKey]]),(DiscreteStatsTable[GroupByKey]=DiscreteStatsTable[[#This Row],[GroupByKey]])*DiscreteStatsTable[Average]))</f>
        <v>58.212092015181497</v>
      </c>
      <c r="T378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cm="1">
        <f t="array" ref="U378">MAX(IF((DiscreteStatsTable[GroupByKey]=DiscreteStatsTable[[#This Row],[GroupByKey]]),(DiscreteStatsTable[GroupByKey]=DiscreteStatsTable[[#This Row],[GroupByKey]])*DiscreteStatsTable[Maximum]))</f>
        <v>50399.169114564698</v>
      </c>
      <c r="V378" cm="1">
        <f t="array" ref="V378">IFERROR(AVERAGE(IF((DiscreteStatsTable[GroupByKey]=DiscreteStatsTable[[#This Row],[GroupByKey]]),(DiscreteStatsTable[GroupByKey]=DiscreteStatsTable[[#This Row],[GroupByKey]])*DiscreteStatsTable[NumberObservations])),0)</f>
        <v>13100.1</v>
      </c>
      <c r="W378">
        <f>IF((DiscreteStatsTable[[#This Row],[RepsRequested]]&gt;1),DiscreteStatsTable[[#This Row],[HalfWidth]],DiscreteStatsTable[[#This Row],[BatchMeansHalfWidth]])</f>
        <v>8.6699786854535752</v>
      </c>
      <c r="X378" cm="1">
        <f t="array" ref="X378">COUNT(IF((DiscreteStatsTable[GroupByKey]=DiscreteStatsTable[[#This Row],[GroupByKey]]),(DiscreteStatsTable[GroupByKey]=DiscreteStatsTable[[#This Row],[GroupByKey]])*DiscreteStatsTable[Replication]))</f>
        <v>10</v>
      </c>
      <c r="Y378">
        <f>IF(DiscreteStatsTable[[#This Row],[RepsRequested]]=DiscreteStatsTable[[#This Row],[RepsWithStatObserved]],1,0)</f>
        <v>1</v>
      </c>
    </row>
    <row r="379" spans="1:25" x14ac:dyDescent="0.25">
      <c r="A379" t="s">
        <v>67</v>
      </c>
      <c r="B379" t="s">
        <v>243</v>
      </c>
      <c r="C379">
        <v>8</v>
      </c>
      <c r="D379" t="s">
        <v>102</v>
      </c>
      <c r="E379" t="s">
        <v>72</v>
      </c>
      <c r="F379" t="s">
        <v>71</v>
      </c>
      <c r="G379">
        <v>49.455599376182001</v>
      </c>
      <c r="H379">
        <v>41.2800794284367</v>
      </c>
      <c r="I379">
        <v>0</v>
      </c>
      <c r="J379">
        <v>50399.169114564698</v>
      </c>
      <c r="K379">
        <v>13096</v>
      </c>
      <c r="L379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379" cm="1">
        <f t="array" ref="M379">MAX(IF((ProjectInfoTable[ProjectName]=DiscreteStatsTable[[#This Row],[ProjectName]]),(ProjectInfoTable[ProjectName]=DiscreteStatsTable[[#This Row],[ProjectName]])*ProjectInfoTable[NumberOfReplications]))</f>
        <v>10</v>
      </c>
      <c r="N379" cm="1">
        <f t="array" ref="N379">IFERROR(AVERAGE(IF((DiscreteStatsTable[GroupByKey]=DiscreteStatsTable[[#This Row],[GroupByKey]]),(DiscreteStatsTable[GroupByKey]=DiscreteStatsTable[[#This Row],[GroupByKey]])*DiscreteStatsTable[Average])),0)</f>
        <v>43.895956091204496</v>
      </c>
      <c r="O379" cm="1">
        <f t="array" ref="O379">IFERROR(_xlfn.STDEV.S(IF((DiscreteStatsTable[GroupByKey]=DiscreteStatsTable[[#This Row],[GroupByKey]]),(DiscreteStatsTable[GroupByKey]=DiscreteStatsTable[[#This Row],[GroupByKey]])*DiscreteStatsTable[Average])),0)</f>
        <v>12.119794487325622</v>
      </c>
      <c r="P379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8.6699786854535752</v>
      </c>
      <c r="R379" cm="1">
        <f t="array" ref="R379">MIN(IF((DiscreteStatsTable[GroupByKey]=DiscreteStatsTable[[#This Row],[GroupByKey]]),(DiscreteStatsTable[GroupByKey]=DiscreteStatsTable[[#This Row],[GroupByKey]])*DiscreteStatsTable[Average]))</f>
        <v>18.156136666344501</v>
      </c>
      <c r="S379" cm="1">
        <f t="array" ref="S379">MAX(IF((DiscreteStatsTable[GroupByKey]=DiscreteStatsTable[[#This Row],[GroupByKey]]),(DiscreteStatsTable[GroupByKey]=DiscreteStatsTable[[#This Row],[GroupByKey]])*DiscreteStatsTable[Average]))</f>
        <v>58.212092015181497</v>
      </c>
      <c r="T379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cm="1">
        <f t="array" ref="U379">MAX(IF((DiscreteStatsTable[GroupByKey]=DiscreteStatsTable[[#This Row],[GroupByKey]]),(DiscreteStatsTable[GroupByKey]=DiscreteStatsTable[[#This Row],[GroupByKey]])*DiscreteStatsTable[Maximum]))</f>
        <v>50399.169114564698</v>
      </c>
      <c r="V379" cm="1">
        <f t="array" ref="V379">IFERROR(AVERAGE(IF((DiscreteStatsTable[GroupByKey]=DiscreteStatsTable[[#This Row],[GroupByKey]]),(DiscreteStatsTable[GroupByKey]=DiscreteStatsTable[[#This Row],[GroupByKey]])*DiscreteStatsTable[NumberObservations])),0)</f>
        <v>13100.1</v>
      </c>
      <c r="W379">
        <f>IF((DiscreteStatsTable[[#This Row],[RepsRequested]]&gt;1),DiscreteStatsTable[[#This Row],[HalfWidth]],DiscreteStatsTable[[#This Row],[BatchMeansHalfWidth]])</f>
        <v>8.6699786854535752</v>
      </c>
      <c r="X379" cm="1">
        <f t="array" ref="X379">COUNT(IF((DiscreteStatsTable[GroupByKey]=DiscreteStatsTable[[#This Row],[GroupByKey]]),(DiscreteStatsTable[GroupByKey]=DiscreteStatsTable[[#This Row],[GroupByKey]])*DiscreteStatsTable[Replication]))</f>
        <v>10</v>
      </c>
      <c r="Y379">
        <f>IF(DiscreteStatsTable[[#This Row],[RepsRequested]]=DiscreteStatsTable[[#This Row],[RepsWithStatObserved]],1,0)</f>
        <v>1</v>
      </c>
    </row>
    <row r="380" spans="1:25" x14ac:dyDescent="0.25">
      <c r="A380" t="s">
        <v>67</v>
      </c>
      <c r="B380" t="s">
        <v>243</v>
      </c>
      <c r="C380">
        <v>9</v>
      </c>
      <c r="D380" t="s">
        <v>102</v>
      </c>
      <c r="E380" t="s">
        <v>72</v>
      </c>
      <c r="F380" t="s">
        <v>71</v>
      </c>
      <c r="G380">
        <v>45.308883592039301</v>
      </c>
      <c r="H380">
        <v>37.829383242813002</v>
      </c>
      <c r="I380">
        <v>0</v>
      </c>
      <c r="J380">
        <v>50398.347678104503</v>
      </c>
      <c r="K380">
        <v>13105</v>
      </c>
      <c r="L380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380" cm="1">
        <f t="array" ref="M380">MAX(IF((ProjectInfoTable[ProjectName]=DiscreteStatsTable[[#This Row],[ProjectName]]),(ProjectInfoTable[ProjectName]=DiscreteStatsTable[[#This Row],[ProjectName]])*ProjectInfoTable[NumberOfReplications]))</f>
        <v>10</v>
      </c>
      <c r="N380" cm="1">
        <f t="array" ref="N380">IFERROR(AVERAGE(IF((DiscreteStatsTable[GroupByKey]=DiscreteStatsTable[[#This Row],[GroupByKey]]),(DiscreteStatsTable[GroupByKey]=DiscreteStatsTable[[#This Row],[GroupByKey]])*DiscreteStatsTable[Average])),0)</f>
        <v>43.895956091204496</v>
      </c>
      <c r="O380" cm="1">
        <f t="array" ref="O380">IFERROR(_xlfn.STDEV.S(IF((DiscreteStatsTable[GroupByKey]=DiscreteStatsTable[[#This Row],[GroupByKey]]),(DiscreteStatsTable[GroupByKey]=DiscreteStatsTable[[#This Row],[GroupByKey]])*DiscreteStatsTable[Average])),0)</f>
        <v>12.119794487325622</v>
      </c>
      <c r="P380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8.6699786854535752</v>
      </c>
      <c r="R380" cm="1">
        <f t="array" ref="R380">MIN(IF((DiscreteStatsTable[GroupByKey]=DiscreteStatsTable[[#This Row],[GroupByKey]]),(DiscreteStatsTable[GroupByKey]=DiscreteStatsTable[[#This Row],[GroupByKey]])*DiscreteStatsTable[Average]))</f>
        <v>18.156136666344501</v>
      </c>
      <c r="S380" cm="1">
        <f t="array" ref="S380">MAX(IF((DiscreteStatsTable[GroupByKey]=DiscreteStatsTable[[#This Row],[GroupByKey]]),(DiscreteStatsTable[GroupByKey]=DiscreteStatsTable[[#This Row],[GroupByKey]])*DiscreteStatsTable[Average]))</f>
        <v>58.212092015181497</v>
      </c>
      <c r="T380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cm="1">
        <f t="array" ref="U380">MAX(IF((DiscreteStatsTable[GroupByKey]=DiscreteStatsTable[[#This Row],[GroupByKey]]),(DiscreteStatsTable[GroupByKey]=DiscreteStatsTable[[#This Row],[GroupByKey]])*DiscreteStatsTable[Maximum]))</f>
        <v>50399.169114564698</v>
      </c>
      <c r="V380" cm="1">
        <f t="array" ref="V380">IFERROR(AVERAGE(IF((DiscreteStatsTable[GroupByKey]=DiscreteStatsTable[[#This Row],[GroupByKey]]),(DiscreteStatsTable[GroupByKey]=DiscreteStatsTable[[#This Row],[GroupByKey]])*DiscreteStatsTable[NumberObservations])),0)</f>
        <v>13100.1</v>
      </c>
      <c r="W380">
        <f>IF((DiscreteStatsTable[[#This Row],[RepsRequested]]&gt;1),DiscreteStatsTable[[#This Row],[HalfWidth]],DiscreteStatsTable[[#This Row],[BatchMeansHalfWidth]])</f>
        <v>8.6699786854535752</v>
      </c>
      <c r="X380" cm="1">
        <f t="array" ref="X380">COUNT(IF((DiscreteStatsTable[GroupByKey]=DiscreteStatsTable[[#This Row],[GroupByKey]]),(DiscreteStatsTable[GroupByKey]=DiscreteStatsTable[[#This Row],[GroupByKey]])*DiscreteStatsTable[Replication]))</f>
        <v>10</v>
      </c>
      <c r="Y380">
        <f>IF(DiscreteStatsTable[[#This Row],[RepsRequested]]=DiscreteStatsTable[[#This Row],[RepsWithStatObserved]],1,0)</f>
        <v>1</v>
      </c>
    </row>
    <row r="381" spans="1:25" x14ac:dyDescent="0.25">
      <c r="A381" t="s">
        <v>67</v>
      </c>
      <c r="B381" t="s">
        <v>243</v>
      </c>
      <c r="C381">
        <v>10</v>
      </c>
      <c r="D381" t="s">
        <v>102</v>
      </c>
      <c r="E381" t="s">
        <v>72</v>
      </c>
      <c r="F381" t="s">
        <v>71</v>
      </c>
      <c r="G381">
        <v>54.451703603507802</v>
      </c>
      <c r="H381">
        <v>47.2883851394608</v>
      </c>
      <c r="I381">
        <v>0</v>
      </c>
      <c r="J381">
        <v>50396.153569127098</v>
      </c>
      <c r="K381">
        <v>13083</v>
      </c>
      <c r="L381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381" cm="1">
        <f t="array" ref="M381">MAX(IF((ProjectInfoTable[ProjectName]=DiscreteStatsTable[[#This Row],[ProjectName]]),(ProjectInfoTable[ProjectName]=DiscreteStatsTable[[#This Row],[ProjectName]])*ProjectInfoTable[NumberOfReplications]))</f>
        <v>10</v>
      </c>
      <c r="N381" cm="1">
        <f t="array" ref="N381">IFERROR(AVERAGE(IF((DiscreteStatsTable[GroupByKey]=DiscreteStatsTable[[#This Row],[GroupByKey]]),(DiscreteStatsTable[GroupByKey]=DiscreteStatsTable[[#This Row],[GroupByKey]])*DiscreteStatsTable[Average])),0)</f>
        <v>43.895956091204496</v>
      </c>
      <c r="O381" cm="1">
        <f t="array" ref="O381">IFERROR(_xlfn.STDEV.S(IF((DiscreteStatsTable[GroupByKey]=DiscreteStatsTable[[#This Row],[GroupByKey]]),(DiscreteStatsTable[GroupByKey]=DiscreteStatsTable[[#This Row],[GroupByKey]])*DiscreteStatsTable[Average])),0)</f>
        <v>12.119794487325622</v>
      </c>
      <c r="P381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8.6699786854535752</v>
      </c>
      <c r="R381" cm="1">
        <f t="array" ref="R381">MIN(IF((DiscreteStatsTable[GroupByKey]=DiscreteStatsTable[[#This Row],[GroupByKey]]),(DiscreteStatsTable[GroupByKey]=DiscreteStatsTable[[#This Row],[GroupByKey]])*DiscreteStatsTable[Average]))</f>
        <v>18.156136666344501</v>
      </c>
      <c r="S381" cm="1">
        <f t="array" ref="S381">MAX(IF((DiscreteStatsTable[GroupByKey]=DiscreteStatsTable[[#This Row],[GroupByKey]]),(DiscreteStatsTable[GroupByKey]=DiscreteStatsTable[[#This Row],[GroupByKey]])*DiscreteStatsTable[Average]))</f>
        <v>58.212092015181497</v>
      </c>
      <c r="T381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cm="1">
        <f t="array" ref="U381">MAX(IF((DiscreteStatsTable[GroupByKey]=DiscreteStatsTable[[#This Row],[GroupByKey]]),(DiscreteStatsTable[GroupByKey]=DiscreteStatsTable[[#This Row],[GroupByKey]])*DiscreteStatsTable[Maximum]))</f>
        <v>50399.169114564698</v>
      </c>
      <c r="V381" cm="1">
        <f t="array" ref="V381">IFERROR(AVERAGE(IF((DiscreteStatsTable[GroupByKey]=DiscreteStatsTable[[#This Row],[GroupByKey]]),(DiscreteStatsTable[GroupByKey]=DiscreteStatsTable[[#This Row],[GroupByKey]])*DiscreteStatsTable[NumberObservations])),0)</f>
        <v>13100.1</v>
      </c>
      <c r="W381">
        <f>IF((DiscreteStatsTable[[#This Row],[RepsRequested]]&gt;1),DiscreteStatsTable[[#This Row],[HalfWidth]],DiscreteStatsTable[[#This Row],[BatchMeansHalfWidth]])</f>
        <v>8.6699786854535752</v>
      </c>
      <c r="X381" cm="1">
        <f t="array" ref="X381">COUNT(IF((DiscreteStatsTable[GroupByKey]=DiscreteStatsTable[[#This Row],[GroupByKey]]),(DiscreteStatsTable[GroupByKey]=DiscreteStatsTable[[#This Row],[GroupByKey]])*DiscreteStatsTable[Replication]))</f>
        <v>10</v>
      </c>
      <c r="Y381">
        <f>IF(DiscreteStatsTable[[#This Row],[RepsRequested]]=DiscreteStatsTable[[#This Row],[RepsWithStatObserved]],1,0)</f>
        <v>1</v>
      </c>
    </row>
    <row r="382" spans="1:25" x14ac:dyDescent="0.25">
      <c r="A382" t="s">
        <v>67</v>
      </c>
      <c r="B382" t="s">
        <v>243</v>
      </c>
      <c r="C382">
        <v>1</v>
      </c>
      <c r="D382" t="s">
        <v>103</v>
      </c>
      <c r="E382" t="s">
        <v>72</v>
      </c>
      <c r="F382" t="s">
        <v>71</v>
      </c>
      <c r="G382">
        <v>6.9857617751713503</v>
      </c>
      <c r="H382">
        <v>8.1139038791892197</v>
      </c>
      <c r="I382">
        <v>0</v>
      </c>
      <c r="J382">
        <v>50404.579464292401</v>
      </c>
      <c r="K382">
        <v>13090</v>
      </c>
      <c r="L382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382" cm="1">
        <f t="array" ref="M382">MAX(IF((ProjectInfoTable[ProjectName]=DiscreteStatsTable[[#This Row],[ProjectName]]),(ProjectInfoTable[ProjectName]=DiscreteStatsTable[[#This Row],[ProjectName]])*ProjectInfoTable[NumberOfReplications]))</f>
        <v>10</v>
      </c>
      <c r="N382" cm="1">
        <f t="array" ref="N382">IFERROR(AVERAGE(IF((DiscreteStatsTable[GroupByKey]=DiscreteStatsTable[[#This Row],[GroupByKey]]),(DiscreteStatsTable[GroupByKey]=DiscreteStatsTable[[#This Row],[GroupByKey]])*DiscreteStatsTable[Average])),0)</f>
        <v>8.2359994067495084</v>
      </c>
      <c r="O382" cm="1">
        <f t="array" ref="O382">IFERROR(_xlfn.STDEV.S(IF((DiscreteStatsTable[GroupByKey]=DiscreteStatsTable[[#This Row],[GroupByKey]]),(DiscreteStatsTable[GroupByKey]=DiscreteStatsTable[[#This Row],[GroupByKey]])*DiscreteStatsTable[Average])),0)</f>
        <v>5.9153068159708839</v>
      </c>
      <c r="P382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4.2315555817401149</v>
      </c>
      <c r="R382" cm="1">
        <f t="array" ref="R382">MIN(IF((DiscreteStatsTable[GroupByKey]=DiscreteStatsTable[[#This Row],[GroupByKey]]),(DiscreteStatsTable[GroupByKey]=DiscreteStatsTable[[#This Row],[GroupByKey]])*DiscreteStatsTable[Average]))</f>
        <v>2.4091971467410902</v>
      </c>
      <c r="S382" cm="1">
        <f t="array" ref="S382">MAX(IF((DiscreteStatsTable[GroupByKey]=DiscreteStatsTable[[#This Row],[GroupByKey]]),(DiscreteStatsTable[GroupByKey]=DiscreteStatsTable[[#This Row],[GroupByKey]])*DiscreteStatsTable[Average]))</f>
        <v>20.464689844814199</v>
      </c>
      <c r="T382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cm="1">
        <f t="array" ref="U382">MAX(IF((DiscreteStatsTable[GroupByKey]=DiscreteStatsTable[[#This Row],[GroupByKey]]),(DiscreteStatsTable[GroupByKey]=DiscreteStatsTable[[#This Row],[GroupByKey]])*DiscreteStatsTable[Maximum]))</f>
        <v>50416.267475569599</v>
      </c>
      <c r="V382" cm="1">
        <f t="array" ref="V382">IFERROR(AVERAGE(IF((DiscreteStatsTable[GroupByKey]=DiscreteStatsTable[[#This Row],[GroupByKey]]),(DiscreteStatsTable[GroupByKey]=DiscreteStatsTable[[#This Row],[GroupByKey]])*DiscreteStatsTable[NumberObservations])),0)</f>
        <v>13099.9</v>
      </c>
      <c r="W382">
        <f>IF((DiscreteStatsTable[[#This Row],[RepsRequested]]&gt;1),DiscreteStatsTable[[#This Row],[HalfWidth]],DiscreteStatsTable[[#This Row],[BatchMeansHalfWidth]])</f>
        <v>4.2315555817401149</v>
      </c>
      <c r="X382" cm="1">
        <f t="array" ref="X382">COUNT(IF((DiscreteStatsTable[GroupByKey]=DiscreteStatsTable[[#This Row],[GroupByKey]]),(DiscreteStatsTable[GroupByKey]=DiscreteStatsTable[[#This Row],[GroupByKey]])*DiscreteStatsTable[Replication]))</f>
        <v>10</v>
      </c>
      <c r="Y382">
        <f>IF(DiscreteStatsTable[[#This Row],[RepsRequested]]=DiscreteStatsTable[[#This Row],[RepsWithStatObserved]],1,0)</f>
        <v>1</v>
      </c>
    </row>
    <row r="383" spans="1:25" x14ac:dyDescent="0.25">
      <c r="A383" t="s">
        <v>67</v>
      </c>
      <c r="B383" t="s">
        <v>243</v>
      </c>
      <c r="C383">
        <v>2</v>
      </c>
      <c r="D383" t="s">
        <v>103</v>
      </c>
      <c r="E383" t="s">
        <v>72</v>
      </c>
      <c r="F383" t="s">
        <v>71</v>
      </c>
      <c r="G383">
        <v>6.3010928495363698</v>
      </c>
      <c r="H383">
        <v>8.1698359639238305</v>
      </c>
      <c r="I383">
        <v>0</v>
      </c>
      <c r="J383">
        <v>50416.267475569599</v>
      </c>
      <c r="K383">
        <v>13118</v>
      </c>
      <c r="L383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383" cm="1">
        <f t="array" ref="M383">MAX(IF((ProjectInfoTable[ProjectName]=DiscreteStatsTable[[#This Row],[ProjectName]]),(ProjectInfoTable[ProjectName]=DiscreteStatsTable[[#This Row],[ProjectName]])*ProjectInfoTable[NumberOfReplications]))</f>
        <v>10</v>
      </c>
      <c r="N383" cm="1">
        <f t="array" ref="N383">IFERROR(AVERAGE(IF((DiscreteStatsTable[GroupByKey]=DiscreteStatsTable[[#This Row],[GroupByKey]]),(DiscreteStatsTable[GroupByKey]=DiscreteStatsTable[[#This Row],[GroupByKey]])*DiscreteStatsTable[Average])),0)</f>
        <v>8.2359994067495084</v>
      </c>
      <c r="O383" cm="1">
        <f t="array" ref="O383">IFERROR(_xlfn.STDEV.S(IF((DiscreteStatsTable[GroupByKey]=DiscreteStatsTable[[#This Row],[GroupByKey]]),(DiscreteStatsTable[GroupByKey]=DiscreteStatsTable[[#This Row],[GroupByKey]])*DiscreteStatsTable[Average])),0)</f>
        <v>5.9153068159708839</v>
      </c>
      <c r="P383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4.2315555817401149</v>
      </c>
      <c r="R383" cm="1">
        <f t="array" ref="R383">MIN(IF((DiscreteStatsTable[GroupByKey]=DiscreteStatsTable[[#This Row],[GroupByKey]]),(DiscreteStatsTable[GroupByKey]=DiscreteStatsTable[[#This Row],[GroupByKey]])*DiscreteStatsTable[Average]))</f>
        <v>2.4091971467410902</v>
      </c>
      <c r="S383" cm="1">
        <f t="array" ref="S383">MAX(IF((DiscreteStatsTable[GroupByKey]=DiscreteStatsTable[[#This Row],[GroupByKey]]),(DiscreteStatsTable[GroupByKey]=DiscreteStatsTable[[#This Row],[GroupByKey]])*DiscreteStatsTable[Average]))</f>
        <v>20.464689844814199</v>
      </c>
      <c r="T383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cm="1">
        <f t="array" ref="U383">MAX(IF((DiscreteStatsTable[GroupByKey]=DiscreteStatsTable[[#This Row],[GroupByKey]]),(DiscreteStatsTable[GroupByKey]=DiscreteStatsTable[[#This Row],[GroupByKey]])*DiscreteStatsTable[Maximum]))</f>
        <v>50416.267475569599</v>
      </c>
      <c r="V383" cm="1">
        <f t="array" ref="V383">IFERROR(AVERAGE(IF((DiscreteStatsTable[GroupByKey]=DiscreteStatsTable[[#This Row],[GroupByKey]]),(DiscreteStatsTable[GroupByKey]=DiscreteStatsTable[[#This Row],[GroupByKey]])*DiscreteStatsTable[NumberObservations])),0)</f>
        <v>13099.9</v>
      </c>
      <c r="W383">
        <f>IF((DiscreteStatsTable[[#This Row],[RepsRequested]]&gt;1),DiscreteStatsTable[[#This Row],[HalfWidth]],DiscreteStatsTable[[#This Row],[BatchMeansHalfWidth]])</f>
        <v>4.2315555817401149</v>
      </c>
      <c r="X383" cm="1">
        <f t="array" ref="X383">COUNT(IF((DiscreteStatsTable[GroupByKey]=DiscreteStatsTable[[#This Row],[GroupByKey]]),(DiscreteStatsTable[GroupByKey]=DiscreteStatsTable[[#This Row],[GroupByKey]])*DiscreteStatsTable[Replication]))</f>
        <v>10</v>
      </c>
      <c r="Y383">
        <f>IF(DiscreteStatsTable[[#This Row],[RepsRequested]]=DiscreteStatsTable[[#This Row],[RepsWithStatObserved]],1,0)</f>
        <v>1</v>
      </c>
    </row>
    <row r="384" spans="1:25" x14ac:dyDescent="0.25">
      <c r="A384" t="s">
        <v>67</v>
      </c>
      <c r="B384" t="s">
        <v>243</v>
      </c>
      <c r="C384">
        <v>3</v>
      </c>
      <c r="D384" t="s">
        <v>103</v>
      </c>
      <c r="E384" t="s">
        <v>72</v>
      </c>
      <c r="F384" t="s">
        <v>71</v>
      </c>
      <c r="G384">
        <v>6.7748934223388302</v>
      </c>
      <c r="H384">
        <v>8.1231679070985408</v>
      </c>
      <c r="I384">
        <v>0</v>
      </c>
      <c r="J384">
        <v>50399.535918955902</v>
      </c>
      <c r="K384">
        <v>13097</v>
      </c>
      <c r="L384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384" cm="1">
        <f t="array" ref="M384">MAX(IF((ProjectInfoTable[ProjectName]=DiscreteStatsTable[[#This Row],[ProjectName]]),(ProjectInfoTable[ProjectName]=DiscreteStatsTable[[#This Row],[ProjectName]])*ProjectInfoTable[NumberOfReplications]))</f>
        <v>10</v>
      </c>
      <c r="N384" cm="1">
        <f t="array" ref="N384">IFERROR(AVERAGE(IF((DiscreteStatsTable[GroupByKey]=DiscreteStatsTable[[#This Row],[GroupByKey]]),(DiscreteStatsTable[GroupByKey]=DiscreteStatsTable[[#This Row],[GroupByKey]])*DiscreteStatsTable[Average])),0)</f>
        <v>8.2359994067495084</v>
      </c>
      <c r="O384" cm="1">
        <f t="array" ref="O384">IFERROR(_xlfn.STDEV.S(IF((DiscreteStatsTable[GroupByKey]=DiscreteStatsTable[[#This Row],[GroupByKey]]),(DiscreteStatsTable[GroupByKey]=DiscreteStatsTable[[#This Row],[GroupByKey]])*DiscreteStatsTable[Average])),0)</f>
        <v>5.9153068159708839</v>
      </c>
      <c r="P384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4.2315555817401149</v>
      </c>
      <c r="R384" cm="1">
        <f t="array" ref="R384">MIN(IF((DiscreteStatsTable[GroupByKey]=DiscreteStatsTable[[#This Row],[GroupByKey]]),(DiscreteStatsTable[GroupByKey]=DiscreteStatsTable[[#This Row],[GroupByKey]])*DiscreteStatsTable[Average]))</f>
        <v>2.4091971467410902</v>
      </c>
      <c r="S384" cm="1">
        <f t="array" ref="S384">MAX(IF((DiscreteStatsTable[GroupByKey]=DiscreteStatsTable[[#This Row],[GroupByKey]]),(DiscreteStatsTable[GroupByKey]=DiscreteStatsTable[[#This Row],[GroupByKey]])*DiscreteStatsTable[Average]))</f>
        <v>20.464689844814199</v>
      </c>
      <c r="T384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cm="1">
        <f t="array" ref="U384">MAX(IF((DiscreteStatsTable[GroupByKey]=DiscreteStatsTable[[#This Row],[GroupByKey]]),(DiscreteStatsTable[GroupByKey]=DiscreteStatsTable[[#This Row],[GroupByKey]])*DiscreteStatsTable[Maximum]))</f>
        <v>50416.267475569599</v>
      </c>
      <c r="V384" cm="1">
        <f t="array" ref="V384">IFERROR(AVERAGE(IF((DiscreteStatsTable[GroupByKey]=DiscreteStatsTable[[#This Row],[GroupByKey]]),(DiscreteStatsTable[GroupByKey]=DiscreteStatsTable[[#This Row],[GroupByKey]])*DiscreteStatsTable[NumberObservations])),0)</f>
        <v>13099.9</v>
      </c>
      <c r="W384">
        <f>IF((DiscreteStatsTable[[#This Row],[RepsRequested]]&gt;1),DiscreteStatsTable[[#This Row],[HalfWidth]],DiscreteStatsTable[[#This Row],[BatchMeansHalfWidth]])</f>
        <v>4.2315555817401149</v>
      </c>
      <c r="X384" cm="1">
        <f t="array" ref="X384">COUNT(IF((DiscreteStatsTable[GroupByKey]=DiscreteStatsTable[[#This Row],[GroupByKey]]),(DiscreteStatsTable[GroupByKey]=DiscreteStatsTable[[#This Row],[GroupByKey]])*DiscreteStatsTable[Replication]))</f>
        <v>10</v>
      </c>
      <c r="Y384">
        <f>IF(DiscreteStatsTable[[#This Row],[RepsRequested]]=DiscreteStatsTable[[#This Row],[RepsWithStatObserved]],1,0)</f>
        <v>1</v>
      </c>
    </row>
    <row r="385" spans="1:25" x14ac:dyDescent="0.25">
      <c r="A385" t="s">
        <v>67</v>
      </c>
      <c r="B385" t="s">
        <v>243</v>
      </c>
      <c r="C385">
        <v>4</v>
      </c>
      <c r="D385" t="s">
        <v>103</v>
      </c>
      <c r="E385" t="s">
        <v>72</v>
      </c>
      <c r="F385" t="s">
        <v>71</v>
      </c>
      <c r="G385">
        <v>15.6263248831944</v>
      </c>
      <c r="H385">
        <v>13.2172859931252</v>
      </c>
      <c r="I385">
        <v>0</v>
      </c>
      <c r="J385">
        <v>50405.506470416301</v>
      </c>
      <c r="K385">
        <v>13086</v>
      </c>
      <c r="L385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385" cm="1">
        <f t="array" ref="M385">MAX(IF((ProjectInfoTable[ProjectName]=DiscreteStatsTable[[#This Row],[ProjectName]]),(ProjectInfoTable[ProjectName]=DiscreteStatsTable[[#This Row],[ProjectName]])*ProjectInfoTable[NumberOfReplications]))</f>
        <v>10</v>
      </c>
      <c r="N385" cm="1">
        <f t="array" ref="N385">IFERROR(AVERAGE(IF((DiscreteStatsTable[GroupByKey]=DiscreteStatsTable[[#This Row],[GroupByKey]]),(DiscreteStatsTable[GroupByKey]=DiscreteStatsTable[[#This Row],[GroupByKey]])*DiscreteStatsTable[Average])),0)</f>
        <v>8.2359994067495084</v>
      </c>
      <c r="O385" cm="1">
        <f t="array" ref="O385">IFERROR(_xlfn.STDEV.S(IF((DiscreteStatsTable[GroupByKey]=DiscreteStatsTable[[#This Row],[GroupByKey]]),(DiscreteStatsTable[GroupByKey]=DiscreteStatsTable[[#This Row],[GroupByKey]])*DiscreteStatsTable[Average])),0)</f>
        <v>5.9153068159708839</v>
      </c>
      <c r="P38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4.2315555817401149</v>
      </c>
      <c r="R385" cm="1">
        <f t="array" ref="R385">MIN(IF((DiscreteStatsTable[GroupByKey]=DiscreteStatsTable[[#This Row],[GroupByKey]]),(DiscreteStatsTable[GroupByKey]=DiscreteStatsTable[[#This Row],[GroupByKey]])*DiscreteStatsTable[Average]))</f>
        <v>2.4091971467410902</v>
      </c>
      <c r="S385" cm="1">
        <f t="array" ref="S385">MAX(IF((DiscreteStatsTable[GroupByKey]=DiscreteStatsTable[[#This Row],[GroupByKey]]),(DiscreteStatsTable[GroupByKey]=DiscreteStatsTable[[#This Row],[GroupByKey]])*DiscreteStatsTable[Average]))</f>
        <v>20.464689844814199</v>
      </c>
      <c r="T38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cm="1">
        <f t="array" ref="U385">MAX(IF((DiscreteStatsTable[GroupByKey]=DiscreteStatsTable[[#This Row],[GroupByKey]]),(DiscreteStatsTable[GroupByKey]=DiscreteStatsTable[[#This Row],[GroupByKey]])*DiscreteStatsTable[Maximum]))</f>
        <v>50416.267475569599</v>
      </c>
      <c r="V385" cm="1">
        <f t="array" ref="V385">IFERROR(AVERAGE(IF((DiscreteStatsTable[GroupByKey]=DiscreteStatsTable[[#This Row],[GroupByKey]]),(DiscreteStatsTable[GroupByKey]=DiscreteStatsTable[[#This Row],[GroupByKey]])*DiscreteStatsTable[NumberObservations])),0)</f>
        <v>13099.9</v>
      </c>
      <c r="W385">
        <f>IF((DiscreteStatsTable[[#This Row],[RepsRequested]]&gt;1),DiscreteStatsTable[[#This Row],[HalfWidth]],DiscreteStatsTable[[#This Row],[BatchMeansHalfWidth]])</f>
        <v>4.2315555817401149</v>
      </c>
      <c r="X385" cm="1">
        <f t="array" ref="X385">COUNT(IF((DiscreteStatsTable[GroupByKey]=DiscreteStatsTable[[#This Row],[GroupByKey]]),(DiscreteStatsTable[GroupByKey]=DiscreteStatsTable[[#This Row],[GroupByKey]])*DiscreteStatsTable[Replication]))</f>
        <v>10</v>
      </c>
      <c r="Y385">
        <f>IF(DiscreteStatsTable[[#This Row],[RepsRequested]]=DiscreteStatsTable[[#This Row],[RepsWithStatObserved]],1,0)</f>
        <v>1</v>
      </c>
    </row>
    <row r="386" spans="1:25" x14ac:dyDescent="0.25">
      <c r="A386" t="s">
        <v>67</v>
      </c>
      <c r="B386" t="s">
        <v>243</v>
      </c>
      <c r="C386">
        <v>5</v>
      </c>
      <c r="D386" t="s">
        <v>103</v>
      </c>
      <c r="E386" t="s">
        <v>72</v>
      </c>
      <c r="F386" t="s">
        <v>71</v>
      </c>
      <c r="G386">
        <v>6.7859085291373002</v>
      </c>
      <c r="H386">
        <v>8.0717013233394308</v>
      </c>
      <c r="I386">
        <v>0</v>
      </c>
      <c r="J386">
        <v>50400.544422027502</v>
      </c>
      <c r="K386">
        <v>13111</v>
      </c>
      <c r="L386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386" cm="1">
        <f t="array" ref="M386">MAX(IF((ProjectInfoTable[ProjectName]=DiscreteStatsTable[[#This Row],[ProjectName]]),(ProjectInfoTable[ProjectName]=DiscreteStatsTable[[#This Row],[ProjectName]])*ProjectInfoTable[NumberOfReplications]))</f>
        <v>10</v>
      </c>
      <c r="N386" cm="1">
        <f t="array" ref="N386">IFERROR(AVERAGE(IF((DiscreteStatsTable[GroupByKey]=DiscreteStatsTable[[#This Row],[GroupByKey]]),(DiscreteStatsTable[GroupByKey]=DiscreteStatsTable[[#This Row],[GroupByKey]])*DiscreteStatsTable[Average])),0)</f>
        <v>8.2359994067495084</v>
      </c>
      <c r="O386" cm="1">
        <f t="array" ref="O386">IFERROR(_xlfn.STDEV.S(IF((DiscreteStatsTable[GroupByKey]=DiscreteStatsTable[[#This Row],[GroupByKey]]),(DiscreteStatsTable[GroupByKey]=DiscreteStatsTable[[#This Row],[GroupByKey]])*DiscreteStatsTable[Average])),0)</f>
        <v>5.9153068159708839</v>
      </c>
      <c r="P386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4.2315555817401149</v>
      </c>
      <c r="R386" cm="1">
        <f t="array" ref="R386">MIN(IF((DiscreteStatsTable[GroupByKey]=DiscreteStatsTable[[#This Row],[GroupByKey]]),(DiscreteStatsTable[GroupByKey]=DiscreteStatsTable[[#This Row],[GroupByKey]])*DiscreteStatsTable[Average]))</f>
        <v>2.4091971467410902</v>
      </c>
      <c r="S386" cm="1">
        <f t="array" ref="S386">MAX(IF((DiscreteStatsTable[GroupByKey]=DiscreteStatsTable[[#This Row],[GroupByKey]]),(DiscreteStatsTable[GroupByKey]=DiscreteStatsTable[[#This Row],[GroupByKey]])*DiscreteStatsTable[Average]))</f>
        <v>20.464689844814199</v>
      </c>
      <c r="T386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cm="1">
        <f t="array" ref="U386">MAX(IF((DiscreteStatsTable[GroupByKey]=DiscreteStatsTable[[#This Row],[GroupByKey]]),(DiscreteStatsTable[GroupByKey]=DiscreteStatsTable[[#This Row],[GroupByKey]])*DiscreteStatsTable[Maximum]))</f>
        <v>50416.267475569599</v>
      </c>
      <c r="V386" cm="1">
        <f t="array" ref="V386">IFERROR(AVERAGE(IF((DiscreteStatsTable[GroupByKey]=DiscreteStatsTable[[#This Row],[GroupByKey]]),(DiscreteStatsTable[GroupByKey]=DiscreteStatsTable[[#This Row],[GroupByKey]])*DiscreteStatsTable[NumberObservations])),0)</f>
        <v>13099.9</v>
      </c>
      <c r="W386">
        <f>IF((DiscreteStatsTable[[#This Row],[RepsRequested]]&gt;1),DiscreteStatsTable[[#This Row],[HalfWidth]],DiscreteStatsTable[[#This Row],[BatchMeansHalfWidth]])</f>
        <v>4.2315555817401149</v>
      </c>
      <c r="X386" cm="1">
        <f t="array" ref="X386">COUNT(IF((DiscreteStatsTable[GroupByKey]=DiscreteStatsTable[[#This Row],[GroupByKey]]),(DiscreteStatsTable[GroupByKey]=DiscreteStatsTable[[#This Row],[GroupByKey]])*DiscreteStatsTable[Replication]))</f>
        <v>10</v>
      </c>
      <c r="Y386">
        <f>IF(DiscreteStatsTable[[#This Row],[RepsRequested]]=DiscreteStatsTable[[#This Row],[RepsWithStatObserved]],1,0)</f>
        <v>1</v>
      </c>
    </row>
    <row r="387" spans="1:25" x14ac:dyDescent="0.25">
      <c r="A387" t="s">
        <v>67</v>
      </c>
      <c r="B387" t="s">
        <v>243</v>
      </c>
      <c r="C387">
        <v>6</v>
      </c>
      <c r="D387" t="s">
        <v>103</v>
      </c>
      <c r="E387" t="s">
        <v>72</v>
      </c>
      <c r="F387" t="s">
        <v>71</v>
      </c>
      <c r="G387">
        <v>2.8876446936591602</v>
      </c>
      <c r="H387">
        <v>0.76152300516063098</v>
      </c>
      <c r="I387">
        <v>0</v>
      </c>
      <c r="J387">
        <v>3602.7430388105299</v>
      </c>
      <c r="K387">
        <v>13103</v>
      </c>
      <c r="L387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387" cm="1">
        <f t="array" ref="M387">MAX(IF((ProjectInfoTable[ProjectName]=DiscreteStatsTable[[#This Row],[ProjectName]]),(ProjectInfoTable[ProjectName]=DiscreteStatsTable[[#This Row],[ProjectName]])*ProjectInfoTable[NumberOfReplications]))</f>
        <v>10</v>
      </c>
      <c r="N387" cm="1">
        <f t="array" ref="N387">IFERROR(AVERAGE(IF((DiscreteStatsTable[GroupByKey]=DiscreteStatsTable[[#This Row],[GroupByKey]]),(DiscreteStatsTable[GroupByKey]=DiscreteStatsTable[[#This Row],[GroupByKey]])*DiscreteStatsTable[Average])),0)</f>
        <v>8.2359994067495084</v>
      </c>
      <c r="O387" cm="1">
        <f t="array" ref="O387">IFERROR(_xlfn.STDEV.S(IF((DiscreteStatsTable[GroupByKey]=DiscreteStatsTable[[#This Row],[GroupByKey]]),(DiscreteStatsTable[GroupByKey]=DiscreteStatsTable[[#This Row],[GroupByKey]])*DiscreteStatsTable[Average])),0)</f>
        <v>5.9153068159708839</v>
      </c>
      <c r="P387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4.2315555817401149</v>
      </c>
      <c r="R387" cm="1">
        <f t="array" ref="R387">MIN(IF((DiscreteStatsTable[GroupByKey]=DiscreteStatsTable[[#This Row],[GroupByKey]]),(DiscreteStatsTable[GroupByKey]=DiscreteStatsTable[[#This Row],[GroupByKey]])*DiscreteStatsTable[Average]))</f>
        <v>2.4091971467410902</v>
      </c>
      <c r="S387" cm="1">
        <f t="array" ref="S387">MAX(IF((DiscreteStatsTable[GroupByKey]=DiscreteStatsTable[[#This Row],[GroupByKey]]),(DiscreteStatsTable[GroupByKey]=DiscreteStatsTable[[#This Row],[GroupByKey]])*DiscreteStatsTable[Average]))</f>
        <v>20.464689844814199</v>
      </c>
      <c r="T387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cm="1">
        <f t="array" ref="U387">MAX(IF((DiscreteStatsTable[GroupByKey]=DiscreteStatsTable[[#This Row],[GroupByKey]]),(DiscreteStatsTable[GroupByKey]=DiscreteStatsTable[[#This Row],[GroupByKey]])*DiscreteStatsTable[Maximum]))</f>
        <v>50416.267475569599</v>
      </c>
      <c r="V387" cm="1">
        <f t="array" ref="V387">IFERROR(AVERAGE(IF((DiscreteStatsTable[GroupByKey]=DiscreteStatsTable[[#This Row],[GroupByKey]]),(DiscreteStatsTable[GroupByKey]=DiscreteStatsTable[[#This Row],[GroupByKey]])*DiscreteStatsTable[NumberObservations])),0)</f>
        <v>13099.9</v>
      </c>
      <c r="W387">
        <f>IF((DiscreteStatsTable[[#This Row],[RepsRequested]]&gt;1),DiscreteStatsTable[[#This Row],[HalfWidth]],DiscreteStatsTable[[#This Row],[BatchMeansHalfWidth]])</f>
        <v>4.2315555817401149</v>
      </c>
      <c r="X387" cm="1">
        <f t="array" ref="X387">COUNT(IF((DiscreteStatsTable[GroupByKey]=DiscreteStatsTable[[#This Row],[GroupByKey]]),(DiscreteStatsTable[GroupByKey]=DiscreteStatsTable[[#This Row],[GroupByKey]])*DiscreteStatsTable[Replication]))</f>
        <v>10</v>
      </c>
      <c r="Y387">
        <f>IF(DiscreteStatsTable[[#This Row],[RepsRequested]]=DiscreteStatsTable[[#This Row],[RepsWithStatObserved]],1,0)</f>
        <v>1</v>
      </c>
    </row>
    <row r="388" spans="1:25" x14ac:dyDescent="0.25">
      <c r="A388" t="s">
        <v>67</v>
      </c>
      <c r="B388" t="s">
        <v>243</v>
      </c>
      <c r="C388">
        <v>7</v>
      </c>
      <c r="D388" t="s">
        <v>103</v>
      </c>
      <c r="E388" t="s">
        <v>72</v>
      </c>
      <c r="F388" t="s">
        <v>71</v>
      </c>
      <c r="G388">
        <v>20.464689844814199</v>
      </c>
      <c r="H388">
        <v>18.924233947254699</v>
      </c>
      <c r="I388">
        <v>0</v>
      </c>
      <c r="J388">
        <v>50403.325104139498</v>
      </c>
      <c r="K388">
        <v>13111</v>
      </c>
      <c r="L388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388" cm="1">
        <f t="array" ref="M388">MAX(IF((ProjectInfoTable[ProjectName]=DiscreteStatsTable[[#This Row],[ProjectName]]),(ProjectInfoTable[ProjectName]=DiscreteStatsTable[[#This Row],[ProjectName]])*ProjectInfoTable[NumberOfReplications]))</f>
        <v>10</v>
      </c>
      <c r="N388" cm="1">
        <f t="array" ref="N388">IFERROR(AVERAGE(IF((DiscreteStatsTable[GroupByKey]=DiscreteStatsTable[[#This Row],[GroupByKey]]),(DiscreteStatsTable[GroupByKey]=DiscreteStatsTable[[#This Row],[GroupByKey]])*DiscreteStatsTable[Average])),0)</f>
        <v>8.2359994067495084</v>
      </c>
      <c r="O388" cm="1">
        <f t="array" ref="O388">IFERROR(_xlfn.STDEV.S(IF((DiscreteStatsTable[GroupByKey]=DiscreteStatsTable[[#This Row],[GroupByKey]]),(DiscreteStatsTable[GroupByKey]=DiscreteStatsTable[[#This Row],[GroupByKey]])*DiscreteStatsTable[Average])),0)</f>
        <v>5.9153068159708839</v>
      </c>
      <c r="P388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4.2315555817401149</v>
      </c>
      <c r="R388" cm="1">
        <f t="array" ref="R388">MIN(IF((DiscreteStatsTable[GroupByKey]=DiscreteStatsTable[[#This Row],[GroupByKey]]),(DiscreteStatsTable[GroupByKey]=DiscreteStatsTable[[#This Row],[GroupByKey]])*DiscreteStatsTable[Average]))</f>
        <v>2.4091971467410902</v>
      </c>
      <c r="S388" cm="1">
        <f t="array" ref="S388">MAX(IF((DiscreteStatsTable[GroupByKey]=DiscreteStatsTable[[#This Row],[GroupByKey]]),(DiscreteStatsTable[GroupByKey]=DiscreteStatsTable[[#This Row],[GroupByKey]])*DiscreteStatsTable[Average]))</f>
        <v>20.464689844814199</v>
      </c>
      <c r="T388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cm="1">
        <f t="array" ref="U388">MAX(IF((DiscreteStatsTable[GroupByKey]=DiscreteStatsTable[[#This Row],[GroupByKey]]),(DiscreteStatsTable[GroupByKey]=DiscreteStatsTable[[#This Row],[GroupByKey]])*DiscreteStatsTable[Maximum]))</f>
        <v>50416.267475569599</v>
      </c>
      <c r="V388" cm="1">
        <f t="array" ref="V388">IFERROR(AVERAGE(IF((DiscreteStatsTable[GroupByKey]=DiscreteStatsTable[[#This Row],[GroupByKey]]),(DiscreteStatsTable[GroupByKey]=DiscreteStatsTable[[#This Row],[GroupByKey]])*DiscreteStatsTable[NumberObservations])),0)</f>
        <v>13099.9</v>
      </c>
      <c r="W388">
        <f>IF((DiscreteStatsTable[[#This Row],[RepsRequested]]&gt;1),DiscreteStatsTable[[#This Row],[HalfWidth]],DiscreteStatsTable[[#This Row],[BatchMeansHalfWidth]])</f>
        <v>4.2315555817401149</v>
      </c>
      <c r="X388" cm="1">
        <f t="array" ref="X388">COUNT(IF((DiscreteStatsTable[GroupByKey]=DiscreteStatsTable[[#This Row],[GroupByKey]]),(DiscreteStatsTable[GroupByKey]=DiscreteStatsTable[[#This Row],[GroupByKey]])*DiscreteStatsTable[Replication]))</f>
        <v>10</v>
      </c>
      <c r="Y388">
        <f>IF(DiscreteStatsTable[[#This Row],[RepsRequested]]=DiscreteStatsTable[[#This Row],[RepsWithStatObserved]],1,0)</f>
        <v>1</v>
      </c>
    </row>
    <row r="389" spans="1:25" x14ac:dyDescent="0.25">
      <c r="A389" t="s">
        <v>67</v>
      </c>
      <c r="B389" t="s">
        <v>243</v>
      </c>
      <c r="C389">
        <v>8</v>
      </c>
      <c r="D389" t="s">
        <v>103</v>
      </c>
      <c r="E389" t="s">
        <v>72</v>
      </c>
      <c r="F389" t="s">
        <v>71</v>
      </c>
      <c r="G389">
        <v>2.8252947775502899</v>
      </c>
      <c r="H389">
        <v>0.81821051090728003</v>
      </c>
      <c r="I389">
        <v>0</v>
      </c>
      <c r="J389">
        <v>3603.4070354630098</v>
      </c>
      <c r="K389">
        <v>13096</v>
      </c>
      <c r="L389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389" cm="1">
        <f t="array" ref="M389">MAX(IF((ProjectInfoTable[ProjectName]=DiscreteStatsTable[[#This Row],[ProjectName]]),(ProjectInfoTable[ProjectName]=DiscreteStatsTable[[#This Row],[ProjectName]])*ProjectInfoTable[NumberOfReplications]))</f>
        <v>10</v>
      </c>
      <c r="N389" cm="1">
        <f t="array" ref="N389">IFERROR(AVERAGE(IF((DiscreteStatsTable[GroupByKey]=DiscreteStatsTable[[#This Row],[GroupByKey]]),(DiscreteStatsTable[GroupByKey]=DiscreteStatsTable[[#This Row],[GroupByKey]])*DiscreteStatsTable[Average])),0)</f>
        <v>8.2359994067495084</v>
      </c>
      <c r="O389" cm="1">
        <f t="array" ref="O389">IFERROR(_xlfn.STDEV.S(IF((DiscreteStatsTable[GroupByKey]=DiscreteStatsTable[[#This Row],[GroupByKey]]),(DiscreteStatsTable[GroupByKey]=DiscreteStatsTable[[#This Row],[GroupByKey]])*DiscreteStatsTable[Average])),0)</f>
        <v>5.9153068159708839</v>
      </c>
      <c r="P389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4.2315555817401149</v>
      </c>
      <c r="R389" cm="1">
        <f t="array" ref="R389">MIN(IF((DiscreteStatsTable[GroupByKey]=DiscreteStatsTable[[#This Row],[GroupByKey]]),(DiscreteStatsTable[GroupByKey]=DiscreteStatsTable[[#This Row],[GroupByKey]])*DiscreteStatsTable[Average]))</f>
        <v>2.4091971467410902</v>
      </c>
      <c r="S389" cm="1">
        <f t="array" ref="S389">MAX(IF((DiscreteStatsTable[GroupByKey]=DiscreteStatsTable[[#This Row],[GroupByKey]]),(DiscreteStatsTable[GroupByKey]=DiscreteStatsTable[[#This Row],[GroupByKey]])*DiscreteStatsTable[Average]))</f>
        <v>20.464689844814199</v>
      </c>
      <c r="T389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cm="1">
        <f t="array" ref="U389">MAX(IF((DiscreteStatsTable[GroupByKey]=DiscreteStatsTable[[#This Row],[GroupByKey]]),(DiscreteStatsTable[GroupByKey]=DiscreteStatsTable[[#This Row],[GroupByKey]])*DiscreteStatsTable[Maximum]))</f>
        <v>50416.267475569599</v>
      </c>
      <c r="V389" cm="1">
        <f t="array" ref="V389">IFERROR(AVERAGE(IF((DiscreteStatsTable[GroupByKey]=DiscreteStatsTable[[#This Row],[GroupByKey]]),(DiscreteStatsTable[GroupByKey]=DiscreteStatsTable[[#This Row],[GroupByKey]])*DiscreteStatsTable[NumberObservations])),0)</f>
        <v>13099.9</v>
      </c>
      <c r="W389">
        <f>IF((DiscreteStatsTable[[#This Row],[RepsRequested]]&gt;1),DiscreteStatsTable[[#This Row],[HalfWidth]],DiscreteStatsTable[[#This Row],[BatchMeansHalfWidth]])</f>
        <v>4.2315555817401149</v>
      </c>
      <c r="X389" cm="1">
        <f t="array" ref="X389">COUNT(IF((DiscreteStatsTable[GroupByKey]=DiscreteStatsTable[[#This Row],[GroupByKey]]),(DiscreteStatsTable[GroupByKey]=DiscreteStatsTable[[#This Row],[GroupByKey]])*DiscreteStatsTable[Replication]))</f>
        <v>10</v>
      </c>
      <c r="Y389">
        <f>IF(DiscreteStatsTable[[#This Row],[RepsRequested]]=DiscreteStatsTable[[#This Row],[RepsWithStatObserved]],1,0)</f>
        <v>1</v>
      </c>
    </row>
    <row r="390" spans="1:25" x14ac:dyDescent="0.25">
      <c r="A390" t="s">
        <v>67</v>
      </c>
      <c r="B390" t="s">
        <v>243</v>
      </c>
      <c r="C390">
        <v>9</v>
      </c>
      <c r="D390" t="s">
        <v>103</v>
      </c>
      <c r="E390" t="s">
        <v>72</v>
      </c>
      <c r="F390" t="s">
        <v>71</v>
      </c>
      <c r="G390">
        <v>2.4091971467410902</v>
      </c>
      <c r="H390">
        <v>0.175360302286729</v>
      </c>
      <c r="I390">
        <v>0</v>
      </c>
      <c r="J390">
        <v>24.010976320307201</v>
      </c>
      <c r="K390">
        <v>13105</v>
      </c>
      <c r="L390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390" cm="1">
        <f t="array" ref="M390">MAX(IF((ProjectInfoTable[ProjectName]=DiscreteStatsTable[[#This Row],[ProjectName]]),(ProjectInfoTable[ProjectName]=DiscreteStatsTable[[#This Row],[ProjectName]])*ProjectInfoTable[NumberOfReplications]))</f>
        <v>10</v>
      </c>
      <c r="N390" cm="1">
        <f t="array" ref="N390">IFERROR(AVERAGE(IF((DiscreteStatsTable[GroupByKey]=DiscreteStatsTable[[#This Row],[GroupByKey]]),(DiscreteStatsTable[GroupByKey]=DiscreteStatsTable[[#This Row],[GroupByKey]])*DiscreteStatsTable[Average])),0)</f>
        <v>8.2359994067495084</v>
      </c>
      <c r="O390" cm="1">
        <f t="array" ref="O390">IFERROR(_xlfn.STDEV.S(IF((DiscreteStatsTable[GroupByKey]=DiscreteStatsTable[[#This Row],[GroupByKey]]),(DiscreteStatsTable[GroupByKey]=DiscreteStatsTable[[#This Row],[GroupByKey]])*DiscreteStatsTable[Average])),0)</f>
        <v>5.9153068159708839</v>
      </c>
      <c r="P390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4.2315555817401149</v>
      </c>
      <c r="R390" cm="1">
        <f t="array" ref="R390">MIN(IF((DiscreteStatsTable[GroupByKey]=DiscreteStatsTable[[#This Row],[GroupByKey]]),(DiscreteStatsTable[GroupByKey]=DiscreteStatsTable[[#This Row],[GroupByKey]])*DiscreteStatsTable[Average]))</f>
        <v>2.4091971467410902</v>
      </c>
      <c r="S390" cm="1">
        <f t="array" ref="S390">MAX(IF((DiscreteStatsTable[GroupByKey]=DiscreteStatsTable[[#This Row],[GroupByKey]]),(DiscreteStatsTable[GroupByKey]=DiscreteStatsTable[[#This Row],[GroupByKey]])*DiscreteStatsTable[Average]))</f>
        <v>20.464689844814199</v>
      </c>
      <c r="T390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cm="1">
        <f t="array" ref="U390">MAX(IF((DiscreteStatsTable[GroupByKey]=DiscreteStatsTable[[#This Row],[GroupByKey]]),(DiscreteStatsTable[GroupByKey]=DiscreteStatsTable[[#This Row],[GroupByKey]])*DiscreteStatsTable[Maximum]))</f>
        <v>50416.267475569599</v>
      </c>
      <c r="V390" cm="1">
        <f t="array" ref="V390">IFERROR(AVERAGE(IF((DiscreteStatsTable[GroupByKey]=DiscreteStatsTable[[#This Row],[GroupByKey]]),(DiscreteStatsTable[GroupByKey]=DiscreteStatsTable[[#This Row],[GroupByKey]])*DiscreteStatsTable[NumberObservations])),0)</f>
        <v>13099.9</v>
      </c>
      <c r="W390">
        <f>IF((DiscreteStatsTable[[#This Row],[RepsRequested]]&gt;1),DiscreteStatsTable[[#This Row],[HalfWidth]],DiscreteStatsTable[[#This Row],[BatchMeansHalfWidth]])</f>
        <v>4.2315555817401149</v>
      </c>
      <c r="X390" cm="1">
        <f t="array" ref="X390">COUNT(IF((DiscreteStatsTable[GroupByKey]=DiscreteStatsTable[[#This Row],[GroupByKey]]),(DiscreteStatsTable[GroupByKey]=DiscreteStatsTable[[#This Row],[GroupByKey]])*DiscreteStatsTable[Replication]))</f>
        <v>10</v>
      </c>
      <c r="Y390">
        <f>IF(DiscreteStatsTable[[#This Row],[RepsRequested]]=DiscreteStatsTable[[#This Row],[RepsWithStatObserved]],1,0)</f>
        <v>1</v>
      </c>
    </row>
    <row r="391" spans="1:25" x14ac:dyDescent="0.25">
      <c r="A391" t="s">
        <v>67</v>
      </c>
      <c r="B391" t="s">
        <v>243</v>
      </c>
      <c r="C391">
        <v>10</v>
      </c>
      <c r="D391" t="s">
        <v>103</v>
      </c>
      <c r="E391" t="s">
        <v>72</v>
      </c>
      <c r="F391" t="s">
        <v>71</v>
      </c>
      <c r="G391">
        <v>11.299186145352101</v>
      </c>
      <c r="H391">
        <v>11.101933017707101</v>
      </c>
      <c r="I391">
        <v>0</v>
      </c>
      <c r="J391">
        <v>50403.0889461201</v>
      </c>
      <c r="K391">
        <v>13082</v>
      </c>
      <c r="L391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391" cm="1">
        <f t="array" ref="M391">MAX(IF((ProjectInfoTable[ProjectName]=DiscreteStatsTable[[#This Row],[ProjectName]]),(ProjectInfoTable[ProjectName]=DiscreteStatsTable[[#This Row],[ProjectName]])*ProjectInfoTable[NumberOfReplications]))</f>
        <v>10</v>
      </c>
      <c r="N391" cm="1">
        <f t="array" ref="N391">IFERROR(AVERAGE(IF((DiscreteStatsTable[GroupByKey]=DiscreteStatsTable[[#This Row],[GroupByKey]]),(DiscreteStatsTable[GroupByKey]=DiscreteStatsTable[[#This Row],[GroupByKey]])*DiscreteStatsTable[Average])),0)</f>
        <v>8.2359994067495084</v>
      </c>
      <c r="O391" cm="1">
        <f t="array" ref="O391">IFERROR(_xlfn.STDEV.S(IF((DiscreteStatsTable[GroupByKey]=DiscreteStatsTable[[#This Row],[GroupByKey]]),(DiscreteStatsTable[GroupByKey]=DiscreteStatsTable[[#This Row],[GroupByKey]])*DiscreteStatsTable[Average])),0)</f>
        <v>5.9153068159708839</v>
      </c>
      <c r="P391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4.2315555817401149</v>
      </c>
      <c r="R391" cm="1">
        <f t="array" ref="R391">MIN(IF((DiscreteStatsTable[GroupByKey]=DiscreteStatsTable[[#This Row],[GroupByKey]]),(DiscreteStatsTable[GroupByKey]=DiscreteStatsTable[[#This Row],[GroupByKey]])*DiscreteStatsTable[Average]))</f>
        <v>2.4091971467410902</v>
      </c>
      <c r="S391" cm="1">
        <f t="array" ref="S391">MAX(IF((DiscreteStatsTable[GroupByKey]=DiscreteStatsTable[[#This Row],[GroupByKey]]),(DiscreteStatsTable[GroupByKey]=DiscreteStatsTable[[#This Row],[GroupByKey]])*DiscreteStatsTable[Average]))</f>
        <v>20.464689844814199</v>
      </c>
      <c r="T391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cm="1">
        <f t="array" ref="U391">MAX(IF((DiscreteStatsTable[GroupByKey]=DiscreteStatsTable[[#This Row],[GroupByKey]]),(DiscreteStatsTable[GroupByKey]=DiscreteStatsTable[[#This Row],[GroupByKey]])*DiscreteStatsTable[Maximum]))</f>
        <v>50416.267475569599</v>
      </c>
      <c r="V391" cm="1">
        <f t="array" ref="V391">IFERROR(AVERAGE(IF((DiscreteStatsTable[GroupByKey]=DiscreteStatsTable[[#This Row],[GroupByKey]]),(DiscreteStatsTable[GroupByKey]=DiscreteStatsTable[[#This Row],[GroupByKey]])*DiscreteStatsTable[NumberObservations])),0)</f>
        <v>13099.9</v>
      </c>
      <c r="W391">
        <f>IF((DiscreteStatsTable[[#This Row],[RepsRequested]]&gt;1),DiscreteStatsTable[[#This Row],[HalfWidth]],DiscreteStatsTable[[#This Row],[BatchMeansHalfWidth]])</f>
        <v>4.2315555817401149</v>
      </c>
      <c r="X391" cm="1">
        <f t="array" ref="X391">COUNT(IF((DiscreteStatsTable[GroupByKey]=DiscreteStatsTable[[#This Row],[GroupByKey]]),(DiscreteStatsTable[GroupByKey]=DiscreteStatsTable[[#This Row],[GroupByKey]])*DiscreteStatsTable[Replication]))</f>
        <v>10</v>
      </c>
      <c r="Y391">
        <f>IF(DiscreteStatsTable[[#This Row],[RepsRequested]]=DiscreteStatsTable[[#This Row],[RepsWithStatObserved]],1,0)</f>
        <v>1</v>
      </c>
    </row>
    <row r="392" spans="1:25" x14ac:dyDescent="0.25">
      <c r="A392" t="s">
        <v>67</v>
      </c>
      <c r="B392" t="s">
        <v>243</v>
      </c>
      <c r="C392">
        <v>1</v>
      </c>
      <c r="D392" t="s">
        <v>104</v>
      </c>
      <c r="E392" t="s">
        <v>72</v>
      </c>
      <c r="F392" t="s">
        <v>71</v>
      </c>
      <c r="G392">
        <v>5467.0851638086097</v>
      </c>
      <c r="H392">
        <v>1985.85247992109</v>
      </c>
      <c r="I392">
        <v>91.615798104950997</v>
      </c>
      <c r="J392">
        <v>54991.409797099099</v>
      </c>
      <c r="K392">
        <v>8235</v>
      </c>
      <c r="L392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392" cm="1">
        <f t="array" ref="M392">MAX(IF((ProjectInfoTable[ProjectName]=DiscreteStatsTable[[#This Row],[ProjectName]]),(ProjectInfoTable[ProjectName]=DiscreteStatsTable[[#This Row],[ProjectName]])*ProjectInfoTable[NumberOfReplications]))</f>
        <v>10</v>
      </c>
      <c r="N392" cm="1">
        <f t="array" ref="N392">IFERROR(AVERAGE(IF((DiscreteStatsTable[GroupByKey]=DiscreteStatsTable[[#This Row],[GroupByKey]]),(DiscreteStatsTable[GroupByKey]=DiscreteStatsTable[[#This Row],[GroupByKey]])*DiscreteStatsTable[Average])),0)</f>
        <v>4963.4386674412362</v>
      </c>
      <c r="O392" cm="1">
        <f t="array" ref="O392">IFERROR(_xlfn.STDEV.S(IF((DiscreteStatsTable[GroupByKey]=DiscreteStatsTable[[#This Row],[GroupByKey]]),(DiscreteStatsTable[GroupByKey]=DiscreteStatsTable[[#This Row],[GroupByKey]])*DiscreteStatsTable[Average])),0)</f>
        <v>693.95545021448061</v>
      </c>
      <c r="P392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496.42582374691045</v>
      </c>
      <c r="R392" cm="1">
        <f t="array" ref="R392">MIN(IF((DiscreteStatsTable[GroupByKey]=DiscreteStatsTable[[#This Row],[GroupByKey]]),(DiscreteStatsTable[GroupByKey]=DiscreteStatsTable[[#This Row],[GroupByKey]])*DiscreteStatsTable[Average]))</f>
        <v>4084.20093509158</v>
      </c>
      <c r="S392" cm="1">
        <f t="array" ref="S392">MAX(IF((DiscreteStatsTable[GroupByKey]=DiscreteStatsTable[[#This Row],[GroupByKey]]),(DiscreteStatsTable[GroupByKey]=DiscreteStatsTable[[#This Row],[GroupByKey]])*DiscreteStatsTable[Average]))</f>
        <v>6194.5743580777498</v>
      </c>
      <c r="T392" cm="1">
        <f t="array" ref="T392">MIN(IF((DiscreteStatsTable[GroupByKey]=DiscreteStatsTable[[#This Row],[GroupByKey]]),(DiscreteStatsTable[GroupByKey]=DiscreteStatsTable[[#This Row],[GroupByKey]])*DiscreteStatsTable[Minimum]))</f>
        <v>31.828723795293602</v>
      </c>
      <c r="U392" cm="1">
        <f t="array" ref="U392">MAX(IF((DiscreteStatsTable[GroupByKey]=DiscreteStatsTable[[#This Row],[GroupByKey]]),(DiscreteStatsTable[GroupByKey]=DiscreteStatsTable[[#This Row],[GroupByKey]])*DiscreteStatsTable[Maximum]))</f>
        <v>55484.8116657914</v>
      </c>
      <c r="V392" cm="1">
        <f t="array" ref="V392">IFERROR(AVERAGE(IF((DiscreteStatsTable[GroupByKey]=DiscreteStatsTable[[#This Row],[GroupByKey]]),(DiscreteStatsTable[GroupByKey]=DiscreteStatsTable[[#This Row],[GroupByKey]])*DiscreteStatsTable[NumberObservations])),0)</f>
        <v>8235</v>
      </c>
      <c r="W392">
        <f>IF((DiscreteStatsTable[[#This Row],[RepsRequested]]&gt;1),DiscreteStatsTable[[#This Row],[HalfWidth]],DiscreteStatsTable[[#This Row],[BatchMeansHalfWidth]])</f>
        <v>496.42582374691045</v>
      </c>
      <c r="X392" cm="1">
        <f t="array" ref="X392">COUNT(IF((DiscreteStatsTable[GroupByKey]=DiscreteStatsTable[[#This Row],[GroupByKey]]),(DiscreteStatsTable[GroupByKey]=DiscreteStatsTable[[#This Row],[GroupByKey]])*DiscreteStatsTable[Replication]))</f>
        <v>10</v>
      </c>
      <c r="Y392">
        <f>IF(DiscreteStatsTable[[#This Row],[RepsRequested]]=DiscreteStatsTable[[#This Row],[RepsWithStatObserved]],1,0)</f>
        <v>1</v>
      </c>
    </row>
    <row r="393" spans="1:25" x14ac:dyDescent="0.25">
      <c r="A393" t="s">
        <v>67</v>
      </c>
      <c r="B393" t="s">
        <v>243</v>
      </c>
      <c r="C393">
        <v>2</v>
      </c>
      <c r="D393" t="s">
        <v>104</v>
      </c>
      <c r="E393" t="s">
        <v>72</v>
      </c>
      <c r="F393" t="s">
        <v>71</v>
      </c>
      <c r="G393">
        <v>4669.7547958905798</v>
      </c>
      <c r="H393">
        <v>1678.9119307904</v>
      </c>
      <c r="I393">
        <v>148.37804146581399</v>
      </c>
      <c r="J393">
        <v>54437.414937330803</v>
      </c>
      <c r="K393">
        <v>8231</v>
      </c>
      <c r="L393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393" cm="1">
        <f t="array" ref="M393">MAX(IF((ProjectInfoTable[ProjectName]=DiscreteStatsTable[[#This Row],[ProjectName]]),(ProjectInfoTable[ProjectName]=DiscreteStatsTable[[#This Row],[ProjectName]])*ProjectInfoTable[NumberOfReplications]))</f>
        <v>10</v>
      </c>
      <c r="N393" cm="1">
        <f t="array" ref="N393">IFERROR(AVERAGE(IF((DiscreteStatsTable[GroupByKey]=DiscreteStatsTable[[#This Row],[GroupByKey]]),(DiscreteStatsTable[GroupByKey]=DiscreteStatsTable[[#This Row],[GroupByKey]])*DiscreteStatsTable[Average])),0)</f>
        <v>4963.4386674412362</v>
      </c>
      <c r="O393" cm="1">
        <f t="array" ref="O393">IFERROR(_xlfn.STDEV.S(IF((DiscreteStatsTable[GroupByKey]=DiscreteStatsTable[[#This Row],[GroupByKey]]),(DiscreteStatsTable[GroupByKey]=DiscreteStatsTable[[#This Row],[GroupByKey]])*DiscreteStatsTable[Average])),0)</f>
        <v>693.95545021448061</v>
      </c>
      <c r="P393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496.42582374691045</v>
      </c>
      <c r="R393" cm="1">
        <f t="array" ref="R393">MIN(IF((DiscreteStatsTable[GroupByKey]=DiscreteStatsTable[[#This Row],[GroupByKey]]),(DiscreteStatsTable[GroupByKey]=DiscreteStatsTable[[#This Row],[GroupByKey]])*DiscreteStatsTable[Average]))</f>
        <v>4084.20093509158</v>
      </c>
      <c r="S393" cm="1">
        <f t="array" ref="S393">MAX(IF((DiscreteStatsTable[GroupByKey]=DiscreteStatsTable[[#This Row],[GroupByKey]]),(DiscreteStatsTable[GroupByKey]=DiscreteStatsTable[[#This Row],[GroupByKey]])*DiscreteStatsTable[Average]))</f>
        <v>6194.5743580777498</v>
      </c>
      <c r="T393" cm="1">
        <f t="array" ref="T393">MIN(IF((DiscreteStatsTable[GroupByKey]=DiscreteStatsTable[[#This Row],[GroupByKey]]),(DiscreteStatsTable[GroupByKey]=DiscreteStatsTable[[#This Row],[GroupByKey]])*DiscreteStatsTable[Minimum]))</f>
        <v>31.828723795293602</v>
      </c>
      <c r="U393" cm="1">
        <f t="array" ref="U393">MAX(IF((DiscreteStatsTable[GroupByKey]=DiscreteStatsTable[[#This Row],[GroupByKey]]),(DiscreteStatsTable[GroupByKey]=DiscreteStatsTable[[#This Row],[GroupByKey]])*DiscreteStatsTable[Maximum]))</f>
        <v>55484.8116657914</v>
      </c>
      <c r="V393" cm="1">
        <f t="array" ref="V393">IFERROR(AVERAGE(IF((DiscreteStatsTable[GroupByKey]=DiscreteStatsTable[[#This Row],[GroupByKey]]),(DiscreteStatsTable[GroupByKey]=DiscreteStatsTable[[#This Row],[GroupByKey]])*DiscreteStatsTable[NumberObservations])),0)</f>
        <v>8235</v>
      </c>
      <c r="W393">
        <f>IF((DiscreteStatsTable[[#This Row],[RepsRequested]]&gt;1),DiscreteStatsTable[[#This Row],[HalfWidth]],DiscreteStatsTable[[#This Row],[BatchMeansHalfWidth]])</f>
        <v>496.42582374691045</v>
      </c>
      <c r="X393" cm="1">
        <f t="array" ref="X393">COUNT(IF((DiscreteStatsTable[GroupByKey]=DiscreteStatsTable[[#This Row],[GroupByKey]]),(DiscreteStatsTable[GroupByKey]=DiscreteStatsTable[[#This Row],[GroupByKey]])*DiscreteStatsTable[Replication]))</f>
        <v>10</v>
      </c>
      <c r="Y393">
        <f>IF(DiscreteStatsTable[[#This Row],[RepsRequested]]=DiscreteStatsTable[[#This Row],[RepsWithStatObserved]],1,0)</f>
        <v>1</v>
      </c>
    </row>
    <row r="394" spans="1:25" x14ac:dyDescent="0.25">
      <c r="A394" t="s">
        <v>67</v>
      </c>
      <c r="B394" t="s">
        <v>243</v>
      </c>
      <c r="C394">
        <v>3</v>
      </c>
      <c r="D394" t="s">
        <v>104</v>
      </c>
      <c r="E394" t="s">
        <v>72</v>
      </c>
      <c r="F394" t="s">
        <v>71</v>
      </c>
      <c r="G394">
        <v>6194.5743580777498</v>
      </c>
      <c r="H394">
        <v>2245.2172860138699</v>
      </c>
      <c r="I394">
        <v>166.91313629758599</v>
      </c>
      <c r="J394">
        <v>55484.8116657914</v>
      </c>
      <c r="K394">
        <v>8245</v>
      </c>
      <c r="L394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394" cm="1">
        <f t="array" ref="M394">MAX(IF((ProjectInfoTable[ProjectName]=DiscreteStatsTable[[#This Row],[ProjectName]]),(ProjectInfoTable[ProjectName]=DiscreteStatsTable[[#This Row],[ProjectName]])*ProjectInfoTable[NumberOfReplications]))</f>
        <v>10</v>
      </c>
      <c r="N394" cm="1">
        <f t="array" ref="N394">IFERROR(AVERAGE(IF((DiscreteStatsTable[GroupByKey]=DiscreteStatsTable[[#This Row],[GroupByKey]]),(DiscreteStatsTable[GroupByKey]=DiscreteStatsTable[[#This Row],[GroupByKey]])*DiscreteStatsTable[Average])),0)</f>
        <v>4963.4386674412362</v>
      </c>
      <c r="O394" cm="1">
        <f t="array" ref="O394">IFERROR(_xlfn.STDEV.S(IF((DiscreteStatsTable[GroupByKey]=DiscreteStatsTable[[#This Row],[GroupByKey]]),(DiscreteStatsTable[GroupByKey]=DiscreteStatsTable[[#This Row],[GroupByKey]])*DiscreteStatsTable[Average])),0)</f>
        <v>693.95545021448061</v>
      </c>
      <c r="P394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496.42582374691045</v>
      </c>
      <c r="R394" cm="1">
        <f t="array" ref="R394">MIN(IF((DiscreteStatsTable[GroupByKey]=DiscreteStatsTable[[#This Row],[GroupByKey]]),(DiscreteStatsTable[GroupByKey]=DiscreteStatsTable[[#This Row],[GroupByKey]])*DiscreteStatsTable[Average]))</f>
        <v>4084.20093509158</v>
      </c>
      <c r="S394" cm="1">
        <f t="array" ref="S394">MAX(IF((DiscreteStatsTable[GroupByKey]=DiscreteStatsTable[[#This Row],[GroupByKey]]),(DiscreteStatsTable[GroupByKey]=DiscreteStatsTable[[#This Row],[GroupByKey]])*DiscreteStatsTable[Average]))</f>
        <v>6194.5743580777498</v>
      </c>
      <c r="T394" cm="1">
        <f t="array" ref="T394">MIN(IF((DiscreteStatsTable[GroupByKey]=DiscreteStatsTable[[#This Row],[GroupByKey]]),(DiscreteStatsTable[GroupByKey]=DiscreteStatsTable[[#This Row],[GroupByKey]])*DiscreteStatsTable[Minimum]))</f>
        <v>31.828723795293602</v>
      </c>
      <c r="U394" cm="1">
        <f t="array" ref="U394">MAX(IF((DiscreteStatsTable[GroupByKey]=DiscreteStatsTable[[#This Row],[GroupByKey]]),(DiscreteStatsTable[GroupByKey]=DiscreteStatsTable[[#This Row],[GroupByKey]])*DiscreteStatsTable[Maximum]))</f>
        <v>55484.8116657914</v>
      </c>
      <c r="V394" cm="1">
        <f t="array" ref="V394">IFERROR(AVERAGE(IF((DiscreteStatsTable[GroupByKey]=DiscreteStatsTable[[#This Row],[GroupByKey]]),(DiscreteStatsTable[GroupByKey]=DiscreteStatsTable[[#This Row],[GroupByKey]])*DiscreteStatsTable[NumberObservations])),0)</f>
        <v>8235</v>
      </c>
      <c r="W394">
        <f>IF((DiscreteStatsTable[[#This Row],[RepsRequested]]&gt;1),DiscreteStatsTable[[#This Row],[HalfWidth]],DiscreteStatsTable[[#This Row],[BatchMeansHalfWidth]])</f>
        <v>496.42582374691045</v>
      </c>
      <c r="X394" cm="1">
        <f t="array" ref="X394">COUNT(IF((DiscreteStatsTable[GroupByKey]=DiscreteStatsTable[[#This Row],[GroupByKey]]),(DiscreteStatsTable[GroupByKey]=DiscreteStatsTable[[#This Row],[GroupByKey]])*DiscreteStatsTable[Replication]))</f>
        <v>10</v>
      </c>
      <c r="Y394">
        <f>IF(DiscreteStatsTable[[#This Row],[RepsRequested]]=DiscreteStatsTable[[#This Row],[RepsWithStatObserved]],1,0)</f>
        <v>1</v>
      </c>
    </row>
    <row r="395" spans="1:25" x14ac:dyDescent="0.25">
      <c r="A395" t="s">
        <v>67</v>
      </c>
      <c r="B395" t="s">
        <v>243</v>
      </c>
      <c r="C395">
        <v>4</v>
      </c>
      <c r="D395" t="s">
        <v>104</v>
      </c>
      <c r="E395" t="s">
        <v>72</v>
      </c>
      <c r="F395" t="s">
        <v>71</v>
      </c>
      <c r="G395">
        <v>4349.3274378267797</v>
      </c>
      <c r="H395">
        <v>1619.2453938618701</v>
      </c>
      <c r="I395">
        <v>31.828723795293602</v>
      </c>
      <c r="J395">
        <v>54067.232693341997</v>
      </c>
      <c r="K395">
        <v>8234</v>
      </c>
      <c r="L395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395" cm="1">
        <f t="array" ref="M395">MAX(IF((ProjectInfoTable[ProjectName]=DiscreteStatsTable[[#This Row],[ProjectName]]),(ProjectInfoTable[ProjectName]=DiscreteStatsTable[[#This Row],[ProjectName]])*ProjectInfoTable[NumberOfReplications]))</f>
        <v>10</v>
      </c>
      <c r="N395" cm="1">
        <f t="array" ref="N395">IFERROR(AVERAGE(IF((DiscreteStatsTable[GroupByKey]=DiscreteStatsTable[[#This Row],[GroupByKey]]),(DiscreteStatsTable[GroupByKey]=DiscreteStatsTable[[#This Row],[GroupByKey]])*DiscreteStatsTable[Average])),0)</f>
        <v>4963.4386674412362</v>
      </c>
      <c r="O395" cm="1">
        <f t="array" ref="O395">IFERROR(_xlfn.STDEV.S(IF((DiscreteStatsTable[GroupByKey]=DiscreteStatsTable[[#This Row],[GroupByKey]]),(DiscreteStatsTable[GroupByKey]=DiscreteStatsTable[[#This Row],[GroupByKey]])*DiscreteStatsTable[Average])),0)</f>
        <v>693.95545021448061</v>
      </c>
      <c r="P39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496.42582374691045</v>
      </c>
      <c r="R395" cm="1">
        <f t="array" ref="R395">MIN(IF((DiscreteStatsTable[GroupByKey]=DiscreteStatsTable[[#This Row],[GroupByKey]]),(DiscreteStatsTable[GroupByKey]=DiscreteStatsTable[[#This Row],[GroupByKey]])*DiscreteStatsTable[Average]))</f>
        <v>4084.20093509158</v>
      </c>
      <c r="S395" cm="1">
        <f t="array" ref="S395">MAX(IF((DiscreteStatsTable[GroupByKey]=DiscreteStatsTable[[#This Row],[GroupByKey]]),(DiscreteStatsTable[GroupByKey]=DiscreteStatsTable[[#This Row],[GroupByKey]])*DiscreteStatsTable[Average]))</f>
        <v>6194.5743580777498</v>
      </c>
      <c r="T395" cm="1">
        <f t="array" ref="T395">MIN(IF((DiscreteStatsTable[GroupByKey]=DiscreteStatsTable[[#This Row],[GroupByKey]]),(DiscreteStatsTable[GroupByKey]=DiscreteStatsTable[[#This Row],[GroupByKey]])*DiscreteStatsTable[Minimum]))</f>
        <v>31.828723795293602</v>
      </c>
      <c r="U395" cm="1">
        <f t="array" ref="U395">MAX(IF((DiscreteStatsTable[GroupByKey]=DiscreteStatsTable[[#This Row],[GroupByKey]]),(DiscreteStatsTable[GroupByKey]=DiscreteStatsTable[[#This Row],[GroupByKey]])*DiscreteStatsTable[Maximum]))</f>
        <v>55484.8116657914</v>
      </c>
      <c r="V395" cm="1">
        <f t="array" ref="V395">IFERROR(AVERAGE(IF((DiscreteStatsTable[GroupByKey]=DiscreteStatsTable[[#This Row],[GroupByKey]]),(DiscreteStatsTable[GroupByKey]=DiscreteStatsTable[[#This Row],[GroupByKey]])*DiscreteStatsTable[NumberObservations])),0)</f>
        <v>8235</v>
      </c>
      <c r="W395">
        <f>IF((DiscreteStatsTable[[#This Row],[RepsRequested]]&gt;1),DiscreteStatsTable[[#This Row],[HalfWidth]],DiscreteStatsTable[[#This Row],[BatchMeansHalfWidth]])</f>
        <v>496.42582374691045</v>
      </c>
      <c r="X395" cm="1">
        <f t="array" ref="X395">COUNT(IF((DiscreteStatsTable[GroupByKey]=DiscreteStatsTable[[#This Row],[GroupByKey]]),(DiscreteStatsTable[GroupByKey]=DiscreteStatsTable[[#This Row],[GroupByKey]])*DiscreteStatsTable[Replication]))</f>
        <v>10</v>
      </c>
      <c r="Y395">
        <f>IF(DiscreteStatsTable[[#This Row],[RepsRequested]]=DiscreteStatsTable[[#This Row],[RepsWithStatObserved]],1,0)</f>
        <v>1</v>
      </c>
    </row>
    <row r="396" spans="1:25" x14ac:dyDescent="0.25">
      <c r="A396" t="s">
        <v>67</v>
      </c>
      <c r="B396" t="s">
        <v>243</v>
      </c>
      <c r="C396">
        <v>5</v>
      </c>
      <c r="D396" t="s">
        <v>104</v>
      </c>
      <c r="E396" t="s">
        <v>72</v>
      </c>
      <c r="F396" t="s">
        <v>71</v>
      </c>
      <c r="G396">
        <v>5814.7083600465603</v>
      </c>
      <c r="H396">
        <v>2060.1231745810301</v>
      </c>
      <c r="I396">
        <v>282.02949867047602</v>
      </c>
      <c r="J396">
        <v>54906.607346956203</v>
      </c>
      <c r="K396">
        <v>8245</v>
      </c>
      <c r="L396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396" cm="1">
        <f t="array" ref="M396">MAX(IF((ProjectInfoTable[ProjectName]=DiscreteStatsTable[[#This Row],[ProjectName]]),(ProjectInfoTable[ProjectName]=DiscreteStatsTable[[#This Row],[ProjectName]])*ProjectInfoTable[NumberOfReplications]))</f>
        <v>10</v>
      </c>
      <c r="N396" cm="1">
        <f t="array" ref="N396">IFERROR(AVERAGE(IF((DiscreteStatsTable[GroupByKey]=DiscreteStatsTable[[#This Row],[GroupByKey]]),(DiscreteStatsTable[GroupByKey]=DiscreteStatsTable[[#This Row],[GroupByKey]])*DiscreteStatsTable[Average])),0)</f>
        <v>4963.4386674412362</v>
      </c>
      <c r="O396" cm="1">
        <f t="array" ref="O396">IFERROR(_xlfn.STDEV.S(IF((DiscreteStatsTable[GroupByKey]=DiscreteStatsTable[[#This Row],[GroupByKey]]),(DiscreteStatsTable[GroupByKey]=DiscreteStatsTable[[#This Row],[GroupByKey]])*DiscreteStatsTable[Average])),0)</f>
        <v>693.95545021448061</v>
      </c>
      <c r="P396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496.42582374691045</v>
      </c>
      <c r="R396" cm="1">
        <f t="array" ref="R396">MIN(IF((DiscreteStatsTable[GroupByKey]=DiscreteStatsTable[[#This Row],[GroupByKey]]),(DiscreteStatsTable[GroupByKey]=DiscreteStatsTable[[#This Row],[GroupByKey]])*DiscreteStatsTable[Average]))</f>
        <v>4084.20093509158</v>
      </c>
      <c r="S396" cm="1">
        <f t="array" ref="S396">MAX(IF((DiscreteStatsTable[GroupByKey]=DiscreteStatsTable[[#This Row],[GroupByKey]]),(DiscreteStatsTable[GroupByKey]=DiscreteStatsTable[[#This Row],[GroupByKey]])*DiscreteStatsTable[Average]))</f>
        <v>6194.5743580777498</v>
      </c>
      <c r="T396" cm="1">
        <f t="array" ref="T396">MIN(IF((DiscreteStatsTable[GroupByKey]=DiscreteStatsTable[[#This Row],[GroupByKey]]),(DiscreteStatsTable[GroupByKey]=DiscreteStatsTable[[#This Row],[GroupByKey]])*DiscreteStatsTable[Minimum]))</f>
        <v>31.828723795293602</v>
      </c>
      <c r="U396" cm="1">
        <f t="array" ref="U396">MAX(IF((DiscreteStatsTable[GroupByKey]=DiscreteStatsTable[[#This Row],[GroupByKey]]),(DiscreteStatsTable[GroupByKey]=DiscreteStatsTable[[#This Row],[GroupByKey]])*DiscreteStatsTable[Maximum]))</f>
        <v>55484.8116657914</v>
      </c>
      <c r="V396" cm="1">
        <f t="array" ref="V396">IFERROR(AVERAGE(IF((DiscreteStatsTable[GroupByKey]=DiscreteStatsTable[[#This Row],[GroupByKey]]),(DiscreteStatsTable[GroupByKey]=DiscreteStatsTable[[#This Row],[GroupByKey]])*DiscreteStatsTable[NumberObservations])),0)</f>
        <v>8235</v>
      </c>
      <c r="W396">
        <f>IF((DiscreteStatsTable[[#This Row],[RepsRequested]]&gt;1),DiscreteStatsTable[[#This Row],[HalfWidth]],DiscreteStatsTable[[#This Row],[BatchMeansHalfWidth]])</f>
        <v>496.42582374691045</v>
      </c>
      <c r="X396" cm="1">
        <f t="array" ref="X396">COUNT(IF((DiscreteStatsTable[GroupByKey]=DiscreteStatsTable[[#This Row],[GroupByKey]]),(DiscreteStatsTable[GroupByKey]=DiscreteStatsTable[[#This Row],[GroupByKey]])*DiscreteStatsTable[Replication]))</f>
        <v>10</v>
      </c>
      <c r="Y396">
        <f>IF(DiscreteStatsTable[[#This Row],[RepsRequested]]=DiscreteStatsTable[[#This Row],[RepsWithStatObserved]],1,0)</f>
        <v>1</v>
      </c>
    </row>
    <row r="397" spans="1:25" x14ac:dyDescent="0.25">
      <c r="A397" t="s">
        <v>67</v>
      </c>
      <c r="B397" t="s">
        <v>243</v>
      </c>
      <c r="C397">
        <v>6</v>
      </c>
      <c r="D397" t="s">
        <v>104</v>
      </c>
      <c r="E397" t="s">
        <v>72</v>
      </c>
      <c r="F397" t="s">
        <v>71</v>
      </c>
      <c r="G397">
        <v>4084.20093509158</v>
      </c>
      <c r="H397">
        <v>1595.64285813321</v>
      </c>
      <c r="I397">
        <v>153.13541790248601</v>
      </c>
      <c r="J397">
        <v>53709.0410317102</v>
      </c>
      <c r="K397">
        <v>8223</v>
      </c>
      <c r="L397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397" cm="1">
        <f t="array" ref="M397">MAX(IF((ProjectInfoTable[ProjectName]=DiscreteStatsTable[[#This Row],[ProjectName]]),(ProjectInfoTable[ProjectName]=DiscreteStatsTable[[#This Row],[ProjectName]])*ProjectInfoTable[NumberOfReplications]))</f>
        <v>10</v>
      </c>
      <c r="N397" cm="1">
        <f t="array" ref="N397">IFERROR(AVERAGE(IF((DiscreteStatsTable[GroupByKey]=DiscreteStatsTable[[#This Row],[GroupByKey]]),(DiscreteStatsTable[GroupByKey]=DiscreteStatsTable[[#This Row],[GroupByKey]])*DiscreteStatsTable[Average])),0)</f>
        <v>4963.4386674412362</v>
      </c>
      <c r="O397" cm="1">
        <f t="array" ref="O397">IFERROR(_xlfn.STDEV.S(IF((DiscreteStatsTable[GroupByKey]=DiscreteStatsTable[[#This Row],[GroupByKey]]),(DiscreteStatsTable[GroupByKey]=DiscreteStatsTable[[#This Row],[GroupByKey]])*DiscreteStatsTable[Average])),0)</f>
        <v>693.95545021448061</v>
      </c>
      <c r="P397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496.42582374691045</v>
      </c>
      <c r="R397" cm="1">
        <f t="array" ref="R397">MIN(IF((DiscreteStatsTable[GroupByKey]=DiscreteStatsTable[[#This Row],[GroupByKey]]),(DiscreteStatsTable[GroupByKey]=DiscreteStatsTable[[#This Row],[GroupByKey]])*DiscreteStatsTable[Average]))</f>
        <v>4084.20093509158</v>
      </c>
      <c r="S397" cm="1">
        <f t="array" ref="S397">MAX(IF((DiscreteStatsTable[GroupByKey]=DiscreteStatsTable[[#This Row],[GroupByKey]]),(DiscreteStatsTable[GroupByKey]=DiscreteStatsTable[[#This Row],[GroupByKey]])*DiscreteStatsTable[Average]))</f>
        <v>6194.5743580777498</v>
      </c>
      <c r="T397" cm="1">
        <f t="array" ref="T397">MIN(IF((DiscreteStatsTable[GroupByKey]=DiscreteStatsTable[[#This Row],[GroupByKey]]),(DiscreteStatsTable[GroupByKey]=DiscreteStatsTable[[#This Row],[GroupByKey]])*DiscreteStatsTable[Minimum]))</f>
        <v>31.828723795293602</v>
      </c>
      <c r="U397" cm="1">
        <f t="array" ref="U397">MAX(IF((DiscreteStatsTable[GroupByKey]=DiscreteStatsTable[[#This Row],[GroupByKey]]),(DiscreteStatsTable[GroupByKey]=DiscreteStatsTable[[#This Row],[GroupByKey]])*DiscreteStatsTable[Maximum]))</f>
        <v>55484.8116657914</v>
      </c>
      <c r="V397" cm="1">
        <f t="array" ref="V397">IFERROR(AVERAGE(IF((DiscreteStatsTable[GroupByKey]=DiscreteStatsTable[[#This Row],[GroupByKey]]),(DiscreteStatsTable[GroupByKey]=DiscreteStatsTable[[#This Row],[GroupByKey]])*DiscreteStatsTable[NumberObservations])),0)</f>
        <v>8235</v>
      </c>
      <c r="W397">
        <f>IF((DiscreteStatsTable[[#This Row],[RepsRequested]]&gt;1),DiscreteStatsTable[[#This Row],[HalfWidth]],DiscreteStatsTable[[#This Row],[BatchMeansHalfWidth]])</f>
        <v>496.42582374691045</v>
      </c>
      <c r="X397" cm="1">
        <f t="array" ref="X397">COUNT(IF((DiscreteStatsTable[GroupByKey]=DiscreteStatsTable[[#This Row],[GroupByKey]]),(DiscreteStatsTable[GroupByKey]=DiscreteStatsTable[[#This Row],[GroupByKey]])*DiscreteStatsTable[Replication]))</f>
        <v>10</v>
      </c>
      <c r="Y397">
        <f>IF(DiscreteStatsTable[[#This Row],[RepsRequested]]=DiscreteStatsTable[[#This Row],[RepsWithStatObserved]],1,0)</f>
        <v>1</v>
      </c>
    </row>
    <row r="398" spans="1:25" x14ac:dyDescent="0.25">
      <c r="A398" t="s">
        <v>67</v>
      </c>
      <c r="B398" t="s">
        <v>243</v>
      </c>
      <c r="C398">
        <v>7</v>
      </c>
      <c r="D398" t="s">
        <v>104</v>
      </c>
      <c r="E398" t="s">
        <v>72</v>
      </c>
      <c r="F398" t="s">
        <v>71</v>
      </c>
      <c r="G398">
        <v>4805.2825188759798</v>
      </c>
      <c r="H398">
        <v>3E+20</v>
      </c>
      <c r="I398">
        <v>114.948017806466</v>
      </c>
      <c r="J398">
        <v>54518.6315894449</v>
      </c>
      <c r="K398">
        <v>8238</v>
      </c>
      <c r="L398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398" cm="1">
        <f t="array" ref="M398">MAX(IF((ProjectInfoTable[ProjectName]=DiscreteStatsTable[[#This Row],[ProjectName]]),(ProjectInfoTable[ProjectName]=DiscreteStatsTable[[#This Row],[ProjectName]])*ProjectInfoTable[NumberOfReplications]))</f>
        <v>10</v>
      </c>
      <c r="N398" cm="1">
        <f t="array" ref="N398">IFERROR(AVERAGE(IF((DiscreteStatsTable[GroupByKey]=DiscreteStatsTable[[#This Row],[GroupByKey]]),(DiscreteStatsTable[GroupByKey]=DiscreteStatsTable[[#This Row],[GroupByKey]])*DiscreteStatsTable[Average])),0)</f>
        <v>4963.4386674412362</v>
      </c>
      <c r="O398" cm="1">
        <f t="array" ref="O398">IFERROR(_xlfn.STDEV.S(IF((DiscreteStatsTable[GroupByKey]=DiscreteStatsTable[[#This Row],[GroupByKey]]),(DiscreteStatsTable[GroupByKey]=DiscreteStatsTable[[#This Row],[GroupByKey]])*DiscreteStatsTable[Average])),0)</f>
        <v>693.95545021448061</v>
      </c>
      <c r="P398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496.42582374691045</v>
      </c>
      <c r="R398" cm="1">
        <f t="array" ref="R398">MIN(IF((DiscreteStatsTable[GroupByKey]=DiscreteStatsTable[[#This Row],[GroupByKey]]),(DiscreteStatsTable[GroupByKey]=DiscreteStatsTable[[#This Row],[GroupByKey]])*DiscreteStatsTable[Average]))</f>
        <v>4084.20093509158</v>
      </c>
      <c r="S398" cm="1">
        <f t="array" ref="S398">MAX(IF((DiscreteStatsTable[GroupByKey]=DiscreteStatsTable[[#This Row],[GroupByKey]]),(DiscreteStatsTable[GroupByKey]=DiscreteStatsTable[[#This Row],[GroupByKey]])*DiscreteStatsTable[Average]))</f>
        <v>6194.5743580777498</v>
      </c>
      <c r="T398" cm="1">
        <f t="array" ref="T398">MIN(IF((DiscreteStatsTable[GroupByKey]=DiscreteStatsTable[[#This Row],[GroupByKey]]),(DiscreteStatsTable[GroupByKey]=DiscreteStatsTable[[#This Row],[GroupByKey]])*DiscreteStatsTable[Minimum]))</f>
        <v>31.828723795293602</v>
      </c>
      <c r="U398" cm="1">
        <f t="array" ref="U398">MAX(IF((DiscreteStatsTable[GroupByKey]=DiscreteStatsTable[[#This Row],[GroupByKey]]),(DiscreteStatsTable[GroupByKey]=DiscreteStatsTable[[#This Row],[GroupByKey]])*DiscreteStatsTable[Maximum]))</f>
        <v>55484.8116657914</v>
      </c>
      <c r="V398" cm="1">
        <f t="array" ref="V398">IFERROR(AVERAGE(IF((DiscreteStatsTable[GroupByKey]=DiscreteStatsTable[[#This Row],[GroupByKey]]),(DiscreteStatsTable[GroupByKey]=DiscreteStatsTable[[#This Row],[GroupByKey]])*DiscreteStatsTable[NumberObservations])),0)</f>
        <v>8235</v>
      </c>
      <c r="W398">
        <f>IF((DiscreteStatsTable[[#This Row],[RepsRequested]]&gt;1),DiscreteStatsTable[[#This Row],[HalfWidth]],DiscreteStatsTable[[#This Row],[BatchMeansHalfWidth]])</f>
        <v>496.42582374691045</v>
      </c>
      <c r="X398" cm="1">
        <f t="array" ref="X398">COUNT(IF((DiscreteStatsTable[GroupByKey]=DiscreteStatsTable[[#This Row],[GroupByKey]]),(DiscreteStatsTable[GroupByKey]=DiscreteStatsTable[[#This Row],[GroupByKey]])*DiscreteStatsTable[Replication]))</f>
        <v>10</v>
      </c>
      <c r="Y398">
        <f>IF(DiscreteStatsTable[[#This Row],[RepsRequested]]=DiscreteStatsTable[[#This Row],[RepsWithStatObserved]],1,0)</f>
        <v>1</v>
      </c>
    </row>
    <row r="399" spans="1:25" x14ac:dyDescent="0.25">
      <c r="A399" t="s">
        <v>67</v>
      </c>
      <c r="B399" t="s">
        <v>243</v>
      </c>
      <c r="C399">
        <v>8</v>
      </c>
      <c r="D399" t="s">
        <v>104</v>
      </c>
      <c r="E399" t="s">
        <v>72</v>
      </c>
      <c r="F399" t="s">
        <v>71</v>
      </c>
      <c r="G399">
        <v>5207.4847803297498</v>
      </c>
      <c r="H399">
        <v>3E+20</v>
      </c>
      <c r="I399">
        <v>52.949976604399097</v>
      </c>
      <c r="J399">
        <v>54880.469459259402</v>
      </c>
      <c r="K399">
        <v>8231</v>
      </c>
      <c r="L399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399" cm="1">
        <f t="array" ref="M399">MAX(IF((ProjectInfoTable[ProjectName]=DiscreteStatsTable[[#This Row],[ProjectName]]),(ProjectInfoTable[ProjectName]=DiscreteStatsTable[[#This Row],[ProjectName]])*ProjectInfoTable[NumberOfReplications]))</f>
        <v>10</v>
      </c>
      <c r="N399" cm="1">
        <f t="array" ref="N399">IFERROR(AVERAGE(IF((DiscreteStatsTable[GroupByKey]=DiscreteStatsTable[[#This Row],[GroupByKey]]),(DiscreteStatsTable[GroupByKey]=DiscreteStatsTable[[#This Row],[GroupByKey]])*DiscreteStatsTable[Average])),0)</f>
        <v>4963.4386674412362</v>
      </c>
      <c r="O399" cm="1">
        <f t="array" ref="O399">IFERROR(_xlfn.STDEV.S(IF((DiscreteStatsTable[GroupByKey]=DiscreteStatsTable[[#This Row],[GroupByKey]]),(DiscreteStatsTable[GroupByKey]=DiscreteStatsTable[[#This Row],[GroupByKey]])*DiscreteStatsTable[Average])),0)</f>
        <v>693.95545021448061</v>
      </c>
      <c r="P399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496.42582374691045</v>
      </c>
      <c r="R399" cm="1">
        <f t="array" ref="R399">MIN(IF((DiscreteStatsTable[GroupByKey]=DiscreteStatsTable[[#This Row],[GroupByKey]]),(DiscreteStatsTable[GroupByKey]=DiscreteStatsTable[[#This Row],[GroupByKey]])*DiscreteStatsTable[Average]))</f>
        <v>4084.20093509158</v>
      </c>
      <c r="S399" cm="1">
        <f t="array" ref="S399">MAX(IF((DiscreteStatsTable[GroupByKey]=DiscreteStatsTable[[#This Row],[GroupByKey]]),(DiscreteStatsTable[GroupByKey]=DiscreteStatsTable[[#This Row],[GroupByKey]])*DiscreteStatsTable[Average]))</f>
        <v>6194.5743580777498</v>
      </c>
      <c r="T399" cm="1">
        <f t="array" ref="T399">MIN(IF((DiscreteStatsTable[GroupByKey]=DiscreteStatsTable[[#This Row],[GroupByKey]]),(DiscreteStatsTable[GroupByKey]=DiscreteStatsTable[[#This Row],[GroupByKey]])*DiscreteStatsTable[Minimum]))</f>
        <v>31.828723795293602</v>
      </c>
      <c r="U399" cm="1">
        <f t="array" ref="U399">MAX(IF((DiscreteStatsTable[GroupByKey]=DiscreteStatsTable[[#This Row],[GroupByKey]]),(DiscreteStatsTable[GroupByKey]=DiscreteStatsTable[[#This Row],[GroupByKey]])*DiscreteStatsTable[Maximum]))</f>
        <v>55484.8116657914</v>
      </c>
      <c r="V399" cm="1">
        <f t="array" ref="V399">IFERROR(AVERAGE(IF((DiscreteStatsTable[GroupByKey]=DiscreteStatsTable[[#This Row],[GroupByKey]]),(DiscreteStatsTable[GroupByKey]=DiscreteStatsTable[[#This Row],[GroupByKey]])*DiscreteStatsTable[NumberObservations])),0)</f>
        <v>8235</v>
      </c>
      <c r="W399">
        <f>IF((DiscreteStatsTable[[#This Row],[RepsRequested]]&gt;1),DiscreteStatsTable[[#This Row],[HalfWidth]],DiscreteStatsTable[[#This Row],[BatchMeansHalfWidth]])</f>
        <v>496.42582374691045</v>
      </c>
      <c r="X399" cm="1">
        <f t="array" ref="X399">COUNT(IF((DiscreteStatsTable[GroupByKey]=DiscreteStatsTable[[#This Row],[GroupByKey]]),(DiscreteStatsTable[GroupByKey]=DiscreteStatsTable[[#This Row],[GroupByKey]])*DiscreteStatsTable[Replication]))</f>
        <v>10</v>
      </c>
      <c r="Y399">
        <f>IF(DiscreteStatsTable[[#This Row],[RepsRequested]]=DiscreteStatsTable[[#This Row],[RepsWithStatObserved]],1,0)</f>
        <v>1</v>
      </c>
    </row>
    <row r="400" spans="1:25" x14ac:dyDescent="0.25">
      <c r="A400" t="s">
        <v>67</v>
      </c>
      <c r="B400" t="s">
        <v>243</v>
      </c>
      <c r="C400">
        <v>9</v>
      </c>
      <c r="D400" t="s">
        <v>104</v>
      </c>
      <c r="E400" t="s">
        <v>72</v>
      </c>
      <c r="F400" t="s">
        <v>71</v>
      </c>
      <c r="G400">
        <v>4268.3907431853604</v>
      </c>
      <c r="H400">
        <v>1594.7570610955199</v>
      </c>
      <c r="I400">
        <v>50.566490665405603</v>
      </c>
      <c r="J400">
        <v>53840.113505921901</v>
      </c>
      <c r="K400">
        <v>8234</v>
      </c>
      <c r="L400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400" cm="1">
        <f t="array" ref="M400">MAX(IF((ProjectInfoTable[ProjectName]=DiscreteStatsTable[[#This Row],[ProjectName]]),(ProjectInfoTable[ProjectName]=DiscreteStatsTable[[#This Row],[ProjectName]])*ProjectInfoTable[NumberOfReplications]))</f>
        <v>10</v>
      </c>
      <c r="N400" cm="1">
        <f t="array" ref="N400">IFERROR(AVERAGE(IF((DiscreteStatsTable[GroupByKey]=DiscreteStatsTable[[#This Row],[GroupByKey]]),(DiscreteStatsTable[GroupByKey]=DiscreteStatsTable[[#This Row],[GroupByKey]])*DiscreteStatsTable[Average])),0)</f>
        <v>4963.4386674412362</v>
      </c>
      <c r="O400" cm="1">
        <f t="array" ref="O400">IFERROR(_xlfn.STDEV.S(IF((DiscreteStatsTable[GroupByKey]=DiscreteStatsTable[[#This Row],[GroupByKey]]),(DiscreteStatsTable[GroupByKey]=DiscreteStatsTable[[#This Row],[GroupByKey]])*DiscreteStatsTable[Average])),0)</f>
        <v>693.95545021448061</v>
      </c>
      <c r="P400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496.42582374691045</v>
      </c>
      <c r="R400" cm="1">
        <f t="array" ref="R400">MIN(IF((DiscreteStatsTable[GroupByKey]=DiscreteStatsTable[[#This Row],[GroupByKey]]),(DiscreteStatsTable[GroupByKey]=DiscreteStatsTable[[#This Row],[GroupByKey]])*DiscreteStatsTable[Average]))</f>
        <v>4084.20093509158</v>
      </c>
      <c r="S400" cm="1">
        <f t="array" ref="S400">MAX(IF((DiscreteStatsTable[GroupByKey]=DiscreteStatsTable[[#This Row],[GroupByKey]]),(DiscreteStatsTable[GroupByKey]=DiscreteStatsTable[[#This Row],[GroupByKey]])*DiscreteStatsTable[Average]))</f>
        <v>6194.5743580777498</v>
      </c>
      <c r="T400" cm="1">
        <f t="array" ref="T400">MIN(IF((DiscreteStatsTable[GroupByKey]=DiscreteStatsTable[[#This Row],[GroupByKey]]),(DiscreteStatsTable[GroupByKey]=DiscreteStatsTable[[#This Row],[GroupByKey]])*DiscreteStatsTable[Minimum]))</f>
        <v>31.828723795293602</v>
      </c>
      <c r="U400" cm="1">
        <f t="array" ref="U400">MAX(IF((DiscreteStatsTable[GroupByKey]=DiscreteStatsTable[[#This Row],[GroupByKey]]),(DiscreteStatsTable[GroupByKey]=DiscreteStatsTable[[#This Row],[GroupByKey]])*DiscreteStatsTable[Maximum]))</f>
        <v>55484.8116657914</v>
      </c>
      <c r="V400" cm="1">
        <f t="array" ref="V400">IFERROR(AVERAGE(IF((DiscreteStatsTable[GroupByKey]=DiscreteStatsTable[[#This Row],[GroupByKey]]),(DiscreteStatsTable[GroupByKey]=DiscreteStatsTable[[#This Row],[GroupByKey]])*DiscreteStatsTable[NumberObservations])),0)</f>
        <v>8235</v>
      </c>
      <c r="W400">
        <f>IF((DiscreteStatsTable[[#This Row],[RepsRequested]]&gt;1),DiscreteStatsTable[[#This Row],[HalfWidth]],DiscreteStatsTable[[#This Row],[BatchMeansHalfWidth]])</f>
        <v>496.42582374691045</v>
      </c>
      <c r="X400" cm="1">
        <f t="array" ref="X400">COUNT(IF((DiscreteStatsTable[GroupByKey]=DiscreteStatsTable[[#This Row],[GroupByKey]]),(DiscreteStatsTable[GroupByKey]=DiscreteStatsTable[[#This Row],[GroupByKey]])*DiscreteStatsTable[Replication]))</f>
        <v>10</v>
      </c>
      <c r="Y400">
        <f>IF(DiscreteStatsTable[[#This Row],[RepsRequested]]=DiscreteStatsTable[[#This Row],[RepsWithStatObserved]],1,0)</f>
        <v>1</v>
      </c>
    </row>
    <row r="401" spans="1:25" x14ac:dyDescent="0.25">
      <c r="A401" t="s">
        <v>67</v>
      </c>
      <c r="B401" t="s">
        <v>243</v>
      </c>
      <c r="C401">
        <v>10</v>
      </c>
      <c r="D401" t="s">
        <v>104</v>
      </c>
      <c r="E401" t="s">
        <v>72</v>
      </c>
      <c r="F401" t="s">
        <v>71</v>
      </c>
      <c r="G401">
        <v>4773.57758127942</v>
      </c>
      <c r="H401">
        <v>1735.9297257164001</v>
      </c>
      <c r="I401">
        <v>131.07604634903001</v>
      </c>
      <c r="J401">
        <v>54323.758189987202</v>
      </c>
      <c r="K401">
        <v>8234</v>
      </c>
      <c r="L401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401" cm="1">
        <f t="array" ref="M401">MAX(IF((ProjectInfoTable[ProjectName]=DiscreteStatsTable[[#This Row],[ProjectName]]),(ProjectInfoTable[ProjectName]=DiscreteStatsTable[[#This Row],[ProjectName]])*ProjectInfoTable[NumberOfReplications]))</f>
        <v>10</v>
      </c>
      <c r="N401" cm="1">
        <f t="array" ref="N401">IFERROR(AVERAGE(IF((DiscreteStatsTable[GroupByKey]=DiscreteStatsTable[[#This Row],[GroupByKey]]),(DiscreteStatsTable[GroupByKey]=DiscreteStatsTable[[#This Row],[GroupByKey]])*DiscreteStatsTable[Average])),0)</f>
        <v>4963.4386674412362</v>
      </c>
      <c r="O401" cm="1">
        <f t="array" ref="O401">IFERROR(_xlfn.STDEV.S(IF((DiscreteStatsTable[GroupByKey]=DiscreteStatsTable[[#This Row],[GroupByKey]]),(DiscreteStatsTable[GroupByKey]=DiscreteStatsTable[[#This Row],[GroupByKey]])*DiscreteStatsTable[Average])),0)</f>
        <v>693.95545021448061</v>
      </c>
      <c r="P401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496.42582374691045</v>
      </c>
      <c r="R401" cm="1">
        <f t="array" ref="R401">MIN(IF((DiscreteStatsTable[GroupByKey]=DiscreteStatsTable[[#This Row],[GroupByKey]]),(DiscreteStatsTable[GroupByKey]=DiscreteStatsTable[[#This Row],[GroupByKey]])*DiscreteStatsTable[Average]))</f>
        <v>4084.20093509158</v>
      </c>
      <c r="S401" cm="1">
        <f t="array" ref="S401">MAX(IF((DiscreteStatsTable[GroupByKey]=DiscreteStatsTable[[#This Row],[GroupByKey]]),(DiscreteStatsTable[GroupByKey]=DiscreteStatsTable[[#This Row],[GroupByKey]])*DiscreteStatsTable[Average]))</f>
        <v>6194.5743580777498</v>
      </c>
      <c r="T401" cm="1">
        <f t="array" ref="T401">MIN(IF((DiscreteStatsTable[GroupByKey]=DiscreteStatsTable[[#This Row],[GroupByKey]]),(DiscreteStatsTable[GroupByKey]=DiscreteStatsTable[[#This Row],[GroupByKey]])*DiscreteStatsTable[Minimum]))</f>
        <v>31.828723795293602</v>
      </c>
      <c r="U401" cm="1">
        <f t="array" ref="U401">MAX(IF((DiscreteStatsTable[GroupByKey]=DiscreteStatsTable[[#This Row],[GroupByKey]]),(DiscreteStatsTable[GroupByKey]=DiscreteStatsTable[[#This Row],[GroupByKey]])*DiscreteStatsTable[Maximum]))</f>
        <v>55484.8116657914</v>
      </c>
      <c r="V401" cm="1">
        <f t="array" ref="V401">IFERROR(AVERAGE(IF((DiscreteStatsTable[GroupByKey]=DiscreteStatsTable[[#This Row],[GroupByKey]]),(DiscreteStatsTable[GroupByKey]=DiscreteStatsTable[[#This Row],[GroupByKey]])*DiscreteStatsTable[NumberObservations])),0)</f>
        <v>8235</v>
      </c>
      <c r="W401">
        <f>IF((DiscreteStatsTable[[#This Row],[RepsRequested]]&gt;1),DiscreteStatsTable[[#This Row],[HalfWidth]],DiscreteStatsTable[[#This Row],[BatchMeansHalfWidth]])</f>
        <v>496.42582374691045</v>
      </c>
      <c r="X401" cm="1">
        <f t="array" ref="X401">COUNT(IF((DiscreteStatsTable[GroupByKey]=DiscreteStatsTable[[#This Row],[GroupByKey]]),(DiscreteStatsTable[GroupByKey]=DiscreteStatsTable[[#This Row],[GroupByKey]])*DiscreteStatsTable[Replication]))</f>
        <v>10</v>
      </c>
      <c r="Y401">
        <f>IF(DiscreteStatsTable[[#This Row],[RepsRequested]]=DiscreteStatsTable[[#This Row],[RepsWithStatObserved]],1,0)</f>
        <v>1</v>
      </c>
    </row>
    <row r="402" spans="1:25" x14ac:dyDescent="0.25">
      <c r="A402" t="s">
        <v>67</v>
      </c>
      <c r="B402" t="s">
        <v>243</v>
      </c>
      <c r="C402">
        <v>1</v>
      </c>
      <c r="D402" t="s">
        <v>105</v>
      </c>
      <c r="E402" t="s">
        <v>72</v>
      </c>
      <c r="F402" t="s">
        <v>71</v>
      </c>
      <c r="G402">
        <v>64.818570391141506</v>
      </c>
      <c r="H402">
        <v>20.735127075133601</v>
      </c>
      <c r="I402">
        <v>0</v>
      </c>
      <c r="J402">
        <v>50441.547513157799</v>
      </c>
      <c r="K402">
        <v>8235</v>
      </c>
      <c r="L402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402" cm="1">
        <f t="array" ref="M402">MAX(IF((ProjectInfoTable[ProjectName]=DiscreteStatsTable[[#This Row],[ProjectName]]),(ProjectInfoTable[ProjectName]=DiscreteStatsTable[[#This Row],[ProjectName]])*ProjectInfoTable[NumberOfReplications]))</f>
        <v>10</v>
      </c>
      <c r="N402" cm="1">
        <f t="array" ref="N402">IFERROR(AVERAGE(IF((DiscreteStatsTable[GroupByKey]=DiscreteStatsTable[[#This Row],[GroupByKey]]),(DiscreteStatsTable[GroupByKey]=DiscreteStatsTable[[#This Row],[GroupByKey]])*DiscreteStatsTable[Average])),0)</f>
        <v>88.040125893874716</v>
      </c>
      <c r="O402" cm="1">
        <f t="array" ref="O402">IFERROR(_xlfn.STDEV.S(IF((DiscreteStatsTable[GroupByKey]=DiscreteStatsTable[[#This Row],[GroupByKey]]),(DiscreteStatsTable[GroupByKey]=DiscreteStatsTable[[#This Row],[GroupByKey]])*DiscreteStatsTable[Average])),0)</f>
        <v>12.96089718530159</v>
      </c>
      <c r="P402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9.2716673090812414</v>
      </c>
      <c r="R402" cm="1">
        <f t="array" ref="R402">MIN(IF((DiscreteStatsTable[GroupByKey]=DiscreteStatsTable[[#This Row],[GroupByKey]]),(DiscreteStatsTable[GroupByKey]=DiscreteStatsTable[[#This Row],[GroupByKey]])*DiscreteStatsTable[Average]))</f>
        <v>64.818570391141506</v>
      </c>
      <c r="S402" cm="1">
        <f t="array" ref="S402">MAX(IF((DiscreteStatsTable[GroupByKey]=DiscreteStatsTable[[#This Row],[GroupByKey]]),(DiscreteStatsTable[GroupByKey]=DiscreteStatsTable[[#This Row],[GroupByKey]])*DiscreteStatsTable[Average]))</f>
        <v>100.525218123304</v>
      </c>
      <c r="T402" cm="1">
        <f t="array" ref="T402">MIN(IF((DiscreteStatsTable[GroupByKey]=DiscreteStatsTable[[#This Row],[GroupByKey]]),(DiscreteStatsTable[GroupByKey]=DiscreteStatsTable[[#This Row],[GroupByKey]])*DiscreteStatsTable[Minimum]))</f>
        <v>0</v>
      </c>
      <c r="U402" cm="1">
        <f t="array" ref="U402">MAX(IF((DiscreteStatsTable[GroupByKey]=DiscreteStatsTable[[#This Row],[GroupByKey]]),(DiscreteStatsTable[GroupByKey]=DiscreteStatsTable[[#This Row],[GroupByKey]])*DiscreteStatsTable[Maximum]))</f>
        <v>50449.588001419703</v>
      </c>
      <c r="V402" cm="1">
        <f t="array" ref="V402">IFERROR(AVERAGE(IF((DiscreteStatsTable[GroupByKey]=DiscreteStatsTable[[#This Row],[GroupByKey]]),(DiscreteStatsTable[GroupByKey]=DiscreteStatsTable[[#This Row],[GroupByKey]])*DiscreteStatsTable[NumberObservations])),0)</f>
        <v>8233.5</v>
      </c>
      <c r="W402">
        <f>IF((DiscreteStatsTable[[#This Row],[RepsRequested]]&gt;1),DiscreteStatsTable[[#This Row],[HalfWidth]],DiscreteStatsTable[[#This Row],[BatchMeansHalfWidth]])</f>
        <v>9.2716673090812414</v>
      </c>
      <c r="X402" cm="1">
        <f t="array" ref="X402">COUNT(IF((DiscreteStatsTable[GroupByKey]=DiscreteStatsTable[[#This Row],[GroupByKey]]),(DiscreteStatsTable[GroupByKey]=DiscreteStatsTable[[#This Row],[GroupByKey]])*DiscreteStatsTable[Replication]))</f>
        <v>10</v>
      </c>
      <c r="Y402">
        <f>IF(DiscreteStatsTable[[#This Row],[RepsRequested]]=DiscreteStatsTable[[#This Row],[RepsWithStatObserved]],1,0)</f>
        <v>1</v>
      </c>
    </row>
    <row r="403" spans="1:25" x14ac:dyDescent="0.25">
      <c r="A403" t="s">
        <v>67</v>
      </c>
      <c r="B403" t="s">
        <v>243</v>
      </c>
      <c r="C403">
        <v>2</v>
      </c>
      <c r="D403" t="s">
        <v>105</v>
      </c>
      <c r="E403" t="s">
        <v>72</v>
      </c>
      <c r="F403" t="s">
        <v>71</v>
      </c>
      <c r="G403">
        <v>71.868955778748401</v>
      </c>
      <c r="H403">
        <v>23.410418052959699</v>
      </c>
      <c r="I403">
        <v>0</v>
      </c>
      <c r="J403">
        <v>50440.255226729001</v>
      </c>
      <c r="K403">
        <v>8230</v>
      </c>
      <c r="L403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403" cm="1">
        <f t="array" ref="M403">MAX(IF((ProjectInfoTable[ProjectName]=DiscreteStatsTable[[#This Row],[ProjectName]]),(ProjectInfoTable[ProjectName]=DiscreteStatsTable[[#This Row],[ProjectName]])*ProjectInfoTable[NumberOfReplications]))</f>
        <v>10</v>
      </c>
      <c r="N403" cm="1">
        <f t="array" ref="N403">IFERROR(AVERAGE(IF((DiscreteStatsTable[GroupByKey]=DiscreteStatsTable[[#This Row],[GroupByKey]]),(DiscreteStatsTable[GroupByKey]=DiscreteStatsTable[[#This Row],[GroupByKey]])*DiscreteStatsTable[Average])),0)</f>
        <v>88.040125893874716</v>
      </c>
      <c r="O403" cm="1">
        <f t="array" ref="O403">IFERROR(_xlfn.STDEV.S(IF((DiscreteStatsTable[GroupByKey]=DiscreteStatsTable[[#This Row],[GroupByKey]]),(DiscreteStatsTable[GroupByKey]=DiscreteStatsTable[[#This Row],[GroupByKey]])*DiscreteStatsTable[Average])),0)</f>
        <v>12.96089718530159</v>
      </c>
      <c r="P403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9.2716673090812414</v>
      </c>
      <c r="R403" cm="1">
        <f t="array" ref="R403">MIN(IF((DiscreteStatsTable[GroupByKey]=DiscreteStatsTable[[#This Row],[GroupByKey]]),(DiscreteStatsTable[GroupByKey]=DiscreteStatsTable[[#This Row],[GroupByKey]])*DiscreteStatsTable[Average]))</f>
        <v>64.818570391141506</v>
      </c>
      <c r="S403" cm="1">
        <f t="array" ref="S403">MAX(IF((DiscreteStatsTable[GroupByKey]=DiscreteStatsTable[[#This Row],[GroupByKey]]),(DiscreteStatsTable[GroupByKey]=DiscreteStatsTable[[#This Row],[GroupByKey]])*DiscreteStatsTable[Average]))</f>
        <v>100.525218123304</v>
      </c>
      <c r="T403" cm="1">
        <f t="array" ref="T403">MIN(IF((DiscreteStatsTable[GroupByKey]=DiscreteStatsTable[[#This Row],[GroupByKey]]),(DiscreteStatsTable[GroupByKey]=DiscreteStatsTable[[#This Row],[GroupByKey]])*DiscreteStatsTable[Minimum]))</f>
        <v>0</v>
      </c>
      <c r="U403" cm="1">
        <f t="array" ref="U403">MAX(IF((DiscreteStatsTable[GroupByKey]=DiscreteStatsTable[[#This Row],[GroupByKey]]),(DiscreteStatsTable[GroupByKey]=DiscreteStatsTable[[#This Row],[GroupByKey]])*DiscreteStatsTable[Maximum]))</f>
        <v>50449.588001419703</v>
      </c>
      <c r="V403" cm="1">
        <f t="array" ref="V403">IFERROR(AVERAGE(IF((DiscreteStatsTable[GroupByKey]=DiscreteStatsTable[[#This Row],[GroupByKey]]),(DiscreteStatsTable[GroupByKey]=DiscreteStatsTable[[#This Row],[GroupByKey]])*DiscreteStatsTable[NumberObservations])),0)</f>
        <v>8233.5</v>
      </c>
      <c r="W403">
        <f>IF((DiscreteStatsTable[[#This Row],[RepsRequested]]&gt;1),DiscreteStatsTable[[#This Row],[HalfWidth]],DiscreteStatsTable[[#This Row],[BatchMeansHalfWidth]])</f>
        <v>9.2716673090812414</v>
      </c>
      <c r="X403" cm="1">
        <f t="array" ref="X403">COUNT(IF((DiscreteStatsTable[GroupByKey]=DiscreteStatsTable[[#This Row],[GroupByKey]]),(DiscreteStatsTable[GroupByKey]=DiscreteStatsTable[[#This Row],[GroupByKey]])*DiscreteStatsTable[Replication]))</f>
        <v>10</v>
      </c>
      <c r="Y403">
        <f>IF(DiscreteStatsTable[[#This Row],[RepsRequested]]=DiscreteStatsTable[[#This Row],[RepsWithStatObserved]],1,0)</f>
        <v>1</v>
      </c>
    </row>
    <row r="404" spans="1:25" x14ac:dyDescent="0.25">
      <c r="A404" t="s">
        <v>67</v>
      </c>
      <c r="B404" t="s">
        <v>243</v>
      </c>
      <c r="C404">
        <v>3</v>
      </c>
      <c r="D404" t="s">
        <v>105</v>
      </c>
      <c r="E404" t="s">
        <v>72</v>
      </c>
      <c r="F404" t="s">
        <v>71</v>
      </c>
      <c r="G404">
        <v>100.512968159755</v>
      </c>
      <c r="H404">
        <v>46.732229619002098</v>
      </c>
      <c r="I404">
        <v>0</v>
      </c>
      <c r="J404">
        <v>50438.629218230999</v>
      </c>
      <c r="K404">
        <v>8243</v>
      </c>
      <c r="L404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404" cm="1">
        <f t="array" ref="M404">MAX(IF((ProjectInfoTable[ProjectName]=DiscreteStatsTable[[#This Row],[ProjectName]]),(ProjectInfoTable[ProjectName]=DiscreteStatsTable[[#This Row],[ProjectName]])*ProjectInfoTable[NumberOfReplications]))</f>
        <v>10</v>
      </c>
      <c r="N404" cm="1">
        <f t="array" ref="N404">IFERROR(AVERAGE(IF((DiscreteStatsTable[GroupByKey]=DiscreteStatsTable[[#This Row],[GroupByKey]]),(DiscreteStatsTable[GroupByKey]=DiscreteStatsTable[[#This Row],[GroupByKey]])*DiscreteStatsTable[Average])),0)</f>
        <v>88.040125893874716</v>
      </c>
      <c r="O404" cm="1">
        <f t="array" ref="O404">IFERROR(_xlfn.STDEV.S(IF((DiscreteStatsTable[GroupByKey]=DiscreteStatsTable[[#This Row],[GroupByKey]]),(DiscreteStatsTable[GroupByKey]=DiscreteStatsTable[[#This Row],[GroupByKey]])*DiscreteStatsTable[Average])),0)</f>
        <v>12.96089718530159</v>
      </c>
      <c r="P404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9.2716673090812414</v>
      </c>
      <c r="R404" cm="1">
        <f t="array" ref="R404">MIN(IF((DiscreteStatsTable[GroupByKey]=DiscreteStatsTable[[#This Row],[GroupByKey]]),(DiscreteStatsTable[GroupByKey]=DiscreteStatsTable[[#This Row],[GroupByKey]])*DiscreteStatsTable[Average]))</f>
        <v>64.818570391141506</v>
      </c>
      <c r="S404" cm="1">
        <f t="array" ref="S404">MAX(IF((DiscreteStatsTable[GroupByKey]=DiscreteStatsTable[[#This Row],[GroupByKey]]),(DiscreteStatsTable[GroupByKey]=DiscreteStatsTable[[#This Row],[GroupByKey]])*DiscreteStatsTable[Average]))</f>
        <v>100.525218123304</v>
      </c>
      <c r="T404" cm="1">
        <f t="array" ref="T404">MIN(IF((DiscreteStatsTable[GroupByKey]=DiscreteStatsTable[[#This Row],[GroupByKey]]),(DiscreteStatsTable[GroupByKey]=DiscreteStatsTable[[#This Row],[GroupByKey]])*DiscreteStatsTable[Minimum]))</f>
        <v>0</v>
      </c>
      <c r="U404" cm="1">
        <f t="array" ref="U404">MAX(IF((DiscreteStatsTable[GroupByKey]=DiscreteStatsTable[[#This Row],[GroupByKey]]),(DiscreteStatsTable[GroupByKey]=DiscreteStatsTable[[#This Row],[GroupByKey]])*DiscreteStatsTable[Maximum]))</f>
        <v>50449.588001419703</v>
      </c>
      <c r="V404" cm="1">
        <f t="array" ref="V404">IFERROR(AVERAGE(IF((DiscreteStatsTable[GroupByKey]=DiscreteStatsTable[[#This Row],[GroupByKey]]),(DiscreteStatsTable[GroupByKey]=DiscreteStatsTable[[#This Row],[GroupByKey]])*DiscreteStatsTable[NumberObservations])),0)</f>
        <v>8233.5</v>
      </c>
      <c r="W404">
        <f>IF((DiscreteStatsTable[[#This Row],[RepsRequested]]&gt;1),DiscreteStatsTable[[#This Row],[HalfWidth]],DiscreteStatsTable[[#This Row],[BatchMeansHalfWidth]])</f>
        <v>9.2716673090812414</v>
      </c>
      <c r="X404" cm="1">
        <f t="array" ref="X404">COUNT(IF((DiscreteStatsTable[GroupByKey]=DiscreteStatsTable[[#This Row],[GroupByKey]]),(DiscreteStatsTable[GroupByKey]=DiscreteStatsTable[[#This Row],[GroupByKey]])*DiscreteStatsTable[Replication]))</f>
        <v>10</v>
      </c>
      <c r="Y404">
        <f>IF(DiscreteStatsTable[[#This Row],[RepsRequested]]=DiscreteStatsTable[[#This Row],[RepsWithStatObserved]],1,0)</f>
        <v>1</v>
      </c>
    </row>
    <row r="405" spans="1:25" x14ac:dyDescent="0.25">
      <c r="A405" t="s">
        <v>67</v>
      </c>
      <c r="B405" t="s">
        <v>243</v>
      </c>
      <c r="C405">
        <v>4</v>
      </c>
      <c r="D405" t="s">
        <v>105</v>
      </c>
      <c r="E405" t="s">
        <v>72</v>
      </c>
      <c r="F405" t="s">
        <v>71</v>
      </c>
      <c r="G405">
        <v>94.157204483925099</v>
      </c>
      <c r="H405">
        <v>42.314591939597797</v>
      </c>
      <c r="I405">
        <v>0</v>
      </c>
      <c r="J405">
        <v>50439.811057470397</v>
      </c>
      <c r="K405">
        <v>8232</v>
      </c>
      <c r="L405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405" cm="1">
        <f t="array" ref="M405">MAX(IF((ProjectInfoTable[ProjectName]=DiscreteStatsTable[[#This Row],[ProjectName]]),(ProjectInfoTable[ProjectName]=DiscreteStatsTable[[#This Row],[ProjectName]])*ProjectInfoTable[NumberOfReplications]))</f>
        <v>10</v>
      </c>
      <c r="N405" cm="1">
        <f t="array" ref="N405">IFERROR(AVERAGE(IF((DiscreteStatsTable[GroupByKey]=DiscreteStatsTable[[#This Row],[GroupByKey]]),(DiscreteStatsTable[GroupByKey]=DiscreteStatsTable[[#This Row],[GroupByKey]])*DiscreteStatsTable[Average])),0)</f>
        <v>88.040125893874716</v>
      </c>
      <c r="O405" cm="1">
        <f t="array" ref="O405">IFERROR(_xlfn.STDEV.S(IF((DiscreteStatsTable[GroupByKey]=DiscreteStatsTable[[#This Row],[GroupByKey]]),(DiscreteStatsTable[GroupByKey]=DiscreteStatsTable[[#This Row],[GroupByKey]])*DiscreteStatsTable[Average])),0)</f>
        <v>12.96089718530159</v>
      </c>
      <c r="P40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9.2716673090812414</v>
      </c>
      <c r="R405" cm="1">
        <f t="array" ref="R405">MIN(IF((DiscreteStatsTable[GroupByKey]=DiscreteStatsTable[[#This Row],[GroupByKey]]),(DiscreteStatsTable[GroupByKey]=DiscreteStatsTable[[#This Row],[GroupByKey]])*DiscreteStatsTable[Average]))</f>
        <v>64.818570391141506</v>
      </c>
      <c r="S405" cm="1">
        <f t="array" ref="S405">MAX(IF((DiscreteStatsTable[GroupByKey]=DiscreteStatsTable[[#This Row],[GroupByKey]]),(DiscreteStatsTable[GroupByKey]=DiscreteStatsTable[[#This Row],[GroupByKey]])*DiscreteStatsTable[Average]))</f>
        <v>100.525218123304</v>
      </c>
      <c r="T405" cm="1">
        <f t="array" ref="T405">MIN(IF((DiscreteStatsTable[GroupByKey]=DiscreteStatsTable[[#This Row],[GroupByKey]]),(DiscreteStatsTable[GroupByKey]=DiscreteStatsTable[[#This Row],[GroupByKey]])*DiscreteStatsTable[Minimum]))</f>
        <v>0</v>
      </c>
      <c r="U405" cm="1">
        <f t="array" ref="U405">MAX(IF((DiscreteStatsTable[GroupByKey]=DiscreteStatsTable[[#This Row],[GroupByKey]]),(DiscreteStatsTable[GroupByKey]=DiscreteStatsTable[[#This Row],[GroupByKey]])*DiscreteStatsTable[Maximum]))</f>
        <v>50449.588001419703</v>
      </c>
      <c r="V405" cm="1">
        <f t="array" ref="V405">IFERROR(AVERAGE(IF((DiscreteStatsTable[GroupByKey]=DiscreteStatsTable[[#This Row],[GroupByKey]]),(DiscreteStatsTable[GroupByKey]=DiscreteStatsTable[[#This Row],[GroupByKey]])*DiscreteStatsTable[NumberObservations])),0)</f>
        <v>8233.5</v>
      </c>
      <c r="W405">
        <f>IF((DiscreteStatsTable[[#This Row],[RepsRequested]]&gt;1),DiscreteStatsTable[[#This Row],[HalfWidth]],DiscreteStatsTable[[#This Row],[BatchMeansHalfWidth]])</f>
        <v>9.2716673090812414</v>
      </c>
      <c r="X405" cm="1">
        <f t="array" ref="X405">COUNT(IF((DiscreteStatsTable[GroupByKey]=DiscreteStatsTable[[#This Row],[GroupByKey]]),(DiscreteStatsTable[GroupByKey]=DiscreteStatsTable[[#This Row],[GroupByKey]])*DiscreteStatsTable[Replication]))</f>
        <v>10</v>
      </c>
      <c r="Y405">
        <f>IF(DiscreteStatsTable[[#This Row],[RepsRequested]]=DiscreteStatsTable[[#This Row],[RepsWithStatObserved]],1,0)</f>
        <v>1</v>
      </c>
    </row>
    <row r="406" spans="1:25" x14ac:dyDescent="0.25">
      <c r="A406" t="s">
        <v>67</v>
      </c>
      <c r="B406" t="s">
        <v>243</v>
      </c>
      <c r="C406">
        <v>5</v>
      </c>
      <c r="D406" t="s">
        <v>105</v>
      </c>
      <c r="E406" t="s">
        <v>72</v>
      </c>
      <c r="F406" t="s">
        <v>71</v>
      </c>
      <c r="G406">
        <v>100.525218123304</v>
      </c>
      <c r="H406">
        <v>46.715304422368703</v>
      </c>
      <c r="I406">
        <v>0</v>
      </c>
      <c r="J406">
        <v>50442.589403689199</v>
      </c>
      <c r="K406">
        <v>8243</v>
      </c>
      <c r="L406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406" cm="1">
        <f t="array" ref="M406">MAX(IF((ProjectInfoTable[ProjectName]=DiscreteStatsTable[[#This Row],[ProjectName]]),(ProjectInfoTable[ProjectName]=DiscreteStatsTable[[#This Row],[ProjectName]])*ProjectInfoTable[NumberOfReplications]))</f>
        <v>10</v>
      </c>
      <c r="N406" cm="1">
        <f t="array" ref="N406">IFERROR(AVERAGE(IF((DiscreteStatsTable[GroupByKey]=DiscreteStatsTable[[#This Row],[GroupByKey]]),(DiscreteStatsTable[GroupByKey]=DiscreteStatsTable[[#This Row],[GroupByKey]])*DiscreteStatsTable[Average])),0)</f>
        <v>88.040125893874716</v>
      </c>
      <c r="O406" cm="1">
        <f t="array" ref="O406">IFERROR(_xlfn.STDEV.S(IF((DiscreteStatsTable[GroupByKey]=DiscreteStatsTable[[#This Row],[GroupByKey]]),(DiscreteStatsTable[GroupByKey]=DiscreteStatsTable[[#This Row],[GroupByKey]])*DiscreteStatsTable[Average])),0)</f>
        <v>12.96089718530159</v>
      </c>
      <c r="P406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9.2716673090812414</v>
      </c>
      <c r="R406" cm="1">
        <f t="array" ref="R406">MIN(IF((DiscreteStatsTable[GroupByKey]=DiscreteStatsTable[[#This Row],[GroupByKey]]),(DiscreteStatsTable[GroupByKey]=DiscreteStatsTable[[#This Row],[GroupByKey]])*DiscreteStatsTable[Average]))</f>
        <v>64.818570391141506</v>
      </c>
      <c r="S406" cm="1">
        <f t="array" ref="S406">MAX(IF((DiscreteStatsTable[GroupByKey]=DiscreteStatsTable[[#This Row],[GroupByKey]]),(DiscreteStatsTable[GroupByKey]=DiscreteStatsTable[[#This Row],[GroupByKey]])*DiscreteStatsTable[Average]))</f>
        <v>100.525218123304</v>
      </c>
      <c r="T406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cm="1">
        <f t="array" ref="U406">MAX(IF((DiscreteStatsTable[GroupByKey]=DiscreteStatsTable[[#This Row],[GroupByKey]]),(DiscreteStatsTable[GroupByKey]=DiscreteStatsTable[[#This Row],[GroupByKey]])*DiscreteStatsTable[Maximum]))</f>
        <v>50449.588001419703</v>
      </c>
      <c r="V406" cm="1">
        <f t="array" ref="V406">IFERROR(AVERAGE(IF((DiscreteStatsTable[GroupByKey]=DiscreteStatsTable[[#This Row],[GroupByKey]]),(DiscreteStatsTable[GroupByKey]=DiscreteStatsTable[[#This Row],[GroupByKey]])*DiscreteStatsTable[NumberObservations])),0)</f>
        <v>8233.5</v>
      </c>
      <c r="W406">
        <f>IF((DiscreteStatsTable[[#This Row],[RepsRequested]]&gt;1),DiscreteStatsTable[[#This Row],[HalfWidth]],DiscreteStatsTable[[#This Row],[BatchMeansHalfWidth]])</f>
        <v>9.2716673090812414</v>
      </c>
      <c r="X406" cm="1">
        <f t="array" ref="X406">COUNT(IF((DiscreteStatsTable[GroupByKey]=DiscreteStatsTable[[#This Row],[GroupByKey]]),(DiscreteStatsTable[GroupByKey]=DiscreteStatsTable[[#This Row],[GroupByKey]])*DiscreteStatsTable[Replication]))</f>
        <v>10</v>
      </c>
      <c r="Y406">
        <f>IF(DiscreteStatsTable[[#This Row],[RepsRequested]]=DiscreteStatsTable[[#This Row],[RepsWithStatObserved]],1,0)</f>
        <v>1</v>
      </c>
    </row>
    <row r="407" spans="1:25" x14ac:dyDescent="0.25">
      <c r="A407" t="s">
        <v>67</v>
      </c>
      <c r="B407" t="s">
        <v>243</v>
      </c>
      <c r="C407">
        <v>6</v>
      </c>
      <c r="D407" t="s">
        <v>105</v>
      </c>
      <c r="E407" t="s">
        <v>72</v>
      </c>
      <c r="F407" t="s">
        <v>71</v>
      </c>
      <c r="G407">
        <v>94.747902989281798</v>
      </c>
      <c r="H407">
        <v>42.303477782730504</v>
      </c>
      <c r="I407">
        <v>0</v>
      </c>
      <c r="J407">
        <v>50446.492183755101</v>
      </c>
      <c r="K407">
        <v>8221</v>
      </c>
      <c r="L407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407" cm="1">
        <f t="array" ref="M407">MAX(IF((ProjectInfoTable[ProjectName]=DiscreteStatsTable[[#This Row],[ProjectName]]),(ProjectInfoTable[ProjectName]=DiscreteStatsTable[[#This Row],[ProjectName]])*ProjectInfoTable[NumberOfReplications]))</f>
        <v>10</v>
      </c>
      <c r="N407" cm="1">
        <f t="array" ref="N407">IFERROR(AVERAGE(IF((DiscreteStatsTable[GroupByKey]=DiscreteStatsTable[[#This Row],[GroupByKey]]),(DiscreteStatsTable[GroupByKey]=DiscreteStatsTable[[#This Row],[GroupByKey]])*DiscreteStatsTable[Average])),0)</f>
        <v>88.040125893874716</v>
      </c>
      <c r="O407" cm="1">
        <f t="array" ref="O407">IFERROR(_xlfn.STDEV.S(IF((DiscreteStatsTable[GroupByKey]=DiscreteStatsTable[[#This Row],[GroupByKey]]),(DiscreteStatsTable[GroupByKey]=DiscreteStatsTable[[#This Row],[GroupByKey]])*DiscreteStatsTable[Average])),0)</f>
        <v>12.96089718530159</v>
      </c>
      <c r="P407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9.2716673090812414</v>
      </c>
      <c r="R407" cm="1">
        <f t="array" ref="R407">MIN(IF((DiscreteStatsTable[GroupByKey]=DiscreteStatsTable[[#This Row],[GroupByKey]]),(DiscreteStatsTable[GroupByKey]=DiscreteStatsTable[[#This Row],[GroupByKey]])*DiscreteStatsTable[Average]))</f>
        <v>64.818570391141506</v>
      </c>
      <c r="S407" cm="1">
        <f t="array" ref="S407">MAX(IF((DiscreteStatsTable[GroupByKey]=DiscreteStatsTable[[#This Row],[GroupByKey]]),(DiscreteStatsTable[GroupByKey]=DiscreteStatsTable[[#This Row],[GroupByKey]])*DiscreteStatsTable[Average]))</f>
        <v>100.525218123304</v>
      </c>
      <c r="T407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cm="1">
        <f t="array" ref="U407">MAX(IF((DiscreteStatsTable[GroupByKey]=DiscreteStatsTable[[#This Row],[GroupByKey]]),(DiscreteStatsTable[GroupByKey]=DiscreteStatsTable[[#This Row],[GroupByKey]])*DiscreteStatsTable[Maximum]))</f>
        <v>50449.588001419703</v>
      </c>
      <c r="V407" cm="1">
        <f t="array" ref="V407">IFERROR(AVERAGE(IF((DiscreteStatsTable[GroupByKey]=DiscreteStatsTable[[#This Row],[GroupByKey]]),(DiscreteStatsTable[GroupByKey]=DiscreteStatsTable[[#This Row],[GroupByKey]])*DiscreteStatsTable[NumberObservations])),0)</f>
        <v>8233.5</v>
      </c>
      <c r="W407">
        <f>IF((DiscreteStatsTable[[#This Row],[RepsRequested]]&gt;1),DiscreteStatsTable[[#This Row],[HalfWidth]],DiscreteStatsTable[[#This Row],[BatchMeansHalfWidth]])</f>
        <v>9.2716673090812414</v>
      </c>
      <c r="X407" cm="1">
        <f t="array" ref="X407">COUNT(IF((DiscreteStatsTable[GroupByKey]=DiscreteStatsTable[[#This Row],[GroupByKey]]),(DiscreteStatsTable[GroupByKey]=DiscreteStatsTable[[#This Row],[GroupByKey]])*DiscreteStatsTable[Replication]))</f>
        <v>10</v>
      </c>
      <c r="Y407">
        <f>IF(DiscreteStatsTable[[#This Row],[RepsRequested]]=DiscreteStatsTable[[#This Row],[RepsWithStatObserved]],1,0)</f>
        <v>1</v>
      </c>
    </row>
    <row r="408" spans="1:25" x14ac:dyDescent="0.25">
      <c r="A408" t="s">
        <v>67</v>
      </c>
      <c r="B408" t="s">
        <v>243</v>
      </c>
      <c r="C408">
        <v>7</v>
      </c>
      <c r="D408" t="s">
        <v>105</v>
      </c>
      <c r="E408" t="s">
        <v>72</v>
      </c>
      <c r="F408" t="s">
        <v>71</v>
      </c>
      <c r="G408">
        <v>99.728036625484506</v>
      </c>
      <c r="H408">
        <v>46.826228117028201</v>
      </c>
      <c r="I408">
        <v>0</v>
      </c>
      <c r="J408">
        <v>50445.392092176502</v>
      </c>
      <c r="K408">
        <v>8236</v>
      </c>
      <c r="L408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408" cm="1">
        <f t="array" ref="M408">MAX(IF((ProjectInfoTable[ProjectName]=DiscreteStatsTable[[#This Row],[ProjectName]]),(ProjectInfoTable[ProjectName]=DiscreteStatsTable[[#This Row],[ProjectName]])*ProjectInfoTable[NumberOfReplications]))</f>
        <v>10</v>
      </c>
      <c r="N408" cm="1">
        <f t="array" ref="N408">IFERROR(AVERAGE(IF((DiscreteStatsTable[GroupByKey]=DiscreteStatsTable[[#This Row],[GroupByKey]]),(DiscreteStatsTable[GroupByKey]=DiscreteStatsTable[[#This Row],[GroupByKey]])*DiscreteStatsTable[Average])),0)</f>
        <v>88.040125893874716</v>
      </c>
      <c r="O408" cm="1">
        <f t="array" ref="O408">IFERROR(_xlfn.STDEV.S(IF((DiscreteStatsTable[GroupByKey]=DiscreteStatsTable[[#This Row],[GroupByKey]]),(DiscreteStatsTable[GroupByKey]=DiscreteStatsTable[[#This Row],[GroupByKey]])*DiscreteStatsTable[Average])),0)</f>
        <v>12.96089718530159</v>
      </c>
      <c r="P408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9.2716673090812414</v>
      </c>
      <c r="R408" cm="1">
        <f t="array" ref="R408">MIN(IF((DiscreteStatsTable[GroupByKey]=DiscreteStatsTable[[#This Row],[GroupByKey]]),(DiscreteStatsTable[GroupByKey]=DiscreteStatsTable[[#This Row],[GroupByKey]])*DiscreteStatsTable[Average]))</f>
        <v>64.818570391141506</v>
      </c>
      <c r="S408" cm="1">
        <f t="array" ref="S408">MAX(IF((DiscreteStatsTable[GroupByKey]=DiscreteStatsTable[[#This Row],[GroupByKey]]),(DiscreteStatsTable[GroupByKey]=DiscreteStatsTable[[#This Row],[GroupByKey]])*DiscreteStatsTable[Average]))</f>
        <v>100.525218123304</v>
      </c>
      <c r="T408" cm="1">
        <f t="array" ref="T408">MIN(IF((DiscreteStatsTable[GroupByKey]=DiscreteStatsTable[[#This Row],[GroupByKey]]),(DiscreteStatsTable[GroupByKey]=DiscreteStatsTable[[#This Row],[GroupByKey]])*DiscreteStatsTable[Minimum]))</f>
        <v>0</v>
      </c>
      <c r="U408" cm="1">
        <f t="array" ref="U408">MAX(IF((DiscreteStatsTable[GroupByKey]=DiscreteStatsTable[[#This Row],[GroupByKey]]),(DiscreteStatsTable[GroupByKey]=DiscreteStatsTable[[#This Row],[GroupByKey]])*DiscreteStatsTable[Maximum]))</f>
        <v>50449.588001419703</v>
      </c>
      <c r="V408" cm="1">
        <f t="array" ref="V408">IFERROR(AVERAGE(IF((DiscreteStatsTable[GroupByKey]=DiscreteStatsTable[[#This Row],[GroupByKey]]),(DiscreteStatsTable[GroupByKey]=DiscreteStatsTable[[#This Row],[GroupByKey]])*DiscreteStatsTable[NumberObservations])),0)</f>
        <v>8233.5</v>
      </c>
      <c r="W408">
        <f>IF((DiscreteStatsTable[[#This Row],[RepsRequested]]&gt;1),DiscreteStatsTable[[#This Row],[HalfWidth]],DiscreteStatsTable[[#This Row],[BatchMeansHalfWidth]])</f>
        <v>9.2716673090812414</v>
      </c>
      <c r="X408" cm="1">
        <f t="array" ref="X408">COUNT(IF((DiscreteStatsTable[GroupByKey]=DiscreteStatsTable[[#This Row],[GroupByKey]]),(DiscreteStatsTable[GroupByKey]=DiscreteStatsTable[[#This Row],[GroupByKey]])*DiscreteStatsTable[Replication]))</f>
        <v>10</v>
      </c>
      <c r="Y408">
        <f>IF(DiscreteStatsTable[[#This Row],[RepsRequested]]=DiscreteStatsTable[[#This Row],[RepsWithStatObserved]],1,0)</f>
        <v>1</v>
      </c>
    </row>
    <row r="409" spans="1:25" x14ac:dyDescent="0.25">
      <c r="A409" t="s">
        <v>67</v>
      </c>
      <c r="B409" t="s">
        <v>243</v>
      </c>
      <c r="C409">
        <v>8</v>
      </c>
      <c r="D409" t="s">
        <v>105</v>
      </c>
      <c r="E409" t="s">
        <v>72</v>
      </c>
      <c r="F409" t="s">
        <v>71</v>
      </c>
      <c r="G409">
        <v>94.573252593872397</v>
      </c>
      <c r="H409">
        <v>42.250910266666203</v>
      </c>
      <c r="I409">
        <v>0</v>
      </c>
      <c r="J409">
        <v>50439.453151483503</v>
      </c>
      <c r="K409">
        <v>8229</v>
      </c>
      <c r="L409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409" cm="1">
        <f t="array" ref="M409">MAX(IF((ProjectInfoTable[ProjectName]=DiscreteStatsTable[[#This Row],[ProjectName]]),(ProjectInfoTable[ProjectName]=DiscreteStatsTable[[#This Row],[ProjectName]])*ProjectInfoTable[NumberOfReplications]))</f>
        <v>10</v>
      </c>
      <c r="N409" cm="1">
        <f t="array" ref="N409">IFERROR(AVERAGE(IF((DiscreteStatsTable[GroupByKey]=DiscreteStatsTable[[#This Row],[GroupByKey]]),(DiscreteStatsTable[GroupByKey]=DiscreteStatsTable[[#This Row],[GroupByKey]])*DiscreteStatsTable[Average])),0)</f>
        <v>88.040125893874716</v>
      </c>
      <c r="O409" cm="1">
        <f t="array" ref="O409">IFERROR(_xlfn.STDEV.S(IF((DiscreteStatsTable[GroupByKey]=DiscreteStatsTable[[#This Row],[GroupByKey]]),(DiscreteStatsTable[GroupByKey]=DiscreteStatsTable[[#This Row],[GroupByKey]])*DiscreteStatsTable[Average])),0)</f>
        <v>12.96089718530159</v>
      </c>
      <c r="P409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9.2716673090812414</v>
      </c>
      <c r="R409" cm="1">
        <f t="array" ref="R409">MIN(IF((DiscreteStatsTable[GroupByKey]=DiscreteStatsTable[[#This Row],[GroupByKey]]),(DiscreteStatsTable[GroupByKey]=DiscreteStatsTable[[#This Row],[GroupByKey]])*DiscreteStatsTable[Average]))</f>
        <v>64.818570391141506</v>
      </c>
      <c r="S409" cm="1">
        <f t="array" ref="S409">MAX(IF((DiscreteStatsTable[GroupByKey]=DiscreteStatsTable[[#This Row],[GroupByKey]]),(DiscreteStatsTable[GroupByKey]=DiscreteStatsTable[[#This Row],[GroupByKey]])*DiscreteStatsTable[Average]))</f>
        <v>100.525218123304</v>
      </c>
      <c r="T409" cm="1">
        <f t="array" ref="T409">MIN(IF((DiscreteStatsTable[GroupByKey]=DiscreteStatsTable[[#This Row],[GroupByKey]]),(DiscreteStatsTable[GroupByKey]=DiscreteStatsTable[[#This Row],[GroupByKey]])*DiscreteStatsTable[Minimum]))</f>
        <v>0</v>
      </c>
      <c r="U409" cm="1">
        <f t="array" ref="U409">MAX(IF((DiscreteStatsTable[GroupByKey]=DiscreteStatsTable[[#This Row],[GroupByKey]]),(DiscreteStatsTable[GroupByKey]=DiscreteStatsTable[[#This Row],[GroupByKey]])*DiscreteStatsTable[Maximum]))</f>
        <v>50449.588001419703</v>
      </c>
      <c r="V409" cm="1">
        <f t="array" ref="V409">IFERROR(AVERAGE(IF((DiscreteStatsTable[GroupByKey]=DiscreteStatsTable[[#This Row],[GroupByKey]]),(DiscreteStatsTable[GroupByKey]=DiscreteStatsTable[[#This Row],[GroupByKey]])*DiscreteStatsTable[NumberObservations])),0)</f>
        <v>8233.5</v>
      </c>
      <c r="W409">
        <f>IF((DiscreteStatsTable[[#This Row],[RepsRequested]]&gt;1),DiscreteStatsTable[[#This Row],[HalfWidth]],DiscreteStatsTable[[#This Row],[BatchMeansHalfWidth]])</f>
        <v>9.2716673090812414</v>
      </c>
      <c r="X409" cm="1">
        <f t="array" ref="X409">COUNT(IF((DiscreteStatsTable[GroupByKey]=DiscreteStatsTable[[#This Row],[GroupByKey]]),(DiscreteStatsTable[GroupByKey]=DiscreteStatsTable[[#This Row],[GroupByKey]])*DiscreteStatsTable[Replication]))</f>
        <v>10</v>
      </c>
      <c r="Y409">
        <f>IF(DiscreteStatsTable[[#This Row],[RepsRequested]]=DiscreteStatsTable[[#This Row],[RepsWithStatObserved]],1,0)</f>
        <v>1</v>
      </c>
    </row>
    <row r="410" spans="1:25" x14ac:dyDescent="0.25">
      <c r="A410" t="s">
        <v>67</v>
      </c>
      <c r="B410" t="s">
        <v>243</v>
      </c>
      <c r="C410">
        <v>9</v>
      </c>
      <c r="D410" t="s">
        <v>105</v>
      </c>
      <c r="E410" t="s">
        <v>72</v>
      </c>
      <c r="F410" t="s">
        <v>71</v>
      </c>
      <c r="G410">
        <v>79.715639705115805</v>
      </c>
      <c r="H410">
        <v>31.231123742571299</v>
      </c>
      <c r="I410">
        <v>0</v>
      </c>
      <c r="J410">
        <v>50449.588001419703</v>
      </c>
      <c r="K410">
        <v>8233</v>
      </c>
      <c r="L410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410" cm="1">
        <f t="array" ref="M410">MAX(IF((ProjectInfoTable[ProjectName]=DiscreteStatsTable[[#This Row],[ProjectName]]),(ProjectInfoTable[ProjectName]=DiscreteStatsTable[[#This Row],[ProjectName]])*ProjectInfoTable[NumberOfReplications]))</f>
        <v>10</v>
      </c>
      <c r="N410" cm="1">
        <f t="array" ref="N410">IFERROR(AVERAGE(IF((DiscreteStatsTable[GroupByKey]=DiscreteStatsTable[[#This Row],[GroupByKey]]),(DiscreteStatsTable[GroupByKey]=DiscreteStatsTable[[#This Row],[GroupByKey]])*DiscreteStatsTable[Average])),0)</f>
        <v>88.040125893874716</v>
      </c>
      <c r="O410" cm="1">
        <f t="array" ref="O410">IFERROR(_xlfn.STDEV.S(IF((DiscreteStatsTable[GroupByKey]=DiscreteStatsTable[[#This Row],[GroupByKey]]),(DiscreteStatsTable[GroupByKey]=DiscreteStatsTable[[#This Row],[GroupByKey]])*DiscreteStatsTable[Average])),0)</f>
        <v>12.96089718530159</v>
      </c>
      <c r="P410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9.2716673090812414</v>
      </c>
      <c r="R410" cm="1">
        <f t="array" ref="R410">MIN(IF((DiscreteStatsTable[GroupByKey]=DiscreteStatsTable[[#This Row],[GroupByKey]]),(DiscreteStatsTable[GroupByKey]=DiscreteStatsTable[[#This Row],[GroupByKey]])*DiscreteStatsTable[Average]))</f>
        <v>64.818570391141506</v>
      </c>
      <c r="S410" cm="1">
        <f t="array" ref="S410">MAX(IF((DiscreteStatsTable[GroupByKey]=DiscreteStatsTable[[#This Row],[GroupByKey]]),(DiscreteStatsTable[GroupByKey]=DiscreteStatsTable[[#This Row],[GroupByKey]])*DiscreteStatsTable[Average]))</f>
        <v>100.525218123304</v>
      </c>
      <c r="T410" cm="1">
        <f t="array" ref="T410">MIN(IF((DiscreteStatsTable[GroupByKey]=DiscreteStatsTable[[#This Row],[GroupByKey]]),(DiscreteStatsTable[GroupByKey]=DiscreteStatsTable[[#This Row],[GroupByKey]])*DiscreteStatsTable[Minimum]))</f>
        <v>0</v>
      </c>
      <c r="U410" cm="1">
        <f t="array" ref="U410">MAX(IF((DiscreteStatsTable[GroupByKey]=DiscreteStatsTable[[#This Row],[GroupByKey]]),(DiscreteStatsTable[GroupByKey]=DiscreteStatsTable[[#This Row],[GroupByKey]])*DiscreteStatsTable[Maximum]))</f>
        <v>50449.588001419703</v>
      </c>
      <c r="V410" cm="1">
        <f t="array" ref="V410">IFERROR(AVERAGE(IF((DiscreteStatsTable[GroupByKey]=DiscreteStatsTable[[#This Row],[GroupByKey]]),(DiscreteStatsTable[GroupByKey]=DiscreteStatsTable[[#This Row],[GroupByKey]])*DiscreteStatsTable[NumberObservations])),0)</f>
        <v>8233.5</v>
      </c>
      <c r="W410">
        <f>IF((DiscreteStatsTable[[#This Row],[RepsRequested]]&gt;1),DiscreteStatsTable[[#This Row],[HalfWidth]],DiscreteStatsTable[[#This Row],[BatchMeansHalfWidth]])</f>
        <v>9.2716673090812414</v>
      </c>
      <c r="X410" cm="1">
        <f t="array" ref="X410">COUNT(IF((DiscreteStatsTable[GroupByKey]=DiscreteStatsTable[[#This Row],[GroupByKey]]),(DiscreteStatsTable[GroupByKey]=DiscreteStatsTable[[#This Row],[GroupByKey]])*DiscreteStatsTable[Replication]))</f>
        <v>10</v>
      </c>
      <c r="Y410">
        <f>IF(DiscreteStatsTable[[#This Row],[RepsRequested]]=DiscreteStatsTable[[#This Row],[RepsWithStatObserved]],1,0)</f>
        <v>1</v>
      </c>
    </row>
    <row r="411" spans="1:25" x14ac:dyDescent="0.25">
      <c r="A411" t="s">
        <v>67</v>
      </c>
      <c r="B411" t="s">
        <v>243</v>
      </c>
      <c r="C411">
        <v>10</v>
      </c>
      <c r="D411" t="s">
        <v>105</v>
      </c>
      <c r="E411" t="s">
        <v>72</v>
      </c>
      <c r="F411" t="s">
        <v>71</v>
      </c>
      <c r="G411">
        <v>79.753510088118702</v>
      </c>
      <c r="H411">
        <v>31.161540012782599</v>
      </c>
      <c r="I411">
        <v>0</v>
      </c>
      <c r="J411">
        <v>50442.116561700102</v>
      </c>
      <c r="K411">
        <v>8233</v>
      </c>
      <c r="L411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411" cm="1">
        <f t="array" ref="M411">MAX(IF((ProjectInfoTable[ProjectName]=DiscreteStatsTable[[#This Row],[ProjectName]]),(ProjectInfoTable[ProjectName]=DiscreteStatsTable[[#This Row],[ProjectName]])*ProjectInfoTable[NumberOfReplications]))</f>
        <v>10</v>
      </c>
      <c r="N411" cm="1">
        <f t="array" ref="N411">IFERROR(AVERAGE(IF((DiscreteStatsTable[GroupByKey]=DiscreteStatsTable[[#This Row],[GroupByKey]]),(DiscreteStatsTable[GroupByKey]=DiscreteStatsTable[[#This Row],[GroupByKey]])*DiscreteStatsTable[Average])),0)</f>
        <v>88.040125893874716</v>
      </c>
      <c r="O411" cm="1">
        <f t="array" ref="O411">IFERROR(_xlfn.STDEV.S(IF((DiscreteStatsTable[GroupByKey]=DiscreteStatsTable[[#This Row],[GroupByKey]]),(DiscreteStatsTable[GroupByKey]=DiscreteStatsTable[[#This Row],[GroupByKey]])*DiscreteStatsTable[Average])),0)</f>
        <v>12.96089718530159</v>
      </c>
      <c r="P411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9.2716673090812414</v>
      </c>
      <c r="R411" cm="1">
        <f t="array" ref="R411">MIN(IF((DiscreteStatsTable[GroupByKey]=DiscreteStatsTable[[#This Row],[GroupByKey]]),(DiscreteStatsTable[GroupByKey]=DiscreteStatsTable[[#This Row],[GroupByKey]])*DiscreteStatsTable[Average]))</f>
        <v>64.818570391141506</v>
      </c>
      <c r="S411" cm="1">
        <f t="array" ref="S411">MAX(IF((DiscreteStatsTable[GroupByKey]=DiscreteStatsTable[[#This Row],[GroupByKey]]),(DiscreteStatsTable[GroupByKey]=DiscreteStatsTable[[#This Row],[GroupByKey]])*DiscreteStatsTable[Average]))</f>
        <v>100.525218123304</v>
      </c>
      <c r="T411" cm="1">
        <f t="array" ref="T411">MIN(IF((DiscreteStatsTable[GroupByKey]=DiscreteStatsTable[[#This Row],[GroupByKey]]),(DiscreteStatsTable[GroupByKey]=DiscreteStatsTable[[#This Row],[GroupByKey]])*DiscreteStatsTable[Minimum]))</f>
        <v>0</v>
      </c>
      <c r="U411" cm="1">
        <f t="array" ref="U411">MAX(IF((DiscreteStatsTable[GroupByKey]=DiscreteStatsTable[[#This Row],[GroupByKey]]),(DiscreteStatsTable[GroupByKey]=DiscreteStatsTable[[#This Row],[GroupByKey]])*DiscreteStatsTable[Maximum]))</f>
        <v>50449.588001419703</v>
      </c>
      <c r="V411" cm="1">
        <f t="array" ref="V411">IFERROR(AVERAGE(IF((DiscreteStatsTable[GroupByKey]=DiscreteStatsTable[[#This Row],[GroupByKey]]),(DiscreteStatsTable[GroupByKey]=DiscreteStatsTable[[#This Row],[GroupByKey]])*DiscreteStatsTable[NumberObservations])),0)</f>
        <v>8233.5</v>
      </c>
      <c r="W411">
        <f>IF((DiscreteStatsTable[[#This Row],[RepsRequested]]&gt;1),DiscreteStatsTable[[#This Row],[HalfWidth]],DiscreteStatsTable[[#This Row],[BatchMeansHalfWidth]])</f>
        <v>9.2716673090812414</v>
      </c>
      <c r="X411" cm="1">
        <f t="array" ref="X411">COUNT(IF((DiscreteStatsTable[GroupByKey]=DiscreteStatsTable[[#This Row],[GroupByKey]]),(DiscreteStatsTable[GroupByKey]=DiscreteStatsTable[[#This Row],[GroupByKey]])*DiscreteStatsTable[Replication]))</f>
        <v>10</v>
      </c>
      <c r="Y411">
        <f>IF(DiscreteStatsTable[[#This Row],[RepsRequested]]=DiscreteStatsTable[[#This Row],[RepsWithStatObserved]],1,0)</f>
        <v>1</v>
      </c>
    </row>
    <row r="412" spans="1:25" x14ac:dyDescent="0.25">
      <c r="A412" t="s">
        <v>67</v>
      </c>
      <c r="B412" t="s">
        <v>243</v>
      </c>
      <c r="C412">
        <v>1</v>
      </c>
      <c r="D412" t="s">
        <v>106</v>
      </c>
      <c r="E412" t="s">
        <v>72</v>
      </c>
      <c r="F412" t="s">
        <v>71</v>
      </c>
      <c r="G412">
        <v>238.54383411691001</v>
      </c>
      <c r="H412">
        <v>80.898736001541394</v>
      </c>
      <c r="I412">
        <v>0</v>
      </c>
      <c r="J412">
        <v>50555.694322055599</v>
      </c>
      <c r="K412">
        <v>8233</v>
      </c>
      <c r="L412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412" cm="1">
        <f t="array" ref="M412">MAX(IF((ProjectInfoTable[ProjectName]=DiscreteStatsTable[[#This Row],[ProjectName]]),(ProjectInfoTable[ProjectName]=DiscreteStatsTable[[#This Row],[ProjectName]])*ProjectInfoTable[NumberOfReplications]))</f>
        <v>10</v>
      </c>
      <c r="N412" cm="1">
        <f t="array" ref="N412">IFERROR(AVERAGE(IF((DiscreteStatsTable[GroupByKey]=DiscreteStatsTable[[#This Row],[GroupByKey]]),(DiscreteStatsTable[GroupByKey]=DiscreteStatsTable[[#This Row],[GroupByKey]])*DiscreteStatsTable[Average])),0)</f>
        <v>229.8897737798377</v>
      </c>
      <c r="O412" cm="1">
        <f t="array" ref="O412">IFERROR(_xlfn.STDEV.S(IF((DiscreteStatsTable[GroupByKey]=DiscreteStatsTable[[#This Row],[GroupByKey]]),(DiscreteStatsTable[GroupByKey]=DiscreteStatsTable[[#This Row],[GroupByKey]])*DiscreteStatsTable[Average])),0)</f>
        <v>18.339818831006617</v>
      </c>
      <c r="P412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13.119516055011427</v>
      </c>
      <c r="R412" cm="1">
        <f t="array" ref="R412">MIN(IF((DiscreteStatsTable[GroupByKey]=DiscreteStatsTable[[#This Row],[GroupByKey]]),(DiscreteStatsTable[GroupByKey]=DiscreteStatsTable[[#This Row],[GroupByKey]])*DiscreteStatsTable[Average]))</f>
        <v>210.201039016267</v>
      </c>
      <c r="S412" cm="1">
        <f t="array" ref="S412">MAX(IF((DiscreteStatsTable[GroupByKey]=DiscreteStatsTable[[#This Row],[GroupByKey]]),(DiscreteStatsTable[GroupByKey]=DiscreteStatsTable[[#This Row],[GroupByKey]])*DiscreteStatsTable[Average]))</f>
        <v>267.93355402142498</v>
      </c>
      <c r="T412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cm="1">
        <f t="array" ref="U412">MAX(IF((DiscreteStatsTable[GroupByKey]=DiscreteStatsTable[[#This Row],[GroupByKey]]),(DiscreteStatsTable[GroupByKey]=DiscreteStatsTable[[#This Row],[GroupByKey]])*DiscreteStatsTable[Maximum]))</f>
        <v>50557.121858719198</v>
      </c>
      <c r="V412" cm="1">
        <f t="array" ref="V412">IFERROR(AVERAGE(IF((DiscreteStatsTable[GroupByKey]=DiscreteStatsTable[[#This Row],[GroupByKey]]),(DiscreteStatsTable[GroupByKey]=DiscreteStatsTable[[#This Row],[GroupByKey]])*DiscreteStatsTable[NumberObservations])),0)</f>
        <v>8231.5</v>
      </c>
      <c r="W412">
        <f>IF((DiscreteStatsTable[[#This Row],[RepsRequested]]&gt;1),DiscreteStatsTable[[#This Row],[HalfWidth]],DiscreteStatsTable[[#This Row],[BatchMeansHalfWidth]])</f>
        <v>13.119516055011427</v>
      </c>
      <c r="X412" cm="1">
        <f t="array" ref="X412">COUNT(IF((DiscreteStatsTable[GroupByKey]=DiscreteStatsTable[[#This Row],[GroupByKey]]),(DiscreteStatsTable[GroupByKey]=DiscreteStatsTable[[#This Row],[GroupByKey]])*DiscreteStatsTable[Replication]))</f>
        <v>10</v>
      </c>
      <c r="Y412">
        <f>IF(DiscreteStatsTable[[#This Row],[RepsRequested]]=DiscreteStatsTable[[#This Row],[RepsWithStatObserved]],1,0)</f>
        <v>1</v>
      </c>
    </row>
    <row r="413" spans="1:25" x14ac:dyDescent="0.25">
      <c r="A413" t="s">
        <v>67</v>
      </c>
      <c r="B413" t="s">
        <v>243</v>
      </c>
      <c r="C413">
        <v>2</v>
      </c>
      <c r="D413" t="s">
        <v>106</v>
      </c>
      <c r="E413" t="s">
        <v>72</v>
      </c>
      <c r="F413" t="s">
        <v>71</v>
      </c>
      <c r="G413">
        <v>225.99232768277801</v>
      </c>
      <c r="H413">
        <v>67.694357802885804</v>
      </c>
      <c r="I413">
        <v>0</v>
      </c>
      <c r="J413">
        <v>50556.217925576799</v>
      </c>
      <c r="K413">
        <v>8228</v>
      </c>
      <c r="L413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413" cm="1">
        <f t="array" ref="M413">MAX(IF((ProjectInfoTable[ProjectName]=DiscreteStatsTable[[#This Row],[ProjectName]]),(ProjectInfoTable[ProjectName]=DiscreteStatsTable[[#This Row],[ProjectName]])*ProjectInfoTable[NumberOfReplications]))</f>
        <v>10</v>
      </c>
      <c r="N413" cm="1">
        <f t="array" ref="N413">IFERROR(AVERAGE(IF((DiscreteStatsTable[GroupByKey]=DiscreteStatsTable[[#This Row],[GroupByKey]]),(DiscreteStatsTable[GroupByKey]=DiscreteStatsTable[[#This Row],[GroupByKey]])*DiscreteStatsTable[Average])),0)</f>
        <v>229.8897737798377</v>
      </c>
      <c r="O413" cm="1">
        <f t="array" ref="O413">IFERROR(_xlfn.STDEV.S(IF((DiscreteStatsTable[GroupByKey]=DiscreteStatsTable[[#This Row],[GroupByKey]]),(DiscreteStatsTable[GroupByKey]=DiscreteStatsTable[[#This Row],[GroupByKey]])*DiscreteStatsTable[Average])),0)</f>
        <v>18.339818831006617</v>
      </c>
      <c r="P413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13.119516055011427</v>
      </c>
      <c r="R413" cm="1">
        <f t="array" ref="R413">MIN(IF((DiscreteStatsTable[GroupByKey]=DiscreteStatsTable[[#This Row],[GroupByKey]]),(DiscreteStatsTable[GroupByKey]=DiscreteStatsTable[[#This Row],[GroupByKey]])*DiscreteStatsTable[Average]))</f>
        <v>210.201039016267</v>
      </c>
      <c r="S413" cm="1">
        <f t="array" ref="S413">MAX(IF((DiscreteStatsTable[GroupByKey]=DiscreteStatsTable[[#This Row],[GroupByKey]]),(DiscreteStatsTable[GroupByKey]=DiscreteStatsTable[[#This Row],[GroupByKey]])*DiscreteStatsTable[Average]))</f>
        <v>267.93355402142498</v>
      </c>
      <c r="T413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cm="1">
        <f t="array" ref="U413">MAX(IF((DiscreteStatsTable[GroupByKey]=DiscreteStatsTable[[#This Row],[GroupByKey]]),(DiscreteStatsTable[GroupByKey]=DiscreteStatsTable[[#This Row],[GroupByKey]])*DiscreteStatsTable[Maximum]))</f>
        <v>50557.121858719198</v>
      </c>
      <c r="V413" cm="1">
        <f t="array" ref="V413">IFERROR(AVERAGE(IF((DiscreteStatsTable[GroupByKey]=DiscreteStatsTable[[#This Row],[GroupByKey]]),(DiscreteStatsTable[GroupByKey]=DiscreteStatsTable[[#This Row],[GroupByKey]])*DiscreteStatsTable[NumberObservations])),0)</f>
        <v>8231.5</v>
      </c>
      <c r="W413">
        <f>IF((DiscreteStatsTable[[#This Row],[RepsRequested]]&gt;1),DiscreteStatsTable[[#This Row],[HalfWidth]],DiscreteStatsTable[[#This Row],[BatchMeansHalfWidth]])</f>
        <v>13.119516055011427</v>
      </c>
      <c r="X413" cm="1">
        <f t="array" ref="X413">COUNT(IF((DiscreteStatsTable[GroupByKey]=DiscreteStatsTable[[#This Row],[GroupByKey]]),(DiscreteStatsTable[GroupByKey]=DiscreteStatsTable[[#This Row],[GroupByKey]])*DiscreteStatsTable[Replication]))</f>
        <v>10</v>
      </c>
      <c r="Y413">
        <f>IF(DiscreteStatsTable[[#This Row],[RepsRequested]]=DiscreteStatsTable[[#This Row],[RepsWithStatObserved]],1,0)</f>
        <v>1</v>
      </c>
    </row>
    <row r="414" spans="1:25" x14ac:dyDescent="0.25">
      <c r="A414" t="s">
        <v>67</v>
      </c>
      <c r="B414" t="s">
        <v>243</v>
      </c>
      <c r="C414">
        <v>3</v>
      </c>
      <c r="D414" t="s">
        <v>106</v>
      </c>
      <c r="E414" t="s">
        <v>72</v>
      </c>
      <c r="F414" t="s">
        <v>71</v>
      </c>
      <c r="G414">
        <v>224.33017802664801</v>
      </c>
      <c r="H414">
        <v>67.740929919711704</v>
      </c>
      <c r="I414">
        <v>0</v>
      </c>
      <c r="J414">
        <v>50557.047310766699</v>
      </c>
      <c r="K414">
        <v>8241</v>
      </c>
      <c r="L414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414" cm="1">
        <f t="array" ref="M414">MAX(IF((ProjectInfoTable[ProjectName]=DiscreteStatsTable[[#This Row],[ProjectName]]),(ProjectInfoTable[ProjectName]=DiscreteStatsTable[[#This Row],[ProjectName]])*ProjectInfoTable[NumberOfReplications]))</f>
        <v>10</v>
      </c>
      <c r="N414" cm="1">
        <f t="array" ref="N414">IFERROR(AVERAGE(IF((DiscreteStatsTable[GroupByKey]=DiscreteStatsTable[[#This Row],[GroupByKey]]),(DiscreteStatsTable[GroupByKey]=DiscreteStatsTable[[#This Row],[GroupByKey]])*DiscreteStatsTable[Average])),0)</f>
        <v>229.8897737798377</v>
      </c>
      <c r="O414" cm="1">
        <f t="array" ref="O414">IFERROR(_xlfn.STDEV.S(IF((DiscreteStatsTable[GroupByKey]=DiscreteStatsTable[[#This Row],[GroupByKey]]),(DiscreteStatsTable[GroupByKey]=DiscreteStatsTable[[#This Row],[GroupByKey]])*DiscreteStatsTable[Average])),0)</f>
        <v>18.339818831006617</v>
      </c>
      <c r="P414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13.119516055011427</v>
      </c>
      <c r="R414" cm="1">
        <f t="array" ref="R414">MIN(IF((DiscreteStatsTable[GroupByKey]=DiscreteStatsTable[[#This Row],[GroupByKey]]),(DiscreteStatsTable[GroupByKey]=DiscreteStatsTable[[#This Row],[GroupByKey]])*DiscreteStatsTable[Average]))</f>
        <v>210.201039016267</v>
      </c>
      <c r="S414" cm="1">
        <f t="array" ref="S414">MAX(IF((DiscreteStatsTable[GroupByKey]=DiscreteStatsTable[[#This Row],[GroupByKey]]),(DiscreteStatsTable[GroupByKey]=DiscreteStatsTable[[#This Row],[GroupByKey]])*DiscreteStatsTable[Average]))</f>
        <v>267.93355402142498</v>
      </c>
      <c r="T414" cm="1">
        <f t="array" ref="T414">MIN(IF((DiscreteStatsTable[GroupByKey]=DiscreteStatsTable[[#This Row],[GroupByKey]]),(DiscreteStatsTable[GroupByKey]=DiscreteStatsTable[[#This Row],[GroupByKey]])*DiscreteStatsTable[Minimum]))</f>
        <v>0</v>
      </c>
      <c r="U414" cm="1">
        <f t="array" ref="U414">MAX(IF((DiscreteStatsTable[GroupByKey]=DiscreteStatsTable[[#This Row],[GroupByKey]]),(DiscreteStatsTable[GroupByKey]=DiscreteStatsTable[[#This Row],[GroupByKey]])*DiscreteStatsTable[Maximum]))</f>
        <v>50557.121858719198</v>
      </c>
      <c r="V414" cm="1">
        <f t="array" ref="V414">IFERROR(AVERAGE(IF((DiscreteStatsTable[GroupByKey]=DiscreteStatsTable[[#This Row],[GroupByKey]]),(DiscreteStatsTable[GroupByKey]=DiscreteStatsTable[[#This Row],[GroupByKey]])*DiscreteStatsTable[NumberObservations])),0)</f>
        <v>8231.5</v>
      </c>
      <c r="W414">
        <f>IF((DiscreteStatsTable[[#This Row],[RepsRequested]]&gt;1),DiscreteStatsTable[[#This Row],[HalfWidth]],DiscreteStatsTable[[#This Row],[BatchMeansHalfWidth]])</f>
        <v>13.119516055011427</v>
      </c>
      <c r="X414" cm="1">
        <f t="array" ref="X414">COUNT(IF((DiscreteStatsTable[GroupByKey]=DiscreteStatsTable[[#This Row],[GroupByKey]]),(DiscreteStatsTable[GroupByKey]=DiscreteStatsTable[[#This Row],[GroupByKey]])*DiscreteStatsTable[Replication]))</f>
        <v>10</v>
      </c>
      <c r="Y414">
        <f>IF(DiscreteStatsTable[[#This Row],[RepsRequested]]=DiscreteStatsTable[[#This Row],[RepsWithStatObserved]],1,0)</f>
        <v>1</v>
      </c>
    </row>
    <row r="415" spans="1:25" x14ac:dyDescent="0.25">
      <c r="A415" t="s">
        <v>67</v>
      </c>
      <c r="B415" t="s">
        <v>243</v>
      </c>
      <c r="C415">
        <v>4</v>
      </c>
      <c r="D415" t="s">
        <v>106</v>
      </c>
      <c r="E415" t="s">
        <v>72</v>
      </c>
      <c r="F415" t="s">
        <v>71</v>
      </c>
      <c r="G415">
        <v>224.236191757271</v>
      </c>
      <c r="H415">
        <v>67.745583250861401</v>
      </c>
      <c r="I415">
        <v>0</v>
      </c>
      <c r="J415">
        <v>50547.7455795196</v>
      </c>
      <c r="K415">
        <v>8230</v>
      </c>
      <c r="L415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415" cm="1">
        <f t="array" ref="M415">MAX(IF((ProjectInfoTable[ProjectName]=DiscreteStatsTable[[#This Row],[ProjectName]]),(ProjectInfoTable[ProjectName]=DiscreteStatsTable[[#This Row],[ProjectName]])*ProjectInfoTable[NumberOfReplications]))</f>
        <v>10</v>
      </c>
      <c r="N415" cm="1">
        <f t="array" ref="N415">IFERROR(AVERAGE(IF((DiscreteStatsTable[GroupByKey]=DiscreteStatsTable[[#This Row],[GroupByKey]]),(DiscreteStatsTable[GroupByKey]=DiscreteStatsTable[[#This Row],[GroupByKey]])*DiscreteStatsTable[Average])),0)</f>
        <v>229.8897737798377</v>
      </c>
      <c r="O415" cm="1">
        <f t="array" ref="O415">IFERROR(_xlfn.STDEV.S(IF((DiscreteStatsTable[GroupByKey]=DiscreteStatsTable[[#This Row],[GroupByKey]]),(DiscreteStatsTable[GroupByKey]=DiscreteStatsTable[[#This Row],[GroupByKey]])*DiscreteStatsTable[Average])),0)</f>
        <v>18.339818831006617</v>
      </c>
      <c r="P41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13.119516055011427</v>
      </c>
      <c r="R415" cm="1">
        <f t="array" ref="R415">MIN(IF((DiscreteStatsTable[GroupByKey]=DiscreteStatsTable[[#This Row],[GroupByKey]]),(DiscreteStatsTable[GroupByKey]=DiscreteStatsTable[[#This Row],[GroupByKey]])*DiscreteStatsTable[Average]))</f>
        <v>210.201039016267</v>
      </c>
      <c r="S415" cm="1">
        <f t="array" ref="S415">MAX(IF((DiscreteStatsTable[GroupByKey]=DiscreteStatsTable[[#This Row],[GroupByKey]]),(DiscreteStatsTable[GroupByKey]=DiscreteStatsTable[[#This Row],[GroupByKey]])*DiscreteStatsTable[Average]))</f>
        <v>267.93355402142498</v>
      </c>
      <c r="T415" cm="1">
        <f t="array" ref="T415">MIN(IF((DiscreteStatsTable[GroupByKey]=DiscreteStatsTable[[#This Row],[GroupByKey]]),(DiscreteStatsTable[GroupByKey]=DiscreteStatsTable[[#This Row],[GroupByKey]])*DiscreteStatsTable[Minimum]))</f>
        <v>0</v>
      </c>
      <c r="U415" cm="1">
        <f t="array" ref="U415">MAX(IF((DiscreteStatsTable[GroupByKey]=DiscreteStatsTable[[#This Row],[GroupByKey]]),(DiscreteStatsTable[GroupByKey]=DiscreteStatsTable[[#This Row],[GroupByKey]])*DiscreteStatsTable[Maximum]))</f>
        <v>50557.121858719198</v>
      </c>
      <c r="V415" cm="1">
        <f t="array" ref="V415">IFERROR(AVERAGE(IF((DiscreteStatsTable[GroupByKey]=DiscreteStatsTable[[#This Row],[GroupByKey]]),(DiscreteStatsTable[GroupByKey]=DiscreteStatsTable[[#This Row],[GroupByKey]])*DiscreteStatsTable[NumberObservations])),0)</f>
        <v>8231.5</v>
      </c>
      <c r="W415">
        <f>IF((DiscreteStatsTable[[#This Row],[RepsRequested]]&gt;1),DiscreteStatsTable[[#This Row],[HalfWidth]],DiscreteStatsTable[[#This Row],[BatchMeansHalfWidth]])</f>
        <v>13.119516055011427</v>
      </c>
      <c r="X415" cm="1">
        <f t="array" ref="X415">COUNT(IF((DiscreteStatsTable[GroupByKey]=DiscreteStatsTable[[#This Row],[GroupByKey]]),(DiscreteStatsTable[GroupByKey]=DiscreteStatsTable[[#This Row],[GroupByKey]])*DiscreteStatsTable[Replication]))</f>
        <v>10</v>
      </c>
      <c r="Y415">
        <f>IF(DiscreteStatsTable[[#This Row],[RepsRequested]]=DiscreteStatsTable[[#This Row],[RepsWithStatObserved]],1,0)</f>
        <v>1</v>
      </c>
    </row>
    <row r="416" spans="1:25" x14ac:dyDescent="0.25">
      <c r="A416" t="s">
        <v>67</v>
      </c>
      <c r="B416" t="s">
        <v>243</v>
      </c>
      <c r="C416">
        <v>5</v>
      </c>
      <c r="D416" t="s">
        <v>106</v>
      </c>
      <c r="E416" t="s">
        <v>72</v>
      </c>
      <c r="F416" t="s">
        <v>71</v>
      </c>
      <c r="G416">
        <v>211.21373911525299</v>
      </c>
      <c r="H416">
        <v>53.693762006629797</v>
      </c>
      <c r="I416">
        <v>0</v>
      </c>
      <c r="J416">
        <v>50557.121858719198</v>
      </c>
      <c r="K416">
        <v>8241</v>
      </c>
      <c r="L416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416" cm="1">
        <f t="array" ref="M416">MAX(IF((ProjectInfoTable[ProjectName]=DiscreteStatsTable[[#This Row],[ProjectName]]),(ProjectInfoTable[ProjectName]=DiscreteStatsTable[[#This Row],[ProjectName]])*ProjectInfoTable[NumberOfReplications]))</f>
        <v>10</v>
      </c>
      <c r="N416" cm="1">
        <f t="array" ref="N416">IFERROR(AVERAGE(IF((DiscreteStatsTable[GroupByKey]=DiscreteStatsTable[[#This Row],[GroupByKey]]),(DiscreteStatsTable[GroupByKey]=DiscreteStatsTable[[#This Row],[GroupByKey]])*DiscreteStatsTable[Average])),0)</f>
        <v>229.8897737798377</v>
      </c>
      <c r="O416" cm="1">
        <f t="array" ref="O416">IFERROR(_xlfn.STDEV.S(IF((DiscreteStatsTable[GroupByKey]=DiscreteStatsTable[[#This Row],[GroupByKey]]),(DiscreteStatsTable[GroupByKey]=DiscreteStatsTable[[#This Row],[GroupByKey]])*DiscreteStatsTable[Average])),0)</f>
        <v>18.339818831006617</v>
      </c>
      <c r="P416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13.119516055011427</v>
      </c>
      <c r="R416" cm="1">
        <f t="array" ref="R416">MIN(IF((DiscreteStatsTable[GroupByKey]=DiscreteStatsTable[[#This Row],[GroupByKey]]),(DiscreteStatsTable[GroupByKey]=DiscreteStatsTable[[#This Row],[GroupByKey]])*DiscreteStatsTable[Average]))</f>
        <v>210.201039016267</v>
      </c>
      <c r="S416" cm="1">
        <f t="array" ref="S416">MAX(IF((DiscreteStatsTable[GroupByKey]=DiscreteStatsTable[[#This Row],[GroupByKey]]),(DiscreteStatsTable[GroupByKey]=DiscreteStatsTable[[#This Row],[GroupByKey]])*DiscreteStatsTable[Average]))</f>
        <v>267.93355402142498</v>
      </c>
      <c r="T416" cm="1">
        <f t="array" ref="T416">MIN(IF((DiscreteStatsTable[GroupByKey]=DiscreteStatsTable[[#This Row],[GroupByKey]]),(DiscreteStatsTable[GroupByKey]=DiscreteStatsTable[[#This Row],[GroupByKey]])*DiscreteStatsTable[Minimum]))</f>
        <v>0</v>
      </c>
      <c r="U416" cm="1">
        <f t="array" ref="U416">MAX(IF((DiscreteStatsTable[GroupByKey]=DiscreteStatsTable[[#This Row],[GroupByKey]]),(DiscreteStatsTable[GroupByKey]=DiscreteStatsTable[[#This Row],[GroupByKey]])*DiscreteStatsTable[Maximum]))</f>
        <v>50557.121858719198</v>
      </c>
      <c r="V416" cm="1">
        <f t="array" ref="V416">IFERROR(AVERAGE(IF((DiscreteStatsTable[GroupByKey]=DiscreteStatsTable[[#This Row],[GroupByKey]]),(DiscreteStatsTable[GroupByKey]=DiscreteStatsTable[[#This Row],[GroupByKey]])*DiscreteStatsTable[NumberObservations])),0)</f>
        <v>8231.5</v>
      </c>
      <c r="W416">
        <f>IF((DiscreteStatsTable[[#This Row],[RepsRequested]]&gt;1),DiscreteStatsTable[[#This Row],[HalfWidth]],DiscreteStatsTable[[#This Row],[BatchMeansHalfWidth]])</f>
        <v>13.119516055011427</v>
      </c>
      <c r="X416" cm="1">
        <f t="array" ref="X416">COUNT(IF((DiscreteStatsTable[GroupByKey]=DiscreteStatsTable[[#This Row],[GroupByKey]]),(DiscreteStatsTable[GroupByKey]=DiscreteStatsTable[[#This Row],[GroupByKey]])*DiscreteStatsTable[Replication]))</f>
        <v>10</v>
      </c>
      <c r="Y416">
        <f>IF(DiscreteStatsTable[[#This Row],[RepsRequested]]=DiscreteStatsTable[[#This Row],[RepsWithStatObserved]],1,0)</f>
        <v>1</v>
      </c>
    </row>
    <row r="417" spans="1:25" x14ac:dyDescent="0.25">
      <c r="A417" t="s">
        <v>67</v>
      </c>
      <c r="B417" t="s">
        <v>243</v>
      </c>
      <c r="C417">
        <v>6</v>
      </c>
      <c r="D417" t="s">
        <v>106</v>
      </c>
      <c r="E417" t="s">
        <v>72</v>
      </c>
      <c r="F417" t="s">
        <v>71</v>
      </c>
      <c r="G417">
        <v>217.98329615109199</v>
      </c>
      <c r="H417">
        <v>59.940997956990202</v>
      </c>
      <c r="I417">
        <v>0</v>
      </c>
      <c r="J417">
        <v>50555.882405860903</v>
      </c>
      <c r="K417">
        <v>8220</v>
      </c>
      <c r="L417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417" cm="1">
        <f t="array" ref="M417">MAX(IF((ProjectInfoTable[ProjectName]=DiscreteStatsTable[[#This Row],[ProjectName]]),(ProjectInfoTable[ProjectName]=DiscreteStatsTable[[#This Row],[ProjectName]])*ProjectInfoTable[NumberOfReplications]))</f>
        <v>10</v>
      </c>
      <c r="N417" cm="1">
        <f t="array" ref="N417">IFERROR(AVERAGE(IF((DiscreteStatsTable[GroupByKey]=DiscreteStatsTable[[#This Row],[GroupByKey]]),(DiscreteStatsTable[GroupByKey]=DiscreteStatsTable[[#This Row],[GroupByKey]])*DiscreteStatsTable[Average])),0)</f>
        <v>229.8897737798377</v>
      </c>
      <c r="O417" cm="1">
        <f t="array" ref="O417">IFERROR(_xlfn.STDEV.S(IF((DiscreteStatsTable[GroupByKey]=DiscreteStatsTable[[#This Row],[GroupByKey]]),(DiscreteStatsTable[GroupByKey]=DiscreteStatsTable[[#This Row],[GroupByKey]])*DiscreteStatsTable[Average])),0)</f>
        <v>18.339818831006617</v>
      </c>
      <c r="P417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13.119516055011427</v>
      </c>
      <c r="R417" cm="1">
        <f t="array" ref="R417">MIN(IF((DiscreteStatsTable[GroupByKey]=DiscreteStatsTable[[#This Row],[GroupByKey]]),(DiscreteStatsTable[GroupByKey]=DiscreteStatsTable[[#This Row],[GroupByKey]])*DiscreteStatsTable[Average]))</f>
        <v>210.201039016267</v>
      </c>
      <c r="S417" cm="1">
        <f t="array" ref="S417">MAX(IF((DiscreteStatsTable[GroupByKey]=DiscreteStatsTable[[#This Row],[GroupByKey]]),(DiscreteStatsTable[GroupByKey]=DiscreteStatsTable[[#This Row],[GroupByKey]])*DiscreteStatsTable[Average]))</f>
        <v>267.93355402142498</v>
      </c>
      <c r="T417" cm="1">
        <f t="array" ref="T417">MIN(IF((DiscreteStatsTable[GroupByKey]=DiscreteStatsTable[[#This Row],[GroupByKey]]),(DiscreteStatsTable[GroupByKey]=DiscreteStatsTable[[#This Row],[GroupByKey]])*DiscreteStatsTable[Minimum]))</f>
        <v>0</v>
      </c>
      <c r="U417" cm="1">
        <f t="array" ref="U417">MAX(IF((DiscreteStatsTable[GroupByKey]=DiscreteStatsTable[[#This Row],[GroupByKey]]),(DiscreteStatsTable[GroupByKey]=DiscreteStatsTable[[#This Row],[GroupByKey]])*DiscreteStatsTable[Maximum]))</f>
        <v>50557.121858719198</v>
      </c>
      <c r="V417" cm="1">
        <f t="array" ref="V417">IFERROR(AVERAGE(IF((DiscreteStatsTable[GroupByKey]=DiscreteStatsTable[[#This Row],[GroupByKey]]),(DiscreteStatsTable[GroupByKey]=DiscreteStatsTable[[#This Row],[GroupByKey]])*DiscreteStatsTable[NumberObservations])),0)</f>
        <v>8231.5</v>
      </c>
      <c r="W417">
        <f>IF((DiscreteStatsTable[[#This Row],[RepsRequested]]&gt;1),DiscreteStatsTable[[#This Row],[HalfWidth]],DiscreteStatsTable[[#This Row],[BatchMeansHalfWidth]])</f>
        <v>13.119516055011427</v>
      </c>
      <c r="X417" cm="1">
        <f t="array" ref="X417">COUNT(IF((DiscreteStatsTable[GroupByKey]=DiscreteStatsTable[[#This Row],[GroupByKey]]),(DiscreteStatsTable[GroupByKey]=DiscreteStatsTable[[#This Row],[GroupByKey]])*DiscreteStatsTable[Replication]))</f>
        <v>10</v>
      </c>
      <c r="Y417">
        <f>IF(DiscreteStatsTable[[#This Row],[RepsRequested]]=DiscreteStatsTable[[#This Row],[RepsWithStatObserved]],1,0)</f>
        <v>1</v>
      </c>
    </row>
    <row r="418" spans="1:25" x14ac:dyDescent="0.25">
      <c r="A418" t="s">
        <v>67</v>
      </c>
      <c r="B418" t="s">
        <v>243</v>
      </c>
      <c r="C418">
        <v>7</v>
      </c>
      <c r="D418" t="s">
        <v>106</v>
      </c>
      <c r="E418" t="s">
        <v>72</v>
      </c>
      <c r="F418" t="s">
        <v>71</v>
      </c>
      <c r="G418">
        <v>252.908506118281</v>
      </c>
      <c r="H418">
        <v>93.774263219303705</v>
      </c>
      <c r="I418">
        <v>0</v>
      </c>
      <c r="J418">
        <v>50550.666059165298</v>
      </c>
      <c r="K418">
        <v>8234</v>
      </c>
      <c r="L418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418" cm="1">
        <f t="array" ref="M418">MAX(IF((ProjectInfoTable[ProjectName]=DiscreteStatsTable[[#This Row],[ProjectName]]),(ProjectInfoTable[ProjectName]=DiscreteStatsTable[[#This Row],[ProjectName]])*ProjectInfoTable[NumberOfReplications]))</f>
        <v>10</v>
      </c>
      <c r="N418" cm="1">
        <f t="array" ref="N418">IFERROR(AVERAGE(IF((DiscreteStatsTable[GroupByKey]=DiscreteStatsTable[[#This Row],[GroupByKey]]),(DiscreteStatsTable[GroupByKey]=DiscreteStatsTable[[#This Row],[GroupByKey]])*DiscreteStatsTable[Average])),0)</f>
        <v>229.8897737798377</v>
      </c>
      <c r="O418" cm="1">
        <f t="array" ref="O418">IFERROR(_xlfn.STDEV.S(IF((DiscreteStatsTable[GroupByKey]=DiscreteStatsTable[[#This Row],[GroupByKey]]),(DiscreteStatsTable[GroupByKey]=DiscreteStatsTable[[#This Row],[GroupByKey]])*DiscreteStatsTable[Average])),0)</f>
        <v>18.339818831006617</v>
      </c>
      <c r="P418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13.119516055011427</v>
      </c>
      <c r="R418" cm="1">
        <f t="array" ref="R418">MIN(IF((DiscreteStatsTable[GroupByKey]=DiscreteStatsTable[[#This Row],[GroupByKey]]),(DiscreteStatsTable[GroupByKey]=DiscreteStatsTable[[#This Row],[GroupByKey]])*DiscreteStatsTable[Average]))</f>
        <v>210.201039016267</v>
      </c>
      <c r="S418" cm="1">
        <f t="array" ref="S418">MAX(IF((DiscreteStatsTable[GroupByKey]=DiscreteStatsTable[[#This Row],[GroupByKey]]),(DiscreteStatsTable[GroupByKey]=DiscreteStatsTable[[#This Row],[GroupByKey]])*DiscreteStatsTable[Average]))</f>
        <v>267.93355402142498</v>
      </c>
      <c r="T418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cm="1">
        <f t="array" ref="U418">MAX(IF((DiscreteStatsTable[GroupByKey]=DiscreteStatsTable[[#This Row],[GroupByKey]]),(DiscreteStatsTable[GroupByKey]=DiscreteStatsTable[[#This Row],[GroupByKey]])*DiscreteStatsTable[Maximum]))</f>
        <v>50557.121858719198</v>
      </c>
      <c r="V418" cm="1">
        <f t="array" ref="V418">IFERROR(AVERAGE(IF((DiscreteStatsTable[GroupByKey]=DiscreteStatsTable[[#This Row],[GroupByKey]]),(DiscreteStatsTable[GroupByKey]=DiscreteStatsTable[[#This Row],[GroupByKey]])*DiscreteStatsTable[NumberObservations])),0)</f>
        <v>8231.5</v>
      </c>
      <c r="W418">
        <f>IF((DiscreteStatsTable[[#This Row],[RepsRequested]]&gt;1),DiscreteStatsTable[[#This Row],[HalfWidth]],DiscreteStatsTable[[#This Row],[BatchMeansHalfWidth]])</f>
        <v>13.119516055011427</v>
      </c>
      <c r="X418" cm="1">
        <f t="array" ref="X418">COUNT(IF((DiscreteStatsTable[GroupByKey]=DiscreteStatsTable[[#This Row],[GroupByKey]]),(DiscreteStatsTable[GroupByKey]=DiscreteStatsTable[[#This Row],[GroupByKey]])*DiscreteStatsTable[Replication]))</f>
        <v>10</v>
      </c>
      <c r="Y418">
        <f>IF(DiscreteStatsTable[[#This Row],[RepsRequested]]=DiscreteStatsTable[[#This Row],[RepsWithStatObserved]],1,0)</f>
        <v>1</v>
      </c>
    </row>
    <row r="419" spans="1:25" x14ac:dyDescent="0.25">
      <c r="A419" t="s">
        <v>67</v>
      </c>
      <c r="B419" t="s">
        <v>243</v>
      </c>
      <c r="C419">
        <v>8</v>
      </c>
      <c r="D419" t="s">
        <v>106</v>
      </c>
      <c r="E419" t="s">
        <v>72</v>
      </c>
      <c r="F419" t="s">
        <v>71</v>
      </c>
      <c r="G419">
        <v>225.555071792452</v>
      </c>
      <c r="H419">
        <v>67.635642878594098</v>
      </c>
      <c r="I419">
        <v>0</v>
      </c>
      <c r="J419">
        <v>50555.163163213903</v>
      </c>
      <c r="K419">
        <v>8227</v>
      </c>
      <c r="L419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419" cm="1">
        <f t="array" ref="M419">MAX(IF((ProjectInfoTable[ProjectName]=DiscreteStatsTable[[#This Row],[ProjectName]]),(ProjectInfoTable[ProjectName]=DiscreteStatsTable[[#This Row],[ProjectName]])*ProjectInfoTable[NumberOfReplications]))</f>
        <v>10</v>
      </c>
      <c r="N419" cm="1">
        <f t="array" ref="N419">IFERROR(AVERAGE(IF((DiscreteStatsTable[GroupByKey]=DiscreteStatsTable[[#This Row],[GroupByKey]]),(DiscreteStatsTable[GroupByKey]=DiscreteStatsTable[[#This Row],[GroupByKey]])*DiscreteStatsTable[Average])),0)</f>
        <v>229.8897737798377</v>
      </c>
      <c r="O419" cm="1">
        <f t="array" ref="O419">IFERROR(_xlfn.STDEV.S(IF((DiscreteStatsTable[GroupByKey]=DiscreteStatsTable[[#This Row],[GroupByKey]]),(DiscreteStatsTable[GroupByKey]=DiscreteStatsTable[[#This Row],[GroupByKey]])*DiscreteStatsTable[Average])),0)</f>
        <v>18.339818831006617</v>
      </c>
      <c r="P419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13.119516055011427</v>
      </c>
      <c r="R419" cm="1">
        <f t="array" ref="R419">MIN(IF((DiscreteStatsTable[GroupByKey]=DiscreteStatsTable[[#This Row],[GroupByKey]]),(DiscreteStatsTable[GroupByKey]=DiscreteStatsTable[[#This Row],[GroupByKey]])*DiscreteStatsTable[Average]))</f>
        <v>210.201039016267</v>
      </c>
      <c r="S419" cm="1">
        <f t="array" ref="S419">MAX(IF((DiscreteStatsTable[GroupByKey]=DiscreteStatsTable[[#This Row],[GroupByKey]]),(DiscreteStatsTable[GroupByKey]=DiscreteStatsTable[[#This Row],[GroupByKey]])*DiscreteStatsTable[Average]))</f>
        <v>267.93355402142498</v>
      </c>
      <c r="T419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cm="1">
        <f t="array" ref="U419">MAX(IF((DiscreteStatsTable[GroupByKey]=DiscreteStatsTable[[#This Row],[GroupByKey]]),(DiscreteStatsTable[GroupByKey]=DiscreteStatsTable[[#This Row],[GroupByKey]])*DiscreteStatsTable[Maximum]))</f>
        <v>50557.121858719198</v>
      </c>
      <c r="V419" cm="1">
        <f t="array" ref="V419">IFERROR(AVERAGE(IF((DiscreteStatsTable[GroupByKey]=DiscreteStatsTable[[#This Row],[GroupByKey]]),(DiscreteStatsTable[GroupByKey]=DiscreteStatsTable[[#This Row],[GroupByKey]])*DiscreteStatsTable[NumberObservations])),0)</f>
        <v>8231.5</v>
      </c>
      <c r="W419">
        <f>IF((DiscreteStatsTable[[#This Row],[RepsRequested]]&gt;1),DiscreteStatsTable[[#This Row],[HalfWidth]],DiscreteStatsTable[[#This Row],[BatchMeansHalfWidth]])</f>
        <v>13.119516055011427</v>
      </c>
      <c r="X419" cm="1">
        <f t="array" ref="X419">COUNT(IF((DiscreteStatsTable[GroupByKey]=DiscreteStatsTable[[#This Row],[GroupByKey]]),(DiscreteStatsTable[GroupByKey]=DiscreteStatsTable[[#This Row],[GroupByKey]])*DiscreteStatsTable[Replication]))</f>
        <v>10</v>
      </c>
      <c r="Y419">
        <f>IF(DiscreteStatsTable[[#This Row],[RepsRequested]]=DiscreteStatsTable[[#This Row],[RepsWithStatObserved]],1,0)</f>
        <v>1</v>
      </c>
    </row>
    <row r="420" spans="1:25" x14ac:dyDescent="0.25">
      <c r="A420" t="s">
        <v>67</v>
      </c>
      <c r="B420" t="s">
        <v>243</v>
      </c>
      <c r="C420">
        <v>9</v>
      </c>
      <c r="D420" t="s">
        <v>106</v>
      </c>
      <c r="E420" t="s">
        <v>72</v>
      </c>
      <c r="F420" t="s">
        <v>71</v>
      </c>
      <c r="G420">
        <v>210.201039016267</v>
      </c>
      <c r="H420">
        <v>59.6383067039406</v>
      </c>
      <c r="I420">
        <v>0</v>
      </c>
      <c r="J420">
        <v>50554.068653267401</v>
      </c>
      <c r="K420">
        <v>8232</v>
      </c>
      <c r="L420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420" cm="1">
        <f t="array" ref="M420">MAX(IF((ProjectInfoTable[ProjectName]=DiscreteStatsTable[[#This Row],[ProjectName]]),(ProjectInfoTable[ProjectName]=DiscreteStatsTable[[#This Row],[ProjectName]])*ProjectInfoTable[NumberOfReplications]))</f>
        <v>10</v>
      </c>
      <c r="N420" cm="1">
        <f t="array" ref="N420">IFERROR(AVERAGE(IF((DiscreteStatsTable[GroupByKey]=DiscreteStatsTable[[#This Row],[GroupByKey]]),(DiscreteStatsTable[GroupByKey]=DiscreteStatsTable[[#This Row],[GroupByKey]])*DiscreteStatsTable[Average])),0)</f>
        <v>229.8897737798377</v>
      </c>
      <c r="O420" cm="1">
        <f t="array" ref="O420">IFERROR(_xlfn.STDEV.S(IF((DiscreteStatsTable[GroupByKey]=DiscreteStatsTable[[#This Row],[GroupByKey]]),(DiscreteStatsTable[GroupByKey]=DiscreteStatsTable[[#This Row],[GroupByKey]])*DiscreteStatsTable[Average])),0)</f>
        <v>18.339818831006617</v>
      </c>
      <c r="P420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13.119516055011427</v>
      </c>
      <c r="R420" cm="1">
        <f t="array" ref="R420">MIN(IF((DiscreteStatsTable[GroupByKey]=DiscreteStatsTable[[#This Row],[GroupByKey]]),(DiscreteStatsTable[GroupByKey]=DiscreteStatsTable[[#This Row],[GroupByKey]])*DiscreteStatsTable[Average]))</f>
        <v>210.201039016267</v>
      </c>
      <c r="S420" cm="1">
        <f t="array" ref="S420">MAX(IF((DiscreteStatsTable[GroupByKey]=DiscreteStatsTable[[#This Row],[GroupByKey]]),(DiscreteStatsTable[GroupByKey]=DiscreteStatsTable[[#This Row],[GroupByKey]])*DiscreteStatsTable[Average]))</f>
        <v>267.93355402142498</v>
      </c>
      <c r="T420" cm="1">
        <f t="array" ref="T420">MIN(IF((DiscreteStatsTable[GroupByKey]=DiscreteStatsTable[[#This Row],[GroupByKey]]),(DiscreteStatsTable[GroupByKey]=DiscreteStatsTable[[#This Row],[GroupByKey]])*DiscreteStatsTable[Minimum]))</f>
        <v>0</v>
      </c>
      <c r="U420" cm="1">
        <f t="array" ref="U420">MAX(IF((DiscreteStatsTable[GroupByKey]=DiscreteStatsTable[[#This Row],[GroupByKey]]),(DiscreteStatsTable[GroupByKey]=DiscreteStatsTable[[#This Row],[GroupByKey]])*DiscreteStatsTable[Maximum]))</f>
        <v>50557.121858719198</v>
      </c>
      <c r="V420" cm="1">
        <f t="array" ref="V420">IFERROR(AVERAGE(IF((DiscreteStatsTable[GroupByKey]=DiscreteStatsTable[[#This Row],[GroupByKey]]),(DiscreteStatsTable[GroupByKey]=DiscreteStatsTable[[#This Row],[GroupByKey]])*DiscreteStatsTable[NumberObservations])),0)</f>
        <v>8231.5</v>
      </c>
      <c r="W420">
        <f>IF((DiscreteStatsTable[[#This Row],[RepsRequested]]&gt;1),DiscreteStatsTable[[#This Row],[HalfWidth]],DiscreteStatsTable[[#This Row],[BatchMeansHalfWidth]])</f>
        <v>13.119516055011427</v>
      </c>
      <c r="X420" cm="1">
        <f t="array" ref="X420">COUNT(IF((DiscreteStatsTable[GroupByKey]=DiscreteStatsTable[[#This Row],[GroupByKey]]),(DiscreteStatsTable[GroupByKey]=DiscreteStatsTable[[#This Row],[GroupByKey]])*DiscreteStatsTable[Replication]))</f>
        <v>10</v>
      </c>
      <c r="Y420">
        <f>IF(DiscreteStatsTable[[#This Row],[RepsRequested]]=DiscreteStatsTable[[#This Row],[RepsWithStatObserved]],1,0)</f>
        <v>1</v>
      </c>
    </row>
    <row r="421" spans="1:25" x14ac:dyDescent="0.25">
      <c r="A421" t="s">
        <v>67</v>
      </c>
      <c r="B421" t="s">
        <v>243</v>
      </c>
      <c r="C421">
        <v>10</v>
      </c>
      <c r="D421" t="s">
        <v>106</v>
      </c>
      <c r="E421" t="s">
        <v>72</v>
      </c>
      <c r="F421" t="s">
        <v>71</v>
      </c>
      <c r="G421">
        <v>267.93355402142498</v>
      </c>
      <c r="H421">
        <v>99.858228573249093</v>
      </c>
      <c r="I421">
        <v>0</v>
      </c>
      <c r="J421">
        <v>50552.865239464401</v>
      </c>
      <c r="K421">
        <v>8229</v>
      </c>
      <c r="L421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421" cm="1">
        <f t="array" ref="M421">MAX(IF((ProjectInfoTable[ProjectName]=DiscreteStatsTable[[#This Row],[ProjectName]]),(ProjectInfoTable[ProjectName]=DiscreteStatsTable[[#This Row],[ProjectName]])*ProjectInfoTable[NumberOfReplications]))</f>
        <v>10</v>
      </c>
      <c r="N421" cm="1">
        <f t="array" ref="N421">IFERROR(AVERAGE(IF((DiscreteStatsTable[GroupByKey]=DiscreteStatsTable[[#This Row],[GroupByKey]]),(DiscreteStatsTable[GroupByKey]=DiscreteStatsTable[[#This Row],[GroupByKey]])*DiscreteStatsTable[Average])),0)</f>
        <v>229.8897737798377</v>
      </c>
      <c r="O421" cm="1">
        <f t="array" ref="O421">IFERROR(_xlfn.STDEV.S(IF((DiscreteStatsTable[GroupByKey]=DiscreteStatsTable[[#This Row],[GroupByKey]]),(DiscreteStatsTable[GroupByKey]=DiscreteStatsTable[[#This Row],[GroupByKey]])*DiscreteStatsTable[Average])),0)</f>
        <v>18.339818831006617</v>
      </c>
      <c r="P421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13.119516055011427</v>
      </c>
      <c r="R421" cm="1">
        <f t="array" ref="R421">MIN(IF((DiscreteStatsTable[GroupByKey]=DiscreteStatsTable[[#This Row],[GroupByKey]]),(DiscreteStatsTable[GroupByKey]=DiscreteStatsTable[[#This Row],[GroupByKey]])*DiscreteStatsTable[Average]))</f>
        <v>210.201039016267</v>
      </c>
      <c r="S421" cm="1">
        <f t="array" ref="S421">MAX(IF((DiscreteStatsTable[GroupByKey]=DiscreteStatsTable[[#This Row],[GroupByKey]]),(DiscreteStatsTable[GroupByKey]=DiscreteStatsTable[[#This Row],[GroupByKey]])*DiscreteStatsTable[Average]))</f>
        <v>267.93355402142498</v>
      </c>
      <c r="T421" cm="1">
        <f t="array" ref="T421">MIN(IF((DiscreteStatsTable[GroupByKey]=DiscreteStatsTable[[#This Row],[GroupByKey]]),(DiscreteStatsTable[GroupByKey]=DiscreteStatsTable[[#This Row],[GroupByKey]])*DiscreteStatsTable[Minimum]))</f>
        <v>0</v>
      </c>
      <c r="U421" cm="1">
        <f t="array" ref="U421">MAX(IF((DiscreteStatsTable[GroupByKey]=DiscreteStatsTable[[#This Row],[GroupByKey]]),(DiscreteStatsTable[GroupByKey]=DiscreteStatsTable[[#This Row],[GroupByKey]])*DiscreteStatsTable[Maximum]))</f>
        <v>50557.121858719198</v>
      </c>
      <c r="V421" cm="1">
        <f t="array" ref="V421">IFERROR(AVERAGE(IF((DiscreteStatsTable[GroupByKey]=DiscreteStatsTable[[#This Row],[GroupByKey]]),(DiscreteStatsTable[GroupByKey]=DiscreteStatsTable[[#This Row],[GroupByKey]])*DiscreteStatsTable[NumberObservations])),0)</f>
        <v>8231.5</v>
      </c>
      <c r="W421">
        <f>IF((DiscreteStatsTable[[#This Row],[RepsRequested]]&gt;1),DiscreteStatsTable[[#This Row],[HalfWidth]],DiscreteStatsTable[[#This Row],[BatchMeansHalfWidth]])</f>
        <v>13.119516055011427</v>
      </c>
      <c r="X421" cm="1">
        <f t="array" ref="X421">COUNT(IF((DiscreteStatsTable[GroupByKey]=DiscreteStatsTable[[#This Row],[GroupByKey]]),(DiscreteStatsTable[GroupByKey]=DiscreteStatsTable[[#This Row],[GroupByKey]])*DiscreteStatsTable[Replication]))</f>
        <v>10</v>
      </c>
      <c r="Y421">
        <f>IF(DiscreteStatsTable[[#This Row],[RepsRequested]]=DiscreteStatsTable[[#This Row],[RepsWithStatObserved]],1,0)</f>
        <v>1</v>
      </c>
    </row>
    <row r="422" spans="1:25" x14ac:dyDescent="0.25">
      <c r="A422" t="s">
        <v>67</v>
      </c>
      <c r="B422" t="s">
        <v>243</v>
      </c>
      <c r="C422">
        <v>1</v>
      </c>
      <c r="D422" t="s">
        <v>107</v>
      </c>
      <c r="E422" t="s">
        <v>72</v>
      </c>
      <c r="F422" t="s">
        <v>71</v>
      </c>
      <c r="G422">
        <v>86.500129340693107</v>
      </c>
      <c r="H422">
        <v>76.770860616595499</v>
      </c>
      <c r="I422">
        <v>0</v>
      </c>
      <c r="J422">
        <v>50399.297221265202</v>
      </c>
      <c r="K422">
        <v>8229</v>
      </c>
      <c r="L422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422" cm="1">
        <f t="array" ref="M422">MAX(IF((ProjectInfoTable[ProjectName]=DiscreteStatsTable[[#This Row],[ProjectName]]),(ProjectInfoTable[ProjectName]=DiscreteStatsTable[[#This Row],[ProjectName]])*ProjectInfoTable[NumberOfReplications]))</f>
        <v>10</v>
      </c>
      <c r="N422" cm="1">
        <f t="array" ref="N422">IFERROR(AVERAGE(IF((DiscreteStatsTable[GroupByKey]=DiscreteStatsTable[[#This Row],[GroupByKey]]),(DiscreteStatsTable[GroupByKey]=DiscreteStatsTable[[#This Row],[GroupByKey]])*DiscreteStatsTable[Average])),0)</f>
        <v>85.807400359907859</v>
      </c>
      <c r="O422" cm="1">
        <f t="array" ref="O422">IFERROR(_xlfn.STDEV.S(IF((DiscreteStatsTable[GroupByKey]=DiscreteStatsTable[[#This Row],[GroupByKey]]),(DiscreteStatsTable[GroupByKey]=DiscreteStatsTable[[#This Row],[GroupByKey]])*DiscreteStatsTable[Average])),0)</f>
        <v>17.784942468274007</v>
      </c>
      <c r="P422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12.722581416970771</v>
      </c>
      <c r="R422" cm="1">
        <f t="array" ref="R422">MIN(IF((DiscreteStatsTable[GroupByKey]=DiscreteStatsTable[[#This Row],[GroupByKey]]),(DiscreteStatsTable[GroupByKey]=DiscreteStatsTable[[#This Row],[GroupByKey]])*DiscreteStatsTable[Average]))</f>
        <v>50.2715784556584</v>
      </c>
      <c r="S422" cm="1">
        <f t="array" ref="S422">MAX(IF((DiscreteStatsTable[GroupByKey]=DiscreteStatsTable[[#This Row],[GroupByKey]]),(DiscreteStatsTable[GroupByKey]=DiscreteStatsTable[[#This Row],[GroupByKey]])*DiscreteStatsTable[Average]))</f>
        <v>106.488424563889</v>
      </c>
      <c r="T422" cm="1">
        <f t="array" ref="T422">MIN(IF((DiscreteStatsTable[GroupByKey]=DiscreteStatsTable[[#This Row],[GroupByKey]]),(DiscreteStatsTable[GroupByKey]=DiscreteStatsTable[[#This Row],[GroupByKey]])*DiscreteStatsTable[Minimum]))</f>
        <v>0</v>
      </c>
      <c r="U422" cm="1">
        <f t="array" ref="U422">MAX(IF((DiscreteStatsTable[GroupByKey]=DiscreteStatsTable[[#This Row],[GroupByKey]]),(DiscreteStatsTable[GroupByKey]=DiscreteStatsTable[[#This Row],[GroupByKey]])*DiscreteStatsTable[Maximum]))</f>
        <v>50399.558469181902</v>
      </c>
      <c r="V422" cm="1">
        <f t="array" ref="V422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422">
        <f>IF((DiscreteStatsTable[[#This Row],[RepsRequested]]&gt;1),DiscreteStatsTable[[#This Row],[HalfWidth]],DiscreteStatsTable[[#This Row],[BatchMeansHalfWidth]])</f>
        <v>12.722581416970771</v>
      </c>
      <c r="X422" cm="1">
        <f t="array" ref="X422">COUNT(IF((DiscreteStatsTable[GroupByKey]=DiscreteStatsTable[[#This Row],[GroupByKey]]),(DiscreteStatsTable[GroupByKey]=DiscreteStatsTable[[#This Row],[GroupByKey]])*DiscreteStatsTable[Replication]))</f>
        <v>10</v>
      </c>
      <c r="Y422">
        <f>IF(DiscreteStatsTable[[#This Row],[RepsRequested]]=DiscreteStatsTable[[#This Row],[RepsWithStatObserved]],1,0)</f>
        <v>1</v>
      </c>
    </row>
    <row r="423" spans="1:25" x14ac:dyDescent="0.25">
      <c r="A423" t="s">
        <v>67</v>
      </c>
      <c r="B423" t="s">
        <v>243</v>
      </c>
      <c r="C423">
        <v>2</v>
      </c>
      <c r="D423" t="s">
        <v>107</v>
      </c>
      <c r="E423" t="s">
        <v>72</v>
      </c>
      <c r="F423" t="s">
        <v>71</v>
      </c>
      <c r="G423">
        <v>92.235083734408803</v>
      </c>
      <c r="H423">
        <v>78.981603157877402</v>
      </c>
      <c r="I423">
        <v>0</v>
      </c>
      <c r="J423">
        <v>50396.368743683801</v>
      </c>
      <c r="K423">
        <v>8224</v>
      </c>
      <c r="L423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423" cm="1">
        <f t="array" ref="M423">MAX(IF((ProjectInfoTable[ProjectName]=DiscreteStatsTable[[#This Row],[ProjectName]]),(ProjectInfoTable[ProjectName]=DiscreteStatsTable[[#This Row],[ProjectName]])*ProjectInfoTable[NumberOfReplications]))</f>
        <v>10</v>
      </c>
      <c r="N423" cm="1">
        <f t="array" ref="N423">IFERROR(AVERAGE(IF((DiscreteStatsTable[GroupByKey]=DiscreteStatsTable[[#This Row],[GroupByKey]]),(DiscreteStatsTable[GroupByKey]=DiscreteStatsTable[[#This Row],[GroupByKey]])*DiscreteStatsTable[Average])),0)</f>
        <v>85.807400359907859</v>
      </c>
      <c r="O423" cm="1">
        <f t="array" ref="O423">IFERROR(_xlfn.STDEV.S(IF((DiscreteStatsTable[GroupByKey]=DiscreteStatsTable[[#This Row],[GroupByKey]]),(DiscreteStatsTable[GroupByKey]=DiscreteStatsTable[[#This Row],[GroupByKey]])*DiscreteStatsTable[Average])),0)</f>
        <v>17.784942468274007</v>
      </c>
      <c r="P423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12.722581416970771</v>
      </c>
      <c r="R423" cm="1">
        <f t="array" ref="R423">MIN(IF((DiscreteStatsTable[GroupByKey]=DiscreteStatsTable[[#This Row],[GroupByKey]]),(DiscreteStatsTable[GroupByKey]=DiscreteStatsTable[[#This Row],[GroupByKey]])*DiscreteStatsTable[Average]))</f>
        <v>50.2715784556584</v>
      </c>
      <c r="S423" cm="1">
        <f t="array" ref="S423">MAX(IF((DiscreteStatsTable[GroupByKey]=DiscreteStatsTable[[#This Row],[GroupByKey]]),(DiscreteStatsTable[GroupByKey]=DiscreteStatsTable[[#This Row],[GroupByKey]])*DiscreteStatsTable[Average]))</f>
        <v>106.488424563889</v>
      </c>
      <c r="T423" cm="1">
        <f t="array" ref="T423">MIN(IF((DiscreteStatsTable[GroupByKey]=DiscreteStatsTable[[#This Row],[GroupByKey]]),(DiscreteStatsTable[GroupByKey]=DiscreteStatsTable[[#This Row],[GroupByKey]])*DiscreteStatsTable[Minimum]))</f>
        <v>0</v>
      </c>
      <c r="U423" cm="1">
        <f t="array" ref="U423">MAX(IF((DiscreteStatsTable[GroupByKey]=DiscreteStatsTable[[#This Row],[GroupByKey]]),(DiscreteStatsTable[GroupByKey]=DiscreteStatsTable[[#This Row],[GroupByKey]])*DiscreteStatsTable[Maximum]))</f>
        <v>50399.558469181902</v>
      </c>
      <c r="V423" cm="1">
        <f t="array" ref="V423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423">
        <f>IF((DiscreteStatsTable[[#This Row],[RepsRequested]]&gt;1),DiscreteStatsTable[[#This Row],[HalfWidth]],DiscreteStatsTable[[#This Row],[BatchMeansHalfWidth]])</f>
        <v>12.722581416970771</v>
      </c>
      <c r="X423" cm="1">
        <f t="array" ref="X423">COUNT(IF((DiscreteStatsTable[GroupByKey]=DiscreteStatsTable[[#This Row],[GroupByKey]]),(DiscreteStatsTable[GroupByKey]=DiscreteStatsTable[[#This Row],[GroupByKey]])*DiscreteStatsTable[Replication]))</f>
        <v>10</v>
      </c>
      <c r="Y423">
        <f>IF(DiscreteStatsTable[[#This Row],[RepsRequested]]=DiscreteStatsTable[[#This Row],[RepsWithStatObserved]],1,0)</f>
        <v>1</v>
      </c>
    </row>
    <row r="424" spans="1:25" x14ac:dyDescent="0.25">
      <c r="A424" t="s">
        <v>67</v>
      </c>
      <c r="B424" t="s">
        <v>243</v>
      </c>
      <c r="C424">
        <v>3</v>
      </c>
      <c r="D424" t="s">
        <v>107</v>
      </c>
      <c r="E424" t="s">
        <v>72</v>
      </c>
      <c r="F424" t="s">
        <v>71</v>
      </c>
      <c r="G424">
        <v>93.388378112900696</v>
      </c>
      <c r="H424">
        <v>78.868471455590097</v>
      </c>
      <c r="I424">
        <v>0</v>
      </c>
      <c r="J424">
        <v>50393.196916106099</v>
      </c>
      <c r="K424">
        <v>8237</v>
      </c>
      <c r="L424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424" cm="1">
        <f t="array" ref="M424">MAX(IF((ProjectInfoTable[ProjectName]=DiscreteStatsTable[[#This Row],[ProjectName]]),(ProjectInfoTable[ProjectName]=DiscreteStatsTable[[#This Row],[ProjectName]])*ProjectInfoTable[NumberOfReplications]))</f>
        <v>10</v>
      </c>
      <c r="N424" cm="1">
        <f t="array" ref="N424">IFERROR(AVERAGE(IF((DiscreteStatsTable[GroupByKey]=DiscreteStatsTable[[#This Row],[GroupByKey]]),(DiscreteStatsTable[GroupByKey]=DiscreteStatsTable[[#This Row],[GroupByKey]])*DiscreteStatsTable[Average])),0)</f>
        <v>85.807400359907859</v>
      </c>
      <c r="O424" cm="1">
        <f t="array" ref="O424">IFERROR(_xlfn.STDEV.S(IF((DiscreteStatsTable[GroupByKey]=DiscreteStatsTable[[#This Row],[GroupByKey]]),(DiscreteStatsTable[GroupByKey]=DiscreteStatsTable[[#This Row],[GroupByKey]])*DiscreteStatsTable[Average])),0)</f>
        <v>17.784942468274007</v>
      </c>
      <c r="P424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12.722581416970771</v>
      </c>
      <c r="R424" cm="1">
        <f t="array" ref="R424">MIN(IF((DiscreteStatsTable[GroupByKey]=DiscreteStatsTable[[#This Row],[GroupByKey]]),(DiscreteStatsTable[GroupByKey]=DiscreteStatsTable[[#This Row],[GroupByKey]])*DiscreteStatsTable[Average]))</f>
        <v>50.2715784556584</v>
      </c>
      <c r="S424" cm="1">
        <f t="array" ref="S424">MAX(IF((DiscreteStatsTable[GroupByKey]=DiscreteStatsTable[[#This Row],[GroupByKey]]),(DiscreteStatsTable[GroupByKey]=DiscreteStatsTable[[#This Row],[GroupByKey]])*DiscreteStatsTable[Average]))</f>
        <v>106.488424563889</v>
      </c>
      <c r="T424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cm="1">
        <f t="array" ref="U424">MAX(IF((DiscreteStatsTable[GroupByKey]=DiscreteStatsTable[[#This Row],[GroupByKey]]),(DiscreteStatsTable[GroupByKey]=DiscreteStatsTable[[#This Row],[GroupByKey]])*DiscreteStatsTable[Maximum]))</f>
        <v>50399.558469181902</v>
      </c>
      <c r="V424" cm="1">
        <f t="array" ref="V424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424">
        <f>IF((DiscreteStatsTable[[#This Row],[RepsRequested]]&gt;1),DiscreteStatsTable[[#This Row],[HalfWidth]],DiscreteStatsTable[[#This Row],[BatchMeansHalfWidth]])</f>
        <v>12.722581416970771</v>
      </c>
      <c r="X424" cm="1">
        <f t="array" ref="X424">COUNT(IF((DiscreteStatsTable[GroupByKey]=DiscreteStatsTable[[#This Row],[GroupByKey]]),(DiscreteStatsTable[GroupByKey]=DiscreteStatsTable[[#This Row],[GroupByKey]])*DiscreteStatsTable[Replication]))</f>
        <v>10</v>
      </c>
      <c r="Y424">
        <f>IF(DiscreteStatsTable[[#This Row],[RepsRequested]]=DiscreteStatsTable[[#This Row],[RepsWithStatObserved]],1,0)</f>
        <v>1</v>
      </c>
    </row>
    <row r="425" spans="1:25" x14ac:dyDescent="0.25">
      <c r="A425" t="s">
        <v>67</v>
      </c>
      <c r="B425" t="s">
        <v>243</v>
      </c>
      <c r="C425">
        <v>4</v>
      </c>
      <c r="D425" t="s">
        <v>107</v>
      </c>
      <c r="E425" t="s">
        <v>72</v>
      </c>
      <c r="F425" t="s">
        <v>71</v>
      </c>
      <c r="G425">
        <v>93.512345385457394</v>
      </c>
      <c r="H425">
        <v>78.854761058909503</v>
      </c>
      <c r="I425">
        <v>0</v>
      </c>
      <c r="J425">
        <v>50396.125472106498</v>
      </c>
      <c r="K425">
        <v>8226</v>
      </c>
      <c r="L425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425" cm="1">
        <f t="array" ref="M425">MAX(IF((ProjectInfoTable[ProjectName]=DiscreteStatsTable[[#This Row],[ProjectName]]),(ProjectInfoTable[ProjectName]=DiscreteStatsTable[[#This Row],[ProjectName]])*ProjectInfoTable[NumberOfReplications]))</f>
        <v>10</v>
      </c>
      <c r="N425" cm="1">
        <f t="array" ref="N425">IFERROR(AVERAGE(IF((DiscreteStatsTable[GroupByKey]=DiscreteStatsTable[[#This Row],[GroupByKey]]),(DiscreteStatsTable[GroupByKey]=DiscreteStatsTable[[#This Row],[GroupByKey]])*DiscreteStatsTable[Average])),0)</f>
        <v>85.807400359907859</v>
      </c>
      <c r="O425" cm="1">
        <f t="array" ref="O425">IFERROR(_xlfn.STDEV.S(IF((DiscreteStatsTable[GroupByKey]=DiscreteStatsTable[[#This Row],[GroupByKey]]),(DiscreteStatsTable[GroupByKey]=DiscreteStatsTable[[#This Row],[GroupByKey]])*DiscreteStatsTable[Average])),0)</f>
        <v>17.784942468274007</v>
      </c>
      <c r="P42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12.722581416970771</v>
      </c>
      <c r="R425" cm="1">
        <f t="array" ref="R425">MIN(IF((DiscreteStatsTable[GroupByKey]=DiscreteStatsTable[[#This Row],[GroupByKey]]),(DiscreteStatsTable[GroupByKey]=DiscreteStatsTable[[#This Row],[GroupByKey]])*DiscreteStatsTable[Average]))</f>
        <v>50.2715784556584</v>
      </c>
      <c r="S425" cm="1">
        <f t="array" ref="S425">MAX(IF((DiscreteStatsTable[GroupByKey]=DiscreteStatsTable[[#This Row],[GroupByKey]]),(DiscreteStatsTable[GroupByKey]=DiscreteStatsTable[[#This Row],[GroupByKey]])*DiscreteStatsTable[Average]))</f>
        <v>106.488424563889</v>
      </c>
      <c r="T42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cm="1">
        <f t="array" ref="U425">MAX(IF((DiscreteStatsTable[GroupByKey]=DiscreteStatsTable[[#This Row],[GroupByKey]]),(DiscreteStatsTable[GroupByKey]=DiscreteStatsTable[[#This Row],[GroupByKey]])*DiscreteStatsTable[Maximum]))</f>
        <v>50399.558469181902</v>
      </c>
      <c r="V425" cm="1">
        <f t="array" ref="V425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425">
        <f>IF((DiscreteStatsTable[[#This Row],[RepsRequested]]&gt;1),DiscreteStatsTable[[#This Row],[HalfWidth]],DiscreteStatsTable[[#This Row],[BatchMeansHalfWidth]])</f>
        <v>12.722581416970771</v>
      </c>
      <c r="X425" cm="1">
        <f t="array" ref="X425">COUNT(IF((DiscreteStatsTable[GroupByKey]=DiscreteStatsTable[[#This Row],[GroupByKey]]),(DiscreteStatsTable[GroupByKey]=DiscreteStatsTable[[#This Row],[GroupByKey]])*DiscreteStatsTable[Replication]))</f>
        <v>10</v>
      </c>
      <c r="Y425">
        <f>IF(DiscreteStatsTable[[#This Row],[RepsRequested]]=DiscreteStatsTable[[#This Row],[RepsWithStatObserved]],1,0)</f>
        <v>1</v>
      </c>
    </row>
    <row r="426" spans="1:25" x14ac:dyDescent="0.25">
      <c r="A426" t="s">
        <v>67</v>
      </c>
      <c r="B426" t="s">
        <v>243</v>
      </c>
      <c r="C426">
        <v>5</v>
      </c>
      <c r="D426" t="s">
        <v>107</v>
      </c>
      <c r="E426" t="s">
        <v>72</v>
      </c>
      <c r="F426" t="s">
        <v>71</v>
      </c>
      <c r="G426">
        <v>106.488424563889</v>
      </c>
      <c r="H426">
        <v>88.446718890140602</v>
      </c>
      <c r="I426">
        <v>0</v>
      </c>
      <c r="J426">
        <v>50399.451704621599</v>
      </c>
      <c r="K426">
        <v>8237</v>
      </c>
      <c r="L426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426" cm="1">
        <f t="array" ref="M426">MAX(IF((ProjectInfoTable[ProjectName]=DiscreteStatsTable[[#This Row],[ProjectName]]),(ProjectInfoTable[ProjectName]=DiscreteStatsTable[[#This Row],[ProjectName]])*ProjectInfoTable[NumberOfReplications]))</f>
        <v>10</v>
      </c>
      <c r="N426" cm="1">
        <f t="array" ref="N426">IFERROR(AVERAGE(IF((DiscreteStatsTable[GroupByKey]=DiscreteStatsTable[[#This Row],[GroupByKey]]),(DiscreteStatsTable[GroupByKey]=DiscreteStatsTable[[#This Row],[GroupByKey]])*DiscreteStatsTable[Average])),0)</f>
        <v>85.807400359907859</v>
      </c>
      <c r="O426" cm="1">
        <f t="array" ref="O426">IFERROR(_xlfn.STDEV.S(IF((DiscreteStatsTable[GroupByKey]=DiscreteStatsTable[[#This Row],[GroupByKey]]),(DiscreteStatsTable[GroupByKey]=DiscreteStatsTable[[#This Row],[GroupByKey]])*DiscreteStatsTable[Average])),0)</f>
        <v>17.784942468274007</v>
      </c>
      <c r="P426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12.722581416970771</v>
      </c>
      <c r="R426" cm="1">
        <f t="array" ref="R426">MIN(IF((DiscreteStatsTable[GroupByKey]=DiscreteStatsTable[[#This Row],[GroupByKey]]),(DiscreteStatsTable[GroupByKey]=DiscreteStatsTable[[#This Row],[GroupByKey]])*DiscreteStatsTable[Average]))</f>
        <v>50.2715784556584</v>
      </c>
      <c r="S426" cm="1">
        <f t="array" ref="S426">MAX(IF((DiscreteStatsTable[GroupByKey]=DiscreteStatsTable[[#This Row],[GroupByKey]]),(DiscreteStatsTable[GroupByKey]=DiscreteStatsTable[[#This Row],[GroupByKey]])*DiscreteStatsTable[Average]))</f>
        <v>106.488424563889</v>
      </c>
      <c r="T426" cm="1">
        <f t="array" ref="T426">MIN(IF((DiscreteStatsTable[GroupByKey]=DiscreteStatsTable[[#This Row],[GroupByKey]]),(DiscreteStatsTable[GroupByKey]=DiscreteStatsTable[[#This Row],[GroupByKey]])*DiscreteStatsTable[Minimum]))</f>
        <v>0</v>
      </c>
      <c r="U426" cm="1">
        <f t="array" ref="U426">MAX(IF((DiscreteStatsTable[GroupByKey]=DiscreteStatsTable[[#This Row],[GroupByKey]]),(DiscreteStatsTable[GroupByKey]=DiscreteStatsTable[[#This Row],[GroupByKey]])*DiscreteStatsTable[Maximum]))</f>
        <v>50399.558469181902</v>
      </c>
      <c r="V426" cm="1">
        <f t="array" ref="V426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426">
        <f>IF((DiscreteStatsTable[[#This Row],[RepsRequested]]&gt;1),DiscreteStatsTable[[#This Row],[HalfWidth]],DiscreteStatsTable[[#This Row],[BatchMeansHalfWidth]])</f>
        <v>12.722581416970771</v>
      </c>
      <c r="X426" cm="1">
        <f t="array" ref="X426">COUNT(IF((DiscreteStatsTable[GroupByKey]=DiscreteStatsTable[[#This Row],[GroupByKey]]),(DiscreteStatsTable[GroupByKey]=DiscreteStatsTable[[#This Row],[GroupByKey]])*DiscreteStatsTable[Replication]))</f>
        <v>10</v>
      </c>
      <c r="Y426">
        <f>IF(DiscreteStatsTable[[#This Row],[RepsRequested]]=DiscreteStatsTable[[#This Row],[RepsWithStatObserved]],1,0)</f>
        <v>1</v>
      </c>
    </row>
    <row r="427" spans="1:25" x14ac:dyDescent="0.25">
      <c r="A427" t="s">
        <v>67</v>
      </c>
      <c r="B427" t="s">
        <v>243</v>
      </c>
      <c r="C427">
        <v>6</v>
      </c>
      <c r="D427" t="s">
        <v>107</v>
      </c>
      <c r="E427" t="s">
        <v>72</v>
      </c>
      <c r="F427" t="s">
        <v>71</v>
      </c>
      <c r="G427">
        <v>71.770343471825896</v>
      </c>
      <c r="H427">
        <v>59.8709947120064</v>
      </c>
      <c r="I427">
        <v>0</v>
      </c>
      <c r="J427">
        <v>50398.307470069703</v>
      </c>
      <c r="K427">
        <v>8216</v>
      </c>
      <c r="L427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427" cm="1">
        <f t="array" ref="M427">MAX(IF((ProjectInfoTable[ProjectName]=DiscreteStatsTable[[#This Row],[ProjectName]]),(ProjectInfoTable[ProjectName]=DiscreteStatsTable[[#This Row],[ProjectName]])*ProjectInfoTable[NumberOfReplications]))</f>
        <v>10</v>
      </c>
      <c r="N427" cm="1">
        <f t="array" ref="N427">IFERROR(AVERAGE(IF((DiscreteStatsTable[GroupByKey]=DiscreteStatsTable[[#This Row],[GroupByKey]]),(DiscreteStatsTable[GroupByKey]=DiscreteStatsTable[[#This Row],[GroupByKey]])*DiscreteStatsTable[Average])),0)</f>
        <v>85.807400359907859</v>
      </c>
      <c r="O427" cm="1">
        <f t="array" ref="O427">IFERROR(_xlfn.STDEV.S(IF((DiscreteStatsTable[GroupByKey]=DiscreteStatsTable[[#This Row],[GroupByKey]]),(DiscreteStatsTable[GroupByKey]=DiscreteStatsTable[[#This Row],[GroupByKey]])*DiscreteStatsTable[Average])),0)</f>
        <v>17.784942468274007</v>
      </c>
      <c r="P427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12.722581416970771</v>
      </c>
      <c r="R427" cm="1">
        <f t="array" ref="R427">MIN(IF((DiscreteStatsTable[GroupByKey]=DiscreteStatsTable[[#This Row],[GroupByKey]]),(DiscreteStatsTable[GroupByKey]=DiscreteStatsTable[[#This Row],[GroupByKey]])*DiscreteStatsTable[Average]))</f>
        <v>50.2715784556584</v>
      </c>
      <c r="S427" cm="1">
        <f t="array" ref="S427">MAX(IF((DiscreteStatsTable[GroupByKey]=DiscreteStatsTable[[#This Row],[GroupByKey]]),(DiscreteStatsTable[GroupByKey]=DiscreteStatsTable[[#This Row],[GroupByKey]])*DiscreteStatsTable[Average]))</f>
        <v>106.488424563889</v>
      </c>
      <c r="T427" cm="1">
        <f t="array" ref="T427">MIN(IF((DiscreteStatsTable[GroupByKey]=DiscreteStatsTable[[#This Row],[GroupByKey]]),(DiscreteStatsTable[GroupByKey]=DiscreteStatsTable[[#This Row],[GroupByKey]])*DiscreteStatsTable[Minimum]))</f>
        <v>0</v>
      </c>
      <c r="U427" cm="1">
        <f t="array" ref="U427">MAX(IF((DiscreteStatsTable[GroupByKey]=DiscreteStatsTable[[#This Row],[GroupByKey]]),(DiscreteStatsTable[GroupByKey]=DiscreteStatsTable[[#This Row],[GroupByKey]])*DiscreteStatsTable[Maximum]))</f>
        <v>50399.558469181902</v>
      </c>
      <c r="V427" cm="1">
        <f t="array" ref="V427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427">
        <f>IF((DiscreteStatsTable[[#This Row],[RepsRequested]]&gt;1),DiscreteStatsTable[[#This Row],[HalfWidth]],DiscreteStatsTable[[#This Row],[BatchMeansHalfWidth]])</f>
        <v>12.722581416970771</v>
      </c>
      <c r="X427" cm="1">
        <f t="array" ref="X427">COUNT(IF((DiscreteStatsTable[GroupByKey]=DiscreteStatsTable[[#This Row],[GroupByKey]]),(DiscreteStatsTable[GroupByKey]=DiscreteStatsTable[[#This Row],[GroupByKey]])*DiscreteStatsTable[Replication]))</f>
        <v>10</v>
      </c>
      <c r="Y427">
        <f>IF(DiscreteStatsTable[[#This Row],[RepsRequested]]=DiscreteStatsTable[[#This Row],[RepsWithStatObserved]],1,0)</f>
        <v>1</v>
      </c>
    </row>
    <row r="428" spans="1:25" x14ac:dyDescent="0.25">
      <c r="A428" t="s">
        <v>67</v>
      </c>
      <c r="B428" t="s">
        <v>243</v>
      </c>
      <c r="C428">
        <v>7</v>
      </c>
      <c r="D428" t="s">
        <v>107</v>
      </c>
      <c r="E428" t="s">
        <v>72</v>
      </c>
      <c r="F428" t="s">
        <v>71</v>
      </c>
      <c r="G428">
        <v>65.081292120787595</v>
      </c>
      <c r="H428">
        <v>62.201942630142</v>
      </c>
      <c r="I428">
        <v>0</v>
      </c>
      <c r="J428">
        <v>50398.810235352103</v>
      </c>
      <c r="K428">
        <v>8230</v>
      </c>
      <c r="L428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428" cm="1">
        <f t="array" ref="M428">MAX(IF((ProjectInfoTable[ProjectName]=DiscreteStatsTable[[#This Row],[ProjectName]]),(ProjectInfoTable[ProjectName]=DiscreteStatsTable[[#This Row],[ProjectName]])*ProjectInfoTable[NumberOfReplications]))</f>
        <v>10</v>
      </c>
      <c r="N428" cm="1">
        <f t="array" ref="N428">IFERROR(AVERAGE(IF((DiscreteStatsTable[GroupByKey]=DiscreteStatsTable[[#This Row],[GroupByKey]]),(DiscreteStatsTable[GroupByKey]=DiscreteStatsTable[[#This Row],[GroupByKey]])*DiscreteStatsTable[Average])),0)</f>
        <v>85.807400359907859</v>
      </c>
      <c r="O428" cm="1">
        <f t="array" ref="O428">IFERROR(_xlfn.STDEV.S(IF((DiscreteStatsTable[GroupByKey]=DiscreteStatsTable[[#This Row],[GroupByKey]]),(DiscreteStatsTable[GroupByKey]=DiscreteStatsTable[[#This Row],[GroupByKey]])*DiscreteStatsTable[Average])),0)</f>
        <v>17.784942468274007</v>
      </c>
      <c r="P428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12.722581416970771</v>
      </c>
      <c r="R428" cm="1">
        <f t="array" ref="R428">MIN(IF((DiscreteStatsTable[GroupByKey]=DiscreteStatsTable[[#This Row],[GroupByKey]]),(DiscreteStatsTable[GroupByKey]=DiscreteStatsTable[[#This Row],[GroupByKey]])*DiscreteStatsTable[Average]))</f>
        <v>50.2715784556584</v>
      </c>
      <c r="S428" cm="1">
        <f t="array" ref="S428">MAX(IF((DiscreteStatsTable[GroupByKey]=DiscreteStatsTable[[#This Row],[GroupByKey]]),(DiscreteStatsTable[GroupByKey]=DiscreteStatsTable[[#This Row],[GroupByKey]])*DiscreteStatsTable[Average]))</f>
        <v>106.488424563889</v>
      </c>
      <c r="T428" cm="1">
        <f t="array" ref="T428">MIN(IF((DiscreteStatsTable[GroupByKey]=DiscreteStatsTable[[#This Row],[GroupByKey]]),(DiscreteStatsTable[GroupByKey]=DiscreteStatsTable[[#This Row],[GroupByKey]])*DiscreteStatsTable[Minimum]))</f>
        <v>0</v>
      </c>
      <c r="U428" cm="1">
        <f t="array" ref="U428">MAX(IF((DiscreteStatsTable[GroupByKey]=DiscreteStatsTable[[#This Row],[GroupByKey]]),(DiscreteStatsTable[GroupByKey]=DiscreteStatsTable[[#This Row],[GroupByKey]])*DiscreteStatsTable[Maximum]))</f>
        <v>50399.558469181902</v>
      </c>
      <c r="V428" cm="1">
        <f t="array" ref="V428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428">
        <f>IF((DiscreteStatsTable[[#This Row],[RepsRequested]]&gt;1),DiscreteStatsTable[[#This Row],[HalfWidth]],DiscreteStatsTable[[#This Row],[BatchMeansHalfWidth]])</f>
        <v>12.722581416970771</v>
      </c>
      <c r="X428" cm="1">
        <f t="array" ref="X428">COUNT(IF((DiscreteStatsTable[GroupByKey]=DiscreteStatsTable[[#This Row],[GroupByKey]]),(DiscreteStatsTable[GroupByKey]=DiscreteStatsTable[[#This Row],[GroupByKey]])*DiscreteStatsTable[Replication]))</f>
        <v>10</v>
      </c>
      <c r="Y428">
        <f>IF(DiscreteStatsTable[[#This Row],[RepsRequested]]=DiscreteStatsTable[[#This Row],[RepsWithStatObserved]],1,0)</f>
        <v>1</v>
      </c>
    </row>
    <row r="429" spans="1:25" x14ac:dyDescent="0.25">
      <c r="A429" t="s">
        <v>67</v>
      </c>
      <c r="B429" t="s">
        <v>243</v>
      </c>
      <c r="C429">
        <v>8</v>
      </c>
      <c r="D429" t="s">
        <v>107</v>
      </c>
      <c r="E429" t="s">
        <v>72</v>
      </c>
      <c r="F429" t="s">
        <v>71</v>
      </c>
      <c r="G429">
        <v>98.797199339736693</v>
      </c>
      <c r="H429">
        <v>84.921495201129403</v>
      </c>
      <c r="I429">
        <v>0</v>
      </c>
      <c r="J429">
        <v>50399.558469181902</v>
      </c>
      <c r="K429">
        <v>8223</v>
      </c>
      <c r="L429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429" cm="1">
        <f t="array" ref="M429">MAX(IF((ProjectInfoTable[ProjectName]=DiscreteStatsTable[[#This Row],[ProjectName]]),(ProjectInfoTable[ProjectName]=DiscreteStatsTable[[#This Row],[ProjectName]])*ProjectInfoTable[NumberOfReplications]))</f>
        <v>10</v>
      </c>
      <c r="N429" cm="1">
        <f t="array" ref="N429">IFERROR(AVERAGE(IF((DiscreteStatsTable[GroupByKey]=DiscreteStatsTable[[#This Row],[GroupByKey]]),(DiscreteStatsTable[GroupByKey]=DiscreteStatsTable[[#This Row],[GroupByKey]])*DiscreteStatsTable[Average])),0)</f>
        <v>85.807400359907859</v>
      </c>
      <c r="O429" cm="1">
        <f t="array" ref="O429">IFERROR(_xlfn.STDEV.S(IF((DiscreteStatsTable[GroupByKey]=DiscreteStatsTable[[#This Row],[GroupByKey]]),(DiscreteStatsTable[GroupByKey]=DiscreteStatsTable[[#This Row],[GroupByKey]])*DiscreteStatsTable[Average])),0)</f>
        <v>17.784942468274007</v>
      </c>
      <c r="P429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12.722581416970771</v>
      </c>
      <c r="R429" cm="1">
        <f t="array" ref="R429">MIN(IF((DiscreteStatsTable[GroupByKey]=DiscreteStatsTable[[#This Row],[GroupByKey]]),(DiscreteStatsTable[GroupByKey]=DiscreteStatsTable[[#This Row],[GroupByKey]])*DiscreteStatsTable[Average]))</f>
        <v>50.2715784556584</v>
      </c>
      <c r="S429" cm="1">
        <f t="array" ref="S429">MAX(IF((DiscreteStatsTable[GroupByKey]=DiscreteStatsTable[[#This Row],[GroupByKey]]),(DiscreteStatsTable[GroupByKey]=DiscreteStatsTable[[#This Row],[GroupByKey]])*DiscreteStatsTable[Average]))</f>
        <v>106.488424563889</v>
      </c>
      <c r="T429" cm="1">
        <f t="array" ref="T429">MIN(IF((DiscreteStatsTable[GroupByKey]=DiscreteStatsTable[[#This Row],[GroupByKey]]),(DiscreteStatsTable[GroupByKey]=DiscreteStatsTable[[#This Row],[GroupByKey]])*DiscreteStatsTable[Minimum]))</f>
        <v>0</v>
      </c>
      <c r="U429" cm="1">
        <f t="array" ref="U429">MAX(IF((DiscreteStatsTable[GroupByKey]=DiscreteStatsTable[[#This Row],[GroupByKey]]),(DiscreteStatsTable[GroupByKey]=DiscreteStatsTable[[#This Row],[GroupByKey]])*DiscreteStatsTable[Maximum]))</f>
        <v>50399.558469181902</v>
      </c>
      <c r="V429" cm="1">
        <f t="array" ref="V429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429">
        <f>IF((DiscreteStatsTable[[#This Row],[RepsRequested]]&gt;1),DiscreteStatsTable[[#This Row],[HalfWidth]],DiscreteStatsTable[[#This Row],[BatchMeansHalfWidth]])</f>
        <v>12.722581416970771</v>
      </c>
      <c r="X429" cm="1">
        <f t="array" ref="X429">COUNT(IF((DiscreteStatsTable[GroupByKey]=DiscreteStatsTable[[#This Row],[GroupByKey]]),(DiscreteStatsTable[GroupByKey]=DiscreteStatsTable[[#This Row],[GroupByKey]])*DiscreteStatsTable[Replication]))</f>
        <v>10</v>
      </c>
      <c r="Y429">
        <f>IF(DiscreteStatsTable[[#This Row],[RepsRequested]]=DiscreteStatsTable[[#This Row],[RepsWithStatObserved]],1,0)</f>
        <v>1</v>
      </c>
    </row>
    <row r="430" spans="1:25" x14ac:dyDescent="0.25">
      <c r="A430" t="s">
        <v>67</v>
      </c>
      <c r="B430" t="s">
        <v>243</v>
      </c>
      <c r="C430">
        <v>9</v>
      </c>
      <c r="D430" t="s">
        <v>107</v>
      </c>
      <c r="E430" t="s">
        <v>72</v>
      </c>
      <c r="F430" t="s">
        <v>71</v>
      </c>
      <c r="G430">
        <v>100.029229073721</v>
      </c>
      <c r="H430">
        <v>84.777833515236395</v>
      </c>
      <c r="I430">
        <v>0</v>
      </c>
      <c r="J430">
        <v>50393.7312258944</v>
      </c>
      <c r="K430">
        <v>8228</v>
      </c>
      <c r="L430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430" cm="1">
        <f t="array" ref="M430">MAX(IF((ProjectInfoTable[ProjectName]=DiscreteStatsTable[[#This Row],[ProjectName]]),(ProjectInfoTable[ProjectName]=DiscreteStatsTable[[#This Row],[ProjectName]])*ProjectInfoTable[NumberOfReplications]))</f>
        <v>10</v>
      </c>
      <c r="N430" cm="1">
        <f t="array" ref="N430">IFERROR(AVERAGE(IF((DiscreteStatsTable[GroupByKey]=DiscreteStatsTable[[#This Row],[GroupByKey]]),(DiscreteStatsTable[GroupByKey]=DiscreteStatsTable[[#This Row],[GroupByKey]])*DiscreteStatsTable[Average])),0)</f>
        <v>85.807400359907859</v>
      </c>
      <c r="O430" cm="1">
        <f t="array" ref="O430">IFERROR(_xlfn.STDEV.S(IF((DiscreteStatsTable[GroupByKey]=DiscreteStatsTable[[#This Row],[GroupByKey]]),(DiscreteStatsTable[GroupByKey]=DiscreteStatsTable[[#This Row],[GroupByKey]])*DiscreteStatsTable[Average])),0)</f>
        <v>17.784942468274007</v>
      </c>
      <c r="P430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12.722581416970771</v>
      </c>
      <c r="R430" cm="1">
        <f t="array" ref="R430">MIN(IF((DiscreteStatsTable[GroupByKey]=DiscreteStatsTable[[#This Row],[GroupByKey]]),(DiscreteStatsTable[GroupByKey]=DiscreteStatsTable[[#This Row],[GroupByKey]])*DiscreteStatsTable[Average]))</f>
        <v>50.2715784556584</v>
      </c>
      <c r="S430" cm="1">
        <f t="array" ref="S430">MAX(IF((DiscreteStatsTable[GroupByKey]=DiscreteStatsTable[[#This Row],[GroupByKey]]),(DiscreteStatsTable[GroupByKey]=DiscreteStatsTable[[#This Row],[GroupByKey]])*DiscreteStatsTable[Average]))</f>
        <v>106.488424563889</v>
      </c>
      <c r="T430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cm="1">
        <f t="array" ref="U430">MAX(IF((DiscreteStatsTable[GroupByKey]=DiscreteStatsTable[[#This Row],[GroupByKey]]),(DiscreteStatsTable[GroupByKey]=DiscreteStatsTable[[#This Row],[GroupByKey]])*DiscreteStatsTable[Maximum]))</f>
        <v>50399.558469181902</v>
      </c>
      <c r="V430" cm="1">
        <f t="array" ref="V430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430">
        <f>IF((DiscreteStatsTable[[#This Row],[RepsRequested]]&gt;1),DiscreteStatsTable[[#This Row],[HalfWidth]],DiscreteStatsTable[[#This Row],[BatchMeansHalfWidth]])</f>
        <v>12.722581416970771</v>
      </c>
      <c r="X430" cm="1">
        <f t="array" ref="X430">COUNT(IF((DiscreteStatsTable[GroupByKey]=DiscreteStatsTable[[#This Row],[GroupByKey]]),(DiscreteStatsTable[GroupByKey]=DiscreteStatsTable[[#This Row],[GroupByKey]])*DiscreteStatsTable[Replication]))</f>
        <v>10</v>
      </c>
      <c r="Y430">
        <f>IF(DiscreteStatsTable[[#This Row],[RepsRequested]]=DiscreteStatsTable[[#This Row],[RepsWithStatObserved]],1,0)</f>
        <v>1</v>
      </c>
    </row>
    <row r="431" spans="1:25" x14ac:dyDescent="0.25">
      <c r="A431" t="s">
        <v>67</v>
      </c>
      <c r="B431" t="s">
        <v>243</v>
      </c>
      <c r="C431">
        <v>10</v>
      </c>
      <c r="D431" t="s">
        <v>107</v>
      </c>
      <c r="E431" t="s">
        <v>72</v>
      </c>
      <c r="F431" t="s">
        <v>71</v>
      </c>
      <c r="G431">
        <v>50.2715784556584</v>
      </c>
      <c r="H431">
        <v>42.373498543496801</v>
      </c>
      <c r="I431">
        <v>0</v>
      </c>
      <c r="J431">
        <v>50395.046315142798</v>
      </c>
      <c r="K431">
        <v>8227</v>
      </c>
      <c r="L431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431" cm="1">
        <f t="array" ref="M431">MAX(IF((ProjectInfoTable[ProjectName]=DiscreteStatsTable[[#This Row],[ProjectName]]),(ProjectInfoTable[ProjectName]=DiscreteStatsTable[[#This Row],[ProjectName]])*ProjectInfoTable[NumberOfReplications]))</f>
        <v>10</v>
      </c>
      <c r="N431" cm="1">
        <f t="array" ref="N431">IFERROR(AVERAGE(IF((DiscreteStatsTable[GroupByKey]=DiscreteStatsTable[[#This Row],[GroupByKey]]),(DiscreteStatsTable[GroupByKey]=DiscreteStatsTable[[#This Row],[GroupByKey]])*DiscreteStatsTable[Average])),0)</f>
        <v>85.807400359907859</v>
      </c>
      <c r="O431" cm="1">
        <f t="array" ref="O431">IFERROR(_xlfn.STDEV.S(IF((DiscreteStatsTable[GroupByKey]=DiscreteStatsTable[[#This Row],[GroupByKey]]),(DiscreteStatsTable[GroupByKey]=DiscreteStatsTable[[#This Row],[GroupByKey]])*DiscreteStatsTable[Average])),0)</f>
        <v>17.784942468274007</v>
      </c>
      <c r="P431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12.722581416970771</v>
      </c>
      <c r="R431" cm="1">
        <f t="array" ref="R431">MIN(IF((DiscreteStatsTable[GroupByKey]=DiscreteStatsTable[[#This Row],[GroupByKey]]),(DiscreteStatsTable[GroupByKey]=DiscreteStatsTable[[#This Row],[GroupByKey]])*DiscreteStatsTable[Average]))</f>
        <v>50.2715784556584</v>
      </c>
      <c r="S431" cm="1">
        <f t="array" ref="S431">MAX(IF((DiscreteStatsTable[GroupByKey]=DiscreteStatsTable[[#This Row],[GroupByKey]]),(DiscreteStatsTable[GroupByKey]=DiscreteStatsTable[[#This Row],[GroupByKey]])*DiscreteStatsTable[Average]))</f>
        <v>106.488424563889</v>
      </c>
      <c r="T431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cm="1">
        <f t="array" ref="U431">MAX(IF((DiscreteStatsTable[GroupByKey]=DiscreteStatsTable[[#This Row],[GroupByKey]]),(DiscreteStatsTable[GroupByKey]=DiscreteStatsTable[[#This Row],[GroupByKey]])*DiscreteStatsTable[Maximum]))</f>
        <v>50399.558469181902</v>
      </c>
      <c r="V431" cm="1">
        <f t="array" ref="V431">IFERROR(AVERAGE(IF((DiscreteStatsTable[GroupByKey]=DiscreteStatsTable[[#This Row],[GroupByKey]]),(DiscreteStatsTable[GroupByKey]=DiscreteStatsTable[[#This Row],[GroupByKey]])*DiscreteStatsTable[NumberObservations])),0)</f>
        <v>8227.7000000000007</v>
      </c>
      <c r="W431">
        <f>IF((DiscreteStatsTable[[#This Row],[RepsRequested]]&gt;1),DiscreteStatsTable[[#This Row],[HalfWidth]],DiscreteStatsTable[[#This Row],[BatchMeansHalfWidth]])</f>
        <v>12.722581416970771</v>
      </c>
      <c r="X431" cm="1">
        <f t="array" ref="X431">COUNT(IF((DiscreteStatsTable[GroupByKey]=DiscreteStatsTable[[#This Row],[GroupByKey]]),(DiscreteStatsTable[GroupByKey]=DiscreteStatsTable[[#This Row],[GroupByKey]])*DiscreteStatsTable[Replication]))</f>
        <v>10</v>
      </c>
      <c r="Y431">
        <f>IF(DiscreteStatsTable[[#This Row],[RepsRequested]]=DiscreteStatsTable[[#This Row],[RepsWithStatObserved]],1,0)</f>
        <v>1</v>
      </c>
    </row>
    <row r="432" spans="1:25" x14ac:dyDescent="0.25">
      <c r="A432" t="s">
        <v>67</v>
      </c>
      <c r="B432" t="s">
        <v>243</v>
      </c>
      <c r="C432">
        <v>1</v>
      </c>
      <c r="D432" t="s">
        <v>108</v>
      </c>
      <c r="E432" t="s">
        <v>72</v>
      </c>
      <c r="F432" t="s">
        <v>71</v>
      </c>
      <c r="G432">
        <v>2274.3365442562499</v>
      </c>
      <c r="H432">
        <v>994.72371617342401</v>
      </c>
      <c r="I432">
        <v>119.2165431496</v>
      </c>
      <c r="J432">
        <v>52264.594655162502</v>
      </c>
      <c r="K432">
        <v>18379</v>
      </c>
      <c r="L432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432" cm="1">
        <f t="array" ref="M432">MAX(IF((ProjectInfoTable[ProjectName]=DiscreteStatsTable[[#This Row],[ProjectName]]),(ProjectInfoTable[ProjectName]=DiscreteStatsTable[[#This Row],[ProjectName]])*ProjectInfoTable[NumberOfReplications]))</f>
        <v>10</v>
      </c>
      <c r="N432" cm="1">
        <f t="array" ref="N432">IFERROR(AVERAGE(IF((DiscreteStatsTable[GroupByKey]=DiscreteStatsTable[[#This Row],[GroupByKey]]),(DiscreteStatsTable[GroupByKey]=DiscreteStatsTable[[#This Row],[GroupByKey]])*DiscreteStatsTable[Average])),0)</f>
        <v>2333.0370366652432</v>
      </c>
      <c r="O432" cm="1">
        <f t="array" ref="O432">IFERROR(_xlfn.STDEV.S(IF((DiscreteStatsTable[GroupByKey]=DiscreteStatsTable[[#This Row],[GroupByKey]]),(DiscreteStatsTable[GroupByKey]=DiscreteStatsTable[[#This Row],[GroupByKey]])*DiscreteStatsTable[Average])),0)</f>
        <v>174.85354214657374</v>
      </c>
      <c r="P432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125.08268890798421</v>
      </c>
      <c r="R432" cm="1">
        <f t="array" ref="R432">MIN(IF((DiscreteStatsTable[GroupByKey]=DiscreteStatsTable[[#This Row],[GroupByKey]]),(DiscreteStatsTable[GroupByKey]=DiscreteStatsTable[[#This Row],[GroupByKey]])*DiscreteStatsTable[Average]))</f>
        <v>1988.7663340255599</v>
      </c>
      <c r="S432" cm="1">
        <f t="array" ref="S432">MAX(IF((DiscreteStatsTable[GroupByKey]=DiscreteStatsTable[[#This Row],[GroupByKey]]),(DiscreteStatsTable[GroupByKey]=DiscreteStatsTable[[#This Row],[GroupByKey]])*DiscreteStatsTable[Average]))</f>
        <v>2606.8224721424099</v>
      </c>
      <c r="T432" cm="1">
        <f t="array" ref="T432">MIN(IF((DiscreteStatsTable[GroupByKey]=DiscreteStatsTable[[#This Row],[GroupByKey]]),(DiscreteStatsTable[GroupByKey]=DiscreteStatsTable[[#This Row],[GroupByKey]])*DiscreteStatsTable[Minimum]))</f>
        <v>66.189341504752505</v>
      </c>
      <c r="U432" cm="1">
        <f t="array" ref="U432">MAX(IF((DiscreteStatsTable[GroupByKey]=DiscreteStatsTable[[#This Row],[GroupByKey]]),(DiscreteStatsTable[GroupByKey]=DiscreteStatsTable[[#This Row],[GroupByKey]])*DiscreteStatsTable[Maximum]))</f>
        <v>52568.073271626301</v>
      </c>
      <c r="V432" cm="1">
        <f t="array" ref="V432">IFERROR(AVERAGE(IF((DiscreteStatsTable[GroupByKey]=DiscreteStatsTable[[#This Row],[GroupByKey]]),(DiscreteStatsTable[GroupByKey]=DiscreteStatsTable[[#This Row],[GroupByKey]])*DiscreteStatsTable[NumberObservations])),0)</f>
        <v>18392</v>
      </c>
      <c r="W432">
        <f>IF((DiscreteStatsTable[[#This Row],[RepsRequested]]&gt;1),DiscreteStatsTable[[#This Row],[HalfWidth]],DiscreteStatsTable[[#This Row],[BatchMeansHalfWidth]])</f>
        <v>125.08268890798421</v>
      </c>
      <c r="X432" cm="1">
        <f t="array" ref="X432">COUNT(IF((DiscreteStatsTable[GroupByKey]=DiscreteStatsTable[[#This Row],[GroupByKey]]),(DiscreteStatsTable[GroupByKey]=DiscreteStatsTable[[#This Row],[GroupByKey]])*DiscreteStatsTable[Replication]))</f>
        <v>10</v>
      </c>
      <c r="Y432">
        <f>IF(DiscreteStatsTable[[#This Row],[RepsRequested]]=DiscreteStatsTable[[#This Row],[RepsWithStatObserved]],1,0)</f>
        <v>1</v>
      </c>
    </row>
    <row r="433" spans="1:25" x14ac:dyDescent="0.25">
      <c r="A433" t="s">
        <v>67</v>
      </c>
      <c r="B433" t="s">
        <v>243</v>
      </c>
      <c r="C433">
        <v>2</v>
      </c>
      <c r="D433" t="s">
        <v>108</v>
      </c>
      <c r="E433" t="s">
        <v>72</v>
      </c>
      <c r="F433" t="s">
        <v>71</v>
      </c>
      <c r="G433">
        <v>2285.3760935947298</v>
      </c>
      <c r="H433">
        <v>1033.2829864134501</v>
      </c>
      <c r="I433">
        <v>113.02311839004</v>
      </c>
      <c r="J433">
        <v>52368.415294107697</v>
      </c>
      <c r="K433">
        <v>18391</v>
      </c>
      <c r="L433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433" cm="1">
        <f t="array" ref="M433">MAX(IF((ProjectInfoTable[ProjectName]=DiscreteStatsTable[[#This Row],[ProjectName]]),(ProjectInfoTable[ProjectName]=DiscreteStatsTable[[#This Row],[ProjectName]])*ProjectInfoTable[NumberOfReplications]))</f>
        <v>10</v>
      </c>
      <c r="N433" cm="1">
        <f t="array" ref="N433">IFERROR(AVERAGE(IF((DiscreteStatsTable[GroupByKey]=DiscreteStatsTable[[#This Row],[GroupByKey]]),(DiscreteStatsTable[GroupByKey]=DiscreteStatsTable[[#This Row],[GroupByKey]])*DiscreteStatsTable[Average])),0)</f>
        <v>2333.0370366652432</v>
      </c>
      <c r="O433" cm="1">
        <f t="array" ref="O433">IFERROR(_xlfn.STDEV.S(IF((DiscreteStatsTable[GroupByKey]=DiscreteStatsTable[[#This Row],[GroupByKey]]),(DiscreteStatsTable[GroupByKey]=DiscreteStatsTable[[#This Row],[GroupByKey]])*DiscreteStatsTable[Average])),0)</f>
        <v>174.85354214657374</v>
      </c>
      <c r="P433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125.08268890798421</v>
      </c>
      <c r="R433" cm="1">
        <f t="array" ref="R433">MIN(IF((DiscreteStatsTable[GroupByKey]=DiscreteStatsTable[[#This Row],[GroupByKey]]),(DiscreteStatsTable[GroupByKey]=DiscreteStatsTable[[#This Row],[GroupByKey]])*DiscreteStatsTable[Average]))</f>
        <v>1988.7663340255599</v>
      </c>
      <c r="S433" cm="1">
        <f t="array" ref="S433">MAX(IF((DiscreteStatsTable[GroupByKey]=DiscreteStatsTable[[#This Row],[GroupByKey]]),(DiscreteStatsTable[GroupByKey]=DiscreteStatsTable[[#This Row],[GroupByKey]])*DiscreteStatsTable[Average]))</f>
        <v>2606.8224721424099</v>
      </c>
      <c r="T433" cm="1">
        <f t="array" ref="T433">MIN(IF((DiscreteStatsTable[GroupByKey]=DiscreteStatsTable[[#This Row],[GroupByKey]]),(DiscreteStatsTable[GroupByKey]=DiscreteStatsTable[[#This Row],[GroupByKey]])*DiscreteStatsTable[Minimum]))</f>
        <v>66.189341504752505</v>
      </c>
      <c r="U433" cm="1">
        <f t="array" ref="U433">MAX(IF((DiscreteStatsTable[GroupByKey]=DiscreteStatsTable[[#This Row],[GroupByKey]]),(DiscreteStatsTable[GroupByKey]=DiscreteStatsTable[[#This Row],[GroupByKey]])*DiscreteStatsTable[Maximum]))</f>
        <v>52568.073271626301</v>
      </c>
      <c r="V433" cm="1">
        <f t="array" ref="V433">IFERROR(AVERAGE(IF((DiscreteStatsTable[GroupByKey]=DiscreteStatsTable[[#This Row],[GroupByKey]]),(DiscreteStatsTable[GroupByKey]=DiscreteStatsTable[[#This Row],[GroupByKey]])*DiscreteStatsTable[NumberObservations])),0)</f>
        <v>18392</v>
      </c>
      <c r="W433">
        <f>IF((DiscreteStatsTable[[#This Row],[RepsRequested]]&gt;1),DiscreteStatsTable[[#This Row],[HalfWidth]],DiscreteStatsTable[[#This Row],[BatchMeansHalfWidth]])</f>
        <v>125.08268890798421</v>
      </c>
      <c r="X433" cm="1">
        <f t="array" ref="X433">COUNT(IF((DiscreteStatsTable[GroupByKey]=DiscreteStatsTable[[#This Row],[GroupByKey]]),(DiscreteStatsTable[GroupByKey]=DiscreteStatsTable[[#This Row],[GroupByKey]])*DiscreteStatsTable[Replication]))</f>
        <v>10</v>
      </c>
      <c r="Y433">
        <f>IF(DiscreteStatsTable[[#This Row],[RepsRequested]]=DiscreteStatsTable[[#This Row],[RepsWithStatObserved]],1,0)</f>
        <v>1</v>
      </c>
    </row>
    <row r="434" spans="1:25" x14ac:dyDescent="0.25">
      <c r="A434" t="s">
        <v>67</v>
      </c>
      <c r="B434" t="s">
        <v>243</v>
      </c>
      <c r="C434">
        <v>3</v>
      </c>
      <c r="D434" t="s">
        <v>108</v>
      </c>
      <c r="E434" t="s">
        <v>72</v>
      </c>
      <c r="F434" t="s">
        <v>71</v>
      </c>
      <c r="G434">
        <v>2606.8224721424099</v>
      </c>
      <c r="H434">
        <v>1081.0458075998299</v>
      </c>
      <c r="I434">
        <v>140.22189687730099</v>
      </c>
      <c r="J434">
        <v>52568.073271626301</v>
      </c>
      <c r="K434">
        <v>18407</v>
      </c>
      <c r="L434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434" cm="1">
        <f t="array" ref="M434">MAX(IF((ProjectInfoTable[ProjectName]=DiscreteStatsTable[[#This Row],[ProjectName]]),(ProjectInfoTable[ProjectName]=DiscreteStatsTable[[#This Row],[ProjectName]])*ProjectInfoTable[NumberOfReplications]))</f>
        <v>10</v>
      </c>
      <c r="N434" cm="1">
        <f t="array" ref="N434">IFERROR(AVERAGE(IF((DiscreteStatsTable[GroupByKey]=DiscreteStatsTable[[#This Row],[GroupByKey]]),(DiscreteStatsTable[GroupByKey]=DiscreteStatsTable[[#This Row],[GroupByKey]])*DiscreteStatsTable[Average])),0)</f>
        <v>2333.0370366652432</v>
      </c>
      <c r="O434" cm="1">
        <f t="array" ref="O434">IFERROR(_xlfn.STDEV.S(IF((DiscreteStatsTable[GroupByKey]=DiscreteStatsTable[[#This Row],[GroupByKey]]),(DiscreteStatsTable[GroupByKey]=DiscreteStatsTable[[#This Row],[GroupByKey]])*DiscreteStatsTable[Average])),0)</f>
        <v>174.85354214657374</v>
      </c>
      <c r="P434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125.08268890798421</v>
      </c>
      <c r="R434" cm="1">
        <f t="array" ref="R434">MIN(IF((DiscreteStatsTable[GroupByKey]=DiscreteStatsTable[[#This Row],[GroupByKey]]),(DiscreteStatsTable[GroupByKey]=DiscreteStatsTable[[#This Row],[GroupByKey]])*DiscreteStatsTable[Average]))</f>
        <v>1988.7663340255599</v>
      </c>
      <c r="S434" cm="1">
        <f t="array" ref="S434">MAX(IF((DiscreteStatsTable[GroupByKey]=DiscreteStatsTable[[#This Row],[GroupByKey]]),(DiscreteStatsTable[GroupByKey]=DiscreteStatsTable[[#This Row],[GroupByKey]])*DiscreteStatsTable[Average]))</f>
        <v>2606.8224721424099</v>
      </c>
      <c r="T434" cm="1">
        <f t="array" ref="T434">MIN(IF((DiscreteStatsTable[GroupByKey]=DiscreteStatsTable[[#This Row],[GroupByKey]]),(DiscreteStatsTable[GroupByKey]=DiscreteStatsTable[[#This Row],[GroupByKey]])*DiscreteStatsTable[Minimum]))</f>
        <v>66.189341504752505</v>
      </c>
      <c r="U434" cm="1">
        <f t="array" ref="U434">MAX(IF((DiscreteStatsTable[GroupByKey]=DiscreteStatsTable[[#This Row],[GroupByKey]]),(DiscreteStatsTable[GroupByKey]=DiscreteStatsTable[[#This Row],[GroupByKey]])*DiscreteStatsTable[Maximum]))</f>
        <v>52568.073271626301</v>
      </c>
      <c r="V434" cm="1">
        <f t="array" ref="V434">IFERROR(AVERAGE(IF((DiscreteStatsTable[GroupByKey]=DiscreteStatsTable[[#This Row],[GroupByKey]]),(DiscreteStatsTable[GroupByKey]=DiscreteStatsTable[[#This Row],[GroupByKey]])*DiscreteStatsTable[NumberObservations])),0)</f>
        <v>18392</v>
      </c>
      <c r="W434">
        <f>IF((DiscreteStatsTable[[#This Row],[RepsRequested]]&gt;1),DiscreteStatsTable[[#This Row],[HalfWidth]],DiscreteStatsTable[[#This Row],[BatchMeansHalfWidth]])</f>
        <v>125.08268890798421</v>
      </c>
      <c r="X434" cm="1">
        <f t="array" ref="X434">COUNT(IF((DiscreteStatsTable[GroupByKey]=DiscreteStatsTable[[#This Row],[GroupByKey]]),(DiscreteStatsTable[GroupByKey]=DiscreteStatsTable[[#This Row],[GroupByKey]])*DiscreteStatsTable[Replication]))</f>
        <v>10</v>
      </c>
      <c r="Y434">
        <f>IF(DiscreteStatsTable[[#This Row],[RepsRequested]]=DiscreteStatsTable[[#This Row],[RepsWithStatObserved]],1,0)</f>
        <v>1</v>
      </c>
    </row>
    <row r="435" spans="1:25" x14ac:dyDescent="0.25">
      <c r="A435" t="s">
        <v>67</v>
      </c>
      <c r="B435" t="s">
        <v>243</v>
      </c>
      <c r="C435">
        <v>4</v>
      </c>
      <c r="D435" t="s">
        <v>108</v>
      </c>
      <c r="E435" t="s">
        <v>72</v>
      </c>
      <c r="F435" t="s">
        <v>71</v>
      </c>
      <c r="G435">
        <v>2227.8386962127702</v>
      </c>
      <c r="H435">
        <v>1005.43831061948</v>
      </c>
      <c r="I435">
        <v>83.397560158500696</v>
      </c>
      <c r="J435">
        <v>52263.375106510597</v>
      </c>
      <c r="K435">
        <v>18402</v>
      </c>
      <c r="L435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435" cm="1">
        <f t="array" ref="M435">MAX(IF((ProjectInfoTable[ProjectName]=DiscreteStatsTable[[#This Row],[ProjectName]]),(ProjectInfoTable[ProjectName]=DiscreteStatsTable[[#This Row],[ProjectName]])*ProjectInfoTable[NumberOfReplications]))</f>
        <v>10</v>
      </c>
      <c r="N435" cm="1">
        <f t="array" ref="N435">IFERROR(AVERAGE(IF((DiscreteStatsTable[GroupByKey]=DiscreteStatsTable[[#This Row],[GroupByKey]]),(DiscreteStatsTable[GroupByKey]=DiscreteStatsTable[[#This Row],[GroupByKey]])*DiscreteStatsTable[Average])),0)</f>
        <v>2333.0370366652432</v>
      </c>
      <c r="O435" cm="1">
        <f t="array" ref="O435">IFERROR(_xlfn.STDEV.S(IF((DiscreteStatsTable[GroupByKey]=DiscreteStatsTable[[#This Row],[GroupByKey]]),(DiscreteStatsTable[GroupByKey]=DiscreteStatsTable[[#This Row],[GroupByKey]])*DiscreteStatsTable[Average])),0)</f>
        <v>174.85354214657374</v>
      </c>
      <c r="P43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125.08268890798421</v>
      </c>
      <c r="R435" cm="1">
        <f t="array" ref="R435">MIN(IF((DiscreteStatsTable[GroupByKey]=DiscreteStatsTable[[#This Row],[GroupByKey]]),(DiscreteStatsTable[GroupByKey]=DiscreteStatsTable[[#This Row],[GroupByKey]])*DiscreteStatsTable[Average]))</f>
        <v>1988.7663340255599</v>
      </c>
      <c r="S435" cm="1">
        <f t="array" ref="S435">MAX(IF((DiscreteStatsTable[GroupByKey]=DiscreteStatsTable[[#This Row],[GroupByKey]]),(DiscreteStatsTable[GroupByKey]=DiscreteStatsTable[[#This Row],[GroupByKey]])*DiscreteStatsTable[Average]))</f>
        <v>2606.8224721424099</v>
      </c>
      <c r="T435" cm="1">
        <f t="array" ref="T435">MIN(IF((DiscreteStatsTable[GroupByKey]=DiscreteStatsTable[[#This Row],[GroupByKey]]),(DiscreteStatsTable[GroupByKey]=DiscreteStatsTable[[#This Row],[GroupByKey]])*DiscreteStatsTable[Minimum]))</f>
        <v>66.189341504752505</v>
      </c>
      <c r="U435" cm="1">
        <f t="array" ref="U435">MAX(IF((DiscreteStatsTable[GroupByKey]=DiscreteStatsTable[[#This Row],[GroupByKey]]),(DiscreteStatsTable[GroupByKey]=DiscreteStatsTable[[#This Row],[GroupByKey]])*DiscreteStatsTable[Maximum]))</f>
        <v>52568.073271626301</v>
      </c>
      <c r="V435" cm="1">
        <f t="array" ref="V435">IFERROR(AVERAGE(IF((DiscreteStatsTable[GroupByKey]=DiscreteStatsTable[[#This Row],[GroupByKey]]),(DiscreteStatsTable[GroupByKey]=DiscreteStatsTable[[#This Row],[GroupByKey]])*DiscreteStatsTable[NumberObservations])),0)</f>
        <v>18392</v>
      </c>
      <c r="W435">
        <f>IF((DiscreteStatsTable[[#This Row],[RepsRequested]]&gt;1),DiscreteStatsTable[[#This Row],[HalfWidth]],DiscreteStatsTable[[#This Row],[BatchMeansHalfWidth]])</f>
        <v>125.08268890798421</v>
      </c>
      <c r="X435" cm="1">
        <f t="array" ref="X435">COUNT(IF((DiscreteStatsTable[GroupByKey]=DiscreteStatsTable[[#This Row],[GroupByKey]]),(DiscreteStatsTable[GroupByKey]=DiscreteStatsTable[[#This Row],[GroupByKey]])*DiscreteStatsTable[Replication]))</f>
        <v>10</v>
      </c>
      <c r="Y435">
        <f>IF(DiscreteStatsTable[[#This Row],[RepsRequested]]=DiscreteStatsTable[[#This Row],[RepsWithStatObserved]],1,0)</f>
        <v>1</v>
      </c>
    </row>
    <row r="436" spans="1:25" x14ac:dyDescent="0.25">
      <c r="A436" t="s">
        <v>67</v>
      </c>
      <c r="B436" t="s">
        <v>243</v>
      </c>
      <c r="C436">
        <v>5</v>
      </c>
      <c r="D436" t="s">
        <v>108</v>
      </c>
      <c r="E436" t="s">
        <v>72</v>
      </c>
      <c r="F436" t="s">
        <v>71</v>
      </c>
      <c r="G436">
        <v>1988.7663340255599</v>
      </c>
      <c r="H436">
        <v>878.35305136935699</v>
      </c>
      <c r="I436">
        <v>128.923364673767</v>
      </c>
      <c r="J436">
        <v>52002.097083057401</v>
      </c>
      <c r="K436">
        <v>18405</v>
      </c>
      <c r="L436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436" cm="1">
        <f t="array" ref="M436">MAX(IF((ProjectInfoTable[ProjectName]=DiscreteStatsTable[[#This Row],[ProjectName]]),(ProjectInfoTable[ProjectName]=DiscreteStatsTable[[#This Row],[ProjectName]])*ProjectInfoTable[NumberOfReplications]))</f>
        <v>10</v>
      </c>
      <c r="N436" cm="1">
        <f t="array" ref="N436">IFERROR(AVERAGE(IF((DiscreteStatsTable[GroupByKey]=DiscreteStatsTable[[#This Row],[GroupByKey]]),(DiscreteStatsTable[GroupByKey]=DiscreteStatsTable[[#This Row],[GroupByKey]])*DiscreteStatsTable[Average])),0)</f>
        <v>2333.0370366652432</v>
      </c>
      <c r="O436" cm="1">
        <f t="array" ref="O436">IFERROR(_xlfn.STDEV.S(IF((DiscreteStatsTable[GroupByKey]=DiscreteStatsTable[[#This Row],[GroupByKey]]),(DiscreteStatsTable[GroupByKey]=DiscreteStatsTable[[#This Row],[GroupByKey]])*DiscreteStatsTable[Average])),0)</f>
        <v>174.85354214657374</v>
      </c>
      <c r="P436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125.08268890798421</v>
      </c>
      <c r="R436" cm="1">
        <f t="array" ref="R436">MIN(IF((DiscreteStatsTable[GroupByKey]=DiscreteStatsTable[[#This Row],[GroupByKey]]),(DiscreteStatsTable[GroupByKey]=DiscreteStatsTable[[#This Row],[GroupByKey]])*DiscreteStatsTable[Average]))</f>
        <v>1988.7663340255599</v>
      </c>
      <c r="S436" cm="1">
        <f t="array" ref="S436">MAX(IF((DiscreteStatsTable[GroupByKey]=DiscreteStatsTable[[#This Row],[GroupByKey]]),(DiscreteStatsTable[GroupByKey]=DiscreteStatsTable[[#This Row],[GroupByKey]])*DiscreteStatsTable[Average]))</f>
        <v>2606.8224721424099</v>
      </c>
      <c r="T436" cm="1">
        <f t="array" ref="T436">MIN(IF((DiscreteStatsTable[GroupByKey]=DiscreteStatsTable[[#This Row],[GroupByKey]]),(DiscreteStatsTable[GroupByKey]=DiscreteStatsTable[[#This Row],[GroupByKey]])*DiscreteStatsTable[Minimum]))</f>
        <v>66.189341504752505</v>
      </c>
      <c r="U436" cm="1">
        <f t="array" ref="U436">MAX(IF((DiscreteStatsTable[GroupByKey]=DiscreteStatsTable[[#This Row],[GroupByKey]]),(DiscreteStatsTable[GroupByKey]=DiscreteStatsTable[[#This Row],[GroupByKey]])*DiscreteStatsTable[Maximum]))</f>
        <v>52568.073271626301</v>
      </c>
      <c r="V436" cm="1">
        <f t="array" ref="V436">IFERROR(AVERAGE(IF((DiscreteStatsTable[GroupByKey]=DiscreteStatsTable[[#This Row],[GroupByKey]]),(DiscreteStatsTable[GroupByKey]=DiscreteStatsTable[[#This Row],[GroupByKey]])*DiscreteStatsTable[NumberObservations])),0)</f>
        <v>18392</v>
      </c>
      <c r="W436">
        <f>IF((DiscreteStatsTable[[#This Row],[RepsRequested]]&gt;1),DiscreteStatsTable[[#This Row],[HalfWidth]],DiscreteStatsTable[[#This Row],[BatchMeansHalfWidth]])</f>
        <v>125.08268890798421</v>
      </c>
      <c r="X436" cm="1">
        <f t="array" ref="X436">COUNT(IF((DiscreteStatsTable[GroupByKey]=DiscreteStatsTable[[#This Row],[GroupByKey]]),(DiscreteStatsTable[GroupByKey]=DiscreteStatsTable[[#This Row],[GroupByKey]])*DiscreteStatsTable[Replication]))</f>
        <v>10</v>
      </c>
      <c r="Y436">
        <f>IF(DiscreteStatsTable[[#This Row],[RepsRequested]]=DiscreteStatsTable[[#This Row],[RepsWithStatObserved]],1,0)</f>
        <v>1</v>
      </c>
    </row>
    <row r="437" spans="1:25" x14ac:dyDescent="0.25">
      <c r="A437" t="s">
        <v>67</v>
      </c>
      <c r="B437" t="s">
        <v>243</v>
      </c>
      <c r="C437">
        <v>6</v>
      </c>
      <c r="D437" t="s">
        <v>108</v>
      </c>
      <c r="E437" t="s">
        <v>72</v>
      </c>
      <c r="F437" t="s">
        <v>71</v>
      </c>
      <c r="G437">
        <v>2390.5407784579902</v>
      </c>
      <c r="H437">
        <v>1083.46363182452</v>
      </c>
      <c r="I437">
        <v>151.50689316448899</v>
      </c>
      <c r="J437">
        <v>52452.2808659027</v>
      </c>
      <c r="K437">
        <v>18376</v>
      </c>
      <c r="L437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437" cm="1">
        <f t="array" ref="M437">MAX(IF((ProjectInfoTable[ProjectName]=DiscreteStatsTable[[#This Row],[ProjectName]]),(ProjectInfoTable[ProjectName]=DiscreteStatsTable[[#This Row],[ProjectName]])*ProjectInfoTable[NumberOfReplications]))</f>
        <v>10</v>
      </c>
      <c r="N437" cm="1">
        <f t="array" ref="N437">IFERROR(AVERAGE(IF((DiscreteStatsTable[GroupByKey]=DiscreteStatsTable[[#This Row],[GroupByKey]]),(DiscreteStatsTable[GroupByKey]=DiscreteStatsTable[[#This Row],[GroupByKey]])*DiscreteStatsTable[Average])),0)</f>
        <v>2333.0370366652432</v>
      </c>
      <c r="O437" cm="1">
        <f t="array" ref="O437">IFERROR(_xlfn.STDEV.S(IF((DiscreteStatsTable[GroupByKey]=DiscreteStatsTable[[#This Row],[GroupByKey]]),(DiscreteStatsTable[GroupByKey]=DiscreteStatsTable[[#This Row],[GroupByKey]])*DiscreteStatsTable[Average])),0)</f>
        <v>174.85354214657374</v>
      </c>
      <c r="P437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125.08268890798421</v>
      </c>
      <c r="R437" cm="1">
        <f t="array" ref="R437">MIN(IF((DiscreteStatsTable[GroupByKey]=DiscreteStatsTable[[#This Row],[GroupByKey]]),(DiscreteStatsTable[GroupByKey]=DiscreteStatsTable[[#This Row],[GroupByKey]])*DiscreteStatsTable[Average]))</f>
        <v>1988.7663340255599</v>
      </c>
      <c r="S437" cm="1">
        <f t="array" ref="S437">MAX(IF((DiscreteStatsTable[GroupByKey]=DiscreteStatsTable[[#This Row],[GroupByKey]]),(DiscreteStatsTable[GroupByKey]=DiscreteStatsTable[[#This Row],[GroupByKey]])*DiscreteStatsTable[Average]))</f>
        <v>2606.8224721424099</v>
      </c>
      <c r="T437" cm="1">
        <f t="array" ref="T437">MIN(IF((DiscreteStatsTable[GroupByKey]=DiscreteStatsTable[[#This Row],[GroupByKey]]),(DiscreteStatsTable[GroupByKey]=DiscreteStatsTable[[#This Row],[GroupByKey]])*DiscreteStatsTable[Minimum]))</f>
        <v>66.189341504752505</v>
      </c>
      <c r="U437" cm="1">
        <f t="array" ref="U437">MAX(IF((DiscreteStatsTable[GroupByKey]=DiscreteStatsTable[[#This Row],[GroupByKey]]),(DiscreteStatsTable[GroupByKey]=DiscreteStatsTable[[#This Row],[GroupByKey]])*DiscreteStatsTable[Maximum]))</f>
        <v>52568.073271626301</v>
      </c>
      <c r="V437" cm="1">
        <f t="array" ref="V437">IFERROR(AVERAGE(IF((DiscreteStatsTable[GroupByKey]=DiscreteStatsTable[[#This Row],[GroupByKey]]),(DiscreteStatsTable[GroupByKey]=DiscreteStatsTable[[#This Row],[GroupByKey]])*DiscreteStatsTable[NumberObservations])),0)</f>
        <v>18392</v>
      </c>
      <c r="W437">
        <f>IF((DiscreteStatsTable[[#This Row],[RepsRequested]]&gt;1),DiscreteStatsTable[[#This Row],[HalfWidth]],DiscreteStatsTable[[#This Row],[BatchMeansHalfWidth]])</f>
        <v>125.08268890798421</v>
      </c>
      <c r="X437" cm="1">
        <f t="array" ref="X437">COUNT(IF((DiscreteStatsTable[GroupByKey]=DiscreteStatsTable[[#This Row],[GroupByKey]]),(DiscreteStatsTable[GroupByKey]=DiscreteStatsTable[[#This Row],[GroupByKey]])*DiscreteStatsTable[Replication]))</f>
        <v>10</v>
      </c>
      <c r="Y437">
        <f>IF(DiscreteStatsTable[[#This Row],[RepsRequested]]=DiscreteStatsTable[[#This Row],[RepsWithStatObserved]],1,0)</f>
        <v>1</v>
      </c>
    </row>
    <row r="438" spans="1:25" x14ac:dyDescent="0.25">
      <c r="A438" t="s">
        <v>67</v>
      </c>
      <c r="B438" t="s">
        <v>243</v>
      </c>
      <c r="C438">
        <v>7</v>
      </c>
      <c r="D438" t="s">
        <v>108</v>
      </c>
      <c r="E438" t="s">
        <v>72</v>
      </c>
      <c r="F438" t="s">
        <v>71</v>
      </c>
      <c r="G438">
        <v>2520.2896303317202</v>
      </c>
      <c r="H438">
        <v>1091.9999250472899</v>
      </c>
      <c r="I438">
        <v>173.533798527995</v>
      </c>
      <c r="J438">
        <v>52511.377340039297</v>
      </c>
      <c r="K438">
        <v>18398</v>
      </c>
      <c r="L438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438" cm="1">
        <f t="array" ref="M438">MAX(IF((ProjectInfoTable[ProjectName]=DiscreteStatsTable[[#This Row],[ProjectName]]),(ProjectInfoTable[ProjectName]=DiscreteStatsTable[[#This Row],[ProjectName]])*ProjectInfoTable[NumberOfReplications]))</f>
        <v>10</v>
      </c>
      <c r="N438" cm="1">
        <f t="array" ref="N438">IFERROR(AVERAGE(IF((DiscreteStatsTable[GroupByKey]=DiscreteStatsTable[[#This Row],[GroupByKey]]),(DiscreteStatsTable[GroupByKey]=DiscreteStatsTable[[#This Row],[GroupByKey]])*DiscreteStatsTable[Average])),0)</f>
        <v>2333.0370366652432</v>
      </c>
      <c r="O438" cm="1">
        <f t="array" ref="O438">IFERROR(_xlfn.STDEV.S(IF((DiscreteStatsTable[GroupByKey]=DiscreteStatsTable[[#This Row],[GroupByKey]]),(DiscreteStatsTable[GroupByKey]=DiscreteStatsTable[[#This Row],[GroupByKey]])*DiscreteStatsTable[Average])),0)</f>
        <v>174.85354214657374</v>
      </c>
      <c r="P438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125.08268890798421</v>
      </c>
      <c r="R438" cm="1">
        <f t="array" ref="R438">MIN(IF((DiscreteStatsTable[GroupByKey]=DiscreteStatsTable[[#This Row],[GroupByKey]]),(DiscreteStatsTable[GroupByKey]=DiscreteStatsTable[[#This Row],[GroupByKey]])*DiscreteStatsTable[Average]))</f>
        <v>1988.7663340255599</v>
      </c>
      <c r="S438" cm="1">
        <f t="array" ref="S438">MAX(IF((DiscreteStatsTable[GroupByKey]=DiscreteStatsTable[[#This Row],[GroupByKey]]),(DiscreteStatsTable[GroupByKey]=DiscreteStatsTable[[#This Row],[GroupByKey]])*DiscreteStatsTable[Average]))</f>
        <v>2606.8224721424099</v>
      </c>
      <c r="T438" cm="1">
        <f t="array" ref="T438">MIN(IF((DiscreteStatsTable[GroupByKey]=DiscreteStatsTable[[#This Row],[GroupByKey]]),(DiscreteStatsTable[GroupByKey]=DiscreteStatsTable[[#This Row],[GroupByKey]])*DiscreteStatsTable[Minimum]))</f>
        <v>66.189341504752505</v>
      </c>
      <c r="U438" cm="1">
        <f t="array" ref="U438">MAX(IF((DiscreteStatsTable[GroupByKey]=DiscreteStatsTable[[#This Row],[GroupByKey]]),(DiscreteStatsTable[GroupByKey]=DiscreteStatsTable[[#This Row],[GroupByKey]])*DiscreteStatsTable[Maximum]))</f>
        <v>52568.073271626301</v>
      </c>
      <c r="V438" cm="1">
        <f t="array" ref="V438">IFERROR(AVERAGE(IF((DiscreteStatsTable[GroupByKey]=DiscreteStatsTable[[#This Row],[GroupByKey]]),(DiscreteStatsTable[GroupByKey]=DiscreteStatsTable[[#This Row],[GroupByKey]])*DiscreteStatsTable[NumberObservations])),0)</f>
        <v>18392</v>
      </c>
      <c r="W438">
        <f>IF((DiscreteStatsTable[[#This Row],[RepsRequested]]&gt;1),DiscreteStatsTable[[#This Row],[HalfWidth]],DiscreteStatsTable[[#This Row],[BatchMeansHalfWidth]])</f>
        <v>125.08268890798421</v>
      </c>
      <c r="X438" cm="1">
        <f t="array" ref="X438">COUNT(IF((DiscreteStatsTable[GroupByKey]=DiscreteStatsTable[[#This Row],[GroupByKey]]),(DiscreteStatsTable[GroupByKey]=DiscreteStatsTable[[#This Row],[GroupByKey]])*DiscreteStatsTable[Replication]))</f>
        <v>10</v>
      </c>
      <c r="Y438">
        <f>IF(DiscreteStatsTable[[#This Row],[RepsRequested]]=DiscreteStatsTable[[#This Row],[RepsWithStatObserved]],1,0)</f>
        <v>1</v>
      </c>
    </row>
    <row r="439" spans="1:25" x14ac:dyDescent="0.25">
      <c r="A439" t="s">
        <v>67</v>
      </c>
      <c r="B439" t="s">
        <v>243</v>
      </c>
      <c r="C439">
        <v>8</v>
      </c>
      <c r="D439" t="s">
        <v>108</v>
      </c>
      <c r="E439" t="s">
        <v>72</v>
      </c>
      <c r="F439" t="s">
        <v>71</v>
      </c>
      <c r="G439">
        <v>2215.8203694788699</v>
      </c>
      <c r="H439">
        <v>1026.48239008163</v>
      </c>
      <c r="I439">
        <v>66.189341504752505</v>
      </c>
      <c r="J439">
        <v>52349.491205812097</v>
      </c>
      <c r="K439">
        <v>18377</v>
      </c>
      <c r="L439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439" cm="1">
        <f t="array" ref="M439">MAX(IF((ProjectInfoTable[ProjectName]=DiscreteStatsTable[[#This Row],[ProjectName]]),(ProjectInfoTable[ProjectName]=DiscreteStatsTable[[#This Row],[ProjectName]])*ProjectInfoTable[NumberOfReplications]))</f>
        <v>10</v>
      </c>
      <c r="N439" cm="1">
        <f t="array" ref="N439">IFERROR(AVERAGE(IF((DiscreteStatsTable[GroupByKey]=DiscreteStatsTable[[#This Row],[GroupByKey]]),(DiscreteStatsTable[GroupByKey]=DiscreteStatsTable[[#This Row],[GroupByKey]])*DiscreteStatsTable[Average])),0)</f>
        <v>2333.0370366652432</v>
      </c>
      <c r="O439" cm="1">
        <f t="array" ref="O439">IFERROR(_xlfn.STDEV.S(IF((DiscreteStatsTable[GroupByKey]=DiscreteStatsTable[[#This Row],[GroupByKey]]),(DiscreteStatsTable[GroupByKey]=DiscreteStatsTable[[#This Row],[GroupByKey]])*DiscreteStatsTable[Average])),0)</f>
        <v>174.85354214657374</v>
      </c>
      <c r="P439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125.08268890798421</v>
      </c>
      <c r="R439" cm="1">
        <f t="array" ref="R439">MIN(IF((DiscreteStatsTable[GroupByKey]=DiscreteStatsTable[[#This Row],[GroupByKey]]),(DiscreteStatsTable[GroupByKey]=DiscreteStatsTable[[#This Row],[GroupByKey]])*DiscreteStatsTable[Average]))</f>
        <v>1988.7663340255599</v>
      </c>
      <c r="S439" cm="1">
        <f t="array" ref="S439">MAX(IF((DiscreteStatsTable[GroupByKey]=DiscreteStatsTable[[#This Row],[GroupByKey]]),(DiscreteStatsTable[GroupByKey]=DiscreteStatsTable[[#This Row],[GroupByKey]])*DiscreteStatsTable[Average]))</f>
        <v>2606.8224721424099</v>
      </c>
      <c r="T439" cm="1">
        <f t="array" ref="T439">MIN(IF((DiscreteStatsTable[GroupByKey]=DiscreteStatsTable[[#This Row],[GroupByKey]]),(DiscreteStatsTable[GroupByKey]=DiscreteStatsTable[[#This Row],[GroupByKey]])*DiscreteStatsTable[Minimum]))</f>
        <v>66.189341504752505</v>
      </c>
      <c r="U439" cm="1">
        <f t="array" ref="U439">MAX(IF((DiscreteStatsTable[GroupByKey]=DiscreteStatsTable[[#This Row],[GroupByKey]]),(DiscreteStatsTable[GroupByKey]=DiscreteStatsTable[[#This Row],[GroupByKey]])*DiscreteStatsTable[Maximum]))</f>
        <v>52568.073271626301</v>
      </c>
      <c r="V439" cm="1">
        <f t="array" ref="V439">IFERROR(AVERAGE(IF((DiscreteStatsTable[GroupByKey]=DiscreteStatsTable[[#This Row],[GroupByKey]]),(DiscreteStatsTable[GroupByKey]=DiscreteStatsTable[[#This Row],[GroupByKey]])*DiscreteStatsTable[NumberObservations])),0)</f>
        <v>18392</v>
      </c>
      <c r="W439">
        <f>IF((DiscreteStatsTable[[#This Row],[RepsRequested]]&gt;1),DiscreteStatsTable[[#This Row],[HalfWidth]],DiscreteStatsTable[[#This Row],[BatchMeansHalfWidth]])</f>
        <v>125.08268890798421</v>
      </c>
      <c r="X439" cm="1">
        <f t="array" ref="X439">COUNT(IF((DiscreteStatsTable[GroupByKey]=DiscreteStatsTable[[#This Row],[GroupByKey]]),(DiscreteStatsTable[GroupByKey]=DiscreteStatsTable[[#This Row],[GroupByKey]])*DiscreteStatsTable[Replication]))</f>
        <v>10</v>
      </c>
      <c r="Y439">
        <f>IF(DiscreteStatsTable[[#This Row],[RepsRequested]]=DiscreteStatsTable[[#This Row],[RepsWithStatObserved]],1,0)</f>
        <v>1</v>
      </c>
    </row>
    <row r="440" spans="1:25" x14ac:dyDescent="0.25">
      <c r="A440" t="s">
        <v>67</v>
      </c>
      <c r="B440" t="s">
        <v>243</v>
      </c>
      <c r="C440">
        <v>9</v>
      </c>
      <c r="D440" t="s">
        <v>108</v>
      </c>
      <c r="E440" t="s">
        <v>72</v>
      </c>
      <c r="F440" t="s">
        <v>71</v>
      </c>
      <c r="G440">
        <v>2430.9433999274402</v>
      </c>
      <c r="H440">
        <v>1017.95943765365</v>
      </c>
      <c r="I440">
        <v>186.96015238032899</v>
      </c>
      <c r="J440">
        <v>52409.513023342202</v>
      </c>
      <c r="K440">
        <v>18405</v>
      </c>
      <c r="L440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440" cm="1">
        <f t="array" ref="M440">MAX(IF((ProjectInfoTable[ProjectName]=DiscreteStatsTable[[#This Row],[ProjectName]]),(ProjectInfoTable[ProjectName]=DiscreteStatsTable[[#This Row],[ProjectName]])*ProjectInfoTable[NumberOfReplications]))</f>
        <v>10</v>
      </c>
      <c r="N440" cm="1">
        <f t="array" ref="N440">IFERROR(AVERAGE(IF((DiscreteStatsTable[GroupByKey]=DiscreteStatsTable[[#This Row],[GroupByKey]]),(DiscreteStatsTable[GroupByKey]=DiscreteStatsTable[[#This Row],[GroupByKey]])*DiscreteStatsTable[Average])),0)</f>
        <v>2333.0370366652432</v>
      </c>
      <c r="O440" cm="1">
        <f t="array" ref="O440">IFERROR(_xlfn.STDEV.S(IF((DiscreteStatsTable[GroupByKey]=DiscreteStatsTable[[#This Row],[GroupByKey]]),(DiscreteStatsTable[GroupByKey]=DiscreteStatsTable[[#This Row],[GroupByKey]])*DiscreteStatsTable[Average])),0)</f>
        <v>174.85354214657374</v>
      </c>
      <c r="P440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125.08268890798421</v>
      </c>
      <c r="R440" cm="1">
        <f t="array" ref="R440">MIN(IF((DiscreteStatsTable[GroupByKey]=DiscreteStatsTable[[#This Row],[GroupByKey]]),(DiscreteStatsTable[GroupByKey]=DiscreteStatsTable[[#This Row],[GroupByKey]])*DiscreteStatsTable[Average]))</f>
        <v>1988.7663340255599</v>
      </c>
      <c r="S440" cm="1">
        <f t="array" ref="S440">MAX(IF((DiscreteStatsTable[GroupByKey]=DiscreteStatsTable[[#This Row],[GroupByKey]]),(DiscreteStatsTable[GroupByKey]=DiscreteStatsTable[[#This Row],[GroupByKey]])*DiscreteStatsTable[Average]))</f>
        <v>2606.8224721424099</v>
      </c>
      <c r="T440" cm="1">
        <f t="array" ref="T440">MIN(IF((DiscreteStatsTable[GroupByKey]=DiscreteStatsTable[[#This Row],[GroupByKey]]),(DiscreteStatsTable[GroupByKey]=DiscreteStatsTable[[#This Row],[GroupByKey]])*DiscreteStatsTable[Minimum]))</f>
        <v>66.189341504752505</v>
      </c>
      <c r="U440" cm="1">
        <f t="array" ref="U440">MAX(IF((DiscreteStatsTable[GroupByKey]=DiscreteStatsTable[[#This Row],[GroupByKey]]),(DiscreteStatsTable[GroupByKey]=DiscreteStatsTable[[#This Row],[GroupByKey]])*DiscreteStatsTable[Maximum]))</f>
        <v>52568.073271626301</v>
      </c>
      <c r="V440" cm="1">
        <f t="array" ref="V440">IFERROR(AVERAGE(IF((DiscreteStatsTable[GroupByKey]=DiscreteStatsTable[[#This Row],[GroupByKey]]),(DiscreteStatsTable[GroupByKey]=DiscreteStatsTable[[#This Row],[GroupByKey]])*DiscreteStatsTable[NumberObservations])),0)</f>
        <v>18392</v>
      </c>
      <c r="W440">
        <f>IF((DiscreteStatsTable[[#This Row],[RepsRequested]]&gt;1),DiscreteStatsTable[[#This Row],[HalfWidth]],DiscreteStatsTable[[#This Row],[BatchMeansHalfWidth]])</f>
        <v>125.08268890798421</v>
      </c>
      <c r="X440" cm="1">
        <f t="array" ref="X440">COUNT(IF((DiscreteStatsTable[GroupByKey]=DiscreteStatsTable[[#This Row],[GroupByKey]]),(DiscreteStatsTable[GroupByKey]=DiscreteStatsTable[[#This Row],[GroupByKey]])*DiscreteStatsTable[Replication]))</f>
        <v>10</v>
      </c>
      <c r="Y440">
        <f>IF(DiscreteStatsTable[[#This Row],[RepsRequested]]=DiscreteStatsTable[[#This Row],[RepsWithStatObserved]],1,0)</f>
        <v>1</v>
      </c>
    </row>
    <row r="441" spans="1:25" x14ac:dyDescent="0.25">
      <c r="A441" t="s">
        <v>67</v>
      </c>
      <c r="B441" t="s">
        <v>243</v>
      </c>
      <c r="C441">
        <v>10</v>
      </c>
      <c r="D441" t="s">
        <v>108</v>
      </c>
      <c r="E441" t="s">
        <v>72</v>
      </c>
      <c r="F441" t="s">
        <v>71</v>
      </c>
      <c r="G441">
        <v>2389.6360482246901</v>
      </c>
      <c r="H441">
        <v>1063.9495192280499</v>
      </c>
      <c r="I441">
        <v>112.337083306487</v>
      </c>
      <c r="J441">
        <v>52384.5533307683</v>
      </c>
      <c r="K441">
        <v>18380</v>
      </c>
      <c r="L441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441" cm="1">
        <f t="array" ref="M441">MAX(IF((ProjectInfoTable[ProjectName]=DiscreteStatsTable[[#This Row],[ProjectName]]),(ProjectInfoTable[ProjectName]=DiscreteStatsTable[[#This Row],[ProjectName]])*ProjectInfoTable[NumberOfReplications]))</f>
        <v>10</v>
      </c>
      <c r="N441" cm="1">
        <f t="array" ref="N441">IFERROR(AVERAGE(IF((DiscreteStatsTable[GroupByKey]=DiscreteStatsTable[[#This Row],[GroupByKey]]),(DiscreteStatsTable[GroupByKey]=DiscreteStatsTable[[#This Row],[GroupByKey]])*DiscreteStatsTable[Average])),0)</f>
        <v>2333.0370366652432</v>
      </c>
      <c r="O441" cm="1">
        <f t="array" ref="O441">IFERROR(_xlfn.STDEV.S(IF((DiscreteStatsTable[GroupByKey]=DiscreteStatsTable[[#This Row],[GroupByKey]]),(DiscreteStatsTable[GroupByKey]=DiscreteStatsTable[[#This Row],[GroupByKey]])*DiscreteStatsTable[Average])),0)</f>
        <v>174.85354214657374</v>
      </c>
      <c r="P441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125.08268890798421</v>
      </c>
      <c r="R441" cm="1">
        <f t="array" ref="R441">MIN(IF((DiscreteStatsTable[GroupByKey]=DiscreteStatsTable[[#This Row],[GroupByKey]]),(DiscreteStatsTable[GroupByKey]=DiscreteStatsTable[[#This Row],[GroupByKey]])*DiscreteStatsTable[Average]))</f>
        <v>1988.7663340255599</v>
      </c>
      <c r="S441" cm="1">
        <f t="array" ref="S441">MAX(IF((DiscreteStatsTable[GroupByKey]=DiscreteStatsTable[[#This Row],[GroupByKey]]),(DiscreteStatsTable[GroupByKey]=DiscreteStatsTable[[#This Row],[GroupByKey]])*DiscreteStatsTable[Average]))</f>
        <v>2606.8224721424099</v>
      </c>
      <c r="T441" cm="1">
        <f t="array" ref="T441">MIN(IF((DiscreteStatsTable[GroupByKey]=DiscreteStatsTable[[#This Row],[GroupByKey]]),(DiscreteStatsTable[GroupByKey]=DiscreteStatsTable[[#This Row],[GroupByKey]])*DiscreteStatsTable[Minimum]))</f>
        <v>66.189341504752505</v>
      </c>
      <c r="U441" cm="1">
        <f t="array" ref="U441">MAX(IF((DiscreteStatsTable[GroupByKey]=DiscreteStatsTable[[#This Row],[GroupByKey]]),(DiscreteStatsTable[GroupByKey]=DiscreteStatsTable[[#This Row],[GroupByKey]])*DiscreteStatsTable[Maximum]))</f>
        <v>52568.073271626301</v>
      </c>
      <c r="V441" cm="1">
        <f t="array" ref="V441">IFERROR(AVERAGE(IF((DiscreteStatsTable[GroupByKey]=DiscreteStatsTable[[#This Row],[GroupByKey]]),(DiscreteStatsTable[GroupByKey]=DiscreteStatsTable[[#This Row],[GroupByKey]])*DiscreteStatsTable[NumberObservations])),0)</f>
        <v>18392</v>
      </c>
      <c r="W441">
        <f>IF((DiscreteStatsTable[[#This Row],[RepsRequested]]&gt;1),DiscreteStatsTable[[#This Row],[HalfWidth]],DiscreteStatsTable[[#This Row],[BatchMeansHalfWidth]])</f>
        <v>125.08268890798421</v>
      </c>
      <c r="X441" cm="1">
        <f t="array" ref="X441">COUNT(IF((DiscreteStatsTable[GroupByKey]=DiscreteStatsTable[[#This Row],[GroupByKey]]),(DiscreteStatsTable[GroupByKey]=DiscreteStatsTable[[#This Row],[GroupByKey]])*DiscreteStatsTable[Replication]))</f>
        <v>10</v>
      </c>
      <c r="Y441">
        <f>IF(DiscreteStatsTable[[#This Row],[RepsRequested]]=DiscreteStatsTable[[#This Row],[RepsWithStatObserved]],1,0)</f>
        <v>1</v>
      </c>
    </row>
    <row r="442" spans="1:25" x14ac:dyDescent="0.25">
      <c r="A442" t="s">
        <v>67</v>
      </c>
      <c r="B442" t="s">
        <v>243</v>
      </c>
      <c r="C442">
        <v>1</v>
      </c>
      <c r="D442" t="s">
        <v>109</v>
      </c>
      <c r="E442" t="s">
        <v>72</v>
      </c>
      <c r="F442" t="s">
        <v>71</v>
      </c>
      <c r="G442">
        <v>99.832749175835602</v>
      </c>
      <c r="H442">
        <v>40.750461539462599</v>
      </c>
      <c r="I442">
        <v>0</v>
      </c>
      <c r="J442">
        <v>50455.242055160903</v>
      </c>
      <c r="K442">
        <v>18376</v>
      </c>
      <c r="L442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442" cm="1">
        <f t="array" ref="M442">MAX(IF((ProjectInfoTable[ProjectName]=DiscreteStatsTable[[#This Row],[ProjectName]]),(ProjectInfoTable[ProjectName]=DiscreteStatsTable[[#This Row],[ProjectName]])*ProjectInfoTable[NumberOfReplications]))</f>
        <v>10</v>
      </c>
      <c r="N442" cm="1">
        <f t="array" ref="N442">IFERROR(AVERAGE(IF((DiscreteStatsTable[GroupByKey]=DiscreteStatsTable[[#This Row],[GroupByKey]]),(DiscreteStatsTable[GroupByKey]=DiscreteStatsTable[[#This Row],[GroupByKey]])*DiscreteStatsTable[Average])),0)</f>
        <v>96.952802100337834</v>
      </c>
      <c r="O442" cm="1">
        <f t="array" ref="O442">IFERROR(_xlfn.STDEV.S(IF((DiscreteStatsTable[GroupByKey]=DiscreteStatsTable[[#This Row],[GroupByKey]]),(DiscreteStatsTable[GroupByKey]=DiscreteStatsTable[[#This Row],[GroupByKey]])*DiscreteStatsTable[Average])),0)</f>
        <v>14.580921079066574</v>
      </c>
      <c r="P442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10.430562589323509</v>
      </c>
      <c r="R442" cm="1">
        <f t="array" ref="R442">MIN(IF((DiscreteStatsTable[GroupByKey]=DiscreteStatsTable[[#This Row],[GroupByKey]]),(DiscreteStatsTable[GroupByKey]=DiscreteStatsTable[[#This Row],[GroupByKey]])*DiscreteStatsTable[Average]))</f>
        <v>70.992281755618393</v>
      </c>
      <c r="S442" cm="1">
        <f t="array" ref="S442">MAX(IF((DiscreteStatsTable[GroupByKey]=DiscreteStatsTable[[#This Row],[GroupByKey]]),(DiscreteStatsTable[GroupByKey]=DiscreteStatsTable[[#This Row],[GroupByKey]])*DiscreteStatsTable[Average]))</f>
        <v>112.231730524293</v>
      </c>
      <c r="T442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cm="1">
        <f t="array" ref="U442">MAX(IF((DiscreteStatsTable[GroupByKey]=DiscreteStatsTable[[#This Row],[GroupByKey]]),(DiscreteStatsTable[GroupByKey]=DiscreteStatsTable[[#This Row],[GroupByKey]])*DiscreteStatsTable[Maximum]))</f>
        <v>50459.332896561798</v>
      </c>
      <c r="V442" cm="1">
        <f t="array" ref="V442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442">
        <f>IF((DiscreteStatsTable[[#This Row],[RepsRequested]]&gt;1),DiscreteStatsTable[[#This Row],[HalfWidth]],DiscreteStatsTable[[#This Row],[BatchMeansHalfWidth]])</f>
        <v>10.430562589323509</v>
      </c>
      <c r="X442" cm="1">
        <f t="array" ref="X442">COUNT(IF((DiscreteStatsTable[GroupByKey]=DiscreteStatsTable[[#This Row],[GroupByKey]]),(DiscreteStatsTable[GroupByKey]=DiscreteStatsTable[[#This Row],[GroupByKey]])*DiscreteStatsTable[Replication]))</f>
        <v>10</v>
      </c>
      <c r="Y442">
        <f>IF(DiscreteStatsTable[[#This Row],[RepsRequested]]=DiscreteStatsTable[[#This Row],[RepsWithStatObserved]],1,0)</f>
        <v>1</v>
      </c>
    </row>
    <row r="443" spans="1:25" x14ac:dyDescent="0.25">
      <c r="A443" t="s">
        <v>67</v>
      </c>
      <c r="B443" t="s">
        <v>243</v>
      </c>
      <c r="C443">
        <v>2</v>
      </c>
      <c r="D443" t="s">
        <v>109</v>
      </c>
      <c r="E443" t="s">
        <v>72</v>
      </c>
      <c r="F443" t="s">
        <v>71</v>
      </c>
      <c r="G443">
        <v>112.231730524293</v>
      </c>
      <c r="H443">
        <v>51.432963735174802</v>
      </c>
      <c r="I443">
        <v>0</v>
      </c>
      <c r="J443">
        <v>50456.155760698202</v>
      </c>
      <c r="K443">
        <v>18387</v>
      </c>
      <c r="L443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443" cm="1">
        <f t="array" ref="M443">MAX(IF((ProjectInfoTable[ProjectName]=DiscreteStatsTable[[#This Row],[ProjectName]]),(ProjectInfoTable[ProjectName]=DiscreteStatsTable[[#This Row],[ProjectName]])*ProjectInfoTable[NumberOfReplications]))</f>
        <v>10</v>
      </c>
      <c r="N443" cm="1">
        <f t="array" ref="N443">IFERROR(AVERAGE(IF((DiscreteStatsTable[GroupByKey]=DiscreteStatsTable[[#This Row],[GroupByKey]]),(DiscreteStatsTable[GroupByKey]=DiscreteStatsTable[[#This Row],[GroupByKey]])*DiscreteStatsTable[Average])),0)</f>
        <v>96.952802100337834</v>
      </c>
      <c r="O443" cm="1">
        <f t="array" ref="O443">IFERROR(_xlfn.STDEV.S(IF((DiscreteStatsTable[GroupByKey]=DiscreteStatsTable[[#This Row],[GroupByKey]]),(DiscreteStatsTable[GroupByKey]=DiscreteStatsTable[[#This Row],[GroupByKey]])*DiscreteStatsTable[Average])),0)</f>
        <v>14.580921079066574</v>
      </c>
      <c r="P443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10.430562589323509</v>
      </c>
      <c r="R443" cm="1">
        <f t="array" ref="R443">MIN(IF((DiscreteStatsTable[GroupByKey]=DiscreteStatsTable[[#This Row],[GroupByKey]]),(DiscreteStatsTable[GroupByKey]=DiscreteStatsTable[[#This Row],[GroupByKey]])*DiscreteStatsTable[Average]))</f>
        <v>70.992281755618393</v>
      </c>
      <c r="S443" cm="1">
        <f t="array" ref="S443">MAX(IF((DiscreteStatsTable[GroupByKey]=DiscreteStatsTable[[#This Row],[GroupByKey]]),(DiscreteStatsTable[GroupByKey]=DiscreteStatsTable[[#This Row],[GroupByKey]])*DiscreteStatsTable[Average]))</f>
        <v>112.231730524293</v>
      </c>
      <c r="T443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cm="1">
        <f t="array" ref="U443">MAX(IF((DiscreteStatsTable[GroupByKey]=DiscreteStatsTable[[#This Row],[GroupByKey]]),(DiscreteStatsTable[GroupByKey]=DiscreteStatsTable[[#This Row],[GroupByKey]])*DiscreteStatsTable[Maximum]))</f>
        <v>50459.332896561798</v>
      </c>
      <c r="V443" cm="1">
        <f t="array" ref="V443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443">
        <f>IF((DiscreteStatsTable[[#This Row],[RepsRequested]]&gt;1),DiscreteStatsTable[[#This Row],[HalfWidth]],DiscreteStatsTable[[#This Row],[BatchMeansHalfWidth]])</f>
        <v>10.430562589323509</v>
      </c>
      <c r="X443" cm="1">
        <f t="array" ref="X443">COUNT(IF((DiscreteStatsTable[GroupByKey]=DiscreteStatsTable[[#This Row],[GroupByKey]]),(DiscreteStatsTable[GroupByKey]=DiscreteStatsTable[[#This Row],[GroupByKey]])*DiscreteStatsTable[Replication]))</f>
        <v>10</v>
      </c>
      <c r="Y443">
        <f>IF(DiscreteStatsTable[[#This Row],[RepsRequested]]=DiscreteStatsTable[[#This Row],[RepsWithStatObserved]],1,0)</f>
        <v>1</v>
      </c>
    </row>
    <row r="444" spans="1:25" x14ac:dyDescent="0.25">
      <c r="A444" t="s">
        <v>67</v>
      </c>
      <c r="B444" t="s">
        <v>243</v>
      </c>
      <c r="C444">
        <v>3</v>
      </c>
      <c r="D444" t="s">
        <v>109</v>
      </c>
      <c r="E444" t="s">
        <v>72</v>
      </c>
      <c r="F444" t="s">
        <v>71</v>
      </c>
      <c r="G444">
        <v>96.068229333994495</v>
      </c>
      <c r="H444">
        <v>38.196212876450197</v>
      </c>
      <c r="I444">
        <v>0</v>
      </c>
      <c r="J444">
        <v>50459.293707240999</v>
      </c>
      <c r="K444">
        <v>18404</v>
      </c>
      <c r="L444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444" cm="1">
        <f t="array" ref="M444">MAX(IF((ProjectInfoTable[ProjectName]=DiscreteStatsTable[[#This Row],[ProjectName]]),(ProjectInfoTable[ProjectName]=DiscreteStatsTable[[#This Row],[ProjectName]])*ProjectInfoTable[NumberOfReplications]))</f>
        <v>10</v>
      </c>
      <c r="N444" cm="1">
        <f t="array" ref="N444">IFERROR(AVERAGE(IF((DiscreteStatsTable[GroupByKey]=DiscreteStatsTable[[#This Row],[GroupByKey]]),(DiscreteStatsTable[GroupByKey]=DiscreteStatsTable[[#This Row],[GroupByKey]])*DiscreteStatsTable[Average])),0)</f>
        <v>96.952802100337834</v>
      </c>
      <c r="O444" cm="1">
        <f t="array" ref="O444">IFERROR(_xlfn.STDEV.S(IF((DiscreteStatsTable[GroupByKey]=DiscreteStatsTable[[#This Row],[GroupByKey]]),(DiscreteStatsTable[GroupByKey]=DiscreteStatsTable[[#This Row],[GroupByKey]])*DiscreteStatsTable[Average])),0)</f>
        <v>14.580921079066574</v>
      </c>
      <c r="P444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10.430562589323509</v>
      </c>
      <c r="R444" cm="1">
        <f t="array" ref="R444">MIN(IF((DiscreteStatsTable[GroupByKey]=DiscreteStatsTable[[#This Row],[GroupByKey]]),(DiscreteStatsTable[GroupByKey]=DiscreteStatsTable[[#This Row],[GroupByKey]])*DiscreteStatsTable[Average]))</f>
        <v>70.992281755618393</v>
      </c>
      <c r="S444" cm="1">
        <f t="array" ref="S444">MAX(IF((DiscreteStatsTable[GroupByKey]=DiscreteStatsTable[[#This Row],[GroupByKey]]),(DiscreteStatsTable[GroupByKey]=DiscreteStatsTable[[#This Row],[GroupByKey]])*DiscreteStatsTable[Average]))</f>
        <v>112.231730524293</v>
      </c>
      <c r="T444" cm="1">
        <f t="array" ref="T444">MIN(IF((DiscreteStatsTable[GroupByKey]=DiscreteStatsTable[[#This Row],[GroupByKey]]),(DiscreteStatsTable[GroupByKey]=DiscreteStatsTable[[#This Row],[GroupByKey]])*DiscreteStatsTable[Minimum]))</f>
        <v>0</v>
      </c>
      <c r="U444" cm="1">
        <f t="array" ref="U444">MAX(IF((DiscreteStatsTable[GroupByKey]=DiscreteStatsTable[[#This Row],[GroupByKey]]),(DiscreteStatsTable[GroupByKey]=DiscreteStatsTable[[#This Row],[GroupByKey]])*DiscreteStatsTable[Maximum]))</f>
        <v>50459.332896561798</v>
      </c>
      <c r="V444" cm="1">
        <f t="array" ref="V444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444">
        <f>IF((DiscreteStatsTable[[#This Row],[RepsRequested]]&gt;1),DiscreteStatsTable[[#This Row],[HalfWidth]],DiscreteStatsTable[[#This Row],[BatchMeansHalfWidth]])</f>
        <v>10.430562589323509</v>
      </c>
      <c r="X444" cm="1">
        <f t="array" ref="X444">COUNT(IF((DiscreteStatsTable[GroupByKey]=DiscreteStatsTable[[#This Row],[GroupByKey]]),(DiscreteStatsTable[GroupByKey]=DiscreteStatsTable[[#This Row],[GroupByKey]])*DiscreteStatsTable[Replication]))</f>
        <v>10</v>
      </c>
      <c r="Y444">
        <f>IF(DiscreteStatsTable[[#This Row],[RepsRequested]]=DiscreteStatsTable[[#This Row],[RepsWithStatObserved]],1,0)</f>
        <v>1</v>
      </c>
    </row>
    <row r="445" spans="1:25" x14ac:dyDescent="0.25">
      <c r="A445" t="s">
        <v>67</v>
      </c>
      <c r="B445" t="s">
        <v>243</v>
      </c>
      <c r="C445">
        <v>4</v>
      </c>
      <c r="D445" t="s">
        <v>109</v>
      </c>
      <c r="E445" t="s">
        <v>72</v>
      </c>
      <c r="F445" t="s">
        <v>71</v>
      </c>
      <c r="G445">
        <v>102.696841102335</v>
      </c>
      <c r="H445">
        <v>43.842493458918703</v>
      </c>
      <c r="I445">
        <v>0</v>
      </c>
      <c r="J445">
        <v>50456.347753892704</v>
      </c>
      <c r="K445">
        <v>18399</v>
      </c>
      <c r="L445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445" cm="1">
        <f t="array" ref="M445">MAX(IF((ProjectInfoTable[ProjectName]=DiscreteStatsTable[[#This Row],[ProjectName]]),(ProjectInfoTable[ProjectName]=DiscreteStatsTable[[#This Row],[ProjectName]])*ProjectInfoTable[NumberOfReplications]))</f>
        <v>10</v>
      </c>
      <c r="N445" cm="1">
        <f t="array" ref="N445">IFERROR(AVERAGE(IF((DiscreteStatsTable[GroupByKey]=DiscreteStatsTable[[#This Row],[GroupByKey]]),(DiscreteStatsTable[GroupByKey]=DiscreteStatsTable[[#This Row],[GroupByKey]])*DiscreteStatsTable[Average])),0)</f>
        <v>96.952802100337834</v>
      </c>
      <c r="O445" cm="1">
        <f t="array" ref="O445">IFERROR(_xlfn.STDEV.S(IF((DiscreteStatsTable[GroupByKey]=DiscreteStatsTable[[#This Row],[GroupByKey]]),(DiscreteStatsTable[GroupByKey]=DiscreteStatsTable[[#This Row],[GroupByKey]])*DiscreteStatsTable[Average])),0)</f>
        <v>14.580921079066574</v>
      </c>
      <c r="P44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10.430562589323509</v>
      </c>
      <c r="R445" cm="1">
        <f t="array" ref="R445">MIN(IF((DiscreteStatsTable[GroupByKey]=DiscreteStatsTable[[#This Row],[GroupByKey]]),(DiscreteStatsTable[GroupByKey]=DiscreteStatsTable[[#This Row],[GroupByKey]])*DiscreteStatsTable[Average]))</f>
        <v>70.992281755618393</v>
      </c>
      <c r="S445" cm="1">
        <f t="array" ref="S445">MAX(IF((DiscreteStatsTable[GroupByKey]=DiscreteStatsTable[[#This Row],[GroupByKey]]),(DiscreteStatsTable[GroupByKey]=DiscreteStatsTable[[#This Row],[GroupByKey]])*DiscreteStatsTable[Average]))</f>
        <v>112.231730524293</v>
      </c>
      <c r="T445" cm="1">
        <f t="array" ref="T445">MIN(IF((DiscreteStatsTable[GroupByKey]=DiscreteStatsTable[[#This Row],[GroupByKey]]),(DiscreteStatsTable[GroupByKey]=DiscreteStatsTable[[#This Row],[GroupByKey]])*DiscreteStatsTable[Minimum]))</f>
        <v>0</v>
      </c>
      <c r="U445" cm="1">
        <f t="array" ref="U445">MAX(IF((DiscreteStatsTable[GroupByKey]=DiscreteStatsTable[[#This Row],[GroupByKey]]),(DiscreteStatsTable[GroupByKey]=DiscreteStatsTable[[#This Row],[GroupByKey]])*DiscreteStatsTable[Maximum]))</f>
        <v>50459.332896561798</v>
      </c>
      <c r="V445" cm="1">
        <f t="array" ref="V445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445">
        <f>IF((DiscreteStatsTable[[#This Row],[RepsRequested]]&gt;1),DiscreteStatsTable[[#This Row],[HalfWidth]],DiscreteStatsTable[[#This Row],[BatchMeansHalfWidth]])</f>
        <v>10.430562589323509</v>
      </c>
      <c r="X445" cm="1">
        <f t="array" ref="X445">COUNT(IF((DiscreteStatsTable[GroupByKey]=DiscreteStatsTable[[#This Row],[GroupByKey]]),(DiscreteStatsTable[GroupByKey]=DiscreteStatsTable[[#This Row],[GroupByKey]])*DiscreteStatsTable[Replication]))</f>
        <v>10</v>
      </c>
      <c r="Y445">
        <f>IF(DiscreteStatsTable[[#This Row],[RepsRequested]]=DiscreteStatsTable[[#This Row],[RepsWithStatObserved]],1,0)</f>
        <v>1</v>
      </c>
    </row>
    <row r="446" spans="1:25" x14ac:dyDescent="0.25">
      <c r="A446" t="s">
        <v>67</v>
      </c>
      <c r="B446" t="s">
        <v>243</v>
      </c>
      <c r="C446">
        <v>5</v>
      </c>
      <c r="D446" t="s">
        <v>109</v>
      </c>
      <c r="E446" t="s">
        <v>72</v>
      </c>
      <c r="F446" t="s">
        <v>71</v>
      </c>
      <c r="G446">
        <v>112.15039348194399</v>
      </c>
      <c r="H446">
        <v>51.367906285064898</v>
      </c>
      <c r="I446">
        <v>0</v>
      </c>
      <c r="J446">
        <v>50459.332896561798</v>
      </c>
      <c r="K446">
        <v>18401</v>
      </c>
      <c r="L446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446" cm="1">
        <f t="array" ref="M446">MAX(IF((ProjectInfoTable[ProjectName]=DiscreteStatsTable[[#This Row],[ProjectName]]),(ProjectInfoTable[ProjectName]=DiscreteStatsTable[[#This Row],[ProjectName]])*ProjectInfoTable[NumberOfReplications]))</f>
        <v>10</v>
      </c>
      <c r="N446" cm="1">
        <f t="array" ref="N446">IFERROR(AVERAGE(IF((DiscreteStatsTable[GroupByKey]=DiscreteStatsTable[[#This Row],[GroupByKey]]),(DiscreteStatsTable[GroupByKey]=DiscreteStatsTable[[#This Row],[GroupByKey]])*DiscreteStatsTable[Average])),0)</f>
        <v>96.952802100337834</v>
      </c>
      <c r="O446" cm="1">
        <f t="array" ref="O446">IFERROR(_xlfn.STDEV.S(IF((DiscreteStatsTable[GroupByKey]=DiscreteStatsTable[[#This Row],[GroupByKey]]),(DiscreteStatsTable[GroupByKey]=DiscreteStatsTable[[#This Row],[GroupByKey]])*DiscreteStatsTable[Average])),0)</f>
        <v>14.580921079066574</v>
      </c>
      <c r="P446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10.430562589323509</v>
      </c>
      <c r="R446" cm="1">
        <f t="array" ref="R446">MIN(IF((DiscreteStatsTable[GroupByKey]=DiscreteStatsTable[[#This Row],[GroupByKey]]),(DiscreteStatsTable[GroupByKey]=DiscreteStatsTable[[#This Row],[GroupByKey]])*DiscreteStatsTable[Average]))</f>
        <v>70.992281755618393</v>
      </c>
      <c r="S446" cm="1">
        <f t="array" ref="S446">MAX(IF((DiscreteStatsTable[GroupByKey]=DiscreteStatsTable[[#This Row],[GroupByKey]]),(DiscreteStatsTable[GroupByKey]=DiscreteStatsTable[[#This Row],[GroupByKey]])*DiscreteStatsTable[Average]))</f>
        <v>112.231730524293</v>
      </c>
      <c r="T446" cm="1">
        <f t="array" ref="T446">MIN(IF((DiscreteStatsTable[GroupByKey]=DiscreteStatsTable[[#This Row],[GroupByKey]]),(DiscreteStatsTable[GroupByKey]=DiscreteStatsTable[[#This Row],[GroupByKey]])*DiscreteStatsTable[Minimum]))</f>
        <v>0</v>
      </c>
      <c r="U446" cm="1">
        <f t="array" ref="U446">MAX(IF((DiscreteStatsTable[GroupByKey]=DiscreteStatsTable[[#This Row],[GroupByKey]]),(DiscreteStatsTable[GroupByKey]=DiscreteStatsTable[[#This Row],[GroupByKey]])*DiscreteStatsTable[Maximum]))</f>
        <v>50459.332896561798</v>
      </c>
      <c r="V446" cm="1">
        <f t="array" ref="V446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446">
        <f>IF((DiscreteStatsTable[[#This Row],[RepsRequested]]&gt;1),DiscreteStatsTable[[#This Row],[HalfWidth]],DiscreteStatsTable[[#This Row],[BatchMeansHalfWidth]])</f>
        <v>10.430562589323509</v>
      </c>
      <c r="X446" cm="1">
        <f t="array" ref="X446">COUNT(IF((DiscreteStatsTable[GroupByKey]=DiscreteStatsTable[[#This Row],[GroupByKey]]),(DiscreteStatsTable[GroupByKey]=DiscreteStatsTable[[#This Row],[GroupByKey]])*DiscreteStatsTable[Replication]))</f>
        <v>10</v>
      </c>
      <c r="Y446">
        <f>IF(DiscreteStatsTable[[#This Row],[RepsRequested]]=DiscreteStatsTable[[#This Row],[RepsWithStatObserved]],1,0)</f>
        <v>1</v>
      </c>
    </row>
    <row r="447" spans="1:25" x14ac:dyDescent="0.25">
      <c r="A447" t="s">
        <v>67</v>
      </c>
      <c r="B447" t="s">
        <v>243</v>
      </c>
      <c r="C447">
        <v>6</v>
      </c>
      <c r="D447" t="s">
        <v>109</v>
      </c>
      <c r="E447" t="s">
        <v>72</v>
      </c>
      <c r="F447" t="s">
        <v>71</v>
      </c>
      <c r="G447">
        <v>77.087238780897295</v>
      </c>
      <c r="H447">
        <v>25.9614289090858</v>
      </c>
      <c r="I447">
        <v>0</v>
      </c>
      <c r="J447">
        <v>50457.637872038104</v>
      </c>
      <c r="K447">
        <v>18376</v>
      </c>
      <c r="L447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447" cm="1">
        <f t="array" ref="M447">MAX(IF((ProjectInfoTable[ProjectName]=DiscreteStatsTable[[#This Row],[ProjectName]]),(ProjectInfoTable[ProjectName]=DiscreteStatsTable[[#This Row],[ProjectName]])*ProjectInfoTable[NumberOfReplications]))</f>
        <v>10</v>
      </c>
      <c r="N447" cm="1">
        <f t="array" ref="N447">IFERROR(AVERAGE(IF((DiscreteStatsTable[GroupByKey]=DiscreteStatsTable[[#This Row],[GroupByKey]]),(DiscreteStatsTable[GroupByKey]=DiscreteStatsTable[[#This Row],[GroupByKey]])*DiscreteStatsTable[Average])),0)</f>
        <v>96.952802100337834</v>
      </c>
      <c r="O447" cm="1">
        <f t="array" ref="O447">IFERROR(_xlfn.STDEV.S(IF((DiscreteStatsTable[GroupByKey]=DiscreteStatsTable[[#This Row],[GroupByKey]]),(DiscreteStatsTable[GroupByKey]=DiscreteStatsTable[[#This Row],[GroupByKey]])*DiscreteStatsTable[Average])),0)</f>
        <v>14.580921079066574</v>
      </c>
      <c r="P447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10.430562589323509</v>
      </c>
      <c r="R447" cm="1">
        <f t="array" ref="R447">MIN(IF((DiscreteStatsTable[GroupByKey]=DiscreteStatsTable[[#This Row],[GroupByKey]]),(DiscreteStatsTable[GroupByKey]=DiscreteStatsTable[[#This Row],[GroupByKey]])*DiscreteStatsTable[Average]))</f>
        <v>70.992281755618393</v>
      </c>
      <c r="S447" cm="1">
        <f t="array" ref="S447">MAX(IF((DiscreteStatsTable[GroupByKey]=DiscreteStatsTable[[#This Row],[GroupByKey]]),(DiscreteStatsTable[GroupByKey]=DiscreteStatsTable[[#This Row],[GroupByKey]])*DiscreteStatsTable[Average]))</f>
        <v>112.231730524293</v>
      </c>
      <c r="T447" cm="1">
        <f t="array" ref="T447">MIN(IF((DiscreteStatsTable[GroupByKey]=DiscreteStatsTable[[#This Row],[GroupByKey]]),(DiscreteStatsTable[GroupByKey]=DiscreteStatsTable[[#This Row],[GroupByKey]])*DiscreteStatsTable[Minimum]))</f>
        <v>0</v>
      </c>
      <c r="U447" cm="1">
        <f t="array" ref="U447">MAX(IF((DiscreteStatsTable[GroupByKey]=DiscreteStatsTable[[#This Row],[GroupByKey]]),(DiscreteStatsTable[GroupByKey]=DiscreteStatsTable[[#This Row],[GroupByKey]])*DiscreteStatsTable[Maximum]))</f>
        <v>50459.332896561798</v>
      </c>
      <c r="V447" cm="1">
        <f t="array" ref="V447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447">
        <f>IF((DiscreteStatsTable[[#This Row],[RepsRequested]]&gt;1),DiscreteStatsTable[[#This Row],[HalfWidth]],DiscreteStatsTable[[#This Row],[BatchMeansHalfWidth]])</f>
        <v>10.430562589323509</v>
      </c>
      <c r="X447" cm="1">
        <f t="array" ref="X447">COUNT(IF((DiscreteStatsTable[GroupByKey]=DiscreteStatsTable[[#This Row],[GroupByKey]]),(DiscreteStatsTable[GroupByKey]=DiscreteStatsTable[[#This Row],[GroupByKey]])*DiscreteStatsTable[Replication]))</f>
        <v>10</v>
      </c>
      <c r="Y447">
        <f>IF(DiscreteStatsTable[[#This Row],[RepsRequested]]=DiscreteStatsTable[[#This Row],[RepsWithStatObserved]],1,0)</f>
        <v>1</v>
      </c>
    </row>
    <row r="448" spans="1:25" x14ac:dyDescent="0.25">
      <c r="A448" t="s">
        <v>67</v>
      </c>
      <c r="B448" t="s">
        <v>243</v>
      </c>
      <c r="C448">
        <v>7</v>
      </c>
      <c r="D448" t="s">
        <v>109</v>
      </c>
      <c r="E448" t="s">
        <v>72</v>
      </c>
      <c r="F448" t="s">
        <v>71</v>
      </c>
      <c r="G448">
        <v>112.008170958818</v>
      </c>
      <c r="H448">
        <v>51.424554241637601</v>
      </c>
      <c r="I448">
        <v>0</v>
      </c>
      <c r="J448">
        <v>50453.309932402</v>
      </c>
      <c r="K448">
        <v>18394</v>
      </c>
      <c r="L448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448" cm="1">
        <f t="array" ref="M448">MAX(IF((ProjectInfoTable[ProjectName]=DiscreteStatsTable[[#This Row],[ProjectName]]),(ProjectInfoTable[ProjectName]=DiscreteStatsTable[[#This Row],[ProjectName]])*ProjectInfoTable[NumberOfReplications]))</f>
        <v>10</v>
      </c>
      <c r="N448" cm="1">
        <f t="array" ref="N448">IFERROR(AVERAGE(IF((DiscreteStatsTable[GroupByKey]=DiscreteStatsTable[[#This Row],[GroupByKey]]),(DiscreteStatsTable[GroupByKey]=DiscreteStatsTable[[#This Row],[GroupByKey]])*DiscreteStatsTable[Average])),0)</f>
        <v>96.952802100337834</v>
      </c>
      <c r="O448" cm="1">
        <f t="array" ref="O448">IFERROR(_xlfn.STDEV.S(IF((DiscreteStatsTable[GroupByKey]=DiscreteStatsTable[[#This Row],[GroupByKey]]),(DiscreteStatsTable[GroupByKey]=DiscreteStatsTable[[#This Row],[GroupByKey]])*DiscreteStatsTable[Average])),0)</f>
        <v>14.580921079066574</v>
      </c>
      <c r="P448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10.430562589323509</v>
      </c>
      <c r="R448" cm="1">
        <f t="array" ref="R448">MIN(IF((DiscreteStatsTable[GroupByKey]=DiscreteStatsTable[[#This Row],[GroupByKey]]),(DiscreteStatsTable[GroupByKey]=DiscreteStatsTable[[#This Row],[GroupByKey]])*DiscreteStatsTable[Average]))</f>
        <v>70.992281755618393</v>
      </c>
      <c r="S448" cm="1">
        <f t="array" ref="S448">MAX(IF((DiscreteStatsTable[GroupByKey]=DiscreteStatsTable[[#This Row],[GroupByKey]]),(DiscreteStatsTable[GroupByKey]=DiscreteStatsTable[[#This Row],[GroupByKey]])*DiscreteStatsTable[Average]))</f>
        <v>112.231730524293</v>
      </c>
      <c r="T448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cm="1">
        <f t="array" ref="U448">MAX(IF((DiscreteStatsTable[GroupByKey]=DiscreteStatsTable[[#This Row],[GroupByKey]]),(DiscreteStatsTable[GroupByKey]=DiscreteStatsTable[[#This Row],[GroupByKey]])*DiscreteStatsTable[Maximum]))</f>
        <v>50459.332896561798</v>
      </c>
      <c r="V448" cm="1">
        <f t="array" ref="V448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448">
        <f>IF((DiscreteStatsTable[[#This Row],[RepsRequested]]&gt;1),DiscreteStatsTable[[#This Row],[HalfWidth]],DiscreteStatsTable[[#This Row],[BatchMeansHalfWidth]])</f>
        <v>10.430562589323509</v>
      </c>
      <c r="X448" cm="1">
        <f t="array" ref="X448">COUNT(IF((DiscreteStatsTable[GroupByKey]=DiscreteStatsTable[[#This Row],[GroupByKey]]),(DiscreteStatsTable[GroupByKey]=DiscreteStatsTable[[#This Row],[GroupByKey]])*DiscreteStatsTable[Replication]))</f>
        <v>10</v>
      </c>
      <c r="Y448">
        <f>IF(DiscreteStatsTable[[#This Row],[RepsRequested]]=DiscreteStatsTable[[#This Row],[RepsWithStatObserved]],1,0)</f>
        <v>1</v>
      </c>
    </row>
    <row r="449" spans="1:25" x14ac:dyDescent="0.25">
      <c r="A449" t="s">
        <v>67</v>
      </c>
      <c r="B449" t="s">
        <v>243</v>
      </c>
      <c r="C449">
        <v>8</v>
      </c>
      <c r="D449" t="s">
        <v>109</v>
      </c>
      <c r="E449" t="s">
        <v>72</v>
      </c>
      <c r="F449" t="s">
        <v>71</v>
      </c>
      <c r="G449">
        <v>70.992281755618393</v>
      </c>
      <c r="H449">
        <v>20.7987557841804</v>
      </c>
      <c r="I449">
        <v>0</v>
      </c>
      <c r="J449">
        <v>50457.513996379501</v>
      </c>
      <c r="K449">
        <v>18377</v>
      </c>
      <c r="L449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449" cm="1">
        <f t="array" ref="M449">MAX(IF((ProjectInfoTable[ProjectName]=DiscreteStatsTable[[#This Row],[ProjectName]]),(ProjectInfoTable[ProjectName]=DiscreteStatsTable[[#This Row],[ProjectName]])*ProjectInfoTable[NumberOfReplications]))</f>
        <v>10</v>
      </c>
      <c r="N449" cm="1">
        <f t="array" ref="N449">IFERROR(AVERAGE(IF((DiscreteStatsTable[GroupByKey]=DiscreteStatsTable[[#This Row],[GroupByKey]]),(DiscreteStatsTable[GroupByKey]=DiscreteStatsTable[[#This Row],[GroupByKey]])*DiscreteStatsTable[Average])),0)</f>
        <v>96.952802100337834</v>
      </c>
      <c r="O449" cm="1">
        <f t="array" ref="O449">IFERROR(_xlfn.STDEV.S(IF((DiscreteStatsTable[GroupByKey]=DiscreteStatsTable[[#This Row],[GroupByKey]]),(DiscreteStatsTable[GroupByKey]=DiscreteStatsTable[[#This Row],[GroupByKey]])*DiscreteStatsTable[Average])),0)</f>
        <v>14.580921079066574</v>
      </c>
      <c r="P449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10.430562589323509</v>
      </c>
      <c r="R449" cm="1">
        <f t="array" ref="R449">MIN(IF((DiscreteStatsTable[GroupByKey]=DiscreteStatsTable[[#This Row],[GroupByKey]]),(DiscreteStatsTable[GroupByKey]=DiscreteStatsTable[[#This Row],[GroupByKey]])*DiscreteStatsTable[Average]))</f>
        <v>70.992281755618393</v>
      </c>
      <c r="S449" cm="1">
        <f t="array" ref="S449">MAX(IF((DiscreteStatsTable[GroupByKey]=DiscreteStatsTable[[#This Row],[GroupByKey]]),(DiscreteStatsTable[GroupByKey]=DiscreteStatsTable[[#This Row],[GroupByKey]])*DiscreteStatsTable[Average]))</f>
        <v>112.231730524293</v>
      </c>
      <c r="T449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cm="1">
        <f t="array" ref="U449">MAX(IF((DiscreteStatsTable[GroupByKey]=DiscreteStatsTable[[#This Row],[GroupByKey]]),(DiscreteStatsTable[GroupByKey]=DiscreteStatsTable[[#This Row],[GroupByKey]])*DiscreteStatsTable[Maximum]))</f>
        <v>50459.332896561798</v>
      </c>
      <c r="V449" cm="1">
        <f t="array" ref="V449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449">
        <f>IF((DiscreteStatsTable[[#This Row],[RepsRequested]]&gt;1),DiscreteStatsTable[[#This Row],[HalfWidth]],DiscreteStatsTable[[#This Row],[BatchMeansHalfWidth]])</f>
        <v>10.430562589323509</v>
      </c>
      <c r="X449" cm="1">
        <f t="array" ref="X449">COUNT(IF((DiscreteStatsTable[GroupByKey]=DiscreteStatsTable[[#This Row],[GroupByKey]]),(DiscreteStatsTable[GroupByKey]=DiscreteStatsTable[[#This Row],[GroupByKey]])*DiscreteStatsTable[Replication]))</f>
        <v>10</v>
      </c>
      <c r="Y449">
        <f>IF(DiscreteStatsTable[[#This Row],[RepsRequested]]=DiscreteStatsTable[[#This Row],[RepsWithStatObserved]],1,0)</f>
        <v>1</v>
      </c>
    </row>
    <row r="450" spans="1:25" x14ac:dyDescent="0.25">
      <c r="A450" t="s">
        <v>67</v>
      </c>
      <c r="B450" t="s">
        <v>243</v>
      </c>
      <c r="C450">
        <v>9</v>
      </c>
      <c r="D450" t="s">
        <v>109</v>
      </c>
      <c r="E450" t="s">
        <v>72</v>
      </c>
      <c r="F450" t="s">
        <v>71</v>
      </c>
      <c r="G450">
        <v>86.750325740766101</v>
      </c>
      <c r="H450">
        <v>31.150979429027299</v>
      </c>
      <c r="I450">
        <v>0</v>
      </c>
      <c r="J450">
        <v>50457.643100839799</v>
      </c>
      <c r="K450">
        <v>18403</v>
      </c>
      <c r="L450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450" cm="1">
        <f t="array" ref="M450">MAX(IF((ProjectInfoTable[ProjectName]=DiscreteStatsTable[[#This Row],[ProjectName]]),(ProjectInfoTable[ProjectName]=DiscreteStatsTable[[#This Row],[ProjectName]])*ProjectInfoTable[NumberOfReplications]))</f>
        <v>10</v>
      </c>
      <c r="N450" cm="1">
        <f t="array" ref="N450">IFERROR(AVERAGE(IF((DiscreteStatsTable[GroupByKey]=DiscreteStatsTable[[#This Row],[GroupByKey]]),(DiscreteStatsTable[GroupByKey]=DiscreteStatsTable[[#This Row],[GroupByKey]])*DiscreteStatsTable[Average])),0)</f>
        <v>96.952802100337834</v>
      </c>
      <c r="O450" cm="1">
        <f t="array" ref="O450">IFERROR(_xlfn.STDEV.S(IF((DiscreteStatsTable[GroupByKey]=DiscreteStatsTable[[#This Row],[GroupByKey]]),(DiscreteStatsTable[GroupByKey]=DiscreteStatsTable[[#This Row],[GroupByKey]])*DiscreteStatsTable[Average])),0)</f>
        <v>14.580921079066574</v>
      </c>
      <c r="P450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10.430562589323509</v>
      </c>
      <c r="R450" cm="1">
        <f t="array" ref="R450">MIN(IF((DiscreteStatsTable[GroupByKey]=DiscreteStatsTable[[#This Row],[GroupByKey]]),(DiscreteStatsTable[GroupByKey]=DiscreteStatsTable[[#This Row],[GroupByKey]])*DiscreteStatsTable[Average]))</f>
        <v>70.992281755618393</v>
      </c>
      <c r="S450" cm="1">
        <f t="array" ref="S450">MAX(IF((DiscreteStatsTable[GroupByKey]=DiscreteStatsTable[[#This Row],[GroupByKey]]),(DiscreteStatsTable[GroupByKey]=DiscreteStatsTable[[#This Row],[GroupByKey]])*DiscreteStatsTable[Average]))</f>
        <v>112.231730524293</v>
      </c>
      <c r="T450" cm="1">
        <f t="array" ref="T450">MIN(IF((DiscreteStatsTable[GroupByKey]=DiscreteStatsTable[[#This Row],[GroupByKey]]),(DiscreteStatsTable[GroupByKey]=DiscreteStatsTable[[#This Row],[GroupByKey]])*DiscreteStatsTable[Minimum]))</f>
        <v>0</v>
      </c>
      <c r="U450" cm="1">
        <f t="array" ref="U450">MAX(IF((DiscreteStatsTable[GroupByKey]=DiscreteStatsTable[[#This Row],[GroupByKey]]),(DiscreteStatsTable[GroupByKey]=DiscreteStatsTable[[#This Row],[GroupByKey]])*DiscreteStatsTable[Maximum]))</f>
        <v>50459.332896561798</v>
      </c>
      <c r="V450" cm="1">
        <f t="array" ref="V450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450">
        <f>IF((DiscreteStatsTable[[#This Row],[RepsRequested]]&gt;1),DiscreteStatsTable[[#This Row],[HalfWidth]],DiscreteStatsTable[[#This Row],[BatchMeansHalfWidth]])</f>
        <v>10.430562589323509</v>
      </c>
      <c r="X450" cm="1">
        <f t="array" ref="X450">COUNT(IF((DiscreteStatsTable[GroupByKey]=DiscreteStatsTable[[#This Row],[GroupByKey]]),(DiscreteStatsTable[GroupByKey]=DiscreteStatsTable[[#This Row],[GroupByKey]])*DiscreteStatsTable[Replication]))</f>
        <v>10</v>
      </c>
      <c r="Y450">
        <f>IF(DiscreteStatsTable[[#This Row],[RepsRequested]]=DiscreteStatsTable[[#This Row],[RepsWithStatObserved]],1,0)</f>
        <v>1</v>
      </c>
    </row>
    <row r="451" spans="1:25" x14ac:dyDescent="0.25">
      <c r="A451" t="s">
        <v>67</v>
      </c>
      <c r="B451" t="s">
        <v>243</v>
      </c>
      <c r="C451">
        <v>10</v>
      </c>
      <c r="D451" t="s">
        <v>109</v>
      </c>
      <c r="E451" t="s">
        <v>72</v>
      </c>
      <c r="F451" t="s">
        <v>71</v>
      </c>
      <c r="G451">
        <v>99.710060148876394</v>
      </c>
      <c r="H451">
        <v>41.467104332472999</v>
      </c>
      <c r="I451">
        <v>0</v>
      </c>
      <c r="J451">
        <v>50457.516621863098</v>
      </c>
      <c r="K451">
        <v>18377</v>
      </c>
      <c r="L451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451" cm="1">
        <f t="array" ref="M451">MAX(IF((ProjectInfoTable[ProjectName]=DiscreteStatsTable[[#This Row],[ProjectName]]),(ProjectInfoTable[ProjectName]=DiscreteStatsTable[[#This Row],[ProjectName]])*ProjectInfoTable[NumberOfReplications]))</f>
        <v>10</v>
      </c>
      <c r="N451" cm="1">
        <f t="array" ref="N451">IFERROR(AVERAGE(IF((DiscreteStatsTable[GroupByKey]=DiscreteStatsTable[[#This Row],[GroupByKey]]),(DiscreteStatsTable[GroupByKey]=DiscreteStatsTable[[#This Row],[GroupByKey]])*DiscreteStatsTable[Average])),0)</f>
        <v>96.952802100337834</v>
      </c>
      <c r="O451" cm="1">
        <f t="array" ref="O451">IFERROR(_xlfn.STDEV.S(IF((DiscreteStatsTable[GroupByKey]=DiscreteStatsTable[[#This Row],[GroupByKey]]),(DiscreteStatsTable[GroupByKey]=DiscreteStatsTable[[#This Row],[GroupByKey]])*DiscreteStatsTable[Average])),0)</f>
        <v>14.580921079066574</v>
      </c>
      <c r="P451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10.430562589323509</v>
      </c>
      <c r="R451" cm="1">
        <f t="array" ref="R451">MIN(IF((DiscreteStatsTable[GroupByKey]=DiscreteStatsTable[[#This Row],[GroupByKey]]),(DiscreteStatsTable[GroupByKey]=DiscreteStatsTable[[#This Row],[GroupByKey]])*DiscreteStatsTable[Average]))</f>
        <v>70.992281755618393</v>
      </c>
      <c r="S451" cm="1">
        <f t="array" ref="S451">MAX(IF((DiscreteStatsTable[GroupByKey]=DiscreteStatsTable[[#This Row],[GroupByKey]]),(DiscreteStatsTable[GroupByKey]=DiscreteStatsTable[[#This Row],[GroupByKey]])*DiscreteStatsTable[Average]))</f>
        <v>112.231730524293</v>
      </c>
      <c r="T451" cm="1">
        <f t="array" ref="T451">MIN(IF((DiscreteStatsTable[GroupByKey]=DiscreteStatsTable[[#This Row],[GroupByKey]]),(DiscreteStatsTable[GroupByKey]=DiscreteStatsTable[[#This Row],[GroupByKey]])*DiscreteStatsTable[Minimum]))</f>
        <v>0</v>
      </c>
      <c r="U451" cm="1">
        <f t="array" ref="U451">MAX(IF((DiscreteStatsTable[GroupByKey]=DiscreteStatsTable[[#This Row],[GroupByKey]]),(DiscreteStatsTable[GroupByKey]=DiscreteStatsTable[[#This Row],[GroupByKey]])*DiscreteStatsTable[Maximum]))</f>
        <v>50459.332896561798</v>
      </c>
      <c r="V451" cm="1">
        <f t="array" ref="V451">IFERROR(AVERAGE(IF((DiscreteStatsTable[GroupByKey]=DiscreteStatsTable[[#This Row],[GroupByKey]]),(DiscreteStatsTable[GroupByKey]=DiscreteStatsTable[[#This Row],[GroupByKey]])*DiscreteStatsTable[NumberObservations])),0)</f>
        <v>18389.400000000001</v>
      </c>
      <c r="W451">
        <f>IF((DiscreteStatsTable[[#This Row],[RepsRequested]]&gt;1),DiscreteStatsTable[[#This Row],[HalfWidth]],DiscreteStatsTable[[#This Row],[BatchMeansHalfWidth]])</f>
        <v>10.430562589323509</v>
      </c>
      <c r="X451" cm="1">
        <f t="array" ref="X451">COUNT(IF((DiscreteStatsTable[GroupByKey]=DiscreteStatsTable[[#This Row],[GroupByKey]]),(DiscreteStatsTable[GroupByKey]=DiscreteStatsTable[[#This Row],[GroupByKey]])*DiscreteStatsTable[Replication]))</f>
        <v>10</v>
      </c>
      <c r="Y451">
        <f>IF(DiscreteStatsTable[[#This Row],[RepsRequested]]=DiscreteStatsTable[[#This Row],[RepsWithStatObserved]],1,0)</f>
        <v>1</v>
      </c>
    </row>
    <row r="452" spans="1:25" x14ac:dyDescent="0.25">
      <c r="A452" t="s">
        <v>67</v>
      </c>
      <c r="B452" t="s">
        <v>243</v>
      </c>
      <c r="C452">
        <v>1</v>
      </c>
      <c r="D452" t="s">
        <v>110</v>
      </c>
      <c r="E452" t="s">
        <v>77</v>
      </c>
      <c r="F452" t="s">
        <v>76</v>
      </c>
      <c r="G452">
        <v>0</v>
      </c>
      <c r="H452">
        <v>0</v>
      </c>
      <c r="I452">
        <v>0</v>
      </c>
      <c r="J452">
        <v>0</v>
      </c>
      <c r="K452">
        <v>1397</v>
      </c>
      <c r="L452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452" cm="1">
        <f t="array" ref="M452">MAX(IF((ProjectInfoTable[ProjectName]=DiscreteStatsTable[[#This Row],[ProjectName]]),(ProjectInfoTable[ProjectName]=DiscreteStatsTable[[#This Row],[ProjectName]])*ProjectInfoTable[NumberOfReplications]))</f>
        <v>10</v>
      </c>
      <c r="N452" cm="1">
        <f t="array" ref="N452">IFERROR(AVERAGE(IF((DiscreteStatsTable[GroupByKey]=DiscreteStatsTable[[#This Row],[GroupByKey]]),(DiscreteStatsTable[GroupByKey]=DiscreteStatsTable[[#This Row],[GroupByKey]])*DiscreteStatsTable[Average])),0)</f>
        <v>0</v>
      </c>
      <c r="O452" cm="1">
        <f t="array" ref="O452">IFERROR(_xlfn.STDEV.S(IF((DiscreteStatsTable[GroupByKey]=DiscreteStatsTable[[#This Row],[GroupByKey]]),(DiscreteStatsTable[GroupByKey]=DiscreteStatsTable[[#This Row],[GroupByKey]])*DiscreteStatsTable[Average])),0)</f>
        <v>0</v>
      </c>
      <c r="P452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2" cm="1">
        <f t="array" ref="R452">MIN(IF((DiscreteStatsTable[GroupByKey]=DiscreteStatsTable[[#This Row],[GroupByKey]]),(DiscreteStatsTable[GroupByKey]=DiscreteStatsTable[[#This Row],[GroupByKey]])*DiscreteStatsTable[Average]))</f>
        <v>0</v>
      </c>
      <c r="S452" cm="1">
        <f t="array" ref="S452">MAX(IF((DiscreteStatsTable[GroupByKey]=DiscreteStatsTable[[#This Row],[GroupByKey]]),(DiscreteStatsTable[GroupByKey]=DiscreteStatsTable[[#This Row],[GroupByKey]])*DiscreteStatsTable[Average]))</f>
        <v>0</v>
      </c>
      <c r="T452" cm="1">
        <f t="array" ref="T452">MIN(IF((DiscreteStatsTable[GroupByKey]=DiscreteStatsTable[[#This Row],[GroupByKey]]),(DiscreteStatsTable[GroupByKey]=DiscreteStatsTable[[#This Row],[GroupByKey]])*DiscreteStatsTable[Minimum]))</f>
        <v>0</v>
      </c>
      <c r="U452" cm="1">
        <f t="array" ref="U452">MAX(IF((DiscreteStatsTable[GroupByKey]=DiscreteStatsTable[[#This Row],[GroupByKey]]),(DiscreteStatsTable[GroupByKey]=DiscreteStatsTable[[#This Row],[GroupByKey]])*DiscreteStatsTable[Maximum]))</f>
        <v>0</v>
      </c>
      <c r="V452" cm="1">
        <f t="array" ref="V452">IFERROR(AVERAGE(IF((DiscreteStatsTable[GroupByKey]=DiscreteStatsTable[[#This Row],[GroupByKey]]),(DiscreteStatsTable[GroupByKey]=DiscreteStatsTable[[#This Row],[GroupByKey]])*DiscreteStatsTable[NumberObservations])),0)</f>
        <v>1412.8</v>
      </c>
      <c r="W452">
        <f>IF((DiscreteStatsTable[[#This Row],[RepsRequested]]&gt;1),DiscreteStatsTable[[#This Row],[HalfWidth]],DiscreteStatsTable[[#This Row],[BatchMeansHalfWidth]])</f>
        <v>0</v>
      </c>
      <c r="X452" cm="1">
        <f t="array" ref="X452">COUNT(IF((DiscreteStatsTable[GroupByKey]=DiscreteStatsTable[[#This Row],[GroupByKey]]),(DiscreteStatsTable[GroupByKey]=DiscreteStatsTable[[#This Row],[GroupByKey]])*DiscreteStatsTable[Replication]))</f>
        <v>10</v>
      </c>
      <c r="Y452">
        <f>IF(DiscreteStatsTable[[#This Row],[RepsRequested]]=DiscreteStatsTable[[#This Row],[RepsWithStatObserved]],1,0)</f>
        <v>1</v>
      </c>
    </row>
    <row r="453" spans="1:25" x14ac:dyDescent="0.25">
      <c r="A453" t="s">
        <v>67</v>
      </c>
      <c r="B453" t="s">
        <v>243</v>
      </c>
      <c r="C453">
        <v>1</v>
      </c>
      <c r="D453" t="s">
        <v>110</v>
      </c>
      <c r="E453" t="s">
        <v>78</v>
      </c>
      <c r="F453" t="s">
        <v>76</v>
      </c>
      <c r="G453">
        <v>656.11249883738901</v>
      </c>
      <c r="H453">
        <v>9.4790508015341608</v>
      </c>
      <c r="I453">
        <v>128.545976529407</v>
      </c>
      <c r="J453">
        <v>730.77690328102506</v>
      </c>
      <c r="K453">
        <v>1397</v>
      </c>
      <c r="L453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453" cm="1">
        <f t="array" ref="M453">MAX(IF((ProjectInfoTable[ProjectName]=DiscreteStatsTable[[#This Row],[ProjectName]]),(ProjectInfoTable[ProjectName]=DiscreteStatsTable[[#This Row],[ProjectName]])*ProjectInfoTable[NumberOfReplications]))</f>
        <v>10</v>
      </c>
      <c r="N453" cm="1">
        <f t="array" ref="N453">IFERROR(AVERAGE(IF((DiscreteStatsTable[GroupByKey]=DiscreteStatsTable[[#This Row],[GroupByKey]]),(DiscreteStatsTable[GroupByKey]=DiscreteStatsTable[[#This Row],[GroupByKey]])*DiscreteStatsTable[Average])),0)</f>
        <v>648.63734791108345</v>
      </c>
      <c r="O453" cm="1">
        <f t="array" ref="O453">IFERROR(_xlfn.STDEV.S(IF((DiscreteStatsTable[GroupByKey]=DiscreteStatsTable[[#This Row],[GroupByKey]]),(DiscreteStatsTable[GroupByKey]=DiscreteStatsTable[[#This Row],[GroupByKey]])*DiscreteStatsTable[Average])),0)</f>
        <v>5.4092947484755589</v>
      </c>
      <c r="P453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3.8695763547528403</v>
      </c>
      <c r="R453" cm="1">
        <f t="array" ref="R453">MIN(IF((DiscreteStatsTable[GroupByKey]=DiscreteStatsTable[[#This Row],[GroupByKey]]),(DiscreteStatsTable[GroupByKey]=DiscreteStatsTable[[#This Row],[GroupByKey]])*DiscreteStatsTable[Average]))</f>
        <v>639.97478427335204</v>
      </c>
      <c r="S453" cm="1">
        <f t="array" ref="S453">MAX(IF((DiscreteStatsTable[GroupByKey]=DiscreteStatsTable[[#This Row],[GroupByKey]]),(DiscreteStatsTable[GroupByKey]=DiscreteStatsTable[[#This Row],[GroupByKey]])*DiscreteStatsTable[Average]))</f>
        <v>657.59073514207705</v>
      </c>
      <c r="T453" cm="1">
        <f t="array" ref="T453">MIN(IF((DiscreteStatsTable[GroupByKey]=DiscreteStatsTable[[#This Row],[GroupByKey]]),(DiscreteStatsTable[GroupByKey]=DiscreteStatsTable[[#This Row],[GroupByKey]])*DiscreteStatsTable[Minimum]))</f>
        <v>126.191556433689</v>
      </c>
      <c r="U453" cm="1">
        <f t="array" ref="U453">MAX(IF((DiscreteStatsTable[GroupByKey]=DiscreteStatsTable[[#This Row],[GroupByKey]]),(DiscreteStatsTable[GroupByKey]=DiscreteStatsTable[[#This Row],[GroupByKey]])*DiscreteStatsTable[Maximum]))</f>
        <v>738.20739202885295</v>
      </c>
      <c r="V453" cm="1">
        <f t="array" ref="V453">IFERROR(AVERAGE(IF((DiscreteStatsTable[GroupByKey]=DiscreteStatsTable[[#This Row],[GroupByKey]]),(DiscreteStatsTable[GroupByKey]=DiscreteStatsTable[[#This Row],[GroupByKey]])*DiscreteStatsTable[NumberObservations])),0)</f>
        <v>1412.8</v>
      </c>
      <c r="W453">
        <f>IF((DiscreteStatsTable[[#This Row],[RepsRequested]]&gt;1),DiscreteStatsTable[[#This Row],[HalfWidth]],DiscreteStatsTable[[#This Row],[BatchMeansHalfWidth]])</f>
        <v>3.8695763547528403</v>
      </c>
      <c r="X453" cm="1">
        <f t="array" ref="X453">COUNT(IF((DiscreteStatsTable[GroupByKey]=DiscreteStatsTable[[#This Row],[GroupByKey]]),(DiscreteStatsTable[GroupByKey]=DiscreteStatsTable[[#This Row],[GroupByKey]])*DiscreteStatsTable[Replication]))</f>
        <v>10</v>
      </c>
      <c r="Y453">
        <f>IF(DiscreteStatsTable[[#This Row],[RepsRequested]]=DiscreteStatsTable[[#This Row],[RepsWithStatObserved]],1,0)</f>
        <v>1</v>
      </c>
    </row>
    <row r="454" spans="1:25" x14ac:dyDescent="0.25">
      <c r="A454" t="s">
        <v>67</v>
      </c>
      <c r="B454" t="s">
        <v>243</v>
      </c>
      <c r="C454">
        <v>1</v>
      </c>
      <c r="D454" t="s">
        <v>110</v>
      </c>
      <c r="E454" t="s">
        <v>79</v>
      </c>
      <c r="F454" t="s">
        <v>76</v>
      </c>
      <c r="G454">
        <v>82733.501230288894</v>
      </c>
      <c r="H454">
        <v>3E+20</v>
      </c>
      <c r="I454">
        <v>620.40198030988199</v>
      </c>
      <c r="J454">
        <v>179819.744435959</v>
      </c>
      <c r="K454">
        <v>1397</v>
      </c>
      <c r="L454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454" cm="1">
        <f t="array" ref="M454">MAX(IF((ProjectInfoTable[ProjectName]=DiscreteStatsTable[[#This Row],[ProjectName]]),(ProjectInfoTable[ProjectName]=DiscreteStatsTable[[#This Row],[ProjectName]])*ProjectInfoTable[NumberOfReplications]))</f>
        <v>10</v>
      </c>
      <c r="N454" cm="1">
        <f t="array" ref="N454">IFERROR(AVERAGE(IF((DiscreteStatsTable[GroupByKey]=DiscreteStatsTable[[#This Row],[GroupByKey]]),(DiscreteStatsTable[GroupByKey]=DiscreteStatsTable[[#This Row],[GroupByKey]])*DiscreteStatsTable[Average])),0)</f>
        <v>83209.725766173768</v>
      </c>
      <c r="O454" cm="1">
        <f t="array" ref="O454">IFERROR(_xlfn.STDEV.S(IF((DiscreteStatsTable[GroupByKey]=DiscreteStatsTable[[#This Row],[GroupByKey]]),(DiscreteStatsTable[GroupByKey]=DiscreteStatsTable[[#This Row],[GroupByKey]])*DiscreteStatsTable[Average])),0)</f>
        <v>448.75835323214818</v>
      </c>
      <c r="P454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321.02238709664016</v>
      </c>
      <c r="R454" cm="1">
        <f t="array" ref="R454">MIN(IF((DiscreteStatsTable[GroupByKey]=DiscreteStatsTable[[#This Row],[GroupByKey]]),(DiscreteStatsTable[GroupByKey]=DiscreteStatsTable[[#This Row],[GroupByKey]])*DiscreteStatsTable[Average]))</f>
        <v>82701.3289873717</v>
      </c>
      <c r="S454" cm="1">
        <f t="array" ref="S454">MAX(IF((DiscreteStatsTable[GroupByKey]=DiscreteStatsTable[[#This Row],[GroupByKey]]),(DiscreteStatsTable[GroupByKey]=DiscreteStatsTable[[#This Row],[GroupByKey]])*DiscreteStatsTable[Average]))</f>
        <v>84117.798290527702</v>
      </c>
      <c r="T454" cm="1">
        <f t="array" ref="T454">MIN(IF((DiscreteStatsTable[GroupByKey]=DiscreteStatsTable[[#This Row],[GroupByKey]]),(DiscreteStatsTable[GroupByKey]=DiscreteStatsTable[[#This Row],[GroupByKey]])*DiscreteStatsTable[Minimum]))</f>
        <v>340.54300832225601</v>
      </c>
      <c r="U454" cm="1">
        <f t="array" ref="U454">MAX(IF((DiscreteStatsTable[GroupByKey]=DiscreteStatsTable[[#This Row],[GroupByKey]]),(DiscreteStatsTable[GroupByKey]=DiscreteStatsTable[[#This Row],[GroupByKey]])*DiscreteStatsTable[Maximum]))</f>
        <v>184239.085713487</v>
      </c>
      <c r="V454" cm="1">
        <f t="array" ref="V454">IFERROR(AVERAGE(IF((DiscreteStatsTable[GroupByKey]=DiscreteStatsTable[[#This Row],[GroupByKey]]),(DiscreteStatsTable[GroupByKey]=DiscreteStatsTable[[#This Row],[GroupByKey]])*DiscreteStatsTable[NumberObservations])),0)</f>
        <v>1412.8</v>
      </c>
      <c r="W454">
        <f>IF((DiscreteStatsTable[[#This Row],[RepsRequested]]&gt;1),DiscreteStatsTable[[#This Row],[HalfWidth]],DiscreteStatsTable[[#This Row],[BatchMeansHalfWidth]])</f>
        <v>321.02238709664016</v>
      </c>
      <c r="X454" cm="1">
        <f t="array" ref="X454">COUNT(IF((DiscreteStatsTable[GroupByKey]=DiscreteStatsTable[[#This Row],[GroupByKey]]),(DiscreteStatsTable[GroupByKey]=DiscreteStatsTable[[#This Row],[GroupByKey]])*DiscreteStatsTable[Replication]))</f>
        <v>10</v>
      </c>
      <c r="Y454">
        <f>IF(DiscreteStatsTable[[#This Row],[RepsRequested]]=DiscreteStatsTable[[#This Row],[RepsWithStatObserved]],1,0)</f>
        <v>1</v>
      </c>
    </row>
    <row r="455" spans="1:25" x14ac:dyDescent="0.25">
      <c r="A455" t="s">
        <v>67</v>
      </c>
      <c r="B455" t="s">
        <v>243</v>
      </c>
      <c r="C455">
        <v>1</v>
      </c>
      <c r="D455" t="s">
        <v>110</v>
      </c>
      <c r="E455" t="s">
        <v>80</v>
      </c>
      <c r="F455" t="s">
        <v>76</v>
      </c>
      <c r="G455">
        <v>0</v>
      </c>
      <c r="H455">
        <v>0</v>
      </c>
      <c r="I455">
        <v>0</v>
      </c>
      <c r="J455">
        <v>0</v>
      </c>
      <c r="K455">
        <v>1397</v>
      </c>
      <c r="L455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455" cm="1">
        <f t="array" ref="M455">MAX(IF((ProjectInfoTable[ProjectName]=DiscreteStatsTable[[#This Row],[ProjectName]]),(ProjectInfoTable[ProjectName]=DiscreteStatsTable[[#This Row],[ProjectName]])*ProjectInfoTable[NumberOfReplications]))</f>
        <v>10</v>
      </c>
      <c r="N455" cm="1">
        <f t="array" ref="N455">IFERROR(AVERAGE(IF((DiscreteStatsTable[GroupByKey]=DiscreteStatsTable[[#This Row],[GroupByKey]]),(DiscreteStatsTable[GroupByKey]=DiscreteStatsTable[[#This Row],[GroupByKey]])*DiscreteStatsTable[Average])),0)</f>
        <v>0</v>
      </c>
      <c r="O455" cm="1">
        <f t="array" ref="O455">IFERROR(_xlfn.STDEV.S(IF((DiscreteStatsTable[GroupByKey]=DiscreteStatsTable[[#This Row],[GroupByKey]]),(DiscreteStatsTable[GroupByKey]=DiscreteStatsTable[[#This Row],[GroupByKey]])*DiscreteStatsTable[Average])),0)</f>
        <v>0</v>
      </c>
      <c r="P45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5" cm="1">
        <f t="array" ref="R455">MIN(IF((DiscreteStatsTable[GroupByKey]=DiscreteStatsTable[[#This Row],[GroupByKey]]),(DiscreteStatsTable[GroupByKey]=DiscreteStatsTable[[#This Row],[GroupByKey]])*DiscreteStatsTable[Average]))</f>
        <v>0</v>
      </c>
      <c r="S455" cm="1">
        <f t="array" ref="S455">MAX(IF((DiscreteStatsTable[GroupByKey]=DiscreteStatsTable[[#This Row],[GroupByKey]]),(DiscreteStatsTable[GroupByKey]=DiscreteStatsTable[[#This Row],[GroupByKey]])*DiscreteStatsTable[Average]))</f>
        <v>0</v>
      </c>
      <c r="T45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cm="1">
        <f t="array" ref="U455">MAX(IF((DiscreteStatsTable[GroupByKey]=DiscreteStatsTable[[#This Row],[GroupByKey]]),(DiscreteStatsTable[GroupByKey]=DiscreteStatsTable[[#This Row],[GroupByKey]])*DiscreteStatsTable[Maximum]))</f>
        <v>0</v>
      </c>
      <c r="V455" cm="1">
        <f t="array" ref="V455">IFERROR(AVERAGE(IF((DiscreteStatsTable[GroupByKey]=DiscreteStatsTable[[#This Row],[GroupByKey]]),(DiscreteStatsTable[GroupByKey]=DiscreteStatsTable[[#This Row],[GroupByKey]])*DiscreteStatsTable[NumberObservations])),0)</f>
        <v>1412.8</v>
      </c>
      <c r="W455">
        <f>IF((DiscreteStatsTable[[#This Row],[RepsRequested]]&gt;1),DiscreteStatsTable[[#This Row],[HalfWidth]],DiscreteStatsTable[[#This Row],[BatchMeansHalfWidth]])</f>
        <v>0</v>
      </c>
      <c r="X455" cm="1">
        <f t="array" ref="X455">COUNT(IF((DiscreteStatsTable[GroupByKey]=DiscreteStatsTable[[#This Row],[GroupByKey]]),(DiscreteStatsTable[GroupByKey]=DiscreteStatsTable[[#This Row],[GroupByKey]])*DiscreteStatsTable[Replication]))</f>
        <v>10</v>
      </c>
      <c r="Y455">
        <f>IF(DiscreteStatsTable[[#This Row],[RepsRequested]]=DiscreteStatsTable[[#This Row],[RepsWithStatObserved]],1,0)</f>
        <v>1</v>
      </c>
    </row>
    <row r="456" spans="1:25" x14ac:dyDescent="0.25">
      <c r="A456" t="s">
        <v>67</v>
      </c>
      <c r="B456" t="s">
        <v>243</v>
      </c>
      <c r="C456">
        <v>1</v>
      </c>
      <c r="D456" t="s">
        <v>110</v>
      </c>
      <c r="E456" t="s">
        <v>81</v>
      </c>
      <c r="F456" t="s">
        <v>76</v>
      </c>
      <c r="G456">
        <v>639.76841110320299</v>
      </c>
      <c r="H456">
        <v>9.2163756441930698</v>
      </c>
      <c r="I456">
        <v>125.14114158973101</v>
      </c>
      <c r="J456">
        <v>717.80514088453504</v>
      </c>
      <c r="K456">
        <v>1397</v>
      </c>
      <c r="L456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456" cm="1">
        <f t="array" ref="M456">MAX(IF((ProjectInfoTable[ProjectName]=DiscreteStatsTable[[#This Row],[ProjectName]]),(ProjectInfoTable[ProjectName]=DiscreteStatsTable[[#This Row],[ProjectName]])*ProjectInfoTable[NumberOfReplications]))</f>
        <v>10</v>
      </c>
      <c r="N456" cm="1">
        <f t="array" ref="N456">IFERROR(AVERAGE(IF((DiscreteStatsTable[GroupByKey]=DiscreteStatsTable[[#This Row],[GroupByKey]]),(DiscreteStatsTable[GroupByKey]=DiscreteStatsTable[[#This Row],[GroupByKey]])*DiscreteStatsTable[Average])),0)</f>
        <v>633.11198951993958</v>
      </c>
      <c r="O456" cm="1">
        <f t="array" ref="O456">IFERROR(_xlfn.STDEV.S(IF((DiscreteStatsTable[GroupByKey]=DiscreteStatsTable[[#This Row],[GroupByKey]]),(DiscreteStatsTable[GroupByKey]=DiscreteStatsTable[[#This Row],[GroupByKey]])*DiscreteStatsTable[Average])),0)</f>
        <v>5.2185990896039609</v>
      </c>
      <c r="P456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3.733160898240417</v>
      </c>
      <c r="R456" cm="1">
        <f t="array" ref="R456">MIN(IF((DiscreteStatsTable[GroupByKey]=DiscreteStatsTable[[#This Row],[GroupByKey]]),(DiscreteStatsTable[GroupByKey]=DiscreteStatsTable[[#This Row],[GroupByKey]])*DiscreteStatsTable[Average]))</f>
        <v>625.13033962757504</v>
      </c>
      <c r="S456" cm="1">
        <f t="array" ref="S456">MAX(IF((DiscreteStatsTable[GroupByKey]=DiscreteStatsTable[[#This Row],[GroupByKey]]),(DiscreteStatsTable[GroupByKey]=DiscreteStatsTable[[#This Row],[GroupByKey]])*DiscreteStatsTable[Average]))</f>
        <v>642.37502414826099</v>
      </c>
      <c r="T456" cm="1">
        <f t="array" ref="T456">MIN(IF((DiscreteStatsTable[GroupByKey]=DiscreteStatsTable[[#This Row],[GroupByKey]]),(DiscreteStatsTable[GroupByKey]=DiscreteStatsTable[[#This Row],[GroupByKey]])*DiscreteStatsTable[Minimum]))</f>
        <v>121.89425635771499</v>
      </c>
      <c r="U456" cm="1">
        <f t="array" ref="U456">MAX(IF((DiscreteStatsTable[GroupByKey]=DiscreteStatsTable[[#This Row],[GroupByKey]]),(DiscreteStatsTable[GroupByKey]=DiscreteStatsTable[[#This Row],[GroupByKey]])*DiscreteStatsTable[Maximum]))</f>
        <v>725.62892145654803</v>
      </c>
      <c r="V456" cm="1">
        <f t="array" ref="V456">IFERROR(AVERAGE(IF((DiscreteStatsTable[GroupByKey]=DiscreteStatsTable[[#This Row],[GroupByKey]]),(DiscreteStatsTable[GroupByKey]=DiscreteStatsTable[[#This Row],[GroupByKey]])*DiscreteStatsTable[NumberObservations])),0)</f>
        <v>1412.8</v>
      </c>
      <c r="W456">
        <f>IF((DiscreteStatsTable[[#This Row],[RepsRequested]]&gt;1),DiscreteStatsTable[[#This Row],[HalfWidth]],DiscreteStatsTable[[#This Row],[BatchMeansHalfWidth]])</f>
        <v>3.733160898240417</v>
      </c>
      <c r="X456" cm="1">
        <f t="array" ref="X456">COUNT(IF((DiscreteStatsTable[GroupByKey]=DiscreteStatsTable[[#This Row],[GroupByKey]]),(DiscreteStatsTable[GroupByKey]=DiscreteStatsTable[[#This Row],[GroupByKey]])*DiscreteStatsTable[Replication]))</f>
        <v>10</v>
      </c>
      <c r="Y456">
        <f>IF(DiscreteStatsTable[[#This Row],[RepsRequested]]=DiscreteStatsTable[[#This Row],[RepsWithStatObserved]],1,0)</f>
        <v>1</v>
      </c>
    </row>
    <row r="457" spans="1:25" x14ac:dyDescent="0.25">
      <c r="A457" t="s">
        <v>67</v>
      </c>
      <c r="B457" t="s">
        <v>243</v>
      </c>
      <c r="C457">
        <v>1</v>
      </c>
      <c r="D457" t="s">
        <v>110</v>
      </c>
      <c r="E457" t="s">
        <v>82</v>
      </c>
      <c r="F457" t="s">
        <v>76</v>
      </c>
      <c r="G457">
        <v>722253.18312800897</v>
      </c>
      <c r="H457">
        <v>3E+20</v>
      </c>
      <c r="I457">
        <v>3654.37807900912</v>
      </c>
      <c r="J457">
        <v>1962941.2979494899</v>
      </c>
      <c r="K457">
        <v>1397</v>
      </c>
      <c r="L457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457" cm="1">
        <f t="array" ref="M457">MAX(IF((ProjectInfoTable[ProjectName]=DiscreteStatsTable[[#This Row],[ProjectName]]),(ProjectInfoTable[ProjectName]=DiscreteStatsTable[[#This Row],[ProjectName]])*ProjectInfoTable[NumberOfReplications]))</f>
        <v>10</v>
      </c>
      <c r="N457" cm="1">
        <f t="array" ref="N457">IFERROR(AVERAGE(IF((DiscreteStatsTable[GroupByKey]=DiscreteStatsTable[[#This Row],[GroupByKey]]),(DiscreteStatsTable[GroupByKey]=DiscreteStatsTable[[#This Row],[GroupByKey]])*DiscreteStatsTable[Average])),0)</f>
        <v>715621.63686177903</v>
      </c>
      <c r="O457" cm="1">
        <f t="array" ref="O457">IFERROR(_xlfn.STDEV.S(IF((DiscreteStatsTable[GroupByKey]=DiscreteStatsTable[[#This Row],[GroupByKey]]),(DiscreteStatsTable[GroupByKey]=DiscreteStatsTable[[#This Row],[GroupByKey]])*DiscreteStatsTable[Average])),0)</f>
        <v>7103.5262745156242</v>
      </c>
      <c r="P457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5081.5565772188193</v>
      </c>
      <c r="R457" cm="1">
        <f t="array" ref="R457">MIN(IF((DiscreteStatsTable[GroupByKey]=DiscreteStatsTable[[#This Row],[GroupByKey]]),(DiscreteStatsTable[GroupByKey]=DiscreteStatsTable[[#This Row],[GroupByKey]])*DiscreteStatsTable[Average]))</f>
        <v>706040.14193379204</v>
      </c>
      <c r="S457" cm="1">
        <f t="array" ref="S457">MAX(IF((DiscreteStatsTable[GroupByKey]=DiscreteStatsTable[[#This Row],[GroupByKey]]),(DiscreteStatsTable[GroupByKey]=DiscreteStatsTable[[#This Row],[GroupByKey]])*DiscreteStatsTable[Average]))</f>
        <v>728712.78790280595</v>
      </c>
      <c r="T457" cm="1">
        <f t="array" ref="T457">MIN(IF((DiscreteStatsTable[GroupByKey]=DiscreteStatsTable[[#This Row],[GroupByKey]]),(DiscreteStatsTable[GroupByKey]=DiscreteStatsTable[[#This Row],[GroupByKey]])*DiscreteStatsTable[Minimum]))</f>
        <v>942.11081602343995</v>
      </c>
      <c r="U457" cm="1">
        <f t="array" ref="U457">MAX(IF((DiscreteStatsTable[GroupByKey]=DiscreteStatsTable[[#This Row],[GroupByKey]]),(DiscreteStatsTable[GroupByKey]=DiscreteStatsTable[[#This Row],[GroupByKey]])*DiscreteStatsTable[Maximum]))</f>
        <v>1975788.7077699299</v>
      </c>
      <c r="V457" cm="1">
        <f t="array" ref="V457">IFERROR(AVERAGE(IF((DiscreteStatsTable[GroupByKey]=DiscreteStatsTable[[#This Row],[GroupByKey]]),(DiscreteStatsTable[GroupByKey]=DiscreteStatsTable[[#This Row],[GroupByKey]])*DiscreteStatsTable[NumberObservations])),0)</f>
        <v>1412.8</v>
      </c>
      <c r="W457">
        <f>IF((DiscreteStatsTable[[#This Row],[RepsRequested]]&gt;1),DiscreteStatsTable[[#This Row],[HalfWidth]],DiscreteStatsTable[[#This Row],[BatchMeansHalfWidth]])</f>
        <v>5081.5565772188193</v>
      </c>
      <c r="X457" cm="1">
        <f t="array" ref="X457">COUNT(IF((DiscreteStatsTable[GroupByKey]=DiscreteStatsTable[[#This Row],[GroupByKey]]),(DiscreteStatsTable[GroupByKey]=DiscreteStatsTable[[#This Row],[GroupByKey]])*DiscreteStatsTable[Replication]))</f>
        <v>10</v>
      </c>
      <c r="Y457">
        <f>IF(DiscreteStatsTable[[#This Row],[RepsRequested]]=DiscreteStatsTable[[#This Row],[RepsWithStatObserved]],1,0)</f>
        <v>1</v>
      </c>
    </row>
    <row r="458" spans="1:25" x14ac:dyDescent="0.25">
      <c r="A458" t="s">
        <v>67</v>
      </c>
      <c r="B458" t="s">
        <v>243</v>
      </c>
      <c r="C458">
        <v>2</v>
      </c>
      <c r="D458" t="s">
        <v>110</v>
      </c>
      <c r="E458" t="s">
        <v>77</v>
      </c>
      <c r="F458" t="s">
        <v>76</v>
      </c>
      <c r="G458">
        <v>0</v>
      </c>
      <c r="H458">
        <v>0</v>
      </c>
      <c r="I458">
        <v>0</v>
      </c>
      <c r="J458">
        <v>0</v>
      </c>
      <c r="K458">
        <v>1410</v>
      </c>
      <c r="L458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458" cm="1">
        <f t="array" ref="M458">MAX(IF((ProjectInfoTable[ProjectName]=DiscreteStatsTable[[#This Row],[ProjectName]]),(ProjectInfoTable[ProjectName]=DiscreteStatsTable[[#This Row],[ProjectName]])*ProjectInfoTable[NumberOfReplications]))</f>
        <v>10</v>
      </c>
      <c r="N458" cm="1">
        <f t="array" ref="N458">IFERROR(AVERAGE(IF((DiscreteStatsTable[GroupByKey]=DiscreteStatsTable[[#This Row],[GroupByKey]]),(DiscreteStatsTable[GroupByKey]=DiscreteStatsTable[[#This Row],[GroupByKey]])*DiscreteStatsTable[Average])),0)</f>
        <v>0</v>
      </c>
      <c r="O458" cm="1">
        <f t="array" ref="O458">IFERROR(_xlfn.STDEV.S(IF((DiscreteStatsTable[GroupByKey]=DiscreteStatsTable[[#This Row],[GroupByKey]]),(DiscreteStatsTable[GroupByKey]=DiscreteStatsTable[[#This Row],[GroupByKey]])*DiscreteStatsTable[Average])),0)</f>
        <v>0</v>
      </c>
      <c r="P458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8" cm="1">
        <f t="array" ref="R458">MIN(IF((DiscreteStatsTable[GroupByKey]=DiscreteStatsTable[[#This Row],[GroupByKey]]),(DiscreteStatsTable[GroupByKey]=DiscreteStatsTable[[#This Row],[GroupByKey]])*DiscreteStatsTable[Average]))</f>
        <v>0</v>
      </c>
      <c r="S458" cm="1">
        <f t="array" ref="S458">MAX(IF((DiscreteStatsTable[GroupByKey]=DiscreteStatsTable[[#This Row],[GroupByKey]]),(DiscreteStatsTable[GroupByKey]=DiscreteStatsTable[[#This Row],[GroupByKey]])*DiscreteStatsTable[Average]))</f>
        <v>0</v>
      </c>
      <c r="T458" cm="1">
        <f t="array" ref="T458">MIN(IF((DiscreteStatsTable[GroupByKey]=DiscreteStatsTable[[#This Row],[GroupByKey]]),(DiscreteStatsTable[GroupByKey]=DiscreteStatsTable[[#This Row],[GroupByKey]])*DiscreteStatsTable[Minimum]))</f>
        <v>0</v>
      </c>
      <c r="U458" cm="1">
        <f t="array" ref="U458">MAX(IF((DiscreteStatsTable[GroupByKey]=DiscreteStatsTable[[#This Row],[GroupByKey]]),(DiscreteStatsTable[GroupByKey]=DiscreteStatsTable[[#This Row],[GroupByKey]])*DiscreteStatsTable[Maximum]))</f>
        <v>0</v>
      </c>
      <c r="V458" cm="1">
        <f t="array" ref="V458">IFERROR(AVERAGE(IF((DiscreteStatsTable[GroupByKey]=DiscreteStatsTable[[#This Row],[GroupByKey]]),(DiscreteStatsTable[GroupByKey]=DiscreteStatsTable[[#This Row],[GroupByKey]])*DiscreteStatsTable[NumberObservations])),0)</f>
        <v>1412.8</v>
      </c>
      <c r="W458">
        <f>IF((DiscreteStatsTable[[#This Row],[RepsRequested]]&gt;1),DiscreteStatsTable[[#This Row],[HalfWidth]],DiscreteStatsTable[[#This Row],[BatchMeansHalfWidth]])</f>
        <v>0</v>
      </c>
      <c r="X458" cm="1">
        <f t="array" ref="X458">COUNT(IF((DiscreteStatsTable[GroupByKey]=DiscreteStatsTable[[#This Row],[GroupByKey]]),(DiscreteStatsTable[GroupByKey]=DiscreteStatsTable[[#This Row],[GroupByKey]])*DiscreteStatsTable[Replication]))</f>
        <v>10</v>
      </c>
      <c r="Y458">
        <f>IF(DiscreteStatsTable[[#This Row],[RepsRequested]]=DiscreteStatsTable[[#This Row],[RepsWithStatObserved]],1,0)</f>
        <v>1</v>
      </c>
    </row>
    <row r="459" spans="1:25" x14ac:dyDescent="0.25">
      <c r="A459" t="s">
        <v>67</v>
      </c>
      <c r="B459" t="s">
        <v>243</v>
      </c>
      <c r="C459">
        <v>2</v>
      </c>
      <c r="D459" t="s">
        <v>110</v>
      </c>
      <c r="E459" t="s">
        <v>78</v>
      </c>
      <c r="F459" t="s">
        <v>76</v>
      </c>
      <c r="G459">
        <v>650.78651420979998</v>
      </c>
      <c r="H459">
        <v>9.30616190901093</v>
      </c>
      <c r="I459">
        <v>130.12038011458901</v>
      </c>
      <c r="J459">
        <v>727.65397524836601</v>
      </c>
      <c r="K459">
        <v>1410</v>
      </c>
      <c r="L459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459" cm="1">
        <f t="array" ref="M459">MAX(IF((ProjectInfoTable[ProjectName]=DiscreteStatsTable[[#This Row],[ProjectName]]),(ProjectInfoTable[ProjectName]=DiscreteStatsTable[[#This Row],[ProjectName]])*ProjectInfoTable[NumberOfReplications]))</f>
        <v>10</v>
      </c>
      <c r="N459" cm="1">
        <f t="array" ref="N459">IFERROR(AVERAGE(IF((DiscreteStatsTable[GroupByKey]=DiscreteStatsTable[[#This Row],[GroupByKey]]),(DiscreteStatsTable[GroupByKey]=DiscreteStatsTable[[#This Row],[GroupByKey]])*DiscreteStatsTable[Average])),0)</f>
        <v>648.63734791108345</v>
      </c>
      <c r="O459" cm="1">
        <f t="array" ref="O459">IFERROR(_xlfn.STDEV.S(IF((DiscreteStatsTable[GroupByKey]=DiscreteStatsTable[[#This Row],[GroupByKey]]),(DiscreteStatsTable[GroupByKey]=DiscreteStatsTable[[#This Row],[GroupByKey]])*DiscreteStatsTable[Average])),0)</f>
        <v>5.4092947484755589</v>
      </c>
      <c r="P459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3.8695763547528403</v>
      </c>
      <c r="R459" cm="1">
        <f t="array" ref="R459">MIN(IF((DiscreteStatsTable[GroupByKey]=DiscreteStatsTable[[#This Row],[GroupByKey]]),(DiscreteStatsTable[GroupByKey]=DiscreteStatsTable[[#This Row],[GroupByKey]])*DiscreteStatsTable[Average]))</f>
        <v>639.97478427335204</v>
      </c>
      <c r="S459" cm="1">
        <f t="array" ref="S459">MAX(IF((DiscreteStatsTable[GroupByKey]=DiscreteStatsTable[[#This Row],[GroupByKey]]),(DiscreteStatsTable[GroupByKey]=DiscreteStatsTable[[#This Row],[GroupByKey]])*DiscreteStatsTable[Average]))</f>
        <v>657.59073514207705</v>
      </c>
      <c r="T459" cm="1">
        <f t="array" ref="T459">MIN(IF((DiscreteStatsTable[GroupByKey]=DiscreteStatsTable[[#This Row],[GroupByKey]]),(DiscreteStatsTable[GroupByKey]=DiscreteStatsTable[[#This Row],[GroupByKey]])*DiscreteStatsTable[Minimum]))</f>
        <v>126.191556433689</v>
      </c>
      <c r="U459" cm="1">
        <f t="array" ref="U459">MAX(IF((DiscreteStatsTable[GroupByKey]=DiscreteStatsTable[[#This Row],[GroupByKey]]),(DiscreteStatsTable[GroupByKey]=DiscreteStatsTable[[#This Row],[GroupByKey]])*DiscreteStatsTable[Maximum]))</f>
        <v>738.20739202885295</v>
      </c>
      <c r="V459" cm="1">
        <f t="array" ref="V459">IFERROR(AVERAGE(IF((DiscreteStatsTable[GroupByKey]=DiscreteStatsTable[[#This Row],[GroupByKey]]),(DiscreteStatsTable[GroupByKey]=DiscreteStatsTable[[#This Row],[GroupByKey]])*DiscreteStatsTable[NumberObservations])),0)</f>
        <v>1412.8</v>
      </c>
      <c r="W459">
        <f>IF((DiscreteStatsTable[[#This Row],[RepsRequested]]&gt;1),DiscreteStatsTable[[#This Row],[HalfWidth]],DiscreteStatsTable[[#This Row],[BatchMeansHalfWidth]])</f>
        <v>3.8695763547528403</v>
      </c>
      <c r="X459" cm="1">
        <f t="array" ref="X459">COUNT(IF((DiscreteStatsTable[GroupByKey]=DiscreteStatsTable[[#This Row],[GroupByKey]]),(DiscreteStatsTable[GroupByKey]=DiscreteStatsTable[[#This Row],[GroupByKey]])*DiscreteStatsTable[Replication]))</f>
        <v>10</v>
      </c>
      <c r="Y459">
        <f>IF(DiscreteStatsTable[[#This Row],[RepsRequested]]=DiscreteStatsTable[[#This Row],[RepsWithStatObserved]],1,0)</f>
        <v>1</v>
      </c>
    </row>
    <row r="460" spans="1:25" x14ac:dyDescent="0.25">
      <c r="A460" t="s">
        <v>67</v>
      </c>
      <c r="B460" t="s">
        <v>243</v>
      </c>
      <c r="C460">
        <v>2</v>
      </c>
      <c r="D460" t="s">
        <v>110</v>
      </c>
      <c r="E460" t="s">
        <v>79</v>
      </c>
      <c r="F460" t="s">
        <v>76</v>
      </c>
      <c r="G460">
        <v>82860.049168041107</v>
      </c>
      <c r="H460">
        <v>3E+20</v>
      </c>
      <c r="I460">
        <v>668.42251701206601</v>
      </c>
      <c r="J460">
        <v>179344.30437565799</v>
      </c>
      <c r="K460">
        <v>1410</v>
      </c>
      <c r="L460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460" cm="1">
        <f t="array" ref="M460">MAX(IF((ProjectInfoTable[ProjectName]=DiscreteStatsTable[[#This Row],[ProjectName]]),(ProjectInfoTable[ProjectName]=DiscreteStatsTable[[#This Row],[ProjectName]])*ProjectInfoTable[NumberOfReplications]))</f>
        <v>10</v>
      </c>
      <c r="N460" cm="1">
        <f t="array" ref="N460">IFERROR(AVERAGE(IF((DiscreteStatsTable[GroupByKey]=DiscreteStatsTable[[#This Row],[GroupByKey]]),(DiscreteStatsTable[GroupByKey]=DiscreteStatsTable[[#This Row],[GroupByKey]])*DiscreteStatsTable[Average])),0)</f>
        <v>83209.725766173768</v>
      </c>
      <c r="O460" cm="1">
        <f t="array" ref="O460">IFERROR(_xlfn.STDEV.S(IF((DiscreteStatsTable[GroupByKey]=DiscreteStatsTable[[#This Row],[GroupByKey]]),(DiscreteStatsTable[GroupByKey]=DiscreteStatsTable[[#This Row],[GroupByKey]])*DiscreteStatsTable[Average])),0)</f>
        <v>448.75835323214818</v>
      </c>
      <c r="P460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321.02238709664016</v>
      </c>
      <c r="R460" cm="1">
        <f t="array" ref="R460">MIN(IF((DiscreteStatsTable[GroupByKey]=DiscreteStatsTable[[#This Row],[GroupByKey]]),(DiscreteStatsTable[GroupByKey]=DiscreteStatsTable[[#This Row],[GroupByKey]])*DiscreteStatsTable[Average]))</f>
        <v>82701.3289873717</v>
      </c>
      <c r="S460" cm="1">
        <f t="array" ref="S460">MAX(IF((DiscreteStatsTable[GroupByKey]=DiscreteStatsTable[[#This Row],[GroupByKey]]),(DiscreteStatsTable[GroupByKey]=DiscreteStatsTable[[#This Row],[GroupByKey]])*DiscreteStatsTable[Average]))</f>
        <v>84117.798290527702</v>
      </c>
      <c r="T460" cm="1">
        <f t="array" ref="T460">MIN(IF((DiscreteStatsTable[GroupByKey]=DiscreteStatsTable[[#This Row],[GroupByKey]]),(DiscreteStatsTable[GroupByKey]=DiscreteStatsTable[[#This Row],[GroupByKey]])*DiscreteStatsTable[Minimum]))</f>
        <v>340.54300832225601</v>
      </c>
      <c r="U460" cm="1">
        <f t="array" ref="U460">MAX(IF((DiscreteStatsTable[GroupByKey]=DiscreteStatsTable[[#This Row],[GroupByKey]]),(DiscreteStatsTable[GroupByKey]=DiscreteStatsTable[[#This Row],[GroupByKey]])*DiscreteStatsTable[Maximum]))</f>
        <v>184239.085713487</v>
      </c>
      <c r="V460" cm="1">
        <f t="array" ref="V460">IFERROR(AVERAGE(IF((DiscreteStatsTable[GroupByKey]=DiscreteStatsTable[[#This Row],[GroupByKey]]),(DiscreteStatsTable[GroupByKey]=DiscreteStatsTable[[#This Row],[GroupByKey]])*DiscreteStatsTable[NumberObservations])),0)</f>
        <v>1412.8</v>
      </c>
      <c r="W460">
        <f>IF((DiscreteStatsTable[[#This Row],[RepsRequested]]&gt;1),DiscreteStatsTable[[#This Row],[HalfWidth]],DiscreteStatsTable[[#This Row],[BatchMeansHalfWidth]])</f>
        <v>321.02238709664016</v>
      </c>
      <c r="X460" cm="1">
        <f t="array" ref="X460">COUNT(IF((DiscreteStatsTable[GroupByKey]=DiscreteStatsTable[[#This Row],[GroupByKey]]),(DiscreteStatsTable[GroupByKey]=DiscreteStatsTable[[#This Row],[GroupByKey]])*DiscreteStatsTable[Replication]))</f>
        <v>10</v>
      </c>
      <c r="Y460">
        <f>IF(DiscreteStatsTable[[#This Row],[RepsRequested]]=DiscreteStatsTable[[#This Row],[RepsWithStatObserved]],1,0)</f>
        <v>1</v>
      </c>
    </row>
    <row r="461" spans="1:25" x14ac:dyDescent="0.25">
      <c r="A461" t="s">
        <v>67</v>
      </c>
      <c r="B461" t="s">
        <v>243</v>
      </c>
      <c r="C461">
        <v>2</v>
      </c>
      <c r="D461" t="s">
        <v>110</v>
      </c>
      <c r="E461" t="s">
        <v>80</v>
      </c>
      <c r="F461" t="s">
        <v>76</v>
      </c>
      <c r="G461">
        <v>0</v>
      </c>
      <c r="H461">
        <v>0</v>
      </c>
      <c r="I461">
        <v>0</v>
      </c>
      <c r="J461">
        <v>0</v>
      </c>
      <c r="K461">
        <v>1410</v>
      </c>
      <c r="L461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461" cm="1">
        <f t="array" ref="M461">MAX(IF((ProjectInfoTable[ProjectName]=DiscreteStatsTable[[#This Row],[ProjectName]]),(ProjectInfoTable[ProjectName]=DiscreteStatsTable[[#This Row],[ProjectName]])*ProjectInfoTable[NumberOfReplications]))</f>
        <v>10</v>
      </c>
      <c r="N461" cm="1">
        <f t="array" ref="N461">IFERROR(AVERAGE(IF((DiscreteStatsTable[GroupByKey]=DiscreteStatsTable[[#This Row],[GroupByKey]]),(DiscreteStatsTable[GroupByKey]=DiscreteStatsTable[[#This Row],[GroupByKey]])*DiscreteStatsTable[Average])),0)</f>
        <v>0</v>
      </c>
      <c r="O461" cm="1">
        <f t="array" ref="O461">IFERROR(_xlfn.STDEV.S(IF((DiscreteStatsTable[GroupByKey]=DiscreteStatsTable[[#This Row],[GroupByKey]]),(DiscreteStatsTable[GroupByKey]=DiscreteStatsTable[[#This Row],[GroupByKey]])*DiscreteStatsTable[Average])),0)</f>
        <v>0</v>
      </c>
      <c r="P461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1" cm="1">
        <f t="array" ref="R461">MIN(IF((DiscreteStatsTable[GroupByKey]=DiscreteStatsTable[[#This Row],[GroupByKey]]),(DiscreteStatsTable[GroupByKey]=DiscreteStatsTable[[#This Row],[GroupByKey]])*DiscreteStatsTable[Average]))</f>
        <v>0</v>
      </c>
      <c r="S461" cm="1">
        <f t="array" ref="S461">MAX(IF((DiscreteStatsTable[GroupByKey]=DiscreteStatsTable[[#This Row],[GroupByKey]]),(DiscreteStatsTable[GroupByKey]=DiscreteStatsTable[[#This Row],[GroupByKey]])*DiscreteStatsTable[Average]))</f>
        <v>0</v>
      </c>
      <c r="T461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cm="1">
        <f t="array" ref="U461">MAX(IF((DiscreteStatsTable[GroupByKey]=DiscreteStatsTable[[#This Row],[GroupByKey]]),(DiscreteStatsTable[GroupByKey]=DiscreteStatsTable[[#This Row],[GroupByKey]])*DiscreteStatsTable[Maximum]))</f>
        <v>0</v>
      </c>
      <c r="V461" cm="1">
        <f t="array" ref="V461">IFERROR(AVERAGE(IF((DiscreteStatsTable[GroupByKey]=DiscreteStatsTable[[#This Row],[GroupByKey]]),(DiscreteStatsTable[GroupByKey]=DiscreteStatsTable[[#This Row],[GroupByKey]])*DiscreteStatsTable[NumberObservations])),0)</f>
        <v>1412.8</v>
      </c>
      <c r="W461">
        <f>IF((DiscreteStatsTable[[#This Row],[RepsRequested]]&gt;1),DiscreteStatsTable[[#This Row],[HalfWidth]],DiscreteStatsTable[[#This Row],[BatchMeansHalfWidth]])</f>
        <v>0</v>
      </c>
      <c r="X461" cm="1">
        <f t="array" ref="X461">COUNT(IF((DiscreteStatsTable[GroupByKey]=DiscreteStatsTable[[#This Row],[GroupByKey]]),(DiscreteStatsTable[GroupByKey]=DiscreteStatsTable[[#This Row],[GroupByKey]])*DiscreteStatsTable[Replication]))</f>
        <v>10</v>
      </c>
      <c r="Y461">
        <f>IF(DiscreteStatsTable[[#This Row],[RepsRequested]]=DiscreteStatsTable[[#This Row],[RepsWithStatObserved]],1,0)</f>
        <v>1</v>
      </c>
    </row>
    <row r="462" spans="1:25" x14ac:dyDescent="0.25">
      <c r="A462" t="s">
        <v>67</v>
      </c>
      <c r="B462" t="s">
        <v>243</v>
      </c>
      <c r="C462">
        <v>2</v>
      </c>
      <c r="D462" t="s">
        <v>110</v>
      </c>
      <c r="E462" t="s">
        <v>81</v>
      </c>
      <c r="F462" t="s">
        <v>76</v>
      </c>
      <c r="G462">
        <v>634.86717143634803</v>
      </c>
      <c r="H462">
        <v>8.8596264140099503</v>
      </c>
      <c r="I462">
        <v>122.007898899872</v>
      </c>
      <c r="J462">
        <v>717.509501854831</v>
      </c>
      <c r="K462">
        <v>1410</v>
      </c>
      <c r="L462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462" cm="1">
        <f t="array" ref="M462">MAX(IF((ProjectInfoTable[ProjectName]=DiscreteStatsTable[[#This Row],[ProjectName]]),(ProjectInfoTable[ProjectName]=DiscreteStatsTable[[#This Row],[ProjectName]])*ProjectInfoTable[NumberOfReplications]))</f>
        <v>10</v>
      </c>
      <c r="N462" cm="1">
        <f t="array" ref="N462">IFERROR(AVERAGE(IF((DiscreteStatsTable[GroupByKey]=DiscreteStatsTable[[#This Row],[GroupByKey]]),(DiscreteStatsTable[GroupByKey]=DiscreteStatsTable[[#This Row],[GroupByKey]])*DiscreteStatsTable[Average])),0)</f>
        <v>633.11198951993958</v>
      </c>
      <c r="O462" cm="1">
        <f t="array" ref="O462">IFERROR(_xlfn.STDEV.S(IF((DiscreteStatsTable[GroupByKey]=DiscreteStatsTable[[#This Row],[GroupByKey]]),(DiscreteStatsTable[GroupByKey]=DiscreteStatsTable[[#This Row],[GroupByKey]])*DiscreteStatsTable[Average])),0)</f>
        <v>5.2185990896039609</v>
      </c>
      <c r="P462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3.733160898240417</v>
      </c>
      <c r="R462" cm="1">
        <f t="array" ref="R462">MIN(IF((DiscreteStatsTable[GroupByKey]=DiscreteStatsTable[[#This Row],[GroupByKey]]),(DiscreteStatsTable[GroupByKey]=DiscreteStatsTable[[#This Row],[GroupByKey]])*DiscreteStatsTable[Average]))</f>
        <v>625.13033962757504</v>
      </c>
      <c r="S462" cm="1">
        <f t="array" ref="S462">MAX(IF((DiscreteStatsTable[GroupByKey]=DiscreteStatsTable[[#This Row],[GroupByKey]]),(DiscreteStatsTable[GroupByKey]=DiscreteStatsTable[[#This Row],[GroupByKey]])*DiscreteStatsTable[Average]))</f>
        <v>642.37502414826099</v>
      </c>
      <c r="T462" cm="1">
        <f t="array" ref="T462">MIN(IF((DiscreteStatsTable[GroupByKey]=DiscreteStatsTable[[#This Row],[GroupByKey]]),(DiscreteStatsTable[GroupByKey]=DiscreteStatsTable[[#This Row],[GroupByKey]])*DiscreteStatsTable[Minimum]))</f>
        <v>121.89425635771499</v>
      </c>
      <c r="U462" cm="1">
        <f t="array" ref="U462">MAX(IF((DiscreteStatsTable[GroupByKey]=DiscreteStatsTable[[#This Row],[GroupByKey]]),(DiscreteStatsTable[GroupByKey]=DiscreteStatsTable[[#This Row],[GroupByKey]])*DiscreteStatsTable[Maximum]))</f>
        <v>725.62892145654803</v>
      </c>
      <c r="V462" cm="1">
        <f t="array" ref="V462">IFERROR(AVERAGE(IF((DiscreteStatsTable[GroupByKey]=DiscreteStatsTable[[#This Row],[GroupByKey]]),(DiscreteStatsTable[GroupByKey]=DiscreteStatsTable[[#This Row],[GroupByKey]])*DiscreteStatsTable[NumberObservations])),0)</f>
        <v>1412.8</v>
      </c>
      <c r="W462">
        <f>IF((DiscreteStatsTable[[#This Row],[RepsRequested]]&gt;1),DiscreteStatsTable[[#This Row],[HalfWidth]],DiscreteStatsTable[[#This Row],[BatchMeansHalfWidth]])</f>
        <v>3.733160898240417</v>
      </c>
      <c r="X462" cm="1">
        <f t="array" ref="X462">COUNT(IF((DiscreteStatsTable[GroupByKey]=DiscreteStatsTable[[#This Row],[GroupByKey]]),(DiscreteStatsTable[GroupByKey]=DiscreteStatsTable[[#This Row],[GroupByKey]])*DiscreteStatsTable[Replication]))</f>
        <v>10</v>
      </c>
      <c r="Y462">
        <f>IF(DiscreteStatsTable[[#This Row],[RepsRequested]]=DiscreteStatsTable[[#This Row],[RepsWithStatObserved]],1,0)</f>
        <v>1</v>
      </c>
    </row>
    <row r="463" spans="1:25" x14ac:dyDescent="0.25">
      <c r="A463" t="s">
        <v>67</v>
      </c>
      <c r="B463" t="s">
        <v>243</v>
      </c>
      <c r="C463">
        <v>2</v>
      </c>
      <c r="D463" t="s">
        <v>110</v>
      </c>
      <c r="E463" t="s">
        <v>82</v>
      </c>
      <c r="F463" t="s">
        <v>76</v>
      </c>
      <c r="G463">
        <v>708078.86131860001</v>
      </c>
      <c r="H463">
        <v>3E+20</v>
      </c>
      <c r="I463">
        <v>3642.1144189854999</v>
      </c>
      <c r="J463">
        <v>1955129.3303880801</v>
      </c>
      <c r="K463">
        <v>1410</v>
      </c>
      <c r="L463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463" cm="1">
        <f t="array" ref="M463">MAX(IF((ProjectInfoTable[ProjectName]=DiscreteStatsTable[[#This Row],[ProjectName]]),(ProjectInfoTable[ProjectName]=DiscreteStatsTable[[#This Row],[ProjectName]])*ProjectInfoTable[NumberOfReplications]))</f>
        <v>10</v>
      </c>
      <c r="N463" cm="1">
        <f t="array" ref="N463">IFERROR(AVERAGE(IF((DiscreteStatsTable[GroupByKey]=DiscreteStatsTable[[#This Row],[GroupByKey]]),(DiscreteStatsTable[GroupByKey]=DiscreteStatsTable[[#This Row],[GroupByKey]])*DiscreteStatsTable[Average])),0)</f>
        <v>715621.63686177903</v>
      </c>
      <c r="O463" cm="1">
        <f t="array" ref="O463">IFERROR(_xlfn.STDEV.S(IF((DiscreteStatsTable[GroupByKey]=DiscreteStatsTable[[#This Row],[GroupByKey]]),(DiscreteStatsTable[GroupByKey]=DiscreteStatsTable[[#This Row],[GroupByKey]])*DiscreteStatsTable[Average])),0)</f>
        <v>7103.5262745156242</v>
      </c>
      <c r="P463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5081.5565772188193</v>
      </c>
      <c r="R463" cm="1">
        <f t="array" ref="R463">MIN(IF((DiscreteStatsTable[GroupByKey]=DiscreteStatsTable[[#This Row],[GroupByKey]]),(DiscreteStatsTable[GroupByKey]=DiscreteStatsTable[[#This Row],[GroupByKey]])*DiscreteStatsTable[Average]))</f>
        <v>706040.14193379204</v>
      </c>
      <c r="S463" cm="1">
        <f t="array" ref="S463">MAX(IF((DiscreteStatsTable[GroupByKey]=DiscreteStatsTable[[#This Row],[GroupByKey]]),(DiscreteStatsTable[GroupByKey]=DiscreteStatsTable[[#This Row],[GroupByKey]])*DiscreteStatsTable[Average]))</f>
        <v>728712.78790280595</v>
      </c>
      <c r="T463" cm="1">
        <f t="array" ref="T463">MIN(IF((DiscreteStatsTable[GroupByKey]=DiscreteStatsTable[[#This Row],[GroupByKey]]),(DiscreteStatsTable[GroupByKey]=DiscreteStatsTable[[#This Row],[GroupByKey]])*DiscreteStatsTable[Minimum]))</f>
        <v>942.11081602343995</v>
      </c>
      <c r="U463" cm="1">
        <f t="array" ref="U463">MAX(IF((DiscreteStatsTable[GroupByKey]=DiscreteStatsTable[[#This Row],[GroupByKey]]),(DiscreteStatsTable[GroupByKey]=DiscreteStatsTable[[#This Row],[GroupByKey]])*DiscreteStatsTable[Maximum]))</f>
        <v>1975788.7077699299</v>
      </c>
      <c r="V463" cm="1">
        <f t="array" ref="V463">IFERROR(AVERAGE(IF((DiscreteStatsTable[GroupByKey]=DiscreteStatsTable[[#This Row],[GroupByKey]]),(DiscreteStatsTable[GroupByKey]=DiscreteStatsTable[[#This Row],[GroupByKey]])*DiscreteStatsTable[NumberObservations])),0)</f>
        <v>1412.8</v>
      </c>
      <c r="W463">
        <f>IF((DiscreteStatsTable[[#This Row],[RepsRequested]]&gt;1),DiscreteStatsTable[[#This Row],[HalfWidth]],DiscreteStatsTable[[#This Row],[BatchMeansHalfWidth]])</f>
        <v>5081.5565772188193</v>
      </c>
      <c r="X463" cm="1">
        <f t="array" ref="X463">COUNT(IF((DiscreteStatsTable[GroupByKey]=DiscreteStatsTable[[#This Row],[GroupByKey]]),(DiscreteStatsTable[GroupByKey]=DiscreteStatsTable[[#This Row],[GroupByKey]])*DiscreteStatsTable[Replication]))</f>
        <v>10</v>
      </c>
      <c r="Y463">
        <f>IF(DiscreteStatsTable[[#This Row],[RepsRequested]]=DiscreteStatsTable[[#This Row],[RepsWithStatObserved]],1,0)</f>
        <v>1</v>
      </c>
    </row>
    <row r="464" spans="1:25" x14ac:dyDescent="0.25">
      <c r="A464" t="s">
        <v>67</v>
      </c>
      <c r="B464" t="s">
        <v>243</v>
      </c>
      <c r="C464">
        <v>3</v>
      </c>
      <c r="D464" t="s">
        <v>110</v>
      </c>
      <c r="E464" t="s">
        <v>77</v>
      </c>
      <c r="F464" t="s">
        <v>76</v>
      </c>
      <c r="G464">
        <v>0</v>
      </c>
      <c r="H464">
        <v>0</v>
      </c>
      <c r="I464">
        <v>0</v>
      </c>
      <c r="J464">
        <v>0</v>
      </c>
      <c r="K464">
        <v>1409</v>
      </c>
      <c r="L464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464" cm="1">
        <f t="array" ref="M464">MAX(IF((ProjectInfoTable[ProjectName]=DiscreteStatsTable[[#This Row],[ProjectName]]),(ProjectInfoTable[ProjectName]=DiscreteStatsTable[[#This Row],[ProjectName]])*ProjectInfoTable[NumberOfReplications]))</f>
        <v>10</v>
      </c>
      <c r="N464" cm="1">
        <f t="array" ref="N464">IFERROR(AVERAGE(IF((DiscreteStatsTable[GroupByKey]=DiscreteStatsTable[[#This Row],[GroupByKey]]),(DiscreteStatsTable[GroupByKey]=DiscreteStatsTable[[#This Row],[GroupByKey]])*DiscreteStatsTable[Average])),0)</f>
        <v>0</v>
      </c>
      <c r="O464" cm="1">
        <f t="array" ref="O464">IFERROR(_xlfn.STDEV.S(IF((DiscreteStatsTable[GroupByKey]=DiscreteStatsTable[[#This Row],[GroupByKey]]),(DiscreteStatsTable[GroupByKey]=DiscreteStatsTable[[#This Row],[GroupByKey]])*DiscreteStatsTable[Average])),0)</f>
        <v>0</v>
      </c>
      <c r="P464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4" cm="1">
        <f t="array" ref="R464">MIN(IF((DiscreteStatsTable[GroupByKey]=DiscreteStatsTable[[#This Row],[GroupByKey]]),(DiscreteStatsTable[GroupByKey]=DiscreteStatsTable[[#This Row],[GroupByKey]])*DiscreteStatsTable[Average]))</f>
        <v>0</v>
      </c>
      <c r="S464" cm="1">
        <f t="array" ref="S464">MAX(IF((DiscreteStatsTable[GroupByKey]=DiscreteStatsTable[[#This Row],[GroupByKey]]),(DiscreteStatsTable[GroupByKey]=DiscreteStatsTable[[#This Row],[GroupByKey]])*DiscreteStatsTable[Average]))</f>
        <v>0</v>
      </c>
      <c r="T464" cm="1">
        <f t="array" ref="T464">MIN(IF((DiscreteStatsTable[GroupByKey]=DiscreteStatsTable[[#This Row],[GroupByKey]]),(DiscreteStatsTable[GroupByKey]=DiscreteStatsTable[[#This Row],[GroupByKey]])*DiscreteStatsTable[Minimum]))</f>
        <v>0</v>
      </c>
      <c r="U464" cm="1">
        <f t="array" ref="U464">MAX(IF((DiscreteStatsTable[GroupByKey]=DiscreteStatsTable[[#This Row],[GroupByKey]]),(DiscreteStatsTable[GroupByKey]=DiscreteStatsTable[[#This Row],[GroupByKey]])*DiscreteStatsTable[Maximum]))</f>
        <v>0</v>
      </c>
      <c r="V464" cm="1">
        <f t="array" ref="V464">IFERROR(AVERAGE(IF((DiscreteStatsTable[GroupByKey]=DiscreteStatsTable[[#This Row],[GroupByKey]]),(DiscreteStatsTable[GroupByKey]=DiscreteStatsTable[[#This Row],[GroupByKey]])*DiscreteStatsTable[NumberObservations])),0)</f>
        <v>1412.8</v>
      </c>
      <c r="W464">
        <f>IF((DiscreteStatsTable[[#This Row],[RepsRequested]]&gt;1),DiscreteStatsTable[[#This Row],[HalfWidth]],DiscreteStatsTable[[#This Row],[BatchMeansHalfWidth]])</f>
        <v>0</v>
      </c>
      <c r="X464" cm="1">
        <f t="array" ref="X464">COUNT(IF((DiscreteStatsTable[GroupByKey]=DiscreteStatsTable[[#This Row],[GroupByKey]]),(DiscreteStatsTable[GroupByKey]=DiscreteStatsTable[[#This Row],[GroupByKey]])*DiscreteStatsTable[Replication]))</f>
        <v>10</v>
      </c>
      <c r="Y464">
        <f>IF(DiscreteStatsTable[[#This Row],[RepsRequested]]=DiscreteStatsTable[[#This Row],[RepsWithStatObserved]],1,0)</f>
        <v>1</v>
      </c>
    </row>
    <row r="465" spans="1:25" x14ac:dyDescent="0.25">
      <c r="A465" t="s">
        <v>67</v>
      </c>
      <c r="B465" t="s">
        <v>243</v>
      </c>
      <c r="C465">
        <v>3</v>
      </c>
      <c r="D465" t="s">
        <v>110</v>
      </c>
      <c r="E465" t="s">
        <v>78</v>
      </c>
      <c r="F465" t="s">
        <v>76</v>
      </c>
      <c r="G465">
        <v>650.03243217463705</v>
      </c>
      <c r="H465">
        <v>7.5407262698114197</v>
      </c>
      <c r="I465">
        <v>126.245808163978</v>
      </c>
      <c r="J465">
        <v>738.20739202885295</v>
      </c>
      <c r="K465">
        <v>1409</v>
      </c>
      <c r="L465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465" cm="1">
        <f t="array" ref="M465">MAX(IF((ProjectInfoTable[ProjectName]=DiscreteStatsTable[[#This Row],[ProjectName]]),(ProjectInfoTable[ProjectName]=DiscreteStatsTable[[#This Row],[ProjectName]])*ProjectInfoTable[NumberOfReplications]))</f>
        <v>10</v>
      </c>
      <c r="N465" cm="1">
        <f t="array" ref="N465">IFERROR(AVERAGE(IF((DiscreteStatsTable[GroupByKey]=DiscreteStatsTable[[#This Row],[GroupByKey]]),(DiscreteStatsTable[GroupByKey]=DiscreteStatsTable[[#This Row],[GroupByKey]])*DiscreteStatsTable[Average])),0)</f>
        <v>648.63734791108345</v>
      </c>
      <c r="O465" cm="1">
        <f t="array" ref="O465">IFERROR(_xlfn.STDEV.S(IF((DiscreteStatsTable[GroupByKey]=DiscreteStatsTable[[#This Row],[GroupByKey]]),(DiscreteStatsTable[GroupByKey]=DiscreteStatsTable[[#This Row],[GroupByKey]])*DiscreteStatsTable[Average])),0)</f>
        <v>5.4092947484755589</v>
      </c>
      <c r="P46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3.8695763547528403</v>
      </c>
      <c r="R465" cm="1">
        <f t="array" ref="R465">MIN(IF((DiscreteStatsTable[GroupByKey]=DiscreteStatsTable[[#This Row],[GroupByKey]]),(DiscreteStatsTable[GroupByKey]=DiscreteStatsTable[[#This Row],[GroupByKey]])*DiscreteStatsTable[Average]))</f>
        <v>639.97478427335204</v>
      </c>
      <c r="S465" cm="1">
        <f t="array" ref="S465">MAX(IF((DiscreteStatsTable[GroupByKey]=DiscreteStatsTable[[#This Row],[GroupByKey]]),(DiscreteStatsTable[GroupByKey]=DiscreteStatsTable[[#This Row],[GroupByKey]])*DiscreteStatsTable[Average]))</f>
        <v>657.59073514207705</v>
      </c>
      <c r="T465" cm="1">
        <f t="array" ref="T465">MIN(IF((DiscreteStatsTable[GroupByKey]=DiscreteStatsTable[[#This Row],[GroupByKey]]),(DiscreteStatsTable[GroupByKey]=DiscreteStatsTable[[#This Row],[GroupByKey]])*DiscreteStatsTable[Minimum]))</f>
        <v>126.191556433689</v>
      </c>
      <c r="U465" cm="1">
        <f t="array" ref="U465">MAX(IF((DiscreteStatsTable[GroupByKey]=DiscreteStatsTable[[#This Row],[GroupByKey]]),(DiscreteStatsTable[GroupByKey]=DiscreteStatsTable[[#This Row],[GroupByKey]])*DiscreteStatsTable[Maximum]))</f>
        <v>738.20739202885295</v>
      </c>
      <c r="V465" cm="1">
        <f t="array" ref="V465">IFERROR(AVERAGE(IF((DiscreteStatsTable[GroupByKey]=DiscreteStatsTable[[#This Row],[GroupByKey]]),(DiscreteStatsTable[GroupByKey]=DiscreteStatsTable[[#This Row],[GroupByKey]])*DiscreteStatsTable[NumberObservations])),0)</f>
        <v>1412.8</v>
      </c>
      <c r="W465">
        <f>IF((DiscreteStatsTable[[#This Row],[RepsRequested]]&gt;1),DiscreteStatsTable[[#This Row],[HalfWidth]],DiscreteStatsTable[[#This Row],[BatchMeansHalfWidth]])</f>
        <v>3.8695763547528403</v>
      </c>
      <c r="X465" cm="1">
        <f t="array" ref="X465">COUNT(IF((DiscreteStatsTable[GroupByKey]=DiscreteStatsTable[[#This Row],[GroupByKey]]),(DiscreteStatsTable[GroupByKey]=DiscreteStatsTable[[#This Row],[GroupByKey]])*DiscreteStatsTable[Replication]))</f>
        <v>10</v>
      </c>
      <c r="Y465">
        <f>IF(DiscreteStatsTable[[#This Row],[RepsRequested]]=DiscreteStatsTable[[#This Row],[RepsWithStatObserved]],1,0)</f>
        <v>1</v>
      </c>
    </row>
    <row r="466" spans="1:25" x14ac:dyDescent="0.25">
      <c r="A466" t="s">
        <v>67</v>
      </c>
      <c r="B466" t="s">
        <v>243</v>
      </c>
      <c r="C466">
        <v>3</v>
      </c>
      <c r="D466" t="s">
        <v>110</v>
      </c>
      <c r="E466" t="s">
        <v>79</v>
      </c>
      <c r="F466" t="s">
        <v>76</v>
      </c>
      <c r="G466">
        <v>84117.798290527702</v>
      </c>
      <c r="H466">
        <v>3E+20</v>
      </c>
      <c r="I466">
        <v>684.45183624278798</v>
      </c>
      <c r="J466">
        <v>184239.085713487</v>
      </c>
      <c r="K466">
        <v>1409</v>
      </c>
      <c r="L466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466" cm="1">
        <f t="array" ref="M466">MAX(IF((ProjectInfoTable[ProjectName]=DiscreteStatsTable[[#This Row],[ProjectName]]),(ProjectInfoTable[ProjectName]=DiscreteStatsTable[[#This Row],[ProjectName]])*ProjectInfoTable[NumberOfReplications]))</f>
        <v>10</v>
      </c>
      <c r="N466" cm="1">
        <f t="array" ref="N466">IFERROR(AVERAGE(IF((DiscreteStatsTable[GroupByKey]=DiscreteStatsTable[[#This Row],[GroupByKey]]),(DiscreteStatsTable[GroupByKey]=DiscreteStatsTable[[#This Row],[GroupByKey]])*DiscreteStatsTable[Average])),0)</f>
        <v>83209.725766173768</v>
      </c>
      <c r="O466" cm="1">
        <f t="array" ref="O466">IFERROR(_xlfn.STDEV.S(IF((DiscreteStatsTable[GroupByKey]=DiscreteStatsTable[[#This Row],[GroupByKey]]),(DiscreteStatsTable[GroupByKey]=DiscreteStatsTable[[#This Row],[GroupByKey]])*DiscreteStatsTable[Average])),0)</f>
        <v>448.75835323214818</v>
      </c>
      <c r="P466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321.02238709664016</v>
      </c>
      <c r="R466" cm="1">
        <f t="array" ref="R466">MIN(IF((DiscreteStatsTable[GroupByKey]=DiscreteStatsTable[[#This Row],[GroupByKey]]),(DiscreteStatsTable[GroupByKey]=DiscreteStatsTable[[#This Row],[GroupByKey]])*DiscreteStatsTable[Average]))</f>
        <v>82701.3289873717</v>
      </c>
      <c r="S466" cm="1">
        <f t="array" ref="S466">MAX(IF((DiscreteStatsTable[GroupByKey]=DiscreteStatsTable[[#This Row],[GroupByKey]]),(DiscreteStatsTable[GroupByKey]=DiscreteStatsTable[[#This Row],[GroupByKey]])*DiscreteStatsTable[Average]))</f>
        <v>84117.798290527702</v>
      </c>
      <c r="T466" cm="1">
        <f t="array" ref="T466">MIN(IF((DiscreteStatsTable[GroupByKey]=DiscreteStatsTable[[#This Row],[GroupByKey]]),(DiscreteStatsTable[GroupByKey]=DiscreteStatsTable[[#This Row],[GroupByKey]])*DiscreteStatsTable[Minimum]))</f>
        <v>340.54300832225601</v>
      </c>
      <c r="U466" cm="1">
        <f t="array" ref="U466">MAX(IF((DiscreteStatsTable[GroupByKey]=DiscreteStatsTable[[#This Row],[GroupByKey]]),(DiscreteStatsTable[GroupByKey]=DiscreteStatsTable[[#This Row],[GroupByKey]])*DiscreteStatsTable[Maximum]))</f>
        <v>184239.085713487</v>
      </c>
      <c r="V466" cm="1">
        <f t="array" ref="V466">IFERROR(AVERAGE(IF((DiscreteStatsTable[GroupByKey]=DiscreteStatsTable[[#This Row],[GroupByKey]]),(DiscreteStatsTable[GroupByKey]=DiscreteStatsTable[[#This Row],[GroupByKey]])*DiscreteStatsTable[NumberObservations])),0)</f>
        <v>1412.8</v>
      </c>
      <c r="W466">
        <f>IF((DiscreteStatsTable[[#This Row],[RepsRequested]]&gt;1),DiscreteStatsTable[[#This Row],[HalfWidth]],DiscreteStatsTable[[#This Row],[BatchMeansHalfWidth]])</f>
        <v>321.02238709664016</v>
      </c>
      <c r="X466" cm="1">
        <f t="array" ref="X466">COUNT(IF((DiscreteStatsTable[GroupByKey]=DiscreteStatsTable[[#This Row],[GroupByKey]]),(DiscreteStatsTable[GroupByKey]=DiscreteStatsTable[[#This Row],[GroupByKey]])*DiscreteStatsTable[Replication]))</f>
        <v>10</v>
      </c>
      <c r="Y466">
        <f>IF(DiscreteStatsTable[[#This Row],[RepsRequested]]=DiscreteStatsTable[[#This Row],[RepsWithStatObserved]],1,0)</f>
        <v>1</v>
      </c>
    </row>
    <row r="467" spans="1:25" x14ac:dyDescent="0.25">
      <c r="A467" t="s">
        <v>67</v>
      </c>
      <c r="B467" t="s">
        <v>243</v>
      </c>
      <c r="C467">
        <v>3</v>
      </c>
      <c r="D467" t="s">
        <v>110</v>
      </c>
      <c r="E467" t="s">
        <v>80</v>
      </c>
      <c r="F467" t="s">
        <v>76</v>
      </c>
      <c r="G467">
        <v>0</v>
      </c>
      <c r="H467">
        <v>0</v>
      </c>
      <c r="I467">
        <v>0</v>
      </c>
      <c r="J467">
        <v>0</v>
      </c>
      <c r="K467">
        <v>1409</v>
      </c>
      <c r="L467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467" cm="1">
        <f t="array" ref="M467">MAX(IF((ProjectInfoTable[ProjectName]=DiscreteStatsTable[[#This Row],[ProjectName]]),(ProjectInfoTable[ProjectName]=DiscreteStatsTable[[#This Row],[ProjectName]])*ProjectInfoTable[NumberOfReplications]))</f>
        <v>10</v>
      </c>
      <c r="N467" cm="1">
        <f t="array" ref="N467">IFERROR(AVERAGE(IF((DiscreteStatsTable[GroupByKey]=DiscreteStatsTable[[#This Row],[GroupByKey]]),(DiscreteStatsTable[GroupByKey]=DiscreteStatsTable[[#This Row],[GroupByKey]])*DiscreteStatsTable[Average])),0)</f>
        <v>0</v>
      </c>
      <c r="O467" cm="1">
        <f t="array" ref="O467">IFERROR(_xlfn.STDEV.S(IF((DiscreteStatsTable[GroupByKey]=DiscreteStatsTable[[#This Row],[GroupByKey]]),(DiscreteStatsTable[GroupByKey]=DiscreteStatsTable[[#This Row],[GroupByKey]])*DiscreteStatsTable[Average])),0)</f>
        <v>0</v>
      </c>
      <c r="P467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7" cm="1">
        <f t="array" ref="R467">MIN(IF((DiscreteStatsTable[GroupByKey]=DiscreteStatsTable[[#This Row],[GroupByKey]]),(DiscreteStatsTable[GroupByKey]=DiscreteStatsTable[[#This Row],[GroupByKey]])*DiscreteStatsTable[Average]))</f>
        <v>0</v>
      </c>
      <c r="S467" cm="1">
        <f t="array" ref="S467">MAX(IF((DiscreteStatsTable[GroupByKey]=DiscreteStatsTable[[#This Row],[GroupByKey]]),(DiscreteStatsTable[GroupByKey]=DiscreteStatsTable[[#This Row],[GroupByKey]])*DiscreteStatsTable[Average]))</f>
        <v>0</v>
      </c>
      <c r="T467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cm="1">
        <f t="array" ref="U467">MAX(IF((DiscreteStatsTable[GroupByKey]=DiscreteStatsTable[[#This Row],[GroupByKey]]),(DiscreteStatsTable[GroupByKey]=DiscreteStatsTable[[#This Row],[GroupByKey]])*DiscreteStatsTable[Maximum]))</f>
        <v>0</v>
      </c>
      <c r="V467" cm="1">
        <f t="array" ref="V467">IFERROR(AVERAGE(IF((DiscreteStatsTable[GroupByKey]=DiscreteStatsTable[[#This Row],[GroupByKey]]),(DiscreteStatsTable[GroupByKey]=DiscreteStatsTable[[#This Row],[GroupByKey]])*DiscreteStatsTable[NumberObservations])),0)</f>
        <v>1412.8</v>
      </c>
      <c r="W467">
        <f>IF((DiscreteStatsTable[[#This Row],[RepsRequested]]&gt;1),DiscreteStatsTable[[#This Row],[HalfWidth]],DiscreteStatsTable[[#This Row],[BatchMeansHalfWidth]])</f>
        <v>0</v>
      </c>
      <c r="X467" cm="1">
        <f t="array" ref="X467">COUNT(IF((DiscreteStatsTable[GroupByKey]=DiscreteStatsTable[[#This Row],[GroupByKey]]),(DiscreteStatsTable[GroupByKey]=DiscreteStatsTable[[#This Row],[GroupByKey]])*DiscreteStatsTable[Replication]))</f>
        <v>10</v>
      </c>
      <c r="Y467">
        <f>IF(DiscreteStatsTable[[#This Row],[RepsRequested]]=DiscreteStatsTable[[#This Row],[RepsWithStatObserved]],1,0)</f>
        <v>1</v>
      </c>
    </row>
    <row r="468" spans="1:25" x14ac:dyDescent="0.25">
      <c r="A468" t="s">
        <v>67</v>
      </c>
      <c r="B468" t="s">
        <v>243</v>
      </c>
      <c r="C468">
        <v>3</v>
      </c>
      <c r="D468" t="s">
        <v>110</v>
      </c>
      <c r="E468" t="s">
        <v>81</v>
      </c>
      <c r="F468" t="s">
        <v>76</v>
      </c>
      <c r="G468">
        <v>634.57187415999499</v>
      </c>
      <c r="H468">
        <v>7.3817595226102402</v>
      </c>
      <c r="I468">
        <v>123.267585444264</v>
      </c>
      <c r="J468">
        <v>725.62892145654803</v>
      </c>
      <c r="K468">
        <v>1409</v>
      </c>
      <c r="L468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468" cm="1">
        <f t="array" ref="M468">MAX(IF((ProjectInfoTable[ProjectName]=DiscreteStatsTable[[#This Row],[ProjectName]]),(ProjectInfoTable[ProjectName]=DiscreteStatsTable[[#This Row],[ProjectName]])*ProjectInfoTable[NumberOfReplications]))</f>
        <v>10</v>
      </c>
      <c r="N468" cm="1">
        <f t="array" ref="N468">IFERROR(AVERAGE(IF((DiscreteStatsTable[GroupByKey]=DiscreteStatsTable[[#This Row],[GroupByKey]]),(DiscreteStatsTable[GroupByKey]=DiscreteStatsTable[[#This Row],[GroupByKey]])*DiscreteStatsTable[Average])),0)</f>
        <v>633.11198951993958</v>
      </c>
      <c r="O468" cm="1">
        <f t="array" ref="O468">IFERROR(_xlfn.STDEV.S(IF((DiscreteStatsTable[GroupByKey]=DiscreteStatsTable[[#This Row],[GroupByKey]]),(DiscreteStatsTable[GroupByKey]=DiscreteStatsTable[[#This Row],[GroupByKey]])*DiscreteStatsTable[Average])),0)</f>
        <v>5.2185990896039609</v>
      </c>
      <c r="P468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3.733160898240417</v>
      </c>
      <c r="R468" cm="1">
        <f t="array" ref="R468">MIN(IF((DiscreteStatsTable[GroupByKey]=DiscreteStatsTable[[#This Row],[GroupByKey]]),(DiscreteStatsTable[GroupByKey]=DiscreteStatsTable[[#This Row],[GroupByKey]])*DiscreteStatsTable[Average]))</f>
        <v>625.13033962757504</v>
      </c>
      <c r="S468" cm="1">
        <f t="array" ref="S468">MAX(IF((DiscreteStatsTable[GroupByKey]=DiscreteStatsTable[[#This Row],[GroupByKey]]),(DiscreteStatsTable[GroupByKey]=DiscreteStatsTable[[#This Row],[GroupByKey]])*DiscreteStatsTable[Average]))</f>
        <v>642.37502414826099</v>
      </c>
      <c r="T468" cm="1">
        <f t="array" ref="T468">MIN(IF((DiscreteStatsTable[GroupByKey]=DiscreteStatsTable[[#This Row],[GroupByKey]]),(DiscreteStatsTable[GroupByKey]=DiscreteStatsTable[[#This Row],[GroupByKey]])*DiscreteStatsTable[Minimum]))</f>
        <v>121.89425635771499</v>
      </c>
      <c r="U468" cm="1">
        <f t="array" ref="U468">MAX(IF((DiscreteStatsTable[GroupByKey]=DiscreteStatsTable[[#This Row],[GroupByKey]]),(DiscreteStatsTable[GroupByKey]=DiscreteStatsTable[[#This Row],[GroupByKey]])*DiscreteStatsTable[Maximum]))</f>
        <v>725.62892145654803</v>
      </c>
      <c r="V468" cm="1">
        <f t="array" ref="V468">IFERROR(AVERAGE(IF((DiscreteStatsTable[GroupByKey]=DiscreteStatsTable[[#This Row],[GroupByKey]]),(DiscreteStatsTable[GroupByKey]=DiscreteStatsTable[[#This Row],[GroupByKey]])*DiscreteStatsTable[NumberObservations])),0)</f>
        <v>1412.8</v>
      </c>
      <c r="W468">
        <f>IF((DiscreteStatsTable[[#This Row],[RepsRequested]]&gt;1),DiscreteStatsTable[[#This Row],[HalfWidth]],DiscreteStatsTable[[#This Row],[BatchMeansHalfWidth]])</f>
        <v>3.733160898240417</v>
      </c>
      <c r="X468" cm="1">
        <f t="array" ref="X468">COUNT(IF((DiscreteStatsTable[GroupByKey]=DiscreteStatsTable[[#This Row],[GroupByKey]]),(DiscreteStatsTable[GroupByKey]=DiscreteStatsTable[[#This Row],[GroupByKey]])*DiscreteStatsTable[Replication]))</f>
        <v>10</v>
      </c>
      <c r="Y468">
        <f>IF(DiscreteStatsTable[[#This Row],[RepsRequested]]=DiscreteStatsTable[[#This Row],[RepsWithStatObserved]],1,0)</f>
        <v>1</v>
      </c>
    </row>
    <row r="469" spans="1:25" x14ac:dyDescent="0.25">
      <c r="A469" t="s">
        <v>67</v>
      </c>
      <c r="B469" t="s">
        <v>243</v>
      </c>
      <c r="C469">
        <v>3</v>
      </c>
      <c r="D469" t="s">
        <v>110</v>
      </c>
      <c r="E469" t="s">
        <v>82</v>
      </c>
      <c r="F469" t="s">
        <v>76</v>
      </c>
      <c r="G469">
        <v>728712.78790280595</v>
      </c>
      <c r="H469">
        <v>3E+20</v>
      </c>
      <c r="I469">
        <v>3853.3307676268601</v>
      </c>
      <c r="J469">
        <v>1975788.7077699299</v>
      </c>
      <c r="K469">
        <v>1409</v>
      </c>
      <c r="L469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469" cm="1">
        <f t="array" ref="M469">MAX(IF((ProjectInfoTable[ProjectName]=DiscreteStatsTable[[#This Row],[ProjectName]]),(ProjectInfoTable[ProjectName]=DiscreteStatsTable[[#This Row],[ProjectName]])*ProjectInfoTable[NumberOfReplications]))</f>
        <v>10</v>
      </c>
      <c r="N469" cm="1">
        <f t="array" ref="N469">IFERROR(AVERAGE(IF((DiscreteStatsTable[GroupByKey]=DiscreteStatsTable[[#This Row],[GroupByKey]]),(DiscreteStatsTable[GroupByKey]=DiscreteStatsTable[[#This Row],[GroupByKey]])*DiscreteStatsTable[Average])),0)</f>
        <v>715621.63686177903</v>
      </c>
      <c r="O469" cm="1">
        <f t="array" ref="O469">IFERROR(_xlfn.STDEV.S(IF((DiscreteStatsTable[GroupByKey]=DiscreteStatsTable[[#This Row],[GroupByKey]]),(DiscreteStatsTable[GroupByKey]=DiscreteStatsTable[[#This Row],[GroupByKey]])*DiscreteStatsTable[Average])),0)</f>
        <v>7103.5262745156242</v>
      </c>
      <c r="P469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5081.5565772188193</v>
      </c>
      <c r="R469" cm="1">
        <f t="array" ref="R469">MIN(IF((DiscreteStatsTable[GroupByKey]=DiscreteStatsTable[[#This Row],[GroupByKey]]),(DiscreteStatsTable[GroupByKey]=DiscreteStatsTable[[#This Row],[GroupByKey]])*DiscreteStatsTable[Average]))</f>
        <v>706040.14193379204</v>
      </c>
      <c r="S469" cm="1">
        <f t="array" ref="S469">MAX(IF((DiscreteStatsTable[GroupByKey]=DiscreteStatsTable[[#This Row],[GroupByKey]]),(DiscreteStatsTable[GroupByKey]=DiscreteStatsTable[[#This Row],[GroupByKey]])*DiscreteStatsTable[Average]))</f>
        <v>728712.78790280595</v>
      </c>
      <c r="T469" cm="1">
        <f t="array" ref="T469">MIN(IF((DiscreteStatsTable[GroupByKey]=DiscreteStatsTable[[#This Row],[GroupByKey]]),(DiscreteStatsTable[GroupByKey]=DiscreteStatsTable[[#This Row],[GroupByKey]])*DiscreteStatsTable[Minimum]))</f>
        <v>942.11081602343995</v>
      </c>
      <c r="U469" cm="1">
        <f t="array" ref="U469">MAX(IF((DiscreteStatsTable[GroupByKey]=DiscreteStatsTable[[#This Row],[GroupByKey]]),(DiscreteStatsTable[GroupByKey]=DiscreteStatsTable[[#This Row],[GroupByKey]])*DiscreteStatsTable[Maximum]))</f>
        <v>1975788.7077699299</v>
      </c>
      <c r="V469" cm="1">
        <f t="array" ref="V469">IFERROR(AVERAGE(IF((DiscreteStatsTable[GroupByKey]=DiscreteStatsTable[[#This Row],[GroupByKey]]),(DiscreteStatsTable[GroupByKey]=DiscreteStatsTable[[#This Row],[GroupByKey]])*DiscreteStatsTable[NumberObservations])),0)</f>
        <v>1412.8</v>
      </c>
      <c r="W469">
        <f>IF((DiscreteStatsTable[[#This Row],[RepsRequested]]&gt;1),DiscreteStatsTable[[#This Row],[HalfWidth]],DiscreteStatsTable[[#This Row],[BatchMeansHalfWidth]])</f>
        <v>5081.5565772188193</v>
      </c>
      <c r="X469" cm="1">
        <f t="array" ref="X469">COUNT(IF((DiscreteStatsTable[GroupByKey]=DiscreteStatsTable[[#This Row],[GroupByKey]]),(DiscreteStatsTable[GroupByKey]=DiscreteStatsTable[[#This Row],[GroupByKey]])*DiscreteStatsTable[Replication]))</f>
        <v>10</v>
      </c>
      <c r="Y469">
        <f>IF(DiscreteStatsTable[[#This Row],[RepsRequested]]=DiscreteStatsTable[[#This Row],[RepsWithStatObserved]],1,0)</f>
        <v>1</v>
      </c>
    </row>
    <row r="470" spans="1:25" x14ac:dyDescent="0.25">
      <c r="A470" t="s">
        <v>67</v>
      </c>
      <c r="B470" t="s">
        <v>243</v>
      </c>
      <c r="C470">
        <v>4</v>
      </c>
      <c r="D470" t="s">
        <v>110</v>
      </c>
      <c r="E470" t="s">
        <v>77</v>
      </c>
      <c r="F470" t="s">
        <v>76</v>
      </c>
      <c r="G470">
        <v>0</v>
      </c>
      <c r="H470">
        <v>0</v>
      </c>
      <c r="I470">
        <v>0</v>
      </c>
      <c r="J470">
        <v>0</v>
      </c>
      <c r="K470">
        <v>1419</v>
      </c>
      <c r="L470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470" cm="1">
        <f t="array" ref="M470">MAX(IF((ProjectInfoTable[ProjectName]=DiscreteStatsTable[[#This Row],[ProjectName]]),(ProjectInfoTable[ProjectName]=DiscreteStatsTable[[#This Row],[ProjectName]])*ProjectInfoTable[NumberOfReplications]))</f>
        <v>10</v>
      </c>
      <c r="N470" cm="1">
        <f t="array" ref="N470">IFERROR(AVERAGE(IF((DiscreteStatsTable[GroupByKey]=DiscreteStatsTable[[#This Row],[GroupByKey]]),(DiscreteStatsTable[GroupByKey]=DiscreteStatsTable[[#This Row],[GroupByKey]])*DiscreteStatsTable[Average])),0)</f>
        <v>0</v>
      </c>
      <c r="O470" cm="1">
        <f t="array" ref="O470">IFERROR(_xlfn.STDEV.S(IF((DiscreteStatsTable[GroupByKey]=DiscreteStatsTable[[#This Row],[GroupByKey]]),(DiscreteStatsTable[GroupByKey]=DiscreteStatsTable[[#This Row],[GroupByKey]])*DiscreteStatsTable[Average])),0)</f>
        <v>0</v>
      </c>
      <c r="P470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0" cm="1">
        <f t="array" ref="R470">MIN(IF((DiscreteStatsTable[GroupByKey]=DiscreteStatsTable[[#This Row],[GroupByKey]]),(DiscreteStatsTable[GroupByKey]=DiscreteStatsTable[[#This Row],[GroupByKey]])*DiscreteStatsTable[Average]))</f>
        <v>0</v>
      </c>
      <c r="S470" cm="1">
        <f t="array" ref="S470">MAX(IF((DiscreteStatsTable[GroupByKey]=DiscreteStatsTable[[#This Row],[GroupByKey]]),(DiscreteStatsTable[GroupByKey]=DiscreteStatsTable[[#This Row],[GroupByKey]])*DiscreteStatsTable[Average]))</f>
        <v>0</v>
      </c>
      <c r="T470" cm="1">
        <f t="array" ref="T470">MIN(IF((DiscreteStatsTable[GroupByKey]=DiscreteStatsTable[[#This Row],[GroupByKey]]),(DiscreteStatsTable[GroupByKey]=DiscreteStatsTable[[#This Row],[GroupByKey]])*DiscreteStatsTable[Minimum]))</f>
        <v>0</v>
      </c>
      <c r="U470" cm="1">
        <f t="array" ref="U470">MAX(IF((DiscreteStatsTable[GroupByKey]=DiscreteStatsTable[[#This Row],[GroupByKey]]),(DiscreteStatsTable[GroupByKey]=DiscreteStatsTable[[#This Row],[GroupByKey]])*DiscreteStatsTable[Maximum]))</f>
        <v>0</v>
      </c>
      <c r="V470" cm="1">
        <f t="array" ref="V470">IFERROR(AVERAGE(IF((DiscreteStatsTable[GroupByKey]=DiscreteStatsTable[[#This Row],[GroupByKey]]),(DiscreteStatsTable[GroupByKey]=DiscreteStatsTable[[#This Row],[GroupByKey]])*DiscreteStatsTable[NumberObservations])),0)</f>
        <v>1412.8</v>
      </c>
      <c r="W470">
        <f>IF((DiscreteStatsTable[[#This Row],[RepsRequested]]&gt;1),DiscreteStatsTable[[#This Row],[HalfWidth]],DiscreteStatsTable[[#This Row],[BatchMeansHalfWidth]])</f>
        <v>0</v>
      </c>
      <c r="X470" cm="1">
        <f t="array" ref="X470">COUNT(IF((DiscreteStatsTable[GroupByKey]=DiscreteStatsTable[[#This Row],[GroupByKey]]),(DiscreteStatsTable[GroupByKey]=DiscreteStatsTable[[#This Row],[GroupByKey]])*DiscreteStatsTable[Replication]))</f>
        <v>10</v>
      </c>
      <c r="Y470">
        <f>IF(DiscreteStatsTable[[#This Row],[RepsRequested]]=DiscreteStatsTable[[#This Row],[RepsWithStatObserved]],1,0)</f>
        <v>1</v>
      </c>
    </row>
    <row r="471" spans="1:25" x14ac:dyDescent="0.25">
      <c r="A471" t="s">
        <v>67</v>
      </c>
      <c r="B471" t="s">
        <v>243</v>
      </c>
      <c r="C471">
        <v>4</v>
      </c>
      <c r="D471" t="s">
        <v>110</v>
      </c>
      <c r="E471" t="s">
        <v>78</v>
      </c>
      <c r="F471" t="s">
        <v>76</v>
      </c>
      <c r="G471">
        <v>645.05115587212504</v>
      </c>
      <c r="H471">
        <v>8.4993726132939909</v>
      </c>
      <c r="I471">
        <v>127.953085622372</v>
      </c>
      <c r="J471">
        <v>731.50590206490597</v>
      </c>
      <c r="K471">
        <v>1419</v>
      </c>
      <c r="L471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471" cm="1">
        <f t="array" ref="M471">MAX(IF((ProjectInfoTable[ProjectName]=DiscreteStatsTable[[#This Row],[ProjectName]]),(ProjectInfoTable[ProjectName]=DiscreteStatsTable[[#This Row],[ProjectName]])*ProjectInfoTable[NumberOfReplications]))</f>
        <v>10</v>
      </c>
      <c r="N471" cm="1">
        <f t="array" ref="N471">IFERROR(AVERAGE(IF((DiscreteStatsTable[GroupByKey]=DiscreteStatsTable[[#This Row],[GroupByKey]]),(DiscreteStatsTable[GroupByKey]=DiscreteStatsTable[[#This Row],[GroupByKey]])*DiscreteStatsTable[Average])),0)</f>
        <v>648.63734791108345</v>
      </c>
      <c r="O471" cm="1">
        <f t="array" ref="O471">IFERROR(_xlfn.STDEV.S(IF((DiscreteStatsTable[GroupByKey]=DiscreteStatsTable[[#This Row],[GroupByKey]]),(DiscreteStatsTable[GroupByKey]=DiscreteStatsTable[[#This Row],[GroupByKey]])*DiscreteStatsTable[Average])),0)</f>
        <v>5.4092947484755589</v>
      </c>
      <c r="P471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3.8695763547528403</v>
      </c>
      <c r="R471" cm="1">
        <f t="array" ref="R471">MIN(IF((DiscreteStatsTable[GroupByKey]=DiscreteStatsTable[[#This Row],[GroupByKey]]),(DiscreteStatsTable[GroupByKey]=DiscreteStatsTable[[#This Row],[GroupByKey]])*DiscreteStatsTable[Average]))</f>
        <v>639.97478427335204</v>
      </c>
      <c r="S471" cm="1">
        <f t="array" ref="S471">MAX(IF((DiscreteStatsTable[GroupByKey]=DiscreteStatsTable[[#This Row],[GroupByKey]]),(DiscreteStatsTable[GroupByKey]=DiscreteStatsTable[[#This Row],[GroupByKey]])*DiscreteStatsTable[Average]))</f>
        <v>657.59073514207705</v>
      </c>
      <c r="T471" cm="1">
        <f t="array" ref="T471">MIN(IF((DiscreteStatsTable[GroupByKey]=DiscreteStatsTable[[#This Row],[GroupByKey]]),(DiscreteStatsTable[GroupByKey]=DiscreteStatsTable[[#This Row],[GroupByKey]])*DiscreteStatsTable[Minimum]))</f>
        <v>126.191556433689</v>
      </c>
      <c r="U471" cm="1">
        <f t="array" ref="U471">MAX(IF((DiscreteStatsTable[GroupByKey]=DiscreteStatsTable[[#This Row],[GroupByKey]]),(DiscreteStatsTable[GroupByKey]=DiscreteStatsTable[[#This Row],[GroupByKey]])*DiscreteStatsTable[Maximum]))</f>
        <v>738.20739202885295</v>
      </c>
      <c r="V471" cm="1">
        <f t="array" ref="V471">IFERROR(AVERAGE(IF((DiscreteStatsTable[GroupByKey]=DiscreteStatsTable[[#This Row],[GroupByKey]]),(DiscreteStatsTable[GroupByKey]=DiscreteStatsTable[[#This Row],[GroupByKey]])*DiscreteStatsTable[NumberObservations])),0)</f>
        <v>1412.8</v>
      </c>
      <c r="W471">
        <f>IF((DiscreteStatsTable[[#This Row],[RepsRequested]]&gt;1),DiscreteStatsTable[[#This Row],[HalfWidth]],DiscreteStatsTable[[#This Row],[BatchMeansHalfWidth]])</f>
        <v>3.8695763547528403</v>
      </c>
      <c r="X471" cm="1">
        <f t="array" ref="X471">COUNT(IF((DiscreteStatsTable[GroupByKey]=DiscreteStatsTable[[#This Row],[GroupByKey]]),(DiscreteStatsTable[GroupByKey]=DiscreteStatsTable[[#This Row],[GroupByKey]])*DiscreteStatsTable[Replication]))</f>
        <v>10</v>
      </c>
      <c r="Y471">
        <f>IF(DiscreteStatsTable[[#This Row],[RepsRequested]]=DiscreteStatsTable[[#This Row],[RepsWithStatObserved]],1,0)</f>
        <v>1</v>
      </c>
    </row>
    <row r="472" spans="1:25" x14ac:dyDescent="0.25">
      <c r="A472" t="s">
        <v>67</v>
      </c>
      <c r="B472" t="s">
        <v>243</v>
      </c>
      <c r="C472">
        <v>4</v>
      </c>
      <c r="D472" t="s">
        <v>110</v>
      </c>
      <c r="E472" t="s">
        <v>79</v>
      </c>
      <c r="F472" t="s">
        <v>76</v>
      </c>
      <c r="G472">
        <v>83735.954292486305</v>
      </c>
      <c r="H472">
        <v>3E+20</v>
      </c>
      <c r="I472">
        <v>340.54300832225601</v>
      </c>
      <c r="J472">
        <v>183882.82740906801</v>
      </c>
      <c r="K472">
        <v>1419</v>
      </c>
      <c r="L472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472" cm="1">
        <f t="array" ref="M472">MAX(IF((ProjectInfoTable[ProjectName]=DiscreteStatsTable[[#This Row],[ProjectName]]),(ProjectInfoTable[ProjectName]=DiscreteStatsTable[[#This Row],[ProjectName]])*ProjectInfoTable[NumberOfReplications]))</f>
        <v>10</v>
      </c>
      <c r="N472" cm="1">
        <f t="array" ref="N472">IFERROR(AVERAGE(IF((DiscreteStatsTable[GroupByKey]=DiscreteStatsTable[[#This Row],[GroupByKey]]),(DiscreteStatsTable[GroupByKey]=DiscreteStatsTable[[#This Row],[GroupByKey]])*DiscreteStatsTable[Average])),0)</f>
        <v>83209.725766173768</v>
      </c>
      <c r="O472" cm="1">
        <f t="array" ref="O472">IFERROR(_xlfn.STDEV.S(IF((DiscreteStatsTable[GroupByKey]=DiscreteStatsTable[[#This Row],[GroupByKey]]),(DiscreteStatsTable[GroupByKey]=DiscreteStatsTable[[#This Row],[GroupByKey]])*DiscreteStatsTable[Average])),0)</f>
        <v>448.75835323214818</v>
      </c>
      <c r="P472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321.02238709664016</v>
      </c>
      <c r="R472" cm="1">
        <f t="array" ref="R472">MIN(IF((DiscreteStatsTable[GroupByKey]=DiscreteStatsTable[[#This Row],[GroupByKey]]),(DiscreteStatsTable[GroupByKey]=DiscreteStatsTable[[#This Row],[GroupByKey]])*DiscreteStatsTable[Average]))</f>
        <v>82701.3289873717</v>
      </c>
      <c r="S472" cm="1">
        <f t="array" ref="S472">MAX(IF((DiscreteStatsTable[GroupByKey]=DiscreteStatsTable[[#This Row],[GroupByKey]]),(DiscreteStatsTable[GroupByKey]=DiscreteStatsTable[[#This Row],[GroupByKey]])*DiscreteStatsTable[Average]))</f>
        <v>84117.798290527702</v>
      </c>
      <c r="T472" cm="1">
        <f t="array" ref="T472">MIN(IF((DiscreteStatsTable[GroupByKey]=DiscreteStatsTable[[#This Row],[GroupByKey]]),(DiscreteStatsTable[GroupByKey]=DiscreteStatsTable[[#This Row],[GroupByKey]])*DiscreteStatsTable[Minimum]))</f>
        <v>340.54300832225601</v>
      </c>
      <c r="U472" cm="1">
        <f t="array" ref="U472">MAX(IF((DiscreteStatsTable[GroupByKey]=DiscreteStatsTable[[#This Row],[GroupByKey]]),(DiscreteStatsTable[GroupByKey]=DiscreteStatsTable[[#This Row],[GroupByKey]])*DiscreteStatsTable[Maximum]))</f>
        <v>184239.085713487</v>
      </c>
      <c r="V472" cm="1">
        <f t="array" ref="V472">IFERROR(AVERAGE(IF((DiscreteStatsTable[GroupByKey]=DiscreteStatsTable[[#This Row],[GroupByKey]]),(DiscreteStatsTable[GroupByKey]=DiscreteStatsTable[[#This Row],[GroupByKey]])*DiscreteStatsTable[NumberObservations])),0)</f>
        <v>1412.8</v>
      </c>
      <c r="W472">
        <f>IF((DiscreteStatsTable[[#This Row],[RepsRequested]]&gt;1),DiscreteStatsTable[[#This Row],[HalfWidth]],DiscreteStatsTable[[#This Row],[BatchMeansHalfWidth]])</f>
        <v>321.02238709664016</v>
      </c>
      <c r="X472" cm="1">
        <f t="array" ref="X472">COUNT(IF((DiscreteStatsTable[GroupByKey]=DiscreteStatsTable[[#This Row],[GroupByKey]]),(DiscreteStatsTable[GroupByKey]=DiscreteStatsTable[[#This Row],[GroupByKey]])*DiscreteStatsTable[Replication]))</f>
        <v>10</v>
      </c>
      <c r="Y472">
        <f>IF(DiscreteStatsTable[[#This Row],[RepsRequested]]=DiscreteStatsTable[[#This Row],[RepsWithStatObserved]],1,0)</f>
        <v>1</v>
      </c>
    </row>
    <row r="473" spans="1:25" x14ac:dyDescent="0.25">
      <c r="A473" t="s">
        <v>67</v>
      </c>
      <c r="B473" t="s">
        <v>243</v>
      </c>
      <c r="C473">
        <v>4</v>
      </c>
      <c r="D473" t="s">
        <v>110</v>
      </c>
      <c r="E473" t="s">
        <v>80</v>
      </c>
      <c r="F473" t="s">
        <v>76</v>
      </c>
      <c r="G473">
        <v>0</v>
      </c>
      <c r="H473">
        <v>0</v>
      </c>
      <c r="I473">
        <v>0</v>
      </c>
      <c r="J473">
        <v>0</v>
      </c>
      <c r="K473">
        <v>1419</v>
      </c>
      <c r="L473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473" cm="1">
        <f t="array" ref="M473">MAX(IF((ProjectInfoTable[ProjectName]=DiscreteStatsTable[[#This Row],[ProjectName]]),(ProjectInfoTable[ProjectName]=DiscreteStatsTable[[#This Row],[ProjectName]])*ProjectInfoTable[NumberOfReplications]))</f>
        <v>10</v>
      </c>
      <c r="N473" cm="1">
        <f t="array" ref="N473">IFERROR(AVERAGE(IF((DiscreteStatsTable[GroupByKey]=DiscreteStatsTable[[#This Row],[GroupByKey]]),(DiscreteStatsTable[GroupByKey]=DiscreteStatsTable[[#This Row],[GroupByKey]])*DiscreteStatsTable[Average])),0)</f>
        <v>0</v>
      </c>
      <c r="O473" cm="1">
        <f t="array" ref="O473">IFERROR(_xlfn.STDEV.S(IF((DiscreteStatsTable[GroupByKey]=DiscreteStatsTable[[#This Row],[GroupByKey]]),(DiscreteStatsTable[GroupByKey]=DiscreteStatsTable[[#This Row],[GroupByKey]])*DiscreteStatsTable[Average])),0)</f>
        <v>0</v>
      </c>
      <c r="P473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3" cm="1">
        <f t="array" ref="R473">MIN(IF((DiscreteStatsTable[GroupByKey]=DiscreteStatsTable[[#This Row],[GroupByKey]]),(DiscreteStatsTable[GroupByKey]=DiscreteStatsTable[[#This Row],[GroupByKey]])*DiscreteStatsTable[Average]))</f>
        <v>0</v>
      </c>
      <c r="S473" cm="1">
        <f t="array" ref="S473">MAX(IF((DiscreteStatsTable[GroupByKey]=DiscreteStatsTable[[#This Row],[GroupByKey]]),(DiscreteStatsTable[GroupByKey]=DiscreteStatsTable[[#This Row],[GroupByKey]])*DiscreteStatsTable[Average]))</f>
        <v>0</v>
      </c>
      <c r="T473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cm="1">
        <f t="array" ref="U473">MAX(IF((DiscreteStatsTable[GroupByKey]=DiscreteStatsTable[[#This Row],[GroupByKey]]),(DiscreteStatsTable[GroupByKey]=DiscreteStatsTable[[#This Row],[GroupByKey]])*DiscreteStatsTable[Maximum]))</f>
        <v>0</v>
      </c>
      <c r="V473" cm="1">
        <f t="array" ref="V473">IFERROR(AVERAGE(IF((DiscreteStatsTable[GroupByKey]=DiscreteStatsTable[[#This Row],[GroupByKey]]),(DiscreteStatsTable[GroupByKey]=DiscreteStatsTable[[#This Row],[GroupByKey]])*DiscreteStatsTable[NumberObservations])),0)</f>
        <v>1412.8</v>
      </c>
      <c r="W473">
        <f>IF((DiscreteStatsTable[[#This Row],[RepsRequested]]&gt;1),DiscreteStatsTable[[#This Row],[HalfWidth]],DiscreteStatsTable[[#This Row],[BatchMeansHalfWidth]])</f>
        <v>0</v>
      </c>
      <c r="X473" cm="1">
        <f t="array" ref="X473">COUNT(IF((DiscreteStatsTable[GroupByKey]=DiscreteStatsTable[[#This Row],[GroupByKey]]),(DiscreteStatsTable[GroupByKey]=DiscreteStatsTable[[#This Row],[GroupByKey]])*DiscreteStatsTable[Replication]))</f>
        <v>10</v>
      </c>
      <c r="Y473">
        <f>IF(DiscreteStatsTable[[#This Row],[RepsRequested]]=DiscreteStatsTable[[#This Row],[RepsWithStatObserved]],1,0)</f>
        <v>1</v>
      </c>
    </row>
    <row r="474" spans="1:25" x14ac:dyDescent="0.25">
      <c r="A474" t="s">
        <v>67</v>
      </c>
      <c r="B474" t="s">
        <v>243</v>
      </c>
      <c r="C474">
        <v>4</v>
      </c>
      <c r="D474" t="s">
        <v>110</v>
      </c>
      <c r="E474" t="s">
        <v>81</v>
      </c>
      <c r="F474" t="s">
        <v>76</v>
      </c>
      <c r="G474">
        <v>629.999029272396</v>
      </c>
      <c r="H474">
        <v>8.1767326963156108</v>
      </c>
      <c r="I474">
        <v>124.837051651557</v>
      </c>
      <c r="J474">
        <v>721.72722759481996</v>
      </c>
      <c r="K474">
        <v>1419</v>
      </c>
      <c r="L474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474" cm="1">
        <f t="array" ref="M474">MAX(IF((ProjectInfoTable[ProjectName]=DiscreteStatsTable[[#This Row],[ProjectName]]),(ProjectInfoTable[ProjectName]=DiscreteStatsTable[[#This Row],[ProjectName]])*ProjectInfoTable[NumberOfReplications]))</f>
        <v>10</v>
      </c>
      <c r="N474" cm="1">
        <f t="array" ref="N474">IFERROR(AVERAGE(IF((DiscreteStatsTable[GroupByKey]=DiscreteStatsTable[[#This Row],[GroupByKey]]),(DiscreteStatsTable[GroupByKey]=DiscreteStatsTable[[#This Row],[GroupByKey]])*DiscreteStatsTable[Average])),0)</f>
        <v>633.11198951993958</v>
      </c>
      <c r="O474" cm="1">
        <f t="array" ref="O474">IFERROR(_xlfn.STDEV.S(IF((DiscreteStatsTable[GroupByKey]=DiscreteStatsTable[[#This Row],[GroupByKey]]),(DiscreteStatsTable[GroupByKey]=DiscreteStatsTable[[#This Row],[GroupByKey]])*DiscreteStatsTable[Average])),0)</f>
        <v>5.2185990896039609</v>
      </c>
      <c r="P474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3.733160898240417</v>
      </c>
      <c r="R474" cm="1">
        <f t="array" ref="R474">MIN(IF((DiscreteStatsTable[GroupByKey]=DiscreteStatsTable[[#This Row],[GroupByKey]]),(DiscreteStatsTable[GroupByKey]=DiscreteStatsTable[[#This Row],[GroupByKey]])*DiscreteStatsTable[Average]))</f>
        <v>625.13033962757504</v>
      </c>
      <c r="S474" cm="1">
        <f t="array" ref="S474">MAX(IF((DiscreteStatsTable[GroupByKey]=DiscreteStatsTable[[#This Row],[GroupByKey]]),(DiscreteStatsTable[GroupByKey]=DiscreteStatsTable[[#This Row],[GroupByKey]])*DiscreteStatsTable[Average]))</f>
        <v>642.37502414826099</v>
      </c>
      <c r="T474" cm="1">
        <f t="array" ref="T474">MIN(IF((DiscreteStatsTable[GroupByKey]=DiscreteStatsTable[[#This Row],[GroupByKey]]),(DiscreteStatsTable[GroupByKey]=DiscreteStatsTable[[#This Row],[GroupByKey]])*DiscreteStatsTable[Minimum]))</f>
        <v>121.89425635771499</v>
      </c>
      <c r="U474" cm="1">
        <f t="array" ref="U474">MAX(IF((DiscreteStatsTable[GroupByKey]=DiscreteStatsTable[[#This Row],[GroupByKey]]),(DiscreteStatsTable[GroupByKey]=DiscreteStatsTable[[#This Row],[GroupByKey]])*DiscreteStatsTable[Maximum]))</f>
        <v>725.62892145654803</v>
      </c>
      <c r="V474" cm="1">
        <f t="array" ref="V474">IFERROR(AVERAGE(IF((DiscreteStatsTable[GroupByKey]=DiscreteStatsTable[[#This Row],[GroupByKey]]),(DiscreteStatsTable[GroupByKey]=DiscreteStatsTable[[#This Row],[GroupByKey]])*DiscreteStatsTable[NumberObservations])),0)</f>
        <v>1412.8</v>
      </c>
      <c r="W474">
        <f>IF((DiscreteStatsTable[[#This Row],[RepsRequested]]&gt;1),DiscreteStatsTable[[#This Row],[HalfWidth]],DiscreteStatsTable[[#This Row],[BatchMeansHalfWidth]])</f>
        <v>3.733160898240417</v>
      </c>
      <c r="X474" cm="1">
        <f t="array" ref="X474">COUNT(IF((DiscreteStatsTable[GroupByKey]=DiscreteStatsTable[[#This Row],[GroupByKey]]),(DiscreteStatsTable[GroupByKey]=DiscreteStatsTable[[#This Row],[GroupByKey]])*DiscreteStatsTable[Replication]))</f>
        <v>10</v>
      </c>
      <c r="Y474">
        <f>IF(DiscreteStatsTable[[#This Row],[RepsRequested]]=DiscreteStatsTable[[#This Row],[RepsWithStatObserved]],1,0)</f>
        <v>1</v>
      </c>
    </row>
    <row r="475" spans="1:25" x14ac:dyDescent="0.25">
      <c r="A475" t="s">
        <v>67</v>
      </c>
      <c r="B475" t="s">
        <v>243</v>
      </c>
      <c r="C475">
        <v>4</v>
      </c>
      <c r="D475" t="s">
        <v>110</v>
      </c>
      <c r="E475" t="s">
        <v>82</v>
      </c>
      <c r="F475" t="s">
        <v>76</v>
      </c>
      <c r="G475">
        <v>711524.30204477999</v>
      </c>
      <c r="H475">
        <v>3E+20</v>
      </c>
      <c r="I475">
        <v>942.11081602343995</v>
      </c>
      <c r="J475">
        <v>1965441.79934424</v>
      </c>
      <c r="K475">
        <v>1419</v>
      </c>
      <c r="L475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475" cm="1">
        <f t="array" ref="M475">MAX(IF((ProjectInfoTable[ProjectName]=DiscreteStatsTable[[#This Row],[ProjectName]]),(ProjectInfoTable[ProjectName]=DiscreteStatsTable[[#This Row],[ProjectName]])*ProjectInfoTable[NumberOfReplications]))</f>
        <v>10</v>
      </c>
      <c r="N475" cm="1">
        <f t="array" ref="N475">IFERROR(AVERAGE(IF((DiscreteStatsTable[GroupByKey]=DiscreteStatsTable[[#This Row],[GroupByKey]]),(DiscreteStatsTable[GroupByKey]=DiscreteStatsTable[[#This Row],[GroupByKey]])*DiscreteStatsTable[Average])),0)</f>
        <v>715621.63686177903</v>
      </c>
      <c r="O475" cm="1">
        <f t="array" ref="O475">IFERROR(_xlfn.STDEV.S(IF((DiscreteStatsTable[GroupByKey]=DiscreteStatsTable[[#This Row],[GroupByKey]]),(DiscreteStatsTable[GroupByKey]=DiscreteStatsTable[[#This Row],[GroupByKey]])*DiscreteStatsTable[Average])),0)</f>
        <v>7103.5262745156242</v>
      </c>
      <c r="P47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5081.5565772188193</v>
      </c>
      <c r="R475" cm="1">
        <f t="array" ref="R475">MIN(IF((DiscreteStatsTable[GroupByKey]=DiscreteStatsTable[[#This Row],[GroupByKey]]),(DiscreteStatsTable[GroupByKey]=DiscreteStatsTable[[#This Row],[GroupByKey]])*DiscreteStatsTable[Average]))</f>
        <v>706040.14193379204</v>
      </c>
      <c r="S475" cm="1">
        <f t="array" ref="S475">MAX(IF((DiscreteStatsTable[GroupByKey]=DiscreteStatsTable[[#This Row],[GroupByKey]]),(DiscreteStatsTable[GroupByKey]=DiscreteStatsTable[[#This Row],[GroupByKey]])*DiscreteStatsTable[Average]))</f>
        <v>728712.78790280595</v>
      </c>
      <c r="T475" cm="1">
        <f t="array" ref="T475">MIN(IF((DiscreteStatsTable[GroupByKey]=DiscreteStatsTable[[#This Row],[GroupByKey]]),(DiscreteStatsTable[GroupByKey]=DiscreteStatsTable[[#This Row],[GroupByKey]])*DiscreteStatsTable[Minimum]))</f>
        <v>942.11081602343995</v>
      </c>
      <c r="U475" cm="1">
        <f t="array" ref="U475">MAX(IF((DiscreteStatsTable[GroupByKey]=DiscreteStatsTable[[#This Row],[GroupByKey]]),(DiscreteStatsTable[GroupByKey]=DiscreteStatsTable[[#This Row],[GroupByKey]])*DiscreteStatsTable[Maximum]))</f>
        <v>1975788.7077699299</v>
      </c>
      <c r="V475" cm="1">
        <f t="array" ref="V475">IFERROR(AVERAGE(IF((DiscreteStatsTable[GroupByKey]=DiscreteStatsTable[[#This Row],[GroupByKey]]),(DiscreteStatsTable[GroupByKey]=DiscreteStatsTable[[#This Row],[GroupByKey]])*DiscreteStatsTable[NumberObservations])),0)</f>
        <v>1412.8</v>
      </c>
      <c r="W475">
        <f>IF((DiscreteStatsTable[[#This Row],[RepsRequested]]&gt;1),DiscreteStatsTable[[#This Row],[HalfWidth]],DiscreteStatsTable[[#This Row],[BatchMeansHalfWidth]])</f>
        <v>5081.5565772188193</v>
      </c>
      <c r="X475" cm="1">
        <f t="array" ref="X475">COUNT(IF((DiscreteStatsTable[GroupByKey]=DiscreteStatsTable[[#This Row],[GroupByKey]]),(DiscreteStatsTable[GroupByKey]=DiscreteStatsTable[[#This Row],[GroupByKey]])*DiscreteStatsTable[Replication]))</f>
        <v>10</v>
      </c>
      <c r="Y475">
        <f>IF(DiscreteStatsTable[[#This Row],[RepsRequested]]=DiscreteStatsTable[[#This Row],[RepsWithStatObserved]],1,0)</f>
        <v>1</v>
      </c>
    </row>
    <row r="476" spans="1:25" x14ac:dyDescent="0.25">
      <c r="A476" t="s">
        <v>67</v>
      </c>
      <c r="B476" t="s">
        <v>243</v>
      </c>
      <c r="C476">
        <v>5</v>
      </c>
      <c r="D476" t="s">
        <v>110</v>
      </c>
      <c r="E476" t="s">
        <v>77</v>
      </c>
      <c r="F476" t="s">
        <v>76</v>
      </c>
      <c r="G476">
        <v>0</v>
      </c>
      <c r="H476">
        <v>0</v>
      </c>
      <c r="I476">
        <v>0</v>
      </c>
      <c r="J476">
        <v>0</v>
      </c>
      <c r="K476">
        <v>1418</v>
      </c>
      <c r="L476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476" cm="1">
        <f t="array" ref="M476">MAX(IF((ProjectInfoTable[ProjectName]=DiscreteStatsTable[[#This Row],[ProjectName]]),(ProjectInfoTable[ProjectName]=DiscreteStatsTable[[#This Row],[ProjectName]])*ProjectInfoTable[NumberOfReplications]))</f>
        <v>10</v>
      </c>
      <c r="N476" cm="1">
        <f t="array" ref="N476">IFERROR(AVERAGE(IF((DiscreteStatsTable[GroupByKey]=DiscreteStatsTable[[#This Row],[GroupByKey]]),(DiscreteStatsTable[GroupByKey]=DiscreteStatsTable[[#This Row],[GroupByKey]])*DiscreteStatsTable[Average])),0)</f>
        <v>0</v>
      </c>
      <c r="O476" cm="1">
        <f t="array" ref="O476">IFERROR(_xlfn.STDEV.S(IF((DiscreteStatsTable[GroupByKey]=DiscreteStatsTable[[#This Row],[GroupByKey]]),(DiscreteStatsTable[GroupByKey]=DiscreteStatsTable[[#This Row],[GroupByKey]])*DiscreteStatsTable[Average])),0)</f>
        <v>0</v>
      </c>
      <c r="P476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6" cm="1">
        <f t="array" ref="R476">MIN(IF((DiscreteStatsTable[GroupByKey]=DiscreteStatsTable[[#This Row],[GroupByKey]]),(DiscreteStatsTable[GroupByKey]=DiscreteStatsTable[[#This Row],[GroupByKey]])*DiscreteStatsTable[Average]))</f>
        <v>0</v>
      </c>
      <c r="S476" cm="1">
        <f t="array" ref="S476">MAX(IF((DiscreteStatsTable[GroupByKey]=DiscreteStatsTable[[#This Row],[GroupByKey]]),(DiscreteStatsTable[GroupByKey]=DiscreteStatsTable[[#This Row],[GroupByKey]])*DiscreteStatsTable[Average]))</f>
        <v>0</v>
      </c>
      <c r="T476" cm="1">
        <f t="array" ref="T476">MIN(IF((DiscreteStatsTable[GroupByKey]=DiscreteStatsTable[[#This Row],[GroupByKey]]),(DiscreteStatsTable[GroupByKey]=DiscreteStatsTable[[#This Row],[GroupByKey]])*DiscreteStatsTable[Minimum]))</f>
        <v>0</v>
      </c>
      <c r="U476" cm="1">
        <f t="array" ref="U476">MAX(IF((DiscreteStatsTable[GroupByKey]=DiscreteStatsTable[[#This Row],[GroupByKey]]),(DiscreteStatsTable[GroupByKey]=DiscreteStatsTable[[#This Row],[GroupByKey]])*DiscreteStatsTable[Maximum]))</f>
        <v>0</v>
      </c>
      <c r="V476" cm="1">
        <f t="array" ref="V476">IFERROR(AVERAGE(IF((DiscreteStatsTable[GroupByKey]=DiscreteStatsTable[[#This Row],[GroupByKey]]),(DiscreteStatsTable[GroupByKey]=DiscreteStatsTable[[#This Row],[GroupByKey]])*DiscreteStatsTable[NumberObservations])),0)</f>
        <v>1412.8</v>
      </c>
      <c r="W476">
        <f>IF((DiscreteStatsTable[[#This Row],[RepsRequested]]&gt;1),DiscreteStatsTable[[#This Row],[HalfWidth]],DiscreteStatsTable[[#This Row],[BatchMeansHalfWidth]])</f>
        <v>0</v>
      </c>
      <c r="X476" cm="1">
        <f t="array" ref="X476">COUNT(IF((DiscreteStatsTable[GroupByKey]=DiscreteStatsTable[[#This Row],[GroupByKey]]),(DiscreteStatsTable[GroupByKey]=DiscreteStatsTable[[#This Row],[GroupByKey]])*DiscreteStatsTable[Replication]))</f>
        <v>10</v>
      </c>
      <c r="Y476">
        <f>IF(DiscreteStatsTable[[#This Row],[RepsRequested]]=DiscreteStatsTable[[#This Row],[RepsWithStatObserved]],1,0)</f>
        <v>1</v>
      </c>
    </row>
    <row r="477" spans="1:25" x14ac:dyDescent="0.25">
      <c r="A477" t="s">
        <v>67</v>
      </c>
      <c r="B477" t="s">
        <v>243</v>
      </c>
      <c r="C477">
        <v>5</v>
      </c>
      <c r="D477" t="s">
        <v>110</v>
      </c>
      <c r="E477" t="s">
        <v>78</v>
      </c>
      <c r="F477" t="s">
        <v>76</v>
      </c>
      <c r="G477">
        <v>646.422387068445</v>
      </c>
      <c r="H477">
        <v>6.23428406009862</v>
      </c>
      <c r="I477">
        <v>126.191556433689</v>
      </c>
      <c r="J477">
        <v>729.940049106488</v>
      </c>
      <c r="K477">
        <v>1418</v>
      </c>
      <c r="L477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477" cm="1">
        <f t="array" ref="M477">MAX(IF((ProjectInfoTable[ProjectName]=DiscreteStatsTable[[#This Row],[ProjectName]]),(ProjectInfoTable[ProjectName]=DiscreteStatsTable[[#This Row],[ProjectName]])*ProjectInfoTable[NumberOfReplications]))</f>
        <v>10</v>
      </c>
      <c r="N477" cm="1">
        <f t="array" ref="N477">IFERROR(AVERAGE(IF((DiscreteStatsTable[GroupByKey]=DiscreteStatsTable[[#This Row],[GroupByKey]]),(DiscreteStatsTable[GroupByKey]=DiscreteStatsTable[[#This Row],[GroupByKey]])*DiscreteStatsTable[Average])),0)</f>
        <v>648.63734791108345</v>
      </c>
      <c r="O477" cm="1">
        <f t="array" ref="O477">IFERROR(_xlfn.STDEV.S(IF((DiscreteStatsTable[GroupByKey]=DiscreteStatsTable[[#This Row],[GroupByKey]]),(DiscreteStatsTable[GroupByKey]=DiscreteStatsTable[[#This Row],[GroupByKey]])*DiscreteStatsTable[Average])),0)</f>
        <v>5.4092947484755589</v>
      </c>
      <c r="P477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3.8695763547528403</v>
      </c>
      <c r="R477" cm="1">
        <f t="array" ref="R477">MIN(IF((DiscreteStatsTable[GroupByKey]=DiscreteStatsTable[[#This Row],[GroupByKey]]),(DiscreteStatsTable[GroupByKey]=DiscreteStatsTable[[#This Row],[GroupByKey]])*DiscreteStatsTable[Average]))</f>
        <v>639.97478427335204</v>
      </c>
      <c r="S477" cm="1">
        <f t="array" ref="S477">MAX(IF((DiscreteStatsTable[GroupByKey]=DiscreteStatsTable[[#This Row],[GroupByKey]]),(DiscreteStatsTable[GroupByKey]=DiscreteStatsTable[[#This Row],[GroupByKey]])*DiscreteStatsTable[Average]))</f>
        <v>657.59073514207705</v>
      </c>
      <c r="T477" cm="1">
        <f t="array" ref="T477">MIN(IF((DiscreteStatsTable[GroupByKey]=DiscreteStatsTable[[#This Row],[GroupByKey]]),(DiscreteStatsTable[GroupByKey]=DiscreteStatsTable[[#This Row],[GroupByKey]])*DiscreteStatsTable[Minimum]))</f>
        <v>126.191556433689</v>
      </c>
      <c r="U477" cm="1">
        <f t="array" ref="U477">MAX(IF((DiscreteStatsTable[GroupByKey]=DiscreteStatsTable[[#This Row],[GroupByKey]]),(DiscreteStatsTable[GroupByKey]=DiscreteStatsTable[[#This Row],[GroupByKey]])*DiscreteStatsTable[Maximum]))</f>
        <v>738.20739202885295</v>
      </c>
      <c r="V477" cm="1">
        <f t="array" ref="V477">IFERROR(AVERAGE(IF((DiscreteStatsTable[GroupByKey]=DiscreteStatsTable[[#This Row],[GroupByKey]]),(DiscreteStatsTable[GroupByKey]=DiscreteStatsTable[[#This Row],[GroupByKey]])*DiscreteStatsTable[NumberObservations])),0)</f>
        <v>1412.8</v>
      </c>
      <c r="W477">
        <f>IF((DiscreteStatsTable[[#This Row],[RepsRequested]]&gt;1),DiscreteStatsTable[[#This Row],[HalfWidth]],DiscreteStatsTable[[#This Row],[BatchMeansHalfWidth]])</f>
        <v>3.8695763547528403</v>
      </c>
      <c r="X477" cm="1">
        <f t="array" ref="X477">COUNT(IF((DiscreteStatsTable[GroupByKey]=DiscreteStatsTable[[#This Row],[GroupByKey]]),(DiscreteStatsTable[GroupByKey]=DiscreteStatsTable[[#This Row],[GroupByKey]])*DiscreteStatsTable[Replication]))</f>
        <v>10</v>
      </c>
      <c r="Y477">
        <f>IF(DiscreteStatsTable[[#This Row],[RepsRequested]]=DiscreteStatsTable[[#This Row],[RepsWithStatObserved]],1,0)</f>
        <v>1</v>
      </c>
    </row>
    <row r="478" spans="1:25" x14ac:dyDescent="0.25">
      <c r="A478" t="s">
        <v>67</v>
      </c>
      <c r="B478" t="s">
        <v>243</v>
      </c>
      <c r="C478">
        <v>5</v>
      </c>
      <c r="D478" t="s">
        <v>110</v>
      </c>
      <c r="E478" t="s">
        <v>79</v>
      </c>
      <c r="F478" t="s">
        <v>76</v>
      </c>
      <c r="G478">
        <v>83254.393172583907</v>
      </c>
      <c r="H478">
        <v>3E+20</v>
      </c>
      <c r="I478">
        <v>884.45430667438598</v>
      </c>
      <c r="J478">
        <v>179787.31915592501</v>
      </c>
      <c r="K478">
        <v>1418</v>
      </c>
      <c r="L478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478" cm="1">
        <f t="array" ref="M478">MAX(IF((ProjectInfoTable[ProjectName]=DiscreteStatsTable[[#This Row],[ProjectName]]),(ProjectInfoTable[ProjectName]=DiscreteStatsTable[[#This Row],[ProjectName]])*ProjectInfoTable[NumberOfReplications]))</f>
        <v>10</v>
      </c>
      <c r="N478" cm="1">
        <f t="array" ref="N478">IFERROR(AVERAGE(IF((DiscreteStatsTable[GroupByKey]=DiscreteStatsTable[[#This Row],[GroupByKey]]),(DiscreteStatsTable[GroupByKey]=DiscreteStatsTable[[#This Row],[GroupByKey]])*DiscreteStatsTable[Average])),0)</f>
        <v>83209.725766173768</v>
      </c>
      <c r="O478" cm="1">
        <f t="array" ref="O478">IFERROR(_xlfn.STDEV.S(IF((DiscreteStatsTable[GroupByKey]=DiscreteStatsTable[[#This Row],[GroupByKey]]),(DiscreteStatsTable[GroupByKey]=DiscreteStatsTable[[#This Row],[GroupByKey]])*DiscreteStatsTable[Average])),0)</f>
        <v>448.75835323214818</v>
      </c>
      <c r="P478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321.02238709664016</v>
      </c>
      <c r="R478" cm="1">
        <f t="array" ref="R478">MIN(IF((DiscreteStatsTable[GroupByKey]=DiscreteStatsTable[[#This Row],[GroupByKey]]),(DiscreteStatsTable[GroupByKey]=DiscreteStatsTable[[#This Row],[GroupByKey]])*DiscreteStatsTable[Average]))</f>
        <v>82701.3289873717</v>
      </c>
      <c r="S478" cm="1">
        <f t="array" ref="S478">MAX(IF((DiscreteStatsTable[GroupByKey]=DiscreteStatsTable[[#This Row],[GroupByKey]]),(DiscreteStatsTable[GroupByKey]=DiscreteStatsTable[[#This Row],[GroupByKey]])*DiscreteStatsTable[Average]))</f>
        <v>84117.798290527702</v>
      </c>
      <c r="T478" cm="1">
        <f t="array" ref="T478">MIN(IF((DiscreteStatsTable[GroupByKey]=DiscreteStatsTable[[#This Row],[GroupByKey]]),(DiscreteStatsTable[GroupByKey]=DiscreteStatsTable[[#This Row],[GroupByKey]])*DiscreteStatsTable[Minimum]))</f>
        <v>340.54300832225601</v>
      </c>
      <c r="U478" cm="1">
        <f t="array" ref="U478">MAX(IF((DiscreteStatsTable[GroupByKey]=DiscreteStatsTable[[#This Row],[GroupByKey]]),(DiscreteStatsTable[GroupByKey]=DiscreteStatsTable[[#This Row],[GroupByKey]])*DiscreteStatsTable[Maximum]))</f>
        <v>184239.085713487</v>
      </c>
      <c r="V478" cm="1">
        <f t="array" ref="V478">IFERROR(AVERAGE(IF((DiscreteStatsTable[GroupByKey]=DiscreteStatsTable[[#This Row],[GroupByKey]]),(DiscreteStatsTable[GroupByKey]=DiscreteStatsTable[[#This Row],[GroupByKey]])*DiscreteStatsTable[NumberObservations])),0)</f>
        <v>1412.8</v>
      </c>
      <c r="W478">
        <f>IF((DiscreteStatsTable[[#This Row],[RepsRequested]]&gt;1),DiscreteStatsTable[[#This Row],[HalfWidth]],DiscreteStatsTable[[#This Row],[BatchMeansHalfWidth]])</f>
        <v>321.02238709664016</v>
      </c>
      <c r="X478" cm="1">
        <f t="array" ref="X478">COUNT(IF((DiscreteStatsTable[GroupByKey]=DiscreteStatsTable[[#This Row],[GroupByKey]]),(DiscreteStatsTable[GroupByKey]=DiscreteStatsTable[[#This Row],[GroupByKey]])*DiscreteStatsTable[Replication]))</f>
        <v>10</v>
      </c>
      <c r="Y478">
        <f>IF(DiscreteStatsTable[[#This Row],[RepsRequested]]=DiscreteStatsTable[[#This Row],[RepsWithStatObserved]],1,0)</f>
        <v>1</v>
      </c>
    </row>
    <row r="479" spans="1:25" x14ac:dyDescent="0.25">
      <c r="A479" t="s">
        <v>67</v>
      </c>
      <c r="B479" t="s">
        <v>243</v>
      </c>
      <c r="C479">
        <v>5</v>
      </c>
      <c r="D479" t="s">
        <v>110</v>
      </c>
      <c r="E479" t="s">
        <v>80</v>
      </c>
      <c r="F479" t="s">
        <v>76</v>
      </c>
      <c r="G479">
        <v>0</v>
      </c>
      <c r="H479">
        <v>0</v>
      </c>
      <c r="I479">
        <v>0</v>
      </c>
      <c r="J479">
        <v>0</v>
      </c>
      <c r="K479">
        <v>1418</v>
      </c>
      <c r="L479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479" cm="1">
        <f t="array" ref="M479">MAX(IF((ProjectInfoTable[ProjectName]=DiscreteStatsTable[[#This Row],[ProjectName]]),(ProjectInfoTable[ProjectName]=DiscreteStatsTable[[#This Row],[ProjectName]])*ProjectInfoTable[NumberOfReplications]))</f>
        <v>10</v>
      </c>
      <c r="N479" cm="1">
        <f t="array" ref="N479">IFERROR(AVERAGE(IF((DiscreteStatsTable[GroupByKey]=DiscreteStatsTable[[#This Row],[GroupByKey]]),(DiscreteStatsTable[GroupByKey]=DiscreteStatsTable[[#This Row],[GroupByKey]])*DiscreteStatsTable[Average])),0)</f>
        <v>0</v>
      </c>
      <c r="O479" cm="1">
        <f t="array" ref="O479">IFERROR(_xlfn.STDEV.S(IF((DiscreteStatsTable[GroupByKey]=DiscreteStatsTable[[#This Row],[GroupByKey]]),(DiscreteStatsTable[GroupByKey]=DiscreteStatsTable[[#This Row],[GroupByKey]])*DiscreteStatsTable[Average])),0)</f>
        <v>0</v>
      </c>
      <c r="P479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9" cm="1">
        <f t="array" ref="R479">MIN(IF((DiscreteStatsTable[GroupByKey]=DiscreteStatsTable[[#This Row],[GroupByKey]]),(DiscreteStatsTable[GroupByKey]=DiscreteStatsTable[[#This Row],[GroupByKey]])*DiscreteStatsTable[Average]))</f>
        <v>0</v>
      </c>
      <c r="S479" cm="1">
        <f t="array" ref="S479">MAX(IF((DiscreteStatsTable[GroupByKey]=DiscreteStatsTable[[#This Row],[GroupByKey]]),(DiscreteStatsTable[GroupByKey]=DiscreteStatsTable[[#This Row],[GroupByKey]])*DiscreteStatsTable[Average]))</f>
        <v>0</v>
      </c>
      <c r="T479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cm="1">
        <f t="array" ref="U479">MAX(IF((DiscreteStatsTable[GroupByKey]=DiscreteStatsTable[[#This Row],[GroupByKey]]),(DiscreteStatsTable[GroupByKey]=DiscreteStatsTable[[#This Row],[GroupByKey]])*DiscreteStatsTable[Maximum]))</f>
        <v>0</v>
      </c>
      <c r="V479" cm="1">
        <f t="array" ref="V479">IFERROR(AVERAGE(IF((DiscreteStatsTable[GroupByKey]=DiscreteStatsTable[[#This Row],[GroupByKey]]),(DiscreteStatsTable[GroupByKey]=DiscreteStatsTable[[#This Row],[GroupByKey]])*DiscreteStatsTable[NumberObservations])),0)</f>
        <v>1412.8</v>
      </c>
      <c r="W479">
        <f>IF((DiscreteStatsTable[[#This Row],[RepsRequested]]&gt;1),DiscreteStatsTable[[#This Row],[HalfWidth]],DiscreteStatsTable[[#This Row],[BatchMeansHalfWidth]])</f>
        <v>0</v>
      </c>
      <c r="X479" cm="1">
        <f t="array" ref="X479">COUNT(IF((DiscreteStatsTable[GroupByKey]=DiscreteStatsTable[[#This Row],[GroupByKey]]),(DiscreteStatsTable[GroupByKey]=DiscreteStatsTable[[#This Row],[GroupByKey]])*DiscreteStatsTable[Replication]))</f>
        <v>10</v>
      </c>
      <c r="Y479">
        <f>IF(DiscreteStatsTable[[#This Row],[RepsRequested]]=DiscreteStatsTable[[#This Row],[RepsWithStatObserved]],1,0)</f>
        <v>1</v>
      </c>
    </row>
    <row r="480" spans="1:25" x14ac:dyDescent="0.25">
      <c r="A480" t="s">
        <v>67</v>
      </c>
      <c r="B480" t="s">
        <v>243</v>
      </c>
      <c r="C480">
        <v>5</v>
      </c>
      <c r="D480" t="s">
        <v>110</v>
      </c>
      <c r="E480" t="s">
        <v>81</v>
      </c>
      <c r="F480" t="s">
        <v>76</v>
      </c>
      <c r="G480">
        <v>630.98830011825601</v>
      </c>
      <c r="H480">
        <v>6.0818357478773697</v>
      </c>
      <c r="I480">
        <v>124.78553886432201</v>
      </c>
      <c r="J480">
        <v>713.34737166957404</v>
      </c>
      <c r="K480">
        <v>1418</v>
      </c>
      <c r="L480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480" cm="1">
        <f t="array" ref="M480">MAX(IF((ProjectInfoTable[ProjectName]=DiscreteStatsTable[[#This Row],[ProjectName]]),(ProjectInfoTable[ProjectName]=DiscreteStatsTable[[#This Row],[ProjectName]])*ProjectInfoTable[NumberOfReplications]))</f>
        <v>10</v>
      </c>
      <c r="N480" cm="1">
        <f t="array" ref="N480">IFERROR(AVERAGE(IF((DiscreteStatsTable[GroupByKey]=DiscreteStatsTable[[#This Row],[GroupByKey]]),(DiscreteStatsTable[GroupByKey]=DiscreteStatsTable[[#This Row],[GroupByKey]])*DiscreteStatsTable[Average])),0)</f>
        <v>633.11198951993958</v>
      </c>
      <c r="O480" cm="1">
        <f t="array" ref="O480">IFERROR(_xlfn.STDEV.S(IF((DiscreteStatsTable[GroupByKey]=DiscreteStatsTable[[#This Row],[GroupByKey]]),(DiscreteStatsTable[GroupByKey]=DiscreteStatsTable[[#This Row],[GroupByKey]])*DiscreteStatsTable[Average])),0)</f>
        <v>5.2185990896039609</v>
      </c>
      <c r="P480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3.733160898240417</v>
      </c>
      <c r="R480" cm="1">
        <f t="array" ref="R480">MIN(IF((DiscreteStatsTable[GroupByKey]=DiscreteStatsTable[[#This Row],[GroupByKey]]),(DiscreteStatsTable[GroupByKey]=DiscreteStatsTable[[#This Row],[GroupByKey]])*DiscreteStatsTable[Average]))</f>
        <v>625.13033962757504</v>
      </c>
      <c r="S480" cm="1">
        <f t="array" ref="S480">MAX(IF((DiscreteStatsTable[GroupByKey]=DiscreteStatsTable[[#This Row],[GroupByKey]]),(DiscreteStatsTable[GroupByKey]=DiscreteStatsTable[[#This Row],[GroupByKey]])*DiscreteStatsTable[Average]))</f>
        <v>642.37502414826099</v>
      </c>
      <c r="T480" cm="1">
        <f t="array" ref="T480">MIN(IF((DiscreteStatsTable[GroupByKey]=DiscreteStatsTable[[#This Row],[GroupByKey]]),(DiscreteStatsTable[GroupByKey]=DiscreteStatsTable[[#This Row],[GroupByKey]])*DiscreteStatsTable[Minimum]))</f>
        <v>121.89425635771499</v>
      </c>
      <c r="U480" cm="1">
        <f t="array" ref="U480">MAX(IF((DiscreteStatsTable[GroupByKey]=DiscreteStatsTable[[#This Row],[GroupByKey]]),(DiscreteStatsTable[GroupByKey]=DiscreteStatsTable[[#This Row],[GroupByKey]])*DiscreteStatsTable[Maximum]))</f>
        <v>725.62892145654803</v>
      </c>
      <c r="V480" cm="1">
        <f t="array" ref="V480">IFERROR(AVERAGE(IF((DiscreteStatsTable[GroupByKey]=DiscreteStatsTable[[#This Row],[GroupByKey]]),(DiscreteStatsTable[GroupByKey]=DiscreteStatsTable[[#This Row],[GroupByKey]])*DiscreteStatsTable[NumberObservations])),0)</f>
        <v>1412.8</v>
      </c>
      <c r="W480">
        <f>IF((DiscreteStatsTable[[#This Row],[RepsRequested]]&gt;1),DiscreteStatsTable[[#This Row],[HalfWidth]],DiscreteStatsTable[[#This Row],[BatchMeansHalfWidth]])</f>
        <v>3.733160898240417</v>
      </c>
      <c r="X480" cm="1">
        <f t="array" ref="X480">COUNT(IF((DiscreteStatsTable[GroupByKey]=DiscreteStatsTable[[#This Row],[GroupByKey]]),(DiscreteStatsTable[GroupByKey]=DiscreteStatsTable[[#This Row],[GroupByKey]])*DiscreteStatsTable[Replication]))</f>
        <v>10</v>
      </c>
      <c r="Y480">
        <f>IF(DiscreteStatsTable[[#This Row],[RepsRequested]]=DiscreteStatsTable[[#This Row],[RepsWithStatObserved]],1,0)</f>
        <v>1</v>
      </c>
    </row>
    <row r="481" spans="1:25" x14ac:dyDescent="0.25">
      <c r="A481" t="s">
        <v>67</v>
      </c>
      <c r="B481" t="s">
        <v>243</v>
      </c>
      <c r="C481">
        <v>5</v>
      </c>
      <c r="D481" t="s">
        <v>110</v>
      </c>
      <c r="E481" t="s">
        <v>82</v>
      </c>
      <c r="F481" t="s">
        <v>76</v>
      </c>
      <c r="G481">
        <v>716742.30932452006</v>
      </c>
      <c r="H481">
        <v>3E+20</v>
      </c>
      <c r="I481">
        <v>2958.0673525198499</v>
      </c>
      <c r="J481">
        <v>1965205.0103320901</v>
      </c>
      <c r="K481">
        <v>1418</v>
      </c>
      <c r="L481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481" cm="1">
        <f t="array" ref="M481">MAX(IF((ProjectInfoTable[ProjectName]=DiscreteStatsTable[[#This Row],[ProjectName]]),(ProjectInfoTable[ProjectName]=DiscreteStatsTable[[#This Row],[ProjectName]])*ProjectInfoTable[NumberOfReplications]))</f>
        <v>10</v>
      </c>
      <c r="N481" cm="1">
        <f t="array" ref="N481">IFERROR(AVERAGE(IF((DiscreteStatsTable[GroupByKey]=DiscreteStatsTable[[#This Row],[GroupByKey]]),(DiscreteStatsTable[GroupByKey]=DiscreteStatsTable[[#This Row],[GroupByKey]])*DiscreteStatsTable[Average])),0)</f>
        <v>715621.63686177903</v>
      </c>
      <c r="O481" cm="1">
        <f t="array" ref="O481">IFERROR(_xlfn.STDEV.S(IF((DiscreteStatsTable[GroupByKey]=DiscreteStatsTable[[#This Row],[GroupByKey]]),(DiscreteStatsTable[GroupByKey]=DiscreteStatsTable[[#This Row],[GroupByKey]])*DiscreteStatsTable[Average])),0)</f>
        <v>7103.5262745156242</v>
      </c>
      <c r="P481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5081.5565772188193</v>
      </c>
      <c r="R481" cm="1">
        <f t="array" ref="R481">MIN(IF((DiscreteStatsTable[GroupByKey]=DiscreteStatsTable[[#This Row],[GroupByKey]]),(DiscreteStatsTable[GroupByKey]=DiscreteStatsTable[[#This Row],[GroupByKey]])*DiscreteStatsTable[Average]))</f>
        <v>706040.14193379204</v>
      </c>
      <c r="S481" cm="1">
        <f t="array" ref="S481">MAX(IF((DiscreteStatsTable[GroupByKey]=DiscreteStatsTable[[#This Row],[GroupByKey]]),(DiscreteStatsTable[GroupByKey]=DiscreteStatsTable[[#This Row],[GroupByKey]])*DiscreteStatsTable[Average]))</f>
        <v>728712.78790280595</v>
      </c>
      <c r="T481" cm="1">
        <f t="array" ref="T481">MIN(IF((DiscreteStatsTable[GroupByKey]=DiscreteStatsTable[[#This Row],[GroupByKey]]),(DiscreteStatsTable[GroupByKey]=DiscreteStatsTable[[#This Row],[GroupByKey]])*DiscreteStatsTable[Minimum]))</f>
        <v>942.11081602343995</v>
      </c>
      <c r="U481" cm="1">
        <f t="array" ref="U481">MAX(IF((DiscreteStatsTable[GroupByKey]=DiscreteStatsTable[[#This Row],[GroupByKey]]),(DiscreteStatsTable[GroupByKey]=DiscreteStatsTable[[#This Row],[GroupByKey]])*DiscreteStatsTable[Maximum]))</f>
        <v>1975788.7077699299</v>
      </c>
      <c r="V481" cm="1">
        <f t="array" ref="V481">IFERROR(AVERAGE(IF((DiscreteStatsTable[GroupByKey]=DiscreteStatsTable[[#This Row],[GroupByKey]]),(DiscreteStatsTable[GroupByKey]=DiscreteStatsTable[[#This Row],[GroupByKey]])*DiscreteStatsTable[NumberObservations])),0)</f>
        <v>1412.8</v>
      </c>
      <c r="W481">
        <f>IF((DiscreteStatsTable[[#This Row],[RepsRequested]]&gt;1),DiscreteStatsTable[[#This Row],[HalfWidth]],DiscreteStatsTable[[#This Row],[BatchMeansHalfWidth]])</f>
        <v>5081.5565772188193</v>
      </c>
      <c r="X481" cm="1">
        <f t="array" ref="X481">COUNT(IF((DiscreteStatsTable[GroupByKey]=DiscreteStatsTable[[#This Row],[GroupByKey]]),(DiscreteStatsTable[GroupByKey]=DiscreteStatsTable[[#This Row],[GroupByKey]])*DiscreteStatsTable[Replication]))</f>
        <v>10</v>
      </c>
      <c r="Y481">
        <f>IF(DiscreteStatsTable[[#This Row],[RepsRequested]]=DiscreteStatsTable[[#This Row],[RepsWithStatObserved]],1,0)</f>
        <v>1</v>
      </c>
    </row>
    <row r="482" spans="1:25" x14ac:dyDescent="0.25">
      <c r="A482" t="s">
        <v>67</v>
      </c>
      <c r="B482" t="s">
        <v>243</v>
      </c>
      <c r="C482">
        <v>6</v>
      </c>
      <c r="D482" t="s">
        <v>110</v>
      </c>
      <c r="E482" t="s">
        <v>77</v>
      </c>
      <c r="F482" t="s">
        <v>76</v>
      </c>
      <c r="G482">
        <v>0</v>
      </c>
      <c r="H482">
        <v>0</v>
      </c>
      <c r="I482">
        <v>0</v>
      </c>
      <c r="J482">
        <v>0</v>
      </c>
      <c r="K482">
        <v>1393</v>
      </c>
      <c r="L482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482" cm="1">
        <f t="array" ref="M482">MAX(IF((ProjectInfoTable[ProjectName]=DiscreteStatsTable[[#This Row],[ProjectName]]),(ProjectInfoTable[ProjectName]=DiscreteStatsTable[[#This Row],[ProjectName]])*ProjectInfoTable[NumberOfReplications]))</f>
        <v>10</v>
      </c>
      <c r="N482" cm="1">
        <f t="array" ref="N482">IFERROR(AVERAGE(IF((DiscreteStatsTable[GroupByKey]=DiscreteStatsTable[[#This Row],[GroupByKey]]),(DiscreteStatsTable[GroupByKey]=DiscreteStatsTable[[#This Row],[GroupByKey]])*DiscreteStatsTable[Average])),0)</f>
        <v>0</v>
      </c>
      <c r="O482" cm="1">
        <f t="array" ref="O482">IFERROR(_xlfn.STDEV.S(IF((DiscreteStatsTable[GroupByKey]=DiscreteStatsTable[[#This Row],[GroupByKey]]),(DiscreteStatsTable[GroupByKey]=DiscreteStatsTable[[#This Row],[GroupByKey]])*DiscreteStatsTable[Average])),0)</f>
        <v>0</v>
      </c>
      <c r="P482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2" cm="1">
        <f t="array" ref="R482">MIN(IF((DiscreteStatsTable[GroupByKey]=DiscreteStatsTable[[#This Row],[GroupByKey]]),(DiscreteStatsTable[GroupByKey]=DiscreteStatsTable[[#This Row],[GroupByKey]])*DiscreteStatsTable[Average]))</f>
        <v>0</v>
      </c>
      <c r="S482" cm="1">
        <f t="array" ref="S482">MAX(IF((DiscreteStatsTable[GroupByKey]=DiscreteStatsTable[[#This Row],[GroupByKey]]),(DiscreteStatsTable[GroupByKey]=DiscreteStatsTable[[#This Row],[GroupByKey]])*DiscreteStatsTable[Average]))</f>
        <v>0</v>
      </c>
      <c r="T482" cm="1">
        <f t="array" ref="T482">MIN(IF((DiscreteStatsTable[GroupByKey]=DiscreteStatsTable[[#This Row],[GroupByKey]]),(DiscreteStatsTable[GroupByKey]=DiscreteStatsTable[[#This Row],[GroupByKey]])*DiscreteStatsTable[Minimum]))</f>
        <v>0</v>
      </c>
      <c r="U482" cm="1">
        <f t="array" ref="U482">MAX(IF((DiscreteStatsTable[GroupByKey]=DiscreteStatsTable[[#This Row],[GroupByKey]]),(DiscreteStatsTable[GroupByKey]=DiscreteStatsTable[[#This Row],[GroupByKey]])*DiscreteStatsTable[Maximum]))</f>
        <v>0</v>
      </c>
      <c r="V482" cm="1">
        <f t="array" ref="V482">IFERROR(AVERAGE(IF((DiscreteStatsTable[GroupByKey]=DiscreteStatsTable[[#This Row],[GroupByKey]]),(DiscreteStatsTable[GroupByKey]=DiscreteStatsTable[[#This Row],[GroupByKey]])*DiscreteStatsTable[NumberObservations])),0)</f>
        <v>1412.8</v>
      </c>
      <c r="W482">
        <f>IF((DiscreteStatsTable[[#This Row],[RepsRequested]]&gt;1),DiscreteStatsTable[[#This Row],[HalfWidth]],DiscreteStatsTable[[#This Row],[BatchMeansHalfWidth]])</f>
        <v>0</v>
      </c>
      <c r="X482" cm="1">
        <f t="array" ref="X482">COUNT(IF((DiscreteStatsTable[GroupByKey]=DiscreteStatsTable[[#This Row],[GroupByKey]]),(DiscreteStatsTable[GroupByKey]=DiscreteStatsTable[[#This Row],[GroupByKey]])*DiscreteStatsTable[Replication]))</f>
        <v>10</v>
      </c>
      <c r="Y482">
        <f>IF(DiscreteStatsTable[[#This Row],[RepsRequested]]=DiscreteStatsTable[[#This Row],[RepsWithStatObserved]],1,0)</f>
        <v>1</v>
      </c>
    </row>
    <row r="483" spans="1:25" x14ac:dyDescent="0.25">
      <c r="A483" t="s">
        <v>67</v>
      </c>
      <c r="B483" t="s">
        <v>243</v>
      </c>
      <c r="C483">
        <v>6</v>
      </c>
      <c r="D483" t="s">
        <v>110</v>
      </c>
      <c r="E483" t="s">
        <v>78</v>
      </c>
      <c r="F483" t="s">
        <v>76</v>
      </c>
      <c r="G483">
        <v>657.59073514207705</v>
      </c>
      <c r="H483">
        <v>8.3879655551301102</v>
      </c>
      <c r="I483">
        <v>127.487319416541</v>
      </c>
      <c r="J483">
        <v>730.96819828002504</v>
      </c>
      <c r="K483">
        <v>1393</v>
      </c>
      <c r="L483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483" cm="1">
        <f t="array" ref="M483">MAX(IF((ProjectInfoTable[ProjectName]=DiscreteStatsTable[[#This Row],[ProjectName]]),(ProjectInfoTable[ProjectName]=DiscreteStatsTable[[#This Row],[ProjectName]])*ProjectInfoTable[NumberOfReplications]))</f>
        <v>10</v>
      </c>
      <c r="N483" cm="1">
        <f t="array" ref="N483">IFERROR(AVERAGE(IF((DiscreteStatsTable[GroupByKey]=DiscreteStatsTable[[#This Row],[GroupByKey]]),(DiscreteStatsTable[GroupByKey]=DiscreteStatsTable[[#This Row],[GroupByKey]])*DiscreteStatsTable[Average])),0)</f>
        <v>648.63734791108345</v>
      </c>
      <c r="O483" cm="1">
        <f t="array" ref="O483">IFERROR(_xlfn.STDEV.S(IF((DiscreteStatsTable[GroupByKey]=DiscreteStatsTable[[#This Row],[GroupByKey]]),(DiscreteStatsTable[GroupByKey]=DiscreteStatsTable[[#This Row],[GroupByKey]])*DiscreteStatsTable[Average])),0)</f>
        <v>5.4092947484755589</v>
      </c>
      <c r="P483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3.8695763547528403</v>
      </c>
      <c r="R483" cm="1">
        <f t="array" ref="R483">MIN(IF((DiscreteStatsTable[GroupByKey]=DiscreteStatsTable[[#This Row],[GroupByKey]]),(DiscreteStatsTable[GroupByKey]=DiscreteStatsTable[[#This Row],[GroupByKey]])*DiscreteStatsTable[Average]))</f>
        <v>639.97478427335204</v>
      </c>
      <c r="S483" cm="1">
        <f t="array" ref="S483">MAX(IF((DiscreteStatsTable[GroupByKey]=DiscreteStatsTable[[#This Row],[GroupByKey]]),(DiscreteStatsTable[GroupByKey]=DiscreteStatsTable[[#This Row],[GroupByKey]])*DiscreteStatsTable[Average]))</f>
        <v>657.59073514207705</v>
      </c>
      <c r="T483" cm="1">
        <f t="array" ref="T483">MIN(IF((DiscreteStatsTable[GroupByKey]=DiscreteStatsTable[[#This Row],[GroupByKey]]),(DiscreteStatsTable[GroupByKey]=DiscreteStatsTable[[#This Row],[GroupByKey]])*DiscreteStatsTable[Minimum]))</f>
        <v>126.191556433689</v>
      </c>
      <c r="U483" cm="1">
        <f t="array" ref="U483">MAX(IF((DiscreteStatsTable[GroupByKey]=DiscreteStatsTable[[#This Row],[GroupByKey]]),(DiscreteStatsTable[GroupByKey]=DiscreteStatsTable[[#This Row],[GroupByKey]])*DiscreteStatsTable[Maximum]))</f>
        <v>738.20739202885295</v>
      </c>
      <c r="V483" cm="1">
        <f t="array" ref="V483">IFERROR(AVERAGE(IF((DiscreteStatsTable[GroupByKey]=DiscreteStatsTable[[#This Row],[GroupByKey]]),(DiscreteStatsTable[GroupByKey]=DiscreteStatsTable[[#This Row],[GroupByKey]])*DiscreteStatsTable[NumberObservations])),0)</f>
        <v>1412.8</v>
      </c>
      <c r="W483">
        <f>IF((DiscreteStatsTable[[#This Row],[RepsRequested]]&gt;1),DiscreteStatsTable[[#This Row],[HalfWidth]],DiscreteStatsTable[[#This Row],[BatchMeansHalfWidth]])</f>
        <v>3.8695763547528403</v>
      </c>
      <c r="X483" cm="1">
        <f t="array" ref="X483">COUNT(IF((DiscreteStatsTable[GroupByKey]=DiscreteStatsTable[[#This Row],[GroupByKey]]),(DiscreteStatsTable[GroupByKey]=DiscreteStatsTable[[#This Row],[GroupByKey]])*DiscreteStatsTable[Replication]))</f>
        <v>10</v>
      </c>
      <c r="Y483">
        <f>IF(DiscreteStatsTable[[#This Row],[RepsRequested]]=DiscreteStatsTable[[#This Row],[RepsWithStatObserved]],1,0)</f>
        <v>1</v>
      </c>
    </row>
    <row r="484" spans="1:25" x14ac:dyDescent="0.25">
      <c r="A484" t="s">
        <v>67</v>
      </c>
      <c r="B484" t="s">
        <v>243</v>
      </c>
      <c r="C484">
        <v>6</v>
      </c>
      <c r="D484" t="s">
        <v>110</v>
      </c>
      <c r="E484" t="s">
        <v>79</v>
      </c>
      <c r="F484" t="s">
        <v>76</v>
      </c>
      <c r="G484">
        <v>83031.4168746004</v>
      </c>
      <c r="H484">
        <v>3E+20</v>
      </c>
      <c r="I484">
        <v>653.19285884051703</v>
      </c>
      <c r="J484">
        <v>179889.29927831801</v>
      </c>
      <c r="K484">
        <v>1393</v>
      </c>
      <c r="L484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484" cm="1">
        <f t="array" ref="M484">MAX(IF((ProjectInfoTable[ProjectName]=DiscreteStatsTable[[#This Row],[ProjectName]]),(ProjectInfoTable[ProjectName]=DiscreteStatsTable[[#This Row],[ProjectName]])*ProjectInfoTable[NumberOfReplications]))</f>
        <v>10</v>
      </c>
      <c r="N484" cm="1">
        <f t="array" ref="N484">IFERROR(AVERAGE(IF((DiscreteStatsTable[GroupByKey]=DiscreteStatsTable[[#This Row],[GroupByKey]]),(DiscreteStatsTable[GroupByKey]=DiscreteStatsTable[[#This Row],[GroupByKey]])*DiscreteStatsTable[Average])),0)</f>
        <v>83209.725766173768</v>
      </c>
      <c r="O484" cm="1">
        <f t="array" ref="O484">IFERROR(_xlfn.STDEV.S(IF((DiscreteStatsTable[GroupByKey]=DiscreteStatsTable[[#This Row],[GroupByKey]]),(DiscreteStatsTable[GroupByKey]=DiscreteStatsTable[[#This Row],[GroupByKey]])*DiscreteStatsTable[Average])),0)</f>
        <v>448.75835323214818</v>
      </c>
      <c r="P484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321.02238709664016</v>
      </c>
      <c r="R484" cm="1">
        <f t="array" ref="R484">MIN(IF((DiscreteStatsTable[GroupByKey]=DiscreteStatsTable[[#This Row],[GroupByKey]]),(DiscreteStatsTable[GroupByKey]=DiscreteStatsTable[[#This Row],[GroupByKey]])*DiscreteStatsTable[Average]))</f>
        <v>82701.3289873717</v>
      </c>
      <c r="S484" cm="1">
        <f t="array" ref="S484">MAX(IF((DiscreteStatsTable[GroupByKey]=DiscreteStatsTable[[#This Row],[GroupByKey]]),(DiscreteStatsTable[GroupByKey]=DiscreteStatsTable[[#This Row],[GroupByKey]])*DiscreteStatsTable[Average]))</f>
        <v>84117.798290527702</v>
      </c>
      <c r="T484" cm="1">
        <f t="array" ref="T484">MIN(IF((DiscreteStatsTable[GroupByKey]=DiscreteStatsTable[[#This Row],[GroupByKey]]),(DiscreteStatsTable[GroupByKey]=DiscreteStatsTable[[#This Row],[GroupByKey]])*DiscreteStatsTable[Minimum]))</f>
        <v>340.54300832225601</v>
      </c>
      <c r="U484" cm="1">
        <f t="array" ref="U484">MAX(IF((DiscreteStatsTable[GroupByKey]=DiscreteStatsTable[[#This Row],[GroupByKey]]),(DiscreteStatsTable[GroupByKey]=DiscreteStatsTable[[#This Row],[GroupByKey]])*DiscreteStatsTable[Maximum]))</f>
        <v>184239.085713487</v>
      </c>
      <c r="V484" cm="1">
        <f t="array" ref="V484">IFERROR(AVERAGE(IF((DiscreteStatsTable[GroupByKey]=DiscreteStatsTable[[#This Row],[GroupByKey]]),(DiscreteStatsTable[GroupByKey]=DiscreteStatsTable[[#This Row],[GroupByKey]])*DiscreteStatsTable[NumberObservations])),0)</f>
        <v>1412.8</v>
      </c>
      <c r="W484">
        <f>IF((DiscreteStatsTable[[#This Row],[RepsRequested]]&gt;1),DiscreteStatsTable[[#This Row],[HalfWidth]],DiscreteStatsTable[[#This Row],[BatchMeansHalfWidth]])</f>
        <v>321.02238709664016</v>
      </c>
      <c r="X484" cm="1">
        <f t="array" ref="X484">COUNT(IF((DiscreteStatsTable[GroupByKey]=DiscreteStatsTable[[#This Row],[GroupByKey]]),(DiscreteStatsTable[GroupByKey]=DiscreteStatsTable[[#This Row],[GroupByKey]])*DiscreteStatsTable[Replication]))</f>
        <v>10</v>
      </c>
      <c r="Y484">
        <f>IF(DiscreteStatsTable[[#This Row],[RepsRequested]]=DiscreteStatsTable[[#This Row],[RepsWithStatObserved]],1,0)</f>
        <v>1</v>
      </c>
    </row>
    <row r="485" spans="1:25" x14ac:dyDescent="0.25">
      <c r="A485" t="s">
        <v>67</v>
      </c>
      <c r="B485" t="s">
        <v>243</v>
      </c>
      <c r="C485">
        <v>6</v>
      </c>
      <c r="D485" t="s">
        <v>110</v>
      </c>
      <c r="E485" t="s">
        <v>80</v>
      </c>
      <c r="F485" t="s">
        <v>76</v>
      </c>
      <c r="G485">
        <v>0</v>
      </c>
      <c r="H485">
        <v>0</v>
      </c>
      <c r="I485">
        <v>0</v>
      </c>
      <c r="J485">
        <v>0</v>
      </c>
      <c r="K485">
        <v>1393</v>
      </c>
      <c r="L485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485" cm="1">
        <f t="array" ref="M485">MAX(IF((ProjectInfoTable[ProjectName]=DiscreteStatsTable[[#This Row],[ProjectName]]),(ProjectInfoTable[ProjectName]=DiscreteStatsTable[[#This Row],[ProjectName]])*ProjectInfoTable[NumberOfReplications]))</f>
        <v>10</v>
      </c>
      <c r="N485" cm="1">
        <f t="array" ref="N485">IFERROR(AVERAGE(IF((DiscreteStatsTable[GroupByKey]=DiscreteStatsTable[[#This Row],[GroupByKey]]),(DiscreteStatsTable[GroupByKey]=DiscreteStatsTable[[#This Row],[GroupByKey]])*DiscreteStatsTable[Average])),0)</f>
        <v>0</v>
      </c>
      <c r="O485" cm="1">
        <f t="array" ref="O485">IFERROR(_xlfn.STDEV.S(IF((DiscreteStatsTable[GroupByKey]=DiscreteStatsTable[[#This Row],[GroupByKey]]),(DiscreteStatsTable[GroupByKey]=DiscreteStatsTable[[#This Row],[GroupByKey]])*DiscreteStatsTable[Average])),0)</f>
        <v>0</v>
      </c>
      <c r="P48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5" cm="1">
        <f t="array" ref="R485">MIN(IF((DiscreteStatsTable[GroupByKey]=DiscreteStatsTable[[#This Row],[GroupByKey]]),(DiscreteStatsTable[GroupByKey]=DiscreteStatsTable[[#This Row],[GroupByKey]])*DiscreteStatsTable[Average]))</f>
        <v>0</v>
      </c>
      <c r="S485" cm="1">
        <f t="array" ref="S485">MAX(IF((DiscreteStatsTable[GroupByKey]=DiscreteStatsTable[[#This Row],[GroupByKey]]),(DiscreteStatsTable[GroupByKey]=DiscreteStatsTable[[#This Row],[GroupByKey]])*DiscreteStatsTable[Average]))</f>
        <v>0</v>
      </c>
      <c r="T48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cm="1">
        <f t="array" ref="U485">MAX(IF((DiscreteStatsTable[GroupByKey]=DiscreteStatsTable[[#This Row],[GroupByKey]]),(DiscreteStatsTable[GroupByKey]=DiscreteStatsTable[[#This Row],[GroupByKey]])*DiscreteStatsTable[Maximum]))</f>
        <v>0</v>
      </c>
      <c r="V485" cm="1">
        <f t="array" ref="V485">IFERROR(AVERAGE(IF((DiscreteStatsTable[GroupByKey]=DiscreteStatsTable[[#This Row],[GroupByKey]]),(DiscreteStatsTable[GroupByKey]=DiscreteStatsTable[[#This Row],[GroupByKey]])*DiscreteStatsTable[NumberObservations])),0)</f>
        <v>1412.8</v>
      </c>
      <c r="W485">
        <f>IF((DiscreteStatsTable[[#This Row],[RepsRequested]]&gt;1),DiscreteStatsTable[[#This Row],[HalfWidth]],DiscreteStatsTable[[#This Row],[BatchMeansHalfWidth]])</f>
        <v>0</v>
      </c>
      <c r="X485" cm="1">
        <f t="array" ref="X485">COUNT(IF((DiscreteStatsTable[GroupByKey]=DiscreteStatsTable[[#This Row],[GroupByKey]]),(DiscreteStatsTable[GroupByKey]=DiscreteStatsTable[[#This Row],[GroupByKey]])*DiscreteStatsTable[Replication]))</f>
        <v>10</v>
      </c>
      <c r="Y485">
        <f>IF(DiscreteStatsTable[[#This Row],[RepsRequested]]=DiscreteStatsTable[[#This Row],[RepsWithStatObserved]],1,0)</f>
        <v>1</v>
      </c>
    </row>
    <row r="486" spans="1:25" x14ac:dyDescent="0.25">
      <c r="A486" t="s">
        <v>67</v>
      </c>
      <c r="B486" t="s">
        <v>243</v>
      </c>
      <c r="C486">
        <v>6</v>
      </c>
      <c r="D486" t="s">
        <v>110</v>
      </c>
      <c r="E486" t="s">
        <v>81</v>
      </c>
      <c r="F486" t="s">
        <v>76</v>
      </c>
      <c r="G486">
        <v>642.37502414826099</v>
      </c>
      <c r="H486">
        <v>8.0425314285615102</v>
      </c>
      <c r="I486">
        <v>128.02796685634499</v>
      </c>
      <c r="J486">
        <v>716.47190291201696</v>
      </c>
      <c r="K486">
        <v>1393</v>
      </c>
      <c r="L486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486" cm="1">
        <f t="array" ref="M486">MAX(IF((ProjectInfoTable[ProjectName]=DiscreteStatsTable[[#This Row],[ProjectName]]),(ProjectInfoTable[ProjectName]=DiscreteStatsTable[[#This Row],[ProjectName]])*ProjectInfoTable[NumberOfReplications]))</f>
        <v>10</v>
      </c>
      <c r="N486" cm="1">
        <f t="array" ref="N486">IFERROR(AVERAGE(IF((DiscreteStatsTable[GroupByKey]=DiscreteStatsTable[[#This Row],[GroupByKey]]),(DiscreteStatsTable[GroupByKey]=DiscreteStatsTable[[#This Row],[GroupByKey]])*DiscreteStatsTable[Average])),0)</f>
        <v>633.11198951993958</v>
      </c>
      <c r="O486" cm="1">
        <f t="array" ref="O486">IFERROR(_xlfn.STDEV.S(IF((DiscreteStatsTable[GroupByKey]=DiscreteStatsTable[[#This Row],[GroupByKey]]),(DiscreteStatsTable[GroupByKey]=DiscreteStatsTable[[#This Row],[GroupByKey]])*DiscreteStatsTable[Average])),0)</f>
        <v>5.2185990896039609</v>
      </c>
      <c r="P486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3.733160898240417</v>
      </c>
      <c r="R486" cm="1">
        <f t="array" ref="R486">MIN(IF((DiscreteStatsTable[GroupByKey]=DiscreteStatsTable[[#This Row],[GroupByKey]]),(DiscreteStatsTable[GroupByKey]=DiscreteStatsTable[[#This Row],[GroupByKey]])*DiscreteStatsTable[Average]))</f>
        <v>625.13033962757504</v>
      </c>
      <c r="S486" cm="1">
        <f t="array" ref="S486">MAX(IF((DiscreteStatsTable[GroupByKey]=DiscreteStatsTable[[#This Row],[GroupByKey]]),(DiscreteStatsTable[GroupByKey]=DiscreteStatsTable[[#This Row],[GroupByKey]])*DiscreteStatsTable[Average]))</f>
        <v>642.37502414826099</v>
      </c>
      <c r="T486" cm="1">
        <f t="array" ref="T486">MIN(IF((DiscreteStatsTable[GroupByKey]=DiscreteStatsTable[[#This Row],[GroupByKey]]),(DiscreteStatsTable[GroupByKey]=DiscreteStatsTable[[#This Row],[GroupByKey]])*DiscreteStatsTable[Minimum]))</f>
        <v>121.89425635771499</v>
      </c>
      <c r="U486" cm="1">
        <f t="array" ref="U486">MAX(IF((DiscreteStatsTable[GroupByKey]=DiscreteStatsTable[[#This Row],[GroupByKey]]),(DiscreteStatsTable[GroupByKey]=DiscreteStatsTable[[#This Row],[GroupByKey]])*DiscreteStatsTable[Maximum]))</f>
        <v>725.62892145654803</v>
      </c>
      <c r="V486" cm="1">
        <f t="array" ref="V486">IFERROR(AVERAGE(IF((DiscreteStatsTable[GroupByKey]=DiscreteStatsTable[[#This Row],[GroupByKey]]),(DiscreteStatsTable[GroupByKey]=DiscreteStatsTable[[#This Row],[GroupByKey]])*DiscreteStatsTable[NumberObservations])),0)</f>
        <v>1412.8</v>
      </c>
      <c r="W486">
        <f>IF((DiscreteStatsTable[[#This Row],[RepsRequested]]&gt;1),DiscreteStatsTable[[#This Row],[HalfWidth]],DiscreteStatsTable[[#This Row],[BatchMeansHalfWidth]])</f>
        <v>3.733160898240417</v>
      </c>
      <c r="X486" cm="1">
        <f t="array" ref="X486">COUNT(IF((DiscreteStatsTable[GroupByKey]=DiscreteStatsTable[[#This Row],[GroupByKey]]),(DiscreteStatsTable[GroupByKey]=DiscreteStatsTable[[#This Row],[GroupByKey]])*DiscreteStatsTable[Replication]))</f>
        <v>10</v>
      </c>
      <c r="Y486">
        <f>IF(DiscreteStatsTable[[#This Row],[RepsRequested]]=DiscreteStatsTable[[#This Row],[RepsWithStatObserved]],1,0)</f>
        <v>1</v>
      </c>
    </row>
    <row r="487" spans="1:25" x14ac:dyDescent="0.25">
      <c r="A487" t="s">
        <v>67</v>
      </c>
      <c r="B487" t="s">
        <v>243</v>
      </c>
      <c r="C487">
        <v>6</v>
      </c>
      <c r="D487" t="s">
        <v>110</v>
      </c>
      <c r="E487" t="s">
        <v>82</v>
      </c>
      <c r="F487" t="s">
        <v>76</v>
      </c>
      <c r="G487">
        <v>722319.396256882</v>
      </c>
      <c r="H487">
        <v>3E+20</v>
      </c>
      <c r="I487">
        <v>2777.6522934023701</v>
      </c>
      <c r="J487">
        <v>1960199.7930974299</v>
      </c>
      <c r="K487">
        <v>1393</v>
      </c>
      <c r="L487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487" cm="1">
        <f t="array" ref="M487">MAX(IF((ProjectInfoTable[ProjectName]=DiscreteStatsTable[[#This Row],[ProjectName]]),(ProjectInfoTable[ProjectName]=DiscreteStatsTable[[#This Row],[ProjectName]])*ProjectInfoTable[NumberOfReplications]))</f>
        <v>10</v>
      </c>
      <c r="N487" cm="1">
        <f t="array" ref="N487">IFERROR(AVERAGE(IF((DiscreteStatsTable[GroupByKey]=DiscreteStatsTable[[#This Row],[GroupByKey]]),(DiscreteStatsTable[GroupByKey]=DiscreteStatsTable[[#This Row],[GroupByKey]])*DiscreteStatsTable[Average])),0)</f>
        <v>715621.63686177903</v>
      </c>
      <c r="O487" cm="1">
        <f t="array" ref="O487">IFERROR(_xlfn.STDEV.S(IF((DiscreteStatsTable[GroupByKey]=DiscreteStatsTable[[#This Row],[GroupByKey]]),(DiscreteStatsTable[GroupByKey]=DiscreteStatsTable[[#This Row],[GroupByKey]])*DiscreteStatsTable[Average])),0)</f>
        <v>7103.5262745156242</v>
      </c>
      <c r="P487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5081.5565772188193</v>
      </c>
      <c r="R487" cm="1">
        <f t="array" ref="R487">MIN(IF((DiscreteStatsTable[GroupByKey]=DiscreteStatsTable[[#This Row],[GroupByKey]]),(DiscreteStatsTable[GroupByKey]=DiscreteStatsTable[[#This Row],[GroupByKey]])*DiscreteStatsTable[Average]))</f>
        <v>706040.14193379204</v>
      </c>
      <c r="S487" cm="1">
        <f t="array" ref="S487">MAX(IF((DiscreteStatsTable[GroupByKey]=DiscreteStatsTable[[#This Row],[GroupByKey]]),(DiscreteStatsTable[GroupByKey]=DiscreteStatsTable[[#This Row],[GroupByKey]])*DiscreteStatsTable[Average]))</f>
        <v>728712.78790280595</v>
      </c>
      <c r="T487" cm="1">
        <f t="array" ref="T487">MIN(IF((DiscreteStatsTable[GroupByKey]=DiscreteStatsTable[[#This Row],[GroupByKey]]),(DiscreteStatsTable[GroupByKey]=DiscreteStatsTable[[#This Row],[GroupByKey]])*DiscreteStatsTable[Minimum]))</f>
        <v>942.11081602343995</v>
      </c>
      <c r="U487" cm="1">
        <f t="array" ref="U487">MAX(IF((DiscreteStatsTable[GroupByKey]=DiscreteStatsTable[[#This Row],[GroupByKey]]),(DiscreteStatsTable[GroupByKey]=DiscreteStatsTable[[#This Row],[GroupByKey]])*DiscreteStatsTable[Maximum]))</f>
        <v>1975788.7077699299</v>
      </c>
      <c r="V487" cm="1">
        <f t="array" ref="V487">IFERROR(AVERAGE(IF((DiscreteStatsTable[GroupByKey]=DiscreteStatsTable[[#This Row],[GroupByKey]]),(DiscreteStatsTable[GroupByKey]=DiscreteStatsTable[[#This Row],[GroupByKey]])*DiscreteStatsTable[NumberObservations])),0)</f>
        <v>1412.8</v>
      </c>
      <c r="W487">
        <f>IF((DiscreteStatsTable[[#This Row],[RepsRequested]]&gt;1),DiscreteStatsTable[[#This Row],[HalfWidth]],DiscreteStatsTable[[#This Row],[BatchMeansHalfWidth]])</f>
        <v>5081.5565772188193</v>
      </c>
      <c r="X487" cm="1">
        <f t="array" ref="X487">COUNT(IF((DiscreteStatsTable[GroupByKey]=DiscreteStatsTable[[#This Row],[GroupByKey]]),(DiscreteStatsTable[GroupByKey]=DiscreteStatsTable[[#This Row],[GroupByKey]])*DiscreteStatsTable[Replication]))</f>
        <v>10</v>
      </c>
      <c r="Y487">
        <f>IF(DiscreteStatsTable[[#This Row],[RepsRequested]]=DiscreteStatsTable[[#This Row],[RepsWithStatObserved]],1,0)</f>
        <v>1</v>
      </c>
    </row>
    <row r="488" spans="1:25" x14ac:dyDescent="0.25">
      <c r="A488" t="s">
        <v>67</v>
      </c>
      <c r="B488" t="s">
        <v>243</v>
      </c>
      <c r="C488">
        <v>7</v>
      </c>
      <c r="D488" t="s">
        <v>110</v>
      </c>
      <c r="E488" t="s">
        <v>77</v>
      </c>
      <c r="F488" t="s">
        <v>76</v>
      </c>
      <c r="G488">
        <v>0</v>
      </c>
      <c r="H488">
        <v>0</v>
      </c>
      <c r="I488">
        <v>0</v>
      </c>
      <c r="J488">
        <v>0</v>
      </c>
      <c r="K488">
        <v>1425</v>
      </c>
      <c r="L488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488" cm="1">
        <f t="array" ref="M488">MAX(IF((ProjectInfoTable[ProjectName]=DiscreteStatsTable[[#This Row],[ProjectName]]),(ProjectInfoTable[ProjectName]=DiscreteStatsTable[[#This Row],[ProjectName]])*ProjectInfoTable[NumberOfReplications]))</f>
        <v>10</v>
      </c>
      <c r="N488" cm="1">
        <f t="array" ref="N488">IFERROR(AVERAGE(IF((DiscreteStatsTable[GroupByKey]=DiscreteStatsTable[[#This Row],[GroupByKey]]),(DiscreteStatsTable[GroupByKey]=DiscreteStatsTable[[#This Row],[GroupByKey]])*DiscreteStatsTable[Average])),0)</f>
        <v>0</v>
      </c>
      <c r="O488" cm="1">
        <f t="array" ref="O488">IFERROR(_xlfn.STDEV.S(IF((DiscreteStatsTable[GroupByKey]=DiscreteStatsTable[[#This Row],[GroupByKey]]),(DiscreteStatsTable[GroupByKey]=DiscreteStatsTable[[#This Row],[GroupByKey]])*DiscreteStatsTable[Average])),0)</f>
        <v>0</v>
      </c>
      <c r="P488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8" cm="1">
        <f t="array" ref="R488">MIN(IF((DiscreteStatsTable[GroupByKey]=DiscreteStatsTable[[#This Row],[GroupByKey]]),(DiscreteStatsTable[GroupByKey]=DiscreteStatsTable[[#This Row],[GroupByKey]])*DiscreteStatsTable[Average]))</f>
        <v>0</v>
      </c>
      <c r="S488" cm="1">
        <f t="array" ref="S488">MAX(IF((DiscreteStatsTable[GroupByKey]=DiscreteStatsTable[[#This Row],[GroupByKey]]),(DiscreteStatsTable[GroupByKey]=DiscreteStatsTable[[#This Row],[GroupByKey]])*DiscreteStatsTable[Average]))</f>
        <v>0</v>
      </c>
      <c r="T488" cm="1">
        <f t="array" ref="T488">MIN(IF((DiscreteStatsTable[GroupByKey]=DiscreteStatsTable[[#This Row],[GroupByKey]]),(DiscreteStatsTable[GroupByKey]=DiscreteStatsTable[[#This Row],[GroupByKey]])*DiscreteStatsTable[Minimum]))</f>
        <v>0</v>
      </c>
      <c r="U488" cm="1">
        <f t="array" ref="U488">MAX(IF((DiscreteStatsTable[GroupByKey]=DiscreteStatsTable[[#This Row],[GroupByKey]]),(DiscreteStatsTable[GroupByKey]=DiscreteStatsTable[[#This Row],[GroupByKey]])*DiscreteStatsTable[Maximum]))</f>
        <v>0</v>
      </c>
      <c r="V488" cm="1">
        <f t="array" ref="V488">IFERROR(AVERAGE(IF((DiscreteStatsTable[GroupByKey]=DiscreteStatsTable[[#This Row],[GroupByKey]]),(DiscreteStatsTable[GroupByKey]=DiscreteStatsTable[[#This Row],[GroupByKey]])*DiscreteStatsTable[NumberObservations])),0)</f>
        <v>1412.8</v>
      </c>
      <c r="W488">
        <f>IF((DiscreteStatsTable[[#This Row],[RepsRequested]]&gt;1),DiscreteStatsTable[[#This Row],[HalfWidth]],DiscreteStatsTable[[#This Row],[BatchMeansHalfWidth]])</f>
        <v>0</v>
      </c>
      <c r="X488" cm="1">
        <f t="array" ref="X488">COUNT(IF((DiscreteStatsTable[GroupByKey]=DiscreteStatsTable[[#This Row],[GroupByKey]]),(DiscreteStatsTable[GroupByKey]=DiscreteStatsTable[[#This Row],[GroupByKey]])*DiscreteStatsTable[Replication]))</f>
        <v>10</v>
      </c>
      <c r="Y488">
        <f>IF(DiscreteStatsTable[[#This Row],[RepsRequested]]=DiscreteStatsTable[[#This Row],[RepsWithStatObserved]],1,0)</f>
        <v>1</v>
      </c>
    </row>
    <row r="489" spans="1:25" x14ac:dyDescent="0.25">
      <c r="A489" t="s">
        <v>67</v>
      </c>
      <c r="B489" t="s">
        <v>243</v>
      </c>
      <c r="C489">
        <v>7</v>
      </c>
      <c r="D489" t="s">
        <v>110</v>
      </c>
      <c r="E489" t="s">
        <v>78</v>
      </c>
      <c r="F489" t="s">
        <v>76</v>
      </c>
      <c r="G489">
        <v>643.45783189134499</v>
      </c>
      <c r="H489">
        <v>6.8853691939813801</v>
      </c>
      <c r="I489">
        <v>130.13939146965299</v>
      </c>
      <c r="J489">
        <v>730.56355921733496</v>
      </c>
      <c r="K489">
        <v>1425</v>
      </c>
      <c r="L489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489" cm="1">
        <f t="array" ref="M489">MAX(IF((ProjectInfoTable[ProjectName]=DiscreteStatsTable[[#This Row],[ProjectName]]),(ProjectInfoTable[ProjectName]=DiscreteStatsTable[[#This Row],[ProjectName]])*ProjectInfoTable[NumberOfReplications]))</f>
        <v>10</v>
      </c>
      <c r="N489" cm="1">
        <f t="array" ref="N489">IFERROR(AVERAGE(IF((DiscreteStatsTable[GroupByKey]=DiscreteStatsTable[[#This Row],[GroupByKey]]),(DiscreteStatsTable[GroupByKey]=DiscreteStatsTable[[#This Row],[GroupByKey]])*DiscreteStatsTable[Average])),0)</f>
        <v>648.63734791108345</v>
      </c>
      <c r="O489" cm="1">
        <f t="array" ref="O489">IFERROR(_xlfn.STDEV.S(IF((DiscreteStatsTable[GroupByKey]=DiscreteStatsTable[[#This Row],[GroupByKey]]),(DiscreteStatsTable[GroupByKey]=DiscreteStatsTable[[#This Row],[GroupByKey]])*DiscreteStatsTable[Average])),0)</f>
        <v>5.4092947484755589</v>
      </c>
      <c r="P489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3.8695763547528403</v>
      </c>
      <c r="R489" cm="1">
        <f t="array" ref="R489">MIN(IF((DiscreteStatsTable[GroupByKey]=DiscreteStatsTable[[#This Row],[GroupByKey]]),(DiscreteStatsTable[GroupByKey]=DiscreteStatsTable[[#This Row],[GroupByKey]])*DiscreteStatsTable[Average]))</f>
        <v>639.97478427335204</v>
      </c>
      <c r="S489" cm="1">
        <f t="array" ref="S489">MAX(IF((DiscreteStatsTable[GroupByKey]=DiscreteStatsTable[[#This Row],[GroupByKey]]),(DiscreteStatsTable[GroupByKey]=DiscreteStatsTable[[#This Row],[GroupByKey]])*DiscreteStatsTable[Average]))</f>
        <v>657.59073514207705</v>
      </c>
      <c r="T489" cm="1">
        <f t="array" ref="T489">MIN(IF((DiscreteStatsTable[GroupByKey]=DiscreteStatsTable[[#This Row],[GroupByKey]]),(DiscreteStatsTable[GroupByKey]=DiscreteStatsTable[[#This Row],[GroupByKey]])*DiscreteStatsTable[Minimum]))</f>
        <v>126.191556433689</v>
      </c>
      <c r="U489" cm="1">
        <f t="array" ref="U489">MAX(IF((DiscreteStatsTable[GroupByKey]=DiscreteStatsTable[[#This Row],[GroupByKey]]),(DiscreteStatsTable[GroupByKey]=DiscreteStatsTable[[#This Row],[GroupByKey]])*DiscreteStatsTable[Maximum]))</f>
        <v>738.20739202885295</v>
      </c>
      <c r="V489" cm="1">
        <f t="array" ref="V489">IFERROR(AVERAGE(IF((DiscreteStatsTable[GroupByKey]=DiscreteStatsTable[[#This Row],[GroupByKey]]),(DiscreteStatsTable[GroupByKey]=DiscreteStatsTable[[#This Row],[GroupByKey]])*DiscreteStatsTable[NumberObservations])),0)</f>
        <v>1412.8</v>
      </c>
      <c r="W489">
        <f>IF((DiscreteStatsTable[[#This Row],[RepsRequested]]&gt;1),DiscreteStatsTable[[#This Row],[HalfWidth]],DiscreteStatsTable[[#This Row],[BatchMeansHalfWidth]])</f>
        <v>3.8695763547528403</v>
      </c>
      <c r="X489" cm="1">
        <f t="array" ref="X489">COUNT(IF((DiscreteStatsTable[GroupByKey]=DiscreteStatsTable[[#This Row],[GroupByKey]]),(DiscreteStatsTable[GroupByKey]=DiscreteStatsTable[[#This Row],[GroupByKey]])*DiscreteStatsTable[Replication]))</f>
        <v>10</v>
      </c>
      <c r="Y489">
        <f>IF(DiscreteStatsTable[[#This Row],[RepsRequested]]=DiscreteStatsTable[[#This Row],[RepsWithStatObserved]],1,0)</f>
        <v>1</v>
      </c>
    </row>
    <row r="490" spans="1:25" x14ac:dyDescent="0.25">
      <c r="A490" t="s">
        <v>67</v>
      </c>
      <c r="B490" t="s">
        <v>243</v>
      </c>
      <c r="C490">
        <v>7</v>
      </c>
      <c r="D490" t="s">
        <v>110</v>
      </c>
      <c r="E490" t="s">
        <v>79</v>
      </c>
      <c r="F490" t="s">
        <v>76</v>
      </c>
      <c r="G490">
        <v>83277.803406931504</v>
      </c>
      <c r="H490">
        <v>3E+20</v>
      </c>
      <c r="I490">
        <v>651.11821131349302</v>
      </c>
      <c r="J490">
        <v>180195.59271198101</v>
      </c>
      <c r="K490">
        <v>1425</v>
      </c>
      <c r="L490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490" cm="1">
        <f t="array" ref="M490">MAX(IF((ProjectInfoTable[ProjectName]=DiscreteStatsTable[[#This Row],[ProjectName]]),(ProjectInfoTable[ProjectName]=DiscreteStatsTable[[#This Row],[ProjectName]])*ProjectInfoTable[NumberOfReplications]))</f>
        <v>10</v>
      </c>
      <c r="N490" cm="1">
        <f t="array" ref="N490">IFERROR(AVERAGE(IF((DiscreteStatsTable[GroupByKey]=DiscreteStatsTable[[#This Row],[GroupByKey]]),(DiscreteStatsTable[GroupByKey]=DiscreteStatsTable[[#This Row],[GroupByKey]])*DiscreteStatsTable[Average])),0)</f>
        <v>83209.725766173768</v>
      </c>
      <c r="O490" cm="1">
        <f t="array" ref="O490">IFERROR(_xlfn.STDEV.S(IF((DiscreteStatsTable[GroupByKey]=DiscreteStatsTable[[#This Row],[GroupByKey]]),(DiscreteStatsTable[GroupByKey]=DiscreteStatsTable[[#This Row],[GroupByKey]])*DiscreteStatsTable[Average])),0)</f>
        <v>448.75835323214818</v>
      </c>
      <c r="P490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321.02238709664016</v>
      </c>
      <c r="R490" cm="1">
        <f t="array" ref="R490">MIN(IF((DiscreteStatsTable[GroupByKey]=DiscreteStatsTable[[#This Row],[GroupByKey]]),(DiscreteStatsTable[GroupByKey]=DiscreteStatsTable[[#This Row],[GroupByKey]])*DiscreteStatsTable[Average]))</f>
        <v>82701.3289873717</v>
      </c>
      <c r="S490" cm="1">
        <f t="array" ref="S490">MAX(IF((DiscreteStatsTable[GroupByKey]=DiscreteStatsTable[[#This Row],[GroupByKey]]),(DiscreteStatsTable[GroupByKey]=DiscreteStatsTable[[#This Row],[GroupByKey]])*DiscreteStatsTable[Average]))</f>
        <v>84117.798290527702</v>
      </c>
      <c r="T490" cm="1">
        <f t="array" ref="T490">MIN(IF((DiscreteStatsTable[GroupByKey]=DiscreteStatsTable[[#This Row],[GroupByKey]]),(DiscreteStatsTable[GroupByKey]=DiscreteStatsTable[[#This Row],[GroupByKey]])*DiscreteStatsTable[Minimum]))</f>
        <v>340.54300832225601</v>
      </c>
      <c r="U490" cm="1">
        <f t="array" ref="U490">MAX(IF((DiscreteStatsTable[GroupByKey]=DiscreteStatsTable[[#This Row],[GroupByKey]]),(DiscreteStatsTable[GroupByKey]=DiscreteStatsTable[[#This Row],[GroupByKey]])*DiscreteStatsTable[Maximum]))</f>
        <v>184239.085713487</v>
      </c>
      <c r="V490" cm="1">
        <f t="array" ref="V490">IFERROR(AVERAGE(IF((DiscreteStatsTable[GroupByKey]=DiscreteStatsTable[[#This Row],[GroupByKey]]),(DiscreteStatsTable[GroupByKey]=DiscreteStatsTable[[#This Row],[GroupByKey]])*DiscreteStatsTable[NumberObservations])),0)</f>
        <v>1412.8</v>
      </c>
      <c r="W490">
        <f>IF((DiscreteStatsTable[[#This Row],[RepsRequested]]&gt;1),DiscreteStatsTable[[#This Row],[HalfWidth]],DiscreteStatsTable[[#This Row],[BatchMeansHalfWidth]])</f>
        <v>321.02238709664016</v>
      </c>
      <c r="X490" cm="1">
        <f t="array" ref="X490">COUNT(IF((DiscreteStatsTable[GroupByKey]=DiscreteStatsTable[[#This Row],[GroupByKey]]),(DiscreteStatsTable[GroupByKey]=DiscreteStatsTable[[#This Row],[GroupByKey]])*DiscreteStatsTable[Replication]))</f>
        <v>10</v>
      </c>
      <c r="Y490">
        <f>IF(DiscreteStatsTable[[#This Row],[RepsRequested]]=DiscreteStatsTable[[#This Row],[RepsWithStatObserved]],1,0)</f>
        <v>1</v>
      </c>
    </row>
    <row r="491" spans="1:25" x14ac:dyDescent="0.25">
      <c r="A491" t="s">
        <v>67</v>
      </c>
      <c r="B491" t="s">
        <v>243</v>
      </c>
      <c r="C491">
        <v>7</v>
      </c>
      <c r="D491" t="s">
        <v>110</v>
      </c>
      <c r="E491" t="s">
        <v>80</v>
      </c>
      <c r="F491" t="s">
        <v>76</v>
      </c>
      <c r="G491">
        <v>0</v>
      </c>
      <c r="H491">
        <v>0</v>
      </c>
      <c r="I491">
        <v>0</v>
      </c>
      <c r="J491">
        <v>0</v>
      </c>
      <c r="K491">
        <v>1425</v>
      </c>
      <c r="L491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491" cm="1">
        <f t="array" ref="M491">MAX(IF((ProjectInfoTable[ProjectName]=DiscreteStatsTable[[#This Row],[ProjectName]]),(ProjectInfoTable[ProjectName]=DiscreteStatsTable[[#This Row],[ProjectName]])*ProjectInfoTable[NumberOfReplications]))</f>
        <v>10</v>
      </c>
      <c r="N491" cm="1">
        <f t="array" ref="N491">IFERROR(AVERAGE(IF((DiscreteStatsTable[GroupByKey]=DiscreteStatsTable[[#This Row],[GroupByKey]]),(DiscreteStatsTable[GroupByKey]=DiscreteStatsTable[[#This Row],[GroupByKey]])*DiscreteStatsTable[Average])),0)</f>
        <v>0</v>
      </c>
      <c r="O491" cm="1">
        <f t="array" ref="O491">IFERROR(_xlfn.STDEV.S(IF((DiscreteStatsTable[GroupByKey]=DiscreteStatsTable[[#This Row],[GroupByKey]]),(DiscreteStatsTable[GroupByKey]=DiscreteStatsTable[[#This Row],[GroupByKey]])*DiscreteStatsTable[Average])),0)</f>
        <v>0</v>
      </c>
      <c r="P491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1" cm="1">
        <f t="array" ref="R491">MIN(IF((DiscreteStatsTable[GroupByKey]=DiscreteStatsTable[[#This Row],[GroupByKey]]),(DiscreteStatsTable[GroupByKey]=DiscreteStatsTable[[#This Row],[GroupByKey]])*DiscreteStatsTable[Average]))</f>
        <v>0</v>
      </c>
      <c r="S491" cm="1">
        <f t="array" ref="S491">MAX(IF((DiscreteStatsTable[GroupByKey]=DiscreteStatsTable[[#This Row],[GroupByKey]]),(DiscreteStatsTable[GroupByKey]=DiscreteStatsTable[[#This Row],[GroupByKey]])*DiscreteStatsTable[Average]))</f>
        <v>0</v>
      </c>
      <c r="T491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cm="1">
        <f t="array" ref="U491">MAX(IF((DiscreteStatsTable[GroupByKey]=DiscreteStatsTable[[#This Row],[GroupByKey]]),(DiscreteStatsTable[GroupByKey]=DiscreteStatsTable[[#This Row],[GroupByKey]])*DiscreteStatsTable[Maximum]))</f>
        <v>0</v>
      </c>
      <c r="V491" cm="1">
        <f t="array" ref="V491">IFERROR(AVERAGE(IF((DiscreteStatsTable[GroupByKey]=DiscreteStatsTable[[#This Row],[GroupByKey]]),(DiscreteStatsTable[GroupByKey]=DiscreteStatsTable[[#This Row],[GroupByKey]])*DiscreteStatsTable[NumberObservations])),0)</f>
        <v>1412.8</v>
      </c>
      <c r="W491">
        <f>IF((DiscreteStatsTable[[#This Row],[RepsRequested]]&gt;1),DiscreteStatsTable[[#This Row],[HalfWidth]],DiscreteStatsTable[[#This Row],[BatchMeansHalfWidth]])</f>
        <v>0</v>
      </c>
      <c r="X491" cm="1">
        <f t="array" ref="X491">COUNT(IF((DiscreteStatsTable[GroupByKey]=DiscreteStatsTable[[#This Row],[GroupByKey]]),(DiscreteStatsTable[GroupByKey]=DiscreteStatsTable[[#This Row],[GroupByKey]])*DiscreteStatsTable[Replication]))</f>
        <v>10</v>
      </c>
      <c r="Y491">
        <f>IF(DiscreteStatsTable[[#This Row],[RepsRequested]]=DiscreteStatsTable[[#This Row],[RepsWithStatObserved]],1,0)</f>
        <v>1</v>
      </c>
    </row>
    <row r="492" spans="1:25" x14ac:dyDescent="0.25">
      <c r="A492" t="s">
        <v>67</v>
      </c>
      <c r="B492" t="s">
        <v>243</v>
      </c>
      <c r="C492">
        <v>7</v>
      </c>
      <c r="D492" t="s">
        <v>110</v>
      </c>
      <c r="E492" t="s">
        <v>81</v>
      </c>
      <c r="F492" t="s">
        <v>76</v>
      </c>
      <c r="G492">
        <v>627.58614449699303</v>
      </c>
      <c r="H492">
        <v>6.7036091192998803</v>
      </c>
      <c r="I492">
        <v>126.238334703288</v>
      </c>
      <c r="J492">
        <v>718.99629582627699</v>
      </c>
      <c r="K492">
        <v>1425</v>
      </c>
      <c r="L492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492" cm="1">
        <f t="array" ref="M492">MAX(IF((ProjectInfoTable[ProjectName]=DiscreteStatsTable[[#This Row],[ProjectName]]),(ProjectInfoTable[ProjectName]=DiscreteStatsTable[[#This Row],[ProjectName]])*ProjectInfoTable[NumberOfReplications]))</f>
        <v>10</v>
      </c>
      <c r="N492" cm="1">
        <f t="array" ref="N492">IFERROR(AVERAGE(IF((DiscreteStatsTable[GroupByKey]=DiscreteStatsTable[[#This Row],[GroupByKey]]),(DiscreteStatsTable[GroupByKey]=DiscreteStatsTable[[#This Row],[GroupByKey]])*DiscreteStatsTable[Average])),0)</f>
        <v>633.11198951993958</v>
      </c>
      <c r="O492" cm="1">
        <f t="array" ref="O492">IFERROR(_xlfn.STDEV.S(IF((DiscreteStatsTable[GroupByKey]=DiscreteStatsTable[[#This Row],[GroupByKey]]),(DiscreteStatsTable[GroupByKey]=DiscreteStatsTable[[#This Row],[GroupByKey]])*DiscreteStatsTable[Average])),0)</f>
        <v>5.2185990896039609</v>
      </c>
      <c r="P492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3.733160898240417</v>
      </c>
      <c r="R492" cm="1">
        <f t="array" ref="R492">MIN(IF((DiscreteStatsTable[GroupByKey]=DiscreteStatsTable[[#This Row],[GroupByKey]]),(DiscreteStatsTable[GroupByKey]=DiscreteStatsTable[[#This Row],[GroupByKey]])*DiscreteStatsTable[Average]))</f>
        <v>625.13033962757504</v>
      </c>
      <c r="S492" cm="1">
        <f t="array" ref="S492">MAX(IF((DiscreteStatsTable[GroupByKey]=DiscreteStatsTable[[#This Row],[GroupByKey]]),(DiscreteStatsTable[GroupByKey]=DiscreteStatsTable[[#This Row],[GroupByKey]])*DiscreteStatsTable[Average]))</f>
        <v>642.37502414826099</v>
      </c>
      <c r="T492" cm="1">
        <f t="array" ref="T492">MIN(IF((DiscreteStatsTable[GroupByKey]=DiscreteStatsTable[[#This Row],[GroupByKey]]),(DiscreteStatsTable[GroupByKey]=DiscreteStatsTable[[#This Row],[GroupByKey]])*DiscreteStatsTable[Minimum]))</f>
        <v>121.89425635771499</v>
      </c>
      <c r="U492" cm="1">
        <f t="array" ref="U492">MAX(IF((DiscreteStatsTable[GroupByKey]=DiscreteStatsTable[[#This Row],[GroupByKey]]),(DiscreteStatsTable[GroupByKey]=DiscreteStatsTable[[#This Row],[GroupByKey]])*DiscreteStatsTable[Maximum]))</f>
        <v>725.62892145654803</v>
      </c>
      <c r="V492" cm="1">
        <f t="array" ref="V492">IFERROR(AVERAGE(IF((DiscreteStatsTable[GroupByKey]=DiscreteStatsTable[[#This Row],[GroupByKey]]),(DiscreteStatsTable[GroupByKey]=DiscreteStatsTable[[#This Row],[GroupByKey]])*DiscreteStatsTable[NumberObservations])),0)</f>
        <v>1412.8</v>
      </c>
      <c r="W492">
        <f>IF((DiscreteStatsTable[[#This Row],[RepsRequested]]&gt;1),DiscreteStatsTable[[#This Row],[HalfWidth]],DiscreteStatsTable[[#This Row],[BatchMeansHalfWidth]])</f>
        <v>3.733160898240417</v>
      </c>
      <c r="X492" cm="1">
        <f t="array" ref="X492">COUNT(IF((DiscreteStatsTable[GroupByKey]=DiscreteStatsTable[[#This Row],[GroupByKey]]),(DiscreteStatsTable[GroupByKey]=DiscreteStatsTable[[#This Row],[GroupByKey]])*DiscreteStatsTable[Replication]))</f>
        <v>10</v>
      </c>
      <c r="Y492">
        <f>IF(DiscreteStatsTable[[#This Row],[RepsRequested]]=DiscreteStatsTable[[#This Row],[RepsWithStatObserved]],1,0)</f>
        <v>1</v>
      </c>
    </row>
    <row r="493" spans="1:25" x14ac:dyDescent="0.25">
      <c r="A493" t="s">
        <v>67</v>
      </c>
      <c r="B493" t="s">
        <v>243</v>
      </c>
      <c r="C493">
        <v>7</v>
      </c>
      <c r="D493" t="s">
        <v>110</v>
      </c>
      <c r="E493" t="s">
        <v>82</v>
      </c>
      <c r="F493" t="s">
        <v>76</v>
      </c>
      <c r="G493">
        <v>706040.14193379204</v>
      </c>
      <c r="H493">
        <v>3E+20</v>
      </c>
      <c r="I493">
        <v>2162.0079837589301</v>
      </c>
      <c r="J493">
        <v>1961578.83197242</v>
      </c>
      <c r="K493">
        <v>1425</v>
      </c>
      <c r="L493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493" cm="1">
        <f t="array" ref="M493">MAX(IF((ProjectInfoTable[ProjectName]=DiscreteStatsTable[[#This Row],[ProjectName]]),(ProjectInfoTable[ProjectName]=DiscreteStatsTable[[#This Row],[ProjectName]])*ProjectInfoTable[NumberOfReplications]))</f>
        <v>10</v>
      </c>
      <c r="N493" cm="1">
        <f t="array" ref="N493">IFERROR(AVERAGE(IF((DiscreteStatsTable[GroupByKey]=DiscreteStatsTable[[#This Row],[GroupByKey]]),(DiscreteStatsTable[GroupByKey]=DiscreteStatsTable[[#This Row],[GroupByKey]])*DiscreteStatsTable[Average])),0)</f>
        <v>715621.63686177903</v>
      </c>
      <c r="O493" cm="1">
        <f t="array" ref="O493">IFERROR(_xlfn.STDEV.S(IF((DiscreteStatsTable[GroupByKey]=DiscreteStatsTable[[#This Row],[GroupByKey]]),(DiscreteStatsTable[GroupByKey]=DiscreteStatsTable[[#This Row],[GroupByKey]])*DiscreteStatsTable[Average])),0)</f>
        <v>7103.5262745156242</v>
      </c>
      <c r="P493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5081.5565772188193</v>
      </c>
      <c r="R493" cm="1">
        <f t="array" ref="R493">MIN(IF((DiscreteStatsTable[GroupByKey]=DiscreteStatsTable[[#This Row],[GroupByKey]]),(DiscreteStatsTable[GroupByKey]=DiscreteStatsTable[[#This Row],[GroupByKey]])*DiscreteStatsTable[Average]))</f>
        <v>706040.14193379204</v>
      </c>
      <c r="S493" cm="1">
        <f t="array" ref="S493">MAX(IF((DiscreteStatsTable[GroupByKey]=DiscreteStatsTable[[#This Row],[GroupByKey]]),(DiscreteStatsTable[GroupByKey]=DiscreteStatsTable[[#This Row],[GroupByKey]])*DiscreteStatsTable[Average]))</f>
        <v>728712.78790280595</v>
      </c>
      <c r="T493" cm="1">
        <f t="array" ref="T493">MIN(IF((DiscreteStatsTable[GroupByKey]=DiscreteStatsTable[[#This Row],[GroupByKey]]),(DiscreteStatsTable[GroupByKey]=DiscreteStatsTable[[#This Row],[GroupByKey]])*DiscreteStatsTable[Minimum]))</f>
        <v>942.11081602343995</v>
      </c>
      <c r="U493" cm="1">
        <f t="array" ref="U493">MAX(IF((DiscreteStatsTable[GroupByKey]=DiscreteStatsTable[[#This Row],[GroupByKey]]),(DiscreteStatsTable[GroupByKey]=DiscreteStatsTable[[#This Row],[GroupByKey]])*DiscreteStatsTable[Maximum]))</f>
        <v>1975788.7077699299</v>
      </c>
      <c r="V493" cm="1">
        <f t="array" ref="V493">IFERROR(AVERAGE(IF((DiscreteStatsTable[GroupByKey]=DiscreteStatsTable[[#This Row],[GroupByKey]]),(DiscreteStatsTable[GroupByKey]=DiscreteStatsTable[[#This Row],[GroupByKey]])*DiscreteStatsTable[NumberObservations])),0)</f>
        <v>1412.8</v>
      </c>
      <c r="W493">
        <f>IF((DiscreteStatsTable[[#This Row],[RepsRequested]]&gt;1),DiscreteStatsTable[[#This Row],[HalfWidth]],DiscreteStatsTable[[#This Row],[BatchMeansHalfWidth]])</f>
        <v>5081.5565772188193</v>
      </c>
      <c r="X493" cm="1">
        <f t="array" ref="X493">COUNT(IF((DiscreteStatsTable[GroupByKey]=DiscreteStatsTable[[#This Row],[GroupByKey]]),(DiscreteStatsTable[GroupByKey]=DiscreteStatsTable[[#This Row],[GroupByKey]])*DiscreteStatsTable[Replication]))</f>
        <v>10</v>
      </c>
      <c r="Y493">
        <f>IF(DiscreteStatsTable[[#This Row],[RepsRequested]]=DiscreteStatsTable[[#This Row],[RepsWithStatObserved]],1,0)</f>
        <v>1</v>
      </c>
    </row>
    <row r="494" spans="1:25" x14ac:dyDescent="0.25">
      <c r="A494" t="s">
        <v>67</v>
      </c>
      <c r="B494" t="s">
        <v>243</v>
      </c>
      <c r="C494">
        <v>8</v>
      </c>
      <c r="D494" t="s">
        <v>110</v>
      </c>
      <c r="E494" t="s">
        <v>77</v>
      </c>
      <c r="F494" t="s">
        <v>76</v>
      </c>
      <c r="G494">
        <v>0</v>
      </c>
      <c r="H494">
        <v>0</v>
      </c>
      <c r="I494">
        <v>0</v>
      </c>
      <c r="J494">
        <v>0</v>
      </c>
      <c r="K494">
        <v>1412</v>
      </c>
      <c r="L494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494" cm="1">
        <f t="array" ref="M494">MAX(IF((ProjectInfoTable[ProjectName]=DiscreteStatsTable[[#This Row],[ProjectName]]),(ProjectInfoTable[ProjectName]=DiscreteStatsTable[[#This Row],[ProjectName]])*ProjectInfoTable[NumberOfReplications]))</f>
        <v>10</v>
      </c>
      <c r="N494" cm="1">
        <f t="array" ref="N494">IFERROR(AVERAGE(IF((DiscreteStatsTable[GroupByKey]=DiscreteStatsTable[[#This Row],[GroupByKey]]),(DiscreteStatsTable[GroupByKey]=DiscreteStatsTable[[#This Row],[GroupByKey]])*DiscreteStatsTable[Average])),0)</f>
        <v>0</v>
      </c>
      <c r="O494" cm="1">
        <f t="array" ref="O494">IFERROR(_xlfn.STDEV.S(IF((DiscreteStatsTable[GroupByKey]=DiscreteStatsTable[[#This Row],[GroupByKey]]),(DiscreteStatsTable[GroupByKey]=DiscreteStatsTable[[#This Row],[GroupByKey]])*DiscreteStatsTable[Average])),0)</f>
        <v>0</v>
      </c>
      <c r="P494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4" cm="1">
        <f t="array" ref="R494">MIN(IF((DiscreteStatsTable[GroupByKey]=DiscreteStatsTable[[#This Row],[GroupByKey]]),(DiscreteStatsTable[GroupByKey]=DiscreteStatsTable[[#This Row],[GroupByKey]])*DiscreteStatsTable[Average]))</f>
        <v>0</v>
      </c>
      <c r="S494" cm="1">
        <f t="array" ref="S494">MAX(IF((DiscreteStatsTable[GroupByKey]=DiscreteStatsTable[[#This Row],[GroupByKey]]),(DiscreteStatsTable[GroupByKey]=DiscreteStatsTable[[#This Row],[GroupByKey]])*DiscreteStatsTable[Average]))</f>
        <v>0</v>
      </c>
      <c r="T494" cm="1">
        <f t="array" ref="T494">MIN(IF((DiscreteStatsTable[GroupByKey]=DiscreteStatsTable[[#This Row],[GroupByKey]]),(DiscreteStatsTable[GroupByKey]=DiscreteStatsTable[[#This Row],[GroupByKey]])*DiscreteStatsTable[Minimum]))</f>
        <v>0</v>
      </c>
      <c r="U494" cm="1">
        <f t="array" ref="U494">MAX(IF((DiscreteStatsTable[GroupByKey]=DiscreteStatsTable[[#This Row],[GroupByKey]]),(DiscreteStatsTable[GroupByKey]=DiscreteStatsTable[[#This Row],[GroupByKey]])*DiscreteStatsTable[Maximum]))</f>
        <v>0</v>
      </c>
      <c r="V494" cm="1">
        <f t="array" ref="V494">IFERROR(AVERAGE(IF((DiscreteStatsTable[GroupByKey]=DiscreteStatsTable[[#This Row],[GroupByKey]]),(DiscreteStatsTable[GroupByKey]=DiscreteStatsTable[[#This Row],[GroupByKey]])*DiscreteStatsTable[NumberObservations])),0)</f>
        <v>1412.8</v>
      </c>
      <c r="W494">
        <f>IF((DiscreteStatsTable[[#This Row],[RepsRequested]]&gt;1),DiscreteStatsTable[[#This Row],[HalfWidth]],DiscreteStatsTable[[#This Row],[BatchMeansHalfWidth]])</f>
        <v>0</v>
      </c>
      <c r="X494" cm="1">
        <f t="array" ref="X494">COUNT(IF((DiscreteStatsTable[GroupByKey]=DiscreteStatsTable[[#This Row],[GroupByKey]]),(DiscreteStatsTable[GroupByKey]=DiscreteStatsTable[[#This Row],[GroupByKey]])*DiscreteStatsTable[Replication]))</f>
        <v>10</v>
      </c>
      <c r="Y494">
        <f>IF(DiscreteStatsTable[[#This Row],[RepsRequested]]=DiscreteStatsTable[[#This Row],[RepsWithStatObserved]],1,0)</f>
        <v>1</v>
      </c>
    </row>
    <row r="495" spans="1:25" x14ac:dyDescent="0.25">
      <c r="A495" t="s">
        <v>67</v>
      </c>
      <c r="B495" t="s">
        <v>243</v>
      </c>
      <c r="C495">
        <v>8</v>
      </c>
      <c r="D495" t="s">
        <v>110</v>
      </c>
      <c r="E495" t="s">
        <v>78</v>
      </c>
      <c r="F495" t="s">
        <v>76</v>
      </c>
      <c r="G495">
        <v>649.19696730585304</v>
      </c>
      <c r="H495">
        <v>9.2477341563481694</v>
      </c>
      <c r="I495">
        <v>130.11965282147901</v>
      </c>
      <c r="J495">
        <v>732.913853587321</v>
      </c>
      <c r="K495">
        <v>1412</v>
      </c>
      <c r="L495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495" cm="1">
        <f t="array" ref="M495">MAX(IF((ProjectInfoTable[ProjectName]=DiscreteStatsTable[[#This Row],[ProjectName]]),(ProjectInfoTable[ProjectName]=DiscreteStatsTable[[#This Row],[ProjectName]])*ProjectInfoTable[NumberOfReplications]))</f>
        <v>10</v>
      </c>
      <c r="N495" cm="1">
        <f t="array" ref="N495">IFERROR(AVERAGE(IF((DiscreteStatsTable[GroupByKey]=DiscreteStatsTable[[#This Row],[GroupByKey]]),(DiscreteStatsTable[GroupByKey]=DiscreteStatsTable[[#This Row],[GroupByKey]])*DiscreteStatsTable[Average])),0)</f>
        <v>648.63734791108345</v>
      </c>
      <c r="O495" cm="1">
        <f t="array" ref="O495">IFERROR(_xlfn.STDEV.S(IF((DiscreteStatsTable[GroupByKey]=DiscreteStatsTable[[#This Row],[GroupByKey]]),(DiscreteStatsTable[GroupByKey]=DiscreteStatsTable[[#This Row],[GroupByKey]])*DiscreteStatsTable[Average])),0)</f>
        <v>5.4092947484755589</v>
      </c>
      <c r="P49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3.8695763547528403</v>
      </c>
      <c r="R495" cm="1">
        <f t="array" ref="R495">MIN(IF((DiscreteStatsTable[GroupByKey]=DiscreteStatsTable[[#This Row],[GroupByKey]]),(DiscreteStatsTable[GroupByKey]=DiscreteStatsTable[[#This Row],[GroupByKey]])*DiscreteStatsTable[Average]))</f>
        <v>639.97478427335204</v>
      </c>
      <c r="S495" cm="1">
        <f t="array" ref="S495">MAX(IF((DiscreteStatsTable[GroupByKey]=DiscreteStatsTable[[#This Row],[GroupByKey]]),(DiscreteStatsTable[GroupByKey]=DiscreteStatsTable[[#This Row],[GroupByKey]])*DiscreteStatsTable[Average]))</f>
        <v>657.59073514207705</v>
      </c>
      <c r="T495" cm="1">
        <f t="array" ref="T495">MIN(IF((DiscreteStatsTable[GroupByKey]=DiscreteStatsTable[[#This Row],[GroupByKey]]),(DiscreteStatsTable[GroupByKey]=DiscreteStatsTable[[#This Row],[GroupByKey]])*DiscreteStatsTable[Minimum]))</f>
        <v>126.191556433689</v>
      </c>
      <c r="U495" cm="1">
        <f t="array" ref="U495">MAX(IF((DiscreteStatsTable[GroupByKey]=DiscreteStatsTable[[#This Row],[GroupByKey]]),(DiscreteStatsTable[GroupByKey]=DiscreteStatsTable[[#This Row],[GroupByKey]])*DiscreteStatsTable[Maximum]))</f>
        <v>738.20739202885295</v>
      </c>
      <c r="V495" cm="1">
        <f t="array" ref="V495">IFERROR(AVERAGE(IF((DiscreteStatsTable[GroupByKey]=DiscreteStatsTable[[#This Row],[GroupByKey]]),(DiscreteStatsTable[GroupByKey]=DiscreteStatsTable[[#This Row],[GroupByKey]])*DiscreteStatsTable[NumberObservations])),0)</f>
        <v>1412.8</v>
      </c>
      <c r="W495">
        <f>IF((DiscreteStatsTable[[#This Row],[RepsRequested]]&gt;1),DiscreteStatsTable[[#This Row],[HalfWidth]],DiscreteStatsTable[[#This Row],[BatchMeansHalfWidth]])</f>
        <v>3.8695763547528403</v>
      </c>
      <c r="X495" cm="1">
        <f t="array" ref="X495">COUNT(IF((DiscreteStatsTable[GroupByKey]=DiscreteStatsTable[[#This Row],[GroupByKey]]),(DiscreteStatsTable[GroupByKey]=DiscreteStatsTable[[#This Row],[GroupByKey]])*DiscreteStatsTable[Replication]))</f>
        <v>10</v>
      </c>
      <c r="Y495">
        <f>IF(DiscreteStatsTable[[#This Row],[RepsRequested]]=DiscreteStatsTable[[#This Row],[RepsWithStatObserved]],1,0)</f>
        <v>1</v>
      </c>
    </row>
    <row r="496" spans="1:25" x14ac:dyDescent="0.25">
      <c r="A496" t="s">
        <v>67</v>
      </c>
      <c r="B496" t="s">
        <v>243</v>
      </c>
      <c r="C496">
        <v>8</v>
      </c>
      <c r="D496" t="s">
        <v>110</v>
      </c>
      <c r="E496" t="s">
        <v>79</v>
      </c>
      <c r="F496" t="s">
        <v>76</v>
      </c>
      <c r="G496">
        <v>82701.3289873717</v>
      </c>
      <c r="H496">
        <v>3E+20</v>
      </c>
      <c r="I496">
        <v>457.202442581296</v>
      </c>
      <c r="J496">
        <v>179654.10062949001</v>
      </c>
      <c r="K496">
        <v>1412</v>
      </c>
      <c r="L496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496" cm="1">
        <f t="array" ref="M496">MAX(IF((ProjectInfoTable[ProjectName]=DiscreteStatsTable[[#This Row],[ProjectName]]),(ProjectInfoTable[ProjectName]=DiscreteStatsTable[[#This Row],[ProjectName]])*ProjectInfoTable[NumberOfReplications]))</f>
        <v>10</v>
      </c>
      <c r="N496" cm="1">
        <f t="array" ref="N496">IFERROR(AVERAGE(IF((DiscreteStatsTable[GroupByKey]=DiscreteStatsTable[[#This Row],[GroupByKey]]),(DiscreteStatsTable[GroupByKey]=DiscreteStatsTable[[#This Row],[GroupByKey]])*DiscreteStatsTable[Average])),0)</f>
        <v>83209.725766173768</v>
      </c>
      <c r="O496" cm="1">
        <f t="array" ref="O496">IFERROR(_xlfn.STDEV.S(IF((DiscreteStatsTable[GroupByKey]=DiscreteStatsTable[[#This Row],[GroupByKey]]),(DiscreteStatsTable[GroupByKey]=DiscreteStatsTable[[#This Row],[GroupByKey]])*DiscreteStatsTable[Average])),0)</f>
        <v>448.75835323214818</v>
      </c>
      <c r="P496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321.02238709664016</v>
      </c>
      <c r="R496" cm="1">
        <f t="array" ref="R496">MIN(IF((DiscreteStatsTable[GroupByKey]=DiscreteStatsTable[[#This Row],[GroupByKey]]),(DiscreteStatsTable[GroupByKey]=DiscreteStatsTable[[#This Row],[GroupByKey]])*DiscreteStatsTable[Average]))</f>
        <v>82701.3289873717</v>
      </c>
      <c r="S496" cm="1">
        <f t="array" ref="S496">MAX(IF((DiscreteStatsTable[GroupByKey]=DiscreteStatsTable[[#This Row],[GroupByKey]]),(DiscreteStatsTable[GroupByKey]=DiscreteStatsTable[[#This Row],[GroupByKey]])*DiscreteStatsTable[Average]))</f>
        <v>84117.798290527702</v>
      </c>
      <c r="T496" cm="1">
        <f t="array" ref="T496">MIN(IF((DiscreteStatsTable[GroupByKey]=DiscreteStatsTable[[#This Row],[GroupByKey]]),(DiscreteStatsTable[GroupByKey]=DiscreteStatsTable[[#This Row],[GroupByKey]])*DiscreteStatsTable[Minimum]))</f>
        <v>340.54300832225601</v>
      </c>
      <c r="U496" cm="1">
        <f t="array" ref="U496">MAX(IF((DiscreteStatsTable[GroupByKey]=DiscreteStatsTable[[#This Row],[GroupByKey]]),(DiscreteStatsTable[GroupByKey]=DiscreteStatsTable[[#This Row],[GroupByKey]])*DiscreteStatsTable[Maximum]))</f>
        <v>184239.085713487</v>
      </c>
      <c r="V496" cm="1">
        <f t="array" ref="V496">IFERROR(AVERAGE(IF((DiscreteStatsTable[GroupByKey]=DiscreteStatsTable[[#This Row],[GroupByKey]]),(DiscreteStatsTable[GroupByKey]=DiscreteStatsTable[[#This Row],[GroupByKey]])*DiscreteStatsTable[NumberObservations])),0)</f>
        <v>1412.8</v>
      </c>
      <c r="W496">
        <f>IF((DiscreteStatsTable[[#This Row],[RepsRequested]]&gt;1),DiscreteStatsTable[[#This Row],[HalfWidth]],DiscreteStatsTable[[#This Row],[BatchMeansHalfWidth]])</f>
        <v>321.02238709664016</v>
      </c>
      <c r="X496" cm="1">
        <f t="array" ref="X496">COUNT(IF((DiscreteStatsTable[GroupByKey]=DiscreteStatsTable[[#This Row],[GroupByKey]]),(DiscreteStatsTable[GroupByKey]=DiscreteStatsTable[[#This Row],[GroupByKey]])*DiscreteStatsTable[Replication]))</f>
        <v>10</v>
      </c>
      <c r="Y496">
        <f>IF(DiscreteStatsTable[[#This Row],[RepsRequested]]=DiscreteStatsTable[[#This Row],[RepsWithStatObserved]],1,0)</f>
        <v>1</v>
      </c>
    </row>
    <row r="497" spans="1:25" x14ac:dyDescent="0.25">
      <c r="A497" t="s">
        <v>67</v>
      </c>
      <c r="B497" t="s">
        <v>243</v>
      </c>
      <c r="C497">
        <v>8</v>
      </c>
      <c r="D497" t="s">
        <v>110</v>
      </c>
      <c r="E497" t="s">
        <v>80</v>
      </c>
      <c r="F497" t="s">
        <v>76</v>
      </c>
      <c r="G497">
        <v>0</v>
      </c>
      <c r="H497">
        <v>0</v>
      </c>
      <c r="I497">
        <v>0</v>
      </c>
      <c r="J497">
        <v>0</v>
      </c>
      <c r="K497">
        <v>1412</v>
      </c>
      <c r="L497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497" cm="1">
        <f t="array" ref="M497">MAX(IF((ProjectInfoTable[ProjectName]=DiscreteStatsTable[[#This Row],[ProjectName]]),(ProjectInfoTable[ProjectName]=DiscreteStatsTable[[#This Row],[ProjectName]])*ProjectInfoTable[NumberOfReplications]))</f>
        <v>10</v>
      </c>
      <c r="N497" cm="1">
        <f t="array" ref="N497">IFERROR(AVERAGE(IF((DiscreteStatsTable[GroupByKey]=DiscreteStatsTable[[#This Row],[GroupByKey]]),(DiscreteStatsTable[GroupByKey]=DiscreteStatsTable[[#This Row],[GroupByKey]])*DiscreteStatsTable[Average])),0)</f>
        <v>0</v>
      </c>
      <c r="O497" cm="1">
        <f t="array" ref="O497">IFERROR(_xlfn.STDEV.S(IF((DiscreteStatsTable[GroupByKey]=DiscreteStatsTable[[#This Row],[GroupByKey]]),(DiscreteStatsTable[GroupByKey]=DiscreteStatsTable[[#This Row],[GroupByKey]])*DiscreteStatsTable[Average])),0)</f>
        <v>0</v>
      </c>
      <c r="P497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7" cm="1">
        <f t="array" ref="R497">MIN(IF((DiscreteStatsTable[GroupByKey]=DiscreteStatsTable[[#This Row],[GroupByKey]]),(DiscreteStatsTable[GroupByKey]=DiscreteStatsTable[[#This Row],[GroupByKey]])*DiscreteStatsTable[Average]))</f>
        <v>0</v>
      </c>
      <c r="S497" cm="1">
        <f t="array" ref="S497">MAX(IF((DiscreteStatsTable[GroupByKey]=DiscreteStatsTable[[#This Row],[GroupByKey]]),(DiscreteStatsTable[GroupByKey]=DiscreteStatsTable[[#This Row],[GroupByKey]])*DiscreteStatsTable[Average]))</f>
        <v>0</v>
      </c>
      <c r="T497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cm="1">
        <f t="array" ref="U497">MAX(IF((DiscreteStatsTable[GroupByKey]=DiscreteStatsTable[[#This Row],[GroupByKey]]),(DiscreteStatsTable[GroupByKey]=DiscreteStatsTable[[#This Row],[GroupByKey]])*DiscreteStatsTable[Maximum]))</f>
        <v>0</v>
      </c>
      <c r="V497" cm="1">
        <f t="array" ref="V497">IFERROR(AVERAGE(IF((DiscreteStatsTable[GroupByKey]=DiscreteStatsTable[[#This Row],[GroupByKey]]),(DiscreteStatsTable[GroupByKey]=DiscreteStatsTable[[#This Row],[GroupByKey]])*DiscreteStatsTable[NumberObservations])),0)</f>
        <v>1412.8</v>
      </c>
      <c r="W497">
        <f>IF((DiscreteStatsTable[[#This Row],[RepsRequested]]&gt;1),DiscreteStatsTable[[#This Row],[HalfWidth]],DiscreteStatsTable[[#This Row],[BatchMeansHalfWidth]])</f>
        <v>0</v>
      </c>
      <c r="X497" cm="1">
        <f t="array" ref="X497">COUNT(IF((DiscreteStatsTable[GroupByKey]=DiscreteStatsTable[[#This Row],[GroupByKey]]),(DiscreteStatsTable[GroupByKey]=DiscreteStatsTable[[#This Row],[GroupByKey]])*DiscreteStatsTable[Replication]))</f>
        <v>10</v>
      </c>
      <c r="Y497">
        <f>IF(DiscreteStatsTable[[#This Row],[RepsRequested]]=DiscreteStatsTable[[#This Row],[RepsWithStatObserved]],1,0)</f>
        <v>1</v>
      </c>
    </row>
    <row r="498" spans="1:25" x14ac:dyDescent="0.25">
      <c r="A498" t="s">
        <v>67</v>
      </c>
      <c r="B498" t="s">
        <v>243</v>
      </c>
      <c r="C498">
        <v>8</v>
      </c>
      <c r="D498" t="s">
        <v>110</v>
      </c>
      <c r="E498" t="s">
        <v>81</v>
      </c>
      <c r="F498" t="s">
        <v>76</v>
      </c>
      <c r="G498">
        <v>633.71110156074894</v>
      </c>
      <c r="H498">
        <v>8.7913944852478405</v>
      </c>
      <c r="I498">
        <v>126.73261405184201</v>
      </c>
      <c r="J498">
        <v>716.99413599091395</v>
      </c>
      <c r="K498">
        <v>1412</v>
      </c>
      <c r="L498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498" cm="1">
        <f t="array" ref="M498">MAX(IF((ProjectInfoTable[ProjectName]=DiscreteStatsTable[[#This Row],[ProjectName]]),(ProjectInfoTable[ProjectName]=DiscreteStatsTable[[#This Row],[ProjectName]])*ProjectInfoTable[NumberOfReplications]))</f>
        <v>10</v>
      </c>
      <c r="N498" cm="1">
        <f t="array" ref="N498">IFERROR(AVERAGE(IF((DiscreteStatsTable[GroupByKey]=DiscreteStatsTable[[#This Row],[GroupByKey]]),(DiscreteStatsTable[GroupByKey]=DiscreteStatsTable[[#This Row],[GroupByKey]])*DiscreteStatsTable[Average])),0)</f>
        <v>633.11198951993958</v>
      </c>
      <c r="O498" cm="1">
        <f t="array" ref="O498">IFERROR(_xlfn.STDEV.S(IF((DiscreteStatsTable[GroupByKey]=DiscreteStatsTable[[#This Row],[GroupByKey]]),(DiscreteStatsTable[GroupByKey]=DiscreteStatsTable[[#This Row],[GroupByKey]])*DiscreteStatsTable[Average])),0)</f>
        <v>5.2185990896039609</v>
      </c>
      <c r="P498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3.733160898240417</v>
      </c>
      <c r="R498" cm="1">
        <f t="array" ref="R498">MIN(IF((DiscreteStatsTable[GroupByKey]=DiscreteStatsTable[[#This Row],[GroupByKey]]),(DiscreteStatsTable[GroupByKey]=DiscreteStatsTable[[#This Row],[GroupByKey]])*DiscreteStatsTable[Average]))</f>
        <v>625.13033962757504</v>
      </c>
      <c r="S498" cm="1">
        <f t="array" ref="S498">MAX(IF((DiscreteStatsTable[GroupByKey]=DiscreteStatsTable[[#This Row],[GroupByKey]]),(DiscreteStatsTable[GroupByKey]=DiscreteStatsTable[[#This Row],[GroupByKey]])*DiscreteStatsTable[Average]))</f>
        <v>642.37502414826099</v>
      </c>
      <c r="T498" cm="1">
        <f t="array" ref="T498">MIN(IF((DiscreteStatsTable[GroupByKey]=DiscreteStatsTable[[#This Row],[GroupByKey]]),(DiscreteStatsTable[GroupByKey]=DiscreteStatsTable[[#This Row],[GroupByKey]])*DiscreteStatsTable[Minimum]))</f>
        <v>121.89425635771499</v>
      </c>
      <c r="U498" cm="1">
        <f t="array" ref="U498">MAX(IF((DiscreteStatsTable[GroupByKey]=DiscreteStatsTable[[#This Row],[GroupByKey]]),(DiscreteStatsTable[GroupByKey]=DiscreteStatsTable[[#This Row],[GroupByKey]])*DiscreteStatsTable[Maximum]))</f>
        <v>725.62892145654803</v>
      </c>
      <c r="V498" cm="1">
        <f t="array" ref="V498">IFERROR(AVERAGE(IF((DiscreteStatsTable[GroupByKey]=DiscreteStatsTable[[#This Row],[GroupByKey]]),(DiscreteStatsTable[GroupByKey]=DiscreteStatsTable[[#This Row],[GroupByKey]])*DiscreteStatsTable[NumberObservations])),0)</f>
        <v>1412.8</v>
      </c>
      <c r="W498">
        <f>IF((DiscreteStatsTable[[#This Row],[RepsRequested]]&gt;1),DiscreteStatsTable[[#This Row],[HalfWidth]],DiscreteStatsTable[[#This Row],[BatchMeansHalfWidth]])</f>
        <v>3.733160898240417</v>
      </c>
      <c r="X498" cm="1">
        <f t="array" ref="X498">COUNT(IF((DiscreteStatsTable[GroupByKey]=DiscreteStatsTable[[#This Row],[GroupByKey]]),(DiscreteStatsTable[GroupByKey]=DiscreteStatsTable[[#This Row],[GroupByKey]])*DiscreteStatsTable[Replication]))</f>
        <v>10</v>
      </c>
      <c r="Y498">
        <f>IF(DiscreteStatsTable[[#This Row],[RepsRequested]]=DiscreteStatsTable[[#This Row],[RepsWithStatObserved]],1,0)</f>
        <v>1</v>
      </c>
    </row>
    <row r="499" spans="1:25" x14ac:dyDescent="0.25">
      <c r="A499" t="s">
        <v>67</v>
      </c>
      <c r="B499" t="s">
        <v>243</v>
      </c>
      <c r="C499">
        <v>8</v>
      </c>
      <c r="D499" t="s">
        <v>110</v>
      </c>
      <c r="E499" t="s">
        <v>82</v>
      </c>
      <c r="F499" t="s">
        <v>76</v>
      </c>
      <c r="G499">
        <v>715054.89751382405</v>
      </c>
      <c r="H499">
        <v>3E+20</v>
      </c>
      <c r="I499">
        <v>1053.3941022880599</v>
      </c>
      <c r="J499">
        <v>1963619.11307858</v>
      </c>
      <c r="K499">
        <v>1412</v>
      </c>
      <c r="L499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499" cm="1">
        <f t="array" ref="M499">MAX(IF((ProjectInfoTable[ProjectName]=DiscreteStatsTable[[#This Row],[ProjectName]]),(ProjectInfoTable[ProjectName]=DiscreteStatsTable[[#This Row],[ProjectName]])*ProjectInfoTable[NumberOfReplications]))</f>
        <v>10</v>
      </c>
      <c r="N499" cm="1">
        <f t="array" ref="N499">IFERROR(AVERAGE(IF((DiscreteStatsTable[GroupByKey]=DiscreteStatsTable[[#This Row],[GroupByKey]]),(DiscreteStatsTable[GroupByKey]=DiscreteStatsTable[[#This Row],[GroupByKey]])*DiscreteStatsTable[Average])),0)</f>
        <v>715621.63686177903</v>
      </c>
      <c r="O499" cm="1">
        <f t="array" ref="O499">IFERROR(_xlfn.STDEV.S(IF((DiscreteStatsTable[GroupByKey]=DiscreteStatsTable[[#This Row],[GroupByKey]]),(DiscreteStatsTable[GroupByKey]=DiscreteStatsTable[[#This Row],[GroupByKey]])*DiscreteStatsTable[Average])),0)</f>
        <v>7103.5262745156242</v>
      </c>
      <c r="P499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5081.5565772188193</v>
      </c>
      <c r="R499" cm="1">
        <f t="array" ref="R499">MIN(IF((DiscreteStatsTable[GroupByKey]=DiscreteStatsTable[[#This Row],[GroupByKey]]),(DiscreteStatsTable[GroupByKey]=DiscreteStatsTable[[#This Row],[GroupByKey]])*DiscreteStatsTable[Average]))</f>
        <v>706040.14193379204</v>
      </c>
      <c r="S499" cm="1">
        <f t="array" ref="S499">MAX(IF((DiscreteStatsTable[GroupByKey]=DiscreteStatsTable[[#This Row],[GroupByKey]]),(DiscreteStatsTable[GroupByKey]=DiscreteStatsTable[[#This Row],[GroupByKey]])*DiscreteStatsTable[Average]))</f>
        <v>728712.78790280595</v>
      </c>
      <c r="T499" cm="1">
        <f t="array" ref="T499">MIN(IF((DiscreteStatsTable[GroupByKey]=DiscreteStatsTable[[#This Row],[GroupByKey]]),(DiscreteStatsTable[GroupByKey]=DiscreteStatsTable[[#This Row],[GroupByKey]])*DiscreteStatsTable[Minimum]))</f>
        <v>942.11081602343995</v>
      </c>
      <c r="U499" cm="1">
        <f t="array" ref="U499">MAX(IF((DiscreteStatsTable[GroupByKey]=DiscreteStatsTable[[#This Row],[GroupByKey]]),(DiscreteStatsTable[GroupByKey]=DiscreteStatsTable[[#This Row],[GroupByKey]])*DiscreteStatsTable[Maximum]))</f>
        <v>1975788.7077699299</v>
      </c>
      <c r="V499" cm="1">
        <f t="array" ref="V499">IFERROR(AVERAGE(IF((DiscreteStatsTable[GroupByKey]=DiscreteStatsTable[[#This Row],[GroupByKey]]),(DiscreteStatsTable[GroupByKey]=DiscreteStatsTable[[#This Row],[GroupByKey]])*DiscreteStatsTable[NumberObservations])),0)</f>
        <v>1412.8</v>
      </c>
      <c r="W499">
        <f>IF((DiscreteStatsTable[[#This Row],[RepsRequested]]&gt;1),DiscreteStatsTable[[#This Row],[HalfWidth]],DiscreteStatsTable[[#This Row],[BatchMeansHalfWidth]])</f>
        <v>5081.5565772188193</v>
      </c>
      <c r="X499" cm="1">
        <f t="array" ref="X499">COUNT(IF((DiscreteStatsTable[GroupByKey]=DiscreteStatsTable[[#This Row],[GroupByKey]]),(DiscreteStatsTable[GroupByKey]=DiscreteStatsTable[[#This Row],[GroupByKey]])*DiscreteStatsTable[Replication]))</f>
        <v>10</v>
      </c>
      <c r="Y499">
        <f>IF(DiscreteStatsTable[[#This Row],[RepsRequested]]=DiscreteStatsTable[[#This Row],[RepsWithStatObserved]],1,0)</f>
        <v>1</v>
      </c>
    </row>
    <row r="500" spans="1:25" x14ac:dyDescent="0.25">
      <c r="A500" t="s">
        <v>67</v>
      </c>
      <c r="B500" t="s">
        <v>243</v>
      </c>
      <c r="C500">
        <v>9</v>
      </c>
      <c r="D500" t="s">
        <v>110</v>
      </c>
      <c r="E500" t="s">
        <v>77</v>
      </c>
      <c r="F500" t="s">
        <v>76</v>
      </c>
      <c r="G500">
        <v>0</v>
      </c>
      <c r="H500">
        <v>0</v>
      </c>
      <c r="I500">
        <v>0</v>
      </c>
      <c r="J500">
        <v>0</v>
      </c>
      <c r="K500">
        <v>1415</v>
      </c>
      <c r="L500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500" cm="1">
        <f t="array" ref="M500">MAX(IF((ProjectInfoTable[ProjectName]=DiscreteStatsTable[[#This Row],[ProjectName]]),(ProjectInfoTable[ProjectName]=DiscreteStatsTable[[#This Row],[ProjectName]])*ProjectInfoTable[NumberOfReplications]))</f>
        <v>10</v>
      </c>
      <c r="N500" cm="1">
        <f t="array" ref="N500">IFERROR(AVERAGE(IF((DiscreteStatsTable[GroupByKey]=DiscreteStatsTable[[#This Row],[GroupByKey]]),(DiscreteStatsTable[GroupByKey]=DiscreteStatsTable[[#This Row],[GroupByKey]])*DiscreteStatsTable[Average])),0)</f>
        <v>0</v>
      </c>
      <c r="O500" cm="1">
        <f t="array" ref="O500">IFERROR(_xlfn.STDEV.S(IF((DiscreteStatsTable[GroupByKey]=DiscreteStatsTable[[#This Row],[GroupByKey]]),(DiscreteStatsTable[GroupByKey]=DiscreteStatsTable[[#This Row],[GroupByKey]])*DiscreteStatsTable[Average])),0)</f>
        <v>0</v>
      </c>
      <c r="P500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0" cm="1">
        <f t="array" ref="R500">MIN(IF((DiscreteStatsTable[GroupByKey]=DiscreteStatsTable[[#This Row],[GroupByKey]]),(DiscreteStatsTable[GroupByKey]=DiscreteStatsTable[[#This Row],[GroupByKey]])*DiscreteStatsTable[Average]))</f>
        <v>0</v>
      </c>
      <c r="S500" cm="1">
        <f t="array" ref="S500">MAX(IF((DiscreteStatsTable[GroupByKey]=DiscreteStatsTable[[#This Row],[GroupByKey]]),(DiscreteStatsTable[GroupByKey]=DiscreteStatsTable[[#This Row],[GroupByKey]])*DiscreteStatsTable[Average]))</f>
        <v>0</v>
      </c>
      <c r="T500" cm="1">
        <f t="array" ref="T500">MIN(IF((DiscreteStatsTable[GroupByKey]=DiscreteStatsTable[[#This Row],[GroupByKey]]),(DiscreteStatsTable[GroupByKey]=DiscreteStatsTable[[#This Row],[GroupByKey]])*DiscreteStatsTable[Minimum]))</f>
        <v>0</v>
      </c>
      <c r="U500" cm="1">
        <f t="array" ref="U500">MAX(IF((DiscreteStatsTable[GroupByKey]=DiscreteStatsTable[[#This Row],[GroupByKey]]),(DiscreteStatsTable[GroupByKey]=DiscreteStatsTable[[#This Row],[GroupByKey]])*DiscreteStatsTable[Maximum]))</f>
        <v>0</v>
      </c>
      <c r="V500" cm="1">
        <f t="array" ref="V500">IFERROR(AVERAGE(IF((DiscreteStatsTable[GroupByKey]=DiscreteStatsTable[[#This Row],[GroupByKey]]),(DiscreteStatsTable[GroupByKey]=DiscreteStatsTable[[#This Row],[GroupByKey]])*DiscreteStatsTable[NumberObservations])),0)</f>
        <v>1412.8</v>
      </c>
      <c r="W500">
        <f>IF((DiscreteStatsTable[[#This Row],[RepsRequested]]&gt;1),DiscreteStatsTable[[#This Row],[HalfWidth]],DiscreteStatsTable[[#This Row],[BatchMeansHalfWidth]])</f>
        <v>0</v>
      </c>
      <c r="X500" cm="1">
        <f t="array" ref="X500">COUNT(IF((DiscreteStatsTable[GroupByKey]=DiscreteStatsTable[[#This Row],[GroupByKey]]),(DiscreteStatsTable[GroupByKey]=DiscreteStatsTable[[#This Row],[GroupByKey]])*DiscreteStatsTable[Replication]))</f>
        <v>10</v>
      </c>
      <c r="Y500">
        <f>IF(DiscreteStatsTable[[#This Row],[RepsRequested]]=DiscreteStatsTable[[#This Row],[RepsWithStatObserved]],1,0)</f>
        <v>1</v>
      </c>
    </row>
    <row r="501" spans="1:25" x14ac:dyDescent="0.25">
      <c r="A501" t="s">
        <v>67</v>
      </c>
      <c r="B501" t="s">
        <v>243</v>
      </c>
      <c r="C501">
        <v>9</v>
      </c>
      <c r="D501" t="s">
        <v>110</v>
      </c>
      <c r="E501" t="s">
        <v>78</v>
      </c>
      <c r="F501" t="s">
        <v>76</v>
      </c>
      <c r="G501">
        <v>647.74817233581098</v>
      </c>
      <c r="H501">
        <v>8.8623765424860608</v>
      </c>
      <c r="I501">
        <v>129.042350357922</v>
      </c>
      <c r="J501">
        <v>729.48145234526601</v>
      </c>
      <c r="K501">
        <v>1415</v>
      </c>
      <c r="L501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501" cm="1">
        <f t="array" ref="M501">MAX(IF((ProjectInfoTable[ProjectName]=DiscreteStatsTable[[#This Row],[ProjectName]]),(ProjectInfoTable[ProjectName]=DiscreteStatsTable[[#This Row],[ProjectName]])*ProjectInfoTable[NumberOfReplications]))</f>
        <v>10</v>
      </c>
      <c r="N501" cm="1">
        <f t="array" ref="N501">IFERROR(AVERAGE(IF((DiscreteStatsTable[GroupByKey]=DiscreteStatsTable[[#This Row],[GroupByKey]]),(DiscreteStatsTable[GroupByKey]=DiscreteStatsTable[[#This Row],[GroupByKey]])*DiscreteStatsTable[Average])),0)</f>
        <v>648.63734791108345</v>
      </c>
      <c r="O501" cm="1">
        <f t="array" ref="O501">IFERROR(_xlfn.STDEV.S(IF((DiscreteStatsTable[GroupByKey]=DiscreteStatsTable[[#This Row],[GroupByKey]]),(DiscreteStatsTable[GroupByKey]=DiscreteStatsTable[[#This Row],[GroupByKey]])*DiscreteStatsTable[Average])),0)</f>
        <v>5.4092947484755589</v>
      </c>
      <c r="P501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3.8695763547528403</v>
      </c>
      <c r="R501" cm="1">
        <f t="array" ref="R501">MIN(IF((DiscreteStatsTable[GroupByKey]=DiscreteStatsTable[[#This Row],[GroupByKey]]),(DiscreteStatsTable[GroupByKey]=DiscreteStatsTable[[#This Row],[GroupByKey]])*DiscreteStatsTable[Average]))</f>
        <v>639.97478427335204</v>
      </c>
      <c r="S501" cm="1">
        <f t="array" ref="S501">MAX(IF((DiscreteStatsTable[GroupByKey]=DiscreteStatsTable[[#This Row],[GroupByKey]]),(DiscreteStatsTable[GroupByKey]=DiscreteStatsTable[[#This Row],[GroupByKey]])*DiscreteStatsTable[Average]))</f>
        <v>657.59073514207705</v>
      </c>
      <c r="T501" cm="1">
        <f t="array" ref="T501">MIN(IF((DiscreteStatsTable[GroupByKey]=DiscreteStatsTable[[#This Row],[GroupByKey]]),(DiscreteStatsTable[GroupByKey]=DiscreteStatsTable[[#This Row],[GroupByKey]])*DiscreteStatsTable[Minimum]))</f>
        <v>126.191556433689</v>
      </c>
      <c r="U501" cm="1">
        <f t="array" ref="U501">MAX(IF((DiscreteStatsTable[GroupByKey]=DiscreteStatsTable[[#This Row],[GroupByKey]]),(DiscreteStatsTable[GroupByKey]=DiscreteStatsTable[[#This Row],[GroupByKey]])*DiscreteStatsTable[Maximum]))</f>
        <v>738.20739202885295</v>
      </c>
      <c r="V501" cm="1">
        <f t="array" ref="V501">IFERROR(AVERAGE(IF((DiscreteStatsTable[GroupByKey]=DiscreteStatsTable[[#This Row],[GroupByKey]]),(DiscreteStatsTable[GroupByKey]=DiscreteStatsTable[[#This Row],[GroupByKey]])*DiscreteStatsTable[NumberObservations])),0)</f>
        <v>1412.8</v>
      </c>
      <c r="W501">
        <f>IF((DiscreteStatsTable[[#This Row],[RepsRequested]]&gt;1),DiscreteStatsTable[[#This Row],[HalfWidth]],DiscreteStatsTable[[#This Row],[BatchMeansHalfWidth]])</f>
        <v>3.8695763547528403</v>
      </c>
      <c r="X501" cm="1">
        <f t="array" ref="X501">COUNT(IF((DiscreteStatsTable[GroupByKey]=DiscreteStatsTable[[#This Row],[GroupByKey]]),(DiscreteStatsTable[GroupByKey]=DiscreteStatsTable[[#This Row],[GroupByKey]])*DiscreteStatsTable[Replication]))</f>
        <v>10</v>
      </c>
      <c r="Y501">
        <f>IF(DiscreteStatsTable[[#This Row],[RepsRequested]]=DiscreteStatsTable[[#This Row],[RepsWithStatObserved]],1,0)</f>
        <v>1</v>
      </c>
    </row>
    <row r="502" spans="1:25" x14ac:dyDescent="0.25">
      <c r="A502" t="s">
        <v>67</v>
      </c>
      <c r="B502" t="s">
        <v>243</v>
      </c>
      <c r="C502">
        <v>9</v>
      </c>
      <c r="D502" t="s">
        <v>110</v>
      </c>
      <c r="E502" t="s">
        <v>79</v>
      </c>
      <c r="F502" t="s">
        <v>76</v>
      </c>
      <c r="G502">
        <v>83013.067114822901</v>
      </c>
      <c r="H502">
        <v>3E+20</v>
      </c>
      <c r="I502">
        <v>577.59693770604304</v>
      </c>
      <c r="J502">
        <v>183689.35512857299</v>
      </c>
      <c r="K502">
        <v>1415</v>
      </c>
      <c r="L502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502" cm="1">
        <f t="array" ref="M502">MAX(IF((ProjectInfoTable[ProjectName]=DiscreteStatsTable[[#This Row],[ProjectName]]),(ProjectInfoTable[ProjectName]=DiscreteStatsTable[[#This Row],[ProjectName]])*ProjectInfoTable[NumberOfReplications]))</f>
        <v>10</v>
      </c>
      <c r="N502" cm="1">
        <f t="array" ref="N502">IFERROR(AVERAGE(IF((DiscreteStatsTable[GroupByKey]=DiscreteStatsTable[[#This Row],[GroupByKey]]),(DiscreteStatsTable[GroupByKey]=DiscreteStatsTable[[#This Row],[GroupByKey]])*DiscreteStatsTable[Average])),0)</f>
        <v>83209.725766173768</v>
      </c>
      <c r="O502" cm="1">
        <f t="array" ref="O502">IFERROR(_xlfn.STDEV.S(IF((DiscreteStatsTable[GroupByKey]=DiscreteStatsTable[[#This Row],[GroupByKey]]),(DiscreteStatsTable[GroupByKey]=DiscreteStatsTable[[#This Row],[GroupByKey]])*DiscreteStatsTable[Average])),0)</f>
        <v>448.75835323214818</v>
      </c>
      <c r="P502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321.02238709664016</v>
      </c>
      <c r="R502" cm="1">
        <f t="array" ref="R502">MIN(IF((DiscreteStatsTable[GroupByKey]=DiscreteStatsTable[[#This Row],[GroupByKey]]),(DiscreteStatsTable[GroupByKey]=DiscreteStatsTable[[#This Row],[GroupByKey]])*DiscreteStatsTable[Average]))</f>
        <v>82701.3289873717</v>
      </c>
      <c r="S502" cm="1">
        <f t="array" ref="S502">MAX(IF((DiscreteStatsTable[GroupByKey]=DiscreteStatsTable[[#This Row],[GroupByKey]]),(DiscreteStatsTable[GroupByKey]=DiscreteStatsTable[[#This Row],[GroupByKey]])*DiscreteStatsTable[Average]))</f>
        <v>84117.798290527702</v>
      </c>
      <c r="T502" cm="1">
        <f t="array" ref="T502">MIN(IF((DiscreteStatsTable[GroupByKey]=DiscreteStatsTable[[#This Row],[GroupByKey]]),(DiscreteStatsTable[GroupByKey]=DiscreteStatsTable[[#This Row],[GroupByKey]])*DiscreteStatsTable[Minimum]))</f>
        <v>340.54300832225601</v>
      </c>
      <c r="U502" cm="1">
        <f t="array" ref="U502">MAX(IF((DiscreteStatsTable[GroupByKey]=DiscreteStatsTable[[#This Row],[GroupByKey]]),(DiscreteStatsTable[GroupByKey]=DiscreteStatsTable[[#This Row],[GroupByKey]])*DiscreteStatsTable[Maximum]))</f>
        <v>184239.085713487</v>
      </c>
      <c r="V502" cm="1">
        <f t="array" ref="V502">IFERROR(AVERAGE(IF((DiscreteStatsTable[GroupByKey]=DiscreteStatsTable[[#This Row],[GroupByKey]]),(DiscreteStatsTable[GroupByKey]=DiscreteStatsTable[[#This Row],[GroupByKey]])*DiscreteStatsTable[NumberObservations])),0)</f>
        <v>1412.8</v>
      </c>
      <c r="W502">
        <f>IF((DiscreteStatsTable[[#This Row],[RepsRequested]]&gt;1),DiscreteStatsTable[[#This Row],[HalfWidth]],DiscreteStatsTable[[#This Row],[BatchMeansHalfWidth]])</f>
        <v>321.02238709664016</v>
      </c>
      <c r="X502" cm="1">
        <f t="array" ref="X502">COUNT(IF((DiscreteStatsTable[GroupByKey]=DiscreteStatsTable[[#This Row],[GroupByKey]]),(DiscreteStatsTable[GroupByKey]=DiscreteStatsTable[[#This Row],[GroupByKey]])*DiscreteStatsTable[Replication]))</f>
        <v>10</v>
      </c>
      <c r="Y502">
        <f>IF(DiscreteStatsTable[[#This Row],[RepsRequested]]=DiscreteStatsTable[[#This Row],[RepsWithStatObserved]],1,0)</f>
        <v>1</v>
      </c>
    </row>
    <row r="503" spans="1:25" x14ac:dyDescent="0.25">
      <c r="A503" t="s">
        <v>67</v>
      </c>
      <c r="B503" t="s">
        <v>243</v>
      </c>
      <c r="C503">
        <v>9</v>
      </c>
      <c r="D503" t="s">
        <v>110</v>
      </c>
      <c r="E503" t="s">
        <v>80</v>
      </c>
      <c r="F503" t="s">
        <v>76</v>
      </c>
      <c r="G503">
        <v>0</v>
      </c>
      <c r="H503">
        <v>0</v>
      </c>
      <c r="I503">
        <v>0</v>
      </c>
      <c r="J503">
        <v>0</v>
      </c>
      <c r="K503">
        <v>1415</v>
      </c>
      <c r="L503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503" cm="1">
        <f t="array" ref="M503">MAX(IF((ProjectInfoTable[ProjectName]=DiscreteStatsTable[[#This Row],[ProjectName]]),(ProjectInfoTable[ProjectName]=DiscreteStatsTable[[#This Row],[ProjectName]])*ProjectInfoTable[NumberOfReplications]))</f>
        <v>10</v>
      </c>
      <c r="N503" cm="1">
        <f t="array" ref="N503">IFERROR(AVERAGE(IF((DiscreteStatsTable[GroupByKey]=DiscreteStatsTable[[#This Row],[GroupByKey]]),(DiscreteStatsTable[GroupByKey]=DiscreteStatsTable[[#This Row],[GroupByKey]])*DiscreteStatsTable[Average])),0)</f>
        <v>0</v>
      </c>
      <c r="O503" cm="1">
        <f t="array" ref="O503">IFERROR(_xlfn.STDEV.S(IF((DiscreteStatsTable[GroupByKey]=DiscreteStatsTable[[#This Row],[GroupByKey]]),(DiscreteStatsTable[GroupByKey]=DiscreteStatsTable[[#This Row],[GroupByKey]])*DiscreteStatsTable[Average])),0)</f>
        <v>0</v>
      </c>
      <c r="P503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3" cm="1">
        <f t="array" ref="R503">MIN(IF((DiscreteStatsTable[GroupByKey]=DiscreteStatsTable[[#This Row],[GroupByKey]]),(DiscreteStatsTable[GroupByKey]=DiscreteStatsTable[[#This Row],[GroupByKey]])*DiscreteStatsTable[Average]))</f>
        <v>0</v>
      </c>
      <c r="S503" cm="1">
        <f t="array" ref="S503">MAX(IF((DiscreteStatsTable[GroupByKey]=DiscreteStatsTable[[#This Row],[GroupByKey]]),(DiscreteStatsTable[GroupByKey]=DiscreteStatsTable[[#This Row],[GroupByKey]])*DiscreteStatsTable[Average]))</f>
        <v>0</v>
      </c>
      <c r="T503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cm="1">
        <f t="array" ref="U503">MAX(IF((DiscreteStatsTable[GroupByKey]=DiscreteStatsTable[[#This Row],[GroupByKey]]),(DiscreteStatsTable[GroupByKey]=DiscreteStatsTable[[#This Row],[GroupByKey]])*DiscreteStatsTable[Maximum]))</f>
        <v>0</v>
      </c>
      <c r="V503" cm="1">
        <f t="array" ref="V503">IFERROR(AVERAGE(IF((DiscreteStatsTable[GroupByKey]=DiscreteStatsTable[[#This Row],[GroupByKey]]),(DiscreteStatsTable[GroupByKey]=DiscreteStatsTable[[#This Row],[GroupByKey]])*DiscreteStatsTable[NumberObservations])),0)</f>
        <v>1412.8</v>
      </c>
      <c r="W503">
        <f>IF((DiscreteStatsTable[[#This Row],[RepsRequested]]&gt;1),DiscreteStatsTable[[#This Row],[HalfWidth]],DiscreteStatsTable[[#This Row],[BatchMeansHalfWidth]])</f>
        <v>0</v>
      </c>
      <c r="X503" cm="1">
        <f t="array" ref="X503">COUNT(IF((DiscreteStatsTable[GroupByKey]=DiscreteStatsTable[[#This Row],[GroupByKey]]),(DiscreteStatsTable[GroupByKey]=DiscreteStatsTable[[#This Row],[GroupByKey]])*DiscreteStatsTable[Replication]))</f>
        <v>10</v>
      </c>
      <c r="Y503">
        <f>IF(DiscreteStatsTable[[#This Row],[RepsRequested]]=DiscreteStatsTable[[#This Row],[RepsWithStatObserved]],1,0)</f>
        <v>1</v>
      </c>
    </row>
    <row r="504" spans="1:25" x14ac:dyDescent="0.25">
      <c r="A504" t="s">
        <v>67</v>
      </c>
      <c r="B504" t="s">
        <v>243</v>
      </c>
      <c r="C504">
        <v>9</v>
      </c>
      <c r="D504" t="s">
        <v>110</v>
      </c>
      <c r="E504" t="s">
        <v>81</v>
      </c>
      <c r="F504" t="s">
        <v>76</v>
      </c>
      <c r="G504">
        <v>632.12249927561902</v>
      </c>
      <c r="H504">
        <v>8.6030233388095905</v>
      </c>
      <c r="I504">
        <v>121.89425635771499</v>
      </c>
      <c r="J504">
        <v>720.61664698028505</v>
      </c>
      <c r="K504">
        <v>1415</v>
      </c>
      <c r="L504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504" cm="1">
        <f t="array" ref="M504">MAX(IF((ProjectInfoTable[ProjectName]=DiscreteStatsTable[[#This Row],[ProjectName]]),(ProjectInfoTable[ProjectName]=DiscreteStatsTable[[#This Row],[ProjectName]])*ProjectInfoTable[NumberOfReplications]))</f>
        <v>10</v>
      </c>
      <c r="N504" cm="1">
        <f t="array" ref="N504">IFERROR(AVERAGE(IF((DiscreteStatsTable[GroupByKey]=DiscreteStatsTable[[#This Row],[GroupByKey]]),(DiscreteStatsTable[GroupByKey]=DiscreteStatsTable[[#This Row],[GroupByKey]])*DiscreteStatsTable[Average])),0)</f>
        <v>633.11198951993958</v>
      </c>
      <c r="O504" cm="1">
        <f t="array" ref="O504">IFERROR(_xlfn.STDEV.S(IF((DiscreteStatsTable[GroupByKey]=DiscreteStatsTable[[#This Row],[GroupByKey]]),(DiscreteStatsTable[GroupByKey]=DiscreteStatsTable[[#This Row],[GroupByKey]])*DiscreteStatsTable[Average])),0)</f>
        <v>5.2185990896039609</v>
      </c>
      <c r="P504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3.733160898240417</v>
      </c>
      <c r="R504" cm="1">
        <f t="array" ref="R504">MIN(IF((DiscreteStatsTable[GroupByKey]=DiscreteStatsTable[[#This Row],[GroupByKey]]),(DiscreteStatsTable[GroupByKey]=DiscreteStatsTable[[#This Row],[GroupByKey]])*DiscreteStatsTable[Average]))</f>
        <v>625.13033962757504</v>
      </c>
      <c r="S504" cm="1">
        <f t="array" ref="S504">MAX(IF((DiscreteStatsTable[GroupByKey]=DiscreteStatsTable[[#This Row],[GroupByKey]]),(DiscreteStatsTable[GroupByKey]=DiscreteStatsTable[[#This Row],[GroupByKey]])*DiscreteStatsTable[Average]))</f>
        <v>642.37502414826099</v>
      </c>
      <c r="T504" cm="1">
        <f t="array" ref="T504">MIN(IF((DiscreteStatsTable[GroupByKey]=DiscreteStatsTable[[#This Row],[GroupByKey]]),(DiscreteStatsTable[GroupByKey]=DiscreteStatsTable[[#This Row],[GroupByKey]])*DiscreteStatsTable[Minimum]))</f>
        <v>121.89425635771499</v>
      </c>
      <c r="U504" cm="1">
        <f t="array" ref="U504">MAX(IF((DiscreteStatsTable[GroupByKey]=DiscreteStatsTable[[#This Row],[GroupByKey]]),(DiscreteStatsTable[GroupByKey]=DiscreteStatsTable[[#This Row],[GroupByKey]])*DiscreteStatsTable[Maximum]))</f>
        <v>725.62892145654803</v>
      </c>
      <c r="V504" cm="1">
        <f t="array" ref="V504">IFERROR(AVERAGE(IF((DiscreteStatsTable[GroupByKey]=DiscreteStatsTable[[#This Row],[GroupByKey]]),(DiscreteStatsTable[GroupByKey]=DiscreteStatsTable[[#This Row],[GroupByKey]])*DiscreteStatsTable[NumberObservations])),0)</f>
        <v>1412.8</v>
      </c>
      <c r="W504">
        <f>IF((DiscreteStatsTable[[#This Row],[RepsRequested]]&gt;1),DiscreteStatsTable[[#This Row],[HalfWidth]],DiscreteStatsTable[[#This Row],[BatchMeansHalfWidth]])</f>
        <v>3.733160898240417</v>
      </c>
      <c r="X504" cm="1">
        <f t="array" ref="X504">COUNT(IF((DiscreteStatsTable[GroupByKey]=DiscreteStatsTable[[#This Row],[GroupByKey]]),(DiscreteStatsTable[GroupByKey]=DiscreteStatsTable[[#This Row],[GroupByKey]])*DiscreteStatsTable[Replication]))</f>
        <v>10</v>
      </c>
      <c r="Y504">
        <f>IF(DiscreteStatsTable[[#This Row],[RepsRequested]]=DiscreteStatsTable[[#This Row],[RepsWithStatObserved]],1,0)</f>
        <v>1</v>
      </c>
    </row>
    <row r="505" spans="1:25" x14ac:dyDescent="0.25">
      <c r="A505" t="s">
        <v>67</v>
      </c>
      <c r="B505" t="s">
        <v>243</v>
      </c>
      <c r="C505">
        <v>9</v>
      </c>
      <c r="D505" t="s">
        <v>110</v>
      </c>
      <c r="E505" t="s">
        <v>82</v>
      </c>
      <c r="F505" t="s">
        <v>76</v>
      </c>
      <c r="G505">
        <v>715016.16089821805</v>
      </c>
      <c r="H505">
        <v>3E+20</v>
      </c>
      <c r="I505">
        <v>1928.1998650350799</v>
      </c>
      <c r="J505">
        <v>1966078.3667766</v>
      </c>
      <c r="K505">
        <v>1415</v>
      </c>
      <c r="L505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505" cm="1">
        <f t="array" ref="M505">MAX(IF((ProjectInfoTable[ProjectName]=DiscreteStatsTable[[#This Row],[ProjectName]]),(ProjectInfoTable[ProjectName]=DiscreteStatsTable[[#This Row],[ProjectName]])*ProjectInfoTable[NumberOfReplications]))</f>
        <v>10</v>
      </c>
      <c r="N505" cm="1">
        <f t="array" ref="N505">IFERROR(AVERAGE(IF((DiscreteStatsTable[GroupByKey]=DiscreteStatsTable[[#This Row],[GroupByKey]]),(DiscreteStatsTable[GroupByKey]=DiscreteStatsTable[[#This Row],[GroupByKey]])*DiscreteStatsTable[Average])),0)</f>
        <v>715621.63686177903</v>
      </c>
      <c r="O505" cm="1">
        <f t="array" ref="O505">IFERROR(_xlfn.STDEV.S(IF((DiscreteStatsTable[GroupByKey]=DiscreteStatsTable[[#This Row],[GroupByKey]]),(DiscreteStatsTable[GroupByKey]=DiscreteStatsTable[[#This Row],[GroupByKey]])*DiscreteStatsTable[Average])),0)</f>
        <v>7103.5262745156242</v>
      </c>
      <c r="P50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5081.5565772188193</v>
      </c>
      <c r="R505" cm="1">
        <f t="array" ref="R505">MIN(IF((DiscreteStatsTable[GroupByKey]=DiscreteStatsTable[[#This Row],[GroupByKey]]),(DiscreteStatsTable[GroupByKey]=DiscreteStatsTable[[#This Row],[GroupByKey]])*DiscreteStatsTable[Average]))</f>
        <v>706040.14193379204</v>
      </c>
      <c r="S505" cm="1">
        <f t="array" ref="S505">MAX(IF((DiscreteStatsTable[GroupByKey]=DiscreteStatsTable[[#This Row],[GroupByKey]]),(DiscreteStatsTable[GroupByKey]=DiscreteStatsTable[[#This Row],[GroupByKey]])*DiscreteStatsTable[Average]))</f>
        <v>728712.78790280595</v>
      </c>
      <c r="T505" cm="1">
        <f t="array" ref="T505">MIN(IF((DiscreteStatsTable[GroupByKey]=DiscreteStatsTable[[#This Row],[GroupByKey]]),(DiscreteStatsTable[GroupByKey]=DiscreteStatsTable[[#This Row],[GroupByKey]])*DiscreteStatsTable[Minimum]))</f>
        <v>942.11081602343995</v>
      </c>
      <c r="U505" cm="1">
        <f t="array" ref="U505">MAX(IF((DiscreteStatsTable[GroupByKey]=DiscreteStatsTable[[#This Row],[GroupByKey]]),(DiscreteStatsTable[GroupByKey]=DiscreteStatsTable[[#This Row],[GroupByKey]])*DiscreteStatsTable[Maximum]))</f>
        <v>1975788.7077699299</v>
      </c>
      <c r="V505" cm="1">
        <f t="array" ref="V505">IFERROR(AVERAGE(IF((DiscreteStatsTable[GroupByKey]=DiscreteStatsTable[[#This Row],[GroupByKey]]),(DiscreteStatsTable[GroupByKey]=DiscreteStatsTable[[#This Row],[GroupByKey]])*DiscreteStatsTable[NumberObservations])),0)</f>
        <v>1412.8</v>
      </c>
      <c r="W505">
        <f>IF((DiscreteStatsTable[[#This Row],[RepsRequested]]&gt;1),DiscreteStatsTable[[#This Row],[HalfWidth]],DiscreteStatsTable[[#This Row],[BatchMeansHalfWidth]])</f>
        <v>5081.5565772188193</v>
      </c>
      <c r="X505" cm="1">
        <f t="array" ref="X505">COUNT(IF((DiscreteStatsTable[GroupByKey]=DiscreteStatsTable[[#This Row],[GroupByKey]]),(DiscreteStatsTable[GroupByKey]=DiscreteStatsTable[[#This Row],[GroupByKey]])*DiscreteStatsTable[Replication]))</f>
        <v>10</v>
      </c>
      <c r="Y505">
        <f>IF(DiscreteStatsTable[[#This Row],[RepsRequested]]=DiscreteStatsTable[[#This Row],[RepsWithStatObserved]],1,0)</f>
        <v>1</v>
      </c>
    </row>
    <row r="506" spans="1:25" x14ac:dyDescent="0.25">
      <c r="A506" t="s">
        <v>67</v>
      </c>
      <c r="B506" t="s">
        <v>243</v>
      </c>
      <c r="C506">
        <v>10</v>
      </c>
      <c r="D506" t="s">
        <v>110</v>
      </c>
      <c r="E506" t="s">
        <v>77</v>
      </c>
      <c r="F506" t="s">
        <v>76</v>
      </c>
      <c r="G506">
        <v>0</v>
      </c>
      <c r="H506">
        <v>0</v>
      </c>
      <c r="I506">
        <v>0</v>
      </c>
      <c r="J506">
        <v>0</v>
      </c>
      <c r="K506">
        <v>1430</v>
      </c>
      <c r="L506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506" cm="1">
        <f t="array" ref="M506">MAX(IF((ProjectInfoTable[ProjectName]=DiscreteStatsTable[[#This Row],[ProjectName]]),(ProjectInfoTable[ProjectName]=DiscreteStatsTable[[#This Row],[ProjectName]])*ProjectInfoTable[NumberOfReplications]))</f>
        <v>10</v>
      </c>
      <c r="N506" cm="1">
        <f t="array" ref="N506">IFERROR(AVERAGE(IF((DiscreteStatsTable[GroupByKey]=DiscreteStatsTable[[#This Row],[GroupByKey]]),(DiscreteStatsTable[GroupByKey]=DiscreteStatsTable[[#This Row],[GroupByKey]])*DiscreteStatsTable[Average])),0)</f>
        <v>0</v>
      </c>
      <c r="O506" cm="1">
        <f t="array" ref="O506">IFERROR(_xlfn.STDEV.S(IF((DiscreteStatsTable[GroupByKey]=DiscreteStatsTable[[#This Row],[GroupByKey]]),(DiscreteStatsTable[GroupByKey]=DiscreteStatsTable[[#This Row],[GroupByKey]])*DiscreteStatsTable[Average])),0)</f>
        <v>0</v>
      </c>
      <c r="P506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6" cm="1">
        <f t="array" ref="R506">MIN(IF((DiscreteStatsTable[GroupByKey]=DiscreteStatsTable[[#This Row],[GroupByKey]]),(DiscreteStatsTable[GroupByKey]=DiscreteStatsTable[[#This Row],[GroupByKey]])*DiscreteStatsTable[Average]))</f>
        <v>0</v>
      </c>
      <c r="S506" cm="1">
        <f t="array" ref="S506">MAX(IF((DiscreteStatsTable[GroupByKey]=DiscreteStatsTable[[#This Row],[GroupByKey]]),(DiscreteStatsTable[GroupByKey]=DiscreteStatsTable[[#This Row],[GroupByKey]])*DiscreteStatsTable[Average]))</f>
        <v>0</v>
      </c>
      <c r="T506" cm="1">
        <f t="array" ref="T506">MIN(IF((DiscreteStatsTable[GroupByKey]=DiscreteStatsTable[[#This Row],[GroupByKey]]),(DiscreteStatsTable[GroupByKey]=DiscreteStatsTable[[#This Row],[GroupByKey]])*DiscreteStatsTable[Minimum]))</f>
        <v>0</v>
      </c>
      <c r="U506" cm="1">
        <f t="array" ref="U506">MAX(IF((DiscreteStatsTable[GroupByKey]=DiscreteStatsTable[[#This Row],[GroupByKey]]),(DiscreteStatsTable[GroupByKey]=DiscreteStatsTable[[#This Row],[GroupByKey]])*DiscreteStatsTable[Maximum]))</f>
        <v>0</v>
      </c>
      <c r="V506" cm="1">
        <f t="array" ref="V506">IFERROR(AVERAGE(IF((DiscreteStatsTable[GroupByKey]=DiscreteStatsTable[[#This Row],[GroupByKey]]),(DiscreteStatsTable[GroupByKey]=DiscreteStatsTable[[#This Row],[GroupByKey]])*DiscreteStatsTable[NumberObservations])),0)</f>
        <v>1412.8</v>
      </c>
      <c r="W506">
        <f>IF((DiscreteStatsTable[[#This Row],[RepsRequested]]&gt;1),DiscreteStatsTable[[#This Row],[HalfWidth]],DiscreteStatsTable[[#This Row],[BatchMeansHalfWidth]])</f>
        <v>0</v>
      </c>
      <c r="X506" cm="1">
        <f t="array" ref="X506">COUNT(IF((DiscreteStatsTable[GroupByKey]=DiscreteStatsTable[[#This Row],[GroupByKey]]),(DiscreteStatsTable[GroupByKey]=DiscreteStatsTable[[#This Row],[GroupByKey]])*DiscreteStatsTable[Replication]))</f>
        <v>10</v>
      </c>
      <c r="Y506">
        <f>IF(DiscreteStatsTable[[#This Row],[RepsRequested]]=DiscreteStatsTable[[#This Row],[RepsWithStatObserved]],1,0)</f>
        <v>1</v>
      </c>
    </row>
    <row r="507" spans="1:25" x14ac:dyDescent="0.25">
      <c r="A507" t="s">
        <v>67</v>
      </c>
      <c r="B507" t="s">
        <v>243</v>
      </c>
      <c r="C507">
        <v>10</v>
      </c>
      <c r="D507" t="s">
        <v>110</v>
      </c>
      <c r="E507" t="s">
        <v>78</v>
      </c>
      <c r="F507" t="s">
        <v>76</v>
      </c>
      <c r="G507">
        <v>639.97478427335204</v>
      </c>
      <c r="H507">
        <v>7.5966829148132904</v>
      </c>
      <c r="I507">
        <v>131.84528595480501</v>
      </c>
      <c r="J507">
        <v>727.24304467666695</v>
      </c>
      <c r="K507">
        <v>1430</v>
      </c>
      <c r="L507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507" cm="1">
        <f t="array" ref="M507">MAX(IF((ProjectInfoTable[ProjectName]=DiscreteStatsTable[[#This Row],[ProjectName]]),(ProjectInfoTable[ProjectName]=DiscreteStatsTable[[#This Row],[ProjectName]])*ProjectInfoTable[NumberOfReplications]))</f>
        <v>10</v>
      </c>
      <c r="N507" cm="1">
        <f t="array" ref="N507">IFERROR(AVERAGE(IF((DiscreteStatsTable[GroupByKey]=DiscreteStatsTable[[#This Row],[GroupByKey]]),(DiscreteStatsTable[GroupByKey]=DiscreteStatsTable[[#This Row],[GroupByKey]])*DiscreteStatsTable[Average])),0)</f>
        <v>648.63734791108345</v>
      </c>
      <c r="O507" cm="1">
        <f t="array" ref="O507">IFERROR(_xlfn.STDEV.S(IF((DiscreteStatsTable[GroupByKey]=DiscreteStatsTable[[#This Row],[GroupByKey]]),(DiscreteStatsTable[GroupByKey]=DiscreteStatsTable[[#This Row],[GroupByKey]])*DiscreteStatsTable[Average])),0)</f>
        <v>5.4092947484755589</v>
      </c>
      <c r="P507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3.8695763547528403</v>
      </c>
      <c r="R507" cm="1">
        <f t="array" ref="R507">MIN(IF((DiscreteStatsTable[GroupByKey]=DiscreteStatsTable[[#This Row],[GroupByKey]]),(DiscreteStatsTable[GroupByKey]=DiscreteStatsTable[[#This Row],[GroupByKey]])*DiscreteStatsTable[Average]))</f>
        <v>639.97478427335204</v>
      </c>
      <c r="S507" cm="1">
        <f t="array" ref="S507">MAX(IF((DiscreteStatsTable[GroupByKey]=DiscreteStatsTable[[#This Row],[GroupByKey]]),(DiscreteStatsTable[GroupByKey]=DiscreteStatsTable[[#This Row],[GroupByKey]])*DiscreteStatsTable[Average]))</f>
        <v>657.59073514207705</v>
      </c>
      <c r="T507" cm="1">
        <f t="array" ref="T507">MIN(IF((DiscreteStatsTable[GroupByKey]=DiscreteStatsTable[[#This Row],[GroupByKey]]),(DiscreteStatsTable[GroupByKey]=DiscreteStatsTable[[#This Row],[GroupByKey]])*DiscreteStatsTable[Minimum]))</f>
        <v>126.191556433689</v>
      </c>
      <c r="U507" cm="1">
        <f t="array" ref="U507">MAX(IF((DiscreteStatsTable[GroupByKey]=DiscreteStatsTable[[#This Row],[GroupByKey]]),(DiscreteStatsTable[GroupByKey]=DiscreteStatsTable[[#This Row],[GroupByKey]])*DiscreteStatsTable[Maximum]))</f>
        <v>738.20739202885295</v>
      </c>
      <c r="V507" cm="1">
        <f t="array" ref="V507">IFERROR(AVERAGE(IF((DiscreteStatsTable[GroupByKey]=DiscreteStatsTable[[#This Row],[GroupByKey]]),(DiscreteStatsTable[GroupByKey]=DiscreteStatsTable[[#This Row],[GroupByKey]])*DiscreteStatsTable[NumberObservations])),0)</f>
        <v>1412.8</v>
      </c>
      <c r="W507">
        <f>IF((DiscreteStatsTable[[#This Row],[RepsRequested]]&gt;1),DiscreteStatsTable[[#This Row],[HalfWidth]],DiscreteStatsTable[[#This Row],[BatchMeansHalfWidth]])</f>
        <v>3.8695763547528403</v>
      </c>
      <c r="X507" cm="1">
        <f t="array" ref="X507">COUNT(IF((DiscreteStatsTable[GroupByKey]=DiscreteStatsTable[[#This Row],[GroupByKey]]),(DiscreteStatsTable[GroupByKey]=DiscreteStatsTable[[#This Row],[GroupByKey]])*DiscreteStatsTable[Replication]))</f>
        <v>10</v>
      </c>
      <c r="Y507">
        <f>IF(DiscreteStatsTable[[#This Row],[RepsRequested]]=DiscreteStatsTable[[#This Row],[RepsWithStatObserved]],1,0)</f>
        <v>1</v>
      </c>
    </row>
    <row r="508" spans="1:25" x14ac:dyDescent="0.25">
      <c r="A508" t="s">
        <v>67</v>
      </c>
      <c r="B508" t="s">
        <v>243</v>
      </c>
      <c r="C508">
        <v>10</v>
      </c>
      <c r="D508" t="s">
        <v>110</v>
      </c>
      <c r="E508" t="s">
        <v>79</v>
      </c>
      <c r="F508" t="s">
        <v>76</v>
      </c>
      <c r="G508">
        <v>83371.945124083199</v>
      </c>
      <c r="H508">
        <v>3E+20</v>
      </c>
      <c r="I508">
        <v>646.85097409283503</v>
      </c>
      <c r="J508">
        <v>183883.45519866</v>
      </c>
      <c r="K508">
        <v>1430</v>
      </c>
      <c r="L508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508" cm="1">
        <f t="array" ref="M508">MAX(IF((ProjectInfoTable[ProjectName]=DiscreteStatsTable[[#This Row],[ProjectName]]),(ProjectInfoTable[ProjectName]=DiscreteStatsTable[[#This Row],[ProjectName]])*ProjectInfoTable[NumberOfReplications]))</f>
        <v>10</v>
      </c>
      <c r="N508" cm="1">
        <f t="array" ref="N508">IFERROR(AVERAGE(IF((DiscreteStatsTable[GroupByKey]=DiscreteStatsTable[[#This Row],[GroupByKey]]),(DiscreteStatsTable[GroupByKey]=DiscreteStatsTable[[#This Row],[GroupByKey]])*DiscreteStatsTable[Average])),0)</f>
        <v>83209.725766173768</v>
      </c>
      <c r="O508" cm="1">
        <f t="array" ref="O508">IFERROR(_xlfn.STDEV.S(IF((DiscreteStatsTable[GroupByKey]=DiscreteStatsTable[[#This Row],[GroupByKey]]),(DiscreteStatsTable[GroupByKey]=DiscreteStatsTable[[#This Row],[GroupByKey]])*DiscreteStatsTable[Average])),0)</f>
        <v>448.75835323214818</v>
      </c>
      <c r="P508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321.02238709664016</v>
      </c>
      <c r="R508" cm="1">
        <f t="array" ref="R508">MIN(IF((DiscreteStatsTable[GroupByKey]=DiscreteStatsTable[[#This Row],[GroupByKey]]),(DiscreteStatsTable[GroupByKey]=DiscreteStatsTable[[#This Row],[GroupByKey]])*DiscreteStatsTable[Average]))</f>
        <v>82701.3289873717</v>
      </c>
      <c r="S508" cm="1">
        <f t="array" ref="S508">MAX(IF((DiscreteStatsTable[GroupByKey]=DiscreteStatsTable[[#This Row],[GroupByKey]]),(DiscreteStatsTable[GroupByKey]=DiscreteStatsTable[[#This Row],[GroupByKey]])*DiscreteStatsTable[Average]))</f>
        <v>84117.798290527702</v>
      </c>
      <c r="T508" cm="1">
        <f t="array" ref="T508">MIN(IF((DiscreteStatsTable[GroupByKey]=DiscreteStatsTable[[#This Row],[GroupByKey]]),(DiscreteStatsTable[GroupByKey]=DiscreteStatsTable[[#This Row],[GroupByKey]])*DiscreteStatsTable[Minimum]))</f>
        <v>340.54300832225601</v>
      </c>
      <c r="U508" cm="1">
        <f t="array" ref="U508">MAX(IF((DiscreteStatsTable[GroupByKey]=DiscreteStatsTable[[#This Row],[GroupByKey]]),(DiscreteStatsTable[GroupByKey]=DiscreteStatsTable[[#This Row],[GroupByKey]])*DiscreteStatsTable[Maximum]))</f>
        <v>184239.085713487</v>
      </c>
      <c r="V508" cm="1">
        <f t="array" ref="V508">IFERROR(AVERAGE(IF((DiscreteStatsTable[GroupByKey]=DiscreteStatsTable[[#This Row],[GroupByKey]]),(DiscreteStatsTable[GroupByKey]=DiscreteStatsTable[[#This Row],[GroupByKey]])*DiscreteStatsTable[NumberObservations])),0)</f>
        <v>1412.8</v>
      </c>
      <c r="W508">
        <f>IF((DiscreteStatsTable[[#This Row],[RepsRequested]]&gt;1),DiscreteStatsTable[[#This Row],[HalfWidth]],DiscreteStatsTable[[#This Row],[BatchMeansHalfWidth]])</f>
        <v>321.02238709664016</v>
      </c>
      <c r="X508" cm="1">
        <f t="array" ref="X508">COUNT(IF((DiscreteStatsTable[GroupByKey]=DiscreteStatsTable[[#This Row],[GroupByKey]]),(DiscreteStatsTable[GroupByKey]=DiscreteStatsTable[[#This Row],[GroupByKey]])*DiscreteStatsTable[Replication]))</f>
        <v>10</v>
      </c>
      <c r="Y508">
        <f>IF(DiscreteStatsTable[[#This Row],[RepsRequested]]=DiscreteStatsTable[[#This Row],[RepsWithStatObserved]],1,0)</f>
        <v>1</v>
      </c>
    </row>
    <row r="509" spans="1:25" x14ac:dyDescent="0.25">
      <c r="A509" t="s">
        <v>67</v>
      </c>
      <c r="B509" t="s">
        <v>243</v>
      </c>
      <c r="C509">
        <v>10</v>
      </c>
      <c r="D509" t="s">
        <v>110</v>
      </c>
      <c r="E509" t="s">
        <v>80</v>
      </c>
      <c r="F509" t="s">
        <v>76</v>
      </c>
      <c r="G509">
        <v>0</v>
      </c>
      <c r="H509">
        <v>0</v>
      </c>
      <c r="I509">
        <v>0</v>
      </c>
      <c r="J509">
        <v>0</v>
      </c>
      <c r="K509">
        <v>1430</v>
      </c>
      <c r="L509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509" cm="1">
        <f t="array" ref="M509">MAX(IF((ProjectInfoTable[ProjectName]=DiscreteStatsTable[[#This Row],[ProjectName]]),(ProjectInfoTable[ProjectName]=DiscreteStatsTable[[#This Row],[ProjectName]])*ProjectInfoTable[NumberOfReplications]))</f>
        <v>10</v>
      </c>
      <c r="N509" cm="1">
        <f t="array" ref="N509">IFERROR(AVERAGE(IF((DiscreteStatsTable[GroupByKey]=DiscreteStatsTable[[#This Row],[GroupByKey]]),(DiscreteStatsTable[GroupByKey]=DiscreteStatsTable[[#This Row],[GroupByKey]])*DiscreteStatsTable[Average])),0)</f>
        <v>0</v>
      </c>
      <c r="O509" cm="1">
        <f t="array" ref="O509">IFERROR(_xlfn.STDEV.S(IF((DiscreteStatsTable[GroupByKey]=DiscreteStatsTable[[#This Row],[GroupByKey]]),(DiscreteStatsTable[GroupByKey]=DiscreteStatsTable[[#This Row],[GroupByKey]])*DiscreteStatsTable[Average])),0)</f>
        <v>0</v>
      </c>
      <c r="P509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9" cm="1">
        <f t="array" ref="R509">MIN(IF((DiscreteStatsTable[GroupByKey]=DiscreteStatsTable[[#This Row],[GroupByKey]]),(DiscreteStatsTable[GroupByKey]=DiscreteStatsTable[[#This Row],[GroupByKey]])*DiscreteStatsTable[Average]))</f>
        <v>0</v>
      </c>
      <c r="S509" cm="1">
        <f t="array" ref="S509">MAX(IF((DiscreteStatsTable[GroupByKey]=DiscreteStatsTable[[#This Row],[GroupByKey]]),(DiscreteStatsTable[GroupByKey]=DiscreteStatsTable[[#This Row],[GroupByKey]])*DiscreteStatsTable[Average]))</f>
        <v>0</v>
      </c>
      <c r="T509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cm="1">
        <f t="array" ref="U509">MAX(IF((DiscreteStatsTable[GroupByKey]=DiscreteStatsTable[[#This Row],[GroupByKey]]),(DiscreteStatsTable[GroupByKey]=DiscreteStatsTable[[#This Row],[GroupByKey]])*DiscreteStatsTable[Maximum]))</f>
        <v>0</v>
      </c>
      <c r="V509" cm="1">
        <f t="array" ref="V509">IFERROR(AVERAGE(IF((DiscreteStatsTable[GroupByKey]=DiscreteStatsTable[[#This Row],[GroupByKey]]),(DiscreteStatsTable[GroupByKey]=DiscreteStatsTable[[#This Row],[GroupByKey]])*DiscreteStatsTable[NumberObservations])),0)</f>
        <v>1412.8</v>
      </c>
      <c r="W509">
        <f>IF((DiscreteStatsTable[[#This Row],[RepsRequested]]&gt;1),DiscreteStatsTable[[#This Row],[HalfWidth]],DiscreteStatsTable[[#This Row],[BatchMeansHalfWidth]])</f>
        <v>0</v>
      </c>
      <c r="X509" cm="1">
        <f t="array" ref="X509">COUNT(IF((DiscreteStatsTable[GroupByKey]=DiscreteStatsTable[[#This Row],[GroupByKey]]),(DiscreteStatsTable[GroupByKey]=DiscreteStatsTable[[#This Row],[GroupByKey]])*DiscreteStatsTable[Replication]))</f>
        <v>10</v>
      </c>
      <c r="Y509">
        <f>IF(DiscreteStatsTable[[#This Row],[RepsRequested]]=DiscreteStatsTable[[#This Row],[RepsWithStatObserved]],1,0)</f>
        <v>1</v>
      </c>
    </row>
    <row r="510" spans="1:25" x14ac:dyDescent="0.25">
      <c r="A510" t="s">
        <v>67</v>
      </c>
      <c r="B510" t="s">
        <v>243</v>
      </c>
      <c r="C510">
        <v>10</v>
      </c>
      <c r="D510" t="s">
        <v>110</v>
      </c>
      <c r="E510" t="s">
        <v>81</v>
      </c>
      <c r="F510" t="s">
        <v>76</v>
      </c>
      <c r="G510">
        <v>625.13033962757504</v>
      </c>
      <c r="H510">
        <v>7.1746448128419402</v>
      </c>
      <c r="I510">
        <v>125.67640682001399</v>
      </c>
      <c r="J510">
        <v>715.69293352434795</v>
      </c>
      <c r="K510">
        <v>1430</v>
      </c>
      <c r="L510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510" cm="1">
        <f t="array" ref="M510">MAX(IF((ProjectInfoTable[ProjectName]=DiscreteStatsTable[[#This Row],[ProjectName]]),(ProjectInfoTable[ProjectName]=DiscreteStatsTable[[#This Row],[ProjectName]])*ProjectInfoTable[NumberOfReplications]))</f>
        <v>10</v>
      </c>
      <c r="N510" cm="1">
        <f t="array" ref="N510">IFERROR(AVERAGE(IF((DiscreteStatsTable[GroupByKey]=DiscreteStatsTable[[#This Row],[GroupByKey]]),(DiscreteStatsTable[GroupByKey]=DiscreteStatsTable[[#This Row],[GroupByKey]])*DiscreteStatsTable[Average])),0)</f>
        <v>633.11198951993958</v>
      </c>
      <c r="O510" cm="1">
        <f t="array" ref="O510">IFERROR(_xlfn.STDEV.S(IF((DiscreteStatsTable[GroupByKey]=DiscreteStatsTable[[#This Row],[GroupByKey]]),(DiscreteStatsTable[GroupByKey]=DiscreteStatsTable[[#This Row],[GroupByKey]])*DiscreteStatsTable[Average])),0)</f>
        <v>5.2185990896039609</v>
      </c>
      <c r="P510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3.733160898240417</v>
      </c>
      <c r="R510" cm="1">
        <f t="array" ref="R510">MIN(IF((DiscreteStatsTable[GroupByKey]=DiscreteStatsTable[[#This Row],[GroupByKey]]),(DiscreteStatsTable[GroupByKey]=DiscreteStatsTable[[#This Row],[GroupByKey]])*DiscreteStatsTable[Average]))</f>
        <v>625.13033962757504</v>
      </c>
      <c r="S510" cm="1">
        <f t="array" ref="S510">MAX(IF((DiscreteStatsTable[GroupByKey]=DiscreteStatsTable[[#This Row],[GroupByKey]]),(DiscreteStatsTable[GroupByKey]=DiscreteStatsTable[[#This Row],[GroupByKey]])*DiscreteStatsTable[Average]))</f>
        <v>642.37502414826099</v>
      </c>
      <c r="T510" cm="1">
        <f t="array" ref="T510">MIN(IF((DiscreteStatsTable[GroupByKey]=DiscreteStatsTable[[#This Row],[GroupByKey]]),(DiscreteStatsTable[GroupByKey]=DiscreteStatsTable[[#This Row],[GroupByKey]])*DiscreteStatsTable[Minimum]))</f>
        <v>121.89425635771499</v>
      </c>
      <c r="U510" cm="1">
        <f t="array" ref="U510">MAX(IF((DiscreteStatsTable[GroupByKey]=DiscreteStatsTable[[#This Row],[GroupByKey]]),(DiscreteStatsTable[GroupByKey]=DiscreteStatsTable[[#This Row],[GroupByKey]])*DiscreteStatsTable[Maximum]))</f>
        <v>725.62892145654803</v>
      </c>
      <c r="V510" cm="1">
        <f t="array" ref="V510">IFERROR(AVERAGE(IF((DiscreteStatsTable[GroupByKey]=DiscreteStatsTable[[#This Row],[GroupByKey]]),(DiscreteStatsTable[GroupByKey]=DiscreteStatsTable[[#This Row],[GroupByKey]])*DiscreteStatsTable[NumberObservations])),0)</f>
        <v>1412.8</v>
      </c>
      <c r="W510">
        <f>IF((DiscreteStatsTable[[#This Row],[RepsRequested]]&gt;1),DiscreteStatsTable[[#This Row],[HalfWidth]],DiscreteStatsTable[[#This Row],[BatchMeansHalfWidth]])</f>
        <v>3.733160898240417</v>
      </c>
      <c r="X510" cm="1">
        <f t="array" ref="X510">COUNT(IF((DiscreteStatsTable[GroupByKey]=DiscreteStatsTable[[#This Row],[GroupByKey]]),(DiscreteStatsTable[GroupByKey]=DiscreteStatsTable[[#This Row],[GroupByKey]])*DiscreteStatsTable[Replication]))</f>
        <v>10</v>
      </c>
      <c r="Y510">
        <f>IF(DiscreteStatsTable[[#This Row],[RepsRequested]]=DiscreteStatsTable[[#This Row],[RepsWithStatObserved]],1,0)</f>
        <v>1</v>
      </c>
    </row>
    <row r="511" spans="1:25" x14ac:dyDescent="0.25">
      <c r="A511" t="s">
        <v>67</v>
      </c>
      <c r="B511" t="s">
        <v>243</v>
      </c>
      <c r="C511">
        <v>10</v>
      </c>
      <c r="D511" t="s">
        <v>110</v>
      </c>
      <c r="E511" t="s">
        <v>82</v>
      </c>
      <c r="F511" t="s">
        <v>76</v>
      </c>
      <c r="G511">
        <v>710474.328296358</v>
      </c>
      <c r="H511">
        <v>3E+20</v>
      </c>
      <c r="I511">
        <v>3178.63281236579</v>
      </c>
      <c r="J511">
        <v>1969118.23401774</v>
      </c>
      <c r="K511">
        <v>1430</v>
      </c>
      <c r="L511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511" cm="1">
        <f t="array" ref="M511">MAX(IF((ProjectInfoTable[ProjectName]=DiscreteStatsTable[[#This Row],[ProjectName]]),(ProjectInfoTable[ProjectName]=DiscreteStatsTable[[#This Row],[ProjectName]])*ProjectInfoTable[NumberOfReplications]))</f>
        <v>10</v>
      </c>
      <c r="N511" cm="1">
        <f t="array" ref="N511">IFERROR(AVERAGE(IF((DiscreteStatsTable[GroupByKey]=DiscreteStatsTable[[#This Row],[GroupByKey]]),(DiscreteStatsTable[GroupByKey]=DiscreteStatsTable[[#This Row],[GroupByKey]])*DiscreteStatsTable[Average])),0)</f>
        <v>715621.63686177903</v>
      </c>
      <c r="O511" cm="1">
        <f t="array" ref="O511">IFERROR(_xlfn.STDEV.S(IF((DiscreteStatsTable[GroupByKey]=DiscreteStatsTable[[#This Row],[GroupByKey]]),(DiscreteStatsTable[GroupByKey]=DiscreteStatsTable[[#This Row],[GroupByKey]])*DiscreteStatsTable[Average])),0)</f>
        <v>7103.5262745156242</v>
      </c>
      <c r="P511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5081.5565772188193</v>
      </c>
      <c r="R511" cm="1">
        <f t="array" ref="R511">MIN(IF((DiscreteStatsTable[GroupByKey]=DiscreteStatsTable[[#This Row],[GroupByKey]]),(DiscreteStatsTable[GroupByKey]=DiscreteStatsTable[[#This Row],[GroupByKey]])*DiscreteStatsTable[Average]))</f>
        <v>706040.14193379204</v>
      </c>
      <c r="S511" cm="1">
        <f t="array" ref="S511">MAX(IF((DiscreteStatsTable[GroupByKey]=DiscreteStatsTable[[#This Row],[GroupByKey]]),(DiscreteStatsTable[GroupByKey]=DiscreteStatsTable[[#This Row],[GroupByKey]])*DiscreteStatsTable[Average]))</f>
        <v>728712.78790280595</v>
      </c>
      <c r="T511" cm="1">
        <f t="array" ref="T511">MIN(IF((DiscreteStatsTable[GroupByKey]=DiscreteStatsTable[[#This Row],[GroupByKey]]),(DiscreteStatsTable[GroupByKey]=DiscreteStatsTable[[#This Row],[GroupByKey]])*DiscreteStatsTable[Minimum]))</f>
        <v>942.11081602343995</v>
      </c>
      <c r="U511" cm="1">
        <f t="array" ref="U511">MAX(IF((DiscreteStatsTable[GroupByKey]=DiscreteStatsTable[[#This Row],[GroupByKey]]),(DiscreteStatsTable[GroupByKey]=DiscreteStatsTable[[#This Row],[GroupByKey]])*DiscreteStatsTable[Maximum]))</f>
        <v>1975788.7077699299</v>
      </c>
      <c r="V511" cm="1">
        <f t="array" ref="V511">IFERROR(AVERAGE(IF((DiscreteStatsTable[GroupByKey]=DiscreteStatsTable[[#This Row],[GroupByKey]]),(DiscreteStatsTable[GroupByKey]=DiscreteStatsTable[[#This Row],[GroupByKey]])*DiscreteStatsTable[NumberObservations])),0)</f>
        <v>1412.8</v>
      </c>
      <c r="W511">
        <f>IF((DiscreteStatsTable[[#This Row],[RepsRequested]]&gt;1),DiscreteStatsTable[[#This Row],[HalfWidth]],DiscreteStatsTable[[#This Row],[BatchMeansHalfWidth]])</f>
        <v>5081.5565772188193</v>
      </c>
      <c r="X511" cm="1">
        <f t="array" ref="X511">COUNT(IF((DiscreteStatsTable[GroupByKey]=DiscreteStatsTable[[#This Row],[GroupByKey]]),(DiscreteStatsTable[GroupByKey]=DiscreteStatsTable[[#This Row],[GroupByKey]])*DiscreteStatsTable[Replication]))</f>
        <v>10</v>
      </c>
      <c r="Y511">
        <f>IF(DiscreteStatsTable[[#This Row],[RepsRequested]]=DiscreteStatsTable[[#This Row],[RepsWithStatObserved]],1,0)</f>
        <v>1</v>
      </c>
    </row>
  </sheetData>
  <phoneticPr fontId="2" type="noConversion"/>
  <conditionalFormatting sqref="H2:H511 Q2:Q511">
    <cfRule type="expression" dxfId="51" priority="23">
      <formula>H2=200000000000000000000</formula>
    </cfRule>
  </conditionalFormatting>
  <conditionalFormatting sqref="H2:H511">
    <cfRule type="expression" dxfId="50" priority="21">
      <formula>H2=300000000000000000000</formula>
    </cfRule>
  </conditionalFormatting>
  <conditionalFormatting sqref="L2:Y511">
    <cfRule type="expression" dxfId="49" priority="19">
      <formula>MOD(ROW(),2)=0</formula>
    </cfRule>
  </conditionalFormatting>
  <conditionalFormatting sqref="Y2:Y511">
    <cfRule type="expression" dxfId="48" priority="14">
      <formula>Y2=0</formula>
    </cfRule>
    <cfRule type="expression" dxfId="47" priority="16">
      <formula>Y2=1</formula>
    </cfRule>
  </conditionalFormatting>
  <conditionalFormatting sqref="Y3:Y511">
    <cfRule type="expression" dxfId="46" priority="15">
      <formula>Y3=1</formula>
    </cfRule>
  </conditionalFormatting>
  <conditionalFormatting sqref="W2:W511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511 W2:W511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851"/>
  <sheetViews>
    <sheetView topLeftCell="A62" workbookViewId="0">
      <selection activeCell="G10" sqref="G10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1.8554687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4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243</v>
      </c>
      <c r="C2">
        <v>1</v>
      </c>
      <c r="D2" t="s">
        <v>111</v>
      </c>
      <c r="E2" t="s">
        <v>112</v>
      </c>
      <c r="F2" t="s">
        <v>113</v>
      </c>
      <c r="G2">
        <v>3.5989256358977602E-2</v>
      </c>
      <c r="H2">
        <v>3E+20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3.6074566243936998E-2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6.6761681626786623E-5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4.7758430005936653E-5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3.5941735992799297E-2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3.6177689828441002E-2</v>
      </c>
      <c r="U2">
        <f>IF((ContinuousStatsTable[[#This Row],[RepsRequested]]&gt;1),ContinuousStatsTable[[#This Row],[HalfWidth]],ContinuousStatsTable[[#This Row],[BatchMeansHalfWidth]])</f>
        <v>4.7758430005936653E-5</v>
      </c>
    </row>
    <row r="3" spans="1:21" x14ac:dyDescent="0.25">
      <c r="A3" t="s">
        <v>67</v>
      </c>
      <c r="B3" t="s">
        <v>243</v>
      </c>
      <c r="C3">
        <v>1</v>
      </c>
      <c r="D3" t="s">
        <v>111</v>
      </c>
      <c r="E3" t="s">
        <v>114</v>
      </c>
      <c r="F3" t="s">
        <v>113</v>
      </c>
      <c r="G3">
        <v>3.5989256358977602E-2</v>
      </c>
      <c r="H3">
        <v>3E+20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3.6074566243937005E-2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6.6761681626785268E-5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4.7758430005935684E-5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3.5941735992799297E-2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3.6177689828441002E-2</v>
      </c>
      <c r="U3">
        <f>IF((ContinuousStatsTable[[#This Row],[RepsRequested]]&gt;1),ContinuousStatsTable[[#This Row],[HalfWidth]],ContinuousStatsTable[[#This Row],[BatchMeansHalfWidth]])</f>
        <v>4.7758430005935684E-5</v>
      </c>
    </row>
    <row r="4" spans="1:21" x14ac:dyDescent="0.25">
      <c r="A4" t="s">
        <v>67</v>
      </c>
      <c r="B4" t="s">
        <v>243</v>
      </c>
      <c r="C4">
        <v>1</v>
      </c>
      <c r="D4" t="s">
        <v>111</v>
      </c>
      <c r="E4" t="s">
        <v>115</v>
      </c>
      <c r="F4" t="s">
        <v>113</v>
      </c>
      <c r="G4">
        <v>0.476190476190476</v>
      </c>
      <c r="H4">
        <v>2E+20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0.476190476190476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0.476190476190476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5">
      <c r="A5" t="s">
        <v>67</v>
      </c>
      <c r="B5" t="s">
        <v>243</v>
      </c>
      <c r="C5">
        <v>1</v>
      </c>
      <c r="D5" t="s">
        <v>70</v>
      </c>
      <c r="E5" t="s">
        <v>116</v>
      </c>
      <c r="F5" t="s">
        <v>71</v>
      </c>
      <c r="G5">
        <v>1.4478959937017499</v>
      </c>
      <c r="H5">
        <v>3E+20</v>
      </c>
      <c r="I5">
        <v>0</v>
      </c>
      <c r="J5">
        <v>5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1.983224619189873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0.29990249131557767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0.21453731828040576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1.4478959937017499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2.3267973127516899</v>
      </c>
      <c r="U5">
        <f>IF((ContinuousStatsTable[[#This Row],[RepsRequested]]&gt;1),ContinuousStatsTable[[#This Row],[HalfWidth]],ContinuousStatsTable[[#This Row],[BatchMeansHalfWidth]])</f>
        <v>0.21453731828040576</v>
      </c>
    </row>
    <row r="6" spans="1:21" x14ac:dyDescent="0.25">
      <c r="A6" t="s">
        <v>67</v>
      </c>
      <c r="B6" t="s">
        <v>243</v>
      </c>
      <c r="C6">
        <v>1</v>
      </c>
      <c r="D6" t="s">
        <v>73</v>
      </c>
      <c r="E6" t="s">
        <v>116</v>
      </c>
      <c r="F6" t="s">
        <v>71</v>
      </c>
      <c r="G6">
        <v>0.59503233604641403</v>
      </c>
      <c r="H6">
        <v>3E+20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0.47900820660242172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0.13717282935395095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9.8127530789884315E-2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0.25584390949740998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0.66613303676888702</v>
      </c>
      <c r="U6">
        <f>IF((ContinuousStatsTable[[#This Row],[RepsRequested]]&gt;1),ContinuousStatsTable[[#This Row],[HalfWidth]],ContinuousStatsTable[[#This Row],[BatchMeansHalfWidth]])</f>
        <v>9.8127530789884315E-2</v>
      </c>
    </row>
    <row r="7" spans="1:21" x14ac:dyDescent="0.25">
      <c r="A7" t="s">
        <v>67</v>
      </c>
      <c r="B7" t="s">
        <v>243</v>
      </c>
      <c r="C7">
        <v>1</v>
      </c>
      <c r="D7" t="s">
        <v>74</v>
      </c>
      <c r="E7" t="s">
        <v>116</v>
      </c>
      <c r="F7" t="s">
        <v>71</v>
      </c>
      <c r="G7">
        <v>0.25632285648643699</v>
      </c>
      <c r="H7">
        <v>3E+20</v>
      </c>
      <c r="I7">
        <v>0</v>
      </c>
      <c r="J7">
        <v>2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0.41775820490048837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0.15099462697666188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0.1080150491722195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0.25632285648643699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0.68422762922173497</v>
      </c>
      <c r="U7">
        <f>IF((ContinuousStatsTable[[#This Row],[RepsRequested]]&gt;1),ContinuousStatsTable[[#This Row],[HalfWidth]],ContinuousStatsTable[[#This Row],[BatchMeansHalfWidth]])</f>
        <v>0.1080150491722195</v>
      </c>
    </row>
    <row r="8" spans="1:21" x14ac:dyDescent="0.25">
      <c r="A8" t="s">
        <v>67</v>
      </c>
      <c r="B8" t="s">
        <v>243</v>
      </c>
      <c r="C8">
        <v>1</v>
      </c>
      <c r="D8" t="s">
        <v>75</v>
      </c>
      <c r="E8" t="s">
        <v>117</v>
      </c>
      <c r="F8" t="s">
        <v>76</v>
      </c>
      <c r="G8">
        <v>13.659744599538501</v>
      </c>
      <c r="H8">
        <v>2E+20</v>
      </c>
      <c r="I8">
        <v>0</v>
      </c>
      <c r="J8">
        <v>104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17.583529006307167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4.1660214616007023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2.9801922229780646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10.842462759184199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25.8699848535447</v>
      </c>
      <c r="U8">
        <f>IF((ContinuousStatsTable[[#This Row],[RepsRequested]]&gt;1),ContinuousStatsTable[[#This Row],[HalfWidth]],ContinuousStatsTable[[#This Row],[BatchMeansHalfWidth]])</f>
        <v>2.9801922229780646</v>
      </c>
    </row>
    <row r="9" spans="1:21" x14ac:dyDescent="0.25">
      <c r="A9" t="s">
        <v>67</v>
      </c>
      <c r="B9" t="s">
        <v>243</v>
      </c>
      <c r="C9">
        <v>1</v>
      </c>
      <c r="D9" t="s">
        <v>118</v>
      </c>
      <c r="E9" t="s">
        <v>117</v>
      </c>
      <c r="F9" t="s">
        <v>76</v>
      </c>
      <c r="G9">
        <v>81.860988802888798</v>
      </c>
      <c r="H9">
        <v>3E+20</v>
      </c>
      <c r="I9">
        <v>0</v>
      </c>
      <c r="J9">
        <v>165</v>
      </c>
      <c r="K9">
        <v>165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95.041511376368575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6.556289254191463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4.6900867955271215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81.860988802888798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104.034812219697</v>
      </c>
      <c r="U9">
        <f>IF((ContinuousStatsTable[[#This Row],[RepsRequested]]&gt;1),ContinuousStatsTable[[#This Row],[HalfWidth]],ContinuousStatsTable[[#This Row],[BatchMeansHalfWidth]])</f>
        <v>4.6900867955271215</v>
      </c>
    </row>
    <row r="10" spans="1:21" x14ac:dyDescent="0.25">
      <c r="A10" t="s">
        <v>67</v>
      </c>
      <c r="B10" t="s">
        <v>243</v>
      </c>
      <c r="C10">
        <v>1</v>
      </c>
      <c r="D10" t="s">
        <v>119</v>
      </c>
      <c r="E10" t="s">
        <v>117</v>
      </c>
      <c r="F10" t="s">
        <v>76</v>
      </c>
      <c r="G10">
        <v>969.89403268619401</v>
      </c>
      <c r="H10">
        <v>3E+20</v>
      </c>
      <c r="I10">
        <v>0</v>
      </c>
      <c r="J10">
        <v>1865</v>
      </c>
      <c r="K10">
        <v>1865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959.25249800465133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16.228386811509871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11.609088578376843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935.21729677519602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986.61029939527498</v>
      </c>
      <c r="U10">
        <f>IF((ContinuousStatsTable[[#This Row],[RepsRequested]]&gt;1),ContinuousStatsTable[[#This Row],[HalfWidth]],ContinuousStatsTable[[#This Row],[BatchMeansHalfWidth]])</f>
        <v>11.609088578376843</v>
      </c>
    </row>
    <row r="11" spans="1:21" x14ac:dyDescent="0.25">
      <c r="A11" t="s">
        <v>67</v>
      </c>
      <c r="B11" t="s">
        <v>243</v>
      </c>
      <c r="C11">
        <v>1</v>
      </c>
      <c r="D11" t="s">
        <v>120</v>
      </c>
      <c r="E11" t="s">
        <v>117</v>
      </c>
      <c r="F11" t="s">
        <v>76</v>
      </c>
      <c r="G11">
        <v>4196.2798974326097</v>
      </c>
      <c r="H11">
        <v>3E+20</v>
      </c>
      <c r="I11">
        <v>0</v>
      </c>
      <c r="J11">
        <v>8101</v>
      </c>
      <c r="K11">
        <v>8101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4203.5615331875215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17.695322227060075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12.658470958503626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4170.1494074333395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4233.0569788620896</v>
      </c>
      <c r="U11">
        <f>IF((ContinuousStatsTable[[#This Row],[RepsRequested]]&gt;1),ContinuousStatsTable[[#This Row],[HalfWidth]],ContinuousStatsTable[[#This Row],[BatchMeansHalfWidth]])</f>
        <v>12.658470958503626</v>
      </c>
    </row>
    <row r="12" spans="1:21" x14ac:dyDescent="0.25">
      <c r="A12" t="s">
        <v>67</v>
      </c>
      <c r="B12" t="s">
        <v>243</v>
      </c>
      <c r="C12">
        <v>1</v>
      </c>
      <c r="D12" t="s">
        <v>121</v>
      </c>
      <c r="E12" t="s">
        <v>112</v>
      </c>
      <c r="F12" t="s">
        <v>113</v>
      </c>
      <c r="G12">
        <v>0.54935965090116101</v>
      </c>
      <c r="H12">
        <v>3E+20</v>
      </c>
      <c r="I12">
        <v>0</v>
      </c>
      <c r="J12">
        <v>1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0.48160620907873086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8.6686321722355061E-2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6.2011658897281531E-2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0.292184201252493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0.57167989674475905</v>
      </c>
      <c r="U12">
        <f>IF((ContinuousStatsTable[[#This Row],[RepsRequested]]&gt;1),ContinuousStatsTable[[#This Row],[HalfWidth]],ContinuousStatsTable[[#This Row],[BatchMeansHalfWidth]])</f>
        <v>6.2011658897281531E-2</v>
      </c>
    </row>
    <row r="13" spans="1:21" x14ac:dyDescent="0.25">
      <c r="A13" t="s">
        <v>67</v>
      </c>
      <c r="B13" t="s">
        <v>243</v>
      </c>
      <c r="C13">
        <v>1</v>
      </c>
      <c r="D13" t="s">
        <v>121</v>
      </c>
      <c r="E13" t="s">
        <v>114</v>
      </c>
      <c r="F13" t="s">
        <v>113</v>
      </c>
      <c r="G13">
        <v>2.1974386036046401</v>
      </c>
      <c r="H13">
        <v>3E+20</v>
      </c>
      <c r="I13">
        <v>0</v>
      </c>
      <c r="J13">
        <v>4</v>
      </c>
      <c r="K13">
        <v>4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1.9264248363149217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0.34674528688941914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0.24804663558912532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1.16873680500997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2.28671958697903</v>
      </c>
      <c r="U13">
        <f>IF((ContinuousStatsTable[[#This Row],[RepsRequested]]&gt;1),ContinuousStatsTable[[#This Row],[HalfWidth]],ContinuousStatsTable[[#This Row],[BatchMeansHalfWidth]])</f>
        <v>0.24804663558912532</v>
      </c>
    </row>
    <row r="14" spans="1:21" x14ac:dyDescent="0.25">
      <c r="A14" t="s">
        <v>67</v>
      </c>
      <c r="B14" t="s">
        <v>243</v>
      </c>
      <c r="C14">
        <v>1</v>
      </c>
      <c r="D14" t="s">
        <v>121</v>
      </c>
      <c r="E14" t="s">
        <v>115</v>
      </c>
      <c r="F14" t="s">
        <v>113</v>
      </c>
      <c r="G14">
        <v>4</v>
      </c>
      <c r="H14">
        <v>2E+20</v>
      </c>
      <c r="I14">
        <v>4</v>
      </c>
      <c r="J14">
        <v>4</v>
      </c>
      <c r="K14">
        <v>4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4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4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4</v>
      </c>
      <c r="U14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67</v>
      </c>
      <c r="B15" t="s">
        <v>243</v>
      </c>
      <c r="C15">
        <v>1</v>
      </c>
      <c r="D15" t="s">
        <v>122</v>
      </c>
      <c r="E15" t="s">
        <v>112</v>
      </c>
      <c r="F15" t="s">
        <v>113</v>
      </c>
      <c r="G15">
        <v>0.238076255778324</v>
      </c>
      <c r="H15">
        <v>3E+20</v>
      </c>
      <c r="I15">
        <v>0</v>
      </c>
      <c r="J15">
        <v>1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0.25269289312392118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4.9214010083081669E-2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3.5205581983442397E-2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0.20500025225945401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0.33570777662711199</v>
      </c>
      <c r="U15">
        <f>IF((ContinuousStatsTable[[#This Row],[RepsRequested]]&gt;1),ContinuousStatsTable[[#This Row],[HalfWidth]],ContinuousStatsTable[[#This Row],[BatchMeansHalfWidth]])</f>
        <v>3.5205581983442397E-2</v>
      </c>
    </row>
    <row r="16" spans="1:21" x14ac:dyDescent="0.25">
      <c r="A16" t="s">
        <v>67</v>
      </c>
      <c r="B16" t="s">
        <v>243</v>
      </c>
      <c r="C16">
        <v>1</v>
      </c>
      <c r="D16" t="s">
        <v>122</v>
      </c>
      <c r="E16" t="s">
        <v>114</v>
      </c>
      <c r="F16" t="s">
        <v>113</v>
      </c>
      <c r="G16">
        <v>0.71422876733496898</v>
      </c>
      <c r="H16">
        <v>3E+20</v>
      </c>
      <c r="I16">
        <v>0</v>
      </c>
      <c r="J16">
        <v>3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0.75807867937176476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0.14764203024924766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0.10561674595032908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0.61500075677836796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1.00712332988134</v>
      </c>
      <c r="U16">
        <f>IF((ContinuousStatsTable[[#This Row],[RepsRequested]]&gt;1),ContinuousStatsTable[[#This Row],[HalfWidth]],ContinuousStatsTable[[#This Row],[BatchMeansHalfWidth]])</f>
        <v>0.10561674595032908</v>
      </c>
    </row>
    <row r="17" spans="1:21" x14ac:dyDescent="0.25">
      <c r="A17" t="s">
        <v>67</v>
      </c>
      <c r="B17" t="s">
        <v>243</v>
      </c>
      <c r="C17">
        <v>1</v>
      </c>
      <c r="D17" t="s">
        <v>122</v>
      </c>
      <c r="E17" t="s">
        <v>115</v>
      </c>
      <c r="F17" t="s">
        <v>113</v>
      </c>
      <c r="G17">
        <v>3</v>
      </c>
      <c r="H17">
        <v>2E+20</v>
      </c>
      <c r="I17">
        <v>3</v>
      </c>
      <c r="J17">
        <v>3</v>
      </c>
      <c r="K17">
        <v>3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3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3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3</v>
      </c>
      <c r="U17">
        <f>IF((ContinuousStatsTable[[#This Row],[RepsRequested]]&gt;1),ContinuousStatsTable[[#This Row],[HalfWidth]],ContinuousStatsTable[[#This Row],[BatchMeansHalfWidth]])</f>
        <v>0</v>
      </c>
    </row>
    <row r="18" spans="1:21" x14ac:dyDescent="0.25">
      <c r="A18" t="s">
        <v>67</v>
      </c>
      <c r="B18" t="s">
        <v>243</v>
      </c>
      <c r="C18">
        <v>1</v>
      </c>
      <c r="D18" t="s">
        <v>123</v>
      </c>
      <c r="E18" t="s">
        <v>112</v>
      </c>
      <c r="F18" t="s">
        <v>113</v>
      </c>
      <c r="G18">
        <v>0.15149029545843401</v>
      </c>
      <c r="H18">
        <v>3E+20</v>
      </c>
      <c r="I18">
        <v>0</v>
      </c>
      <c r="J18">
        <v>0.66666666666666696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0.151561654865698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1.2198256688154243E-4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8.7261071626739862E-5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0.15134711042770499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0.15172806047441101</v>
      </c>
      <c r="U18">
        <f>IF((ContinuousStatsTable[[#This Row],[RepsRequested]]&gt;1),ContinuousStatsTable[[#This Row],[HalfWidth]],ContinuousStatsTable[[#This Row],[BatchMeansHalfWidth]])</f>
        <v>8.7261071626739862E-5</v>
      </c>
    </row>
    <row r="19" spans="1:21" x14ac:dyDescent="0.25">
      <c r="A19" t="s">
        <v>67</v>
      </c>
      <c r="B19" t="s">
        <v>243</v>
      </c>
      <c r="C19">
        <v>1</v>
      </c>
      <c r="D19" t="s">
        <v>123</v>
      </c>
      <c r="E19" t="s">
        <v>114</v>
      </c>
      <c r="F19" t="s">
        <v>113</v>
      </c>
      <c r="G19">
        <v>0.45447088637530197</v>
      </c>
      <c r="H19">
        <v>3E+20</v>
      </c>
      <c r="I19">
        <v>0</v>
      </c>
      <c r="J19">
        <v>2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0.45404133128311103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0.45518418142323402</v>
      </c>
      <c r="U19">
        <f>IF((ContinuousStatsTable[[#This Row],[RepsRequested]]&gt;1),ContinuousStatsTable[[#This Row],[HalfWidth]],ContinuousStatsTable[[#This Row],[BatchMeansHalfWidth]])</f>
        <v>2.6178321488092363E-4</v>
      </c>
    </row>
    <row r="20" spans="1:21" x14ac:dyDescent="0.25">
      <c r="A20" t="s">
        <v>67</v>
      </c>
      <c r="B20" t="s">
        <v>243</v>
      </c>
      <c r="C20">
        <v>1</v>
      </c>
      <c r="D20" t="s">
        <v>123</v>
      </c>
      <c r="E20" t="s">
        <v>115</v>
      </c>
      <c r="F20" t="s">
        <v>113</v>
      </c>
      <c r="G20">
        <v>3</v>
      </c>
      <c r="H20">
        <v>2E+20</v>
      </c>
      <c r="I20">
        <v>3</v>
      </c>
      <c r="J20">
        <v>3</v>
      </c>
      <c r="K20">
        <v>3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3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3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3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25">
      <c r="A21" t="s">
        <v>67</v>
      </c>
      <c r="B21" t="s">
        <v>243</v>
      </c>
      <c r="C21">
        <v>1</v>
      </c>
      <c r="D21" t="s">
        <v>124</v>
      </c>
      <c r="E21" t="s">
        <v>112</v>
      </c>
      <c r="F21" t="s">
        <v>113</v>
      </c>
      <c r="G21">
        <v>0.625269422960122</v>
      </c>
      <c r="H21">
        <v>2E+20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0.84558522180863771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0.11694354024491282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8.3656369122856733E-2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0.625269422960122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0.95234896906597499</v>
      </c>
      <c r="U21">
        <f>IF((ContinuousStatsTable[[#This Row],[RepsRequested]]&gt;1),ContinuousStatsTable[[#This Row],[HalfWidth]],ContinuousStatsTable[[#This Row],[BatchMeansHalfWidth]])</f>
        <v>8.3656369122856733E-2</v>
      </c>
    </row>
    <row r="22" spans="1:21" x14ac:dyDescent="0.25">
      <c r="A22" t="s">
        <v>67</v>
      </c>
      <c r="B22" t="s">
        <v>243</v>
      </c>
      <c r="C22">
        <v>1</v>
      </c>
      <c r="D22" t="s">
        <v>124</v>
      </c>
      <c r="E22" t="s">
        <v>114</v>
      </c>
      <c r="F22" t="s">
        <v>113</v>
      </c>
      <c r="G22">
        <v>1.25053884592024</v>
      </c>
      <c r="H22">
        <v>2E+20</v>
      </c>
      <c r="I22">
        <v>0</v>
      </c>
      <c r="J22">
        <v>2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1.6911704436172748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0.23388708048982901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0.16731273824571591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1.25053884592024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1.90469793813195</v>
      </c>
      <c r="U22">
        <f>IF((ContinuousStatsTable[[#This Row],[RepsRequested]]&gt;1),ContinuousStatsTable[[#This Row],[HalfWidth]],ContinuousStatsTable[[#This Row],[BatchMeansHalfWidth]])</f>
        <v>0.16731273824571591</v>
      </c>
    </row>
    <row r="23" spans="1:21" x14ac:dyDescent="0.25">
      <c r="A23" t="s">
        <v>67</v>
      </c>
      <c r="B23" t="s">
        <v>243</v>
      </c>
      <c r="C23">
        <v>1</v>
      </c>
      <c r="D23" t="s">
        <v>124</v>
      </c>
      <c r="E23" t="s">
        <v>115</v>
      </c>
      <c r="F23" t="s">
        <v>113</v>
      </c>
      <c r="G23">
        <v>2</v>
      </c>
      <c r="H23">
        <v>2E+20</v>
      </c>
      <c r="I23">
        <v>2</v>
      </c>
      <c r="J23">
        <v>2</v>
      </c>
      <c r="K23">
        <v>2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2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2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2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67</v>
      </c>
      <c r="B24" t="s">
        <v>243</v>
      </c>
      <c r="C24">
        <v>1</v>
      </c>
      <c r="D24" t="s">
        <v>125</v>
      </c>
      <c r="E24" t="s">
        <v>112</v>
      </c>
      <c r="F24" t="s">
        <v>113</v>
      </c>
      <c r="G24">
        <v>0.76444773332903804</v>
      </c>
      <c r="H24">
        <v>2E+20</v>
      </c>
      <c r="I24">
        <v>0</v>
      </c>
      <c r="J24">
        <v>1</v>
      </c>
      <c r="K24">
        <v>0.4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0.74077431571180252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6.1280007141723249E-2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4.3837076306763374E-2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0.67060354368791797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0.87728997349342996</v>
      </c>
      <c r="U24">
        <f>IF((ContinuousStatsTable[[#This Row],[RepsRequested]]&gt;1),ContinuousStatsTable[[#This Row],[HalfWidth]],ContinuousStatsTable[[#This Row],[BatchMeansHalfWidth]])</f>
        <v>4.3837076306763374E-2</v>
      </c>
    </row>
    <row r="25" spans="1:21" x14ac:dyDescent="0.25">
      <c r="A25" t="s">
        <v>67</v>
      </c>
      <c r="B25" t="s">
        <v>243</v>
      </c>
      <c r="C25">
        <v>1</v>
      </c>
      <c r="D25" t="s">
        <v>125</v>
      </c>
      <c r="E25" t="s">
        <v>114</v>
      </c>
      <c r="F25" t="s">
        <v>113</v>
      </c>
      <c r="G25">
        <v>3.82223866664518</v>
      </c>
      <c r="H25">
        <v>2E+20</v>
      </c>
      <c r="I25">
        <v>0</v>
      </c>
      <c r="J25">
        <v>5</v>
      </c>
      <c r="K25">
        <v>2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3.7038715785590122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0.30640003570861163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0.21918538153381359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3.35301771843959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4.3864498674671397</v>
      </c>
      <c r="U25">
        <f>IF((ContinuousStatsTable[[#This Row],[RepsRequested]]&gt;1),ContinuousStatsTable[[#This Row],[HalfWidth]],ContinuousStatsTable[[#This Row],[BatchMeansHalfWidth]])</f>
        <v>0.21918538153381359</v>
      </c>
    </row>
    <row r="26" spans="1:21" x14ac:dyDescent="0.25">
      <c r="A26" t="s">
        <v>67</v>
      </c>
      <c r="B26" t="s">
        <v>243</v>
      </c>
      <c r="C26">
        <v>1</v>
      </c>
      <c r="D26" t="s">
        <v>125</v>
      </c>
      <c r="E26" t="s">
        <v>115</v>
      </c>
      <c r="F26" t="s">
        <v>113</v>
      </c>
      <c r="G26">
        <v>5</v>
      </c>
      <c r="H26">
        <v>2E+20</v>
      </c>
      <c r="I26">
        <v>5</v>
      </c>
      <c r="J26">
        <v>5</v>
      </c>
      <c r="K26">
        <v>5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5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5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5</v>
      </c>
      <c r="U26">
        <f>IF((ContinuousStatsTable[[#This Row],[RepsRequested]]&gt;1),ContinuousStatsTable[[#This Row],[HalfWidth]],ContinuousStatsTable[[#This Row],[BatchMeansHalfWidth]])</f>
        <v>0</v>
      </c>
    </row>
    <row r="27" spans="1:21" x14ac:dyDescent="0.25">
      <c r="A27" t="s">
        <v>67</v>
      </c>
      <c r="B27" t="s">
        <v>243</v>
      </c>
      <c r="C27">
        <v>1</v>
      </c>
      <c r="D27" t="s">
        <v>126</v>
      </c>
      <c r="E27" t="s">
        <v>112</v>
      </c>
      <c r="F27" t="s">
        <v>113</v>
      </c>
      <c r="G27">
        <v>0.53042523093406702</v>
      </c>
      <c r="H27">
        <v>3E+20</v>
      </c>
      <c r="I27">
        <v>0</v>
      </c>
      <c r="J27">
        <v>1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0.52391445815006699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7.0460308415606909E-2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5.0404268221927347E-2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0.36555656561218303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0.59886206518967</v>
      </c>
      <c r="U27">
        <f>IF((ContinuousStatsTable[[#This Row],[RepsRequested]]&gt;1),ContinuousStatsTable[[#This Row],[HalfWidth]],ContinuousStatsTable[[#This Row],[BatchMeansHalfWidth]])</f>
        <v>5.0404268221927347E-2</v>
      </c>
    </row>
    <row r="28" spans="1:21" x14ac:dyDescent="0.25">
      <c r="A28" t="s">
        <v>67</v>
      </c>
      <c r="B28" t="s">
        <v>243</v>
      </c>
      <c r="C28">
        <v>1</v>
      </c>
      <c r="D28" t="s">
        <v>126</v>
      </c>
      <c r="E28" t="s">
        <v>114</v>
      </c>
      <c r="F28" t="s">
        <v>113</v>
      </c>
      <c r="G28">
        <v>2.1217009237362698</v>
      </c>
      <c r="H28">
        <v>3E+20</v>
      </c>
      <c r="I28">
        <v>0</v>
      </c>
      <c r="J28">
        <v>4</v>
      </c>
      <c r="K28">
        <v>4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2.0956578326002671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0.28184123366242902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0.20161707288771036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1.4622262624487301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2.39544826075868</v>
      </c>
      <c r="U28">
        <f>IF((ContinuousStatsTable[[#This Row],[RepsRequested]]&gt;1),ContinuousStatsTable[[#This Row],[HalfWidth]],ContinuousStatsTable[[#This Row],[BatchMeansHalfWidth]])</f>
        <v>0.20161707288771036</v>
      </c>
    </row>
    <row r="29" spans="1:21" x14ac:dyDescent="0.25">
      <c r="A29" t="s">
        <v>67</v>
      </c>
      <c r="B29" t="s">
        <v>243</v>
      </c>
      <c r="C29">
        <v>1</v>
      </c>
      <c r="D29" t="s">
        <v>126</v>
      </c>
      <c r="E29" t="s">
        <v>115</v>
      </c>
      <c r="F29" t="s">
        <v>113</v>
      </c>
      <c r="G29">
        <v>4</v>
      </c>
      <c r="H29">
        <v>2E+20</v>
      </c>
      <c r="I29">
        <v>4</v>
      </c>
      <c r="J29">
        <v>4</v>
      </c>
      <c r="K29">
        <v>4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4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4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4</v>
      </c>
      <c r="U29">
        <f>IF((ContinuousStatsTable[[#This Row],[RepsRequested]]&gt;1),ContinuousStatsTable[[#This Row],[HalfWidth]],ContinuousStatsTable[[#This Row],[BatchMeansHalfWidth]])</f>
        <v>0</v>
      </c>
    </row>
    <row r="30" spans="1:21" x14ac:dyDescent="0.25">
      <c r="A30" t="s">
        <v>67</v>
      </c>
      <c r="B30" t="s">
        <v>243</v>
      </c>
      <c r="C30">
        <v>1</v>
      </c>
      <c r="D30" t="s">
        <v>127</v>
      </c>
      <c r="E30" t="s">
        <v>112</v>
      </c>
      <c r="F30" t="s">
        <v>113</v>
      </c>
      <c r="G30">
        <v>0.14952864203343999</v>
      </c>
      <c r="H30">
        <v>3E+20</v>
      </c>
      <c r="I30">
        <v>0</v>
      </c>
      <c r="J30">
        <v>1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0.14955853655775292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1.8487754554887928E-4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1.3225342896729691E-4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0.14921189842985499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0.14985050053976801</v>
      </c>
      <c r="U30">
        <f>IF((ContinuousStatsTable[[#This Row],[RepsRequested]]&gt;1),ContinuousStatsTable[[#This Row],[HalfWidth]],ContinuousStatsTable[[#This Row],[BatchMeansHalfWidth]])</f>
        <v>1.3225342896729691E-4</v>
      </c>
    </row>
    <row r="31" spans="1:21" x14ac:dyDescent="0.25">
      <c r="A31" t="s">
        <v>67</v>
      </c>
      <c r="B31" t="s">
        <v>243</v>
      </c>
      <c r="C31">
        <v>1</v>
      </c>
      <c r="D31" t="s">
        <v>127</v>
      </c>
      <c r="E31" t="s">
        <v>114</v>
      </c>
      <c r="F31" t="s">
        <v>113</v>
      </c>
      <c r="G31">
        <v>0.29905728406687998</v>
      </c>
      <c r="H31">
        <v>3E+20</v>
      </c>
      <c r="I31">
        <v>0</v>
      </c>
      <c r="J31">
        <v>2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0.29842379685970999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0.29970100107953501</v>
      </c>
      <c r="U31">
        <f>IF((ContinuousStatsTable[[#This Row],[RepsRequested]]&gt;1),ContinuousStatsTable[[#This Row],[HalfWidth]],ContinuousStatsTable[[#This Row],[BatchMeansHalfWidth]])</f>
        <v>2.6450685793468105E-4</v>
      </c>
    </row>
    <row r="32" spans="1:21" x14ac:dyDescent="0.25">
      <c r="A32" t="s">
        <v>67</v>
      </c>
      <c r="B32" t="s">
        <v>243</v>
      </c>
      <c r="C32">
        <v>1</v>
      </c>
      <c r="D32" t="s">
        <v>127</v>
      </c>
      <c r="E32" t="s">
        <v>115</v>
      </c>
      <c r="F32" t="s">
        <v>113</v>
      </c>
      <c r="G32">
        <v>2</v>
      </c>
      <c r="H32">
        <v>2E+20</v>
      </c>
      <c r="I32">
        <v>2</v>
      </c>
      <c r="J32">
        <v>2</v>
      </c>
      <c r="K32">
        <v>2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2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2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2</v>
      </c>
      <c r="U32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67</v>
      </c>
      <c r="B33" t="s">
        <v>243</v>
      </c>
      <c r="C33">
        <v>1</v>
      </c>
      <c r="D33" t="s">
        <v>128</v>
      </c>
      <c r="E33" t="s">
        <v>112</v>
      </c>
      <c r="F33" t="s">
        <v>113</v>
      </c>
      <c r="G33">
        <v>0.80861282164603498</v>
      </c>
      <c r="H33">
        <v>3E+20</v>
      </c>
      <c r="I33">
        <v>0</v>
      </c>
      <c r="J33">
        <v>1</v>
      </c>
      <c r="K33">
        <v>0.6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0.78490250681152507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0.11345978752761832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8.1164242557846045E-2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0.58338388917401696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0.90111632059041802</v>
      </c>
      <c r="U33">
        <f>IF((ContinuousStatsTable[[#This Row],[RepsRequested]]&gt;1),ContinuousStatsTable[[#This Row],[HalfWidth]],ContinuousStatsTable[[#This Row],[BatchMeansHalfWidth]])</f>
        <v>8.1164242557846045E-2</v>
      </c>
    </row>
    <row r="34" spans="1:21" x14ac:dyDescent="0.25">
      <c r="A34" t="s">
        <v>67</v>
      </c>
      <c r="B34" t="s">
        <v>243</v>
      </c>
      <c r="C34">
        <v>1</v>
      </c>
      <c r="D34" t="s">
        <v>128</v>
      </c>
      <c r="E34" t="s">
        <v>114</v>
      </c>
      <c r="F34" t="s">
        <v>113</v>
      </c>
      <c r="G34">
        <v>4.0430641082301397</v>
      </c>
      <c r="H34">
        <v>3E+20</v>
      </c>
      <c r="I34">
        <v>0</v>
      </c>
      <c r="J34">
        <v>5</v>
      </c>
      <c r="K34">
        <v>3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3.9245125340576221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0.56729893763807904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0.40582121278922129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2.91691944587008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4.5055816029520903</v>
      </c>
      <c r="U34">
        <f>IF((ContinuousStatsTable[[#This Row],[RepsRequested]]&gt;1),ContinuousStatsTable[[#This Row],[HalfWidth]],ContinuousStatsTable[[#This Row],[BatchMeansHalfWidth]])</f>
        <v>0.40582121278922129</v>
      </c>
    </row>
    <row r="35" spans="1:21" x14ac:dyDescent="0.25">
      <c r="A35" t="s">
        <v>67</v>
      </c>
      <c r="B35" t="s">
        <v>243</v>
      </c>
      <c r="C35">
        <v>1</v>
      </c>
      <c r="D35" t="s">
        <v>128</v>
      </c>
      <c r="E35" t="s">
        <v>115</v>
      </c>
      <c r="F35" t="s">
        <v>113</v>
      </c>
      <c r="G35">
        <v>5</v>
      </c>
      <c r="H35">
        <v>2E+20</v>
      </c>
      <c r="I35">
        <v>5</v>
      </c>
      <c r="J35">
        <v>5</v>
      </c>
      <c r="K35">
        <v>5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5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5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5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25">
      <c r="A36" t="s">
        <v>67</v>
      </c>
      <c r="B36" t="s">
        <v>243</v>
      </c>
      <c r="C36">
        <v>1</v>
      </c>
      <c r="D36" t="s">
        <v>129</v>
      </c>
      <c r="E36" t="s">
        <v>112</v>
      </c>
      <c r="F36" t="s">
        <v>113</v>
      </c>
      <c r="G36">
        <v>0.15879096117508201</v>
      </c>
      <c r="H36">
        <v>2E+20</v>
      </c>
      <c r="I36">
        <v>0</v>
      </c>
      <c r="J36">
        <v>0.66666666666666696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0.15879210791146137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8.8786593845171554E-6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6.3514103064755986E-6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0.15877821852350199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0.15880443244107401</v>
      </c>
      <c r="U36">
        <f>IF((ContinuousStatsTable[[#This Row],[RepsRequested]]&gt;1),ContinuousStatsTable[[#This Row],[HalfWidth]],ContinuousStatsTable[[#This Row],[BatchMeansHalfWidth]])</f>
        <v>6.3514103064755986E-6</v>
      </c>
    </row>
    <row r="37" spans="1:21" x14ac:dyDescent="0.25">
      <c r="A37" t="s">
        <v>67</v>
      </c>
      <c r="B37" t="s">
        <v>243</v>
      </c>
      <c r="C37">
        <v>1</v>
      </c>
      <c r="D37" t="s">
        <v>129</v>
      </c>
      <c r="E37" t="s">
        <v>114</v>
      </c>
      <c r="F37" t="s">
        <v>113</v>
      </c>
      <c r="G37">
        <v>0.47637288352524698</v>
      </c>
      <c r="H37">
        <v>2E+20</v>
      </c>
      <c r="I37">
        <v>0</v>
      </c>
      <c r="J37">
        <v>2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0.47633465557050603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0.47641329732322302</v>
      </c>
      <c r="U37">
        <f>IF((ContinuousStatsTable[[#This Row],[RepsRequested]]&gt;1),ContinuousStatsTable[[#This Row],[HalfWidth]],ContinuousStatsTable[[#This Row],[BatchMeansHalfWidth]])</f>
        <v>1.9054230919217752E-5</v>
      </c>
    </row>
    <row r="38" spans="1:21" x14ac:dyDescent="0.25">
      <c r="A38" t="s">
        <v>67</v>
      </c>
      <c r="B38" t="s">
        <v>243</v>
      </c>
      <c r="C38">
        <v>1</v>
      </c>
      <c r="D38" t="s">
        <v>129</v>
      </c>
      <c r="E38" t="s">
        <v>115</v>
      </c>
      <c r="F38" t="s">
        <v>113</v>
      </c>
      <c r="G38">
        <v>3</v>
      </c>
      <c r="H38">
        <v>2E+20</v>
      </c>
      <c r="I38">
        <v>3</v>
      </c>
      <c r="J38">
        <v>3</v>
      </c>
      <c r="K38">
        <v>3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3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3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3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25">
      <c r="A39" t="s">
        <v>67</v>
      </c>
      <c r="B39" t="s">
        <v>243</v>
      </c>
      <c r="C39">
        <v>1</v>
      </c>
      <c r="D39" t="s">
        <v>130</v>
      </c>
      <c r="E39" t="s">
        <v>112</v>
      </c>
      <c r="F39" t="s">
        <v>113</v>
      </c>
      <c r="G39">
        <v>0.47642172579275499</v>
      </c>
      <c r="H39">
        <v>2E+20</v>
      </c>
      <c r="I39">
        <v>0</v>
      </c>
      <c r="J39">
        <v>1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0.47638046343127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0.47647340349894202</v>
      </c>
      <c r="U39">
        <f>IF((ContinuousStatsTable[[#This Row],[RepsRequested]]&gt;1),ContinuousStatsTable[[#This Row],[HalfWidth]],ContinuousStatsTable[[#This Row],[BatchMeansHalfWidth]])</f>
        <v>2.530338482140405E-5</v>
      </c>
    </row>
    <row r="40" spans="1:21" x14ac:dyDescent="0.25">
      <c r="A40" t="s">
        <v>67</v>
      </c>
      <c r="B40" t="s">
        <v>243</v>
      </c>
      <c r="C40">
        <v>1</v>
      </c>
      <c r="D40" t="s">
        <v>130</v>
      </c>
      <c r="E40" t="s">
        <v>114</v>
      </c>
      <c r="F40" t="s">
        <v>113</v>
      </c>
      <c r="G40">
        <v>0.47642172579275499</v>
      </c>
      <c r="H40">
        <v>2E+20</v>
      </c>
      <c r="I40">
        <v>0</v>
      </c>
      <c r="J40">
        <v>1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0.47638046343127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0.47647340349894202</v>
      </c>
      <c r="U40">
        <f>IF((ContinuousStatsTable[[#This Row],[RepsRequested]]&gt;1),ContinuousStatsTable[[#This Row],[HalfWidth]],ContinuousStatsTable[[#This Row],[BatchMeansHalfWidth]])</f>
        <v>2.530338482140405E-5</v>
      </c>
    </row>
    <row r="41" spans="1:21" x14ac:dyDescent="0.25">
      <c r="A41" t="s">
        <v>67</v>
      </c>
      <c r="B41" t="s">
        <v>243</v>
      </c>
      <c r="C41">
        <v>1</v>
      </c>
      <c r="D41" t="s">
        <v>130</v>
      </c>
      <c r="E41" t="s">
        <v>115</v>
      </c>
      <c r="F41" t="s">
        <v>113</v>
      </c>
      <c r="G41">
        <v>0.476190476190476</v>
      </c>
      <c r="H41">
        <v>2E+20</v>
      </c>
      <c r="I41">
        <v>0</v>
      </c>
      <c r="J41">
        <v>1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0.476190476190476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0.476190476190476</v>
      </c>
      <c r="U41">
        <f>IF((ContinuousStatsTable[[#This Row],[RepsRequested]]&gt;1),ContinuousStatsTable[[#This Row],[HalfWidth]],ContinuousStatsTable[[#This Row],[BatchMeansHalfWidth]])</f>
        <v>0</v>
      </c>
    </row>
    <row r="42" spans="1:21" x14ac:dyDescent="0.25">
      <c r="A42" t="s">
        <v>67</v>
      </c>
      <c r="B42" t="s">
        <v>243</v>
      </c>
      <c r="C42">
        <v>1</v>
      </c>
      <c r="D42" t="s">
        <v>131</v>
      </c>
      <c r="E42" t="s">
        <v>112</v>
      </c>
      <c r="F42" t="s">
        <v>113</v>
      </c>
      <c r="G42">
        <v>0.34657679725548401</v>
      </c>
      <c r="H42">
        <v>3E+20</v>
      </c>
      <c r="I42">
        <v>0</v>
      </c>
      <c r="J42">
        <v>1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0.34602746258727701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0.34712505386175102</v>
      </c>
      <c r="U42">
        <f>IF((ContinuousStatsTable[[#This Row],[RepsRequested]]&gt;1),ContinuousStatsTable[[#This Row],[HalfWidth]],ContinuousStatsTable[[#This Row],[BatchMeansHalfWidth]])</f>
        <v>2.4134201748419608E-4</v>
      </c>
    </row>
    <row r="43" spans="1:21" x14ac:dyDescent="0.25">
      <c r="A43" t="s">
        <v>67</v>
      </c>
      <c r="B43" t="s">
        <v>243</v>
      </c>
      <c r="C43">
        <v>1</v>
      </c>
      <c r="D43" t="s">
        <v>131</v>
      </c>
      <c r="E43" t="s">
        <v>114</v>
      </c>
      <c r="F43" t="s">
        <v>113</v>
      </c>
      <c r="G43">
        <v>0.34657679725548401</v>
      </c>
      <c r="H43">
        <v>3E+20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0.34602746258727701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0.34712505386175102</v>
      </c>
      <c r="U43">
        <f>IF((ContinuousStatsTable[[#This Row],[RepsRequested]]&gt;1),ContinuousStatsTable[[#This Row],[HalfWidth]],ContinuousStatsTable[[#This Row],[BatchMeansHalfWidth]])</f>
        <v>2.4134201748419608E-4</v>
      </c>
    </row>
    <row r="44" spans="1:21" x14ac:dyDescent="0.25">
      <c r="A44" t="s">
        <v>67</v>
      </c>
      <c r="B44" t="s">
        <v>243</v>
      </c>
      <c r="C44">
        <v>1</v>
      </c>
      <c r="D44" t="s">
        <v>131</v>
      </c>
      <c r="E44" t="s">
        <v>115</v>
      </c>
      <c r="F44" t="s">
        <v>113</v>
      </c>
      <c r="G44">
        <v>0.476190476190476</v>
      </c>
      <c r="H44">
        <v>2E+20</v>
      </c>
      <c r="I44">
        <v>0</v>
      </c>
      <c r="J44">
        <v>1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0.476190476190476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0.476190476190476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67</v>
      </c>
      <c r="B45" t="s">
        <v>243</v>
      </c>
      <c r="C45">
        <v>1</v>
      </c>
      <c r="D45" t="s">
        <v>132</v>
      </c>
      <c r="E45" t="s">
        <v>112</v>
      </c>
      <c r="F45" t="s">
        <v>113</v>
      </c>
      <c r="G45">
        <v>0.45447088637530197</v>
      </c>
      <c r="H45">
        <v>3E+20</v>
      </c>
      <c r="I45">
        <v>0</v>
      </c>
      <c r="J45">
        <v>1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0.45404133128311103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0.45518418142323402</v>
      </c>
      <c r="U45">
        <f>IF((ContinuousStatsTable[[#This Row],[RepsRequested]]&gt;1),ContinuousStatsTable[[#This Row],[HalfWidth]],ContinuousStatsTable[[#This Row],[BatchMeansHalfWidth]])</f>
        <v>2.6178321488092363E-4</v>
      </c>
    </row>
    <row r="46" spans="1:21" x14ac:dyDescent="0.25">
      <c r="A46" t="s">
        <v>67</v>
      </c>
      <c r="B46" t="s">
        <v>243</v>
      </c>
      <c r="C46">
        <v>1</v>
      </c>
      <c r="D46" t="s">
        <v>132</v>
      </c>
      <c r="E46" t="s">
        <v>114</v>
      </c>
      <c r="F46" t="s">
        <v>113</v>
      </c>
      <c r="G46">
        <v>0.45447088637530197</v>
      </c>
      <c r="H46">
        <v>3E+20</v>
      </c>
      <c r="I46">
        <v>0</v>
      </c>
      <c r="J46">
        <v>1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0.45404133128311103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0.45518418142323402</v>
      </c>
      <c r="U46">
        <f>IF((ContinuousStatsTable[[#This Row],[RepsRequested]]&gt;1),ContinuousStatsTable[[#This Row],[HalfWidth]],ContinuousStatsTable[[#This Row],[BatchMeansHalfWidth]])</f>
        <v>2.6178321488092363E-4</v>
      </c>
    </row>
    <row r="47" spans="1:21" x14ac:dyDescent="0.25">
      <c r="A47" t="s">
        <v>67</v>
      </c>
      <c r="B47" t="s">
        <v>243</v>
      </c>
      <c r="C47">
        <v>1</v>
      </c>
      <c r="D47" t="s">
        <v>132</v>
      </c>
      <c r="E47" t="s">
        <v>115</v>
      </c>
      <c r="F47" t="s">
        <v>113</v>
      </c>
      <c r="G47">
        <v>0.476190476190476</v>
      </c>
      <c r="H47">
        <v>2E+20</v>
      </c>
      <c r="I47">
        <v>0</v>
      </c>
      <c r="J47">
        <v>1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0.476190476190476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0.476190476190476</v>
      </c>
      <c r="U47">
        <f>IF((ContinuousStatsTable[[#This Row],[RepsRequested]]&gt;1),ContinuousStatsTable[[#This Row],[HalfWidth]],ContinuousStatsTable[[#This Row],[BatchMeansHalfWidth]])</f>
        <v>0</v>
      </c>
    </row>
    <row r="48" spans="1:21" x14ac:dyDescent="0.25">
      <c r="A48" t="s">
        <v>67</v>
      </c>
      <c r="B48" t="s">
        <v>243</v>
      </c>
      <c r="C48">
        <v>1</v>
      </c>
      <c r="D48" t="s">
        <v>133</v>
      </c>
      <c r="E48" t="s">
        <v>112</v>
      </c>
      <c r="F48" t="s">
        <v>113</v>
      </c>
      <c r="G48">
        <v>0.23162597396851201</v>
      </c>
      <c r="H48">
        <v>3E+20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0.230969532572807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0.23202343200723599</v>
      </c>
      <c r="U48">
        <f>IF((ContinuousStatsTable[[#This Row],[RepsRequested]]&gt;1),ContinuousStatsTable[[#This Row],[HalfWidth]],ContinuousStatsTable[[#This Row],[BatchMeansHalfWidth]])</f>
        <v>2.4725912837525509E-4</v>
      </c>
    </row>
    <row r="49" spans="1:21" x14ac:dyDescent="0.25">
      <c r="A49" t="s">
        <v>67</v>
      </c>
      <c r="B49" t="s">
        <v>243</v>
      </c>
      <c r="C49">
        <v>1</v>
      </c>
      <c r="D49" t="s">
        <v>133</v>
      </c>
      <c r="E49" t="s">
        <v>114</v>
      </c>
      <c r="F49" t="s">
        <v>113</v>
      </c>
      <c r="G49">
        <v>0.23162597396851201</v>
      </c>
      <c r="H49">
        <v>3E+20</v>
      </c>
      <c r="I49">
        <v>0</v>
      </c>
      <c r="J49">
        <v>1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0.230969532572807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0.23202343200723599</v>
      </c>
      <c r="U49">
        <f>IF((ContinuousStatsTable[[#This Row],[RepsRequested]]&gt;1),ContinuousStatsTable[[#This Row],[HalfWidth]],ContinuousStatsTable[[#This Row],[BatchMeansHalfWidth]])</f>
        <v>2.4725912837525509E-4</v>
      </c>
    </row>
    <row r="50" spans="1:21" x14ac:dyDescent="0.25">
      <c r="A50" t="s">
        <v>67</v>
      </c>
      <c r="B50" t="s">
        <v>243</v>
      </c>
      <c r="C50">
        <v>1</v>
      </c>
      <c r="D50" t="s">
        <v>133</v>
      </c>
      <c r="E50" t="s">
        <v>115</v>
      </c>
      <c r="F50" t="s">
        <v>113</v>
      </c>
      <c r="G50">
        <v>0.476190476190476</v>
      </c>
      <c r="H50">
        <v>2E+20</v>
      </c>
      <c r="I50">
        <v>0</v>
      </c>
      <c r="J50">
        <v>1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0.476190476190476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0.476190476190476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25">
      <c r="A51" t="s">
        <v>67</v>
      </c>
      <c r="B51" t="s">
        <v>243</v>
      </c>
      <c r="C51">
        <v>1</v>
      </c>
      <c r="D51" t="s">
        <v>134</v>
      </c>
      <c r="E51" t="s">
        <v>112</v>
      </c>
      <c r="F51" t="s">
        <v>113</v>
      </c>
      <c r="G51">
        <v>0.27239527130113</v>
      </c>
      <c r="H51">
        <v>3E+20</v>
      </c>
      <c r="I51">
        <v>0</v>
      </c>
      <c r="J51">
        <v>1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0.271979535431421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0.27283313106114998</v>
      </c>
      <c r="U51">
        <f>IF((ContinuousStatsTable[[#This Row],[RepsRequested]]&gt;1),ContinuousStatsTable[[#This Row],[HalfWidth]],ContinuousStatsTable[[#This Row],[BatchMeansHalfWidth]])</f>
        <v>1.7269361236560142E-4</v>
      </c>
    </row>
    <row r="52" spans="1:21" x14ac:dyDescent="0.25">
      <c r="A52" t="s">
        <v>67</v>
      </c>
      <c r="B52" t="s">
        <v>243</v>
      </c>
      <c r="C52">
        <v>1</v>
      </c>
      <c r="D52" t="s">
        <v>134</v>
      </c>
      <c r="E52" t="s">
        <v>114</v>
      </c>
      <c r="F52" t="s">
        <v>113</v>
      </c>
      <c r="G52">
        <v>0.27239527130113</v>
      </c>
      <c r="H52">
        <v>3E+20</v>
      </c>
      <c r="I52">
        <v>0</v>
      </c>
      <c r="J52">
        <v>1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0.271979535431421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0.27283313106114998</v>
      </c>
      <c r="U52">
        <f>IF((ContinuousStatsTable[[#This Row],[RepsRequested]]&gt;1),ContinuousStatsTable[[#This Row],[HalfWidth]],ContinuousStatsTable[[#This Row],[BatchMeansHalfWidth]])</f>
        <v>1.7269361236560142E-4</v>
      </c>
    </row>
    <row r="53" spans="1:21" x14ac:dyDescent="0.25">
      <c r="A53" t="s">
        <v>67</v>
      </c>
      <c r="B53" t="s">
        <v>243</v>
      </c>
      <c r="C53">
        <v>1</v>
      </c>
      <c r="D53" t="s">
        <v>134</v>
      </c>
      <c r="E53" t="s">
        <v>115</v>
      </c>
      <c r="F53" t="s">
        <v>113</v>
      </c>
      <c r="G53">
        <v>0.476190476190476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0.476190476190476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0.476190476190476</v>
      </c>
      <c r="U53">
        <f>IF((ContinuousStatsTable[[#This Row],[RepsRequested]]&gt;1),ContinuousStatsTable[[#This Row],[HalfWidth]],ContinuousStatsTable[[#This Row],[BatchMeansHalfWidth]])</f>
        <v>0</v>
      </c>
    </row>
    <row r="54" spans="1:21" x14ac:dyDescent="0.25">
      <c r="A54" t="s">
        <v>67</v>
      </c>
      <c r="B54" t="s">
        <v>243</v>
      </c>
      <c r="C54">
        <v>1</v>
      </c>
      <c r="D54" t="s">
        <v>135</v>
      </c>
      <c r="E54" t="s">
        <v>112</v>
      </c>
      <c r="F54" t="s">
        <v>113</v>
      </c>
      <c r="G54">
        <v>0.476453428935454</v>
      </c>
      <c r="H54">
        <v>2E+20</v>
      </c>
      <c r="I54">
        <v>0</v>
      </c>
      <c r="J54">
        <v>1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0.47640752107427203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7.9809559904816854E-5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5.7092319840390197E-5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0.47622171379262102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0.47651577494330499</v>
      </c>
      <c r="U54">
        <f>IF((ContinuousStatsTable[[#This Row],[RepsRequested]]&gt;1),ContinuousStatsTable[[#This Row],[HalfWidth]],ContinuousStatsTable[[#This Row],[BatchMeansHalfWidth]])</f>
        <v>5.7092319840390197E-5</v>
      </c>
    </row>
    <row r="55" spans="1:21" x14ac:dyDescent="0.25">
      <c r="A55" t="s">
        <v>67</v>
      </c>
      <c r="B55" t="s">
        <v>243</v>
      </c>
      <c r="C55">
        <v>1</v>
      </c>
      <c r="D55" t="s">
        <v>135</v>
      </c>
      <c r="E55" t="s">
        <v>114</v>
      </c>
      <c r="F55" t="s">
        <v>113</v>
      </c>
      <c r="G55">
        <v>0.476453428935454</v>
      </c>
      <c r="H55">
        <v>2E+20</v>
      </c>
      <c r="I55">
        <v>0</v>
      </c>
      <c r="J55">
        <v>1</v>
      </c>
      <c r="K55">
        <v>0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0.47640752107427209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7.980955990487845E-5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5.7092319840434263E-5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0.47622171379262102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0.47651577494330499</v>
      </c>
      <c r="U55">
        <f>IF((ContinuousStatsTable[[#This Row],[RepsRequested]]&gt;1),ContinuousStatsTable[[#This Row],[HalfWidth]],ContinuousStatsTable[[#This Row],[BatchMeansHalfWidth]])</f>
        <v>5.7092319840434263E-5</v>
      </c>
    </row>
    <row r="56" spans="1:21" x14ac:dyDescent="0.25">
      <c r="A56" t="s">
        <v>67</v>
      </c>
      <c r="B56" t="s">
        <v>243</v>
      </c>
      <c r="C56">
        <v>1</v>
      </c>
      <c r="D56" t="s">
        <v>135</v>
      </c>
      <c r="E56" t="s">
        <v>115</v>
      </c>
      <c r="F56" t="s">
        <v>113</v>
      </c>
      <c r="G56">
        <v>0.476190476190476</v>
      </c>
      <c r="H56">
        <v>2E+20</v>
      </c>
      <c r="I56">
        <v>0</v>
      </c>
      <c r="J56">
        <v>1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0.476190476190476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0.476190476190476</v>
      </c>
      <c r="U56">
        <f>IF((ContinuousStatsTable[[#This Row],[RepsRequested]]&gt;1),ContinuousStatsTable[[#This Row],[HalfWidth]],ContinuousStatsTable[[#This Row],[BatchMeansHalfWidth]])</f>
        <v>0</v>
      </c>
    </row>
    <row r="57" spans="1:21" x14ac:dyDescent="0.25">
      <c r="A57" t="s">
        <v>67</v>
      </c>
      <c r="B57" t="s">
        <v>243</v>
      </c>
      <c r="C57">
        <v>1</v>
      </c>
      <c r="D57" t="s">
        <v>136</v>
      </c>
      <c r="E57" t="s">
        <v>112</v>
      </c>
      <c r="F57" t="s">
        <v>113</v>
      </c>
      <c r="G57">
        <v>0.29905728406687998</v>
      </c>
      <c r="H57">
        <v>3E+20</v>
      </c>
      <c r="I57">
        <v>0</v>
      </c>
      <c r="J57">
        <v>1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0.29842379685970999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0.29970100107953501</v>
      </c>
      <c r="U57">
        <f>IF((ContinuousStatsTable[[#This Row],[RepsRequested]]&gt;1),ContinuousStatsTable[[#This Row],[HalfWidth]],ContinuousStatsTable[[#This Row],[BatchMeansHalfWidth]])</f>
        <v>2.6450685793468105E-4</v>
      </c>
    </row>
    <row r="58" spans="1:21" x14ac:dyDescent="0.25">
      <c r="A58" t="s">
        <v>67</v>
      </c>
      <c r="B58" t="s">
        <v>243</v>
      </c>
      <c r="C58">
        <v>1</v>
      </c>
      <c r="D58" t="s">
        <v>136</v>
      </c>
      <c r="E58" t="s">
        <v>114</v>
      </c>
      <c r="F58" t="s">
        <v>113</v>
      </c>
      <c r="G58">
        <v>0.29905728406687998</v>
      </c>
      <c r="H58">
        <v>3E+20</v>
      </c>
      <c r="I58">
        <v>0</v>
      </c>
      <c r="J58">
        <v>1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0.29842379685970999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0.29970100107953501</v>
      </c>
      <c r="U58">
        <f>IF((ContinuousStatsTable[[#This Row],[RepsRequested]]&gt;1),ContinuousStatsTable[[#This Row],[HalfWidth]],ContinuousStatsTable[[#This Row],[BatchMeansHalfWidth]])</f>
        <v>2.6450685793468105E-4</v>
      </c>
    </row>
    <row r="59" spans="1:21" x14ac:dyDescent="0.25">
      <c r="A59" t="s">
        <v>67</v>
      </c>
      <c r="B59" t="s">
        <v>243</v>
      </c>
      <c r="C59">
        <v>1</v>
      </c>
      <c r="D59" t="s">
        <v>136</v>
      </c>
      <c r="E59" t="s">
        <v>115</v>
      </c>
      <c r="F59" t="s">
        <v>113</v>
      </c>
      <c r="G59">
        <v>0.476190476190476</v>
      </c>
      <c r="H59">
        <v>2E+20</v>
      </c>
      <c r="I59">
        <v>0</v>
      </c>
      <c r="J59">
        <v>1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0.476190476190476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0.476190476190476</v>
      </c>
      <c r="U59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67</v>
      </c>
      <c r="B60" t="s">
        <v>243</v>
      </c>
      <c r="C60">
        <v>1</v>
      </c>
      <c r="D60" t="s">
        <v>137</v>
      </c>
      <c r="E60" t="s">
        <v>112</v>
      </c>
      <c r="F60" t="s">
        <v>113</v>
      </c>
      <c r="G60">
        <v>0.456184848814354</v>
      </c>
      <c r="H60">
        <v>3E+20</v>
      </c>
      <c r="I60">
        <v>0</v>
      </c>
      <c r="J60">
        <v>1</v>
      </c>
      <c r="K60">
        <v>0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0.45550004981449399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0.45652258337600798</v>
      </c>
      <c r="U60">
        <f>IF((ContinuousStatsTable[[#This Row],[RepsRequested]]&gt;1),ContinuousStatsTable[[#This Row],[HalfWidth]],ContinuousStatsTable[[#This Row],[BatchMeansHalfWidth]])</f>
        <v>2.4108493326261801E-4</v>
      </c>
    </row>
    <row r="61" spans="1:21" x14ac:dyDescent="0.25">
      <c r="A61" t="s">
        <v>67</v>
      </c>
      <c r="B61" t="s">
        <v>243</v>
      </c>
      <c r="C61">
        <v>1</v>
      </c>
      <c r="D61" t="s">
        <v>137</v>
      </c>
      <c r="E61" t="s">
        <v>114</v>
      </c>
      <c r="F61" t="s">
        <v>113</v>
      </c>
      <c r="G61">
        <v>0.456184848814354</v>
      </c>
      <c r="H61">
        <v>3E+20</v>
      </c>
      <c r="I61">
        <v>0</v>
      </c>
      <c r="J61">
        <v>1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0.45550004981449399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0.45652258337600798</v>
      </c>
      <c r="U61">
        <f>IF((ContinuousStatsTable[[#This Row],[RepsRequested]]&gt;1),ContinuousStatsTable[[#This Row],[HalfWidth]],ContinuousStatsTable[[#This Row],[BatchMeansHalfWidth]])</f>
        <v>2.4108493326261801E-4</v>
      </c>
    </row>
    <row r="62" spans="1:21" x14ac:dyDescent="0.25">
      <c r="A62" t="s">
        <v>67</v>
      </c>
      <c r="B62" t="s">
        <v>243</v>
      </c>
      <c r="C62">
        <v>1</v>
      </c>
      <c r="D62" t="s">
        <v>137</v>
      </c>
      <c r="E62" t="s">
        <v>115</v>
      </c>
      <c r="F62" t="s">
        <v>113</v>
      </c>
      <c r="G62">
        <v>0.476190476190476</v>
      </c>
      <c r="H62">
        <v>2E+20</v>
      </c>
      <c r="I62">
        <v>0</v>
      </c>
      <c r="J62">
        <v>1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0.476190476190476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0.476190476190476</v>
      </c>
      <c r="U62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67</v>
      </c>
      <c r="B63" t="s">
        <v>243</v>
      </c>
      <c r="C63">
        <v>1</v>
      </c>
      <c r="D63" t="s">
        <v>138</v>
      </c>
      <c r="E63" t="s">
        <v>112</v>
      </c>
      <c r="F63" t="s">
        <v>113</v>
      </c>
      <c r="G63">
        <v>0.47637288352524698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0.47637632373438449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2.6635978153163645E-5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1.9054230919149366E-5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0.47633465557050603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0.47641329732322302</v>
      </c>
      <c r="U63">
        <f>IF((ContinuousStatsTable[[#This Row],[RepsRequested]]&gt;1),ContinuousStatsTable[[#This Row],[HalfWidth]],ContinuousStatsTable[[#This Row],[BatchMeansHalfWidth]])</f>
        <v>1.9054230919149366E-5</v>
      </c>
    </row>
    <row r="64" spans="1:21" x14ac:dyDescent="0.25">
      <c r="A64" t="s">
        <v>67</v>
      </c>
      <c r="B64" t="s">
        <v>243</v>
      </c>
      <c r="C64">
        <v>1</v>
      </c>
      <c r="D64" t="s">
        <v>138</v>
      </c>
      <c r="E64" t="s">
        <v>114</v>
      </c>
      <c r="F64" t="s">
        <v>113</v>
      </c>
      <c r="G64">
        <v>0.47637288352524698</v>
      </c>
      <c r="H64">
        <v>2E+20</v>
      </c>
      <c r="I64">
        <v>0</v>
      </c>
      <c r="J64">
        <v>1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0.47633465557050603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0.47641329732322302</v>
      </c>
      <c r="U64">
        <f>IF((ContinuousStatsTable[[#This Row],[RepsRequested]]&gt;1),ContinuousStatsTable[[#This Row],[HalfWidth]],ContinuousStatsTable[[#This Row],[BatchMeansHalfWidth]])</f>
        <v>1.9054230919217752E-5</v>
      </c>
    </row>
    <row r="65" spans="1:21" x14ac:dyDescent="0.25">
      <c r="A65" t="s">
        <v>67</v>
      </c>
      <c r="B65" t="s">
        <v>243</v>
      </c>
      <c r="C65">
        <v>1</v>
      </c>
      <c r="D65" t="s">
        <v>138</v>
      </c>
      <c r="E65" t="s">
        <v>115</v>
      </c>
      <c r="F65" t="s">
        <v>113</v>
      </c>
      <c r="G65">
        <v>0.476190476190476</v>
      </c>
      <c r="H65">
        <v>2E+20</v>
      </c>
      <c r="I65">
        <v>0</v>
      </c>
      <c r="J65">
        <v>1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0.476190476190476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0.476190476190476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25">
      <c r="A66" t="s">
        <v>67</v>
      </c>
      <c r="B66" t="s">
        <v>243</v>
      </c>
      <c r="C66">
        <v>1</v>
      </c>
      <c r="D66" t="s">
        <v>83</v>
      </c>
      <c r="E66" t="s">
        <v>116</v>
      </c>
      <c r="F66" t="s">
        <v>71</v>
      </c>
      <c r="G66">
        <v>3.9040370614271103E-5</v>
      </c>
      <c r="H66">
        <v>2E+20</v>
      </c>
      <c r="I66">
        <v>0</v>
      </c>
      <c r="J66">
        <v>1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ProjectMatch 1.Queue1Number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2.9170315053456471E-5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7.7933109083950271E-6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5.5749987786968959E-6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1.80144253291803E-5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4.21406992387485E-5</v>
      </c>
      <c r="U66">
        <f>IF((ContinuousStatsTable[[#This Row],[RepsRequested]]&gt;1),ContinuousStatsTable[[#This Row],[HalfWidth]],ContinuousStatsTable[[#This Row],[BatchMeansHalfWidth]])</f>
        <v>5.5749987786968959E-6</v>
      </c>
    </row>
    <row r="67" spans="1:21" x14ac:dyDescent="0.25">
      <c r="A67" t="s">
        <v>67</v>
      </c>
      <c r="B67" t="s">
        <v>243</v>
      </c>
      <c r="C67">
        <v>1</v>
      </c>
      <c r="D67" t="s">
        <v>84</v>
      </c>
      <c r="E67" t="s">
        <v>116</v>
      </c>
      <c r="F67" t="s">
        <v>71</v>
      </c>
      <c r="G67">
        <v>871.73571005494603</v>
      </c>
      <c r="H67">
        <v>3E+20</v>
      </c>
      <c r="I67">
        <v>0</v>
      </c>
      <c r="J67">
        <v>1685</v>
      </c>
      <c r="K67">
        <v>1684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ProjectMatch 1.Queue2Number WaitingQueue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867.85098767897125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5.9823523640247513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4.2795170775550373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858.49288388840398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875.80608811200398</v>
      </c>
      <c r="U67">
        <f>IF((ContinuousStatsTable[[#This Row],[RepsRequested]]&gt;1),ContinuousStatsTable[[#This Row],[HalfWidth]],ContinuousStatsTable[[#This Row],[BatchMeansHalfWidth]])</f>
        <v>4.2795170775550373</v>
      </c>
    </row>
    <row r="68" spans="1:21" x14ac:dyDescent="0.25">
      <c r="A68" t="s">
        <v>67</v>
      </c>
      <c r="B68" t="s">
        <v>243</v>
      </c>
      <c r="C68">
        <v>1</v>
      </c>
      <c r="D68" t="s">
        <v>85</v>
      </c>
      <c r="E68" t="s">
        <v>116</v>
      </c>
      <c r="F68" t="s">
        <v>71</v>
      </c>
      <c r="G68">
        <v>1367.8634117176</v>
      </c>
      <c r="H68">
        <v>3E+20</v>
      </c>
      <c r="I68">
        <v>0</v>
      </c>
      <c r="J68">
        <v>2643</v>
      </c>
      <c r="K68">
        <v>2643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ProjectMatch 1.Queue3Number WaitingQueue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1368.6640709815952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5.3961917051273351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3.860203002204456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1357.5761788714599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1375.17190829069</v>
      </c>
      <c r="U68">
        <f>IF((ContinuousStatsTable[[#This Row],[RepsRequested]]&gt;1),ContinuousStatsTable[[#This Row],[HalfWidth]],ContinuousStatsTable[[#This Row],[BatchMeansHalfWidth]])</f>
        <v>3.860203002204456</v>
      </c>
    </row>
    <row r="69" spans="1:21" x14ac:dyDescent="0.25">
      <c r="A69" t="s">
        <v>67</v>
      </c>
      <c r="B69" t="s">
        <v>243</v>
      </c>
      <c r="C69">
        <v>1</v>
      </c>
      <c r="D69" t="s">
        <v>139</v>
      </c>
      <c r="E69" t="s">
        <v>112</v>
      </c>
      <c r="F69" t="s">
        <v>113</v>
      </c>
      <c r="G69">
        <v>0</v>
      </c>
      <c r="H69">
        <v>2E+20</v>
      </c>
      <c r="I69">
        <v>0</v>
      </c>
      <c r="J69">
        <v>0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</v>
      </c>
      <c r="U69">
        <f>IF((ContinuousStatsTable[[#This Row],[RepsRequested]]&gt;1),ContinuousStatsTable[[#This Row],[HalfWidth]],ContinuousStatsTable[[#This Row],[BatchMeansHalfWidth]])</f>
        <v>0</v>
      </c>
    </row>
    <row r="70" spans="1:21" x14ac:dyDescent="0.25">
      <c r="A70" t="s">
        <v>67</v>
      </c>
      <c r="B70" t="s">
        <v>243</v>
      </c>
      <c r="C70">
        <v>1</v>
      </c>
      <c r="D70" t="s">
        <v>139</v>
      </c>
      <c r="E70" t="s">
        <v>114</v>
      </c>
      <c r="F70" t="s">
        <v>113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67</v>
      </c>
      <c r="B71" t="s">
        <v>243</v>
      </c>
      <c r="C71">
        <v>1</v>
      </c>
      <c r="D71" t="s">
        <v>139</v>
      </c>
      <c r="E71" t="s">
        <v>115</v>
      </c>
      <c r="F71" t="s">
        <v>113</v>
      </c>
      <c r="G71">
        <v>0.26785714285714302</v>
      </c>
      <c r="H71">
        <v>2E+20</v>
      </c>
      <c r="I71">
        <v>0</v>
      </c>
      <c r="J71">
        <v>1</v>
      </c>
      <c r="K71">
        <v>1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0.26785714285714302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0.26785714285714302</v>
      </c>
      <c r="U71">
        <f>IF((ContinuousStatsTable[[#This Row],[RepsRequested]]&gt;1),ContinuousStatsTable[[#This Row],[HalfWidth]],ContinuousStatsTable[[#This Row],[BatchMeansHalfWidth]])</f>
        <v>4.1858316124321422E-17</v>
      </c>
    </row>
    <row r="72" spans="1:21" x14ac:dyDescent="0.25">
      <c r="A72" t="s">
        <v>67</v>
      </c>
      <c r="B72" t="s">
        <v>243</v>
      </c>
      <c r="C72">
        <v>1</v>
      </c>
      <c r="D72" t="s">
        <v>140</v>
      </c>
      <c r="E72" t="s">
        <v>112</v>
      </c>
      <c r="F72" t="s">
        <v>113</v>
      </c>
      <c r="G72">
        <v>7.7560520233913702E-2</v>
      </c>
      <c r="H72">
        <v>2E+20</v>
      </c>
      <c r="I72">
        <v>0</v>
      </c>
      <c r="J72">
        <v>1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8.7684406282387828E-2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7.2143522330073706E-2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0.105326430117076</v>
      </c>
      <c r="U72">
        <f>IF((ContinuousStatsTable[[#This Row],[RepsRequested]]&gt;1),ContinuousStatsTable[[#This Row],[HalfWidth]],ContinuousStatsTable[[#This Row],[BatchMeansHalfWidth]])</f>
        <v>6.7395853500387742E-3</v>
      </c>
    </row>
    <row r="73" spans="1:21" x14ac:dyDescent="0.25">
      <c r="A73" t="s">
        <v>67</v>
      </c>
      <c r="B73" t="s">
        <v>243</v>
      </c>
      <c r="C73">
        <v>1</v>
      </c>
      <c r="D73" t="s">
        <v>140</v>
      </c>
      <c r="E73" t="s">
        <v>114</v>
      </c>
      <c r="F73" t="s">
        <v>113</v>
      </c>
      <c r="G73">
        <v>7.7560520233913799E-2</v>
      </c>
      <c r="H73">
        <v>2E+20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8.7684406282387842E-2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7.2143522330073706E-2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0.105326430117076</v>
      </c>
      <c r="U73">
        <f>IF((ContinuousStatsTable[[#This Row],[RepsRequested]]&gt;1),ContinuousStatsTable[[#This Row],[HalfWidth]],ContinuousStatsTable[[#This Row],[BatchMeansHalfWidth]])</f>
        <v>6.7395853500387742E-3</v>
      </c>
    </row>
    <row r="74" spans="1:21" x14ac:dyDescent="0.25">
      <c r="A74" t="s">
        <v>67</v>
      </c>
      <c r="B74" t="s">
        <v>243</v>
      </c>
      <c r="C74">
        <v>1</v>
      </c>
      <c r="D74" t="s">
        <v>140</v>
      </c>
      <c r="E74" t="s">
        <v>115</v>
      </c>
      <c r="F74" t="s">
        <v>113</v>
      </c>
      <c r="G74">
        <v>0.26785714285714302</v>
      </c>
      <c r="H74">
        <v>2E+20</v>
      </c>
      <c r="I74">
        <v>0</v>
      </c>
      <c r="J74">
        <v>1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0.26785714285714302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0.26785714285714302</v>
      </c>
      <c r="U74">
        <f>IF((ContinuousStatsTable[[#This Row],[RepsRequested]]&gt;1),ContinuousStatsTable[[#This Row],[HalfWidth]],ContinuousStatsTable[[#This Row],[BatchMeansHalfWidth]])</f>
        <v>4.1858316124321422E-17</v>
      </c>
    </row>
    <row r="75" spans="1:21" x14ac:dyDescent="0.25">
      <c r="A75" t="s">
        <v>67</v>
      </c>
      <c r="B75" t="s">
        <v>243</v>
      </c>
      <c r="C75">
        <v>1</v>
      </c>
      <c r="D75" t="s">
        <v>99</v>
      </c>
      <c r="E75" t="s">
        <v>116</v>
      </c>
      <c r="F75" t="s">
        <v>71</v>
      </c>
      <c r="G75">
        <v>72.152998246910798</v>
      </c>
      <c r="H75">
        <v>2E+20</v>
      </c>
      <c r="I75">
        <v>0</v>
      </c>
      <c r="J75">
        <v>149</v>
      </c>
      <c r="K75">
        <v>149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83.474789654582125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6.0930686050573728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4.358718705180836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72.152998246910798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91.653675793565498</v>
      </c>
      <c r="U75">
        <f>IF((ContinuousStatsTable[[#This Row],[RepsRequested]]&gt;1),ContinuousStatsTable[[#This Row],[HalfWidth]],ContinuousStatsTable[[#This Row],[BatchMeansHalfWidth]])</f>
        <v>4.358718705180836</v>
      </c>
    </row>
    <row r="76" spans="1:21" x14ac:dyDescent="0.25">
      <c r="A76" t="s">
        <v>67</v>
      </c>
      <c r="B76" t="s">
        <v>243</v>
      </c>
      <c r="C76">
        <v>1</v>
      </c>
      <c r="D76" t="s">
        <v>100</v>
      </c>
      <c r="E76" t="s">
        <v>116</v>
      </c>
      <c r="F76" t="s">
        <v>71</v>
      </c>
      <c r="G76">
        <v>0.57599630674201496</v>
      </c>
      <c r="H76">
        <v>2E+20</v>
      </c>
      <c r="I76">
        <v>0</v>
      </c>
      <c r="J76">
        <v>2</v>
      </c>
      <c r="K76">
        <v>2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ProjectSeize 10.QueueNumber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0.77451739131190445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0.14034110421466847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0.10039397809151185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0.57599630674201496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0.944128153448903</v>
      </c>
      <c r="U76">
        <f>IF((ContinuousStatsTable[[#This Row],[RepsRequested]]&gt;1),ContinuousStatsTable[[#This Row],[HalfWidth]],ContinuousStatsTable[[#This Row],[BatchMeansHalfWidth]])</f>
        <v>0.10039397809151185</v>
      </c>
    </row>
    <row r="77" spans="1:21" x14ac:dyDescent="0.25">
      <c r="A77" t="s">
        <v>67</v>
      </c>
      <c r="B77" t="s">
        <v>243</v>
      </c>
      <c r="C77">
        <v>1</v>
      </c>
      <c r="D77" t="s">
        <v>101</v>
      </c>
      <c r="E77" t="s">
        <v>116</v>
      </c>
      <c r="F77" t="s">
        <v>71</v>
      </c>
      <c r="G77">
        <v>13.582184079304501</v>
      </c>
      <c r="H77">
        <v>2E+20</v>
      </c>
      <c r="I77">
        <v>0</v>
      </c>
      <c r="J77">
        <v>103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ProjectSeize 11.QueueNumber WaitingQueue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17.495844600024782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4.1567315260337745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2.9735466034142406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10.770319236854199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25.764658423427701</v>
      </c>
      <c r="U77">
        <f>IF((ContinuousStatsTable[[#This Row],[RepsRequested]]&gt;1),ContinuousStatsTable[[#This Row],[HalfWidth]],ContinuousStatsTable[[#This Row],[BatchMeansHalfWidth]])</f>
        <v>2.9735466034142406</v>
      </c>
    </row>
    <row r="78" spans="1:21" x14ac:dyDescent="0.25">
      <c r="A78" t="s">
        <v>67</v>
      </c>
      <c r="B78" t="s">
        <v>243</v>
      </c>
      <c r="C78">
        <v>1</v>
      </c>
      <c r="D78" t="s">
        <v>102</v>
      </c>
      <c r="E78" t="s">
        <v>116</v>
      </c>
      <c r="F78" t="s">
        <v>71</v>
      </c>
      <c r="G78">
        <v>1.50453055464151</v>
      </c>
      <c r="H78">
        <v>2E+20</v>
      </c>
      <c r="I78">
        <v>0</v>
      </c>
      <c r="J78">
        <v>4</v>
      </c>
      <c r="K78">
        <v>4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1.2334365850159306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0.34677877772765942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0.24807059349154728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0.47601596605360202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1.5938052921300001</v>
      </c>
      <c r="U78">
        <f>IF((ContinuousStatsTable[[#This Row],[RepsRequested]]&gt;1),ContinuousStatsTable[[#This Row],[HalfWidth]],ContinuousStatsTable[[#This Row],[BatchMeansHalfWidth]])</f>
        <v>0.24807059349154728</v>
      </c>
    </row>
    <row r="79" spans="1:21" x14ac:dyDescent="0.25">
      <c r="A79" t="s">
        <v>67</v>
      </c>
      <c r="B79" t="s">
        <v>243</v>
      </c>
      <c r="C79">
        <v>1</v>
      </c>
      <c r="D79" t="s">
        <v>103</v>
      </c>
      <c r="E79" t="s">
        <v>116</v>
      </c>
      <c r="F79" t="s">
        <v>71</v>
      </c>
      <c r="G79">
        <v>0.151196464346881</v>
      </c>
      <c r="H79">
        <v>3E+20</v>
      </c>
      <c r="I79">
        <v>0</v>
      </c>
      <c r="J79">
        <v>2</v>
      </c>
      <c r="K79">
        <v>0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0.19501309596936622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0.14771852643081365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0.10567146802209269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5.2203254973614402E-2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0.443638473140476</v>
      </c>
      <c r="U79">
        <f>IF((ContinuousStatsTable[[#This Row],[RepsRequested]]&gt;1),ContinuousStatsTable[[#This Row],[HalfWidth]],ContinuousStatsTable[[#This Row],[BatchMeansHalfWidth]])</f>
        <v>0.10567146802209269</v>
      </c>
    </row>
    <row r="80" spans="1:21" x14ac:dyDescent="0.25">
      <c r="A80" t="s">
        <v>67</v>
      </c>
      <c r="B80" t="s">
        <v>243</v>
      </c>
      <c r="C80">
        <v>1</v>
      </c>
      <c r="D80" t="s">
        <v>104</v>
      </c>
      <c r="E80" t="s">
        <v>116</v>
      </c>
      <c r="F80" t="s">
        <v>71</v>
      </c>
      <c r="G80">
        <v>89.0134623219964</v>
      </c>
      <c r="H80">
        <v>3E+20</v>
      </c>
      <c r="I80">
        <v>0</v>
      </c>
      <c r="J80">
        <v>171</v>
      </c>
      <c r="K80">
        <v>171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81.226274902651596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11.159336682409895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7.9829085618136846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66.053444809788303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100.586340982454</v>
      </c>
      <c r="U80">
        <f>IF((ContinuousStatsTable[[#This Row],[RepsRequested]]&gt;1),ContinuousStatsTable[[#This Row],[HalfWidth]],ContinuousStatsTable[[#This Row],[BatchMeansHalfWidth]])</f>
        <v>7.9829085618136846</v>
      </c>
    </row>
    <row r="81" spans="1:21" x14ac:dyDescent="0.25">
      <c r="A81" t="s">
        <v>67</v>
      </c>
      <c r="B81" t="s">
        <v>243</v>
      </c>
      <c r="C81">
        <v>1</v>
      </c>
      <c r="D81" t="s">
        <v>105</v>
      </c>
      <c r="E81" t="s">
        <v>116</v>
      </c>
      <c r="F81" t="s">
        <v>71</v>
      </c>
      <c r="G81">
        <v>0.88257428434366503</v>
      </c>
      <c r="H81">
        <v>3E+20</v>
      </c>
      <c r="I81">
        <v>0</v>
      </c>
      <c r="J81">
        <v>2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1.3234420699844864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0.23376145670955006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0.1672228724069392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0.88257428434366503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1.5367801636504701</v>
      </c>
      <c r="U81">
        <f>IF((ContinuousStatsTable[[#This Row],[RepsRequested]]&gt;1),ContinuousStatsTable[[#This Row],[HalfWidth]],ContinuousStatsTable[[#This Row],[BatchMeansHalfWidth]])</f>
        <v>0.1672228724069392</v>
      </c>
    </row>
    <row r="82" spans="1:21" x14ac:dyDescent="0.25">
      <c r="A82" t="s">
        <v>67</v>
      </c>
      <c r="B82" t="s">
        <v>243</v>
      </c>
      <c r="C82">
        <v>1</v>
      </c>
      <c r="D82" t="s">
        <v>106</v>
      </c>
      <c r="E82" t="s">
        <v>116</v>
      </c>
      <c r="F82" t="s">
        <v>71</v>
      </c>
      <c r="G82">
        <v>3.41364509754623</v>
      </c>
      <c r="H82">
        <v>3E+20</v>
      </c>
      <c r="I82">
        <v>0</v>
      </c>
      <c r="J82">
        <v>5</v>
      </c>
      <c r="K82">
        <v>2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3.295350976306183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0.30652142094800816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0.21927221530309879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2.9443042052265702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3.9785130958891202</v>
      </c>
      <c r="U82">
        <f>IF((ContinuousStatsTable[[#This Row],[RepsRequested]]&gt;1),ContinuousStatsTable[[#This Row],[HalfWidth]],ContinuousStatsTable[[#This Row],[BatchMeansHalfWidth]])</f>
        <v>0.21927221530309879</v>
      </c>
    </row>
    <row r="83" spans="1:21" x14ac:dyDescent="0.25">
      <c r="A83" t="s">
        <v>67</v>
      </c>
      <c r="B83" t="s">
        <v>243</v>
      </c>
      <c r="C83">
        <v>1</v>
      </c>
      <c r="D83" t="s">
        <v>107</v>
      </c>
      <c r="E83" t="s">
        <v>116</v>
      </c>
      <c r="F83" t="s">
        <v>71</v>
      </c>
      <c r="G83">
        <v>1.5092274122896501</v>
      </c>
      <c r="H83">
        <v>2E+20</v>
      </c>
      <c r="I83">
        <v>0</v>
      </c>
      <c r="J83">
        <v>4</v>
      </c>
      <c r="K83">
        <v>4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1.4832039737284362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0.28170250043427397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0.20151782911486205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0.850065833369271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1.78320590856036</v>
      </c>
      <c r="U83">
        <f>IF((ContinuousStatsTable[[#This Row],[RepsRequested]]&gt;1),ContinuousStatsTable[[#This Row],[HalfWidth]],ContinuousStatsTable[[#This Row],[BatchMeansHalfWidth]])</f>
        <v>0.20151782911486205</v>
      </c>
    </row>
    <row r="84" spans="1:21" x14ac:dyDescent="0.25">
      <c r="A84" t="s">
        <v>67</v>
      </c>
      <c r="B84" t="s">
        <v>243</v>
      </c>
      <c r="C84">
        <v>1</v>
      </c>
      <c r="D84" t="s">
        <v>108</v>
      </c>
      <c r="E84" t="s">
        <v>116</v>
      </c>
      <c r="F84" t="s">
        <v>71</v>
      </c>
      <c r="G84">
        <v>82.038312854405802</v>
      </c>
      <c r="H84">
        <v>3E+20</v>
      </c>
      <c r="I84">
        <v>0</v>
      </c>
      <c r="J84">
        <v>157</v>
      </c>
      <c r="K84">
        <v>157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84.673313986400757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6.3050274623130749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4.5103449375003528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72.004631303705096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94.488584180465494</v>
      </c>
      <c r="U84">
        <f>IF((ContinuousStatsTable[[#This Row],[RepsRequested]]&gt;1),ContinuousStatsTable[[#This Row],[HalfWidth]],ContinuousStatsTable[[#This Row],[BatchMeansHalfWidth]])</f>
        <v>4.5103449375003528</v>
      </c>
    </row>
    <row r="85" spans="1:21" x14ac:dyDescent="0.25">
      <c r="A85" t="s">
        <v>67</v>
      </c>
      <c r="B85" t="s">
        <v>243</v>
      </c>
      <c r="C85">
        <v>1</v>
      </c>
      <c r="D85" t="s">
        <v>109</v>
      </c>
      <c r="E85" t="s">
        <v>116</v>
      </c>
      <c r="F85" t="s">
        <v>71</v>
      </c>
      <c r="G85">
        <v>3.2828241661891902</v>
      </c>
      <c r="H85">
        <v>3E+20</v>
      </c>
      <c r="I85">
        <v>0</v>
      </c>
      <c r="J85">
        <v>5</v>
      </c>
      <c r="K85">
        <v>3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3.1643006447829118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0.56709805972033456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0.40567751338350572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2.1571183231200299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3.7448575603137102</v>
      </c>
      <c r="U85">
        <f>IF((ContinuousStatsTable[[#This Row],[RepsRequested]]&gt;1),ContinuousStatsTable[[#This Row],[HalfWidth]],ContinuousStatsTable[[#This Row],[BatchMeansHalfWidth]])</f>
        <v>0.40567751338350572</v>
      </c>
    </row>
    <row r="86" spans="1:21" x14ac:dyDescent="0.25">
      <c r="A86" t="s">
        <v>67</v>
      </c>
      <c r="B86" t="s">
        <v>243</v>
      </c>
      <c r="C86">
        <v>1</v>
      </c>
      <c r="D86" t="s">
        <v>110</v>
      </c>
      <c r="E86" t="s">
        <v>117</v>
      </c>
      <c r="F86" t="s">
        <v>76</v>
      </c>
      <c r="G86">
        <v>2.05988155680273</v>
      </c>
      <c r="H86">
        <v>3E+20</v>
      </c>
      <c r="I86">
        <v>0</v>
      </c>
      <c r="J86">
        <v>6</v>
      </c>
      <c r="K86">
        <v>4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2.7938165767457108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0.37107770243484822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0.26545299708849601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2.05988155680273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3.2132100714910901</v>
      </c>
      <c r="U86">
        <f>IF((ContinuousStatsTable[[#This Row],[RepsRequested]]&gt;1),ContinuousStatsTable[[#This Row],[HalfWidth]],ContinuousStatsTable[[#This Row],[BatchMeansHalfWidth]])</f>
        <v>0.26545299708849601</v>
      </c>
    </row>
    <row r="87" spans="1:21" x14ac:dyDescent="0.25">
      <c r="A87" t="s">
        <v>67</v>
      </c>
      <c r="B87" t="s">
        <v>243</v>
      </c>
      <c r="C87">
        <v>2</v>
      </c>
      <c r="D87" t="s">
        <v>111</v>
      </c>
      <c r="E87" t="s">
        <v>112</v>
      </c>
      <c r="F87" t="s">
        <v>113</v>
      </c>
      <c r="G87">
        <v>3.6066192846711101E-2</v>
      </c>
      <c r="H87">
        <v>3E+20</v>
      </c>
      <c r="I87">
        <v>0</v>
      </c>
      <c r="J87">
        <v>1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3.6074566243936998E-2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6.6761681626786623E-5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4.7758430005936653E-5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3.5941735992799297E-2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3.6177689828441002E-2</v>
      </c>
      <c r="U87">
        <f>IF((ContinuousStatsTable[[#This Row],[RepsRequested]]&gt;1),ContinuousStatsTable[[#This Row],[HalfWidth]],ContinuousStatsTable[[#This Row],[BatchMeansHalfWidth]])</f>
        <v>4.7758430005936653E-5</v>
      </c>
    </row>
    <row r="88" spans="1:21" x14ac:dyDescent="0.25">
      <c r="A88" t="s">
        <v>67</v>
      </c>
      <c r="B88" t="s">
        <v>243</v>
      </c>
      <c r="C88">
        <v>2</v>
      </c>
      <c r="D88" t="s">
        <v>111</v>
      </c>
      <c r="E88" t="s">
        <v>114</v>
      </c>
      <c r="F88" t="s">
        <v>113</v>
      </c>
      <c r="G88">
        <v>3.6066192846711198E-2</v>
      </c>
      <c r="H88">
        <v>3E+20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3.6074566243937005E-2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6.6761681626785268E-5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4.7758430005935684E-5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3.5941735992799297E-2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3.6177689828441002E-2</v>
      </c>
      <c r="U88">
        <f>IF((ContinuousStatsTable[[#This Row],[RepsRequested]]&gt;1),ContinuousStatsTable[[#This Row],[HalfWidth]],ContinuousStatsTable[[#This Row],[BatchMeansHalfWidth]])</f>
        <v>4.7758430005935684E-5</v>
      </c>
    </row>
    <row r="89" spans="1:21" x14ac:dyDescent="0.25">
      <c r="A89" t="s">
        <v>67</v>
      </c>
      <c r="B89" t="s">
        <v>243</v>
      </c>
      <c r="C89">
        <v>2</v>
      </c>
      <c r="D89" t="s">
        <v>111</v>
      </c>
      <c r="E89" t="s">
        <v>115</v>
      </c>
      <c r="F89" t="s">
        <v>113</v>
      </c>
      <c r="G89">
        <v>0.476190476190476</v>
      </c>
      <c r="H89">
        <v>2E+20</v>
      </c>
      <c r="I89">
        <v>0</v>
      </c>
      <c r="J89">
        <v>1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0.476190476190476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0.476190476190476</v>
      </c>
      <c r="U89">
        <f>IF((ContinuousStatsTable[[#This Row],[RepsRequested]]&gt;1),ContinuousStatsTable[[#This Row],[HalfWidth]],ContinuousStatsTable[[#This Row],[BatchMeansHalfWidth]])</f>
        <v>0</v>
      </c>
    </row>
    <row r="90" spans="1:21" x14ac:dyDescent="0.25">
      <c r="A90" t="s">
        <v>67</v>
      </c>
      <c r="B90" t="s">
        <v>243</v>
      </c>
      <c r="C90">
        <v>2</v>
      </c>
      <c r="D90" t="s">
        <v>70</v>
      </c>
      <c r="E90" t="s">
        <v>116</v>
      </c>
      <c r="F90" t="s">
        <v>71</v>
      </c>
      <c r="G90">
        <v>2.2330157251954801</v>
      </c>
      <c r="H90">
        <v>3E+20</v>
      </c>
      <c r="I90">
        <v>0</v>
      </c>
      <c r="J90">
        <v>5</v>
      </c>
      <c r="K90">
        <v>2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1.983224619189873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0.29990249131557767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0.21453731828040576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1.4478959937017499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2.3267973127516899</v>
      </c>
      <c r="U90">
        <f>IF((ContinuousStatsTable[[#This Row],[RepsRequested]]&gt;1),ContinuousStatsTable[[#This Row],[HalfWidth]],ContinuousStatsTable[[#This Row],[BatchMeansHalfWidth]])</f>
        <v>0.21453731828040576</v>
      </c>
    </row>
    <row r="91" spans="1:21" x14ac:dyDescent="0.25">
      <c r="A91" t="s">
        <v>67</v>
      </c>
      <c r="B91" t="s">
        <v>243</v>
      </c>
      <c r="C91">
        <v>2</v>
      </c>
      <c r="D91" t="s">
        <v>73</v>
      </c>
      <c r="E91" t="s">
        <v>116</v>
      </c>
      <c r="F91" t="s">
        <v>71</v>
      </c>
      <c r="G91">
        <v>0.35730442822025799</v>
      </c>
      <c r="H91">
        <v>3E+20</v>
      </c>
      <c r="I91">
        <v>0</v>
      </c>
      <c r="J91">
        <v>2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0.47900820660242172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0.13717282935395095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9.8127530789884315E-2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0.25584390949740998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0.66613303676888702</v>
      </c>
      <c r="U91">
        <f>IF((ContinuousStatsTable[[#This Row],[RepsRequested]]&gt;1),ContinuousStatsTable[[#This Row],[HalfWidth]],ContinuousStatsTable[[#This Row],[BatchMeansHalfWidth]])</f>
        <v>9.8127530789884315E-2</v>
      </c>
    </row>
    <row r="92" spans="1:21" x14ac:dyDescent="0.25">
      <c r="A92" t="s">
        <v>67</v>
      </c>
      <c r="B92" t="s">
        <v>243</v>
      </c>
      <c r="C92">
        <v>2</v>
      </c>
      <c r="D92" t="s">
        <v>74</v>
      </c>
      <c r="E92" t="s">
        <v>116</v>
      </c>
      <c r="F92" t="s">
        <v>71</v>
      </c>
      <c r="G92">
        <v>0.68422762922173497</v>
      </c>
      <c r="H92">
        <v>3E+20</v>
      </c>
      <c r="I92">
        <v>0</v>
      </c>
      <c r="J92">
        <v>2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0.41775820490048837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0.15099462697666188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0.1080150491722195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0.25632285648643699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0.68422762922173497</v>
      </c>
      <c r="U92">
        <f>IF((ContinuousStatsTable[[#This Row],[RepsRequested]]&gt;1),ContinuousStatsTable[[#This Row],[HalfWidth]],ContinuousStatsTable[[#This Row],[BatchMeansHalfWidth]])</f>
        <v>0.1080150491722195</v>
      </c>
    </row>
    <row r="93" spans="1:21" x14ac:dyDescent="0.25">
      <c r="A93" t="s">
        <v>67</v>
      </c>
      <c r="B93" t="s">
        <v>243</v>
      </c>
      <c r="C93">
        <v>2</v>
      </c>
      <c r="D93" t="s">
        <v>75</v>
      </c>
      <c r="E93" t="s">
        <v>117</v>
      </c>
      <c r="F93" t="s">
        <v>76</v>
      </c>
      <c r="G93">
        <v>10.842462759184199</v>
      </c>
      <c r="H93">
        <v>2E+20</v>
      </c>
      <c r="I93">
        <v>0</v>
      </c>
      <c r="J93">
        <v>91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17.583529006307167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4.1660214616007023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2.9801922229780646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10.842462759184199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25.8699848535447</v>
      </c>
      <c r="U93">
        <f>IF((ContinuousStatsTable[[#This Row],[RepsRequested]]&gt;1),ContinuousStatsTable[[#This Row],[HalfWidth]],ContinuousStatsTable[[#This Row],[BatchMeansHalfWidth]])</f>
        <v>2.9801922229780646</v>
      </c>
    </row>
    <row r="94" spans="1:21" x14ac:dyDescent="0.25">
      <c r="A94" t="s">
        <v>67</v>
      </c>
      <c r="B94" t="s">
        <v>243</v>
      </c>
      <c r="C94">
        <v>2</v>
      </c>
      <c r="D94" t="s">
        <v>118</v>
      </c>
      <c r="E94" t="s">
        <v>117</v>
      </c>
      <c r="F94" t="s">
        <v>76</v>
      </c>
      <c r="G94">
        <v>91.202496705554594</v>
      </c>
      <c r="H94">
        <v>3E+20</v>
      </c>
      <c r="I94">
        <v>0</v>
      </c>
      <c r="J94">
        <v>186</v>
      </c>
      <c r="K94">
        <v>186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95.041511376368575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6.556289254191463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4.6900867955271215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81.860988802888798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104.034812219697</v>
      </c>
      <c r="U94">
        <f>IF((ContinuousStatsTable[[#This Row],[RepsRequested]]&gt;1),ContinuousStatsTable[[#This Row],[HalfWidth]],ContinuousStatsTable[[#This Row],[BatchMeansHalfWidth]])</f>
        <v>4.6900867955271215</v>
      </c>
    </row>
    <row r="95" spans="1:21" x14ac:dyDescent="0.25">
      <c r="A95" t="s">
        <v>67</v>
      </c>
      <c r="B95" t="s">
        <v>243</v>
      </c>
      <c r="C95">
        <v>2</v>
      </c>
      <c r="D95" t="s">
        <v>119</v>
      </c>
      <c r="E95" t="s">
        <v>117</v>
      </c>
      <c r="F95" t="s">
        <v>76</v>
      </c>
      <c r="G95">
        <v>946.10394544006601</v>
      </c>
      <c r="H95">
        <v>3E+20</v>
      </c>
      <c r="I95">
        <v>0</v>
      </c>
      <c r="J95">
        <v>1838</v>
      </c>
      <c r="K95">
        <v>1838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959.25249800465133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16.228386811509871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11.609088578376843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935.21729677519602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986.61029939527498</v>
      </c>
      <c r="U95">
        <f>IF((ContinuousStatsTable[[#This Row],[RepsRequested]]&gt;1),ContinuousStatsTable[[#This Row],[HalfWidth]],ContinuousStatsTable[[#This Row],[BatchMeansHalfWidth]])</f>
        <v>11.609088578376843</v>
      </c>
    </row>
    <row r="96" spans="1:21" x14ac:dyDescent="0.25">
      <c r="A96" t="s">
        <v>67</v>
      </c>
      <c r="B96" t="s">
        <v>243</v>
      </c>
      <c r="C96">
        <v>2</v>
      </c>
      <c r="D96" t="s">
        <v>120</v>
      </c>
      <c r="E96" t="s">
        <v>117</v>
      </c>
      <c r="F96" t="s">
        <v>76</v>
      </c>
      <c r="G96">
        <v>4170.1494074333395</v>
      </c>
      <c r="H96">
        <v>3E+20</v>
      </c>
      <c r="I96">
        <v>0</v>
      </c>
      <c r="J96">
        <v>8080</v>
      </c>
      <c r="K96">
        <v>8080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4203.5615331875215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17.695322227060075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12.658470958503626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4170.1494074333395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4233.0569788620896</v>
      </c>
      <c r="U96">
        <f>IF((ContinuousStatsTable[[#This Row],[RepsRequested]]&gt;1),ContinuousStatsTable[[#This Row],[HalfWidth]],ContinuousStatsTable[[#This Row],[BatchMeansHalfWidth]])</f>
        <v>12.658470958503626</v>
      </c>
    </row>
    <row r="97" spans="1:21" x14ac:dyDescent="0.25">
      <c r="A97" t="s">
        <v>67</v>
      </c>
      <c r="B97" t="s">
        <v>243</v>
      </c>
      <c r="C97">
        <v>2</v>
      </c>
      <c r="D97" t="s">
        <v>121</v>
      </c>
      <c r="E97" t="s">
        <v>112</v>
      </c>
      <c r="F97" t="s">
        <v>113</v>
      </c>
      <c r="G97">
        <v>0.38747209997062299</v>
      </c>
      <c r="H97">
        <v>3E+20</v>
      </c>
      <c r="I97">
        <v>0</v>
      </c>
      <c r="J97">
        <v>0.5</v>
      </c>
      <c r="K97">
        <v>0.5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0.48160620907873086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8.6686321722355061E-2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6.2011658897281531E-2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0.292184201252493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0.57167989674475905</v>
      </c>
      <c r="U97">
        <f>IF((ContinuousStatsTable[[#This Row],[RepsRequested]]&gt;1),ContinuousStatsTable[[#This Row],[HalfWidth]],ContinuousStatsTable[[#This Row],[BatchMeansHalfWidth]])</f>
        <v>6.2011658897281531E-2</v>
      </c>
    </row>
    <row r="98" spans="1:21" x14ac:dyDescent="0.25">
      <c r="A98" t="s">
        <v>67</v>
      </c>
      <c r="B98" t="s">
        <v>243</v>
      </c>
      <c r="C98">
        <v>2</v>
      </c>
      <c r="D98" t="s">
        <v>121</v>
      </c>
      <c r="E98" t="s">
        <v>114</v>
      </c>
      <c r="F98" t="s">
        <v>113</v>
      </c>
      <c r="G98">
        <v>1.5498883998824899</v>
      </c>
      <c r="H98">
        <v>3E+20</v>
      </c>
      <c r="I98">
        <v>0</v>
      </c>
      <c r="J98">
        <v>2</v>
      </c>
      <c r="K98">
        <v>2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1.9264248363149217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0.34674528688941914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0.24804663558912532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1.16873680500997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2.28671958697903</v>
      </c>
      <c r="U98">
        <f>IF((ContinuousStatsTable[[#This Row],[RepsRequested]]&gt;1),ContinuousStatsTable[[#This Row],[HalfWidth]],ContinuousStatsTable[[#This Row],[BatchMeansHalfWidth]])</f>
        <v>0.24804663558912532</v>
      </c>
    </row>
    <row r="99" spans="1:21" x14ac:dyDescent="0.25">
      <c r="A99" t="s">
        <v>67</v>
      </c>
      <c r="B99" t="s">
        <v>243</v>
      </c>
      <c r="C99">
        <v>2</v>
      </c>
      <c r="D99" t="s">
        <v>121</v>
      </c>
      <c r="E99" t="s">
        <v>115</v>
      </c>
      <c r="F99" t="s">
        <v>113</v>
      </c>
      <c r="G99">
        <v>4</v>
      </c>
      <c r="H99">
        <v>2E+20</v>
      </c>
      <c r="I99">
        <v>4</v>
      </c>
      <c r="J99">
        <v>4</v>
      </c>
      <c r="K99">
        <v>4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4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4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4</v>
      </c>
      <c r="U99">
        <f>IF((ContinuousStatsTable[[#This Row],[RepsRequested]]&gt;1),ContinuousStatsTable[[#This Row],[HalfWidth]],ContinuousStatsTable[[#This Row],[BatchMeansHalfWidth]])</f>
        <v>0</v>
      </c>
    </row>
    <row r="100" spans="1:21" x14ac:dyDescent="0.25">
      <c r="A100" t="s">
        <v>67</v>
      </c>
      <c r="B100" t="s">
        <v>243</v>
      </c>
      <c r="C100">
        <v>2</v>
      </c>
      <c r="D100" t="s">
        <v>122</v>
      </c>
      <c r="E100" t="s">
        <v>112</v>
      </c>
      <c r="F100" t="s">
        <v>113</v>
      </c>
      <c r="G100">
        <v>0.23335039847345601</v>
      </c>
      <c r="H100">
        <v>3E+20</v>
      </c>
      <c r="I100">
        <v>0</v>
      </c>
      <c r="J100">
        <v>1</v>
      </c>
      <c r="K100">
        <v>0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0.25269289312392118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4.9214010083081669E-2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3.5205581983442397E-2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0.20500025225945401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0.33570777662711199</v>
      </c>
      <c r="U100">
        <f>IF((ContinuousStatsTable[[#This Row],[RepsRequested]]&gt;1),ContinuousStatsTable[[#This Row],[HalfWidth]],ContinuousStatsTable[[#This Row],[BatchMeansHalfWidth]])</f>
        <v>3.5205581983442397E-2</v>
      </c>
    </row>
    <row r="101" spans="1:21" x14ac:dyDescent="0.25">
      <c r="A101" t="s">
        <v>67</v>
      </c>
      <c r="B101" t="s">
        <v>243</v>
      </c>
      <c r="C101">
        <v>2</v>
      </c>
      <c r="D101" t="s">
        <v>122</v>
      </c>
      <c r="E101" t="s">
        <v>114</v>
      </c>
      <c r="F101" t="s">
        <v>113</v>
      </c>
      <c r="G101">
        <v>0.70005119542036398</v>
      </c>
      <c r="H101">
        <v>3E+20</v>
      </c>
      <c r="I101">
        <v>0</v>
      </c>
      <c r="J101">
        <v>3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0.75807867937176476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0.14764203024924766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0.10561674595032908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0.61500075677836796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1.00712332988134</v>
      </c>
      <c r="U101">
        <f>IF((ContinuousStatsTable[[#This Row],[RepsRequested]]&gt;1),ContinuousStatsTable[[#This Row],[HalfWidth]],ContinuousStatsTable[[#This Row],[BatchMeansHalfWidth]])</f>
        <v>0.10561674595032908</v>
      </c>
    </row>
    <row r="102" spans="1:21" x14ac:dyDescent="0.25">
      <c r="A102" t="s">
        <v>67</v>
      </c>
      <c r="B102" t="s">
        <v>243</v>
      </c>
      <c r="C102">
        <v>2</v>
      </c>
      <c r="D102" t="s">
        <v>122</v>
      </c>
      <c r="E102" t="s">
        <v>115</v>
      </c>
      <c r="F102" t="s">
        <v>113</v>
      </c>
      <c r="G102">
        <v>3</v>
      </c>
      <c r="H102">
        <v>2E+20</v>
      </c>
      <c r="I102">
        <v>3</v>
      </c>
      <c r="J102">
        <v>3</v>
      </c>
      <c r="K102">
        <v>3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3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3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3</v>
      </c>
      <c r="U102">
        <f>IF((ContinuousStatsTable[[#This Row],[RepsRequested]]&gt;1),ContinuousStatsTable[[#This Row],[HalfWidth]],ContinuousStatsTable[[#This Row],[BatchMeansHalfWidth]])</f>
        <v>0</v>
      </c>
    </row>
    <row r="103" spans="1:21" x14ac:dyDescent="0.25">
      <c r="A103" t="s">
        <v>67</v>
      </c>
      <c r="B103" t="s">
        <v>243</v>
      </c>
      <c r="C103">
        <v>2</v>
      </c>
      <c r="D103" t="s">
        <v>123</v>
      </c>
      <c r="E103" t="s">
        <v>112</v>
      </c>
      <c r="F103" t="s">
        <v>113</v>
      </c>
      <c r="G103">
        <v>0.15172806047441101</v>
      </c>
      <c r="H103">
        <v>3E+20</v>
      </c>
      <c r="I103">
        <v>0</v>
      </c>
      <c r="J103">
        <v>0.66666666666666696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0.151561654865698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1.2198256688154243E-4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8.7261071626739862E-5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0.15134711042770499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0.15172806047441101</v>
      </c>
      <c r="U103">
        <f>IF((ContinuousStatsTable[[#This Row],[RepsRequested]]&gt;1),ContinuousStatsTable[[#This Row],[HalfWidth]],ContinuousStatsTable[[#This Row],[BatchMeansHalfWidth]])</f>
        <v>8.7261071626739862E-5</v>
      </c>
    </row>
    <row r="104" spans="1:21" x14ac:dyDescent="0.25">
      <c r="A104" t="s">
        <v>67</v>
      </c>
      <c r="B104" t="s">
        <v>243</v>
      </c>
      <c r="C104">
        <v>2</v>
      </c>
      <c r="D104" t="s">
        <v>123</v>
      </c>
      <c r="E104" t="s">
        <v>114</v>
      </c>
      <c r="F104" t="s">
        <v>113</v>
      </c>
      <c r="G104">
        <v>0.45518418142323402</v>
      </c>
      <c r="H104">
        <v>3E+20</v>
      </c>
      <c r="I104">
        <v>0</v>
      </c>
      <c r="J104">
        <v>2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0.45404133128311103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0.45518418142323402</v>
      </c>
      <c r="U104">
        <f>IF((ContinuousStatsTable[[#This Row],[RepsRequested]]&gt;1),ContinuousStatsTable[[#This Row],[HalfWidth]],ContinuousStatsTable[[#This Row],[BatchMeansHalfWidth]])</f>
        <v>2.6178321488092363E-4</v>
      </c>
    </row>
    <row r="105" spans="1:21" x14ac:dyDescent="0.25">
      <c r="A105" t="s">
        <v>67</v>
      </c>
      <c r="B105" t="s">
        <v>243</v>
      </c>
      <c r="C105">
        <v>2</v>
      </c>
      <c r="D105" t="s">
        <v>123</v>
      </c>
      <c r="E105" t="s">
        <v>115</v>
      </c>
      <c r="F105" t="s">
        <v>113</v>
      </c>
      <c r="G105">
        <v>3</v>
      </c>
      <c r="H105">
        <v>2E+20</v>
      </c>
      <c r="I105">
        <v>3</v>
      </c>
      <c r="J105">
        <v>3</v>
      </c>
      <c r="K105">
        <v>3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3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3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25">
      <c r="A106" t="s">
        <v>67</v>
      </c>
      <c r="B106" t="s">
        <v>243</v>
      </c>
      <c r="C106">
        <v>2</v>
      </c>
      <c r="D106" t="s">
        <v>124</v>
      </c>
      <c r="E106" t="s">
        <v>112</v>
      </c>
      <c r="F106" t="s">
        <v>113</v>
      </c>
      <c r="G106">
        <v>0.71446306801206805</v>
      </c>
      <c r="H106">
        <v>2E+20</v>
      </c>
      <c r="I106">
        <v>0</v>
      </c>
      <c r="J106">
        <v>1</v>
      </c>
      <c r="K106">
        <v>0.5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0.84558522180863771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0.11694354024491282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8.3656369122856733E-2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0.625269422960122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0.95234896906597499</v>
      </c>
      <c r="U106">
        <f>IF((ContinuousStatsTable[[#This Row],[RepsRequested]]&gt;1),ContinuousStatsTable[[#This Row],[HalfWidth]],ContinuousStatsTable[[#This Row],[BatchMeansHalfWidth]])</f>
        <v>8.3656369122856733E-2</v>
      </c>
    </row>
    <row r="107" spans="1:21" x14ac:dyDescent="0.25">
      <c r="A107" t="s">
        <v>67</v>
      </c>
      <c r="B107" t="s">
        <v>243</v>
      </c>
      <c r="C107">
        <v>2</v>
      </c>
      <c r="D107" t="s">
        <v>124</v>
      </c>
      <c r="E107" t="s">
        <v>114</v>
      </c>
      <c r="F107" t="s">
        <v>113</v>
      </c>
      <c r="G107">
        <v>1.4289261360241401</v>
      </c>
      <c r="H107">
        <v>2E+20</v>
      </c>
      <c r="I107">
        <v>0</v>
      </c>
      <c r="J107">
        <v>2</v>
      </c>
      <c r="K107">
        <v>1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1.6911704436172748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0.23388708048982901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0.16731273824571591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1.25053884592024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1.90469793813195</v>
      </c>
      <c r="U107">
        <f>IF((ContinuousStatsTable[[#This Row],[RepsRequested]]&gt;1),ContinuousStatsTable[[#This Row],[HalfWidth]],ContinuousStatsTable[[#This Row],[BatchMeansHalfWidth]])</f>
        <v>0.16731273824571591</v>
      </c>
    </row>
    <row r="108" spans="1:21" x14ac:dyDescent="0.25">
      <c r="A108" t="s">
        <v>67</v>
      </c>
      <c r="B108" t="s">
        <v>243</v>
      </c>
      <c r="C108">
        <v>2</v>
      </c>
      <c r="D108" t="s">
        <v>124</v>
      </c>
      <c r="E108" t="s">
        <v>115</v>
      </c>
      <c r="F108" t="s">
        <v>113</v>
      </c>
      <c r="G108">
        <v>2</v>
      </c>
      <c r="H108">
        <v>2E+20</v>
      </c>
      <c r="I108">
        <v>2</v>
      </c>
      <c r="J108">
        <v>2</v>
      </c>
      <c r="K108">
        <v>2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2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2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2</v>
      </c>
      <c r="U108">
        <f>IF((ContinuousStatsTable[[#This Row],[RepsRequested]]&gt;1),ContinuousStatsTable[[#This Row],[HalfWidth]],ContinuousStatsTable[[#This Row],[BatchMeansHalfWidth]])</f>
        <v>0</v>
      </c>
    </row>
    <row r="109" spans="1:21" x14ac:dyDescent="0.25">
      <c r="A109" t="s">
        <v>67</v>
      </c>
      <c r="B109" t="s">
        <v>243</v>
      </c>
      <c r="C109">
        <v>2</v>
      </c>
      <c r="D109" t="s">
        <v>125</v>
      </c>
      <c r="E109" t="s">
        <v>112</v>
      </c>
      <c r="F109" t="s">
        <v>113</v>
      </c>
      <c r="G109">
        <v>0.72994168915180901</v>
      </c>
      <c r="H109">
        <v>2E+20</v>
      </c>
      <c r="I109">
        <v>0</v>
      </c>
      <c r="J109">
        <v>1</v>
      </c>
      <c r="K109">
        <v>0.4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0.74077431571180252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6.1280007141723249E-2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4.3837076306763374E-2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0.67060354368791797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0.87728997349342996</v>
      </c>
      <c r="U109">
        <f>IF((ContinuousStatsTable[[#This Row],[RepsRequested]]&gt;1),ContinuousStatsTable[[#This Row],[HalfWidth]],ContinuousStatsTable[[#This Row],[BatchMeansHalfWidth]])</f>
        <v>4.3837076306763374E-2</v>
      </c>
    </row>
    <row r="110" spans="1:21" x14ac:dyDescent="0.25">
      <c r="A110" t="s">
        <v>67</v>
      </c>
      <c r="B110" t="s">
        <v>243</v>
      </c>
      <c r="C110">
        <v>2</v>
      </c>
      <c r="D110" t="s">
        <v>125</v>
      </c>
      <c r="E110" t="s">
        <v>114</v>
      </c>
      <c r="F110" t="s">
        <v>113</v>
      </c>
      <c r="G110">
        <v>3.6497084457590399</v>
      </c>
      <c r="H110">
        <v>2E+20</v>
      </c>
      <c r="I110">
        <v>0</v>
      </c>
      <c r="J110">
        <v>5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3.7038715785590122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0.30640003570861163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0.21918538153381359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3.35301771843959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4.3864498674671397</v>
      </c>
      <c r="U110">
        <f>IF((ContinuousStatsTable[[#This Row],[RepsRequested]]&gt;1),ContinuousStatsTable[[#This Row],[HalfWidth]],ContinuousStatsTable[[#This Row],[BatchMeansHalfWidth]])</f>
        <v>0.21918538153381359</v>
      </c>
    </row>
    <row r="111" spans="1:21" x14ac:dyDescent="0.25">
      <c r="A111" t="s">
        <v>67</v>
      </c>
      <c r="B111" t="s">
        <v>243</v>
      </c>
      <c r="C111">
        <v>2</v>
      </c>
      <c r="D111" t="s">
        <v>125</v>
      </c>
      <c r="E111" t="s">
        <v>115</v>
      </c>
      <c r="F111" t="s">
        <v>113</v>
      </c>
      <c r="G111">
        <v>5</v>
      </c>
      <c r="H111">
        <v>2E+20</v>
      </c>
      <c r="I111">
        <v>5</v>
      </c>
      <c r="J111">
        <v>5</v>
      </c>
      <c r="K111">
        <v>5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5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5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5</v>
      </c>
      <c r="U111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67</v>
      </c>
      <c r="B112" t="s">
        <v>243</v>
      </c>
      <c r="C112">
        <v>2</v>
      </c>
      <c r="D112" t="s">
        <v>126</v>
      </c>
      <c r="E112" t="s">
        <v>112</v>
      </c>
      <c r="F112" t="s">
        <v>113</v>
      </c>
      <c r="G112">
        <v>0.54974158610753199</v>
      </c>
      <c r="H112">
        <v>3E+20</v>
      </c>
      <c r="I112">
        <v>0</v>
      </c>
      <c r="J112">
        <v>1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0.52391445815006699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7.0460308415606909E-2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5.0404268221927347E-2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0.36555656561218303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0.59886206518967</v>
      </c>
      <c r="U112">
        <f>IF((ContinuousStatsTable[[#This Row],[RepsRequested]]&gt;1),ContinuousStatsTable[[#This Row],[HalfWidth]],ContinuousStatsTable[[#This Row],[BatchMeansHalfWidth]])</f>
        <v>5.0404268221927347E-2</v>
      </c>
    </row>
    <row r="113" spans="1:21" x14ac:dyDescent="0.25">
      <c r="A113" t="s">
        <v>67</v>
      </c>
      <c r="B113" t="s">
        <v>243</v>
      </c>
      <c r="C113">
        <v>2</v>
      </c>
      <c r="D113" t="s">
        <v>126</v>
      </c>
      <c r="E113" t="s">
        <v>114</v>
      </c>
      <c r="F113" t="s">
        <v>113</v>
      </c>
      <c r="G113">
        <v>2.1989663444301302</v>
      </c>
      <c r="H113">
        <v>3E+20</v>
      </c>
      <c r="I113">
        <v>0</v>
      </c>
      <c r="J113">
        <v>4</v>
      </c>
      <c r="K113">
        <v>4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2.0956578326002671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0.28184123366242902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0.20161707288771036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1.4622262624487301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2.39544826075868</v>
      </c>
      <c r="U113">
        <f>IF((ContinuousStatsTable[[#This Row],[RepsRequested]]&gt;1),ContinuousStatsTable[[#This Row],[HalfWidth]],ContinuousStatsTable[[#This Row],[BatchMeansHalfWidth]])</f>
        <v>0.20161707288771036</v>
      </c>
    </row>
    <row r="114" spans="1:21" x14ac:dyDescent="0.25">
      <c r="A114" t="s">
        <v>67</v>
      </c>
      <c r="B114" t="s">
        <v>243</v>
      </c>
      <c r="C114">
        <v>2</v>
      </c>
      <c r="D114" t="s">
        <v>126</v>
      </c>
      <c r="E114" t="s">
        <v>115</v>
      </c>
      <c r="F114" t="s">
        <v>113</v>
      </c>
      <c r="G114">
        <v>4</v>
      </c>
      <c r="H114">
        <v>2E+20</v>
      </c>
      <c r="I114">
        <v>4</v>
      </c>
      <c r="J114">
        <v>4</v>
      </c>
      <c r="K114">
        <v>4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4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4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4</v>
      </c>
      <c r="U114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67</v>
      </c>
      <c r="B115" t="s">
        <v>243</v>
      </c>
      <c r="C115">
        <v>2</v>
      </c>
      <c r="D115" t="s">
        <v>127</v>
      </c>
      <c r="E115" t="s">
        <v>112</v>
      </c>
      <c r="F115" t="s">
        <v>113</v>
      </c>
      <c r="G115">
        <v>0.149446316363541</v>
      </c>
      <c r="H115">
        <v>3E+20</v>
      </c>
      <c r="I115">
        <v>0</v>
      </c>
      <c r="J115">
        <v>1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0.14955853655775292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1.8487754554887928E-4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1.3225342896729691E-4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0.14921189842985499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0.14985050053976801</v>
      </c>
      <c r="U115">
        <f>IF((ContinuousStatsTable[[#This Row],[RepsRequested]]&gt;1),ContinuousStatsTable[[#This Row],[HalfWidth]],ContinuousStatsTable[[#This Row],[BatchMeansHalfWidth]])</f>
        <v>1.3225342896729691E-4</v>
      </c>
    </row>
    <row r="116" spans="1:21" x14ac:dyDescent="0.25">
      <c r="A116" t="s">
        <v>67</v>
      </c>
      <c r="B116" t="s">
        <v>243</v>
      </c>
      <c r="C116">
        <v>2</v>
      </c>
      <c r="D116" t="s">
        <v>127</v>
      </c>
      <c r="E116" t="s">
        <v>114</v>
      </c>
      <c r="F116" t="s">
        <v>113</v>
      </c>
      <c r="G116">
        <v>0.298892632727081</v>
      </c>
      <c r="H116">
        <v>3E+20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0.29842379685970999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0.29970100107953501</v>
      </c>
      <c r="U116">
        <f>IF((ContinuousStatsTable[[#This Row],[RepsRequested]]&gt;1),ContinuousStatsTable[[#This Row],[HalfWidth]],ContinuousStatsTable[[#This Row],[BatchMeansHalfWidth]])</f>
        <v>2.6450685793468105E-4</v>
      </c>
    </row>
    <row r="117" spans="1:21" x14ac:dyDescent="0.25">
      <c r="A117" t="s">
        <v>67</v>
      </c>
      <c r="B117" t="s">
        <v>243</v>
      </c>
      <c r="C117">
        <v>2</v>
      </c>
      <c r="D117" t="s">
        <v>127</v>
      </c>
      <c r="E117" t="s">
        <v>115</v>
      </c>
      <c r="F117" t="s">
        <v>113</v>
      </c>
      <c r="G117">
        <v>2</v>
      </c>
      <c r="H117">
        <v>2E+20</v>
      </c>
      <c r="I117">
        <v>2</v>
      </c>
      <c r="J117">
        <v>2</v>
      </c>
      <c r="K117">
        <v>2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2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2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2</v>
      </c>
      <c r="U117">
        <f>IF((ContinuousStatsTable[[#This Row],[RepsRequested]]&gt;1),ContinuousStatsTable[[#This Row],[HalfWidth]],ContinuousStatsTable[[#This Row],[BatchMeansHalfWidth]])</f>
        <v>0</v>
      </c>
    </row>
    <row r="118" spans="1:21" x14ac:dyDescent="0.25">
      <c r="A118" t="s">
        <v>67</v>
      </c>
      <c r="B118" t="s">
        <v>243</v>
      </c>
      <c r="C118">
        <v>2</v>
      </c>
      <c r="D118" t="s">
        <v>128</v>
      </c>
      <c r="E118" t="s">
        <v>112</v>
      </c>
      <c r="F118" t="s">
        <v>113</v>
      </c>
      <c r="G118">
        <v>0.90111632059041802</v>
      </c>
      <c r="H118">
        <v>3E+20</v>
      </c>
      <c r="I118">
        <v>0</v>
      </c>
      <c r="J118">
        <v>1</v>
      </c>
      <c r="K118">
        <v>0.8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0.78490250681152507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0.11345978752761832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8.1164242557846045E-2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0.58338388917401696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0.90111632059041802</v>
      </c>
      <c r="U118">
        <f>IF((ContinuousStatsTable[[#This Row],[RepsRequested]]&gt;1),ContinuousStatsTable[[#This Row],[HalfWidth]],ContinuousStatsTable[[#This Row],[BatchMeansHalfWidth]])</f>
        <v>8.1164242557846045E-2</v>
      </c>
    </row>
    <row r="119" spans="1:21" x14ac:dyDescent="0.25">
      <c r="A119" t="s">
        <v>67</v>
      </c>
      <c r="B119" t="s">
        <v>243</v>
      </c>
      <c r="C119">
        <v>2</v>
      </c>
      <c r="D119" t="s">
        <v>128</v>
      </c>
      <c r="E119" t="s">
        <v>114</v>
      </c>
      <c r="F119" t="s">
        <v>113</v>
      </c>
      <c r="G119">
        <v>4.5055816029520903</v>
      </c>
      <c r="H119">
        <v>3E+20</v>
      </c>
      <c r="I119">
        <v>0</v>
      </c>
      <c r="J119">
        <v>5</v>
      </c>
      <c r="K119">
        <v>4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3.9245125340576221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0.56729893763807904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0.40582121278922129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2.91691944587008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4.5055816029520903</v>
      </c>
      <c r="U119">
        <f>IF((ContinuousStatsTable[[#This Row],[RepsRequested]]&gt;1),ContinuousStatsTable[[#This Row],[HalfWidth]],ContinuousStatsTable[[#This Row],[BatchMeansHalfWidth]])</f>
        <v>0.40582121278922129</v>
      </c>
    </row>
    <row r="120" spans="1:21" x14ac:dyDescent="0.25">
      <c r="A120" t="s">
        <v>67</v>
      </c>
      <c r="B120" t="s">
        <v>243</v>
      </c>
      <c r="C120">
        <v>2</v>
      </c>
      <c r="D120" t="s">
        <v>128</v>
      </c>
      <c r="E120" t="s">
        <v>115</v>
      </c>
      <c r="F120" t="s">
        <v>113</v>
      </c>
      <c r="G120">
        <v>5</v>
      </c>
      <c r="H120">
        <v>2E+20</v>
      </c>
      <c r="I120">
        <v>5</v>
      </c>
      <c r="J120">
        <v>5</v>
      </c>
      <c r="K120">
        <v>5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5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5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5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25">
      <c r="A121" t="s">
        <v>67</v>
      </c>
      <c r="B121" t="s">
        <v>243</v>
      </c>
      <c r="C121">
        <v>2</v>
      </c>
      <c r="D121" t="s">
        <v>129</v>
      </c>
      <c r="E121" t="s">
        <v>112</v>
      </c>
      <c r="F121" t="s">
        <v>113</v>
      </c>
      <c r="G121">
        <v>0.15877821852350199</v>
      </c>
      <c r="H121">
        <v>2E+20</v>
      </c>
      <c r="I121">
        <v>0</v>
      </c>
      <c r="J121">
        <v>0.66666666666666696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0.15879210791146137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8.8786593845171554E-6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6.3514103064755986E-6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0.15877821852350199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0.15880443244107401</v>
      </c>
      <c r="U121">
        <f>IF((ContinuousStatsTable[[#This Row],[RepsRequested]]&gt;1),ContinuousStatsTable[[#This Row],[HalfWidth]],ContinuousStatsTable[[#This Row],[BatchMeansHalfWidth]])</f>
        <v>6.3514103064755986E-6</v>
      </c>
    </row>
    <row r="122" spans="1:21" x14ac:dyDescent="0.25">
      <c r="A122" t="s">
        <v>67</v>
      </c>
      <c r="B122" t="s">
        <v>243</v>
      </c>
      <c r="C122">
        <v>2</v>
      </c>
      <c r="D122" t="s">
        <v>129</v>
      </c>
      <c r="E122" t="s">
        <v>114</v>
      </c>
      <c r="F122" t="s">
        <v>113</v>
      </c>
      <c r="G122">
        <v>0.47633465557050603</v>
      </c>
      <c r="H122">
        <v>2E+20</v>
      </c>
      <c r="I122">
        <v>0</v>
      </c>
      <c r="J122">
        <v>2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0.47633465557050603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0.47641329732322302</v>
      </c>
      <c r="U122">
        <f>IF((ContinuousStatsTable[[#This Row],[RepsRequested]]&gt;1),ContinuousStatsTable[[#This Row],[HalfWidth]],ContinuousStatsTable[[#This Row],[BatchMeansHalfWidth]])</f>
        <v>1.9054230919217752E-5</v>
      </c>
    </row>
    <row r="123" spans="1:21" x14ac:dyDescent="0.25">
      <c r="A123" t="s">
        <v>67</v>
      </c>
      <c r="B123" t="s">
        <v>243</v>
      </c>
      <c r="C123">
        <v>2</v>
      </c>
      <c r="D123" t="s">
        <v>129</v>
      </c>
      <c r="E123" t="s">
        <v>115</v>
      </c>
      <c r="F123" t="s">
        <v>113</v>
      </c>
      <c r="G123">
        <v>3</v>
      </c>
      <c r="H123">
        <v>2E+20</v>
      </c>
      <c r="I123">
        <v>3</v>
      </c>
      <c r="J123">
        <v>3</v>
      </c>
      <c r="K123">
        <v>3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3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3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3</v>
      </c>
      <c r="U123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67</v>
      </c>
      <c r="B124" t="s">
        <v>243</v>
      </c>
      <c r="C124">
        <v>2</v>
      </c>
      <c r="D124" t="s">
        <v>130</v>
      </c>
      <c r="E124" t="s">
        <v>112</v>
      </c>
      <c r="F124" t="s">
        <v>113</v>
      </c>
      <c r="G124">
        <v>0.47640201511715402</v>
      </c>
      <c r="H124">
        <v>2E+20</v>
      </c>
      <c r="I124">
        <v>0</v>
      </c>
      <c r="J124">
        <v>1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0.47638046343127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0.47647340349894202</v>
      </c>
      <c r="U124">
        <f>IF((ContinuousStatsTable[[#This Row],[RepsRequested]]&gt;1),ContinuousStatsTable[[#This Row],[HalfWidth]],ContinuousStatsTable[[#This Row],[BatchMeansHalfWidth]])</f>
        <v>2.530338482140405E-5</v>
      </c>
    </row>
    <row r="125" spans="1:21" x14ac:dyDescent="0.25">
      <c r="A125" t="s">
        <v>67</v>
      </c>
      <c r="B125" t="s">
        <v>243</v>
      </c>
      <c r="C125">
        <v>2</v>
      </c>
      <c r="D125" t="s">
        <v>130</v>
      </c>
      <c r="E125" t="s">
        <v>114</v>
      </c>
      <c r="F125" t="s">
        <v>113</v>
      </c>
      <c r="G125">
        <v>0.47640201511715402</v>
      </c>
      <c r="H125">
        <v>2E+20</v>
      </c>
      <c r="I125">
        <v>0</v>
      </c>
      <c r="J125">
        <v>1</v>
      </c>
      <c r="K125">
        <v>0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0.47638046343127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0.47647340349894202</v>
      </c>
      <c r="U125">
        <f>IF((ContinuousStatsTable[[#This Row],[RepsRequested]]&gt;1),ContinuousStatsTable[[#This Row],[HalfWidth]],ContinuousStatsTable[[#This Row],[BatchMeansHalfWidth]])</f>
        <v>2.530338482140405E-5</v>
      </c>
    </row>
    <row r="126" spans="1:21" x14ac:dyDescent="0.25">
      <c r="A126" t="s">
        <v>67</v>
      </c>
      <c r="B126" t="s">
        <v>243</v>
      </c>
      <c r="C126">
        <v>2</v>
      </c>
      <c r="D126" t="s">
        <v>130</v>
      </c>
      <c r="E126" t="s">
        <v>115</v>
      </c>
      <c r="F126" t="s">
        <v>113</v>
      </c>
      <c r="G126">
        <v>0.476190476190476</v>
      </c>
      <c r="H126">
        <v>2E+20</v>
      </c>
      <c r="I126">
        <v>0</v>
      </c>
      <c r="J126">
        <v>1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0.476190476190476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0.476190476190476</v>
      </c>
      <c r="U126">
        <f>IF((ContinuousStatsTable[[#This Row],[RepsRequested]]&gt;1),ContinuousStatsTable[[#This Row],[HalfWidth]],ContinuousStatsTable[[#This Row],[BatchMeansHalfWidth]])</f>
        <v>0</v>
      </c>
    </row>
    <row r="127" spans="1:21" x14ac:dyDescent="0.25">
      <c r="A127" t="s">
        <v>67</v>
      </c>
      <c r="B127" t="s">
        <v>243</v>
      </c>
      <c r="C127">
        <v>2</v>
      </c>
      <c r="D127" t="s">
        <v>131</v>
      </c>
      <c r="E127" t="s">
        <v>112</v>
      </c>
      <c r="F127" t="s">
        <v>113</v>
      </c>
      <c r="G127">
        <v>0.34678581206387898</v>
      </c>
      <c r="H127">
        <v>3E+20</v>
      </c>
      <c r="I127">
        <v>0</v>
      </c>
      <c r="J127">
        <v>1</v>
      </c>
      <c r="K127">
        <v>0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0.34602746258727701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0.34712505386175102</v>
      </c>
      <c r="U127">
        <f>IF((ContinuousStatsTable[[#This Row],[RepsRequested]]&gt;1),ContinuousStatsTable[[#This Row],[HalfWidth]],ContinuousStatsTable[[#This Row],[BatchMeansHalfWidth]])</f>
        <v>2.4134201748419608E-4</v>
      </c>
    </row>
    <row r="128" spans="1:21" x14ac:dyDescent="0.25">
      <c r="A128" t="s">
        <v>67</v>
      </c>
      <c r="B128" t="s">
        <v>243</v>
      </c>
      <c r="C128">
        <v>2</v>
      </c>
      <c r="D128" t="s">
        <v>131</v>
      </c>
      <c r="E128" t="s">
        <v>114</v>
      </c>
      <c r="F128" t="s">
        <v>113</v>
      </c>
      <c r="G128">
        <v>0.34678581206387898</v>
      </c>
      <c r="H128">
        <v>3E+20</v>
      </c>
      <c r="I128">
        <v>0</v>
      </c>
      <c r="J128">
        <v>1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0.34602746258727701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0.34712505386175102</v>
      </c>
      <c r="U128">
        <f>IF((ContinuousStatsTable[[#This Row],[RepsRequested]]&gt;1),ContinuousStatsTable[[#This Row],[HalfWidth]],ContinuousStatsTable[[#This Row],[BatchMeansHalfWidth]])</f>
        <v>2.4134201748419608E-4</v>
      </c>
    </row>
    <row r="129" spans="1:21" x14ac:dyDescent="0.25">
      <c r="A129" t="s">
        <v>67</v>
      </c>
      <c r="B129" t="s">
        <v>243</v>
      </c>
      <c r="C129">
        <v>2</v>
      </c>
      <c r="D129" t="s">
        <v>131</v>
      </c>
      <c r="E129" t="s">
        <v>115</v>
      </c>
      <c r="F129" t="s">
        <v>113</v>
      </c>
      <c r="G129">
        <v>0.476190476190476</v>
      </c>
      <c r="H129">
        <v>2E+20</v>
      </c>
      <c r="I129">
        <v>0</v>
      </c>
      <c r="J129">
        <v>1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0.476190476190476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0.476190476190476</v>
      </c>
      <c r="U129">
        <f>IF((ContinuousStatsTable[[#This Row],[RepsRequested]]&gt;1),ContinuousStatsTable[[#This Row],[HalfWidth]],ContinuousStatsTable[[#This Row],[BatchMeansHalfWidth]])</f>
        <v>0</v>
      </c>
    </row>
    <row r="130" spans="1:21" x14ac:dyDescent="0.25">
      <c r="A130" t="s">
        <v>67</v>
      </c>
      <c r="B130" t="s">
        <v>243</v>
      </c>
      <c r="C130">
        <v>2</v>
      </c>
      <c r="D130" t="s">
        <v>132</v>
      </c>
      <c r="E130" t="s">
        <v>112</v>
      </c>
      <c r="F130" t="s">
        <v>113</v>
      </c>
      <c r="G130">
        <v>0.45518418142323402</v>
      </c>
      <c r="H130">
        <v>3E+20</v>
      </c>
      <c r="I130">
        <v>0</v>
      </c>
      <c r="J130">
        <v>1</v>
      </c>
      <c r="K130">
        <v>0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0.45404133128311103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0.45518418142323402</v>
      </c>
      <c r="U130">
        <f>IF((ContinuousStatsTable[[#This Row],[RepsRequested]]&gt;1),ContinuousStatsTable[[#This Row],[HalfWidth]],ContinuousStatsTable[[#This Row],[BatchMeansHalfWidth]])</f>
        <v>2.6178321488092363E-4</v>
      </c>
    </row>
    <row r="131" spans="1:21" x14ac:dyDescent="0.25">
      <c r="A131" t="s">
        <v>67</v>
      </c>
      <c r="B131" t="s">
        <v>243</v>
      </c>
      <c r="C131">
        <v>2</v>
      </c>
      <c r="D131" t="s">
        <v>132</v>
      </c>
      <c r="E131" t="s">
        <v>114</v>
      </c>
      <c r="F131" t="s">
        <v>113</v>
      </c>
      <c r="G131">
        <v>0.45518418142323402</v>
      </c>
      <c r="H131">
        <v>3E+20</v>
      </c>
      <c r="I131">
        <v>0</v>
      </c>
      <c r="J131">
        <v>1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0.45404133128311103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0.45518418142323402</v>
      </c>
      <c r="U131">
        <f>IF((ContinuousStatsTable[[#This Row],[RepsRequested]]&gt;1),ContinuousStatsTable[[#This Row],[HalfWidth]],ContinuousStatsTable[[#This Row],[BatchMeansHalfWidth]])</f>
        <v>2.6178321488092363E-4</v>
      </c>
    </row>
    <row r="132" spans="1:21" x14ac:dyDescent="0.25">
      <c r="A132" t="s">
        <v>67</v>
      </c>
      <c r="B132" t="s">
        <v>243</v>
      </c>
      <c r="C132">
        <v>2</v>
      </c>
      <c r="D132" t="s">
        <v>132</v>
      </c>
      <c r="E132" t="s">
        <v>115</v>
      </c>
      <c r="F132" t="s">
        <v>113</v>
      </c>
      <c r="G132">
        <v>0.476190476190476</v>
      </c>
      <c r="H132">
        <v>2E+20</v>
      </c>
      <c r="I132">
        <v>0</v>
      </c>
      <c r="J132">
        <v>1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0.476190476190476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0.476190476190476</v>
      </c>
      <c r="U132">
        <f>IF((ContinuousStatsTable[[#This Row],[RepsRequested]]&gt;1),ContinuousStatsTable[[#This Row],[HalfWidth]],ContinuousStatsTable[[#This Row],[BatchMeansHalfWidth]])</f>
        <v>0</v>
      </c>
    </row>
    <row r="133" spans="1:21" x14ac:dyDescent="0.25">
      <c r="A133" t="s">
        <v>67</v>
      </c>
      <c r="B133" t="s">
        <v>243</v>
      </c>
      <c r="C133">
        <v>2</v>
      </c>
      <c r="D133" t="s">
        <v>133</v>
      </c>
      <c r="E133" t="s">
        <v>112</v>
      </c>
      <c r="F133" t="s">
        <v>113</v>
      </c>
      <c r="G133">
        <v>0.23132104012901999</v>
      </c>
      <c r="H133">
        <v>3E+20</v>
      </c>
      <c r="I133">
        <v>0</v>
      </c>
      <c r="J133">
        <v>1</v>
      </c>
      <c r="K133">
        <v>0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0.230969532572807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0.23202343200723599</v>
      </c>
      <c r="U133">
        <f>IF((ContinuousStatsTable[[#This Row],[RepsRequested]]&gt;1),ContinuousStatsTable[[#This Row],[HalfWidth]],ContinuousStatsTable[[#This Row],[BatchMeansHalfWidth]])</f>
        <v>2.4725912837525509E-4</v>
      </c>
    </row>
    <row r="134" spans="1:21" x14ac:dyDescent="0.25">
      <c r="A134" t="s">
        <v>67</v>
      </c>
      <c r="B134" t="s">
        <v>243</v>
      </c>
      <c r="C134">
        <v>2</v>
      </c>
      <c r="D134" t="s">
        <v>133</v>
      </c>
      <c r="E134" t="s">
        <v>114</v>
      </c>
      <c r="F134" t="s">
        <v>113</v>
      </c>
      <c r="G134">
        <v>0.23132104012901999</v>
      </c>
      <c r="H134">
        <v>3E+20</v>
      </c>
      <c r="I134">
        <v>0</v>
      </c>
      <c r="J134">
        <v>1</v>
      </c>
      <c r="K134">
        <v>0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0.230969532572807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0.23202343200723599</v>
      </c>
      <c r="U134">
        <f>IF((ContinuousStatsTable[[#This Row],[RepsRequested]]&gt;1),ContinuousStatsTable[[#This Row],[HalfWidth]],ContinuousStatsTable[[#This Row],[BatchMeansHalfWidth]])</f>
        <v>2.4725912837525509E-4</v>
      </c>
    </row>
    <row r="135" spans="1:21" x14ac:dyDescent="0.25">
      <c r="A135" t="s">
        <v>67</v>
      </c>
      <c r="B135" t="s">
        <v>243</v>
      </c>
      <c r="C135">
        <v>2</v>
      </c>
      <c r="D135" t="s">
        <v>133</v>
      </c>
      <c r="E135" t="s">
        <v>115</v>
      </c>
      <c r="F135" t="s">
        <v>113</v>
      </c>
      <c r="G135">
        <v>0.476190476190476</v>
      </c>
      <c r="H135">
        <v>2E+20</v>
      </c>
      <c r="I135">
        <v>0</v>
      </c>
      <c r="J135">
        <v>1</v>
      </c>
      <c r="K135">
        <v>0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0.476190476190476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0.476190476190476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25">
      <c r="A136" t="s">
        <v>67</v>
      </c>
      <c r="B136" t="s">
        <v>243</v>
      </c>
      <c r="C136">
        <v>2</v>
      </c>
      <c r="D136" t="s">
        <v>134</v>
      </c>
      <c r="E136" t="s">
        <v>112</v>
      </c>
      <c r="F136" t="s">
        <v>113</v>
      </c>
      <c r="G136">
        <v>0.27248794676861599</v>
      </c>
      <c r="H136">
        <v>3E+20</v>
      </c>
      <c r="I136">
        <v>0</v>
      </c>
      <c r="J136">
        <v>1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0.271979535431421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0.27283313106114998</v>
      </c>
      <c r="U136">
        <f>IF((ContinuousStatsTable[[#This Row],[RepsRequested]]&gt;1),ContinuousStatsTable[[#This Row],[HalfWidth]],ContinuousStatsTable[[#This Row],[BatchMeansHalfWidth]])</f>
        <v>1.7269361236560142E-4</v>
      </c>
    </row>
    <row r="137" spans="1:21" x14ac:dyDescent="0.25">
      <c r="A137" t="s">
        <v>67</v>
      </c>
      <c r="B137" t="s">
        <v>243</v>
      </c>
      <c r="C137">
        <v>2</v>
      </c>
      <c r="D137" t="s">
        <v>134</v>
      </c>
      <c r="E137" t="s">
        <v>114</v>
      </c>
      <c r="F137" t="s">
        <v>113</v>
      </c>
      <c r="G137">
        <v>0.27248794676861599</v>
      </c>
      <c r="H137">
        <v>3E+20</v>
      </c>
      <c r="I137">
        <v>0</v>
      </c>
      <c r="J137">
        <v>1</v>
      </c>
      <c r="K137">
        <v>0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0.271979535431421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0.27283313106114998</v>
      </c>
      <c r="U137">
        <f>IF((ContinuousStatsTable[[#This Row],[RepsRequested]]&gt;1),ContinuousStatsTable[[#This Row],[HalfWidth]],ContinuousStatsTable[[#This Row],[BatchMeansHalfWidth]])</f>
        <v>1.7269361236560142E-4</v>
      </c>
    </row>
    <row r="138" spans="1:21" x14ac:dyDescent="0.25">
      <c r="A138" t="s">
        <v>67</v>
      </c>
      <c r="B138" t="s">
        <v>243</v>
      </c>
      <c r="C138">
        <v>2</v>
      </c>
      <c r="D138" t="s">
        <v>134</v>
      </c>
      <c r="E138" t="s">
        <v>115</v>
      </c>
      <c r="F138" t="s">
        <v>113</v>
      </c>
      <c r="G138">
        <v>0.476190476190476</v>
      </c>
      <c r="H138">
        <v>2E+20</v>
      </c>
      <c r="I138">
        <v>0</v>
      </c>
      <c r="J138">
        <v>1</v>
      </c>
      <c r="K138">
        <v>0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0.476190476190476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0.476190476190476</v>
      </c>
      <c r="U138">
        <f>IF((ContinuousStatsTable[[#This Row],[RepsRequested]]&gt;1),ContinuousStatsTable[[#This Row],[HalfWidth]],ContinuousStatsTable[[#This Row],[BatchMeansHalfWidth]])</f>
        <v>0</v>
      </c>
    </row>
    <row r="139" spans="1:21" x14ac:dyDescent="0.25">
      <c r="A139" t="s">
        <v>67</v>
      </c>
      <c r="B139" t="s">
        <v>243</v>
      </c>
      <c r="C139">
        <v>2</v>
      </c>
      <c r="D139" t="s">
        <v>135</v>
      </c>
      <c r="E139" t="s">
        <v>112</v>
      </c>
      <c r="F139" t="s">
        <v>113</v>
      </c>
      <c r="G139">
        <v>0.47638217839049801</v>
      </c>
      <c r="H139">
        <v>2E+20</v>
      </c>
      <c r="I139">
        <v>0</v>
      </c>
      <c r="J139">
        <v>1</v>
      </c>
      <c r="K139">
        <v>0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0.47640752107427203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7.9809559904816854E-5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5.7092319840390197E-5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0.47622171379262102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0.47651577494330499</v>
      </c>
      <c r="U139">
        <f>IF((ContinuousStatsTable[[#This Row],[RepsRequested]]&gt;1),ContinuousStatsTable[[#This Row],[HalfWidth]],ContinuousStatsTable[[#This Row],[BatchMeansHalfWidth]])</f>
        <v>5.7092319840390197E-5</v>
      </c>
    </row>
    <row r="140" spans="1:21" x14ac:dyDescent="0.25">
      <c r="A140" t="s">
        <v>67</v>
      </c>
      <c r="B140" t="s">
        <v>243</v>
      </c>
      <c r="C140">
        <v>2</v>
      </c>
      <c r="D140" t="s">
        <v>135</v>
      </c>
      <c r="E140" t="s">
        <v>114</v>
      </c>
      <c r="F140" t="s">
        <v>113</v>
      </c>
      <c r="G140">
        <v>0.47638217839049801</v>
      </c>
      <c r="H140">
        <v>2E+20</v>
      </c>
      <c r="I140">
        <v>0</v>
      </c>
      <c r="J140">
        <v>1</v>
      </c>
      <c r="K140">
        <v>0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0.47640752107427209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7.980955990487845E-5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5.7092319840434263E-5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0.47622171379262102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0.47651577494330499</v>
      </c>
      <c r="U140">
        <f>IF((ContinuousStatsTable[[#This Row],[RepsRequested]]&gt;1),ContinuousStatsTable[[#This Row],[HalfWidth]],ContinuousStatsTable[[#This Row],[BatchMeansHalfWidth]])</f>
        <v>5.7092319840434263E-5</v>
      </c>
    </row>
    <row r="141" spans="1:21" x14ac:dyDescent="0.25">
      <c r="A141" t="s">
        <v>67</v>
      </c>
      <c r="B141" t="s">
        <v>243</v>
      </c>
      <c r="C141">
        <v>2</v>
      </c>
      <c r="D141" t="s">
        <v>135</v>
      </c>
      <c r="E141" t="s">
        <v>115</v>
      </c>
      <c r="F141" t="s">
        <v>113</v>
      </c>
      <c r="G141">
        <v>0.476190476190476</v>
      </c>
      <c r="H141">
        <v>2E+20</v>
      </c>
      <c r="I141">
        <v>0</v>
      </c>
      <c r="J141">
        <v>1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0.476190476190476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0.476190476190476</v>
      </c>
      <c r="U141">
        <f>IF((ContinuousStatsTable[[#This Row],[RepsRequested]]&gt;1),ContinuousStatsTable[[#This Row],[HalfWidth]],ContinuousStatsTable[[#This Row],[BatchMeansHalfWidth]])</f>
        <v>0</v>
      </c>
    </row>
    <row r="142" spans="1:21" x14ac:dyDescent="0.25">
      <c r="A142" t="s">
        <v>67</v>
      </c>
      <c r="B142" t="s">
        <v>243</v>
      </c>
      <c r="C142">
        <v>2</v>
      </c>
      <c r="D142" t="s">
        <v>136</v>
      </c>
      <c r="E142" t="s">
        <v>112</v>
      </c>
      <c r="F142" t="s">
        <v>113</v>
      </c>
      <c r="G142">
        <v>0.298892632727081</v>
      </c>
      <c r="H142">
        <v>3E+20</v>
      </c>
      <c r="I142">
        <v>0</v>
      </c>
      <c r="J142">
        <v>1</v>
      </c>
      <c r="K142">
        <v>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0.29842379685970999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0.29970100107953501</v>
      </c>
      <c r="U142">
        <f>IF((ContinuousStatsTable[[#This Row],[RepsRequested]]&gt;1),ContinuousStatsTable[[#This Row],[HalfWidth]],ContinuousStatsTable[[#This Row],[BatchMeansHalfWidth]])</f>
        <v>2.6450685793468105E-4</v>
      </c>
    </row>
    <row r="143" spans="1:21" x14ac:dyDescent="0.25">
      <c r="A143" t="s">
        <v>67</v>
      </c>
      <c r="B143" t="s">
        <v>243</v>
      </c>
      <c r="C143">
        <v>2</v>
      </c>
      <c r="D143" t="s">
        <v>136</v>
      </c>
      <c r="E143" t="s">
        <v>114</v>
      </c>
      <c r="F143" t="s">
        <v>113</v>
      </c>
      <c r="G143">
        <v>0.298892632727081</v>
      </c>
      <c r="H143">
        <v>3E+20</v>
      </c>
      <c r="I143">
        <v>0</v>
      </c>
      <c r="J143">
        <v>1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0.29842379685970999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0.29970100107953501</v>
      </c>
      <c r="U143">
        <f>IF((ContinuousStatsTable[[#This Row],[RepsRequested]]&gt;1),ContinuousStatsTable[[#This Row],[HalfWidth]],ContinuousStatsTable[[#This Row],[BatchMeansHalfWidth]])</f>
        <v>2.6450685793468105E-4</v>
      </c>
    </row>
    <row r="144" spans="1:21" x14ac:dyDescent="0.25">
      <c r="A144" t="s">
        <v>67</v>
      </c>
      <c r="B144" t="s">
        <v>243</v>
      </c>
      <c r="C144">
        <v>2</v>
      </c>
      <c r="D144" t="s">
        <v>136</v>
      </c>
      <c r="E144" t="s">
        <v>115</v>
      </c>
      <c r="F144" t="s">
        <v>113</v>
      </c>
      <c r="G144">
        <v>0.476190476190476</v>
      </c>
      <c r="H144">
        <v>2E+20</v>
      </c>
      <c r="I144">
        <v>0</v>
      </c>
      <c r="J144">
        <v>1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0.476190476190476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0.476190476190476</v>
      </c>
      <c r="U144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67</v>
      </c>
      <c r="B145" t="s">
        <v>243</v>
      </c>
      <c r="C145">
        <v>2</v>
      </c>
      <c r="D145" t="s">
        <v>137</v>
      </c>
      <c r="E145" t="s">
        <v>112</v>
      </c>
      <c r="F145" t="s">
        <v>113</v>
      </c>
      <c r="G145">
        <v>0.45652258337600798</v>
      </c>
      <c r="H145">
        <v>3E+20</v>
      </c>
      <c r="I145">
        <v>0</v>
      </c>
      <c r="J145">
        <v>1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0.45550004981449399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0.45652258337600798</v>
      </c>
      <c r="U145">
        <f>IF((ContinuousStatsTable[[#This Row],[RepsRequested]]&gt;1),ContinuousStatsTable[[#This Row],[HalfWidth]],ContinuousStatsTable[[#This Row],[BatchMeansHalfWidth]])</f>
        <v>2.4108493326261801E-4</v>
      </c>
    </row>
    <row r="146" spans="1:21" x14ac:dyDescent="0.25">
      <c r="A146" t="s">
        <v>67</v>
      </c>
      <c r="B146" t="s">
        <v>243</v>
      </c>
      <c r="C146">
        <v>2</v>
      </c>
      <c r="D146" t="s">
        <v>137</v>
      </c>
      <c r="E146" t="s">
        <v>114</v>
      </c>
      <c r="F146" t="s">
        <v>113</v>
      </c>
      <c r="G146">
        <v>0.45652258337600798</v>
      </c>
      <c r="H146">
        <v>3E+20</v>
      </c>
      <c r="I146">
        <v>0</v>
      </c>
      <c r="J146">
        <v>1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0.45550004981449399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0.45652258337600798</v>
      </c>
      <c r="U146">
        <f>IF((ContinuousStatsTable[[#This Row],[RepsRequested]]&gt;1),ContinuousStatsTable[[#This Row],[HalfWidth]],ContinuousStatsTable[[#This Row],[BatchMeansHalfWidth]])</f>
        <v>2.4108493326261801E-4</v>
      </c>
    </row>
    <row r="147" spans="1:21" x14ac:dyDescent="0.25">
      <c r="A147" t="s">
        <v>67</v>
      </c>
      <c r="B147" t="s">
        <v>243</v>
      </c>
      <c r="C147">
        <v>2</v>
      </c>
      <c r="D147" t="s">
        <v>137</v>
      </c>
      <c r="E147" t="s">
        <v>115</v>
      </c>
      <c r="F147" t="s">
        <v>113</v>
      </c>
      <c r="G147">
        <v>0.476190476190476</v>
      </c>
      <c r="H147">
        <v>2E+20</v>
      </c>
      <c r="I147">
        <v>0</v>
      </c>
      <c r="J147">
        <v>1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0.476190476190476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0.476190476190476</v>
      </c>
      <c r="U147">
        <f>IF((ContinuousStatsTable[[#This Row],[RepsRequested]]&gt;1),ContinuousStatsTable[[#This Row],[HalfWidth]],ContinuousStatsTable[[#This Row],[BatchMeansHalfWidth]])</f>
        <v>0</v>
      </c>
    </row>
    <row r="148" spans="1:21" x14ac:dyDescent="0.25">
      <c r="A148" t="s">
        <v>67</v>
      </c>
      <c r="B148" t="s">
        <v>243</v>
      </c>
      <c r="C148">
        <v>2</v>
      </c>
      <c r="D148" t="s">
        <v>138</v>
      </c>
      <c r="E148" t="s">
        <v>112</v>
      </c>
      <c r="F148" t="s">
        <v>113</v>
      </c>
      <c r="G148">
        <v>0.47633465557050603</v>
      </c>
      <c r="H148">
        <v>2E+20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0.47637632373438449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2.6635978153163645E-5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1.9054230919149366E-5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0.47633465557050603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0.47641329732322302</v>
      </c>
      <c r="U148">
        <f>IF((ContinuousStatsTable[[#This Row],[RepsRequested]]&gt;1),ContinuousStatsTable[[#This Row],[HalfWidth]],ContinuousStatsTable[[#This Row],[BatchMeansHalfWidth]])</f>
        <v>1.9054230919149366E-5</v>
      </c>
    </row>
    <row r="149" spans="1:21" x14ac:dyDescent="0.25">
      <c r="A149" t="s">
        <v>67</v>
      </c>
      <c r="B149" t="s">
        <v>243</v>
      </c>
      <c r="C149">
        <v>2</v>
      </c>
      <c r="D149" t="s">
        <v>138</v>
      </c>
      <c r="E149" t="s">
        <v>114</v>
      </c>
      <c r="F149" t="s">
        <v>113</v>
      </c>
      <c r="G149">
        <v>0.47633465557050603</v>
      </c>
      <c r="H149">
        <v>2E+20</v>
      </c>
      <c r="I149">
        <v>0</v>
      </c>
      <c r="J149">
        <v>1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0.47633465557050603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0.47641329732322302</v>
      </c>
      <c r="U149">
        <f>IF((ContinuousStatsTable[[#This Row],[RepsRequested]]&gt;1),ContinuousStatsTable[[#This Row],[HalfWidth]],ContinuousStatsTable[[#This Row],[BatchMeansHalfWidth]])</f>
        <v>1.9054230919217752E-5</v>
      </c>
    </row>
    <row r="150" spans="1:21" x14ac:dyDescent="0.25">
      <c r="A150" t="s">
        <v>67</v>
      </c>
      <c r="B150" t="s">
        <v>243</v>
      </c>
      <c r="C150">
        <v>2</v>
      </c>
      <c r="D150" t="s">
        <v>138</v>
      </c>
      <c r="E150" t="s">
        <v>115</v>
      </c>
      <c r="F150" t="s">
        <v>113</v>
      </c>
      <c r="G150">
        <v>0.476190476190476</v>
      </c>
      <c r="H150">
        <v>2E+20</v>
      </c>
      <c r="I150">
        <v>0</v>
      </c>
      <c r="J150">
        <v>1</v>
      </c>
      <c r="K150">
        <v>0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0.476190476190476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0.476190476190476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67</v>
      </c>
      <c r="B151" t="s">
        <v>243</v>
      </c>
      <c r="C151">
        <v>2</v>
      </c>
      <c r="D151" t="s">
        <v>83</v>
      </c>
      <c r="E151" t="s">
        <v>116</v>
      </c>
      <c r="F151" t="s">
        <v>71</v>
      </c>
      <c r="G151">
        <v>4.21406992387485E-5</v>
      </c>
      <c r="H151">
        <v>2E+20</v>
      </c>
      <c r="I151">
        <v>0</v>
      </c>
      <c r="J151">
        <v>1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ProjectMatch 1.Queue1Number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2.9170315053456471E-5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7.7933109083950271E-6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5.5749987786968959E-6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1.80144253291803E-5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4.21406992387485E-5</v>
      </c>
      <c r="U151">
        <f>IF((ContinuousStatsTable[[#This Row],[RepsRequested]]&gt;1),ContinuousStatsTable[[#This Row],[HalfWidth]],ContinuousStatsTable[[#This Row],[BatchMeansHalfWidth]])</f>
        <v>5.5749987786968959E-6</v>
      </c>
    </row>
    <row r="152" spans="1:21" x14ac:dyDescent="0.25">
      <c r="A152" t="s">
        <v>67</v>
      </c>
      <c r="B152" t="s">
        <v>243</v>
      </c>
      <c r="C152">
        <v>2</v>
      </c>
      <c r="D152" t="s">
        <v>84</v>
      </c>
      <c r="E152" t="s">
        <v>116</v>
      </c>
      <c r="F152" t="s">
        <v>71</v>
      </c>
      <c r="G152">
        <v>858.49288388840398</v>
      </c>
      <c r="H152">
        <v>3E+20</v>
      </c>
      <c r="I152">
        <v>0</v>
      </c>
      <c r="J152">
        <v>1667</v>
      </c>
      <c r="K152">
        <v>1665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ProjectMatch 1.Queue2Number WaitingQueue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10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867.85098767897125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5.9823523640247513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4.2795170775550373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858.49288388840398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875.80608811200398</v>
      </c>
      <c r="U152">
        <f>IF((ContinuousStatsTable[[#This Row],[RepsRequested]]&gt;1),ContinuousStatsTable[[#This Row],[HalfWidth]],ContinuousStatsTable[[#This Row],[BatchMeansHalfWidth]])</f>
        <v>4.2795170775550373</v>
      </c>
    </row>
    <row r="153" spans="1:21" x14ac:dyDescent="0.25">
      <c r="A153" t="s">
        <v>67</v>
      </c>
      <c r="B153" t="s">
        <v>243</v>
      </c>
      <c r="C153">
        <v>2</v>
      </c>
      <c r="D153" t="s">
        <v>85</v>
      </c>
      <c r="E153" t="s">
        <v>116</v>
      </c>
      <c r="F153" t="s">
        <v>71</v>
      </c>
      <c r="G153">
        <v>1357.5761788714599</v>
      </c>
      <c r="H153">
        <v>3E+20</v>
      </c>
      <c r="I153">
        <v>0</v>
      </c>
      <c r="J153">
        <v>2635</v>
      </c>
      <c r="K153">
        <v>2634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ProjectMatch 1.Queue3Number WaitingQueue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10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1368.6640709815952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5.3961917051273351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3.860203002204456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1357.5761788714599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1375.17190829069</v>
      </c>
      <c r="U153">
        <f>IF((ContinuousStatsTable[[#This Row],[RepsRequested]]&gt;1),ContinuousStatsTable[[#This Row],[HalfWidth]],ContinuousStatsTable[[#This Row],[BatchMeansHalfWidth]])</f>
        <v>3.860203002204456</v>
      </c>
    </row>
    <row r="154" spans="1:21" x14ac:dyDescent="0.25">
      <c r="A154" t="s">
        <v>67</v>
      </c>
      <c r="B154" t="s">
        <v>243</v>
      </c>
      <c r="C154">
        <v>2</v>
      </c>
      <c r="D154" t="s">
        <v>139</v>
      </c>
      <c r="E154" t="s">
        <v>112</v>
      </c>
      <c r="F154" t="s">
        <v>113</v>
      </c>
      <c r="G154">
        <v>0</v>
      </c>
      <c r="H154">
        <v>2E+20</v>
      </c>
      <c r="I154">
        <v>0</v>
      </c>
      <c r="J154">
        <v>0</v>
      </c>
      <c r="K154">
        <v>0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10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0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0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0</v>
      </c>
      <c r="U154">
        <f>IF((ContinuousStatsTable[[#This Row],[RepsRequested]]&gt;1),ContinuousStatsTable[[#This Row],[HalfWidth]],ContinuousStatsTable[[#This Row],[BatchMeansHalfWidth]])</f>
        <v>0</v>
      </c>
    </row>
    <row r="155" spans="1:21" x14ac:dyDescent="0.25">
      <c r="A155" t="s">
        <v>67</v>
      </c>
      <c r="B155" t="s">
        <v>243</v>
      </c>
      <c r="C155">
        <v>2</v>
      </c>
      <c r="D155" t="s">
        <v>139</v>
      </c>
      <c r="E155" t="s">
        <v>114</v>
      </c>
      <c r="F155" t="s">
        <v>113</v>
      </c>
      <c r="G155">
        <v>0</v>
      </c>
      <c r="H155">
        <v>2E+20</v>
      </c>
      <c r="I155">
        <v>0</v>
      </c>
      <c r="J155">
        <v>0</v>
      </c>
      <c r="K155">
        <v>0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10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</v>
      </c>
      <c r="U155">
        <f>IF((ContinuousStatsTable[[#This Row],[RepsRequested]]&gt;1),ContinuousStatsTable[[#This Row],[HalfWidth]],ContinuousStatsTable[[#This Row],[BatchMeansHalfWidth]])</f>
        <v>0</v>
      </c>
    </row>
    <row r="156" spans="1:21" x14ac:dyDescent="0.25">
      <c r="A156" t="s">
        <v>67</v>
      </c>
      <c r="B156" t="s">
        <v>243</v>
      </c>
      <c r="C156">
        <v>2</v>
      </c>
      <c r="D156" t="s">
        <v>139</v>
      </c>
      <c r="E156" t="s">
        <v>115</v>
      </c>
      <c r="F156" t="s">
        <v>113</v>
      </c>
      <c r="G156">
        <v>0.26785714285714302</v>
      </c>
      <c r="H156">
        <v>2E+20</v>
      </c>
      <c r="I156">
        <v>0</v>
      </c>
      <c r="J156">
        <v>1</v>
      </c>
      <c r="K156">
        <v>1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10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0.26785714285714302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0.26785714285714302</v>
      </c>
      <c r="U156">
        <f>IF((ContinuousStatsTable[[#This Row],[RepsRequested]]&gt;1),ContinuousStatsTable[[#This Row],[HalfWidth]],ContinuousStatsTable[[#This Row],[BatchMeansHalfWidth]])</f>
        <v>4.1858316124321422E-17</v>
      </c>
    </row>
    <row r="157" spans="1:21" x14ac:dyDescent="0.25">
      <c r="A157" t="s">
        <v>67</v>
      </c>
      <c r="B157" t="s">
        <v>243</v>
      </c>
      <c r="C157">
        <v>2</v>
      </c>
      <c r="D157" t="s">
        <v>140</v>
      </c>
      <c r="E157" t="s">
        <v>112</v>
      </c>
      <c r="F157" t="s">
        <v>113</v>
      </c>
      <c r="G157">
        <v>7.2143522330073706E-2</v>
      </c>
      <c r="H157">
        <v>2E+20</v>
      </c>
      <c r="I157">
        <v>0</v>
      </c>
      <c r="J157">
        <v>1</v>
      </c>
      <c r="K157">
        <v>0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10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8.7684406282387828E-2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7.2143522330073706E-2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0.105326430117076</v>
      </c>
      <c r="U157">
        <f>IF((ContinuousStatsTable[[#This Row],[RepsRequested]]&gt;1),ContinuousStatsTable[[#This Row],[HalfWidth]],ContinuousStatsTable[[#This Row],[BatchMeansHalfWidth]])</f>
        <v>6.7395853500387742E-3</v>
      </c>
    </row>
    <row r="158" spans="1:21" x14ac:dyDescent="0.25">
      <c r="A158" t="s">
        <v>67</v>
      </c>
      <c r="B158" t="s">
        <v>243</v>
      </c>
      <c r="C158">
        <v>2</v>
      </c>
      <c r="D158" t="s">
        <v>140</v>
      </c>
      <c r="E158" t="s">
        <v>114</v>
      </c>
      <c r="F158" t="s">
        <v>113</v>
      </c>
      <c r="G158">
        <v>7.2143522330073706E-2</v>
      </c>
      <c r="H158">
        <v>2E+20</v>
      </c>
      <c r="I158">
        <v>0</v>
      </c>
      <c r="J158">
        <v>1</v>
      </c>
      <c r="K158">
        <v>0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10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8.7684406282387842E-2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7.2143522330073706E-2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0.105326430117076</v>
      </c>
      <c r="U158">
        <f>IF((ContinuousStatsTable[[#This Row],[RepsRequested]]&gt;1),ContinuousStatsTable[[#This Row],[HalfWidth]],ContinuousStatsTable[[#This Row],[BatchMeansHalfWidth]])</f>
        <v>6.7395853500387742E-3</v>
      </c>
    </row>
    <row r="159" spans="1:21" x14ac:dyDescent="0.25">
      <c r="A159" t="s">
        <v>67</v>
      </c>
      <c r="B159" t="s">
        <v>243</v>
      </c>
      <c r="C159">
        <v>2</v>
      </c>
      <c r="D159" t="s">
        <v>140</v>
      </c>
      <c r="E159" t="s">
        <v>115</v>
      </c>
      <c r="F159" t="s">
        <v>113</v>
      </c>
      <c r="G159">
        <v>0.26785714285714302</v>
      </c>
      <c r="H159">
        <v>2E+20</v>
      </c>
      <c r="I159">
        <v>0</v>
      </c>
      <c r="J159">
        <v>1</v>
      </c>
      <c r="K159">
        <v>0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10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0.26785714285714302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0.26785714285714302</v>
      </c>
      <c r="U159">
        <f>IF((ContinuousStatsTable[[#This Row],[RepsRequested]]&gt;1),ContinuousStatsTable[[#This Row],[HalfWidth]],ContinuousStatsTable[[#This Row],[BatchMeansHalfWidth]])</f>
        <v>4.1858316124321422E-17</v>
      </c>
    </row>
    <row r="160" spans="1:21" x14ac:dyDescent="0.25">
      <c r="A160" t="s">
        <v>67</v>
      </c>
      <c r="B160" t="s">
        <v>243</v>
      </c>
      <c r="C160">
        <v>2</v>
      </c>
      <c r="D160" t="s">
        <v>99</v>
      </c>
      <c r="E160" t="s">
        <v>116</v>
      </c>
      <c r="F160" t="s">
        <v>71</v>
      </c>
      <c r="G160">
        <v>78.933804940884798</v>
      </c>
      <c r="H160">
        <v>2E+20</v>
      </c>
      <c r="I160">
        <v>0</v>
      </c>
      <c r="J160">
        <v>169</v>
      </c>
      <c r="K160">
        <v>169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10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83.474789654582125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6.0930686050573728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4.358718705180836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72.152998246910798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91.653675793565498</v>
      </c>
      <c r="U160">
        <f>IF((ContinuousStatsTable[[#This Row],[RepsRequested]]&gt;1),ContinuousStatsTable[[#This Row],[HalfWidth]],ContinuousStatsTable[[#This Row],[BatchMeansHalfWidth]])</f>
        <v>4.358718705180836</v>
      </c>
    </row>
    <row r="161" spans="1:21" x14ac:dyDescent="0.25">
      <c r="A161" t="s">
        <v>67</v>
      </c>
      <c r="B161" t="s">
        <v>243</v>
      </c>
      <c r="C161">
        <v>2</v>
      </c>
      <c r="D161" t="s">
        <v>100</v>
      </c>
      <c r="E161" t="s">
        <v>116</v>
      </c>
      <c r="F161" t="s">
        <v>71</v>
      </c>
      <c r="G161">
        <v>0.944128153448903</v>
      </c>
      <c r="H161">
        <v>2E+20</v>
      </c>
      <c r="I161">
        <v>0</v>
      </c>
      <c r="J161">
        <v>3</v>
      </c>
      <c r="K161">
        <v>2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ProjectSeize 10.QueueNumber WaitingQueue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10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0.77451739131190445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0.14034110421466847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0.10039397809151185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0.57599630674201496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0.944128153448903</v>
      </c>
      <c r="U161">
        <f>IF((ContinuousStatsTable[[#This Row],[RepsRequested]]&gt;1),ContinuousStatsTable[[#This Row],[HalfWidth]],ContinuousStatsTable[[#This Row],[BatchMeansHalfWidth]])</f>
        <v>0.10039397809151185</v>
      </c>
    </row>
    <row r="162" spans="1:21" x14ac:dyDescent="0.25">
      <c r="A162" t="s">
        <v>67</v>
      </c>
      <c r="B162" t="s">
        <v>243</v>
      </c>
      <c r="C162">
        <v>2</v>
      </c>
      <c r="D162" t="s">
        <v>101</v>
      </c>
      <c r="E162" t="s">
        <v>116</v>
      </c>
      <c r="F162" t="s">
        <v>71</v>
      </c>
      <c r="G162">
        <v>10.770319236854199</v>
      </c>
      <c r="H162">
        <v>2E+20</v>
      </c>
      <c r="I162">
        <v>0</v>
      </c>
      <c r="J162">
        <v>91</v>
      </c>
      <c r="K162">
        <v>0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ProjectSeize 11.QueueNumber WaitingQueue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10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17.495844600024782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4.1567315260337745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2.9735466034142406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10.770319236854199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25.764658423427701</v>
      </c>
      <c r="U162">
        <f>IF((ContinuousStatsTable[[#This Row],[RepsRequested]]&gt;1),ContinuousStatsTable[[#This Row],[HalfWidth]],ContinuousStatsTable[[#This Row],[BatchMeansHalfWidth]])</f>
        <v>2.9735466034142406</v>
      </c>
    </row>
    <row r="163" spans="1:21" x14ac:dyDescent="0.25">
      <c r="A163" t="s">
        <v>67</v>
      </c>
      <c r="B163" t="s">
        <v>243</v>
      </c>
      <c r="C163">
        <v>2</v>
      </c>
      <c r="D163" t="s">
        <v>102</v>
      </c>
      <c r="E163" t="s">
        <v>116</v>
      </c>
      <c r="F163" t="s">
        <v>71</v>
      </c>
      <c r="G163">
        <v>0.85658915423651305</v>
      </c>
      <c r="H163">
        <v>2E+20</v>
      </c>
      <c r="I163">
        <v>0</v>
      </c>
      <c r="J163">
        <v>2</v>
      </c>
      <c r="K163">
        <v>2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10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1.2334365850159306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0.34677877772765942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0.24807059349154728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0.47601596605360202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1.5938052921300001</v>
      </c>
      <c r="U163">
        <f>IF((ContinuousStatsTable[[#This Row],[RepsRequested]]&gt;1),ContinuousStatsTable[[#This Row],[HalfWidth]],ContinuousStatsTable[[#This Row],[BatchMeansHalfWidth]])</f>
        <v>0.24807059349154728</v>
      </c>
    </row>
    <row r="164" spans="1:21" x14ac:dyDescent="0.25">
      <c r="A164" t="s">
        <v>67</v>
      </c>
      <c r="B164" t="s">
        <v>243</v>
      </c>
      <c r="C164">
        <v>2</v>
      </c>
      <c r="D164" t="s">
        <v>103</v>
      </c>
      <c r="E164" t="s">
        <v>116</v>
      </c>
      <c r="F164" t="s">
        <v>71</v>
      </c>
      <c r="G164">
        <v>0.13666953703739701</v>
      </c>
      <c r="H164">
        <v>3E+20</v>
      </c>
      <c r="I164">
        <v>0</v>
      </c>
      <c r="J164">
        <v>2</v>
      </c>
      <c r="K164">
        <v>0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10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0.19501309596936622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0.14771852643081365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0.10567146802209269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5.2203254973614402E-2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0.443638473140476</v>
      </c>
      <c r="U164">
        <f>IF((ContinuousStatsTable[[#This Row],[RepsRequested]]&gt;1),ContinuousStatsTable[[#This Row],[HalfWidth]],ContinuousStatsTable[[#This Row],[BatchMeansHalfWidth]])</f>
        <v>0.10567146802209269</v>
      </c>
    </row>
    <row r="165" spans="1:21" x14ac:dyDescent="0.25">
      <c r="A165" t="s">
        <v>67</v>
      </c>
      <c r="B165" t="s">
        <v>243</v>
      </c>
      <c r="C165">
        <v>2</v>
      </c>
      <c r="D165" t="s">
        <v>104</v>
      </c>
      <c r="E165" t="s">
        <v>116</v>
      </c>
      <c r="F165" t="s">
        <v>71</v>
      </c>
      <c r="G165">
        <v>77.229630313264906</v>
      </c>
      <c r="H165">
        <v>3E+20</v>
      </c>
      <c r="I165">
        <v>0</v>
      </c>
      <c r="J165">
        <v>161</v>
      </c>
      <c r="K165">
        <v>161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10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81.226274902651596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11.159336682409895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7.9829085618136846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66.053444809788303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100.586340982454</v>
      </c>
      <c r="U165">
        <f>IF((ContinuousStatsTable[[#This Row],[RepsRequested]]&gt;1),ContinuousStatsTable[[#This Row],[HalfWidth]],ContinuousStatsTable[[#This Row],[BatchMeansHalfWidth]])</f>
        <v>7.9829085618136846</v>
      </c>
    </row>
    <row r="166" spans="1:21" x14ac:dyDescent="0.25">
      <c r="A166" t="s">
        <v>67</v>
      </c>
      <c r="B166" t="s">
        <v>243</v>
      </c>
      <c r="C166">
        <v>2</v>
      </c>
      <c r="D166" t="s">
        <v>105</v>
      </c>
      <c r="E166" t="s">
        <v>116</v>
      </c>
      <c r="F166" t="s">
        <v>71</v>
      </c>
      <c r="G166">
        <v>1.0612755049707301</v>
      </c>
      <c r="H166">
        <v>3E+20</v>
      </c>
      <c r="I166">
        <v>0</v>
      </c>
      <c r="J166">
        <v>2</v>
      </c>
      <c r="K166">
        <v>1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10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1.3234420699844864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0.23376145670955006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0.1672228724069392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0.88257428434366503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1.5367801636504701</v>
      </c>
      <c r="U166">
        <f>IF((ContinuousStatsTable[[#This Row],[RepsRequested]]&gt;1),ContinuousStatsTable[[#This Row],[HalfWidth]],ContinuousStatsTable[[#This Row],[BatchMeansHalfWidth]])</f>
        <v>0.1672228724069392</v>
      </c>
    </row>
    <row r="167" spans="1:21" x14ac:dyDescent="0.25">
      <c r="A167" t="s">
        <v>67</v>
      </c>
      <c r="B167" t="s">
        <v>243</v>
      </c>
      <c r="C167">
        <v>2</v>
      </c>
      <c r="D167" t="s">
        <v>106</v>
      </c>
      <c r="E167" t="s">
        <v>116</v>
      </c>
      <c r="F167" t="s">
        <v>71</v>
      </c>
      <c r="G167">
        <v>3.2410666677324498</v>
      </c>
      <c r="H167">
        <v>3E+20</v>
      </c>
      <c r="I167">
        <v>0</v>
      </c>
      <c r="J167">
        <v>5</v>
      </c>
      <c r="K167">
        <v>2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10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3.295350976306183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0.30652142094800816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0.21927221530309879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2.9443042052265702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3.9785130958891202</v>
      </c>
      <c r="U167">
        <f>IF((ContinuousStatsTable[[#This Row],[RepsRequested]]&gt;1),ContinuousStatsTable[[#This Row],[HalfWidth]],ContinuousStatsTable[[#This Row],[BatchMeansHalfWidth]])</f>
        <v>0.21927221530309879</v>
      </c>
    </row>
    <row r="168" spans="1:21" x14ac:dyDescent="0.25">
      <c r="A168" t="s">
        <v>67</v>
      </c>
      <c r="B168" t="s">
        <v>243</v>
      </c>
      <c r="C168">
        <v>2</v>
      </c>
      <c r="D168" t="s">
        <v>107</v>
      </c>
      <c r="E168" t="s">
        <v>116</v>
      </c>
      <c r="F168" t="s">
        <v>71</v>
      </c>
      <c r="G168">
        <v>1.5867951961883899</v>
      </c>
      <c r="H168">
        <v>2E+20</v>
      </c>
      <c r="I168">
        <v>0</v>
      </c>
      <c r="J168">
        <v>4</v>
      </c>
      <c r="K168">
        <v>4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10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1.4832039737284362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0.28170250043427397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0.20151782911486205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0.850065833369271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1.78320590856036</v>
      </c>
      <c r="U168">
        <f>IF((ContinuousStatsTable[[#This Row],[RepsRequested]]&gt;1),ContinuousStatsTable[[#This Row],[HalfWidth]],ContinuousStatsTable[[#This Row],[BatchMeansHalfWidth]])</f>
        <v>0.20151782911486205</v>
      </c>
    </row>
    <row r="169" spans="1:21" x14ac:dyDescent="0.25">
      <c r="A169" t="s">
        <v>67</v>
      </c>
      <c r="B169" t="s">
        <v>243</v>
      </c>
      <c r="C169">
        <v>2</v>
      </c>
      <c r="D169" t="s">
        <v>108</v>
      </c>
      <c r="E169" t="s">
        <v>116</v>
      </c>
      <c r="F169" t="s">
        <v>71</v>
      </c>
      <c r="G169">
        <v>82.419298176043696</v>
      </c>
      <c r="H169">
        <v>3E+20</v>
      </c>
      <c r="I169">
        <v>0</v>
      </c>
      <c r="J169">
        <v>158</v>
      </c>
      <c r="K169">
        <v>158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10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84.673313986400757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6.3050274623130749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4.5103449375003528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72.004631303705096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94.488584180465494</v>
      </c>
      <c r="U169">
        <f>IF((ContinuousStatsTable[[#This Row],[RepsRequested]]&gt;1),ContinuousStatsTable[[#This Row],[HalfWidth]],ContinuousStatsTable[[#This Row],[BatchMeansHalfWidth]])</f>
        <v>4.5103449375003528</v>
      </c>
    </row>
    <row r="170" spans="1:21" x14ac:dyDescent="0.25">
      <c r="A170" t="s">
        <v>67</v>
      </c>
      <c r="B170" t="s">
        <v>243</v>
      </c>
      <c r="C170">
        <v>2</v>
      </c>
      <c r="D170" t="s">
        <v>109</v>
      </c>
      <c r="E170" t="s">
        <v>116</v>
      </c>
      <c r="F170" t="s">
        <v>71</v>
      </c>
      <c r="G170">
        <v>3.7448575603137102</v>
      </c>
      <c r="H170">
        <v>3E+20</v>
      </c>
      <c r="I170">
        <v>0</v>
      </c>
      <c r="J170">
        <v>5</v>
      </c>
      <c r="K170">
        <v>4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10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3.1643006447829118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0.56709805972033456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0.40567751338350572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2.1571183231200299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3.7448575603137102</v>
      </c>
      <c r="U170">
        <f>IF((ContinuousStatsTable[[#This Row],[RepsRequested]]&gt;1),ContinuousStatsTable[[#This Row],[HalfWidth]],ContinuousStatsTable[[#This Row],[BatchMeansHalfWidth]])</f>
        <v>0.40567751338350572</v>
      </c>
    </row>
    <row r="171" spans="1:21" x14ac:dyDescent="0.25">
      <c r="A171" t="s">
        <v>67</v>
      </c>
      <c r="B171" t="s">
        <v>243</v>
      </c>
      <c r="C171">
        <v>2</v>
      </c>
      <c r="D171" t="s">
        <v>110</v>
      </c>
      <c r="E171" t="s">
        <v>117</v>
      </c>
      <c r="F171" t="s">
        <v>76</v>
      </c>
      <c r="G171">
        <v>3.2132100714910901</v>
      </c>
      <c r="H171">
        <v>3E+20</v>
      </c>
      <c r="I171">
        <v>0</v>
      </c>
      <c r="J171">
        <v>8</v>
      </c>
      <c r="K171">
        <v>5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10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2.7938165767457108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0.37107770243484822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0.26545299708849601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2.05988155680273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3.2132100714910901</v>
      </c>
      <c r="U171">
        <f>IF((ContinuousStatsTable[[#This Row],[RepsRequested]]&gt;1),ContinuousStatsTable[[#This Row],[HalfWidth]],ContinuousStatsTable[[#This Row],[BatchMeansHalfWidth]])</f>
        <v>0.26545299708849601</v>
      </c>
    </row>
    <row r="172" spans="1:21" x14ac:dyDescent="0.25">
      <c r="A172" t="s">
        <v>67</v>
      </c>
      <c r="B172" t="s">
        <v>243</v>
      </c>
      <c r="C172">
        <v>3</v>
      </c>
      <c r="D172" t="s">
        <v>111</v>
      </c>
      <c r="E172" t="s">
        <v>112</v>
      </c>
      <c r="F172" t="s">
        <v>113</v>
      </c>
      <c r="G172">
        <v>3.6063384570627799E-2</v>
      </c>
      <c r="H172">
        <v>3E+20</v>
      </c>
      <c r="I172">
        <v>0</v>
      </c>
      <c r="J172">
        <v>1</v>
      </c>
      <c r="K172">
        <v>0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10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3.6074566243936998E-2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6.6761681626786623E-5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4.7758430005936653E-5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3.5941735992799297E-2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3.6177689828441002E-2</v>
      </c>
      <c r="U172">
        <f>IF((ContinuousStatsTable[[#This Row],[RepsRequested]]&gt;1),ContinuousStatsTable[[#This Row],[HalfWidth]],ContinuousStatsTable[[#This Row],[BatchMeansHalfWidth]])</f>
        <v>4.7758430005936653E-5</v>
      </c>
    </row>
    <row r="173" spans="1:21" x14ac:dyDescent="0.25">
      <c r="A173" t="s">
        <v>67</v>
      </c>
      <c r="B173" t="s">
        <v>243</v>
      </c>
      <c r="C173">
        <v>3</v>
      </c>
      <c r="D173" t="s">
        <v>111</v>
      </c>
      <c r="E173" t="s">
        <v>114</v>
      </c>
      <c r="F173" t="s">
        <v>113</v>
      </c>
      <c r="G173">
        <v>3.6063384570627799E-2</v>
      </c>
      <c r="H173">
        <v>3E+20</v>
      </c>
      <c r="I173">
        <v>0</v>
      </c>
      <c r="J173">
        <v>1</v>
      </c>
      <c r="K173">
        <v>0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10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3.6074566243937005E-2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6.6761681626785268E-5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4.7758430005935684E-5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3.5941735992799297E-2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3.6177689828441002E-2</v>
      </c>
      <c r="U173">
        <f>IF((ContinuousStatsTable[[#This Row],[RepsRequested]]&gt;1),ContinuousStatsTable[[#This Row],[HalfWidth]],ContinuousStatsTable[[#This Row],[BatchMeansHalfWidth]])</f>
        <v>4.7758430005935684E-5</v>
      </c>
    </row>
    <row r="174" spans="1:21" x14ac:dyDescent="0.25">
      <c r="A174" t="s">
        <v>67</v>
      </c>
      <c r="B174" t="s">
        <v>243</v>
      </c>
      <c r="C174">
        <v>3</v>
      </c>
      <c r="D174" t="s">
        <v>111</v>
      </c>
      <c r="E174" t="s">
        <v>115</v>
      </c>
      <c r="F174" t="s">
        <v>113</v>
      </c>
      <c r="G174">
        <v>0.476190476190476</v>
      </c>
      <c r="H174">
        <v>2E+20</v>
      </c>
      <c r="I174">
        <v>0</v>
      </c>
      <c r="J174">
        <v>1</v>
      </c>
      <c r="K174">
        <v>0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10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0.476190476190476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0.476190476190476</v>
      </c>
      <c r="U174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67</v>
      </c>
      <c r="B175" t="s">
        <v>243</v>
      </c>
      <c r="C175">
        <v>3</v>
      </c>
      <c r="D175" t="s">
        <v>70</v>
      </c>
      <c r="E175" t="s">
        <v>116</v>
      </c>
      <c r="F175" t="s">
        <v>71</v>
      </c>
      <c r="G175">
        <v>2.2669188890291099</v>
      </c>
      <c r="H175">
        <v>3E+20</v>
      </c>
      <c r="I175">
        <v>0</v>
      </c>
      <c r="J175">
        <v>5</v>
      </c>
      <c r="K175">
        <v>1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10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1.983224619189873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0.29990249131557767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0.21453731828040576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1.4478959937017499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2.3267973127516899</v>
      </c>
      <c r="U175">
        <f>IF((ContinuousStatsTable[[#This Row],[RepsRequested]]&gt;1),ContinuousStatsTable[[#This Row],[HalfWidth]],ContinuousStatsTable[[#This Row],[BatchMeansHalfWidth]])</f>
        <v>0.21453731828040576</v>
      </c>
    </row>
    <row r="176" spans="1:21" x14ac:dyDescent="0.25">
      <c r="A176" t="s">
        <v>67</v>
      </c>
      <c r="B176" t="s">
        <v>243</v>
      </c>
      <c r="C176">
        <v>3</v>
      </c>
      <c r="D176" t="s">
        <v>73</v>
      </c>
      <c r="E176" t="s">
        <v>116</v>
      </c>
      <c r="F176" t="s">
        <v>71</v>
      </c>
      <c r="G176">
        <v>0.589262057305041</v>
      </c>
      <c r="H176">
        <v>3E+20</v>
      </c>
      <c r="I176">
        <v>0</v>
      </c>
      <c r="J176">
        <v>2</v>
      </c>
      <c r="K176">
        <v>1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10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0.47900820660242172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0.13717282935395095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9.8127530789884315E-2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0.25584390949740998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0.66613303676888702</v>
      </c>
      <c r="U176">
        <f>IF((ContinuousStatsTable[[#This Row],[RepsRequested]]&gt;1),ContinuousStatsTable[[#This Row],[HalfWidth]],ContinuousStatsTable[[#This Row],[BatchMeansHalfWidth]])</f>
        <v>9.8127530789884315E-2</v>
      </c>
    </row>
    <row r="177" spans="1:21" x14ac:dyDescent="0.25">
      <c r="A177" t="s">
        <v>67</v>
      </c>
      <c r="B177" t="s">
        <v>243</v>
      </c>
      <c r="C177">
        <v>3</v>
      </c>
      <c r="D177" t="s">
        <v>74</v>
      </c>
      <c r="E177" t="s">
        <v>116</v>
      </c>
      <c r="F177" t="s">
        <v>71</v>
      </c>
      <c r="G177">
        <v>0.27368997502085401</v>
      </c>
      <c r="H177">
        <v>3E+20</v>
      </c>
      <c r="I177">
        <v>0</v>
      </c>
      <c r="J177">
        <v>2</v>
      </c>
      <c r="K177">
        <v>0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10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0.41775820490048837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0.15099462697666188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0.1080150491722195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0.25632285648643699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0.68422762922173497</v>
      </c>
      <c r="U177">
        <f>IF((ContinuousStatsTable[[#This Row],[RepsRequested]]&gt;1),ContinuousStatsTable[[#This Row],[HalfWidth]],ContinuousStatsTable[[#This Row],[BatchMeansHalfWidth]])</f>
        <v>0.1080150491722195</v>
      </c>
    </row>
    <row r="178" spans="1:21" x14ac:dyDescent="0.25">
      <c r="A178" t="s">
        <v>67</v>
      </c>
      <c r="B178" t="s">
        <v>243</v>
      </c>
      <c r="C178">
        <v>3</v>
      </c>
      <c r="D178" t="s">
        <v>75</v>
      </c>
      <c r="E178" t="s">
        <v>117</v>
      </c>
      <c r="F178" t="s">
        <v>76</v>
      </c>
      <c r="G178">
        <v>20.600999845701899</v>
      </c>
      <c r="H178">
        <v>2E+20</v>
      </c>
      <c r="I178">
        <v>0</v>
      </c>
      <c r="J178">
        <v>125</v>
      </c>
      <c r="K178">
        <v>0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10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17.583529006307167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4.1660214616007023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2.9801922229780646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10.842462759184199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25.8699848535447</v>
      </c>
      <c r="U178">
        <f>IF((ContinuousStatsTable[[#This Row],[RepsRequested]]&gt;1),ContinuousStatsTable[[#This Row],[HalfWidth]],ContinuousStatsTable[[#This Row],[BatchMeansHalfWidth]])</f>
        <v>2.9801922229780646</v>
      </c>
    </row>
    <row r="179" spans="1:21" x14ac:dyDescent="0.25">
      <c r="A179" t="s">
        <v>67</v>
      </c>
      <c r="B179" t="s">
        <v>243</v>
      </c>
      <c r="C179">
        <v>3</v>
      </c>
      <c r="D179" t="s">
        <v>118</v>
      </c>
      <c r="E179" t="s">
        <v>117</v>
      </c>
      <c r="F179" t="s">
        <v>76</v>
      </c>
      <c r="G179">
        <v>95.351611551607903</v>
      </c>
      <c r="H179">
        <v>3E+20</v>
      </c>
      <c r="I179">
        <v>0</v>
      </c>
      <c r="J179">
        <v>173</v>
      </c>
      <c r="K179">
        <v>173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10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95.041511376368575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6.556289254191463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4.6900867955271215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81.860988802888798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104.034812219697</v>
      </c>
      <c r="U179">
        <f>IF((ContinuousStatsTable[[#This Row],[RepsRequested]]&gt;1),ContinuousStatsTable[[#This Row],[HalfWidth]],ContinuousStatsTable[[#This Row],[BatchMeansHalfWidth]])</f>
        <v>4.6900867955271215</v>
      </c>
    </row>
    <row r="180" spans="1:21" x14ac:dyDescent="0.25">
      <c r="A180" t="s">
        <v>67</v>
      </c>
      <c r="B180" t="s">
        <v>243</v>
      </c>
      <c r="C180">
        <v>3</v>
      </c>
      <c r="D180" t="s">
        <v>119</v>
      </c>
      <c r="E180" t="s">
        <v>117</v>
      </c>
      <c r="F180" t="s">
        <v>76</v>
      </c>
      <c r="G180">
        <v>986.61029939527498</v>
      </c>
      <c r="H180">
        <v>3E+20</v>
      </c>
      <c r="I180">
        <v>0</v>
      </c>
      <c r="J180">
        <v>1892</v>
      </c>
      <c r="K180">
        <v>1892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10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959.25249800465133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16.228386811509871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11.609088578376843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935.21729677519602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986.61029939527498</v>
      </c>
      <c r="U180">
        <f>IF((ContinuousStatsTable[[#This Row],[RepsRequested]]&gt;1),ContinuousStatsTable[[#This Row],[HalfWidth]],ContinuousStatsTable[[#This Row],[BatchMeansHalfWidth]])</f>
        <v>11.609088578376843</v>
      </c>
    </row>
    <row r="181" spans="1:21" x14ac:dyDescent="0.25">
      <c r="A181" t="s">
        <v>67</v>
      </c>
      <c r="B181" t="s">
        <v>243</v>
      </c>
      <c r="C181">
        <v>3</v>
      </c>
      <c r="D181" t="s">
        <v>120</v>
      </c>
      <c r="E181" t="s">
        <v>117</v>
      </c>
      <c r="F181" t="s">
        <v>76</v>
      </c>
      <c r="G181">
        <v>4233.0569788620896</v>
      </c>
      <c r="H181">
        <v>3E+20</v>
      </c>
      <c r="I181">
        <v>0</v>
      </c>
      <c r="J181">
        <v>8157</v>
      </c>
      <c r="K181">
        <v>8157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10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4203.5615331875215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17.695322227060075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12.658470958503626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4170.1494074333395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4233.0569788620896</v>
      </c>
      <c r="U181">
        <f>IF((ContinuousStatsTable[[#This Row],[RepsRequested]]&gt;1),ContinuousStatsTable[[#This Row],[HalfWidth]],ContinuousStatsTable[[#This Row],[BatchMeansHalfWidth]])</f>
        <v>12.658470958503626</v>
      </c>
    </row>
    <row r="182" spans="1:21" x14ac:dyDescent="0.25">
      <c r="A182" t="s">
        <v>67</v>
      </c>
      <c r="B182" t="s">
        <v>243</v>
      </c>
      <c r="C182">
        <v>3</v>
      </c>
      <c r="D182" t="s">
        <v>121</v>
      </c>
      <c r="E182" t="s">
        <v>112</v>
      </c>
      <c r="F182" t="s">
        <v>113</v>
      </c>
      <c r="G182">
        <v>0.50190078290792095</v>
      </c>
      <c r="H182">
        <v>3E+20</v>
      </c>
      <c r="I182">
        <v>0</v>
      </c>
      <c r="J182">
        <v>1</v>
      </c>
      <c r="K182">
        <v>1</v>
      </c>
      <c r="L182">
        <v>0</v>
      </c>
      <c r="M182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182" cm="1">
        <f t="array" ref="N182">MAX(IF((ProjectInfoTable[ProjectName]=ContinuousStatsTable[[#This Row],[ProjectName]]),(ProjectInfoTable[ProjectName]=ContinuousStatsTable[[#This Row],[ProjectName]])*ProjectInfoTable[NumberOfReplications]))</f>
        <v>10</v>
      </c>
      <c r="O182" cm="1">
        <f t="array" ref="O182">IFERROR(AVERAGE(IF((ContinuousStatsTable[GroupByKey]=ContinuousStatsTable[[#This Row],[GroupByKey]]),(ContinuousStatsTable[GroupByKey]=ContinuousStatsTable[[#This Row],[GroupByKey]])*ContinuousStatsTable[Average])),0)</f>
        <v>0.48160620907873086</v>
      </c>
      <c r="P182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8.6686321722355061E-2</v>
      </c>
      <c r="Q182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6.2011658897281531E-2</v>
      </c>
      <c r="S182" cm="1">
        <f t="array" ref="S182">MIN(IF((ContinuousStatsTable[GroupByKey]=ContinuousStatsTable[[#This Row],[GroupByKey]]),(ContinuousStatsTable[GroupByKey]=ContinuousStatsTable[[#This Row],[GroupByKey]])*ContinuousStatsTable[Average]))</f>
        <v>0.292184201252493</v>
      </c>
      <c r="T182" cm="1">
        <f t="array" ref="T182">MAX(IF((ContinuousStatsTable[GroupByKey]=ContinuousStatsTable[[#This Row],[GroupByKey]]),(ContinuousStatsTable[GroupByKey]=ContinuousStatsTable[[#This Row],[GroupByKey]])*ContinuousStatsTable[Average]))</f>
        <v>0.57167989674475905</v>
      </c>
      <c r="U182">
        <f>IF((ContinuousStatsTable[[#This Row],[RepsRequested]]&gt;1),ContinuousStatsTable[[#This Row],[HalfWidth]],ContinuousStatsTable[[#This Row],[BatchMeansHalfWidth]])</f>
        <v>6.2011658897281531E-2</v>
      </c>
    </row>
    <row r="183" spans="1:21" x14ac:dyDescent="0.25">
      <c r="A183" t="s">
        <v>67</v>
      </c>
      <c r="B183" t="s">
        <v>243</v>
      </c>
      <c r="C183">
        <v>3</v>
      </c>
      <c r="D183" t="s">
        <v>121</v>
      </c>
      <c r="E183" t="s">
        <v>114</v>
      </c>
      <c r="F183" t="s">
        <v>113</v>
      </c>
      <c r="G183">
        <v>2.0076031316316798</v>
      </c>
      <c r="H183">
        <v>3E+20</v>
      </c>
      <c r="I183">
        <v>0</v>
      </c>
      <c r="J183">
        <v>4</v>
      </c>
      <c r="K183">
        <v>4</v>
      </c>
      <c r="L183">
        <v>0</v>
      </c>
      <c r="M183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183" cm="1">
        <f t="array" ref="N183">MAX(IF((ProjectInfoTable[ProjectName]=ContinuousStatsTable[[#This Row],[ProjectName]]),(ProjectInfoTable[ProjectName]=ContinuousStatsTable[[#This Row],[ProjectName]])*ProjectInfoTable[NumberOfReplications]))</f>
        <v>10</v>
      </c>
      <c r="O183" cm="1">
        <f t="array" ref="O183">IFERROR(AVERAGE(IF((ContinuousStatsTable[GroupByKey]=ContinuousStatsTable[[#This Row],[GroupByKey]]),(ContinuousStatsTable[GroupByKey]=ContinuousStatsTable[[#This Row],[GroupByKey]])*ContinuousStatsTable[Average])),0)</f>
        <v>1.9264248363149217</v>
      </c>
      <c r="P183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0.34674528688941914</v>
      </c>
      <c r="Q183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0.24804663558912532</v>
      </c>
      <c r="S183" cm="1">
        <f t="array" ref="S183">MIN(IF((ContinuousStatsTable[GroupByKey]=ContinuousStatsTable[[#This Row],[GroupByKey]]),(ContinuousStatsTable[GroupByKey]=ContinuousStatsTable[[#This Row],[GroupByKey]])*ContinuousStatsTable[Average]))</f>
        <v>1.16873680500997</v>
      </c>
      <c r="T183" cm="1">
        <f t="array" ref="T183">MAX(IF((ContinuousStatsTable[GroupByKey]=ContinuousStatsTable[[#This Row],[GroupByKey]]),(ContinuousStatsTable[GroupByKey]=ContinuousStatsTable[[#This Row],[GroupByKey]])*ContinuousStatsTable[Average]))</f>
        <v>2.28671958697903</v>
      </c>
      <c r="U183">
        <f>IF((ContinuousStatsTable[[#This Row],[RepsRequested]]&gt;1),ContinuousStatsTable[[#This Row],[HalfWidth]],ContinuousStatsTable[[#This Row],[BatchMeansHalfWidth]])</f>
        <v>0.24804663558912532</v>
      </c>
    </row>
    <row r="184" spans="1:21" x14ac:dyDescent="0.25">
      <c r="A184" t="s">
        <v>67</v>
      </c>
      <c r="B184" t="s">
        <v>243</v>
      </c>
      <c r="C184">
        <v>3</v>
      </c>
      <c r="D184" t="s">
        <v>121</v>
      </c>
      <c r="E184" t="s">
        <v>115</v>
      </c>
      <c r="F184" t="s">
        <v>113</v>
      </c>
      <c r="G184">
        <v>4</v>
      </c>
      <c r="H184">
        <v>2E+20</v>
      </c>
      <c r="I184">
        <v>4</v>
      </c>
      <c r="J184">
        <v>4</v>
      </c>
      <c r="K184">
        <v>4</v>
      </c>
      <c r="L184">
        <v>0</v>
      </c>
      <c r="M184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184" cm="1">
        <f t="array" ref="N184">MAX(IF((ProjectInfoTable[ProjectName]=ContinuousStatsTable[[#This Row],[ProjectName]]),(ProjectInfoTable[ProjectName]=ContinuousStatsTable[[#This Row],[ProjectName]])*ProjectInfoTable[NumberOfReplications]))</f>
        <v>10</v>
      </c>
      <c r="O184" cm="1">
        <f t="array" ref="O184">IFERROR(AVERAGE(IF((ContinuousStatsTable[GroupByKey]=ContinuousStatsTable[[#This Row],[GroupByKey]]),(ContinuousStatsTable[GroupByKey]=ContinuousStatsTable[[#This Row],[GroupByKey]])*ContinuousStatsTable[Average])),0)</f>
        <v>4</v>
      </c>
      <c r="P184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</v>
      </c>
      <c r="Q184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4" cm="1">
        <f t="array" ref="S184">MIN(IF((ContinuousStatsTable[GroupByKey]=ContinuousStatsTable[[#This Row],[GroupByKey]]),(ContinuousStatsTable[GroupByKey]=ContinuousStatsTable[[#This Row],[GroupByKey]])*ContinuousStatsTable[Average]))</f>
        <v>4</v>
      </c>
      <c r="T184" cm="1">
        <f t="array" ref="T184">MAX(IF((ContinuousStatsTable[GroupByKey]=ContinuousStatsTable[[#This Row],[GroupByKey]]),(ContinuousStatsTable[GroupByKey]=ContinuousStatsTable[[#This Row],[GroupByKey]])*ContinuousStatsTable[Average]))</f>
        <v>4</v>
      </c>
      <c r="U184">
        <f>IF((ContinuousStatsTable[[#This Row],[RepsRequested]]&gt;1),ContinuousStatsTable[[#This Row],[HalfWidth]],ContinuousStatsTable[[#This Row],[BatchMeansHalfWidth]])</f>
        <v>0</v>
      </c>
    </row>
    <row r="185" spans="1:21" x14ac:dyDescent="0.25">
      <c r="A185" t="s">
        <v>67</v>
      </c>
      <c r="B185" t="s">
        <v>243</v>
      </c>
      <c r="C185">
        <v>3</v>
      </c>
      <c r="D185" t="s">
        <v>122</v>
      </c>
      <c r="E185" t="s">
        <v>112</v>
      </c>
      <c r="F185" t="s">
        <v>113</v>
      </c>
      <c r="G185">
        <v>0.236690589187664</v>
      </c>
      <c r="H185">
        <v>3E+20</v>
      </c>
      <c r="I185">
        <v>0</v>
      </c>
      <c r="J185">
        <v>1</v>
      </c>
      <c r="K185">
        <v>0</v>
      </c>
      <c r="L185">
        <v>0</v>
      </c>
      <c r="M185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185" cm="1">
        <f t="array" ref="N185">MAX(IF((ProjectInfoTable[ProjectName]=ContinuousStatsTable[[#This Row],[ProjectName]]),(ProjectInfoTable[ProjectName]=ContinuousStatsTable[[#This Row],[ProjectName]])*ProjectInfoTable[NumberOfReplications]))</f>
        <v>10</v>
      </c>
      <c r="O185" cm="1">
        <f t="array" ref="O185">IFERROR(AVERAGE(IF((ContinuousStatsTable[GroupByKey]=ContinuousStatsTable[[#This Row],[GroupByKey]]),(ContinuousStatsTable[GroupByKey]=ContinuousStatsTable[[#This Row],[GroupByKey]])*ContinuousStatsTable[Average])),0)</f>
        <v>0.25269289312392118</v>
      </c>
      <c r="P18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4.9214010083081669E-2</v>
      </c>
      <c r="Q18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3.5205581983442397E-2</v>
      </c>
      <c r="S185" cm="1">
        <f t="array" ref="S185">MIN(IF((ContinuousStatsTable[GroupByKey]=ContinuousStatsTable[[#This Row],[GroupByKey]]),(ContinuousStatsTable[GroupByKey]=ContinuousStatsTable[[#This Row],[GroupByKey]])*ContinuousStatsTable[Average]))</f>
        <v>0.20500025225945401</v>
      </c>
      <c r="T185" cm="1">
        <f t="array" ref="T185">MAX(IF((ContinuousStatsTable[GroupByKey]=ContinuousStatsTable[[#This Row],[GroupByKey]]),(ContinuousStatsTable[GroupByKey]=ContinuousStatsTable[[#This Row],[GroupByKey]])*ContinuousStatsTable[Average]))</f>
        <v>0.33570777662711199</v>
      </c>
      <c r="U185">
        <f>IF((ContinuousStatsTable[[#This Row],[RepsRequested]]&gt;1),ContinuousStatsTable[[#This Row],[HalfWidth]],ContinuousStatsTable[[#This Row],[BatchMeansHalfWidth]])</f>
        <v>3.5205581983442397E-2</v>
      </c>
    </row>
    <row r="186" spans="1:21" x14ac:dyDescent="0.25">
      <c r="A186" t="s">
        <v>67</v>
      </c>
      <c r="B186" t="s">
        <v>243</v>
      </c>
      <c r="C186">
        <v>3</v>
      </c>
      <c r="D186" t="s">
        <v>122</v>
      </c>
      <c r="E186" t="s">
        <v>114</v>
      </c>
      <c r="F186" t="s">
        <v>113</v>
      </c>
      <c r="G186">
        <v>0.71007176756298396</v>
      </c>
      <c r="H186">
        <v>3E+20</v>
      </c>
      <c r="I186">
        <v>0</v>
      </c>
      <c r="J186">
        <v>3</v>
      </c>
      <c r="K186">
        <v>0</v>
      </c>
      <c r="L186">
        <v>0</v>
      </c>
      <c r="M186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186" cm="1">
        <f t="array" ref="N186">MAX(IF((ProjectInfoTable[ProjectName]=ContinuousStatsTable[[#This Row],[ProjectName]]),(ProjectInfoTable[ProjectName]=ContinuousStatsTable[[#This Row],[ProjectName]])*ProjectInfoTable[NumberOfReplications]))</f>
        <v>10</v>
      </c>
      <c r="O186" cm="1">
        <f t="array" ref="O186">IFERROR(AVERAGE(IF((ContinuousStatsTable[GroupByKey]=ContinuousStatsTable[[#This Row],[GroupByKey]]),(ContinuousStatsTable[GroupByKey]=ContinuousStatsTable[[#This Row],[GroupByKey]])*ContinuousStatsTable[Average])),0)</f>
        <v>0.75807867937176476</v>
      </c>
      <c r="P186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0.14764203024924766</v>
      </c>
      <c r="Q186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0.10561674595032908</v>
      </c>
      <c r="S186" cm="1">
        <f t="array" ref="S186">MIN(IF((ContinuousStatsTable[GroupByKey]=ContinuousStatsTable[[#This Row],[GroupByKey]]),(ContinuousStatsTable[GroupByKey]=ContinuousStatsTable[[#This Row],[GroupByKey]])*ContinuousStatsTable[Average]))</f>
        <v>0.61500075677836796</v>
      </c>
      <c r="T186" cm="1">
        <f t="array" ref="T186">MAX(IF((ContinuousStatsTable[GroupByKey]=ContinuousStatsTable[[#This Row],[GroupByKey]]),(ContinuousStatsTable[GroupByKey]=ContinuousStatsTable[[#This Row],[GroupByKey]])*ContinuousStatsTable[Average]))</f>
        <v>1.00712332988134</v>
      </c>
      <c r="U186">
        <f>IF((ContinuousStatsTable[[#This Row],[RepsRequested]]&gt;1),ContinuousStatsTable[[#This Row],[HalfWidth]],ContinuousStatsTable[[#This Row],[BatchMeansHalfWidth]])</f>
        <v>0.10561674595032908</v>
      </c>
    </row>
    <row r="187" spans="1:21" x14ac:dyDescent="0.25">
      <c r="A187" t="s">
        <v>67</v>
      </c>
      <c r="B187" t="s">
        <v>243</v>
      </c>
      <c r="C187">
        <v>3</v>
      </c>
      <c r="D187" t="s">
        <v>122</v>
      </c>
      <c r="E187" t="s">
        <v>115</v>
      </c>
      <c r="F187" t="s">
        <v>113</v>
      </c>
      <c r="G187">
        <v>3</v>
      </c>
      <c r="H187">
        <v>2E+20</v>
      </c>
      <c r="I187">
        <v>3</v>
      </c>
      <c r="J187">
        <v>3</v>
      </c>
      <c r="K187">
        <v>3</v>
      </c>
      <c r="L187">
        <v>0</v>
      </c>
      <c r="M187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187" cm="1">
        <f t="array" ref="N187">MAX(IF((ProjectInfoTable[ProjectName]=ContinuousStatsTable[[#This Row],[ProjectName]]),(ProjectInfoTable[ProjectName]=ContinuousStatsTable[[#This Row],[ProjectName]])*ProjectInfoTable[NumberOfReplications]))</f>
        <v>10</v>
      </c>
      <c r="O187" cm="1">
        <f t="array" ref="O187">IFERROR(AVERAGE(IF((ContinuousStatsTable[GroupByKey]=ContinuousStatsTable[[#This Row],[GroupByKey]]),(ContinuousStatsTable[GroupByKey]=ContinuousStatsTable[[#This Row],[GroupByKey]])*ContinuousStatsTable[Average])),0)</f>
        <v>3</v>
      </c>
      <c r="P187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cm="1">
        <f t="array" ref="S187">MIN(IF((ContinuousStatsTable[GroupByKey]=ContinuousStatsTable[[#This Row],[GroupByKey]]),(ContinuousStatsTable[GroupByKey]=ContinuousStatsTable[[#This Row],[GroupByKey]])*ContinuousStatsTable[Average]))</f>
        <v>3</v>
      </c>
      <c r="T187" cm="1">
        <f t="array" ref="T187">MAX(IF((ContinuousStatsTable[GroupByKey]=ContinuousStatsTable[[#This Row],[GroupByKey]]),(ContinuousStatsTable[GroupByKey]=ContinuousStatsTable[[#This Row],[GroupByKey]])*ContinuousStatsTable[Average]))</f>
        <v>3</v>
      </c>
      <c r="U187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67</v>
      </c>
      <c r="B188" t="s">
        <v>243</v>
      </c>
      <c r="C188">
        <v>3</v>
      </c>
      <c r="D188" t="s">
        <v>123</v>
      </c>
      <c r="E188" t="s">
        <v>112</v>
      </c>
      <c r="F188" t="s">
        <v>113</v>
      </c>
      <c r="G188">
        <v>0.15163652090183999</v>
      </c>
      <c r="H188">
        <v>3E+20</v>
      </c>
      <c r="I188">
        <v>0</v>
      </c>
      <c r="J188">
        <v>0.66666666666666696</v>
      </c>
      <c r="K188">
        <v>0</v>
      </c>
      <c r="L188">
        <v>0</v>
      </c>
      <c r="M188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188" cm="1">
        <f t="array" ref="N188">MAX(IF((ProjectInfoTable[ProjectName]=ContinuousStatsTable[[#This Row],[ProjectName]]),(ProjectInfoTable[ProjectName]=ContinuousStatsTable[[#This Row],[ProjectName]])*ProjectInfoTable[NumberOfReplications]))</f>
        <v>10</v>
      </c>
      <c r="O188" cm="1">
        <f t="array" ref="O188">IFERROR(AVERAGE(IF((ContinuousStatsTable[GroupByKey]=ContinuousStatsTable[[#This Row],[GroupByKey]]),(ContinuousStatsTable[GroupByKey]=ContinuousStatsTable[[#This Row],[GroupByKey]])*ContinuousStatsTable[Average])),0)</f>
        <v>0.151561654865698</v>
      </c>
      <c r="P188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1.2198256688154243E-4</v>
      </c>
      <c r="Q188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8.7261071626739862E-5</v>
      </c>
      <c r="S188" cm="1">
        <f t="array" ref="S188">MIN(IF((ContinuousStatsTable[GroupByKey]=ContinuousStatsTable[[#This Row],[GroupByKey]]),(ContinuousStatsTable[GroupByKey]=ContinuousStatsTable[[#This Row],[GroupByKey]])*ContinuousStatsTable[Average]))</f>
        <v>0.15134711042770499</v>
      </c>
      <c r="T188" cm="1">
        <f t="array" ref="T188">MAX(IF((ContinuousStatsTable[GroupByKey]=ContinuousStatsTable[[#This Row],[GroupByKey]]),(ContinuousStatsTable[GroupByKey]=ContinuousStatsTable[[#This Row],[GroupByKey]])*ContinuousStatsTable[Average]))</f>
        <v>0.15172806047441101</v>
      </c>
      <c r="U188">
        <f>IF((ContinuousStatsTable[[#This Row],[RepsRequested]]&gt;1),ContinuousStatsTable[[#This Row],[HalfWidth]],ContinuousStatsTable[[#This Row],[BatchMeansHalfWidth]])</f>
        <v>8.7261071626739862E-5</v>
      </c>
    </row>
    <row r="189" spans="1:21" x14ac:dyDescent="0.25">
      <c r="A189" t="s">
        <v>67</v>
      </c>
      <c r="B189" t="s">
        <v>243</v>
      </c>
      <c r="C189">
        <v>3</v>
      </c>
      <c r="D189" t="s">
        <v>123</v>
      </c>
      <c r="E189" t="s">
        <v>114</v>
      </c>
      <c r="F189" t="s">
        <v>113</v>
      </c>
      <c r="G189">
        <v>0.45490956270552502</v>
      </c>
      <c r="H189">
        <v>3E+20</v>
      </c>
      <c r="I189">
        <v>0</v>
      </c>
      <c r="J189">
        <v>2</v>
      </c>
      <c r="K189">
        <v>0</v>
      </c>
      <c r="L189">
        <v>0</v>
      </c>
      <c r="M189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189" cm="1">
        <f t="array" ref="N189">MAX(IF((ProjectInfoTable[ProjectName]=ContinuousStatsTable[[#This Row],[ProjectName]]),(ProjectInfoTable[ProjectName]=ContinuousStatsTable[[#This Row],[ProjectName]])*ProjectInfoTable[NumberOfReplications]))</f>
        <v>10</v>
      </c>
      <c r="O189" cm="1">
        <f t="array" ref="O189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189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189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189" cm="1">
        <f t="array" ref="S189">MIN(IF((ContinuousStatsTable[GroupByKey]=ContinuousStatsTable[[#This Row],[GroupByKey]]),(ContinuousStatsTable[GroupByKey]=ContinuousStatsTable[[#This Row],[GroupByKey]])*ContinuousStatsTable[Average]))</f>
        <v>0.45404133128311103</v>
      </c>
      <c r="T189" cm="1">
        <f t="array" ref="T189">MAX(IF((ContinuousStatsTable[GroupByKey]=ContinuousStatsTable[[#This Row],[GroupByKey]]),(ContinuousStatsTable[GroupByKey]=ContinuousStatsTable[[#This Row],[GroupByKey]])*ContinuousStatsTable[Average]))</f>
        <v>0.45518418142323402</v>
      </c>
      <c r="U189">
        <f>IF((ContinuousStatsTable[[#This Row],[RepsRequested]]&gt;1),ContinuousStatsTable[[#This Row],[HalfWidth]],ContinuousStatsTable[[#This Row],[BatchMeansHalfWidth]])</f>
        <v>2.6178321488092363E-4</v>
      </c>
    </row>
    <row r="190" spans="1:21" x14ac:dyDescent="0.25">
      <c r="A190" t="s">
        <v>67</v>
      </c>
      <c r="B190" t="s">
        <v>243</v>
      </c>
      <c r="C190">
        <v>3</v>
      </c>
      <c r="D190" t="s">
        <v>123</v>
      </c>
      <c r="E190" t="s">
        <v>115</v>
      </c>
      <c r="F190" t="s">
        <v>113</v>
      </c>
      <c r="G190">
        <v>3</v>
      </c>
      <c r="H190">
        <v>2E+20</v>
      </c>
      <c r="I190">
        <v>3</v>
      </c>
      <c r="J190">
        <v>3</v>
      </c>
      <c r="K190">
        <v>3</v>
      </c>
      <c r="L190">
        <v>0</v>
      </c>
      <c r="M190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190" cm="1">
        <f t="array" ref="N190">MAX(IF((ProjectInfoTable[ProjectName]=ContinuousStatsTable[[#This Row],[ProjectName]]),(ProjectInfoTable[ProjectName]=ContinuousStatsTable[[#This Row],[ProjectName]])*ProjectInfoTable[NumberOfReplications]))</f>
        <v>10</v>
      </c>
      <c r="O190" cm="1">
        <f t="array" ref="O190">IFERROR(AVERAGE(IF((ContinuousStatsTable[GroupByKey]=ContinuousStatsTable[[#This Row],[GroupByKey]]),(ContinuousStatsTable[GroupByKey]=ContinuousStatsTable[[#This Row],[GroupByKey]])*ContinuousStatsTable[Average])),0)</f>
        <v>3</v>
      </c>
      <c r="P190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cm="1">
        <f t="array" ref="S190">MIN(IF((ContinuousStatsTable[GroupByKey]=ContinuousStatsTable[[#This Row],[GroupByKey]]),(ContinuousStatsTable[GroupByKey]=ContinuousStatsTable[[#This Row],[GroupByKey]])*ContinuousStatsTable[Average]))</f>
        <v>3</v>
      </c>
      <c r="T190" cm="1">
        <f t="array" ref="T190">MAX(IF((ContinuousStatsTable[GroupByKey]=ContinuousStatsTable[[#This Row],[GroupByKey]]),(ContinuousStatsTable[GroupByKey]=ContinuousStatsTable[[#This Row],[GroupByKey]])*ContinuousStatsTable[Average]))</f>
        <v>3</v>
      </c>
      <c r="U190">
        <f>IF((ContinuousStatsTable[[#This Row],[RepsRequested]]&gt;1),ContinuousStatsTable[[#This Row],[HalfWidth]],ContinuousStatsTable[[#This Row],[BatchMeansHalfWidth]])</f>
        <v>0</v>
      </c>
    </row>
    <row r="191" spans="1:21" x14ac:dyDescent="0.25">
      <c r="A191" t="s">
        <v>67</v>
      </c>
      <c r="B191" t="s">
        <v>243</v>
      </c>
      <c r="C191">
        <v>3</v>
      </c>
      <c r="D191" t="s">
        <v>124</v>
      </c>
      <c r="E191" t="s">
        <v>112</v>
      </c>
      <c r="F191" t="s">
        <v>113</v>
      </c>
      <c r="G191">
        <v>0.95234157475900505</v>
      </c>
      <c r="H191">
        <v>2E+20</v>
      </c>
      <c r="I191">
        <v>0</v>
      </c>
      <c r="J191">
        <v>1</v>
      </c>
      <c r="K191">
        <v>1</v>
      </c>
      <c r="L191">
        <v>0</v>
      </c>
      <c r="M191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191" cm="1">
        <f t="array" ref="N191">MAX(IF((ProjectInfoTable[ProjectName]=ContinuousStatsTable[[#This Row],[ProjectName]]),(ProjectInfoTable[ProjectName]=ContinuousStatsTable[[#This Row],[ProjectName]])*ProjectInfoTable[NumberOfReplications]))</f>
        <v>10</v>
      </c>
      <c r="O191" cm="1">
        <f t="array" ref="O191">IFERROR(AVERAGE(IF((ContinuousStatsTable[GroupByKey]=ContinuousStatsTable[[#This Row],[GroupByKey]]),(ContinuousStatsTable[GroupByKey]=ContinuousStatsTable[[#This Row],[GroupByKey]])*ContinuousStatsTable[Average])),0)</f>
        <v>0.84558522180863771</v>
      </c>
      <c r="P191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0.11694354024491282</v>
      </c>
      <c r="Q191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8.3656369122856733E-2</v>
      </c>
      <c r="S191" cm="1">
        <f t="array" ref="S191">MIN(IF((ContinuousStatsTable[GroupByKey]=ContinuousStatsTable[[#This Row],[GroupByKey]]),(ContinuousStatsTable[GroupByKey]=ContinuousStatsTable[[#This Row],[GroupByKey]])*ContinuousStatsTable[Average]))</f>
        <v>0.625269422960122</v>
      </c>
      <c r="T191" cm="1">
        <f t="array" ref="T191">MAX(IF((ContinuousStatsTable[GroupByKey]=ContinuousStatsTable[[#This Row],[GroupByKey]]),(ContinuousStatsTable[GroupByKey]=ContinuousStatsTable[[#This Row],[GroupByKey]])*ContinuousStatsTable[Average]))</f>
        <v>0.95234896906597499</v>
      </c>
      <c r="U191">
        <f>IF((ContinuousStatsTable[[#This Row],[RepsRequested]]&gt;1),ContinuousStatsTable[[#This Row],[HalfWidth]],ContinuousStatsTable[[#This Row],[BatchMeansHalfWidth]])</f>
        <v>8.3656369122856733E-2</v>
      </c>
    </row>
    <row r="192" spans="1:21" x14ac:dyDescent="0.25">
      <c r="A192" t="s">
        <v>67</v>
      </c>
      <c r="B192" t="s">
        <v>243</v>
      </c>
      <c r="C192">
        <v>3</v>
      </c>
      <c r="D192" t="s">
        <v>124</v>
      </c>
      <c r="E192" t="s">
        <v>114</v>
      </c>
      <c r="F192" t="s">
        <v>113</v>
      </c>
      <c r="G192">
        <v>1.9046831495180101</v>
      </c>
      <c r="H192">
        <v>2E+20</v>
      </c>
      <c r="I192">
        <v>0</v>
      </c>
      <c r="J192">
        <v>2</v>
      </c>
      <c r="K192">
        <v>2</v>
      </c>
      <c r="L192">
        <v>0</v>
      </c>
      <c r="M192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192" cm="1">
        <f t="array" ref="N192">MAX(IF((ProjectInfoTable[ProjectName]=ContinuousStatsTable[[#This Row],[ProjectName]]),(ProjectInfoTable[ProjectName]=ContinuousStatsTable[[#This Row],[ProjectName]])*ProjectInfoTable[NumberOfReplications]))</f>
        <v>10</v>
      </c>
      <c r="O192" cm="1">
        <f t="array" ref="O192">IFERROR(AVERAGE(IF((ContinuousStatsTable[GroupByKey]=ContinuousStatsTable[[#This Row],[GroupByKey]]),(ContinuousStatsTable[GroupByKey]=ContinuousStatsTable[[#This Row],[GroupByKey]])*ContinuousStatsTable[Average])),0)</f>
        <v>1.6911704436172748</v>
      </c>
      <c r="P192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0.23388708048982901</v>
      </c>
      <c r="Q192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0.16731273824571591</v>
      </c>
      <c r="S192" cm="1">
        <f t="array" ref="S192">MIN(IF((ContinuousStatsTable[GroupByKey]=ContinuousStatsTable[[#This Row],[GroupByKey]]),(ContinuousStatsTable[GroupByKey]=ContinuousStatsTable[[#This Row],[GroupByKey]])*ContinuousStatsTable[Average]))</f>
        <v>1.25053884592024</v>
      </c>
      <c r="T192" cm="1">
        <f t="array" ref="T192">MAX(IF((ContinuousStatsTable[GroupByKey]=ContinuousStatsTable[[#This Row],[GroupByKey]]),(ContinuousStatsTable[GroupByKey]=ContinuousStatsTable[[#This Row],[GroupByKey]])*ContinuousStatsTable[Average]))</f>
        <v>1.90469793813195</v>
      </c>
      <c r="U192">
        <f>IF((ContinuousStatsTable[[#This Row],[RepsRequested]]&gt;1),ContinuousStatsTable[[#This Row],[HalfWidth]],ContinuousStatsTable[[#This Row],[BatchMeansHalfWidth]])</f>
        <v>0.16731273824571591</v>
      </c>
    </row>
    <row r="193" spans="1:21" x14ac:dyDescent="0.25">
      <c r="A193" t="s">
        <v>67</v>
      </c>
      <c r="B193" t="s">
        <v>243</v>
      </c>
      <c r="C193">
        <v>3</v>
      </c>
      <c r="D193" t="s">
        <v>124</v>
      </c>
      <c r="E193" t="s">
        <v>115</v>
      </c>
      <c r="F193" t="s">
        <v>113</v>
      </c>
      <c r="G193">
        <v>2</v>
      </c>
      <c r="H193">
        <v>2E+20</v>
      </c>
      <c r="I193">
        <v>2</v>
      </c>
      <c r="J193">
        <v>2</v>
      </c>
      <c r="K193">
        <v>2</v>
      </c>
      <c r="L193">
        <v>0</v>
      </c>
      <c r="M193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193" cm="1">
        <f t="array" ref="N193">MAX(IF((ProjectInfoTable[ProjectName]=ContinuousStatsTable[[#This Row],[ProjectName]]),(ProjectInfoTable[ProjectName]=ContinuousStatsTable[[#This Row],[ProjectName]])*ProjectInfoTable[NumberOfReplications]))</f>
        <v>10</v>
      </c>
      <c r="O193" cm="1">
        <f t="array" ref="O193">IFERROR(AVERAGE(IF((ContinuousStatsTable[GroupByKey]=ContinuousStatsTable[[#This Row],[GroupByKey]]),(ContinuousStatsTable[GroupByKey]=ContinuousStatsTable[[#This Row],[GroupByKey]])*ContinuousStatsTable[Average])),0)</f>
        <v>2</v>
      </c>
      <c r="P193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cm="1">
        <f t="array" ref="S193">MIN(IF((ContinuousStatsTable[GroupByKey]=ContinuousStatsTable[[#This Row],[GroupByKey]]),(ContinuousStatsTable[GroupByKey]=ContinuousStatsTable[[#This Row],[GroupByKey]])*ContinuousStatsTable[Average]))</f>
        <v>2</v>
      </c>
      <c r="T193" cm="1">
        <f t="array" ref="T193">MAX(IF((ContinuousStatsTable[GroupByKey]=ContinuousStatsTable[[#This Row],[GroupByKey]]),(ContinuousStatsTable[GroupByKey]=ContinuousStatsTable[[#This Row],[GroupByKey]])*ContinuousStatsTable[Average]))</f>
        <v>2</v>
      </c>
      <c r="U193">
        <f>IF((ContinuousStatsTable[[#This Row],[RepsRequested]]&gt;1),ContinuousStatsTable[[#This Row],[HalfWidth]],ContinuousStatsTable[[#This Row],[BatchMeansHalfWidth]])</f>
        <v>0</v>
      </c>
    </row>
    <row r="194" spans="1:21" x14ac:dyDescent="0.25">
      <c r="A194" t="s">
        <v>67</v>
      </c>
      <c r="B194" t="s">
        <v>243</v>
      </c>
      <c r="C194">
        <v>3</v>
      </c>
      <c r="D194" t="s">
        <v>125</v>
      </c>
      <c r="E194" t="s">
        <v>112</v>
      </c>
      <c r="F194" t="s">
        <v>113</v>
      </c>
      <c r="G194">
        <v>0.72639816905699495</v>
      </c>
      <c r="H194">
        <v>2E+20</v>
      </c>
      <c r="I194">
        <v>0</v>
      </c>
      <c r="J194">
        <v>1</v>
      </c>
      <c r="K194">
        <v>0.4</v>
      </c>
      <c r="L194">
        <v>0</v>
      </c>
      <c r="M194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194" cm="1">
        <f t="array" ref="N194">MAX(IF((ProjectInfoTable[ProjectName]=ContinuousStatsTable[[#This Row],[ProjectName]]),(ProjectInfoTable[ProjectName]=ContinuousStatsTable[[#This Row],[ProjectName]])*ProjectInfoTable[NumberOfReplications]))</f>
        <v>10</v>
      </c>
      <c r="O194" cm="1">
        <f t="array" ref="O194">IFERROR(AVERAGE(IF((ContinuousStatsTable[GroupByKey]=ContinuousStatsTable[[#This Row],[GroupByKey]]),(ContinuousStatsTable[GroupByKey]=ContinuousStatsTable[[#This Row],[GroupByKey]])*ContinuousStatsTable[Average])),0)</f>
        <v>0.74077431571180252</v>
      </c>
      <c r="P194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6.1280007141723249E-2</v>
      </c>
      <c r="Q194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4.3837076306763374E-2</v>
      </c>
      <c r="S194" cm="1">
        <f t="array" ref="S194">MIN(IF((ContinuousStatsTable[GroupByKey]=ContinuousStatsTable[[#This Row],[GroupByKey]]),(ContinuousStatsTable[GroupByKey]=ContinuousStatsTable[[#This Row],[GroupByKey]])*ContinuousStatsTable[Average]))</f>
        <v>0.67060354368791797</v>
      </c>
      <c r="T194" cm="1">
        <f t="array" ref="T194">MAX(IF((ContinuousStatsTable[GroupByKey]=ContinuousStatsTable[[#This Row],[GroupByKey]]),(ContinuousStatsTable[GroupByKey]=ContinuousStatsTable[[#This Row],[GroupByKey]])*ContinuousStatsTable[Average]))</f>
        <v>0.87728997349342996</v>
      </c>
      <c r="U194">
        <f>IF((ContinuousStatsTable[[#This Row],[RepsRequested]]&gt;1),ContinuousStatsTable[[#This Row],[HalfWidth]],ContinuousStatsTable[[#This Row],[BatchMeansHalfWidth]])</f>
        <v>4.3837076306763374E-2</v>
      </c>
    </row>
    <row r="195" spans="1:21" x14ac:dyDescent="0.25">
      <c r="A195" t="s">
        <v>67</v>
      </c>
      <c r="B195" t="s">
        <v>243</v>
      </c>
      <c r="C195">
        <v>3</v>
      </c>
      <c r="D195" t="s">
        <v>125</v>
      </c>
      <c r="E195" t="s">
        <v>114</v>
      </c>
      <c r="F195" t="s">
        <v>113</v>
      </c>
      <c r="G195">
        <v>3.6319908452849701</v>
      </c>
      <c r="H195">
        <v>2E+20</v>
      </c>
      <c r="I195">
        <v>0</v>
      </c>
      <c r="J195">
        <v>5</v>
      </c>
      <c r="K195">
        <v>2</v>
      </c>
      <c r="L195">
        <v>0</v>
      </c>
      <c r="M195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195" cm="1">
        <f t="array" ref="N195">MAX(IF((ProjectInfoTable[ProjectName]=ContinuousStatsTable[[#This Row],[ProjectName]]),(ProjectInfoTable[ProjectName]=ContinuousStatsTable[[#This Row],[ProjectName]])*ProjectInfoTable[NumberOfReplications]))</f>
        <v>10</v>
      </c>
      <c r="O195" cm="1">
        <f t="array" ref="O195">IFERROR(AVERAGE(IF((ContinuousStatsTable[GroupByKey]=ContinuousStatsTable[[#This Row],[GroupByKey]]),(ContinuousStatsTable[GroupByKey]=ContinuousStatsTable[[#This Row],[GroupByKey]])*ContinuousStatsTable[Average])),0)</f>
        <v>3.7038715785590122</v>
      </c>
      <c r="P19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0.30640003570861163</v>
      </c>
      <c r="Q19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0.21918538153381359</v>
      </c>
      <c r="S195" cm="1">
        <f t="array" ref="S195">MIN(IF((ContinuousStatsTable[GroupByKey]=ContinuousStatsTable[[#This Row],[GroupByKey]]),(ContinuousStatsTable[GroupByKey]=ContinuousStatsTable[[#This Row],[GroupByKey]])*ContinuousStatsTable[Average]))</f>
        <v>3.35301771843959</v>
      </c>
      <c r="T195" cm="1">
        <f t="array" ref="T195">MAX(IF((ContinuousStatsTable[GroupByKey]=ContinuousStatsTable[[#This Row],[GroupByKey]]),(ContinuousStatsTable[GroupByKey]=ContinuousStatsTable[[#This Row],[GroupByKey]])*ContinuousStatsTable[Average]))</f>
        <v>4.3864498674671397</v>
      </c>
      <c r="U195">
        <f>IF((ContinuousStatsTable[[#This Row],[RepsRequested]]&gt;1),ContinuousStatsTable[[#This Row],[HalfWidth]],ContinuousStatsTable[[#This Row],[BatchMeansHalfWidth]])</f>
        <v>0.21918538153381359</v>
      </c>
    </row>
    <row r="196" spans="1:21" x14ac:dyDescent="0.25">
      <c r="A196" t="s">
        <v>67</v>
      </c>
      <c r="B196" t="s">
        <v>243</v>
      </c>
      <c r="C196">
        <v>3</v>
      </c>
      <c r="D196" t="s">
        <v>125</v>
      </c>
      <c r="E196" t="s">
        <v>115</v>
      </c>
      <c r="F196" t="s">
        <v>113</v>
      </c>
      <c r="G196">
        <v>5</v>
      </c>
      <c r="H196">
        <v>2E+20</v>
      </c>
      <c r="I196">
        <v>5</v>
      </c>
      <c r="J196">
        <v>5</v>
      </c>
      <c r="K196">
        <v>5</v>
      </c>
      <c r="L196">
        <v>0</v>
      </c>
      <c r="M196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196" cm="1">
        <f t="array" ref="N196">MAX(IF((ProjectInfoTable[ProjectName]=ContinuousStatsTable[[#This Row],[ProjectName]]),(ProjectInfoTable[ProjectName]=ContinuousStatsTable[[#This Row],[ProjectName]])*ProjectInfoTable[NumberOfReplications]))</f>
        <v>10</v>
      </c>
      <c r="O196" cm="1">
        <f t="array" ref="O196">IFERROR(AVERAGE(IF((ContinuousStatsTable[GroupByKey]=ContinuousStatsTable[[#This Row],[GroupByKey]]),(ContinuousStatsTable[GroupByKey]=ContinuousStatsTable[[#This Row],[GroupByKey]])*ContinuousStatsTable[Average])),0)</f>
        <v>5</v>
      </c>
      <c r="P196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cm="1">
        <f t="array" ref="S196">MIN(IF((ContinuousStatsTable[GroupByKey]=ContinuousStatsTable[[#This Row],[GroupByKey]]),(ContinuousStatsTable[GroupByKey]=ContinuousStatsTable[[#This Row],[GroupByKey]])*ContinuousStatsTable[Average]))</f>
        <v>5</v>
      </c>
      <c r="T196" cm="1">
        <f t="array" ref="T196">MAX(IF((ContinuousStatsTable[GroupByKey]=ContinuousStatsTable[[#This Row],[GroupByKey]]),(ContinuousStatsTable[GroupByKey]=ContinuousStatsTable[[#This Row],[GroupByKey]])*ContinuousStatsTable[Average]))</f>
        <v>5</v>
      </c>
      <c r="U196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67</v>
      </c>
      <c r="B197" t="s">
        <v>243</v>
      </c>
      <c r="C197">
        <v>3</v>
      </c>
      <c r="D197" t="s">
        <v>126</v>
      </c>
      <c r="E197" t="s">
        <v>112</v>
      </c>
      <c r="F197" t="s">
        <v>113</v>
      </c>
      <c r="G197">
        <v>0.55422379995112203</v>
      </c>
      <c r="H197">
        <v>3E+20</v>
      </c>
      <c r="I197">
        <v>0</v>
      </c>
      <c r="J197">
        <v>1</v>
      </c>
      <c r="K197">
        <v>1</v>
      </c>
      <c r="L197">
        <v>0</v>
      </c>
      <c r="M197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197" cm="1">
        <f t="array" ref="N197">MAX(IF((ProjectInfoTable[ProjectName]=ContinuousStatsTable[[#This Row],[ProjectName]]),(ProjectInfoTable[ProjectName]=ContinuousStatsTable[[#This Row],[ProjectName]])*ProjectInfoTable[NumberOfReplications]))</f>
        <v>10</v>
      </c>
      <c r="O197" cm="1">
        <f t="array" ref="O197">IFERROR(AVERAGE(IF((ContinuousStatsTable[GroupByKey]=ContinuousStatsTable[[#This Row],[GroupByKey]]),(ContinuousStatsTable[GroupByKey]=ContinuousStatsTable[[#This Row],[GroupByKey]])*ContinuousStatsTable[Average])),0)</f>
        <v>0.52391445815006699</v>
      </c>
      <c r="P197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7.0460308415606909E-2</v>
      </c>
      <c r="Q197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5.0404268221927347E-2</v>
      </c>
      <c r="S197" cm="1">
        <f t="array" ref="S197">MIN(IF((ContinuousStatsTable[GroupByKey]=ContinuousStatsTable[[#This Row],[GroupByKey]]),(ContinuousStatsTable[GroupByKey]=ContinuousStatsTable[[#This Row],[GroupByKey]])*ContinuousStatsTable[Average]))</f>
        <v>0.36555656561218303</v>
      </c>
      <c r="T197" cm="1">
        <f t="array" ref="T197">MAX(IF((ContinuousStatsTable[GroupByKey]=ContinuousStatsTable[[#This Row],[GroupByKey]]),(ContinuousStatsTable[GroupByKey]=ContinuousStatsTable[[#This Row],[GroupByKey]])*ContinuousStatsTable[Average]))</f>
        <v>0.59886206518967</v>
      </c>
      <c r="U197">
        <f>IF((ContinuousStatsTable[[#This Row],[RepsRequested]]&gt;1),ContinuousStatsTable[[#This Row],[HalfWidth]],ContinuousStatsTable[[#This Row],[BatchMeansHalfWidth]])</f>
        <v>5.0404268221927347E-2</v>
      </c>
    </row>
    <row r="198" spans="1:21" x14ac:dyDescent="0.25">
      <c r="A198" t="s">
        <v>67</v>
      </c>
      <c r="B198" t="s">
        <v>243</v>
      </c>
      <c r="C198">
        <v>3</v>
      </c>
      <c r="D198" t="s">
        <v>126</v>
      </c>
      <c r="E198" t="s">
        <v>114</v>
      </c>
      <c r="F198" t="s">
        <v>113</v>
      </c>
      <c r="G198">
        <v>2.2168951998044899</v>
      </c>
      <c r="H198">
        <v>3E+20</v>
      </c>
      <c r="I198">
        <v>0</v>
      </c>
      <c r="J198">
        <v>4</v>
      </c>
      <c r="K198">
        <v>4</v>
      </c>
      <c r="L198">
        <v>0</v>
      </c>
      <c r="M198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198" cm="1">
        <f t="array" ref="N198">MAX(IF((ProjectInfoTable[ProjectName]=ContinuousStatsTable[[#This Row],[ProjectName]]),(ProjectInfoTable[ProjectName]=ContinuousStatsTable[[#This Row],[ProjectName]])*ProjectInfoTable[NumberOfReplications]))</f>
        <v>10</v>
      </c>
      <c r="O198" cm="1">
        <f t="array" ref="O198">IFERROR(AVERAGE(IF((ContinuousStatsTable[GroupByKey]=ContinuousStatsTable[[#This Row],[GroupByKey]]),(ContinuousStatsTable[GroupByKey]=ContinuousStatsTable[[#This Row],[GroupByKey]])*ContinuousStatsTable[Average])),0)</f>
        <v>2.0956578326002671</v>
      </c>
      <c r="P198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0.28184123366242902</v>
      </c>
      <c r="Q198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0.20161707288771036</v>
      </c>
      <c r="S198" cm="1">
        <f t="array" ref="S198">MIN(IF((ContinuousStatsTable[GroupByKey]=ContinuousStatsTable[[#This Row],[GroupByKey]]),(ContinuousStatsTable[GroupByKey]=ContinuousStatsTable[[#This Row],[GroupByKey]])*ContinuousStatsTable[Average]))</f>
        <v>1.4622262624487301</v>
      </c>
      <c r="T198" cm="1">
        <f t="array" ref="T198">MAX(IF((ContinuousStatsTable[GroupByKey]=ContinuousStatsTable[[#This Row],[GroupByKey]]),(ContinuousStatsTable[GroupByKey]=ContinuousStatsTable[[#This Row],[GroupByKey]])*ContinuousStatsTable[Average]))</f>
        <v>2.39544826075868</v>
      </c>
      <c r="U198">
        <f>IF((ContinuousStatsTable[[#This Row],[RepsRequested]]&gt;1),ContinuousStatsTable[[#This Row],[HalfWidth]],ContinuousStatsTable[[#This Row],[BatchMeansHalfWidth]])</f>
        <v>0.20161707288771036</v>
      </c>
    </row>
    <row r="199" spans="1:21" x14ac:dyDescent="0.25">
      <c r="A199" t="s">
        <v>67</v>
      </c>
      <c r="B199" t="s">
        <v>243</v>
      </c>
      <c r="C199">
        <v>3</v>
      </c>
      <c r="D199" t="s">
        <v>126</v>
      </c>
      <c r="E199" t="s">
        <v>115</v>
      </c>
      <c r="F199" t="s">
        <v>113</v>
      </c>
      <c r="G199">
        <v>4</v>
      </c>
      <c r="H199">
        <v>2E+20</v>
      </c>
      <c r="I199">
        <v>4</v>
      </c>
      <c r="J199">
        <v>4</v>
      </c>
      <c r="K199">
        <v>4</v>
      </c>
      <c r="L199">
        <v>0</v>
      </c>
      <c r="M199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199" cm="1">
        <f t="array" ref="N199">MAX(IF((ProjectInfoTable[ProjectName]=ContinuousStatsTable[[#This Row],[ProjectName]]),(ProjectInfoTable[ProjectName]=ContinuousStatsTable[[#This Row],[ProjectName]])*ProjectInfoTable[NumberOfReplications]))</f>
        <v>10</v>
      </c>
      <c r="O199" cm="1">
        <f t="array" ref="O199">IFERROR(AVERAGE(IF((ContinuousStatsTable[GroupByKey]=ContinuousStatsTable[[#This Row],[GroupByKey]]),(ContinuousStatsTable[GroupByKey]=ContinuousStatsTable[[#This Row],[GroupByKey]])*ContinuousStatsTable[Average])),0)</f>
        <v>4</v>
      </c>
      <c r="P199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</v>
      </c>
      <c r="Q199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9" cm="1">
        <f t="array" ref="S199">MIN(IF((ContinuousStatsTable[GroupByKey]=ContinuousStatsTable[[#This Row],[GroupByKey]]),(ContinuousStatsTable[GroupByKey]=ContinuousStatsTable[[#This Row],[GroupByKey]])*ContinuousStatsTable[Average]))</f>
        <v>4</v>
      </c>
      <c r="T199" cm="1">
        <f t="array" ref="T199">MAX(IF((ContinuousStatsTable[GroupByKey]=ContinuousStatsTable[[#This Row],[GroupByKey]]),(ContinuousStatsTable[GroupByKey]=ContinuousStatsTable[[#This Row],[GroupByKey]])*ContinuousStatsTable[Average]))</f>
        <v>4</v>
      </c>
      <c r="U199">
        <f>IF((ContinuousStatsTable[[#This Row],[RepsRequested]]&gt;1),ContinuousStatsTable[[#This Row],[HalfWidth]],ContinuousStatsTable[[#This Row],[BatchMeansHalfWidth]])</f>
        <v>0</v>
      </c>
    </row>
    <row r="200" spans="1:21" x14ac:dyDescent="0.25">
      <c r="A200" t="s">
        <v>67</v>
      </c>
      <c r="B200" t="s">
        <v>243</v>
      </c>
      <c r="C200">
        <v>3</v>
      </c>
      <c r="D200" t="s">
        <v>127</v>
      </c>
      <c r="E200" t="s">
        <v>112</v>
      </c>
      <c r="F200" t="s">
        <v>113</v>
      </c>
      <c r="G200">
        <v>0.14953450424571699</v>
      </c>
      <c r="H200">
        <v>3E+20</v>
      </c>
      <c r="I200">
        <v>0</v>
      </c>
      <c r="J200">
        <v>1</v>
      </c>
      <c r="K200">
        <v>0</v>
      </c>
      <c r="L200">
        <v>0</v>
      </c>
      <c r="M200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200" cm="1">
        <f t="array" ref="N200">MAX(IF((ProjectInfoTable[ProjectName]=ContinuousStatsTable[[#This Row],[ProjectName]]),(ProjectInfoTable[ProjectName]=ContinuousStatsTable[[#This Row],[ProjectName]])*ProjectInfoTable[NumberOfReplications]))</f>
        <v>10</v>
      </c>
      <c r="O200" cm="1">
        <f t="array" ref="O200">IFERROR(AVERAGE(IF((ContinuousStatsTable[GroupByKey]=ContinuousStatsTable[[#This Row],[GroupByKey]]),(ContinuousStatsTable[GroupByKey]=ContinuousStatsTable[[#This Row],[GroupByKey]])*ContinuousStatsTable[Average])),0)</f>
        <v>0.14955853655775292</v>
      </c>
      <c r="P200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1.8487754554887928E-4</v>
      </c>
      <c r="Q200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1.3225342896729691E-4</v>
      </c>
      <c r="S200" cm="1">
        <f t="array" ref="S200">MIN(IF((ContinuousStatsTable[GroupByKey]=ContinuousStatsTable[[#This Row],[GroupByKey]]),(ContinuousStatsTable[GroupByKey]=ContinuousStatsTable[[#This Row],[GroupByKey]])*ContinuousStatsTable[Average]))</f>
        <v>0.14921189842985499</v>
      </c>
      <c r="T200" cm="1">
        <f t="array" ref="T200">MAX(IF((ContinuousStatsTable[GroupByKey]=ContinuousStatsTable[[#This Row],[GroupByKey]]),(ContinuousStatsTable[GroupByKey]=ContinuousStatsTable[[#This Row],[GroupByKey]])*ContinuousStatsTable[Average]))</f>
        <v>0.14985050053976801</v>
      </c>
      <c r="U200">
        <f>IF((ContinuousStatsTable[[#This Row],[RepsRequested]]&gt;1),ContinuousStatsTable[[#This Row],[HalfWidth]],ContinuousStatsTable[[#This Row],[BatchMeansHalfWidth]])</f>
        <v>1.3225342896729691E-4</v>
      </c>
    </row>
    <row r="201" spans="1:21" x14ac:dyDescent="0.25">
      <c r="A201" t="s">
        <v>67</v>
      </c>
      <c r="B201" t="s">
        <v>243</v>
      </c>
      <c r="C201">
        <v>3</v>
      </c>
      <c r="D201" t="s">
        <v>127</v>
      </c>
      <c r="E201" t="s">
        <v>114</v>
      </c>
      <c r="F201" t="s">
        <v>113</v>
      </c>
      <c r="G201">
        <v>0.29906900849143397</v>
      </c>
      <c r="H201">
        <v>3E+20</v>
      </c>
      <c r="I201">
        <v>0</v>
      </c>
      <c r="J201">
        <v>2</v>
      </c>
      <c r="K201">
        <v>0</v>
      </c>
      <c r="L201">
        <v>0</v>
      </c>
      <c r="M201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201" cm="1">
        <f t="array" ref="N201">MAX(IF((ProjectInfoTable[ProjectName]=ContinuousStatsTable[[#This Row],[ProjectName]]),(ProjectInfoTable[ProjectName]=ContinuousStatsTable[[#This Row],[ProjectName]])*ProjectInfoTable[NumberOfReplications]))</f>
        <v>10</v>
      </c>
      <c r="O201" cm="1">
        <f t="array" ref="O201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201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201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201" cm="1">
        <f t="array" ref="S201">MIN(IF((ContinuousStatsTable[GroupByKey]=ContinuousStatsTable[[#This Row],[GroupByKey]]),(ContinuousStatsTable[GroupByKey]=ContinuousStatsTable[[#This Row],[GroupByKey]])*ContinuousStatsTable[Average]))</f>
        <v>0.29842379685970999</v>
      </c>
      <c r="T201" cm="1">
        <f t="array" ref="T201">MAX(IF((ContinuousStatsTable[GroupByKey]=ContinuousStatsTable[[#This Row],[GroupByKey]]),(ContinuousStatsTable[GroupByKey]=ContinuousStatsTable[[#This Row],[GroupByKey]])*ContinuousStatsTable[Average]))</f>
        <v>0.29970100107953501</v>
      </c>
      <c r="U201">
        <f>IF((ContinuousStatsTable[[#This Row],[RepsRequested]]&gt;1),ContinuousStatsTable[[#This Row],[HalfWidth]],ContinuousStatsTable[[#This Row],[BatchMeansHalfWidth]])</f>
        <v>2.6450685793468105E-4</v>
      </c>
    </row>
    <row r="202" spans="1:21" x14ac:dyDescent="0.25">
      <c r="A202" t="s">
        <v>67</v>
      </c>
      <c r="B202" t="s">
        <v>243</v>
      </c>
      <c r="C202">
        <v>3</v>
      </c>
      <c r="D202" t="s">
        <v>127</v>
      </c>
      <c r="E202" t="s">
        <v>115</v>
      </c>
      <c r="F202" t="s">
        <v>113</v>
      </c>
      <c r="G202">
        <v>2</v>
      </c>
      <c r="H202">
        <v>2E+20</v>
      </c>
      <c r="I202">
        <v>2</v>
      </c>
      <c r="J202">
        <v>2</v>
      </c>
      <c r="K202">
        <v>2</v>
      </c>
      <c r="L202">
        <v>0</v>
      </c>
      <c r="M202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202" cm="1">
        <f t="array" ref="N202">MAX(IF((ProjectInfoTable[ProjectName]=ContinuousStatsTable[[#This Row],[ProjectName]]),(ProjectInfoTable[ProjectName]=ContinuousStatsTable[[#This Row],[ProjectName]])*ProjectInfoTable[NumberOfReplications]))</f>
        <v>10</v>
      </c>
      <c r="O202" cm="1">
        <f t="array" ref="O202">IFERROR(AVERAGE(IF((ContinuousStatsTable[GroupByKey]=ContinuousStatsTable[[#This Row],[GroupByKey]]),(ContinuousStatsTable[GroupByKey]=ContinuousStatsTable[[#This Row],[GroupByKey]])*ContinuousStatsTable[Average])),0)</f>
        <v>2</v>
      </c>
      <c r="P202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cm="1">
        <f t="array" ref="S202">MIN(IF((ContinuousStatsTable[GroupByKey]=ContinuousStatsTable[[#This Row],[GroupByKey]]),(ContinuousStatsTable[GroupByKey]=ContinuousStatsTable[[#This Row],[GroupByKey]])*ContinuousStatsTable[Average]))</f>
        <v>2</v>
      </c>
      <c r="T202" cm="1">
        <f t="array" ref="T202">MAX(IF((ContinuousStatsTable[GroupByKey]=ContinuousStatsTable[[#This Row],[GroupByKey]]),(ContinuousStatsTable[GroupByKey]=ContinuousStatsTable[[#This Row],[GroupByKey]])*ContinuousStatsTable[Average]))</f>
        <v>2</v>
      </c>
      <c r="U202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67</v>
      </c>
      <c r="B203" t="s">
        <v>243</v>
      </c>
      <c r="C203">
        <v>3</v>
      </c>
      <c r="D203" t="s">
        <v>128</v>
      </c>
      <c r="E203" t="s">
        <v>112</v>
      </c>
      <c r="F203" t="s">
        <v>113</v>
      </c>
      <c r="G203">
        <v>0.78659226136369698</v>
      </c>
      <c r="H203">
        <v>3E+20</v>
      </c>
      <c r="I203">
        <v>0</v>
      </c>
      <c r="J203">
        <v>1</v>
      </c>
      <c r="K203">
        <v>0.6</v>
      </c>
      <c r="L203">
        <v>0</v>
      </c>
      <c r="M203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203" cm="1">
        <f t="array" ref="N203">MAX(IF((ProjectInfoTable[ProjectName]=ContinuousStatsTable[[#This Row],[ProjectName]]),(ProjectInfoTable[ProjectName]=ContinuousStatsTable[[#This Row],[ProjectName]])*ProjectInfoTable[NumberOfReplications]))</f>
        <v>10</v>
      </c>
      <c r="O203" cm="1">
        <f t="array" ref="O203">IFERROR(AVERAGE(IF((ContinuousStatsTable[GroupByKey]=ContinuousStatsTable[[#This Row],[GroupByKey]]),(ContinuousStatsTable[GroupByKey]=ContinuousStatsTable[[#This Row],[GroupByKey]])*ContinuousStatsTable[Average])),0)</f>
        <v>0.78490250681152507</v>
      </c>
      <c r="P203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0.11345978752761832</v>
      </c>
      <c r="Q203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8.1164242557846045E-2</v>
      </c>
      <c r="S203" cm="1">
        <f t="array" ref="S203">MIN(IF((ContinuousStatsTable[GroupByKey]=ContinuousStatsTable[[#This Row],[GroupByKey]]),(ContinuousStatsTable[GroupByKey]=ContinuousStatsTable[[#This Row],[GroupByKey]])*ContinuousStatsTable[Average]))</f>
        <v>0.58338388917401696</v>
      </c>
      <c r="T203" cm="1">
        <f t="array" ref="T203">MAX(IF((ContinuousStatsTable[GroupByKey]=ContinuousStatsTable[[#This Row],[GroupByKey]]),(ContinuousStatsTable[GroupByKey]=ContinuousStatsTable[[#This Row],[GroupByKey]])*ContinuousStatsTable[Average]))</f>
        <v>0.90111632059041802</v>
      </c>
      <c r="U203">
        <f>IF((ContinuousStatsTable[[#This Row],[RepsRequested]]&gt;1),ContinuousStatsTable[[#This Row],[HalfWidth]],ContinuousStatsTable[[#This Row],[BatchMeansHalfWidth]])</f>
        <v>8.1164242557846045E-2</v>
      </c>
    </row>
    <row r="204" spans="1:21" x14ac:dyDescent="0.25">
      <c r="A204" t="s">
        <v>67</v>
      </c>
      <c r="B204" t="s">
        <v>243</v>
      </c>
      <c r="C204">
        <v>3</v>
      </c>
      <c r="D204" t="s">
        <v>128</v>
      </c>
      <c r="E204" t="s">
        <v>114</v>
      </c>
      <c r="F204" t="s">
        <v>113</v>
      </c>
      <c r="G204">
        <v>3.9329613068184699</v>
      </c>
      <c r="H204">
        <v>3E+20</v>
      </c>
      <c r="I204">
        <v>0</v>
      </c>
      <c r="J204">
        <v>5</v>
      </c>
      <c r="K204">
        <v>3</v>
      </c>
      <c r="L204">
        <v>0</v>
      </c>
      <c r="M204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204" cm="1">
        <f t="array" ref="N204">MAX(IF((ProjectInfoTable[ProjectName]=ContinuousStatsTable[[#This Row],[ProjectName]]),(ProjectInfoTable[ProjectName]=ContinuousStatsTable[[#This Row],[ProjectName]])*ProjectInfoTable[NumberOfReplications]))</f>
        <v>10</v>
      </c>
      <c r="O204" cm="1">
        <f t="array" ref="O204">IFERROR(AVERAGE(IF((ContinuousStatsTable[GroupByKey]=ContinuousStatsTable[[#This Row],[GroupByKey]]),(ContinuousStatsTable[GroupByKey]=ContinuousStatsTable[[#This Row],[GroupByKey]])*ContinuousStatsTable[Average])),0)</f>
        <v>3.9245125340576221</v>
      </c>
      <c r="P204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0.56729893763807904</v>
      </c>
      <c r="Q204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0.40582121278922129</v>
      </c>
      <c r="S204" cm="1">
        <f t="array" ref="S204">MIN(IF((ContinuousStatsTable[GroupByKey]=ContinuousStatsTable[[#This Row],[GroupByKey]]),(ContinuousStatsTable[GroupByKey]=ContinuousStatsTable[[#This Row],[GroupByKey]])*ContinuousStatsTable[Average]))</f>
        <v>2.91691944587008</v>
      </c>
      <c r="T204" cm="1">
        <f t="array" ref="T204">MAX(IF((ContinuousStatsTable[GroupByKey]=ContinuousStatsTable[[#This Row],[GroupByKey]]),(ContinuousStatsTable[GroupByKey]=ContinuousStatsTable[[#This Row],[GroupByKey]])*ContinuousStatsTable[Average]))</f>
        <v>4.5055816029520903</v>
      </c>
      <c r="U204">
        <f>IF((ContinuousStatsTable[[#This Row],[RepsRequested]]&gt;1),ContinuousStatsTable[[#This Row],[HalfWidth]],ContinuousStatsTable[[#This Row],[BatchMeansHalfWidth]])</f>
        <v>0.40582121278922129</v>
      </c>
    </row>
    <row r="205" spans="1:21" x14ac:dyDescent="0.25">
      <c r="A205" t="s">
        <v>67</v>
      </c>
      <c r="B205" t="s">
        <v>243</v>
      </c>
      <c r="C205">
        <v>3</v>
      </c>
      <c r="D205" t="s">
        <v>128</v>
      </c>
      <c r="E205" t="s">
        <v>115</v>
      </c>
      <c r="F205" t="s">
        <v>113</v>
      </c>
      <c r="G205">
        <v>5</v>
      </c>
      <c r="H205">
        <v>2E+20</v>
      </c>
      <c r="I205">
        <v>5</v>
      </c>
      <c r="J205">
        <v>5</v>
      </c>
      <c r="K205">
        <v>5</v>
      </c>
      <c r="L205">
        <v>0</v>
      </c>
      <c r="M205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205" cm="1">
        <f t="array" ref="N205">MAX(IF((ProjectInfoTable[ProjectName]=ContinuousStatsTable[[#This Row],[ProjectName]]),(ProjectInfoTable[ProjectName]=ContinuousStatsTable[[#This Row],[ProjectName]])*ProjectInfoTable[NumberOfReplications]))</f>
        <v>10</v>
      </c>
      <c r="O205" cm="1">
        <f t="array" ref="O205">IFERROR(AVERAGE(IF((ContinuousStatsTable[GroupByKey]=ContinuousStatsTable[[#This Row],[GroupByKey]]),(ContinuousStatsTable[GroupByKey]=ContinuousStatsTable[[#This Row],[GroupByKey]])*ContinuousStatsTable[Average])),0)</f>
        <v>5</v>
      </c>
      <c r="P20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cm="1">
        <f t="array" ref="S205">MIN(IF((ContinuousStatsTable[GroupByKey]=ContinuousStatsTable[[#This Row],[GroupByKey]]),(ContinuousStatsTable[GroupByKey]=ContinuousStatsTable[[#This Row],[GroupByKey]])*ContinuousStatsTable[Average]))</f>
        <v>5</v>
      </c>
      <c r="T205" cm="1">
        <f t="array" ref="T205">MAX(IF((ContinuousStatsTable[GroupByKey]=ContinuousStatsTable[[#This Row],[GroupByKey]]),(ContinuousStatsTable[GroupByKey]=ContinuousStatsTable[[#This Row],[GroupByKey]])*ContinuousStatsTable[Average]))</f>
        <v>5</v>
      </c>
      <c r="U20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67</v>
      </c>
      <c r="B206" t="s">
        <v>243</v>
      </c>
      <c r="C206">
        <v>3</v>
      </c>
      <c r="D206" t="s">
        <v>129</v>
      </c>
      <c r="E206" t="s">
        <v>112</v>
      </c>
      <c r="F206" t="s">
        <v>113</v>
      </c>
      <c r="G206">
        <v>0.15878598034017599</v>
      </c>
      <c r="H206">
        <v>2E+20</v>
      </c>
      <c r="I206">
        <v>0</v>
      </c>
      <c r="J206">
        <v>0.66666666666666696</v>
      </c>
      <c r="K206">
        <v>0</v>
      </c>
      <c r="L206">
        <v>0</v>
      </c>
      <c r="M206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206" cm="1">
        <f t="array" ref="N206">MAX(IF((ProjectInfoTable[ProjectName]=ContinuousStatsTable[[#This Row],[ProjectName]]),(ProjectInfoTable[ProjectName]=ContinuousStatsTable[[#This Row],[ProjectName]])*ProjectInfoTable[NumberOfReplications]))</f>
        <v>10</v>
      </c>
      <c r="O206" cm="1">
        <f t="array" ref="O206">IFERROR(AVERAGE(IF((ContinuousStatsTable[GroupByKey]=ContinuousStatsTable[[#This Row],[GroupByKey]]),(ContinuousStatsTable[GroupByKey]=ContinuousStatsTable[[#This Row],[GroupByKey]])*ContinuousStatsTable[Average])),0)</f>
        <v>0.15879210791146137</v>
      </c>
      <c r="P206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8.8786593845171554E-6</v>
      </c>
      <c r="Q206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6.3514103064755986E-6</v>
      </c>
      <c r="S206" cm="1">
        <f t="array" ref="S206">MIN(IF((ContinuousStatsTable[GroupByKey]=ContinuousStatsTable[[#This Row],[GroupByKey]]),(ContinuousStatsTable[GroupByKey]=ContinuousStatsTable[[#This Row],[GroupByKey]])*ContinuousStatsTable[Average]))</f>
        <v>0.15877821852350199</v>
      </c>
      <c r="T206" cm="1">
        <f t="array" ref="T206">MAX(IF((ContinuousStatsTable[GroupByKey]=ContinuousStatsTable[[#This Row],[GroupByKey]]),(ContinuousStatsTable[GroupByKey]=ContinuousStatsTable[[#This Row],[GroupByKey]])*ContinuousStatsTable[Average]))</f>
        <v>0.15880443244107401</v>
      </c>
      <c r="U206">
        <f>IF((ContinuousStatsTable[[#This Row],[RepsRequested]]&gt;1),ContinuousStatsTable[[#This Row],[HalfWidth]],ContinuousStatsTable[[#This Row],[BatchMeansHalfWidth]])</f>
        <v>6.3514103064755986E-6</v>
      </c>
    </row>
    <row r="207" spans="1:21" x14ac:dyDescent="0.25">
      <c r="A207" t="s">
        <v>67</v>
      </c>
      <c r="B207" t="s">
        <v>243</v>
      </c>
      <c r="C207">
        <v>3</v>
      </c>
      <c r="D207" t="s">
        <v>129</v>
      </c>
      <c r="E207" t="s">
        <v>114</v>
      </c>
      <c r="F207" t="s">
        <v>113</v>
      </c>
      <c r="G207">
        <v>0.47635794102052997</v>
      </c>
      <c r="H207">
        <v>2E+20</v>
      </c>
      <c r="I207">
        <v>0</v>
      </c>
      <c r="J207">
        <v>2</v>
      </c>
      <c r="K207">
        <v>0</v>
      </c>
      <c r="L207">
        <v>0</v>
      </c>
      <c r="M207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207" cm="1">
        <f t="array" ref="N207">MAX(IF((ProjectInfoTable[ProjectName]=ContinuousStatsTable[[#This Row],[ProjectName]]),(ProjectInfoTable[ProjectName]=ContinuousStatsTable[[#This Row],[ProjectName]])*ProjectInfoTable[NumberOfReplications]))</f>
        <v>10</v>
      </c>
      <c r="O207" cm="1">
        <f t="array" ref="O207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207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207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207" cm="1">
        <f t="array" ref="S207">MIN(IF((ContinuousStatsTable[GroupByKey]=ContinuousStatsTable[[#This Row],[GroupByKey]]),(ContinuousStatsTable[GroupByKey]=ContinuousStatsTable[[#This Row],[GroupByKey]])*ContinuousStatsTable[Average]))</f>
        <v>0.47633465557050603</v>
      </c>
      <c r="T207" cm="1">
        <f t="array" ref="T207">MAX(IF((ContinuousStatsTable[GroupByKey]=ContinuousStatsTable[[#This Row],[GroupByKey]]),(ContinuousStatsTable[GroupByKey]=ContinuousStatsTable[[#This Row],[GroupByKey]])*ContinuousStatsTable[Average]))</f>
        <v>0.47641329732322302</v>
      </c>
      <c r="U207">
        <f>IF((ContinuousStatsTable[[#This Row],[RepsRequested]]&gt;1),ContinuousStatsTable[[#This Row],[HalfWidth]],ContinuousStatsTable[[#This Row],[BatchMeansHalfWidth]])</f>
        <v>1.9054230919217752E-5</v>
      </c>
    </row>
    <row r="208" spans="1:21" x14ac:dyDescent="0.25">
      <c r="A208" t="s">
        <v>67</v>
      </c>
      <c r="B208" t="s">
        <v>243</v>
      </c>
      <c r="C208">
        <v>3</v>
      </c>
      <c r="D208" t="s">
        <v>129</v>
      </c>
      <c r="E208" t="s">
        <v>115</v>
      </c>
      <c r="F208" t="s">
        <v>113</v>
      </c>
      <c r="G208">
        <v>3</v>
      </c>
      <c r="H208">
        <v>2E+20</v>
      </c>
      <c r="I208">
        <v>3</v>
      </c>
      <c r="J208">
        <v>3</v>
      </c>
      <c r="K208">
        <v>3</v>
      </c>
      <c r="L208">
        <v>0</v>
      </c>
      <c r="M208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208" cm="1">
        <f t="array" ref="N208">MAX(IF((ProjectInfoTable[ProjectName]=ContinuousStatsTable[[#This Row],[ProjectName]]),(ProjectInfoTable[ProjectName]=ContinuousStatsTable[[#This Row],[ProjectName]])*ProjectInfoTable[NumberOfReplications]))</f>
        <v>10</v>
      </c>
      <c r="O208" cm="1">
        <f t="array" ref="O208">IFERROR(AVERAGE(IF((ContinuousStatsTable[GroupByKey]=ContinuousStatsTable[[#This Row],[GroupByKey]]),(ContinuousStatsTable[GroupByKey]=ContinuousStatsTable[[#This Row],[GroupByKey]])*ContinuousStatsTable[Average])),0)</f>
        <v>3</v>
      </c>
      <c r="P208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</v>
      </c>
      <c r="Q208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8" cm="1">
        <f t="array" ref="S208">MIN(IF((ContinuousStatsTable[GroupByKey]=ContinuousStatsTable[[#This Row],[GroupByKey]]),(ContinuousStatsTable[GroupByKey]=ContinuousStatsTable[[#This Row],[GroupByKey]])*ContinuousStatsTable[Average]))</f>
        <v>3</v>
      </c>
      <c r="T208" cm="1">
        <f t="array" ref="T208">MAX(IF((ContinuousStatsTable[GroupByKey]=ContinuousStatsTable[[#This Row],[GroupByKey]]),(ContinuousStatsTable[GroupByKey]=ContinuousStatsTable[[#This Row],[GroupByKey]])*ContinuousStatsTable[Average]))</f>
        <v>3</v>
      </c>
      <c r="U208">
        <f>IF((ContinuousStatsTable[[#This Row],[RepsRequested]]&gt;1),ContinuousStatsTable[[#This Row],[HalfWidth]],ContinuousStatsTable[[#This Row],[BatchMeansHalfWidth]])</f>
        <v>0</v>
      </c>
    </row>
    <row r="209" spans="1:21" x14ac:dyDescent="0.25">
      <c r="A209" t="s">
        <v>67</v>
      </c>
      <c r="B209" t="s">
        <v>243</v>
      </c>
      <c r="C209">
        <v>3</v>
      </c>
      <c r="D209" t="s">
        <v>130</v>
      </c>
      <c r="E209" t="s">
        <v>112</v>
      </c>
      <c r="F209" t="s">
        <v>113</v>
      </c>
      <c r="G209">
        <v>0.47640504670983802</v>
      </c>
      <c r="H209">
        <v>2E+20</v>
      </c>
      <c r="I209">
        <v>0</v>
      </c>
      <c r="J209">
        <v>1</v>
      </c>
      <c r="K209">
        <v>0</v>
      </c>
      <c r="L209">
        <v>0</v>
      </c>
      <c r="M209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209" cm="1">
        <f t="array" ref="N209">MAX(IF((ProjectInfoTable[ProjectName]=ContinuousStatsTable[[#This Row],[ProjectName]]),(ProjectInfoTable[ProjectName]=ContinuousStatsTable[[#This Row],[ProjectName]])*ProjectInfoTable[NumberOfReplications]))</f>
        <v>10</v>
      </c>
      <c r="O209" cm="1">
        <f t="array" ref="O209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209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209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209" cm="1">
        <f t="array" ref="S209">MIN(IF((ContinuousStatsTable[GroupByKey]=ContinuousStatsTable[[#This Row],[GroupByKey]]),(ContinuousStatsTable[GroupByKey]=ContinuousStatsTable[[#This Row],[GroupByKey]])*ContinuousStatsTable[Average]))</f>
        <v>0.47638046343127</v>
      </c>
      <c r="T209" cm="1">
        <f t="array" ref="T209">MAX(IF((ContinuousStatsTable[GroupByKey]=ContinuousStatsTable[[#This Row],[GroupByKey]]),(ContinuousStatsTable[GroupByKey]=ContinuousStatsTable[[#This Row],[GroupByKey]])*ContinuousStatsTable[Average]))</f>
        <v>0.47647340349894202</v>
      </c>
      <c r="U209">
        <f>IF((ContinuousStatsTable[[#This Row],[RepsRequested]]&gt;1),ContinuousStatsTable[[#This Row],[HalfWidth]],ContinuousStatsTable[[#This Row],[BatchMeansHalfWidth]])</f>
        <v>2.530338482140405E-5</v>
      </c>
    </row>
    <row r="210" spans="1:21" x14ac:dyDescent="0.25">
      <c r="A210" t="s">
        <v>67</v>
      </c>
      <c r="B210" t="s">
        <v>243</v>
      </c>
      <c r="C210">
        <v>3</v>
      </c>
      <c r="D210" t="s">
        <v>130</v>
      </c>
      <c r="E210" t="s">
        <v>114</v>
      </c>
      <c r="F210" t="s">
        <v>113</v>
      </c>
      <c r="G210">
        <v>0.47640504670983802</v>
      </c>
      <c r="H210">
        <v>2E+20</v>
      </c>
      <c r="I210">
        <v>0</v>
      </c>
      <c r="J210">
        <v>1</v>
      </c>
      <c r="K210">
        <v>0</v>
      </c>
      <c r="L210">
        <v>0</v>
      </c>
      <c r="M210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210" cm="1">
        <f t="array" ref="N210">MAX(IF((ProjectInfoTable[ProjectName]=ContinuousStatsTable[[#This Row],[ProjectName]]),(ProjectInfoTable[ProjectName]=ContinuousStatsTable[[#This Row],[ProjectName]])*ProjectInfoTable[NumberOfReplications]))</f>
        <v>10</v>
      </c>
      <c r="O210" cm="1">
        <f t="array" ref="O210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210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210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210" cm="1">
        <f t="array" ref="S210">MIN(IF((ContinuousStatsTable[GroupByKey]=ContinuousStatsTable[[#This Row],[GroupByKey]]),(ContinuousStatsTable[GroupByKey]=ContinuousStatsTable[[#This Row],[GroupByKey]])*ContinuousStatsTable[Average]))</f>
        <v>0.47638046343127</v>
      </c>
      <c r="T210" cm="1">
        <f t="array" ref="T210">MAX(IF((ContinuousStatsTable[GroupByKey]=ContinuousStatsTable[[#This Row],[GroupByKey]]),(ContinuousStatsTable[GroupByKey]=ContinuousStatsTable[[#This Row],[GroupByKey]])*ContinuousStatsTable[Average]))</f>
        <v>0.47647340349894202</v>
      </c>
      <c r="U210">
        <f>IF((ContinuousStatsTable[[#This Row],[RepsRequested]]&gt;1),ContinuousStatsTable[[#This Row],[HalfWidth]],ContinuousStatsTable[[#This Row],[BatchMeansHalfWidth]])</f>
        <v>2.530338482140405E-5</v>
      </c>
    </row>
    <row r="211" spans="1:21" x14ac:dyDescent="0.25">
      <c r="A211" t="s">
        <v>67</v>
      </c>
      <c r="B211" t="s">
        <v>243</v>
      </c>
      <c r="C211">
        <v>3</v>
      </c>
      <c r="D211" t="s">
        <v>130</v>
      </c>
      <c r="E211" t="s">
        <v>115</v>
      </c>
      <c r="F211" t="s">
        <v>113</v>
      </c>
      <c r="G211">
        <v>0.476190476190476</v>
      </c>
      <c r="H211">
        <v>2E+20</v>
      </c>
      <c r="I211">
        <v>0</v>
      </c>
      <c r="J211">
        <v>1</v>
      </c>
      <c r="K211">
        <v>0</v>
      </c>
      <c r="L211">
        <v>0</v>
      </c>
      <c r="M211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211" cm="1">
        <f t="array" ref="N211">MAX(IF((ProjectInfoTable[ProjectName]=ContinuousStatsTable[[#This Row],[ProjectName]]),(ProjectInfoTable[ProjectName]=ContinuousStatsTable[[#This Row],[ProjectName]])*ProjectInfoTable[NumberOfReplications]))</f>
        <v>10</v>
      </c>
      <c r="O211" cm="1">
        <f t="array" ref="O211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11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cm="1">
        <f t="array" ref="S211">MIN(IF((ContinuousStatsTable[GroupByKey]=ContinuousStatsTable[[#This Row],[GroupByKey]]),(ContinuousStatsTable[GroupByKey]=ContinuousStatsTable[[#This Row],[GroupByKey]])*ContinuousStatsTable[Average]))</f>
        <v>0.476190476190476</v>
      </c>
      <c r="T211" cm="1">
        <f t="array" ref="T211">MAX(IF((ContinuousStatsTable[GroupByKey]=ContinuousStatsTable[[#This Row],[GroupByKey]]),(ContinuousStatsTable[GroupByKey]=ContinuousStatsTable[[#This Row],[GroupByKey]])*ContinuousStatsTable[Average]))</f>
        <v>0.476190476190476</v>
      </c>
      <c r="U211">
        <f>IF((ContinuousStatsTable[[#This Row],[RepsRequested]]&gt;1),ContinuousStatsTable[[#This Row],[HalfWidth]],ContinuousStatsTable[[#This Row],[BatchMeansHalfWidth]])</f>
        <v>0</v>
      </c>
    </row>
    <row r="212" spans="1:21" x14ac:dyDescent="0.25">
      <c r="A212" t="s">
        <v>67</v>
      </c>
      <c r="B212" t="s">
        <v>243</v>
      </c>
      <c r="C212">
        <v>3</v>
      </c>
      <c r="D212" t="s">
        <v>131</v>
      </c>
      <c r="E212" t="s">
        <v>112</v>
      </c>
      <c r="F212" t="s">
        <v>113</v>
      </c>
      <c r="G212">
        <v>0.34675468880767701</v>
      </c>
      <c r="H212">
        <v>3E+20</v>
      </c>
      <c r="I212">
        <v>0</v>
      </c>
      <c r="J212">
        <v>1</v>
      </c>
      <c r="K212">
        <v>0</v>
      </c>
      <c r="L212">
        <v>0</v>
      </c>
      <c r="M212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212" cm="1">
        <f t="array" ref="N212">MAX(IF((ProjectInfoTable[ProjectName]=ContinuousStatsTable[[#This Row],[ProjectName]]),(ProjectInfoTable[ProjectName]=ContinuousStatsTable[[#This Row],[ProjectName]])*ProjectInfoTable[NumberOfReplications]))</f>
        <v>10</v>
      </c>
      <c r="O212" cm="1">
        <f t="array" ref="O212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212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212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212" cm="1">
        <f t="array" ref="S212">MIN(IF((ContinuousStatsTable[GroupByKey]=ContinuousStatsTable[[#This Row],[GroupByKey]]),(ContinuousStatsTable[GroupByKey]=ContinuousStatsTable[[#This Row],[GroupByKey]])*ContinuousStatsTable[Average]))</f>
        <v>0.34602746258727701</v>
      </c>
      <c r="T212" cm="1">
        <f t="array" ref="T212">MAX(IF((ContinuousStatsTable[GroupByKey]=ContinuousStatsTable[[#This Row],[GroupByKey]]),(ContinuousStatsTable[GroupByKey]=ContinuousStatsTable[[#This Row],[GroupByKey]])*ContinuousStatsTable[Average]))</f>
        <v>0.34712505386175102</v>
      </c>
      <c r="U212">
        <f>IF((ContinuousStatsTable[[#This Row],[RepsRequested]]&gt;1),ContinuousStatsTable[[#This Row],[HalfWidth]],ContinuousStatsTable[[#This Row],[BatchMeansHalfWidth]])</f>
        <v>2.4134201748419608E-4</v>
      </c>
    </row>
    <row r="213" spans="1:21" x14ac:dyDescent="0.25">
      <c r="A213" t="s">
        <v>67</v>
      </c>
      <c r="B213" t="s">
        <v>243</v>
      </c>
      <c r="C213">
        <v>3</v>
      </c>
      <c r="D213" t="s">
        <v>131</v>
      </c>
      <c r="E213" t="s">
        <v>114</v>
      </c>
      <c r="F213" t="s">
        <v>113</v>
      </c>
      <c r="G213">
        <v>0.34675468880767701</v>
      </c>
      <c r="H213">
        <v>3E+20</v>
      </c>
      <c r="I213">
        <v>0</v>
      </c>
      <c r="J213">
        <v>1</v>
      </c>
      <c r="K213">
        <v>0</v>
      </c>
      <c r="L213">
        <v>0</v>
      </c>
      <c r="M213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213" cm="1">
        <f t="array" ref="N213">MAX(IF((ProjectInfoTable[ProjectName]=ContinuousStatsTable[[#This Row],[ProjectName]]),(ProjectInfoTable[ProjectName]=ContinuousStatsTable[[#This Row],[ProjectName]])*ProjectInfoTable[NumberOfReplications]))</f>
        <v>10</v>
      </c>
      <c r="O213" cm="1">
        <f t="array" ref="O213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213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213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213" cm="1">
        <f t="array" ref="S213">MIN(IF((ContinuousStatsTable[GroupByKey]=ContinuousStatsTable[[#This Row],[GroupByKey]]),(ContinuousStatsTable[GroupByKey]=ContinuousStatsTable[[#This Row],[GroupByKey]])*ContinuousStatsTable[Average]))</f>
        <v>0.34602746258727701</v>
      </c>
      <c r="T213" cm="1">
        <f t="array" ref="T213">MAX(IF((ContinuousStatsTable[GroupByKey]=ContinuousStatsTable[[#This Row],[GroupByKey]]),(ContinuousStatsTable[GroupByKey]=ContinuousStatsTable[[#This Row],[GroupByKey]])*ContinuousStatsTable[Average]))</f>
        <v>0.34712505386175102</v>
      </c>
      <c r="U213">
        <f>IF((ContinuousStatsTable[[#This Row],[RepsRequested]]&gt;1),ContinuousStatsTable[[#This Row],[HalfWidth]],ContinuousStatsTable[[#This Row],[BatchMeansHalfWidth]])</f>
        <v>2.4134201748419608E-4</v>
      </c>
    </row>
    <row r="214" spans="1:21" x14ac:dyDescent="0.25">
      <c r="A214" t="s">
        <v>67</v>
      </c>
      <c r="B214" t="s">
        <v>243</v>
      </c>
      <c r="C214">
        <v>3</v>
      </c>
      <c r="D214" t="s">
        <v>131</v>
      </c>
      <c r="E214" t="s">
        <v>115</v>
      </c>
      <c r="F214" t="s">
        <v>113</v>
      </c>
      <c r="G214">
        <v>0.476190476190476</v>
      </c>
      <c r="H214">
        <v>2E+20</v>
      </c>
      <c r="I214">
        <v>0</v>
      </c>
      <c r="J214">
        <v>1</v>
      </c>
      <c r="K214">
        <v>0</v>
      </c>
      <c r="L214">
        <v>0</v>
      </c>
      <c r="M214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214" cm="1">
        <f t="array" ref="N214">MAX(IF((ProjectInfoTable[ProjectName]=ContinuousStatsTable[[#This Row],[ProjectName]]),(ProjectInfoTable[ProjectName]=ContinuousStatsTable[[#This Row],[ProjectName]])*ProjectInfoTable[NumberOfReplications]))</f>
        <v>10</v>
      </c>
      <c r="O214" cm="1">
        <f t="array" ref="O21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14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cm="1">
        <f t="array" ref="S214">MIN(IF((ContinuousStatsTable[GroupByKey]=ContinuousStatsTable[[#This Row],[GroupByKey]]),(ContinuousStatsTable[GroupByKey]=ContinuousStatsTable[[#This Row],[GroupByKey]])*ContinuousStatsTable[Average]))</f>
        <v>0.476190476190476</v>
      </c>
      <c r="T214" cm="1">
        <f t="array" ref="T214">MAX(IF((ContinuousStatsTable[GroupByKey]=ContinuousStatsTable[[#This Row],[GroupByKey]]),(ContinuousStatsTable[GroupByKey]=ContinuousStatsTable[[#This Row],[GroupByKey]])*ContinuousStatsTable[Average]))</f>
        <v>0.476190476190476</v>
      </c>
      <c r="U214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67</v>
      </c>
      <c r="B215" t="s">
        <v>243</v>
      </c>
      <c r="C215">
        <v>3</v>
      </c>
      <c r="D215" t="s">
        <v>132</v>
      </c>
      <c r="E215" t="s">
        <v>112</v>
      </c>
      <c r="F215" t="s">
        <v>113</v>
      </c>
      <c r="G215">
        <v>0.45490956270552502</v>
      </c>
      <c r="H215">
        <v>3E+20</v>
      </c>
      <c r="I215">
        <v>0</v>
      </c>
      <c r="J215">
        <v>1</v>
      </c>
      <c r="K215">
        <v>0</v>
      </c>
      <c r="L215">
        <v>0</v>
      </c>
      <c r="M215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215" cm="1">
        <f t="array" ref="N215">MAX(IF((ProjectInfoTable[ProjectName]=ContinuousStatsTable[[#This Row],[ProjectName]]),(ProjectInfoTable[ProjectName]=ContinuousStatsTable[[#This Row],[ProjectName]])*ProjectInfoTable[NumberOfReplications]))</f>
        <v>10</v>
      </c>
      <c r="O215" cm="1">
        <f t="array" ref="O215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21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21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215" cm="1">
        <f t="array" ref="S215">MIN(IF((ContinuousStatsTable[GroupByKey]=ContinuousStatsTable[[#This Row],[GroupByKey]]),(ContinuousStatsTable[GroupByKey]=ContinuousStatsTable[[#This Row],[GroupByKey]])*ContinuousStatsTable[Average]))</f>
        <v>0.45404133128311103</v>
      </c>
      <c r="T215" cm="1">
        <f t="array" ref="T215">MAX(IF((ContinuousStatsTable[GroupByKey]=ContinuousStatsTable[[#This Row],[GroupByKey]]),(ContinuousStatsTable[GroupByKey]=ContinuousStatsTable[[#This Row],[GroupByKey]])*ContinuousStatsTable[Average]))</f>
        <v>0.45518418142323402</v>
      </c>
      <c r="U215">
        <f>IF((ContinuousStatsTable[[#This Row],[RepsRequested]]&gt;1),ContinuousStatsTable[[#This Row],[HalfWidth]],ContinuousStatsTable[[#This Row],[BatchMeansHalfWidth]])</f>
        <v>2.6178321488092363E-4</v>
      </c>
    </row>
    <row r="216" spans="1:21" x14ac:dyDescent="0.25">
      <c r="A216" t="s">
        <v>67</v>
      </c>
      <c r="B216" t="s">
        <v>243</v>
      </c>
      <c r="C216">
        <v>3</v>
      </c>
      <c r="D216" t="s">
        <v>132</v>
      </c>
      <c r="E216" t="s">
        <v>114</v>
      </c>
      <c r="F216" t="s">
        <v>113</v>
      </c>
      <c r="G216">
        <v>0.45490956270552502</v>
      </c>
      <c r="H216">
        <v>3E+20</v>
      </c>
      <c r="I216">
        <v>0</v>
      </c>
      <c r="J216">
        <v>1</v>
      </c>
      <c r="K216">
        <v>0</v>
      </c>
      <c r="L216">
        <v>0</v>
      </c>
      <c r="M216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216" cm="1">
        <f t="array" ref="N216">MAX(IF((ProjectInfoTable[ProjectName]=ContinuousStatsTable[[#This Row],[ProjectName]]),(ProjectInfoTable[ProjectName]=ContinuousStatsTable[[#This Row],[ProjectName]])*ProjectInfoTable[NumberOfReplications]))</f>
        <v>10</v>
      </c>
      <c r="O216" cm="1">
        <f t="array" ref="O216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216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216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216" cm="1">
        <f t="array" ref="S216">MIN(IF((ContinuousStatsTable[GroupByKey]=ContinuousStatsTable[[#This Row],[GroupByKey]]),(ContinuousStatsTable[GroupByKey]=ContinuousStatsTable[[#This Row],[GroupByKey]])*ContinuousStatsTable[Average]))</f>
        <v>0.45404133128311103</v>
      </c>
      <c r="T216" cm="1">
        <f t="array" ref="T216">MAX(IF((ContinuousStatsTable[GroupByKey]=ContinuousStatsTable[[#This Row],[GroupByKey]]),(ContinuousStatsTable[GroupByKey]=ContinuousStatsTable[[#This Row],[GroupByKey]])*ContinuousStatsTable[Average]))</f>
        <v>0.45518418142323402</v>
      </c>
      <c r="U216">
        <f>IF((ContinuousStatsTable[[#This Row],[RepsRequested]]&gt;1),ContinuousStatsTable[[#This Row],[HalfWidth]],ContinuousStatsTable[[#This Row],[BatchMeansHalfWidth]])</f>
        <v>2.6178321488092363E-4</v>
      </c>
    </row>
    <row r="217" spans="1:21" x14ac:dyDescent="0.25">
      <c r="A217" t="s">
        <v>67</v>
      </c>
      <c r="B217" t="s">
        <v>243</v>
      </c>
      <c r="C217">
        <v>3</v>
      </c>
      <c r="D217" t="s">
        <v>132</v>
      </c>
      <c r="E217" t="s">
        <v>115</v>
      </c>
      <c r="F217" t="s">
        <v>113</v>
      </c>
      <c r="G217">
        <v>0.476190476190476</v>
      </c>
      <c r="H217">
        <v>2E+20</v>
      </c>
      <c r="I217">
        <v>0</v>
      </c>
      <c r="J217">
        <v>1</v>
      </c>
      <c r="K217">
        <v>0</v>
      </c>
      <c r="L217">
        <v>0</v>
      </c>
      <c r="M217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217" cm="1">
        <f t="array" ref="N217">MAX(IF((ProjectInfoTable[ProjectName]=ContinuousStatsTable[[#This Row],[ProjectName]]),(ProjectInfoTable[ProjectName]=ContinuousStatsTable[[#This Row],[ProjectName]])*ProjectInfoTable[NumberOfReplications]))</f>
        <v>10</v>
      </c>
      <c r="O217" cm="1">
        <f t="array" ref="O217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17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</v>
      </c>
      <c r="Q217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7" cm="1">
        <f t="array" ref="S217">MIN(IF((ContinuousStatsTable[GroupByKey]=ContinuousStatsTable[[#This Row],[GroupByKey]]),(ContinuousStatsTable[GroupByKey]=ContinuousStatsTable[[#This Row],[GroupByKey]])*ContinuousStatsTable[Average]))</f>
        <v>0.476190476190476</v>
      </c>
      <c r="T217" cm="1">
        <f t="array" ref="T217">MAX(IF((ContinuousStatsTable[GroupByKey]=ContinuousStatsTable[[#This Row],[GroupByKey]]),(ContinuousStatsTable[GroupByKey]=ContinuousStatsTable[[#This Row],[GroupByKey]])*ContinuousStatsTable[Average]))</f>
        <v>0.476190476190476</v>
      </c>
      <c r="U217">
        <f>IF((ContinuousStatsTable[[#This Row],[RepsRequested]]&gt;1),ContinuousStatsTable[[#This Row],[HalfWidth]],ContinuousStatsTable[[#This Row],[BatchMeansHalfWidth]])</f>
        <v>0</v>
      </c>
    </row>
    <row r="218" spans="1:21" x14ac:dyDescent="0.25">
      <c r="A218" t="s">
        <v>67</v>
      </c>
      <c r="B218" t="s">
        <v>243</v>
      </c>
      <c r="C218">
        <v>3</v>
      </c>
      <c r="D218" t="s">
        <v>133</v>
      </c>
      <c r="E218" t="s">
        <v>112</v>
      </c>
      <c r="F218" t="s">
        <v>113</v>
      </c>
      <c r="G218">
        <v>0.23190178661639699</v>
      </c>
      <c r="H218">
        <v>3E+20</v>
      </c>
      <c r="I218">
        <v>0</v>
      </c>
      <c r="J218">
        <v>1</v>
      </c>
      <c r="K218">
        <v>0</v>
      </c>
      <c r="L218">
        <v>0</v>
      </c>
      <c r="M218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218" cm="1">
        <f t="array" ref="N218">MAX(IF((ProjectInfoTable[ProjectName]=ContinuousStatsTable[[#This Row],[ProjectName]]),(ProjectInfoTable[ProjectName]=ContinuousStatsTable[[#This Row],[ProjectName]])*ProjectInfoTable[NumberOfReplications]))</f>
        <v>10</v>
      </c>
      <c r="O218" cm="1">
        <f t="array" ref="O218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218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218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218" cm="1">
        <f t="array" ref="S218">MIN(IF((ContinuousStatsTable[GroupByKey]=ContinuousStatsTable[[#This Row],[GroupByKey]]),(ContinuousStatsTable[GroupByKey]=ContinuousStatsTable[[#This Row],[GroupByKey]])*ContinuousStatsTable[Average]))</f>
        <v>0.230969532572807</v>
      </c>
      <c r="T218" cm="1">
        <f t="array" ref="T218">MAX(IF((ContinuousStatsTable[GroupByKey]=ContinuousStatsTable[[#This Row],[GroupByKey]]),(ContinuousStatsTable[GroupByKey]=ContinuousStatsTable[[#This Row],[GroupByKey]])*ContinuousStatsTable[Average]))</f>
        <v>0.23202343200723599</v>
      </c>
      <c r="U218">
        <f>IF((ContinuousStatsTable[[#This Row],[RepsRequested]]&gt;1),ContinuousStatsTable[[#This Row],[HalfWidth]],ContinuousStatsTable[[#This Row],[BatchMeansHalfWidth]])</f>
        <v>2.4725912837525509E-4</v>
      </c>
    </row>
    <row r="219" spans="1:21" x14ac:dyDescent="0.25">
      <c r="A219" t="s">
        <v>67</v>
      </c>
      <c r="B219" t="s">
        <v>243</v>
      </c>
      <c r="C219">
        <v>3</v>
      </c>
      <c r="D219" t="s">
        <v>133</v>
      </c>
      <c r="E219" t="s">
        <v>114</v>
      </c>
      <c r="F219" t="s">
        <v>113</v>
      </c>
      <c r="G219">
        <v>0.23190178661639699</v>
      </c>
      <c r="H219">
        <v>3E+20</v>
      </c>
      <c r="I219">
        <v>0</v>
      </c>
      <c r="J219">
        <v>1</v>
      </c>
      <c r="K219">
        <v>0</v>
      </c>
      <c r="L219">
        <v>0</v>
      </c>
      <c r="M219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219" cm="1">
        <f t="array" ref="N219">MAX(IF((ProjectInfoTable[ProjectName]=ContinuousStatsTable[[#This Row],[ProjectName]]),(ProjectInfoTable[ProjectName]=ContinuousStatsTable[[#This Row],[ProjectName]])*ProjectInfoTable[NumberOfReplications]))</f>
        <v>10</v>
      </c>
      <c r="O219" cm="1">
        <f t="array" ref="O219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219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219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219" cm="1">
        <f t="array" ref="S219">MIN(IF((ContinuousStatsTable[GroupByKey]=ContinuousStatsTable[[#This Row],[GroupByKey]]),(ContinuousStatsTable[GroupByKey]=ContinuousStatsTable[[#This Row],[GroupByKey]])*ContinuousStatsTable[Average]))</f>
        <v>0.230969532572807</v>
      </c>
      <c r="T219" cm="1">
        <f t="array" ref="T219">MAX(IF((ContinuousStatsTable[GroupByKey]=ContinuousStatsTable[[#This Row],[GroupByKey]]),(ContinuousStatsTable[GroupByKey]=ContinuousStatsTable[[#This Row],[GroupByKey]])*ContinuousStatsTable[Average]))</f>
        <v>0.23202343200723599</v>
      </c>
      <c r="U219">
        <f>IF((ContinuousStatsTable[[#This Row],[RepsRequested]]&gt;1),ContinuousStatsTable[[#This Row],[HalfWidth]],ContinuousStatsTable[[#This Row],[BatchMeansHalfWidth]])</f>
        <v>2.4725912837525509E-4</v>
      </c>
    </row>
    <row r="220" spans="1:21" x14ac:dyDescent="0.25">
      <c r="A220" t="s">
        <v>67</v>
      </c>
      <c r="B220" t="s">
        <v>243</v>
      </c>
      <c r="C220">
        <v>3</v>
      </c>
      <c r="D220" t="s">
        <v>133</v>
      </c>
      <c r="E220" t="s">
        <v>115</v>
      </c>
      <c r="F220" t="s">
        <v>113</v>
      </c>
      <c r="G220">
        <v>0.476190476190476</v>
      </c>
      <c r="H220">
        <v>2E+20</v>
      </c>
      <c r="I220">
        <v>0</v>
      </c>
      <c r="J220">
        <v>1</v>
      </c>
      <c r="K220">
        <v>0</v>
      </c>
      <c r="L220">
        <v>0</v>
      </c>
      <c r="M220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220" cm="1">
        <f t="array" ref="N220">MAX(IF((ProjectInfoTable[ProjectName]=ContinuousStatsTable[[#This Row],[ProjectName]]),(ProjectInfoTable[ProjectName]=ContinuousStatsTable[[#This Row],[ProjectName]])*ProjectInfoTable[NumberOfReplications]))</f>
        <v>10</v>
      </c>
      <c r="O220" cm="1">
        <f t="array" ref="O220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20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cm="1">
        <f t="array" ref="S220">MIN(IF((ContinuousStatsTable[GroupByKey]=ContinuousStatsTable[[#This Row],[GroupByKey]]),(ContinuousStatsTable[GroupByKey]=ContinuousStatsTable[[#This Row],[GroupByKey]])*ContinuousStatsTable[Average]))</f>
        <v>0.476190476190476</v>
      </c>
      <c r="T220" cm="1">
        <f t="array" ref="T220">MAX(IF((ContinuousStatsTable[GroupByKey]=ContinuousStatsTable[[#This Row],[GroupByKey]]),(ContinuousStatsTable[GroupByKey]=ContinuousStatsTable[[#This Row],[GroupByKey]])*ContinuousStatsTable[Average]))</f>
        <v>0.476190476190476</v>
      </c>
      <c r="U220">
        <f>IF((ContinuousStatsTable[[#This Row],[RepsRequested]]&gt;1),ContinuousStatsTable[[#This Row],[HalfWidth]],ContinuousStatsTable[[#This Row],[BatchMeansHalfWidth]])</f>
        <v>0</v>
      </c>
    </row>
    <row r="221" spans="1:21" x14ac:dyDescent="0.25">
      <c r="A221" t="s">
        <v>67</v>
      </c>
      <c r="B221" t="s">
        <v>243</v>
      </c>
      <c r="C221">
        <v>3</v>
      </c>
      <c r="D221" t="s">
        <v>134</v>
      </c>
      <c r="E221" t="s">
        <v>112</v>
      </c>
      <c r="F221" t="s">
        <v>113</v>
      </c>
      <c r="G221">
        <v>0.27283313106114998</v>
      </c>
      <c r="H221">
        <v>3E+20</v>
      </c>
      <c r="I221">
        <v>0</v>
      </c>
      <c r="J221">
        <v>1</v>
      </c>
      <c r="K221">
        <v>0</v>
      </c>
      <c r="L221">
        <v>0</v>
      </c>
      <c r="M221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221" cm="1">
        <f t="array" ref="N221">MAX(IF((ProjectInfoTable[ProjectName]=ContinuousStatsTable[[#This Row],[ProjectName]]),(ProjectInfoTable[ProjectName]=ContinuousStatsTable[[#This Row],[ProjectName]])*ProjectInfoTable[NumberOfReplications]))</f>
        <v>10</v>
      </c>
      <c r="O221" cm="1">
        <f t="array" ref="O221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221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221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221" cm="1">
        <f t="array" ref="S221">MIN(IF((ContinuousStatsTable[GroupByKey]=ContinuousStatsTable[[#This Row],[GroupByKey]]),(ContinuousStatsTable[GroupByKey]=ContinuousStatsTable[[#This Row],[GroupByKey]])*ContinuousStatsTable[Average]))</f>
        <v>0.271979535431421</v>
      </c>
      <c r="T221" cm="1">
        <f t="array" ref="T221">MAX(IF((ContinuousStatsTable[GroupByKey]=ContinuousStatsTable[[#This Row],[GroupByKey]]),(ContinuousStatsTable[GroupByKey]=ContinuousStatsTable[[#This Row],[GroupByKey]])*ContinuousStatsTable[Average]))</f>
        <v>0.27283313106114998</v>
      </c>
      <c r="U221">
        <f>IF((ContinuousStatsTable[[#This Row],[RepsRequested]]&gt;1),ContinuousStatsTable[[#This Row],[HalfWidth]],ContinuousStatsTable[[#This Row],[BatchMeansHalfWidth]])</f>
        <v>1.7269361236560142E-4</v>
      </c>
    </row>
    <row r="222" spans="1:21" x14ac:dyDescent="0.25">
      <c r="A222" t="s">
        <v>67</v>
      </c>
      <c r="B222" t="s">
        <v>243</v>
      </c>
      <c r="C222">
        <v>3</v>
      </c>
      <c r="D222" t="s">
        <v>134</v>
      </c>
      <c r="E222" t="s">
        <v>114</v>
      </c>
      <c r="F222" t="s">
        <v>113</v>
      </c>
      <c r="G222">
        <v>0.27283313106114998</v>
      </c>
      <c r="H222">
        <v>3E+20</v>
      </c>
      <c r="I222">
        <v>0</v>
      </c>
      <c r="J222">
        <v>1</v>
      </c>
      <c r="K222">
        <v>0</v>
      </c>
      <c r="L222">
        <v>0</v>
      </c>
      <c r="M222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222" cm="1">
        <f t="array" ref="N222">MAX(IF((ProjectInfoTable[ProjectName]=ContinuousStatsTable[[#This Row],[ProjectName]]),(ProjectInfoTable[ProjectName]=ContinuousStatsTable[[#This Row],[ProjectName]])*ProjectInfoTable[NumberOfReplications]))</f>
        <v>10</v>
      </c>
      <c r="O222" cm="1">
        <f t="array" ref="O222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222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222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222" cm="1">
        <f t="array" ref="S222">MIN(IF((ContinuousStatsTable[GroupByKey]=ContinuousStatsTable[[#This Row],[GroupByKey]]),(ContinuousStatsTable[GroupByKey]=ContinuousStatsTable[[#This Row],[GroupByKey]])*ContinuousStatsTable[Average]))</f>
        <v>0.271979535431421</v>
      </c>
      <c r="T222" cm="1">
        <f t="array" ref="T222">MAX(IF((ContinuousStatsTable[GroupByKey]=ContinuousStatsTable[[#This Row],[GroupByKey]]),(ContinuousStatsTable[GroupByKey]=ContinuousStatsTable[[#This Row],[GroupByKey]])*ContinuousStatsTable[Average]))</f>
        <v>0.27283313106114998</v>
      </c>
      <c r="U222">
        <f>IF((ContinuousStatsTable[[#This Row],[RepsRequested]]&gt;1),ContinuousStatsTable[[#This Row],[HalfWidth]],ContinuousStatsTable[[#This Row],[BatchMeansHalfWidth]])</f>
        <v>1.7269361236560142E-4</v>
      </c>
    </row>
    <row r="223" spans="1:21" x14ac:dyDescent="0.25">
      <c r="A223" t="s">
        <v>67</v>
      </c>
      <c r="B223" t="s">
        <v>243</v>
      </c>
      <c r="C223">
        <v>3</v>
      </c>
      <c r="D223" t="s">
        <v>134</v>
      </c>
      <c r="E223" t="s">
        <v>115</v>
      </c>
      <c r="F223" t="s">
        <v>113</v>
      </c>
      <c r="G223">
        <v>0.476190476190476</v>
      </c>
      <c r="H223">
        <v>2E+20</v>
      </c>
      <c r="I223">
        <v>0</v>
      </c>
      <c r="J223">
        <v>1</v>
      </c>
      <c r="K223">
        <v>0</v>
      </c>
      <c r="L223">
        <v>0</v>
      </c>
      <c r="M223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223" cm="1">
        <f t="array" ref="N223">MAX(IF((ProjectInfoTable[ProjectName]=ContinuousStatsTable[[#This Row],[ProjectName]]),(ProjectInfoTable[ProjectName]=ContinuousStatsTable[[#This Row],[ProjectName]])*ProjectInfoTable[NumberOfReplications]))</f>
        <v>10</v>
      </c>
      <c r="O223" cm="1">
        <f t="array" ref="O223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23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0</v>
      </c>
      <c r="Q223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3" cm="1">
        <f t="array" ref="S223">MIN(IF((ContinuousStatsTable[GroupByKey]=ContinuousStatsTable[[#This Row],[GroupByKey]]),(ContinuousStatsTable[GroupByKey]=ContinuousStatsTable[[#This Row],[GroupByKey]])*ContinuousStatsTable[Average]))</f>
        <v>0.476190476190476</v>
      </c>
      <c r="T223" cm="1">
        <f t="array" ref="T223">MAX(IF((ContinuousStatsTable[GroupByKey]=ContinuousStatsTable[[#This Row],[GroupByKey]]),(ContinuousStatsTable[GroupByKey]=ContinuousStatsTable[[#This Row],[GroupByKey]])*ContinuousStatsTable[Average]))</f>
        <v>0.476190476190476</v>
      </c>
      <c r="U223">
        <f>IF((ContinuousStatsTable[[#This Row],[RepsRequested]]&gt;1),ContinuousStatsTable[[#This Row],[HalfWidth]],ContinuousStatsTable[[#This Row],[BatchMeansHalfWidth]])</f>
        <v>0</v>
      </c>
    </row>
    <row r="224" spans="1:21" x14ac:dyDescent="0.25">
      <c r="A224" t="s">
        <v>67</v>
      </c>
      <c r="B224" t="s">
        <v>243</v>
      </c>
      <c r="C224">
        <v>3</v>
      </c>
      <c r="D224" t="s">
        <v>135</v>
      </c>
      <c r="E224" t="s">
        <v>112</v>
      </c>
      <c r="F224" t="s">
        <v>113</v>
      </c>
      <c r="G224">
        <v>0.47643658316276999</v>
      </c>
      <c r="H224">
        <v>2E+20</v>
      </c>
      <c r="I224">
        <v>0</v>
      </c>
      <c r="J224">
        <v>1</v>
      </c>
      <c r="K224">
        <v>0</v>
      </c>
      <c r="L224">
        <v>0</v>
      </c>
      <c r="M224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224" cm="1">
        <f t="array" ref="N224">MAX(IF((ProjectInfoTable[ProjectName]=ContinuousStatsTable[[#This Row],[ProjectName]]),(ProjectInfoTable[ProjectName]=ContinuousStatsTable[[#This Row],[ProjectName]])*ProjectInfoTable[NumberOfReplications]))</f>
        <v>10</v>
      </c>
      <c r="O224" cm="1">
        <f t="array" ref="O224">IFERROR(AVERAGE(IF((ContinuousStatsTable[GroupByKey]=ContinuousStatsTable[[#This Row],[GroupByKey]]),(ContinuousStatsTable[GroupByKey]=ContinuousStatsTable[[#This Row],[GroupByKey]])*ContinuousStatsTable[Average])),0)</f>
        <v>0.47640752107427203</v>
      </c>
      <c r="P224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7.9809559904816854E-5</v>
      </c>
      <c r="Q224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5.7092319840390197E-5</v>
      </c>
      <c r="S224" cm="1">
        <f t="array" ref="S224">MIN(IF((ContinuousStatsTable[GroupByKey]=ContinuousStatsTable[[#This Row],[GroupByKey]]),(ContinuousStatsTable[GroupByKey]=ContinuousStatsTable[[#This Row],[GroupByKey]])*ContinuousStatsTable[Average]))</f>
        <v>0.47622171379262102</v>
      </c>
      <c r="T224" cm="1">
        <f t="array" ref="T224">MAX(IF((ContinuousStatsTable[GroupByKey]=ContinuousStatsTable[[#This Row],[GroupByKey]]),(ContinuousStatsTable[GroupByKey]=ContinuousStatsTable[[#This Row],[GroupByKey]])*ContinuousStatsTable[Average]))</f>
        <v>0.47651577494330499</v>
      </c>
      <c r="U224">
        <f>IF((ContinuousStatsTable[[#This Row],[RepsRequested]]&gt;1),ContinuousStatsTable[[#This Row],[HalfWidth]],ContinuousStatsTable[[#This Row],[BatchMeansHalfWidth]])</f>
        <v>5.7092319840390197E-5</v>
      </c>
    </row>
    <row r="225" spans="1:21" x14ac:dyDescent="0.25">
      <c r="A225" t="s">
        <v>67</v>
      </c>
      <c r="B225" t="s">
        <v>243</v>
      </c>
      <c r="C225">
        <v>3</v>
      </c>
      <c r="D225" t="s">
        <v>135</v>
      </c>
      <c r="E225" t="s">
        <v>114</v>
      </c>
      <c r="F225" t="s">
        <v>113</v>
      </c>
      <c r="G225">
        <v>0.47643658316276999</v>
      </c>
      <c r="H225">
        <v>2E+20</v>
      </c>
      <c r="I225">
        <v>0</v>
      </c>
      <c r="J225">
        <v>1</v>
      </c>
      <c r="K225">
        <v>0</v>
      </c>
      <c r="L225">
        <v>0</v>
      </c>
      <c r="M225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225" cm="1">
        <f t="array" ref="N225">MAX(IF((ProjectInfoTable[ProjectName]=ContinuousStatsTable[[#This Row],[ProjectName]]),(ProjectInfoTable[ProjectName]=ContinuousStatsTable[[#This Row],[ProjectName]])*ProjectInfoTable[NumberOfReplications]))</f>
        <v>10</v>
      </c>
      <c r="O225" cm="1">
        <f t="array" ref="O225">IFERROR(AVERAGE(IF((ContinuousStatsTable[GroupByKey]=ContinuousStatsTable[[#This Row],[GroupByKey]]),(ContinuousStatsTable[GroupByKey]=ContinuousStatsTable[[#This Row],[GroupByKey]])*ContinuousStatsTable[Average])),0)</f>
        <v>0.47640752107427209</v>
      </c>
      <c r="P22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7.980955990487845E-5</v>
      </c>
      <c r="Q22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5.7092319840434263E-5</v>
      </c>
      <c r="S225" cm="1">
        <f t="array" ref="S225">MIN(IF((ContinuousStatsTable[GroupByKey]=ContinuousStatsTable[[#This Row],[GroupByKey]]),(ContinuousStatsTable[GroupByKey]=ContinuousStatsTable[[#This Row],[GroupByKey]])*ContinuousStatsTable[Average]))</f>
        <v>0.47622171379262102</v>
      </c>
      <c r="T225" cm="1">
        <f t="array" ref="T225">MAX(IF((ContinuousStatsTable[GroupByKey]=ContinuousStatsTable[[#This Row],[GroupByKey]]),(ContinuousStatsTable[GroupByKey]=ContinuousStatsTable[[#This Row],[GroupByKey]])*ContinuousStatsTable[Average]))</f>
        <v>0.47651577494330499</v>
      </c>
      <c r="U225">
        <f>IF((ContinuousStatsTable[[#This Row],[RepsRequested]]&gt;1),ContinuousStatsTable[[#This Row],[HalfWidth]],ContinuousStatsTable[[#This Row],[BatchMeansHalfWidth]])</f>
        <v>5.7092319840434263E-5</v>
      </c>
    </row>
    <row r="226" spans="1:21" x14ac:dyDescent="0.25">
      <c r="A226" t="s">
        <v>67</v>
      </c>
      <c r="B226" t="s">
        <v>243</v>
      </c>
      <c r="C226">
        <v>3</v>
      </c>
      <c r="D226" t="s">
        <v>135</v>
      </c>
      <c r="E226" t="s">
        <v>115</v>
      </c>
      <c r="F226" t="s">
        <v>113</v>
      </c>
      <c r="G226">
        <v>0.476190476190476</v>
      </c>
      <c r="H226">
        <v>2E+20</v>
      </c>
      <c r="I226">
        <v>0</v>
      </c>
      <c r="J226">
        <v>1</v>
      </c>
      <c r="K226">
        <v>0</v>
      </c>
      <c r="L226">
        <v>0</v>
      </c>
      <c r="M226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226" cm="1">
        <f t="array" ref="N226">MAX(IF((ProjectInfoTable[ProjectName]=ContinuousStatsTable[[#This Row],[ProjectName]]),(ProjectInfoTable[ProjectName]=ContinuousStatsTable[[#This Row],[ProjectName]])*ProjectInfoTable[NumberOfReplications]))</f>
        <v>10</v>
      </c>
      <c r="O226" cm="1">
        <f t="array" ref="O226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26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cm="1">
        <f t="array" ref="S226">MIN(IF((ContinuousStatsTable[GroupByKey]=ContinuousStatsTable[[#This Row],[GroupByKey]]),(ContinuousStatsTable[GroupByKey]=ContinuousStatsTable[[#This Row],[GroupByKey]])*ContinuousStatsTable[Average]))</f>
        <v>0.476190476190476</v>
      </c>
      <c r="T226" cm="1">
        <f t="array" ref="T226">MAX(IF((ContinuousStatsTable[GroupByKey]=ContinuousStatsTable[[#This Row],[GroupByKey]]),(ContinuousStatsTable[GroupByKey]=ContinuousStatsTable[[#This Row],[GroupByKey]])*ContinuousStatsTable[Average]))</f>
        <v>0.476190476190476</v>
      </c>
      <c r="U226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67</v>
      </c>
      <c r="B227" t="s">
        <v>243</v>
      </c>
      <c r="C227">
        <v>3</v>
      </c>
      <c r="D227" t="s">
        <v>136</v>
      </c>
      <c r="E227" t="s">
        <v>112</v>
      </c>
      <c r="F227" t="s">
        <v>113</v>
      </c>
      <c r="G227">
        <v>0.29906900849143397</v>
      </c>
      <c r="H227">
        <v>3E+20</v>
      </c>
      <c r="I227">
        <v>0</v>
      </c>
      <c r="J227">
        <v>1</v>
      </c>
      <c r="K227">
        <v>0</v>
      </c>
      <c r="L227">
        <v>0</v>
      </c>
      <c r="M227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227" cm="1">
        <f t="array" ref="N227">MAX(IF((ProjectInfoTable[ProjectName]=ContinuousStatsTable[[#This Row],[ProjectName]]),(ProjectInfoTable[ProjectName]=ContinuousStatsTable[[#This Row],[ProjectName]])*ProjectInfoTable[NumberOfReplications]))</f>
        <v>10</v>
      </c>
      <c r="O227" cm="1">
        <f t="array" ref="O227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227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227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227" cm="1">
        <f t="array" ref="S227">MIN(IF((ContinuousStatsTable[GroupByKey]=ContinuousStatsTable[[#This Row],[GroupByKey]]),(ContinuousStatsTable[GroupByKey]=ContinuousStatsTable[[#This Row],[GroupByKey]])*ContinuousStatsTable[Average]))</f>
        <v>0.29842379685970999</v>
      </c>
      <c r="T227" cm="1">
        <f t="array" ref="T227">MAX(IF((ContinuousStatsTable[GroupByKey]=ContinuousStatsTable[[#This Row],[GroupByKey]]),(ContinuousStatsTable[GroupByKey]=ContinuousStatsTable[[#This Row],[GroupByKey]])*ContinuousStatsTable[Average]))</f>
        <v>0.29970100107953501</v>
      </c>
      <c r="U227">
        <f>IF((ContinuousStatsTable[[#This Row],[RepsRequested]]&gt;1),ContinuousStatsTable[[#This Row],[HalfWidth]],ContinuousStatsTable[[#This Row],[BatchMeansHalfWidth]])</f>
        <v>2.6450685793468105E-4</v>
      </c>
    </row>
    <row r="228" spans="1:21" x14ac:dyDescent="0.25">
      <c r="A228" t="s">
        <v>67</v>
      </c>
      <c r="B228" t="s">
        <v>243</v>
      </c>
      <c r="C228">
        <v>3</v>
      </c>
      <c r="D228" t="s">
        <v>136</v>
      </c>
      <c r="E228" t="s">
        <v>114</v>
      </c>
      <c r="F228" t="s">
        <v>113</v>
      </c>
      <c r="G228">
        <v>0.29906900849143397</v>
      </c>
      <c r="H228">
        <v>3E+20</v>
      </c>
      <c r="I228">
        <v>0</v>
      </c>
      <c r="J228">
        <v>1</v>
      </c>
      <c r="K228">
        <v>0</v>
      </c>
      <c r="L228">
        <v>0</v>
      </c>
      <c r="M228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228" cm="1">
        <f t="array" ref="N228">MAX(IF((ProjectInfoTable[ProjectName]=ContinuousStatsTable[[#This Row],[ProjectName]]),(ProjectInfoTable[ProjectName]=ContinuousStatsTable[[#This Row],[ProjectName]])*ProjectInfoTable[NumberOfReplications]))</f>
        <v>10</v>
      </c>
      <c r="O228" cm="1">
        <f t="array" ref="O228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228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228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228" cm="1">
        <f t="array" ref="S228">MIN(IF((ContinuousStatsTable[GroupByKey]=ContinuousStatsTable[[#This Row],[GroupByKey]]),(ContinuousStatsTable[GroupByKey]=ContinuousStatsTable[[#This Row],[GroupByKey]])*ContinuousStatsTable[Average]))</f>
        <v>0.29842379685970999</v>
      </c>
      <c r="T228" cm="1">
        <f t="array" ref="T228">MAX(IF((ContinuousStatsTable[GroupByKey]=ContinuousStatsTable[[#This Row],[GroupByKey]]),(ContinuousStatsTable[GroupByKey]=ContinuousStatsTable[[#This Row],[GroupByKey]])*ContinuousStatsTable[Average]))</f>
        <v>0.29970100107953501</v>
      </c>
      <c r="U228">
        <f>IF((ContinuousStatsTable[[#This Row],[RepsRequested]]&gt;1),ContinuousStatsTable[[#This Row],[HalfWidth]],ContinuousStatsTable[[#This Row],[BatchMeansHalfWidth]])</f>
        <v>2.6450685793468105E-4</v>
      </c>
    </row>
    <row r="229" spans="1:21" x14ac:dyDescent="0.25">
      <c r="A229" t="s">
        <v>67</v>
      </c>
      <c r="B229" t="s">
        <v>243</v>
      </c>
      <c r="C229">
        <v>3</v>
      </c>
      <c r="D229" t="s">
        <v>136</v>
      </c>
      <c r="E229" t="s">
        <v>115</v>
      </c>
      <c r="F229" t="s">
        <v>113</v>
      </c>
      <c r="G229">
        <v>0.476190476190476</v>
      </c>
      <c r="H229">
        <v>2E+20</v>
      </c>
      <c r="I229">
        <v>0</v>
      </c>
      <c r="J229">
        <v>1</v>
      </c>
      <c r="K229">
        <v>0</v>
      </c>
      <c r="L229">
        <v>0</v>
      </c>
      <c r="M229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229" cm="1">
        <f t="array" ref="N229">MAX(IF((ProjectInfoTable[ProjectName]=ContinuousStatsTable[[#This Row],[ProjectName]]),(ProjectInfoTable[ProjectName]=ContinuousStatsTable[[#This Row],[ProjectName]])*ProjectInfoTable[NumberOfReplications]))</f>
        <v>10</v>
      </c>
      <c r="O229" cm="1">
        <f t="array" ref="O22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29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</v>
      </c>
      <c r="Q229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9" cm="1">
        <f t="array" ref="S229">MIN(IF((ContinuousStatsTable[GroupByKey]=ContinuousStatsTable[[#This Row],[GroupByKey]]),(ContinuousStatsTable[GroupByKey]=ContinuousStatsTable[[#This Row],[GroupByKey]])*ContinuousStatsTable[Average]))</f>
        <v>0.476190476190476</v>
      </c>
      <c r="T229" cm="1">
        <f t="array" ref="T229">MAX(IF((ContinuousStatsTable[GroupByKey]=ContinuousStatsTable[[#This Row],[GroupByKey]]),(ContinuousStatsTable[GroupByKey]=ContinuousStatsTable[[#This Row],[GroupByKey]])*ContinuousStatsTable[Average]))</f>
        <v>0.476190476190476</v>
      </c>
      <c r="U229">
        <f>IF((ContinuousStatsTable[[#This Row],[RepsRequested]]&gt;1),ContinuousStatsTable[[#This Row],[HalfWidth]],ContinuousStatsTable[[#This Row],[BatchMeansHalfWidth]])</f>
        <v>0</v>
      </c>
    </row>
    <row r="230" spans="1:21" x14ac:dyDescent="0.25">
      <c r="A230" t="s">
        <v>67</v>
      </c>
      <c r="B230" t="s">
        <v>243</v>
      </c>
      <c r="C230">
        <v>3</v>
      </c>
      <c r="D230" t="s">
        <v>137</v>
      </c>
      <c r="E230" t="s">
        <v>112</v>
      </c>
      <c r="F230" t="s">
        <v>113</v>
      </c>
      <c r="G230">
        <v>0.45617881497384899</v>
      </c>
      <c r="H230">
        <v>3E+20</v>
      </c>
      <c r="I230">
        <v>0</v>
      </c>
      <c r="J230">
        <v>1</v>
      </c>
      <c r="K230">
        <v>0</v>
      </c>
      <c r="L230">
        <v>0</v>
      </c>
      <c r="M230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230" cm="1">
        <f t="array" ref="N230">MAX(IF((ProjectInfoTable[ProjectName]=ContinuousStatsTable[[#This Row],[ProjectName]]),(ProjectInfoTable[ProjectName]=ContinuousStatsTable[[#This Row],[ProjectName]])*ProjectInfoTable[NumberOfReplications]))</f>
        <v>10</v>
      </c>
      <c r="O230" cm="1">
        <f t="array" ref="O230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230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230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230" cm="1">
        <f t="array" ref="S230">MIN(IF((ContinuousStatsTable[GroupByKey]=ContinuousStatsTable[[#This Row],[GroupByKey]]),(ContinuousStatsTable[GroupByKey]=ContinuousStatsTable[[#This Row],[GroupByKey]])*ContinuousStatsTable[Average]))</f>
        <v>0.45550004981449399</v>
      </c>
      <c r="T230" cm="1">
        <f t="array" ref="T230">MAX(IF((ContinuousStatsTable[GroupByKey]=ContinuousStatsTable[[#This Row],[GroupByKey]]),(ContinuousStatsTable[GroupByKey]=ContinuousStatsTable[[#This Row],[GroupByKey]])*ContinuousStatsTable[Average]))</f>
        <v>0.45652258337600798</v>
      </c>
      <c r="U230">
        <f>IF((ContinuousStatsTable[[#This Row],[RepsRequested]]&gt;1),ContinuousStatsTable[[#This Row],[HalfWidth]],ContinuousStatsTable[[#This Row],[BatchMeansHalfWidth]])</f>
        <v>2.4108493326261801E-4</v>
      </c>
    </row>
    <row r="231" spans="1:21" x14ac:dyDescent="0.25">
      <c r="A231" t="s">
        <v>67</v>
      </c>
      <c r="B231" t="s">
        <v>243</v>
      </c>
      <c r="C231">
        <v>3</v>
      </c>
      <c r="D231" t="s">
        <v>137</v>
      </c>
      <c r="E231" t="s">
        <v>114</v>
      </c>
      <c r="F231" t="s">
        <v>113</v>
      </c>
      <c r="G231">
        <v>0.45617881497384899</v>
      </c>
      <c r="H231">
        <v>3E+20</v>
      </c>
      <c r="I231">
        <v>0</v>
      </c>
      <c r="J231">
        <v>1</v>
      </c>
      <c r="K231">
        <v>0</v>
      </c>
      <c r="L231">
        <v>0</v>
      </c>
      <c r="M231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231" cm="1">
        <f t="array" ref="N231">MAX(IF((ProjectInfoTable[ProjectName]=ContinuousStatsTable[[#This Row],[ProjectName]]),(ProjectInfoTable[ProjectName]=ContinuousStatsTable[[#This Row],[ProjectName]])*ProjectInfoTable[NumberOfReplications]))</f>
        <v>10</v>
      </c>
      <c r="O231" cm="1">
        <f t="array" ref="O231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231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231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231" cm="1">
        <f t="array" ref="S231">MIN(IF((ContinuousStatsTable[GroupByKey]=ContinuousStatsTable[[#This Row],[GroupByKey]]),(ContinuousStatsTable[GroupByKey]=ContinuousStatsTable[[#This Row],[GroupByKey]])*ContinuousStatsTable[Average]))</f>
        <v>0.45550004981449399</v>
      </c>
      <c r="T231" cm="1">
        <f t="array" ref="T231">MAX(IF((ContinuousStatsTable[GroupByKey]=ContinuousStatsTable[[#This Row],[GroupByKey]]),(ContinuousStatsTable[GroupByKey]=ContinuousStatsTable[[#This Row],[GroupByKey]])*ContinuousStatsTable[Average]))</f>
        <v>0.45652258337600798</v>
      </c>
      <c r="U231">
        <f>IF((ContinuousStatsTable[[#This Row],[RepsRequested]]&gt;1),ContinuousStatsTable[[#This Row],[HalfWidth]],ContinuousStatsTable[[#This Row],[BatchMeansHalfWidth]])</f>
        <v>2.4108493326261801E-4</v>
      </c>
    </row>
    <row r="232" spans="1:21" x14ac:dyDescent="0.25">
      <c r="A232" t="s">
        <v>67</v>
      </c>
      <c r="B232" t="s">
        <v>243</v>
      </c>
      <c r="C232">
        <v>3</v>
      </c>
      <c r="D232" t="s">
        <v>137</v>
      </c>
      <c r="E232" t="s">
        <v>115</v>
      </c>
      <c r="F232" t="s">
        <v>113</v>
      </c>
      <c r="G232">
        <v>0.476190476190476</v>
      </c>
      <c r="H232">
        <v>2E+20</v>
      </c>
      <c r="I232">
        <v>0</v>
      </c>
      <c r="J232">
        <v>1</v>
      </c>
      <c r="K232">
        <v>0</v>
      </c>
      <c r="L232">
        <v>0</v>
      </c>
      <c r="M232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232" cm="1">
        <f t="array" ref="N232">MAX(IF((ProjectInfoTable[ProjectName]=ContinuousStatsTable[[#This Row],[ProjectName]]),(ProjectInfoTable[ProjectName]=ContinuousStatsTable[[#This Row],[ProjectName]])*ProjectInfoTable[NumberOfReplications]))</f>
        <v>10</v>
      </c>
      <c r="O232" cm="1">
        <f t="array" ref="O232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32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</v>
      </c>
      <c r="Q232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2" cm="1">
        <f t="array" ref="S232">MIN(IF((ContinuousStatsTable[GroupByKey]=ContinuousStatsTable[[#This Row],[GroupByKey]]),(ContinuousStatsTable[GroupByKey]=ContinuousStatsTable[[#This Row],[GroupByKey]])*ContinuousStatsTable[Average]))</f>
        <v>0.476190476190476</v>
      </c>
      <c r="T232" cm="1">
        <f t="array" ref="T232">MAX(IF((ContinuousStatsTable[GroupByKey]=ContinuousStatsTable[[#This Row],[GroupByKey]]),(ContinuousStatsTable[GroupByKey]=ContinuousStatsTable[[#This Row],[GroupByKey]])*ContinuousStatsTable[Average]))</f>
        <v>0.476190476190476</v>
      </c>
      <c r="U232">
        <f>IF((ContinuousStatsTable[[#This Row],[RepsRequested]]&gt;1),ContinuousStatsTable[[#This Row],[HalfWidth]],ContinuousStatsTable[[#This Row],[BatchMeansHalfWidth]])</f>
        <v>0</v>
      </c>
    </row>
    <row r="233" spans="1:21" x14ac:dyDescent="0.25">
      <c r="A233" t="s">
        <v>67</v>
      </c>
      <c r="B233" t="s">
        <v>243</v>
      </c>
      <c r="C233">
        <v>3</v>
      </c>
      <c r="D233" t="s">
        <v>138</v>
      </c>
      <c r="E233" t="s">
        <v>112</v>
      </c>
      <c r="F233" t="s">
        <v>113</v>
      </c>
      <c r="G233">
        <v>0.47635794102052997</v>
      </c>
      <c r="H233">
        <v>2E+20</v>
      </c>
      <c r="I233">
        <v>0</v>
      </c>
      <c r="J233">
        <v>1</v>
      </c>
      <c r="K233">
        <v>0</v>
      </c>
      <c r="L233">
        <v>0</v>
      </c>
      <c r="M233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233" cm="1">
        <f t="array" ref="N233">MAX(IF((ProjectInfoTable[ProjectName]=ContinuousStatsTable[[#This Row],[ProjectName]]),(ProjectInfoTable[ProjectName]=ContinuousStatsTable[[#This Row],[ProjectName]])*ProjectInfoTable[NumberOfReplications]))</f>
        <v>10</v>
      </c>
      <c r="O233" cm="1">
        <f t="array" ref="O233">IFERROR(AVERAGE(IF((ContinuousStatsTable[GroupByKey]=ContinuousStatsTable[[#This Row],[GroupByKey]]),(ContinuousStatsTable[GroupByKey]=ContinuousStatsTable[[#This Row],[GroupByKey]])*ContinuousStatsTable[Average])),0)</f>
        <v>0.47637632373438449</v>
      </c>
      <c r="P233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2.6635978153163645E-5</v>
      </c>
      <c r="Q233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1.9054230919149366E-5</v>
      </c>
      <c r="S233" cm="1">
        <f t="array" ref="S233">MIN(IF((ContinuousStatsTable[GroupByKey]=ContinuousStatsTable[[#This Row],[GroupByKey]]),(ContinuousStatsTable[GroupByKey]=ContinuousStatsTable[[#This Row],[GroupByKey]])*ContinuousStatsTable[Average]))</f>
        <v>0.47633465557050603</v>
      </c>
      <c r="T233" cm="1">
        <f t="array" ref="T233">MAX(IF((ContinuousStatsTable[GroupByKey]=ContinuousStatsTable[[#This Row],[GroupByKey]]),(ContinuousStatsTable[GroupByKey]=ContinuousStatsTable[[#This Row],[GroupByKey]])*ContinuousStatsTable[Average]))</f>
        <v>0.47641329732322302</v>
      </c>
      <c r="U233">
        <f>IF((ContinuousStatsTable[[#This Row],[RepsRequested]]&gt;1),ContinuousStatsTable[[#This Row],[HalfWidth]],ContinuousStatsTable[[#This Row],[BatchMeansHalfWidth]])</f>
        <v>1.9054230919149366E-5</v>
      </c>
    </row>
    <row r="234" spans="1:21" x14ac:dyDescent="0.25">
      <c r="A234" t="s">
        <v>67</v>
      </c>
      <c r="B234" t="s">
        <v>243</v>
      </c>
      <c r="C234">
        <v>3</v>
      </c>
      <c r="D234" t="s">
        <v>138</v>
      </c>
      <c r="E234" t="s">
        <v>114</v>
      </c>
      <c r="F234" t="s">
        <v>113</v>
      </c>
      <c r="G234">
        <v>0.47635794102052997</v>
      </c>
      <c r="H234">
        <v>2E+20</v>
      </c>
      <c r="I234">
        <v>0</v>
      </c>
      <c r="J234">
        <v>1</v>
      </c>
      <c r="K234">
        <v>0</v>
      </c>
      <c r="L234">
        <v>0</v>
      </c>
      <c r="M234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234" cm="1">
        <f t="array" ref="N234">MAX(IF((ProjectInfoTable[ProjectName]=ContinuousStatsTable[[#This Row],[ProjectName]]),(ProjectInfoTable[ProjectName]=ContinuousStatsTable[[#This Row],[ProjectName]])*ProjectInfoTable[NumberOfReplications]))</f>
        <v>10</v>
      </c>
      <c r="O234" cm="1">
        <f t="array" ref="O234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234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234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234" cm="1">
        <f t="array" ref="S234">MIN(IF((ContinuousStatsTable[GroupByKey]=ContinuousStatsTable[[#This Row],[GroupByKey]]),(ContinuousStatsTable[GroupByKey]=ContinuousStatsTable[[#This Row],[GroupByKey]])*ContinuousStatsTable[Average]))</f>
        <v>0.47633465557050603</v>
      </c>
      <c r="T234" cm="1">
        <f t="array" ref="T234">MAX(IF((ContinuousStatsTable[GroupByKey]=ContinuousStatsTable[[#This Row],[GroupByKey]]),(ContinuousStatsTable[GroupByKey]=ContinuousStatsTable[[#This Row],[GroupByKey]])*ContinuousStatsTable[Average]))</f>
        <v>0.47641329732322302</v>
      </c>
      <c r="U234">
        <f>IF((ContinuousStatsTable[[#This Row],[RepsRequested]]&gt;1),ContinuousStatsTable[[#This Row],[HalfWidth]],ContinuousStatsTable[[#This Row],[BatchMeansHalfWidth]])</f>
        <v>1.9054230919217752E-5</v>
      </c>
    </row>
    <row r="235" spans="1:21" x14ac:dyDescent="0.25">
      <c r="A235" t="s">
        <v>67</v>
      </c>
      <c r="B235" t="s">
        <v>243</v>
      </c>
      <c r="C235">
        <v>3</v>
      </c>
      <c r="D235" t="s">
        <v>138</v>
      </c>
      <c r="E235" t="s">
        <v>115</v>
      </c>
      <c r="F235" t="s">
        <v>113</v>
      </c>
      <c r="G235">
        <v>0.476190476190476</v>
      </c>
      <c r="H235">
        <v>2E+20</v>
      </c>
      <c r="I235">
        <v>0</v>
      </c>
      <c r="J235">
        <v>1</v>
      </c>
      <c r="K235">
        <v>0</v>
      </c>
      <c r="L235">
        <v>0</v>
      </c>
      <c r="M235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235" cm="1">
        <f t="array" ref="N235">MAX(IF((ProjectInfoTable[ProjectName]=ContinuousStatsTable[[#This Row],[ProjectName]]),(ProjectInfoTable[ProjectName]=ContinuousStatsTable[[#This Row],[ProjectName]])*ProjectInfoTable[NumberOfReplications]))</f>
        <v>10</v>
      </c>
      <c r="O235" cm="1">
        <f t="array" ref="O235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3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cm="1">
        <f t="array" ref="S235">MIN(IF((ContinuousStatsTable[GroupByKey]=ContinuousStatsTable[[#This Row],[GroupByKey]]),(ContinuousStatsTable[GroupByKey]=ContinuousStatsTable[[#This Row],[GroupByKey]])*ContinuousStatsTable[Average]))</f>
        <v>0.476190476190476</v>
      </c>
      <c r="T235" cm="1">
        <f t="array" ref="T235">MAX(IF((ContinuousStatsTable[GroupByKey]=ContinuousStatsTable[[#This Row],[GroupByKey]]),(ContinuousStatsTable[GroupByKey]=ContinuousStatsTable[[#This Row],[GroupByKey]])*ContinuousStatsTable[Average]))</f>
        <v>0.476190476190476</v>
      </c>
      <c r="U23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67</v>
      </c>
      <c r="B236" t="s">
        <v>243</v>
      </c>
      <c r="C236">
        <v>3</v>
      </c>
      <c r="D236" t="s">
        <v>83</v>
      </c>
      <c r="E236" t="s">
        <v>116</v>
      </c>
      <c r="F236" t="s">
        <v>71</v>
      </c>
      <c r="G236">
        <v>2.4278823774857099E-5</v>
      </c>
      <c r="H236">
        <v>2E+20</v>
      </c>
      <c r="I236">
        <v>0</v>
      </c>
      <c r="J236">
        <v>1</v>
      </c>
      <c r="K236">
        <v>0</v>
      </c>
      <c r="L236">
        <v>0</v>
      </c>
      <c r="M236" t="str">
        <f>ContinuousStatsTable[[#This Row],[ProjectName]]&amp;ContinuousStatsTable[[#This Row],[Name]]&amp;ContinuousStatsTable[[#This Row],[Type]]&amp;ContinuousStatsTable[[#This Row],[Source]]</f>
        <v>Unnamed ProjectMatch 1.Queue1Number WaitingQueue</v>
      </c>
      <c r="N236" cm="1">
        <f t="array" ref="N236">MAX(IF((ProjectInfoTable[ProjectName]=ContinuousStatsTable[[#This Row],[ProjectName]]),(ProjectInfoTable[ProjectName]=ContinuousStatsTable[[#This Row],[ProjectName]])*ProjectInfoTable[NumberOfReplications]))</f>
        <v>10</v>
      </c>
      <c r="O236" cm="1">
        <f t="array" ref="O236">IFERROR(AVERAGE(IF((ContinuousStatsTable[GroupByKey]=ContinuousStatsTable[[#This Row],[GroupByKey]]),(ContinuousStatsTable[GroupByKey]=ContinuousStatsTable[[#This Row],[GroupByKey]])*ContinuousStatsTable[Average])),0)</f>
        <v>2.9170315053456471E-5</v>
      </c>
      <c r="P236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7.7933109083950271E-6</v>
      </c>
      <c r="Q236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5.5749987786968959E-6</v>
      </c>
      <c r="S236" cm="1">
        <f t="array" ref="S236">MIN(IF((ContinuousStatsTable[GroupByKey]=ContinuousStatsTable[[#This Row],[GroupByKey]]),(ContinuousStatsTable[GroupByKey]=ContinuousStatsTable[[#This Row],[GroupByKey]])*ContinuousStatsTable[Average]))</f>
        <v>1.80144253291803E-5</v>
      </c>
      <c r="T236" cm="1">
        <f t="array" ref="T236">MAX(IF((ContinuousStatsTable[GroupByKey]=ContinuousStatsTable[[#This Row],[GroupByKey]]),(ContinuousStatsTable[GroupByKey]=ContinuousStatsTable[[#This Row],[GroupByKey]])*ContinuousStatsTable[Average]))</f>
        <v>4.21406992387485E-5</v>
      </c>
      <c r="U236">
        <f>IF((ContinuousStatsTable[[#This Row],[RepsRequested]]&gt;1),ContinuousStatsTable[[#This Row],[HalfWidth]],ContinuousStatsTable[[#This Row],[BatchMeansHalfWidth]])</f>
        <v>5.5749987786968959E-6</v>
      </c>
    </row>
    <row r="237" spans="1:21" x14ac:dyDescent="0.25">
      <c r="A237" t="s">
        <v>67</v>
      </c>
      <c r="B237" t="s">
        <v>243</v>
      </c>
      <c r="C237">
        <v>3</v>
      </c>
      <c r="D237" t="s">
        <v>84</v>
      </c>
      <c r="E237" t="s">
        <v>116</v>
      </c>
      <c r="F237" t="s">
        <v>71</v>
      </c>
      <c r="G237">
        <v>875.48864670827095</v>
      </c>
      <c r="H237">
        <v>3E+20</v>
      </c>
      <c r="I237">
        <v>0</v>
      </c>
      <c r="J237">
        <v>1689</v>
      </c>
      <c r="K237">
        <v>1689</v>
      </c>
      <c r="L237">
        <v>0</v>
      </c>
      <c r="M237" t="str">
        <f>ContinuousStatsTable[[#This Row],[ProjectName]]&amp;ContinuousStatsTable[[#This Row],[Name]]&amp;ContinuousStatsTable[[#This Row],[Type]]&amp;ContinuousStatsTable[[#This Row],[Source]]</f>
        <v>Unnamed ProjectMatch 1.Queue2Number WaitingQueue</v>
      </c>
      <c r="N237" cm="1">
        <f t="array" ref="N237">MAX(IF((ProjectInfoTable[ProjectName]=ContinuousStatsTable[[#This Row],[ProjectName]]),(ProjectInfoTable[ProjectName]=ContinuousStatsTable[[#This Row],[ProjectName]])*ProjectInfoTable[NumberOfReplications]))</f>
        <v>10</v>
      </c>
      <c r="O237" cm="1">
        <f t="array" ref="O237">IFERROR(AVERAGE(IF((ContinuousStatsTable[GroupByKey]=ContinuousStatsTable[[#This Row],[GroupByKey]]),(ContinuousStatsTable[GroupByKey]=ContinuousStatsTable[[#This Row],[GroupByKey]])*ContinuousStatsTable[Average])),0)</f>
        <v>867.85098767897125</v>
      </c>
      <c r="P237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5.9823523640247513</v>
      </c>
      <c r="Q237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4.2795170775550373</v>
      </c>
      <c r="S237" cm="1">
        <f t="array" ref="S237">MIN(IF((ContinuousStatsTable[GroupByKey]=ContinuousStatsTable[[#This Row],[GroupByKey]]),(ContinuousStatsTable[GroupByKey]=ContinuousStatsTable[[#This Row],[GroupByKey]])*ContinuousStatsTable[Average]))</f>
        <v>858.49288388840398</v>
      </c>
      <c r="T237" cm="1">
        <f t="array" ref="T237">MAX(IF((ContinuousStatsTable[GroupByKey]=ContinuousStatsTable[[#This Row],[GroupByKey]]),(ContinuousStatsTable[GroupByKey]=ContinuousStatsTable[[#This Row],[GroupByKey]])*ContinuousStatsTable[Average]))</f>
        <v>875.80608811200398</v>
      </c>
      <c r="U237">
        <f>IF((ContinuousStatsTable[[#This Row],[RepsRequested]]&gt;1),ContinuousStatsTable[[#This Row],[HalfWidth]],ContinuousStatsTable[[#This Row],[BatchMeansHalfWidth]])</f>
        <v>4.2795170775550373</v>
      </c>
    </row>
    <row r="238" spans="1:21" x14ac:dyDescent="0.25">
      <c r="A238" t="s">
        <v>67</v>
      </c>
      <c r="B238" t="s">
        <v>243</v>
      </c>
      <c r="C238">
        <v>3</v>
      </c>
      <c r="D238" t="s">
        <v>85</v>
      </c>
      <c r="E238" t="s">
        <v>116</v>
      </c>
      <c r="F238" t="s">
        <v>71</v>
      </c>
      <c r="G238">
        <v>1375.17190829069</v>
      </c>
      <c r="H238">
        <v>3E+20</v>
      </c>
      <c r="I238">
        <v>0</v>
      </c>
      <c r="J238">
        <v>2654</v>
      </c>
      <c r="K238">
        <v>2654</v>
      </c>
      <c r="L238">
        <v>0</v>
      </c>
      <c r="M238" t="str">
        <f>ContinuousStatsTable[[#This Row],[ProjectName]]&amp;ContinuousStatsTable[[#This Row],[Name]]&amp;ContinuousStatsTable[[#This Row],[Type]]&amp;ContinuousStatsTable[[#This Row],[Source]]</f>
        <v>Unnamed ProjectMatch 1.Queue3Number WaitingQueue</v>
      </c>
      <c r="N238" cm="1">
        <f t="array" ref="N238">MAX(IF((ProjectInfoTable[ProjectName]=ContinuousStatsTable[[#This Row],[ProjectName]]),(ProjectInfoTable[ProjectName]=ContinuousStatsTable[[#This Row],[ProjectName]])*ProjectInfoTable[NumberOfReplications]))</f>
        <v>10</v>
      </c>
      <c r="O238" cm="1">
        <f t="array" ref="O238">IFERROR(AVERAGE(IF((ContinuousStatsTable[GroupByKey]=ContinuousStatsTable[[#This Row],[GroupByKey]]),(ContinuousStatsTable[GroupByKey]=ContinuousStatsTable[[#This Row],[GroupByKey]])*ContinuousStatsTable[Average])),0)</f>
        <v>1368.6640709815952</v>
      </c>
      <c r="P238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5.3961917051273351</v>
      </c>
      <c r="Q238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3.860203002204456</v>
      </c>
      <c r="S238" cm="1">
        <f t="array" ref="S238">MIN(IF((ContinuousStatsTable[GroupByKey]=ContinuousStatsTable[[#This Row],[GroupByKey]]),(ContinuousStatsTable[GroupByKey]=ContinuousStatsTable[[#This Row],[GroupByKey]])*ContinuousStatsTable[Average]))</f>
        <v>1357.5761788714599</v>
      </c>
      <c r="T238" cm="1">
        <f t="array" ref="T238">MAX(IF((ContinuousStatsTable[GroupByKey]=ContinuousStatsTable[[#This Row],[GroupByKey]]),(ContinuousStatsTable[GroupByKey]=ContinuousStatsTable[[#This Row],[GroupByKey]])*ContinuousStatsTable[Average]))</f>
        <v>1375.17190829069</v>
      </c>
      <c r="U238">
        <f>IF((ContinuousStatsTable[[#This Row],[RepsRequested]]&gt;1),ContinuousStatsTable[[#This Row],[HalfWidth]],ContinuousStatsTable[[#This Row],[BatchMeansHalfWidth]])</f>
        <v>3.860203002204456</v>
      </c>
    </row>
    <row r="239" spans="1:21" x14ac:dyDescent="0.25">
      <c r="A239" t="s">
        <v>67</v>
      </c>
      <c r="B239" t="s">
        <v>243</v>
      </c>
      <c r="C239">
        <v>3</v>
      </c>
      <c r="D239" t="s">
        <v>139</v>
      </c>
      <c r="E239" t="s">
        <v>112</v>
      </c>
      <c r="F239" t="s">
        <v>113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239" cm="1">
        <f t="array" ref="N239">MAX(IF((ProjectInfoTable[ProjectName]=ContinuousStatsTable[[#This Row],[ProjectName]]),(ProjectInfoTable[ProjectName]=ContinuousStatsTable[[#This Row],[ProjectName]])*ProjectInfoTable[NumberOfReplications]))</f>
        <v>10</v>
      </c>
      <c r="O239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67</v>
      </c>
      <c r="B240" t="s">
        <v>243</v>
      </c>
      <c r="C240">
        <v>3</v>
      </c>
      <c r="D240" t="s">
        <v>139</v>
      </c>
      <c r="E240" t="s">
        <v>114</v>
      </c>
      <c r="F240" t="s">
        <v>113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240" cm="1">
        <f t="array" ref="N240">MAX(IF((ProjectInfoTable[ProjectName]=ContinuousStatsTable[[#This Row],[ProjectName]]),(ProjectInfoTable[ProjectName]=ContinuousStatsTable[[#This Row],[ProjectName]])*ProjectInfoTable[NumberOfReplications]))</f>
        <v>10</v>
      </c>
      <c r="O240" cm="1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cm="1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67</v>
      </c>
      <c r="B241" t="s">
        <v>243</v>
      </c>
      <c r="C241">
        <v>3</v>
      </c>
      <c r="D241" t="s">
        <v>139</v>
      </c>
      <c r="E241" t="s">
        <v>115</v>
      </c>
      <c r="F241" t="s">
        <v>113</v>
      </c>
      <c r="G241">
        <v>0.26785714285714302</v>
      </c>
      <c r="H241">
        <v>2E+20</v>
      </c>
      <c r="I241">
        <v>0</v>
      </c>
      <c r="J241">
        <v>1</v>
      </c>
      <c r="K241">
        <v>1</v>
      </c>
      <c r="L241">
        <v>0</v>
      </c>
      <c r="M241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241" cm="1">
        <f t="array" ref="N241">MAX(IF((ProjectInfoTable[ProjectName]=ContinuousStatsTable[[#This Row],[ProjectName]]),(ProjectInfoTable[ProjectName]=ContinuousStatsTable[[#This Row],[ProjectName]])*ProjectInfoTable[NumberOfReplications]))</f>
        <v>10</v>
      </c>
      <c r="O241" cm="1">
        <f t="array" ref="O241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241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241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241" cm="1">
        <f t="array" ref="S241">MIN(IF((ContinuousStatsTable[GroupByKey]=ContinuousStatsTable[[#This Row],[GroupByKey]]),(ContinuousStatsTable[GroupByKey]=ContinuousStatsTable[[#This Row],[GroupByKey]])*ContinuousStatsTable[Average]))</f>
        <v>0.26785714285714302</v>
      </c>
      <c r="T241" cm="1">
        <f t="array" ref="T241">MAX(IF((ContinuousStatsTable[GroupByKey]=ContinuousStatsTable[[#This Row],[GroupByKey]]),(ContinuousStatsTable[GroupByKey]=ContinuousStatsTable[[#This Row],[GroupByKey]])*ContinuousStatsTable[Average]))</f>
        <v>0.26785714285714302</v>
      </c>
      <c r="U241">
        <f>IF((ContinuousStatsTable[[#This Row],[RepsRequested]]&gt;1),ContinuousStatsTable[[#This Row],[HalfWidth]],ContinuousStatsTable[[#This Row],[BatchMeansHalfWidth]])</f>
        <v>4.1858316124321422E-17</v>
      </c>
    </row>
    <row r="242" spans="1:21" x14ac:dyDescent="0.25">
      <c r="A242" t="s">
        <v>67</v>
      </c>
      <c r="B242" t="s">
        <v>243</v>
      </c>
      <c r="C242">
        <v>3</v>
      </c>
      <c r="D242" t="s">
        <v>140</v>
      </c>
      <c r="E242" t="s">
        <v>112</v>
      </c>
      <c r="F242" t="s">
        <v>113</v>
      </c>
      <c r="G242">
        <v>9.4142388003996894E-2</v>
      </c>
      <c r="H242">
        <v>2E+20</v>
      </c>
      <c r="I242">
        <v>0</v>
      </c>
      <c r="J242">
        <v>1</v>
      </c>
      <c r="K242">
        <v>0</v>
      </c>
      <c r="L242">
        <v>0</v>
      </c>
      <c r="M242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242" cm="1">
        <f t="array" ref="N242">MAX(IF((ProjectInfoTable[ProjectName]=ContinuousStatsTable[[#This Row],[ProjectName]]),(ProjectInfoTable[ProjectName]=ContinuousStatsTable[[#This Row],[ProjectName]])*ProjectInfoTable[NumberOfReplications]))</f>
        <v>10</v>
      </c>
      <c r="O242" cm="1">
        <f t="array" ref="O242">IFERROR(AVERAGE(IF((ContinuousStatsTable[GroupByKey]=ContinuousStatsTable[[#This Row],[GroupByKey]]),(ContinuousStatsTable[GroupByKey]=ContinuousStatsTable[[#This Row],[GroupByKey]])*ContinuousStatsTable[Average])),0)</f>
        <v>8.7684406282387828E-2</v>
      </c>
      <c r="P242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242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242" cm="1">
        <f t="array" ref="S242">MIN(IF((ContinuousStatsTable[GroupByKey]=ContinuousStatsTable[[#This Row],[GroupByKey]]),(ContinuousStatsTable[GroupByKey]=ContinuousStatsTable[[#This Row],[GroupByKey]])*ContinuousStatsTable[Average]))</f>
        <v>7.2143522330073706E-2</v>
      </c>
      <c r="T242" cm="1">
        <f t="array" ref="T242">MAX(IF((ContinuousStatsTable[GroupByKey]=ContinuousStatsTable[[#This Row],[GroupByKey]]),(ContinuousStatsTable[GroupByKey]=ContinuousStatsTable[[#This Row],[GroupByKey]])*ContinuousStatsTable[Average]))</f>
        <v>0.105326430117076</v>
      </c>
      <c r="U242">
        <f>IF((ContinuousStatsTable[[#This Row],[RepsRequested]]&gt;1),ContinuousStatsTable[[#This Row],[HalfWidth]],ContinuousStatsTable[[#This Row],[BatchMeansHalfWidth]])</f>
        <v>6.7395853500387742E-3</v>
      </c>
    </row>
    <row r="243" spans="1:21" x14ac:dyDescent="0.25">
      <c r="A243" t="s">
        <v>67</v>
      </c>
      <c r="B243" t="s">
        <v>243</v>
      </c>
      <c r="C243">
        <v>3</v>
      </c>
      <c r="D243" t="s">
        <v>140</v>
      </c>
      <c r="E243" t="s">
        <v>114</v>
      </c>
      <c r="F243" t="s">
        <v>113</v>
      </c>
      <c r="G243">
        <v>9.4142388003996894E-2</v>
      </c>
      <c r="H243">
        <v>2E+20</v>
      </c>
      <c r="I243">
        <v>0</v>
      </c>
      <c r="J243">
        <v>1</v>
      </c>
      <c r="K243">
        <v>0</v>
      </c>
      <c r="L243">
        <v>0</v>
      </c>
      <c r="M243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243" cm="1">
        <f t="array" ref="N243">MAX(IF((ProjectInfoTable[ProjectName]=ContinuousStatsTable[[#This Row],[ProjectName]]),(ProjectInfoTable[ProjectName]=ContinuousStatsTable[[#This Row],[ProjectName]])*ProjectInfoTable[NumberOfReplications]))</f>
        <v>10</v>
      </c>
      <c r="O243" cm="1">
        <f t="array" ref="O243">IFERROR(AVERAGE(IF((ContinuousStatsTable[GroupByKey]=ContinuousStatsTable[[#This Row],[GroupByKey]]),(ContinuousStatsTable[GroupByKey]=ContinuousStatsTable[[#This Row],[GroupByKey]])*ContinuousStatsTable[Average])),0)</f>
        <v>8.7684406282387842E-2</v>
      </c>
      <c r="P243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243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243" cm="1">
        <f t="array" ref="S243">MIN(IF((ContinuousStatsTable[GroupByKey]=ContinuousStatsTable[[#This Row],[GroupByKey]]),(ContinuousStatsTable[GroupByKey]=ContinuousStatsTable[[#This Row],[GroupByKey]])*ContinuousStatsTable[Average]))</f>
        <v>7.2143522330073706E-2</v>
      </c>
      <c r="T243" cm="1">
        <f t="array" ref="T243">MAX(IF((ContinuousStatsTable[GroupByKey]=ContinuousStatsTable[[#This Row],[GroupByKey]]),(ContinuousStatsTable[GroupByKey]=ContinuousStatsTable[[#This Row],[GroupByKey]])*ContinuousStatsTable[Average]))</f>
        <v>0.105326430117076</v>
      </c>
      <c r="U243">
        <f>IF((ContinuousStatsTable[[#This Row],[RepsRequested]]&gt;1),ContinuousStatsTable[[#This Row],[HalfWidth]],ContinuousStatsTable[[#This Row],[BatchMeansHalfWidth]])</f>
        <v>6.7395853500387742E-3</v>
      </c>
    </row>
    <row r="244" spans="1:21" x14ac:dyDescent="0.25">
      <c r="A244" t="s">
        <v>67</v>
      </c>
      <c r="B244" t="s">
        <v>243</v>
      </c>
      <c r="C244">
        <v>3</v>
      </c>
      <c r="D244" t="s">
        <v>140</v>
      </c>
      <c r="E244" t="s">
        <v>115</v>
      </c>
      <c r="F244" t="s">
        <v>113</v>
      </c>
      <c r="G244">
        <v>0.26785714285714302</v>
      </c>
      <c r="H244">
        <v>2E+20</v>
      </c>
      <c r="I244">
        <v>0</v>
      </c>
      <c r="J244">
        <v>1</v>
      </c>
      <c r="K244">
        <v>0</v>
      </c>
      <c r="L244">
        <v>0</v>
      </c>
      <c r="M244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244" cm="1">
        <f t="array" ref="N244">MAX(IF((ProjectInfoTable[ProjectName]=ContinuousStatsTable[[#This Row],[ProjectName]]),(ProjectInfoTable[ProjectName]=ContinuousStatsTable[[#This Row],[ProjectName]])*ProjectInfoTable[NumberOfReplications]))</f>
        <v>10</v>
      </c>
      <c r="O244" cm="1">
        <f t="array" ref="O244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244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244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244" cm="1">
        <f t="array" ref="S244">MIN(IF((ContinuousStatsTable[GroupByKey]=ContinuousStatsTable[[#This Row],[GroupByKey]]),(ContinuousStatsTable[GroupByKey]=ContinuousStatsTable[[#This Row],[GroupByKey]])*ContinuousStatsTable[Average]))</f>
        <v>0.26785714285714302</v>
      </c>
      <c r="T244" cm="1">
        <f t="array" ref="T244">MAX(IF((ContinuousStatsTable[GroupByKey]=ContinuousStatsTable[[#This Row],[GroupByKey]]),(ContinuousStatsTable[GroupByKey]=ContinuousStatsTable[[#This Row],[GroupByKey]])*ContinuousStatsTable[Average]))</f>
        <v>0.26785714285714302</v>
      </c>
      <c r="U244">
        <f>IF((ContinuousStatsTable[[#This Row],[RepsRequested]]&gt;1),ContinuousStatsTable[[#This Row],[HalfWidth]],ContinuousStatsTable[[#This Row],[BatchMeansHalfWidth]])</f>
        <v>4.1858316124321422E-17</v>
      </c>
    </row>
    <row r="245" spans="1:21" x14ac:dyDescent="0.25">
      <c r="A245" t="s">
        <v>67</v>
      </c>
      <c r="B245" t="s">
        <v>243</v>
      </c>
      <c r="C245">
        <v>3</v>
      </c>
      <c r="D245" t="s">
        <v>99</v>
      </c>
      <c r="E245" t="s">
        <v>116</v>
      </c>
      <c r="F245" t="s">
        <v>71</v>
      </c>
      <c r="G245">
        <v>83.349574735165703</v>
      </c>
      <c r="H245">
        <v>2E+20</v>
      </c>
      <c r="I245">
        <v>0</v>
      </c>
      <c r="J245">
        <v>159</v>
      </c>
      <c r="K245">
        <v>159</v>
      </c>
      <c r="L245">
        <v>0</v>
      </c>
      <c r="M245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245" cm="1">
        <f t="array" ref="N245">MAX(IF((ProjectInfoTable[ProjectName]=ContinuousStatsTable[[#This Row],[ProjectName]]),(ProjectInfoTable[ProjectName]=ContinuousStatsTable[[#This Row],[ProjectName]])*ProjectInfoTable[NumberOfReplications]))</f>
        <v>10</v>
      </c>
      <c r="O245" cm="1">
        <f t="array" ref="O245">IFERROR(AVERAGE(IF((ContinuousStatsTable[GroupByKey]=ContinuousStatsTable[[#This Row],[GroupByKey]]),(ContinuousStatsTable[GroupByKey]=ContinuousStatsTable[[#This Row],[GroupByKey]])*ContinuousStatsTable[Average])),0)</f>
        <v>83.474789654582125</v>
      </c>
      <c r="P24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6.0930686050573728</v>
      </c>
      <c r="Q24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4.358718705180836</v>
      </c>
      <c r="S245" cm="1">
        <f t="array" ref="S245">MIN(IF((ContinuousStatsTable[GroupByKey]=ContinuousStatsTable[[#This Row],[GroupByKey]]),(ContinuousStatsTable[GroupByKey]=ContinuousStatsTable[[#This Row],[GroupByKey]])*ContinuousStatsTable[Average]))</f>
        <v>72.152998246910798</v>
      </c>
      <c r="T245" cm="1">
        <f t="array" ref="T245">MAX(IF((ContinuousStatsTable[GroupByKey]=ContinuousStatsTable[[#This Row],[GroupByKey]]),(ContinuousStatsTable[GroupByKey]=ContinuousStatsTable[[#This Row],[GroupByKey]])*ContinuousStatsTable[Average]))</f>
        <v>91.653675793565498</v>
      </c>
      <c r="U245">
        <f>IF((ContinuousStatsTable[[#This Row],[RepsRequested]]&gt;1),ContinuousStatsTable[[#This Row],[HalfWidth]],ContinuousStatsTable[[#This Row],[BatchMeansHalfWidth]])</f>
        <v>4.358718705180836</v>
      </c>
    </row>
    <row r="246" spans="1:21" x14ac:dyDescent="0.25">
      <c r="A246" t="s">
        <v>67</v>
      </c>
      <c r="B246" t="s">
        <v>243</v>
      </c>
      <c r="C246">
        <v>3</v>
      </c>
      <c r="D246" t="s">
        <v>100</v>
      </c>
      <c r="E246" t="s">
        <v>116</v>
      </c>
      <c r="F246" t="s">
        <v>71</v>
      </c>
      <c r="G246">
        <v>0.58818854175612401</v>
      </c>
      <c r="H246">
        <v>2E+20</v>
      </c>
      <c r="I246">
        <v>0</v>
      </c>
      <c r="J246">
        <v>3</v>
      </c>
      <c r="K246">
        <v>2</v>
      </c>
      <c r="L246">
        <v>0</v>
      </c>
      <c r="M246" t="str">
        <f>ContinuousStatsTable[[#This Row],[ProjectName]]&amp;ContinuousStatsTable[[#This Row],[Name]]&amp;ContinuousStatsTable[[#This Row],[Type]]&amp;ContinuousStatsTable[[#This Row],[Source]]</f>
        <v>Unnamed ProjectSeize 10.QueueNumber WaitingQueue</v>
      </c>
      <c r="N246" cm="1">
        <f t="array" ref="N246">MAX(IF((ProjectInfoTable[ProjectName]=ContinuousStatsTable[[#This Row],[ProjectName]]),(ProjectInfoTable[ProjectName]=ContinuousStatsTable[[#This Row],[ProjectName]])*ProjectInfoTable[NumberOfReplications]))</f>
        <v>10</v>
      </c>
      <c r="O246" cm="1">
        <f t="array" ref="O246">IFERROR(AVERAGE(IF((ContinuousStatsTable[GroupByKey]=ContinuousStatsTable[[#This Row],[GroupByKey]]),(ContinuousStatsTable[GroupByKey]=ContinuousStatsTable[[#This Row],[GroupByKey]])*ContinuousStatsTable[Average])),0)</f>
        <v>0.77451739131190445</v>
      </c>
      <c r="P246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0.14034110421466847</v>
      </c>
      <c r="Q246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0.10039397809151185</v>
      </c>
      <c r="S246" cm="1">
        <f t="array" ref="S246">MIN(IF((ContinuousStatsTable[GroupByKey]=ContinuousStatsTable[[#This Row],[GroupByKey]]),(ContinuousStatsTable[GroupByKey]=ContinuousStatsTable[[#This Row],[GroupByKey]])*ContinuousStatsTable[Average]))</f>
        <v>0.57599630674201496</v>
      </c>
      <c r="T246" cm="1">
        <f t="array" ref="T246">MAX(IF((ContinuousStatsTable[GroupByKey]=ContinuousStatsTable[[#This Row],[GroupByKey]]),(ContinuousStatsTable[GroupByKey]=ContinuousStatsTable[[#This Row],[GroupByKey]])*ContinuousStatsTable[Average]))</f>
        <v>0.944128153448903</v>
      </c>
      <c r="U246">
        <f>IF((ContinuousStatsTable[[#This Row],[RepsRequested]]&gt;1),ContinuousStatsTable[[#This Row],[HalfWidth]],ContinuousStatsTable[[#This Row],[BatchMeansHalfWidth]])</f>
        <v>0.10039397809151185</v>
      </c>
    </row>
    <row r="247" spans="1:21" x14ac:dyDescent="0.25">
      <c r="A247" t="s">
        <v>67</v>
      </c>
      <c r="B247" t="s">
        <v>243</v>
      </c>
      <c r="C247">
        <v>3</v>
      </c>
      <c r="D247" t="s">
        <v>101</v>
      </c>
      <c r="E247" t="s">
        <v>116</v>
      </c>
      <c r="F247" t="s">
        <v>71</v>
      </c>
      <c r="G247">
        <v>20.506857457697901</v>
      </c>
      <c r="H247">
        <v>2E+20</v>
      </c>
      <c r="I247">
        <v>0</v>
      </c>
      <c r="J247">
        <v>124</v>
      </c>
      <c r="K247">
        <v>0</v>
      </c>
      <c r="L247">
        <v>0</v>
      </c>
      <c r="M247" t="str">
        <f>ContinuousStatsTable[[#This Row],[ProjectName]]&amp;ContinuousStatsTable[[#This Row],[Name]]&amp;ContinuousStatsTable[[#This Row],[Type]]&amp;ContinuousStatsTable[[#This Row],[Source]]</f>
        <v>Unnamed ProjectSeize 11.QueueNumber WaitingQueue</v>
      </c>
      <c r="N247" cm="1">
        <f t="array" ref="N247">MAX(IF((ProjectInfoTable[ProjectName]=ContinuousStatsTable[[#This Row],[ProjectName]]),(ProjectInfoTable[ProjectName]=ContinuousStatsTable[[#This Row],[ProjectName]])*ProjectInfoTable[NumberOfReplications]))</f>
        <v>10</v>
      </c>
      <c r="O247" cm="1">
        <f t="array" ref="O247">IFERROR(AVERAGE(IF((ContinuousStatsTable[GroupByKey]=ContinuousStatsTable[[#This Row],[GroupByKey]]),(ContinuousStatsTable[GroupByKey]=ContinuousStatsTable[[#This Row],[GroupByKey]])*ContinuousStatsTable[Average])),0)</f>
        <v>17.495844600024782</v>
      </c>
      <c r="P247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4.1567315260337745</v>
      </c>
      <c r="Q247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2.9735466034142406</v>
      </c>
      <c r="S247" cm="1">
        <f t="array" ref="S247">MIN(IF((ContinuousStatsTable[GroupByKey]=ContinuousStatsTable[[#This Row],[GroupByKey]]),(ContinuousStatsTable[GroupByKey]=ContinuousStatsTable[[#This Row],[GroupByKey]])*ContinuousStatsTable[Average]))</f>
        <v>10.770319236854199</v>
      </c>
      <c r="T247" cm="1">
        <f t="array" ref="T247">MAX(IF((ContinuousStatsTable[GroupByKey]=ContinuousStatsTable[[#This Row],[GroupByKey]]),(ContinuousStatsTable[GroupByKey]=ContinuousStatsTable[[#This Row],[GroupByKey]])*ContinuousStatsTable[Average]))</f>
        <v>25.764658423427701</v>
      </c>
      <c r="U247">
        <f>IF((ContinuousStatsTable[[#This Row],[RepsRequested]]&gt;1),ContinuousStatsTable[[#This Row],[HalfWidth]],ContinuousStatsTable[[#This Row],[BatchMeansHalfWidth]])</f>
        <v>2.9735466034142406</v>
      </c>
    </row>
    <row r="248" spans="1:21" x14ac:dyDescent="0.25">
      <c r="A248" t="s">
        <v>67</v>
      </c>
      <c r="B248" t="s">
        <v>243</v>
      </c>
      <c r="C248">
        <v>3</v>
      </c>
      <c r="D248" t="s">
        <v>102</v>
      </c>
      <c r="E248" t="s">
        <v>116</v>
      </c>
      <c r="F248" t="s">
        <v>71</v>
      </c>
      <c r="G248">
        <v>1.31440923400912</v>
      </c>
      <c r="H248">
        <v>3E+20</v>
      </c>
      <c r="I248">
        <v>0</v>
      </c>
      <c r="J248">
        <v>4</v>
      </c>
      <c r="K248">
        <v>4</v>
      </c>
      <c r="L248">
        <v>0</v>
      </c>
      <c r="M248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248" cm="1">
        <f t="array" ref="N248">MAX(IF((ProjectInfoTable[ProjectName]=ContinuousStatsTable[[#This Row],[ProjectName]]),(ProjectInfoTable[ProjectName]=ContinuousStatsTable[[#This Row],[ProjectName]])*ProjectInfoTable[NumberOfReplications]))</f>
        <v>10</v>
      </c>
      <c r="O248" cm="1">
        <f t="array" ref="O248">IFERROR(AVERAGE(IF((ContinuousStatsTable[GroupByKey]=ContinuousStatsTable[[#This Row],[GroupByKey]]),(ContinuousStatsTable[GroupByKey]=ContinuousStatsTable[[#This Row],[GroupByKey]])*ContinuousStatsTable[Average])),0)</f>
        <v>1.2334365850159306</v>
      </c>
      <c r="P248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0.34677877772765942</v>
      </c>
      <c r="Q248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0.24807059349154728</v>
      </c>
      <c r="S248" cm="1">
        <f t="array" ref="S248">MIN(IF((ContinuousStatsTable[GroupByKey]=ContinuousStatsTable[[#This Row],[GroupByKey]]),(ContinuousStatsTable[GroupByKey]=ContinuousStatsTable[[#This Row],[GroupByKey]])*ContinuousStatsTable[Average]))</f>
        <v>0.47601596605360202</v>
      </c>
      <c r="T248" cm="1">
        <f t="array" ref="T248">MAX(IF((ContinuousStatsTable[GroupByKey]=ContinuousStatsTable[[#This Row],[GroupByKey]]),(ContinuousStatsTable[GroupByKey]=ContinuousStatsTable[[#This Row],[GroupByKey]])*ContinuousStatsTable[Average]))</f>
        <v>1.5938052921300001</v>
      </c>
      <c r="U248">
        <f>IF((ContinuousStatsTable[[#This Row],[RepsRequested]]&gt;1),ContinuousStatsTable[[#This Row],[HalfWidth]],ContinuousStatsTable[[#This Row],[BatchMeansHalfWidth]])</f>
        <v>0.24807059349154728</v>
      </c>
    </row>
    <row r="249" spans="1:21" x14ac:dyDescent="0.25">
      <c r="A249" t="s">
        <v>67</v>
      </c>
      <c r="B249" t="s">
        <v>243</v>
      </c>
      <c r="C249">
        <v>3</v>
      </c>
      <c r="D249" t="s">
        <v>103</v>
      </c>
      <c r="E249" t="s">
        <v>116</v>
      </c>
      <c r="F249" t="s">
        <v>71</v>
      </c>
      <c r="G249">
        <v>0.14671094436569301</v>
      </c>
      <c r="H249">
        <v>3E+20</v>
      </c>
      <c r="I249">
        <v>0</v>
      </c>
      <c r="J249">
        <v>2</v>
      </c>
      <c r="K249">
        <v>0</v>
      </c>
      <c r="L249">
        <v>0</v>
      </c>
      <c r="M249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249" cm="1">
        <f t="array" ref="N249">MAX(IF((ProjectInfoTable[ProjectName]=ContinuousStatsTable[[#This Row],[ProjectName]]),(ProjectInfoTable[ProjectName]=ContinuousStatsTable[[#This Row],[ProjectName]])*ProjectInfoTable[NumberOfReplications]))</f>
        <v>10</v>
      </c>
      <c r="O249" cm="1">
        <f t="array" ref="O249">IFERROR(AVERAGE(IF((ContinuousStatsTable[GroupByKey]=ContinuousStatsTable[[#This Row],[GroupByKey]]),(ContinuousStatsTable[GroupByKey]=ContinuousStatsTable[[#This Row],[GroupByKey]])*ContinuousStatsTable[Average])),0)</f>
        <v>0.19501309596936622</v>
      </c>
      <c r="P249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0.14771852643081365</v>
      </c>
      <c r="Q249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0.10567146802209269</v>
      </c>
      <c r="S249" cm="1">
        <f t="array" ref="S249">MIN(IF((ContinuousStatsTable[GroupByKey]=ContinuousStatsTable[[#This Row],[GroupByKey]]),(ContinuousStatsTable[GroupByKey]=ContinuousStatsTable[[#This Row],[GroupByKey]])*ContinuousStatsTable[Average]))</f>
        <v>5.2203254973614402E-2</v>
      </c>
      <c r="T249" cm="1">
        <f t="array" ref="T249">MAX(IF((ContinuousStatsTable[GroupByKey]=ContinuousStatsTable[[#This Row],[GroupByKey]]),(ContinuousStatsTable[GroupByKey]=ContinuousStatsTable[[#This Row],[GroupByKey]])*ContinuousStatsTable[Average]))</f>
        <v>0.443638473140476</v>
      </c>
      <c r="U249">
        <f>IF((ContinuousStatsTable[[#This Row],[RepsRequested]]&gt;1),ContinuousStatsTable[[#This Row],[HalfWidth]],ContinuousStatsTable[[#This Row],[BatchMeansHalfWidth]])</f>
        <v>0.10567146802209269</v>
      </c>
    </row>
    <row r="250" spans="1:21" x14ac:dyDescent="0.25">
      <c r="A250" t="s">
        <v>67</v>
      </c>
      <c r="B250" t="s">
        <v>243</v>
      </c>
      <c r="C250">
        <v>3</v>
      </c>
      <c r="D250" t="s">
        <v>104</v>
      </c>
      <c r="E250" t="s">
        <v>116</v>
      </c>
      <c r="F250" t="s">
        <v>71</v>
      </c>
      <c r="G250">
        <v>100.586340982454</v>
      </c>
      <c r="H250">
        <v>3E+20</v>
      </c>
      <c r="I250">
        <v>0</v>
      </c>
      <c r="J250">
        <v>192</v>
      </c>
      <c r="K250">
        <v>192</v>
      </c>
      <c r="L250">
        <v>0</v>
      </c>
      <c r="M250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250" cm="1">
        <f t="array" ref="N250">MAX(IF((ProjectInfoTable[ProjectName]=ContinuousStatsTable[[#This Row],[ProjectName]]),(ProjectInfoTable[ProjectName]=ContinuousStatsTable[[#This Row],[ProjectName]])*ProjectInfoTable[NumberOfReplications]))</f>
        <v>10</v>
      </c>
      <c r="O250" cm="1">
        <f t="array" ref="O250">IFERROR(AVERAGE(IF((ContinuousStatsTable[GroupByKey]=ContinuousStatsTable[[#This Row],[GroupByKey]]),(ContinuousStatsTable[GroupByKey]=ContinuousStatsTable[[#This Row],[GroupByKey]])*ContinuousStatsTable[Average])),0)</f>
        <v>81.226274902651596</v>
      </c>
      <c r="P250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11.159336682409895</v>
      </c>
      <c r="Q250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7.9829085618136846</v>
      </c>
      <c r="S250" cm="1">
        <f t="array" ref="S250">MIN(IF((ContinuousStatsTable[GroupByKey]=ContinuousStatsTable[[#This Row],[GroupByKey]]),(ContinuousStatsTable[GroupByKey]=ContinuousStatsTable[[#This Row],[GroupByKey]])*ContinuousStatsTable[Average]))</f>
        <v>66.053444809788303</v>
      </c>
      <c r="T250" cm="1">
        <f t="array" ref="T250">MAX(IF((ContinuousStatsTable[GroupByKey]=ContinuousStatsTable[[#This Row],[GroupByKey]]),(ContinuousStatsTable[GroupByKey]=ContinuousStatsTable[[#This Row],[GroupByKey]])*ContinuousStatsTable[Average]))</f>
        <v>100.586340982454</v>
      </c>
      <c r="U250">
        <f>IF((ContinuousStatsTable[[#This Row],[RepsRequested]]&gt;1),ContinuousStatsTable[[#This Row],[HalfWidth]],ContinuousStatsTable[[#This Row],[BatchMeansHalfWidth]])</f>
        <v>7.9829085618136846</v>
      </c>
    </row>
    <row r="251" spans="1:21" x14ac:dyDescent="0.25">
      <c r="A251" t="s">
        <v>67</v>
      </c>
      <c r="B251" t="s">
        <v>243</v>
      </c>
      <c r="C251">
        <v>3</v>
      </c>
      <c r="D251" t="s">
        <v>105</v>
      </c>
      <c r="E251" t="s">
        <v>116</v>
      </c>
      <c r="F251" t="s">
        <v>71</v>
      </c>
      <c r="G251">
        <v>1.53637334581858</v>
      </c>
      <c r="H251">
        <v>3E+20</v>
      </c>
      <c r="I251">
        <v>0</v>
      </c>
      <c r="J251">
        <v>2</v>
      </c>
      <c r="K251">
        <v>2</v>
      </c>
      <c r="L251">
        <v>0</v>
      </c>
      <c r="M251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251" cm="1">
        <f t="array" ref="N251">MAX(IF((ProjectInfoTable[ProjectName]=ContinuousStatsTable[[#This Row],[ProjectName]]),(ProjectInfoTable[ProjectName]=ContinuousStatsTable[[#This Row],[ProjectName]])*ProjectInfoTable[NumberOfReplications]))</f>
        <v>10</v>
      </c>
      <c r="O251" cm="1">
        <f t="array" ref="O251">IFERROR(AVERAGE(IF((ContinuousStatsTable[GroupByKey]=ContinuousStatsTable[[#This Row],[GroupByKey]]),(ContinuousStatsTable[GroupByKey]=ContinuousStatsTable[[#This Row],[GroupByKey]])*ContinuousStatsTable[Average])),0)</f>
        <v>1.3234420699844864</v>
      </c>
      <c r="P251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0.23376145670955006</v>
      </c>
      <c r="Q251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0.1672228724069392</v>
      </c>
      <c r="S251" cm="1">
        <f t="array" ref="S251">MIN(IF((ContinuousStatsTable[GroupByKey]=ContinuousStatsTable[[#This Row],[GroupByKey]]),(ContinuousStatsTable[GroupByKey]=ContinuousStatsTable[[#This Row],[GroupByKey]])*ContinuousStatsTable[Average]))</f>
        <v>0.88257428434366503</v>
      </c>
      <c r="T251" cm="1">
        <f t="array" ref="T251">MAX(IF((ContinuousStatsTable[GroupByKey]=ContinuousStatsTable[[#This Row],[GroupByKey]]),(ContinuousStatsTable[GroupByKey]=ContinuousStatsTable[[#This Row],[GroupByKey]])*ContinuousStatsTable[Average]))</f>
        <v>1.5367801636504701</v>
      </c>
      <c r="U251">
        <f>IF((ContinuousStatsTable[[#This Row],[RepsRequested]]&gt;1),ContinuousStatsTable[[#This Row],[HalfWidth]],ContinuousStatsTable[[#This Row],[BatchMeansHalfWidth]])</f>
        <v>0.1672228724069392</v>
      </c>
    </row>
    <row r="252" spans="1:21" x14ac:dyDescent="0.25">
      <c r="A252" t="s">
        <v>67</v>
      </c>
      <c r="B252" t="s">
        <v>243</v>
      </c>
      <c r="C252">
        <v>3</v>
      </c>
      <c r="D252" t="s">
        <v>106</v>
      </c>
      <c r="E252" t="s">
        <v>116</v>
      </c>
      <c r="F252" t="s">
        <v>71</v>
      </c>
      <c r="G252">
        <v>3.22320332829905</v>
      </c>
      <c r="H252">
        <v>3E+20</v>
      </c>
      <c r="I252">
        <v>0</v>
      </c>
      <c r="J252">
        <v>5</v>
      </c>
      <c r="K252">
        <v>2</v>
      </c>
      <c r="L252">
        <v>0</v>
      </c>
      <c r="M252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252" cm="1">
        <f t="array" ref="N252">MAX(IF((ProjectInfoTable[ProjectName]=ContinuousStatsTable[[#This Row],[ProjectName]]),(ProjectInfoTable[ProjectName]=ContinuousStatsTable[[#This Row],[ProjectName]])*ProjectInfoTable[NumberOfReplications]))</f>
        <v>10</v>
      </c>
      <c r="O252" cm="1">
        <f t="array" ref="O252">IFERROR(AVERAGE(IF((ContinuousStatsTable[GroupByKey]=ContinuousStatsTable[[#This Row],[GroupByKey]]),(ContinuousStatsTable[GroupByKey]=ContinuousStatsTable[[#This Row],[GroupByKey]])*ContinuousStatsTable[Average])),0)</f>
        <v>3.295350976306183</v>
      </c>
      <c r="P252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0.30652142094800816</v>
      </c>
      <c r="Q252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0.21927221530309879</v>
      </c>
      <c r="S252" cm="1">
        <f t="array" ref="S252">MIN(IF((ContinuousStatsTable[GroupByKey]=ContinuousStatsTable[[#This Row],[GroupByKey]]),(ContinuousStatsTable[GroupByKey]=ContinuousStatsTable[[#This Row],[GroupByKey]])*ContinuousStatsTable[Average]))</f>
        <v>2.9443042052265702</v>
      </c>
      <c r="T252" cm="1">
        <f t="array" ref="T252">MAX(IF((ContinuousStatsTable[GroupByKey]=ContinuousStatsTable[[#This Row],[GroupByKey]]),(ContinuousStatsTable[GroupByKey]=ContinuousStatsTable[[#This Row],[GroupByKey]])*ContinuousStatsTable[Average]))</f>
        <v>3.9785130958891202</v>
      </c>
      <c r="U252">
        <f>IF((ContinuousStatsTable[[#This Row],[RepsRequested]]&gt;1),ContinuousStatsTable[[#This Row],[HalfWidth]],ContinuousStatsTable[[#This Row],[BatchMeansHalfWidth]])</f>
        <v>0.21927221530309879</v>
      </c>
    </row>
    <row r="253" spans="1:21" x14ac:dyDescent="0.25">
      <c r="A253" t="s">
        <v>67</v>
      </c>
      <c r="B253" t="s">
        <v>243</v>
      </c>
      <c r="C253">
        <v>3</v>
      </c>
      <c r="D253" t="s">
        <v>107</v>
      </c>
      <c r="E253" t="s">
        <v>116</v>
      </c>
      <c r="F253" t="s">
        <v>71</v>
      </c>
      <c r="G253">
        <v>1.6043237057448301</v>
      </c>
      <c r="H253">
        <v>2E+20</v>
      </c>
      <c r="I253">
        <v>0</v>
      </c>
      <c r="J253">
        <v>4</v>
      </c>
      <c r="K253">
        <v>4</v>
      </c>
      <c r="L253">
        <v>0</v>
      </c>
      <c r="M253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253" cm="1">
        <f t="array" ref="N253">MAX(IF((ProjectInfoTable[ProjectName]=ContinuousStatsTable[[#This Row],[ProjectName]]),(ProjectInfoTable[ProjectName]=ContinuousStatsTable[[#This Row],[ProjectName]])*ProjectInfoTable[NumberOfReplications]))</f>
        <v>10</v>
      </c>
      <c r="O253" cm="1">
        <f t="array" ref="O253">IFERROR(AVERAGE(IF((ContinuousStatsTable[GroupByKey]=ContinuousStatsTable[[#This Row],[GroupByKey]]),(ContinuousStatsTable[GroupByKey]=ContinuousStatsTable[[#This Row],[GroupByKey]])*ContinuousStatsTable[Average])),0)</f>
        <v>1.4832039737284362</v>
      </c>
      <c r="P253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0.28170250043427397</v>
      </c>
      <c r="Q253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0.20151782911486205</v>
      </c>
      <c r="S253" cm="1">
        <f t="array" ref="S253">MIN(IF((ContinuousStatsTable[GroupByKey]=ContinuousStatsTable[[#This Row],[GroupByKey]]),(ContinuousStatsTable[GroupByKey]=ContinuousStatsTable[[#This Row],[GroupByKey]])*ContinuousStatsTable[Average]))</f>
        <v>0.850065833369271</v>
      </c>
      <c r="T253" cm="1">
        <f t="array" ref="T253">MAX(IF((ContinuousStatsTable[GroupByKey]=ContinuousStatsTable[[#This Row],[GroupByKey]]),(ContinuousStatsTable[GroupByKey]=ContinuousStatsTable[[#This Row],[GroupByKey]])*ContinuousStatsTable[Average]))</f>
        <v>1.78320590856036</v>
      </c>
      <c r="U253">
        <f>IF((ContinuousStatsTable[[#This Row],[RepsRequested]]&gt;1),ContinuousStatsTable[[#This Row],[HalfWidth]],ContinuousStatsTable[[#This Row],[BatchMeansHalfWidth]])</f>
        <v>0.20151782911486205</v>
      </c>
    </row>
    <row r="254" spans="1:21" x14ac:dyDescent="0.25">
      <c r="A254" t="s">
        <v>67</v>
      </c>
      <c r="B254" t="s">
        <v>243</v>
      </c>
      <c r="C254">
        <v>3</v>
      </c>
      <c r="D254" t="s">
        <v>108</v>
      </c>
      <c r="E254" t="s">
        <v>116</v>
      </c>
      <c r="F254" t="s">
        <v>71</v>
      </c>
      <c r="G254">
        <v>94.488584180465494</v>
      </c>
      <c r="H254">
        <v>3E+20</v>
      </c>
      <c r="I254">
        <v>0</v>
      </c>
      <c r="J254">
        <v>183</v>
      </c>
      <c r="K254">
        <v>183</v>
      </c>
      <c r="L254">
        <v>0</v>
      </c>
      <c r="M254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254" cm="1">
        <f t="array" ref="N254">MAX(IF((ProjectInfoTable[ProjectName]=ContinuousStatsTable[[#This Row],[ProjectName]]),(ProjectInfoTable[ProjectName]=ContinuousStatsTable[[#This Row],[ProjectName]])*ProjectInfoTable[NumberOfReplications]))</f>
        <v>10</v>
      </c>
      <c r="O254" cm="1">
        <f t="array" ref="O254">IFERROR(AVERAGE(IF((ContinuousStatsTable[GroupByKey]=ContinuousStatsTable[[#This Row],[GroupByKey]]),(ContinuousStatsTable[GroupByKey]=ContinuousStatsTable[[#This Row],[GroupByKey]])*ContinuousStatsTable[Average])),0)</f>
        <v>84.673313986400757</v>
      </c>
      <c r="P254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6.3050274623130749</v>
      </c>
      <c r="Q254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4.5103449375003528</v>
      </c>
      <c r="S254" cm="1">
        <f t="array" ref="S254">MIN(IF((ContinuousStatsTable[GroupByKey]=ContinuousStatsTable[[#This Row],[GroupByKey]]),(ContinuousStatsTable[GroupByKey]=ContinuousStatsTable[[#This Row],[GroupByKey]])*ContinuousStatsTable[Average]))</f>
        <v>72.004631303705096</v>
      </c>
      <c r="T254" cm="1">
        <f t="array" ref="T254">MAX(IF((ContinuousStatsTable[GroupByKey]=ContinuousStatsTable[[#This Row],[GroupByKey]]),(ContinuousStatsTable[GroupByKey]=ContinuousStatsTable[[#This Row],[GroupByKey]])*ContinuousStatsTable[Average]))</f>
        <v>94.488584180465494</v>
      </c>
      <c r="U254">
        <f>IF((ContinuousStatsTable[[#This Row],[RepsRequested]]&gt;1),ContinuousStatsTable[[#This Row],[HalfWidth]],ContinuousStatsTable[[#This Row],[BatchMeansHalfWidth]])</f>
        <v>4.5103449375003528</v>
      </c>
    </row>
    <row r="255" spans="1:21" x14ac:dyDescent="0.25">
      <c r="A255" t="s">
        <v>67</v>
      </c>
      <c r="B255" t="s">
        <v>243</v>
      </c>
      <c r="C255">
        <v>3</v>
      </c>
      <c r="D255" t="s">
        <v>109</v>
      </c>
      <c r="E255" t="s">
        <v>116</v>
      </c>
      <c r="F255" t="s">
        <v>71</v>
      </c>
      <c r="G255">
        <v>3.1729306324643498</v>
      </c>
      <c r="H255">
        <v>3E+20</v>
      </c>
      <c r="I255">
        <v>0</v>
      </c>
      <c r="J255">
        <v>4</v>
      </c>
      <c r="K255">
        <v>3</v>
      </c>
      <c r="L255">
        <v>0</v>
      </c>
      <c r="M255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255" cm="1">
        <f t="array" ref="N255">MAX(IF((ProjectInfoTable[ProjectName]=ContinuousStatsTable[[#This Row],[ProjectName]]),(ProjectInfoTable[ProjectName]=ContinuousStatsTable[[#This Row],[ProjectName]])*ProjectInfoTable[NumberOfReplications]))</f>
        <v>10</v>
      </c>
      <c r="O255" cm="1">
        <f t="array" ref="O255">IFERROR(AVERAGE(IF((ContinuousStatsTable[GroupByKey]=ContinuousStatsTable[[#This Row],[GroupByKey]]),(ContinuousStatsTable[GroupByKey]=ContinuousStatsTable[[#This Row],[GroupByKey]])*ContinuousStatsTable[Average])),0)</f>
        <v>3.1643006447829118</v>
      </c>
      <c r="P25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0.56709805972033456</v>
      </c>
      <c r="Q25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0.40567751338350572</v>
      </c>
      <c r="S255" cm="1">
        <f t="array" ref="S255">MIN(IF((ContinuousStatsTable[GroupByKey]=ContinuousStatsTable[[#This Row],[GroupByKey]]),(ContinuousStatsTable[GroupByKey]=ContinuousStatsTable[[#This Row],[GroupByKey]])*ContinuousStatsTable[Average]))</f>
        <v>2.1571183231200299</v>
      </c>
      <c r="T255" cm="1">
        <f t="array" ref="T255">MAX(IF((ContinuousStatsTable[GroupByKey]=ContinuousStatsTable[[#This Row],[GroupByKey]]),(ContinuousStatsTable[GroupByKey]=ContinuousStatsTable[[#This Row],[GroupByKey]])*ContinuousStatsTable[Average]))</f>
        <v>3.7448575603137102</v>
      </c>
      <c r="U255">
        <f>IF((ContinuousStatsTable[[#This Row],[RepsRequested]]&gt;1),ContinuousStatsTable[[#This Row],[HalfWidth]],ContinuousStatsTable[[#This Row],[BatchMeansHalfWidth]])</f>
        <v>0.40567751338350572</v>
      </c>
    </row>
    <row r="256" spans="1:21" x14ac:dyDescent="0.25">
      <c r="A256" t="s">
        <v>67</v>
      </c>
      <c r="B256" t="s">
        <v>243</v>
      </c>
      <c r="C256">
        <v>3</v>
      </c>
      <c r="D256" t="s">
        <v>110</v>
      </c>
      <c r="E256" t="s">
        <v>117</v>
      </c>
      <c r="F256" t="s">
        <v>76</v>
      </c>
      <c r="G256">
        <v>2.89117081535586</v>
      </c>
      <c r="H256">
        <v>3E+20</v>
      </c>
      <c r="I256">
        <v>0</v>
      </c>
      <c r="J256">
        <v>7</v>
      </c>
      <c r="K256">
        <v>3</v>
      </c>
      <c r="L256">
        <v>0</v>
      </c>
      <c r="M256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256" cm="1">
        <f t="array" ref="N256">MAX(IF((ProjectInfoTable[ProjectName]=ContinuousStatsTable[[#This Row],[ProjectName]]),(ProjectInfoTable[ProjectName]=ContinuousStatsTable[[#This Row],[ProjectName]])*ProjectInfoTable[NumberOfReplications]))</f>
        <v>10</v>
      </c>
      <c r="O256" cm="1">
        <f t="array" ref="O256">IFERROR(AVERAGE(IF((ContinuousStatsTable[GroupByKey]=ContinuousStatsTable[[#This Row],[GroupByKey]]),(ContinuousStatsTable[GroupByKey]=ContinuousStatsTable[[#This Row],[GroupByKey]])*ContinuousStatsTable[Average])),0)</f>
        <v>2.7938165767457108</v>
      </c>
      <c r="P256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0.37107770243484822</v>
      </c>
      <c r="Q256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0.26545299708849601</v>
      </c>
      <c r="S256" cm="1">
        <f t="array" ref="S256">MIN(IF((ContinuousStatsTable[GroupByKey]=ContinuousStatsTable[[#This Row],[GroupByKey]]),(ContinuousStatsTable[GroupByKey]=ContinuousStatsTable[[#This Row],[GroupByKey]])*ContinuousStatsTable[Average]))</f>
        <v>2.05988155680273</v>
      </c>
      <c r="T256" cm="1">
        <f t="array" ref="T256">MAX(IF((ContinuousStatsTable[GroupByKey]=ContinuousStatsTable[[#This Row],[GroupByKey]]),(ContinuousStatsTable[GroupByKey]=ContinuousStatsTable[[#This Row],[GroupByKey]])*ContinuousStatsTable[Average]))</f>
        <v>3.2132100714910901</v>
      </c>
      <c r="U256">
        <f>IF((ContinuousStatsTable[[#This Row],[RepsRequested]]&gt;1),ContinuousStatsTable[[#This Row],[HalfWidth]],ContinuousStatsTable[[#This Row],[BatchMeansHalfWidth]])</f>
        <v>0.26545299708849601</v>
      </c>
    </row>
    <row r="257" spans="1:21" x14ac:dyDescent="0.25">
      <c r="A257" t="s">
        <v>67</v>
      </c>
      <c r="B257" t="s">
        <v>243</v>
      </c>
      <c r="C257">
        <v>4</v>
      </c>
      <c r="D257" t="s">
        <v>111</v>
      </c>
      <c r="E257" t="s">
        <v>112</v>
      </c>
      <c r="F257" t="s">
        <v>113</v>
      </c>
      <c r="G257">
        <v>3.5941735992799297E-2</v>
      </c>
      <c r="H257">
        <v>3E+20</v>
      </c>
      <c r="I257">
        <v>0</v>
      </c>
      <c r="J257">
        <v>1</v>
      </c>
      <c r="K257">
        <v>0</v>
      </c>
      <c r="L257">
        <v>0</v>
      </c>
      <c r="M257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257" cm="1">
        <f t="array" ref="N257">MAX(IF((ProjectInfoTable[ProjectName]=ContinuousStatsTable[[#This Row],[ProjectName]]),(ProjectInfoTable[ProjectName]=ContinuousStatsTable[[#This Row],[ProjectName]])*ProjectInfoTable[NumberOfReplications]))</f>
        <v>10</v>
      </c>
      <c r="O257" cm="1">
        <f t="array" ref="O257">IFERROR(AVERAGE(IF((ContinuousStatsTable[GroupByKey]=ContinuousStatsTable[[#This Row],[GroupByKey]]),(ContinuousStatsTable[GroupByKey]=ContinuousStatsTable[[#This Row],[GroupByKey]])*ContinuousStatsTable[Average])),0)</f>
        <v>3.6074566243936998E-2</v>
      </c>
      <c r="P257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6.6761681626786623E-5</v>
      </c>
      <c r="Q257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4.7758430005936653E-5</v>
      </c>
      <c r="S257" cm="1">
        <f t="array" ref="S257">MIN(IF((ContinuousStatsTable[GroupByKey]=ContinuousStatsTable[[#This Row],[GroupByKey]]),(ContinuousStatsTable[GroupByKey]=ContinuousStatsTable[[#This Row],[GroupByKey]])*ContinuousStatsTable[Average]))</f>
        <v>3.5941735992799297E-2</v>
      </c>
      <c r="T257" cm="1">
        <f t="array" ref="T257">MAX(IF((ContinuousStatsTable[GroupByKey]=ContinuousStatsTable[[#This Row],[GroupByKey]]),(ContinuousStatsTable[GroupByKey]=ContinuousStatsTable[[#This Row],[GroupByKey]])*ContinuousStatsTable[Average]))</f>
        <v>3.6177689828441002E-2</v>
      </c>
      <c r="U257">
        <f>IF((ContinuousStatsTable[[#This Row],[RepsRequested]]&gt;1),ContinuousStatsTable[[#This Row],[HalfWidth]],ContinuousStatsTable[[#This Row],[BatchMeansHalfWidth]])</f>
        <v>4.7758430005936653E-5</v>
      </c>
    </row>
    <row r="258" spans="1:21" x14ac:dyDescent="0.25">
      <c r="A258" t="s">
        <v>67</v>
      </c>
      <c r="B258" t="s">
        <v>243</v>
      </c>
      <c r="C258">
        <v>4</v>
      </c>
      <c r="D258" t="s">
        <v>111</v>
      </c>
      <c r="E258" t="s">
        <v>114</v>
      </c>
      <c r="F258" t="s">
        <v>113</v>
      </c>
      <c r="G258">
        <v>3.5941735992799297E-2</v>
      </c>
      <c r="H258">
        <v>3E+20</v>
      </c>
      <c r="I258">
        <v>0</v>
      </c>
      <c r="J258">
        <v>1</v>
      </c>
      <c r="K258">
        <v>0</v>
      </c>
      <c r="L258">
        <v>0</v>
      </c>
      <c r="M258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258" cm="1">
        <f t="array" ref="N258">MAX(IF((ProjectInfoTable[ProjectName]=ContinuousStatsTable[[#This Row],[ProjectName]]),(ProjectInfoTable[ProjectName]=ContinuousStatsTable[[#This Row],[ProjectName]])*ProjectInfoTable[NumberOfReplications]))</f>
        <v>10</v>
      </c>
      <c r="O258" cm="1">
        <f t="array" ref="O258">IFERROR(AVERAGE(IF((ContinuousStatsTable[GroupByKey]=ContinuousStatsTable[[#This Row],[GroupByKey]]),(ContinuousStatsTable[GroupByKey]=ContinuousStatsTable[[#This Row],[GroupByKey]])*ContinuousStatsTable[Average])),0)</f>
        <v>3.6074566243937005E-2</v>
      </c>
      <c r="P258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6.6761681626785268E-5</v>
      </c>
      <c r="Q258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4.7758430005935684E-5</v>
      </c>
      <c r="S258" cm="1">
        <f t="array" ref="S258">MIN(IF((ContinuousStatsTable[GroupByKey]=ContinuousStatsTable[[#This Row],[GroupByKey]]),(ContinuousStatsTable[GroupByKey]=ContinuousStatsTable[[#This Row],[GroupByKey]])*ContinuousStatsTable[Average]))</f>
        <v>3.5941735992799297E-2</v>
      </c>
      <c r="T258" cm="1">
        <f t="array" ref="T258">MAX(IF((ContinuousStatsTable[GroupByKey]=ContinuousStatsTable[[#This Row],[GroupByKey]]),(ContinuousStatsTable[GroupByKey]=ContinuousStatsTable[[#This Row],[GroupByKey]])*ContinuousStatsTable[Average]))</f>
        <v>3.6177689828441002E-2</v>
      </c>
      <c r="U258">
        <f>IF((ContinuousStatsTable[[#This Row],[RepsRequested]]&gt;1),ContinuousStatsTable[[#This Row],[HalfWidth]],ContinuousStatsTable[[#This Row],[BatchMeansHalfWidth]])</f>
        <v>4.7758430005935684E-5</v>
      </c>
    </row>
    <row r="259" spans="1:21" x14ac:dyDescent="0.25">
      <c r="A259" t="s">
        <v>67</v>
      </c>
      <c r="B259" t="s">
        <v>243</v>
      </c>
      <c r="C259">
        <v>4</v>
      </c>
      <c r="D259" t="s">
        <v>111</v>
      </c>
      <c r="E259" t="s">
        <v>115</v>
      </c>
      <c r="F259" t="s">
        <v>113</v>
      </c>
      <c r="G259">
        <v>0.476190476190476</v>
      </c>
      <c r="H259">
        <v>2E+20</v>
      </c>
      <c r="I259">
        <v>0</v>
      </c>
      <c r="J259">
        <v>1</v>
      </c>
      <c r="K259">
        <v>0</v>
      </c>
      <c r="L259">
        <v>0</v>
      </c>
      <c r="M259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259" cm="1">
        <f t="array" ref="N259">MAX(IF((ProjectInfoTable[ProjectName]=ContinuousStatsTable[[#This Row],[ProjectName]]),(ProjectInfoTable[ProjectName]=ContinuousStatsTable[[#This Row],[ProjectName]])*ProjectInfoTable[NumberOfReplications]))</f>
        <v>10</v>
      </c>
      <c r="O259" cm="1">
        <f t="array" ref="O25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59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</v>
      </c>
      <c r="Q259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9" cm="1">
        <f t="array" ref="S259">MIN(IF((ContinuousStatsTable[GroupByKey]=ContinuousStatsTable[[#This Row],[GroupByKey]]),(ContinuousStatsTable[GroupByKey]=ContinuousStatsTable[[#This Row],[GroupByKey]])*ContinuousStatsTable[Average]))</f>
        <v>0.476190476190476</v>
      </c>
      <c r="T259" cm="1">
        <f t="array" ref="T259">MAX(IF((ContinuousStatsTable[GroupByKey]=ContinuousStatsTable[[#This Row],[GroupByKey]]),(ContinuousStatsTable[GroupByKey]=ContinuousStatsTable[[#This Row],[GroupByKey]])*ContinuousStatsTable[Average]))</f>
        <v>0.476190476190476</v>
      </c>
      <c r="U259">
        <f>IF((ContinuousStatsTable[[#This Row],[RepsRequested]]&gt;1),ContinuousStatsTable[[#This Row],[HalfWidth]],ContinuousStatsTable[[#This Row],[BatchMeansHalfWidth]])</f>
        <v>0</v>
      </c>
    </row>
    <row r="260" spans="1:21" x14ac:dyDescent="0.25">
      <c r="A260" t="s">
        <v>67</v>
      </c>
      <c r="B260" t="s">
        <v>243</v>
      </c>
      <c r="C260">
        <v>4</v>
      </c>
      <c r="D260" t="s">
        <v>70</v>
      </c>
      <c r="E260" t="s">
        <v>116</v>
      </c>
      <c r="F260" t="s">
        <v>71</v>
      </c>
      <c r="G260">
        <v>2.29541847167178</v>
      </c>
      <c r="H260">
        <v>3E+20</v>
      </c>
      <c r="I260">
        <v>0</v>
      </c>
      <c r="J260">
        <v>5</v>
      </c>
      <c r="K260">
        <v>1</v>
      </c>
      <c r="L260">
        <v>0</v>
      </c>
      <c r="M260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260" cm="1">
        <f t="array" ref="N260">MAX(IF((ProjectInfoTable[ProjectName]=ContinuousStatsTable[[#This Row],[ProjectName]]),(ProjectInfoTable[ProjectName]=ContinuousStatsTable[[#This Row],[ProjectName]])*ProjectInfoTable[NumberOfReplications]))</f>
        <v>10</v>
      </c>
      <c r="O260" cm="1">
        <f t="array" ref="O260">IFERROR(AVERAGE(IF((ContinuousStatsTable[GroupByKey]=ContinuousStatsTable[[#This Row],[GroupByKey]]),(ContinuousStatsTable[GroupByKey]=ContinuousStatsTable[[#This Row],[GroupByKey]])*ContinuousStatsTable[Average])),0)</f>
        <v>1.983224619189873</v>
      </c>
      <c r="P260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0.29990249131557767</v>
      </c>
      <c r="Q260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0.21453731828040576</v>
      </c>
      <c r="S260" cm="1">
        <f t="array" ref="S260">MIN(IF((ContinuousStatsTable[GroupByKey]=ContinuousStatsTable[[#This Row],[GroupByKey]]),(ContinuousStatsTable[GroupByKey]=ContinuousStatsTable[[#This Row],[GroupByKey]])*ContinuousStatsTable[Average]))</f>
        <v>1.4478959937017499</v>
      </c>
      <c r="T260" cm="1">
        <f t="array" ref="T260">MAX(IF((ContinuousStatsTable[GroupByKey]=ContinuousStatsTable[[#This Row],[GroupByKey]]),(ContinuousStatsTable[GroupByKey]=ContinuousStatsTable[[#This Row],[GroupByKey]])*ContinuousStatsTable[Average]))</f>
        <v>2.3267973127516899</v>
      </c>
      <c r="U260">
        <f>IF((ContinuousStatsTable[[#This Row],[RepsRequested]]&gt;1),ContinuousStatsTable[[#This Row],[HalfWidth]],ContinuousStatsTable[[#This Row],[BatchMeansHalfWidth]])</f>
        <v>0.21453731828040576</v>
      </c>
    </row>
    <row r="261" spans="1:21" x14ac:dyDescent="0.25">
      <c r="A261" t="s">
        <v>67</v>
      </c>
      <c r="B261" t="s">
        <v>243</v>
      </c>
      <c r="C261">
        <v>4</v>
      </c>
      <c r="D261" t="s">
        <v>73</v>
      </c>
      <c r="E261" t="s">
        <v>116</v>
      </c>
      <c r="F261" t="s">
        <v>71</v>
      </c>
      <c r="G261">
        <v>0.25584390949740998</v>
      </c>
      <c r="H261">
        <v>3E+20</v>
      </c>
      <c r="I261">
        <v>0</v>
      </c>
      <c r="J261">
        <v>2</v>
      </c>
      <c r="K261">
        <v>0</v>
      </c>
      <c r="L261">
        <v>0</v>
      </c>
      <c r="M261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261" cm="1">
        <f t="array" ref="N261">MAX(IF((ProjectInfoTable[ProjectName]=ContinuousStatsTable[[#This Row],[ProjectName]]),(ProjectInfoTable[ProjectName]=ContinuousStatsTable[[#This Row],[ProjectName]])*ProjectInfoTable[NumberOfReplications]))</f>
        <v>10</v>
      </c>
      <c r="O261" cm="1">
        <f t="array" ref="O261">IFERROR(AVERAGE(IF((ContinuousStatsTable[GroupByKey]=ContinuousStatsTable[[#This Row],[GroupByKey]]),(ContinuousStatsTable[GroupByKey]=ContinuousStatsTable[[#This Row],[GroupByKey]])*ContinuousStatsTable[Average])),0)</f>
        <v>0.47900820660242172</v>
      </c>
      <c r="P261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0.13717282935395095</v>
      </c>
      <c r="Q261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9.8127530789884315E-2</v>
      </c>
      <c r="S261" cm="1">
        <f t="array" ref="S261">MIN(IF((ContinuousStatsTable[GroupByKey]=ContinuousStatsTable[[#This Row],[GroupByKey]]),(ContinuousStatsTable[GroupByKey]=ContinuousStatsTable[[#This Row],[GroupByKey]])*ContinuousStatsTable[Average]))</f>
        <v>0.25584390949740998</v>
      </c>
      <c r="T261" cm="1">
        <f t="array" ref="T261">MAX(IF((ContinuousStatsTable[GroupByKey]=ContinuousStatsTable[[#This Row],[GroupByKey]]),(ContinuousStatsTable[GroupByKey]=ContinuousStatsTable[[#This Row],[GroupByKey]])*ContinuousStatsTable[Average]))</f>
        <v>0.66613303676888702</v>
      </c>
      <c r="U261">
        <f>IF((ContinuousStatsTable[[#This Row],[RepsRequested]]&gt;1),ContinuousStatsTable[[#This Row],[HalfWidth]],ContinuousStatsTable[[#This Row],[BatchMeansHalfWidth]])</f>
        <v>9.8127530789884315E-2</v>
      </c>
    </row>
    <row r="262" spans="1:21" x14ac:dyDescent="0.25">
      <c r="A262" t="s">
        <v>67</v>
      </c>
      <c r="B262" t="s">
        <v>243</v>
      </c>
      <c r="C262">
        <v>4</v>
      </c>
      <c r="D262" t="s">
        <v>74</v>
      </c>
      <c r="E262" t="s">
        <v>116</v>
      </c>
      <c r="F262" t="s">
        <v>71</v>
      </c>
      <c r="G262">
        <v>0.43434030138631802</v>
      </c>
      <c r="H262">
        <v>3E+20</v>
      </c>
      <c r="I262">
        <v>0</v>
      </c>
      <c r="J262">
        <v>2</v>
      </c>
      <c r="K262">
        <v>1</v>
      </c>
      <c r="L262">
        <v>0</v>
      </c>
      <c r="M262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262" cm="1">
        <f t="array" ref="N262">MAX(IF((ProjectInfoTable[ProjectName]=ContinuousStatsTable[[#This Row],[ProjectName]]),(ProjectInfoTable[ProjectName]=ContinuousStatsTable[[#This Row],[ProjectName]])*ProjectInfoTable[NumberOfReplications]))</f>
        <v>10</v>
      </c>
      <c r="O262" cm="1">
        <f t="array" ref="O262">IFERROR(AVERAGE(IF((ContinuousStatsTable[GroupByKey]=ContinuousStatsTable[[#This Row],[GroupByKey]]),(ContinuousStatsTable[GroupByKey]=ContinuousStatsTable[[#This Row],[GroupByKey]])*ContinuousStatsTable[Average])),0)</f>
        <v>0.41775820490048837</v>
      </c>
      <c r="P262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0.15099462697666188</v>
      </c>
      <c r="Q262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0.1080150491722195</v>
      </c>
      <c r="S262" cm="1">
        <f t="array" ref="S262">MIN(IF((ContinuousStatsTable[GroupByKey]=ContinuousStatsTable[[#This Row],[GroupByKey]]),(ContinuousStatsTable[GroupByKey]=ContinuousStatsTable[[#This Row],[GroupByKey]])*ContinuousStatsTable[Average]))</f>
        <v>0.25632285648643699</v>
      </c>
      <c r="T262" cm="1">
        <f t="array" ref="T262">MAX(IF((ContinuousStatsTable[GroupByKey]=ContinuousStatsTable[[#This Row],[GroupByKey]]),(ContinuousStatsTable[GroupByKey]=ContinuousStatsTable[[#This Row],[GroupByKey]])*ContinuousStatsTable[Average]))</f>
        <v>0.68422762922173497</v>
      </c>
      <c r="U262">
        <f>IF((ContinuousStatsTable[[#This Row],[RepsRequested]]&gt;1),ContinuousStatsTable[[#This Row],[HalfWidth]],ContinuousStatsTable[[#This Row],[BatchMeansHalfWidth]])</f>
        <v>0.1080150491722195</v>
      </c>
    </row>
    <row r="263" spans="1:21" x14ac:dyDescent="0.25">
      <c r="A263" t="s">
        <v>67</v>
      </c>
      <c r="B263" t="s">
        <v>243</v>
      </c>
      <c r="C263">
        <v>4</v>
      </c>
      <c r="D263" t="s">
        <v>75</v>
      </c>
      <c r="E263" t="s">
        <v>117</v>
      </c>
      <c r="F263" t="s">
        <v>76</v>
      </c>
      <c r="G263">
        <v>17.282750324562301</v>
      </c>
      <c r="H263">
        <v>2E+20</v>
      </c>
      <c r="I263">
        <v>0</v>
      </c>
      <c r="J263">
        <v>114</v>
      </c>
      <c r="K263">
        <v>0</v>
      </c>
      <c r="L263">
        <v>0</v>
      </c>
      <c r="M26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63" cm="1">
        <f t="array" ref="N263">MAX(IF((ProjectInfoTable[ProjectName]=ContinuousStatsTable[[#This Row],[ProjectName]]),(ProjectInfoTable[ProjectName]=ContinuousStatsTable[[#This Row],[ProjectName]])*ProjectInfoTable[NumberOfReplications]))</f>
        <v>10</v>
      </c>
      <c r="O263" cm="1">
        <f t="array" ref="O263">IFERROR(AVERAGE(IF((ContinuousStatsTable[GroupByKey]=ContinuousStatsTable[[#This Row],[GroupByKey]]),(ContinuousStatsTable[GroupByKey]=ContinuousStatsTable[[#This Row],[GroupByKey]])*ContinuousStatsTable[Average])),0)</f>
        <v>17.583529006307167</v>
      </c>
      <c r="P263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4.1660214616007023</v>
      </c>
      <c r="Q263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2.9801922229780646</v>
      </c>
      <c r="S263" cm="1">
        <f t="array" ref="S263">MIN(IF((ContinuousStatsTable[GroupByKey]=ContinuousStatsTable[[#This Row],[GroupByKey]]),(ContinuousStatsTable[GroupByKey]=ContinuousStatsTable[[#This Row],[GroupByKey]])*ContinuousStatsTable[Average]))</f>
        <v>10.842462759184199</v>
      </c>
      <c r="T263" cm="1">
        <f t="array" ref="T263">MAX(IF((ContinuousStatsTable[GroupByKey]=ContinuousStatsTable[[#This Row],[GroupByKey]]),(ContinuousStatsTable[GroupByKey]=ContinuousStatsTable[[#This Row],[GroupByKey]])*ContinuousStatsTable[Average]))</f>
        <v>25.8699848535447</v>
      </c>
      <c r="U263">
        <f>IF((ContinuousStatsTable[[#This Row],[RepsRequested]]&gt;1),ContinuousStatsTable[[#This Row],[HalfWidth]],ContinuousStatsTable[[#This Row],[BatchMeansHalfWidth]])</f>
        <v>2.9801922229780646</v>
      </c>
    </row>
    <row r="264" spans="1:21" x14ac:dyDescent="0.25">
      <c r="A264" t="s">
        <v>67</v>
      </c>
      <c r="B264" t="s">
        <v>243</v>
      </c>
      <c r="C264">
        <v>4</v>
      </c>
      <c r="D264" t="s">
        <v>118</v>
      </c>
      <c r="E264" t="s">
        <v>117</v>
      </c>
      <c r="F264" t="s">
        <v>76</v>
      </c>
      <c r="G264">
        <v>99.965336262732194</v>
      </c>
      <c r="H264">
        <v>3E+20</v>
      </c>
      <c r="I264">
        <v>0</v>
      </c>
      <c r="J264">
        <v>195</v>
      </c>
      <c r="K264">
        <v>195</v>
      </c>
      <c r="L264">
        <v>0</v>
      </c>
      <c r="M264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64" cm="1">
        <f t="array" ref="N264">MAX(IF((ProjectInfoTable[ProjectName]=ContinuousStatsTable[[#This Row],[ProjectName]]),(ProjectInfoTable[ProjectName]=ContinuousStatsTable[[#This Row],[ProjectName]])*ProjectInfoTable[NumberOfReplications]))</f>
        <v>10</v>
      </c>
      <c r="O264" cm="1">
        <f t="array" ref="O264">IFERROR(AVERAGE(IF((ContinuousStatsTable[GroupByKey]=ContinuousStatsTable[[#This Row],[GroupByKey]]),(ContinuousStatsTable[GroupByKey]=ContinuousStatsTable[[#This Row],[GroupByKey]])*ContinuousStatsTable[Average])),0)</f>
        <v>95.041511376368575</v>
      </c>
      <c r="P264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6.556289254191463</v>
      </c>
      <c r="Q264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4.6900867955271215</v>
      </c>
      <c r="S264" cm="1">
        <f t="array" ref="S264">MIN(IF((ContinuousStatsTable[GroupByKey]=ContinuousStatsTable[[#This Row],[GroupByKey]]),(ContinuousStatsTable[GroupByKey]=ContinuousStatsTable[[#This Row],[GroupByKey]])*ContinuousStatsTable[Average]))</f>
        <v>81.860988802888798</v>
      </c>
      <c r="T264" cm="1">
        <f t="array" ref="T264">MAX(IF((ContinuousStatsTable[GroupByKey]=ContinuousStatsTable[[#This Row],[GroupByKey]]),(ContinuousStatsTable[GroupByKey]=ContinuousStatsTable[[#This Row],[GroupByKey]])*ContinuousStatsTable[Average]))</f>
        <v>104.034812219697</v>
      </c>
      <c r="U264">
        <f>IF((ContinuousStatsTable[[#This Row],[RepsRequested]]&gt;1),ContinuousStatsTable[[#This Row],[HalfWidth]],ContinuousStatsTable[[#This Row],[BatchMeansHalfWidth]])</f>
        <v>4.6900867955271215</v>
      </c>
    </row>
    <row r="265" spans="1:21" x14ac:dyDescent="0.25">
      <c r="A265" t="s">
        <v>67</v>
      </c>
      <c r="B265" t="s">
        <v>243</v>
      </c>
      <c r="C265">
        <v>4</v>
      </c>
      <c r="D265" t="s">
        <v>119</v>
      </c>
      <c r="E265" t="s">
        <v>117</v>
      </c>
      <c r="F265" t="s">
        <v>76</v>
      </c>
      <c r="G265">
        <v>951.65321041113202</v>
      </c>
      <c r="H265">
        <v>3E+20</v>
      </c>
      <c r="I265">
        <v>0</v>
      </c>
      <c r="J265">
        <v>1847</v>
      </c>
      <c r="K265">
        <v>1847</v>
      </c>
      <c r="L265">
        <v>0</v>
      </c>
      <c r="M265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265" cm="1">
        <f t="array" ref="N265">MAX(IF((ProjectInfoTable[ProjectName]=ContinuousStatsTable[[#This Row],[ProjectName]]),(ProjectInfoTable[ProjectName]=ContinuousStatsTable[[#This Row],[ProjectName]])*ProjectInfoTable[NumberOfReplications]))</f>
        <v>10</v>
      </c>
      <c r="O265" cm="1">
        <f t="array" ref="O265">IFERROR(AVERAGE(IF((ContinuousStatsTable[GroupByKey]=ContinuousStatsTable[[#This Row],[GroupByKey]]),(ContinuousStatsTable[GroupByKey]=ContinuousStatsTable[[#This Row],[GroupByKey]])*ContinuousStatsTable[Average])),0)</f>
        <v>959.25249800465133</v>
      </c>
      <c r="P26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16.228386811509871</v>
      </c>
      <c r="Q26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11.609088578376843</v>
      </c>
      <c r="S265" cm="1">
        <f t="array" ref="S265">MIN(IF((ContinuousStatsTable[GroupByKey]=ContinuousStatsTable[[#This Row],[GroupByKey]]),(ContinuousStatsTable[GroupByKey]=ContinuousStatsTable[[#This Row],[GroupByKey]])*ContinuousStatsTable[Average]))</f>
        <v>935.21729677519602</v>
      </c>
      <c r="T265" cm="1">
        <f t="array" ref="T265">MAX(IF((ContinuousStatsTable[GroupByKey]=ContinuousStatsTable[[#This Row],[GroupByKey]]),(ContinuousStatsTable[GroupByKey]=ContinuousStatsTable[[#This Row],[GroupByKey]])*ContinuousStatsTable[Average]))</f>
        <v>986.61029939527498</v>
      </c>
      <c r="U265">
        <f>IF((ContinuousStatsTable[[#This Row],[RepsRequested]]&gt;1),ContinuousStatsTable[[#This Row],[HalfWidth]],ContinuousStatsTable[[#This Row],[BatchMeansHalfWidth]])</f>
        <v>11.609088578376843</v>
      </c>
    </row>
    <row r="266" spans="1:21" x14ac:dyDescent="0.25">
      <c r="A266" t="s">
        <v>67</v>
      </c>
      <c r="B266" t="s">
        <v>243</v>
      </c>
      <c r="C266">
        <v>4</v>
      </c>
      <c r="D266" t="s">
        <v>120</v>
      </c>
      <c r="E266" t="s">
        <v>117</v>
      </c>
      <c r="F266" t="s">
        <v>76</v>
      </c>
      <c r="G266">
        <v>4221.7145278893904</v>
      </c>
      <c r="H266">
        <v>3E+20</v>
      </c>
      <c r="I266">
        <v>0</v>
      </c>
      <c r="J266">
        <v>8158</v>
      </c>
      <c r="K266">
        <v>8158</v>
      </c>
      <c r="L266">
        <v>0</v>
      </c>
      <c r="M266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266" cm="1">
        <f t="array" ref="N266">MAX(IF((ProjectInfoTable[ProjectName]=ContinuousStatsTable[[#This Row],[ProjectName]]),(ProjectInfoTable[ProjectName]=ContinuousStatsTable[[#This Row],[ProjectName]])*ProjectInfoTable[NumberOfReplications]))</f>
        <v>10</v>
      </c>
      <c r="O266" cm="1">
        <f t="array" ref="O266">IFERROR(AVERAGE(IF((ContinuousStatsTable[GroupByKey]=ContinuousStatsTable[[#This Row],[GroupByKey]]),(ContinuousStatsTable[GroupByKey]=ContinuousStatsTable[[#This Row],[GroupByKey]])*ContinuousStatsTable[Average])),0)</f>
        <v>4203.5615331875215</v>
      </c>
      <c r="P266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17.695322227060075</v>
      </c>
      <c r="Q266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12.658470958503626</v>
      </c>
      <c r="S266" cm="1">
        <f t="array" ref="S266">MIN(IF((ContinuousStatsTable[GroupByKey]=ContinuousStatsTable[[#This Row],[GroupByKey]]),(ContinuousStatsTable[GroupByKey]=ContinuousStatsTable[[#This Row],[GroupByKey]])*ContinuousStatsTable[Average]))</f>
        <v>4170.1494074333395</v>
      </c>
      <c r="T266" cm="1">
        <f t="array" ref="T266">MAX(IF((ContinuousStatsTable[GroupByKey]=ContinuousStatsTable[[#This Row],[GroupByKey]]),(ContinuousStatsTable[GroupByKey]=ContinuousStatsTable[[#This Row],[GroupByKey]])*ContinuousStatsTable[Average]))</f>
        <v>4233.0569788620896</v>
      </c>
      <c r="U266">
        <f>IF((ContinuousStatsTable[[#This Row],[RepsRequested]]&gt;1),ContinuousStatsTable[[#This Row],[HalfWidth]],ContinuousStatsTable[[#This Row],[BatchMeansHalfWidth]])</f>
        <v>12.658470958503626</v>
      </c>
    </row>
    <row r="267" spans="1:21" x14ac:dyDescent="0.25">
      <c r="A267" t="s">
        <v>67</v>
      </c>
      <c r="B267" t="s">
        <v>243</v>
      </c>
      <c r="C267">
        <v>4</v>
      </c>
      <c r="D267" t="s">
        <v>121</v>
      </c>
      <c r="E267" t="s">
        <v>112</v>
      </c>
      <c r="F267" t="s">
        <v>113</v>
      </c>
      <c r="G267">
        <v>0.292184201252493</v>
      </c>
      <c r="H267">
        <v>3E+20</v>
      </c>
      <c r="I267">
        <v>0</v>
      </c>
      <c r="J267">
        <v>0.5</v>
      </c>
      <c r="K267">
        <v>0.25</v>
      </c>
      <c r="L267">
        <v>0</v>
      </c>
      <c r="M267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267" cm="1">
        <f t="array" ref="N267">MAX(IF((ProjectInfoTable[ProjectName]=ContinuousStatsTable[[#This Row],[ProjectName]]),(ProjectInfoTable[ProjectName]=ContinuousStatsTable[[#This Row],[ProjectName]])*ProjectInfoTable[NumberOfReplications]))</f>
        <v>10</v>
      </c>
      <c r="O267" cm="1">
        <f t="array" ref="O267">IFERROR(AVERAGE(IF((ContinuousStatsTable[GroupByKey]=ContinuousStatsTable[[#This Row],[GroupByKey]]),(ContinuousStatsTable[GroupByKey]=ContinuousStatsTable[[#This Row],[GroupByKey]])*ContinuousStatsTable[Average])),0)</f>
        <v>0.48160620907873086</v>
      </c>
      <c r="P267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8.6686321722355061E-2</v>
      </c>
      <c r="Q267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6.2011658897281531E-2</v>
      </c>
      <c r="S267" cm="1">
        <f t="array" ref="S267">MIN(IF((ContinuousStatsTable[GroupByKey]=ContinuousStatsTable[[#This Row],[GroupByKey]]),(ContinuousStatsTable[GroupByKey]=ContinuousStatsTable[[#This Row],[GroupByKey]])*ContinuousStatsTable[Average]))</f>
        <v>0.292184201252493</v>
      </c>
      <c r="T267" cm="1">
        <f t="array" ref="T267">MAX(IF((ContinuousStatsTable[GroupByKey]=ContinuousStatsTable[[#This Row],[GroupByKey]]),(ContinuousStatsTable[GroupByKey]=ContinuousStatsTable[[#This Row],[GroupByKey]])*ContinuousStatsTable[Average]))</f>
        <v>0.57167989674475905</v>
      </c>
      <c r="U267">
        <f>IF((ContinuousStatsTable[[#This Row],[RepsRequested]]&gt;1),ContinuousStatsTable[[#This Row],[HalfWidth]],ContinuousStatsTable[[#This Row],[BatchMeansHalfWidth]])</f>
        <v>6.2011658897281531E-2</v>
      </c>
    </row>
    <row r="268" spans="1:21" x14ac:dyDescent="0.25">
      <c r="A268" t="s">
        <v>67</v>
      </c>
      <c r="B268" t="s">
        <v>243</v>
      </c>
      <c r="C268">
        <v>4</v>
      </c>
      <c r="D268" t="s">
        <v>121</v>
      </c>
      <c r="E268" t="s">
        <v>114</v>
      </c>
      <c r="F268" t="s">
        <v>113</v>
      </c>
      <c r="G268">
        <v>1.16873680500997</v>
      </c>
      <c r="H268">
        <v>3E+20</v>
      </c>
      <c r="I268">
        <v>0</v>
      </c>
      <c r="J268">
        <v>2</v>
      </c>
      <c r="K268">
        <v>1</v>
      </c>
      <c r="L268">
        <v>0</v>
      </c>
      <c r="M268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268" cm="1">
        <f t="array" ref="N268">MAX(IF((ProjectInfoTable[ProjectName]=ContinuousStatsTable[[#This Row],[ProjectName]]),(ProjectInfoTable[ProjectName]=ContinuousStatsTable[[#This Row],[ProjectName]])*ProjectInfoTable[NumberOfReplications]))</f>
        <v>10</v>
      </c>
      <c r="O268" cm="1">
        <f t="array" ref="O268">IFERROR(AVERAGE(IF((ContinuousStatsTable[GroupByKey]=ContinuousStatsTable[[#This Row],[GroupByKey]]),(ContinuousStatsTable[GroupByKey]=ContinuousStatsTable[[#This Row],[GroupByKey]])*ContinuousStatsTable[Average])),0)</f>
        <v>1.9264248363149217</v>
      </c>
      <c r="P268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0.34674528688941914</v>
      </c>
      <c r="Q268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0.24804663558912532</v>
      </c>
      <c r="S268" cm="1">
        <f t="array" ref="S268">MIN(IF((ContinuousStatsTable[GroupByKey]=ContinuousStatsTable[[#This Row],[GroupByKey]]),(ContinuousStatsTable[GroupByKey]=ContinuousStatsTable[[#This Row],[GroupByKey]])*ContinuousStatsTable[Average]))</f>
        <v>1.16873680500997</v>
      </c>
      <c r="T268" cm="1">
        <f t="array" ref="T268">MAX(IF((ContinuousStatsTable[GroupByKey]=ContinuousStatsTable[[#This Row],[GroupByKey]]),(ContinuousStatsTable[GroupByKey]=ContinuousStatsTable[[#This Row],[GroupByKey]])*ContinuousStatsTable[Average]))</f>
        <v>2.28671958697903</v>
      </c>
      <c r="U268">
        <f>IF((ContinuousStatsTable[[#This Row],[RepsRequested]]&gt;1),ContinuousStatsTable[[#This Row],[HalfWidth]],ContinuousStatsTable[[#This Row],[BatchMeansHalfWidth]])</f>
        <v>0.24804663558912532</v>
      </c>
    </row>
    <row r="269" spans="1:21" x14ac:dyDescent="0.25">
      <c r="A269" t="s">
        <v>67</v>
      </c>
      <c r="B269" t="s">
        <v>243</v>
      </c>
      <c r="C269">
        <v>4</v>
      </c>
      <c r="D269" t="s">
        <v>121</v>
      </c>
      <c r="E269" t="s">
        <v>115</v>
      </c>
      <c r="F269" t="s">
        <v>113</v>
      </c>
      <c r="G269">
        <v>4</v>
      </c>
      <c r="H269">
        <v>2E+20</v>
      </c>
      <c r="I269">
        <v>4</v>
      </c>
      <c r="J269">
        <v>4</v>
      </c>
      <c r="K269">
        <v>4</v>
      </c>
      <c r="L269">
        <v>0</v>
      </c>
      <c r="M269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269" cm="1">
        <f t="array" ref="N269">MAX(IF((ProjectInfoTable[ProjectName]=ContinuousStatsTable[[#This Row],[ProjectName]]),(ProjectInfoTable[ProjectName]=ContinuousStatsTable[[#This Row],[ProjectName]])*ProjectInfoTable[NumberOfReplications]))</f>
        <v>10</v>
      </c>
      <c r="O269" cm="1">
        <f t="array" ref="O269">IFERROR(AVERAGE(IF((ContinuousStatsTable[GroupByKey]=ContinuousStatsTable[[#This Row],[GroupByKey]]),(ContinuousStatsTable[GroupByKey]=ContinuousStatsTable[[#This Row],[GroupByKey]])*ContinuousStatsTable[Average])),0)</f>
        <v>4</v>
      </c>
      <c r="P269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0</v>
      </c>
      <c r="Q269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9" cm="1">
        <f t="array" ref="S269">MIN(IF((ContinuousStatsTable[GroupByKey]=ContinuousStatsTable[[#This Row],[GroupByKey]]),(ContinuousStatsTable[GroupByKey]=ContinuousStatsTable[[#This Row],[GroupByKey]])*ContinuousStatsTable[Average]))</f>
        <v>4</v>
      </c>
      <c r="T269" cm="1">
        <f t="array" ref="T269">MAX(IF((ContinuousStatsTable[GroupByKey]=ContinuousStatsTable[[#This Row],[GroupByKey]]),(ContinuousStatsTable[GroupByKey]=ContinuousStatsTable[[#This Row],[GroupByKey]])*ContinuousStatsTable[Average]))</f>
        <v>4</v>
      </c>
      <c r="U269">
        <f>IF((ContinuousStatsTable[[#This Row],[RepsRequested]]&gt;1),ContinuousStatsTable[[#This Row],[HalfWidth]],ContinuousStatsTable[[#This Row],[BatchMeansHalfWidth]])</f>
        <v>0</v>
      </c>
    </row>
    <row r="270" spans="1:21" x14ac:dyDescent="0.25">
      <c r="A270" t="s">
        <v>67</v>
      </c>
      <c r="B270" t="s">
        <v>243</v>
      </c>
      <c r="C270">
        <v>4</v>
      </c>
      <c r="D270" t="s">
        <v>122</v>
      </c>
      <c r="E270" t="s">
        <v>112</v>
      </c>
      <c r="F270" t="s">
        <v>113</v>
      </c>
      <c r="G270">
        <v>0.327930580780526</v>
      </c>
      <c r="H270">
        <v>3E+20</v>
      </c>
      <c r="I270">
        <v>0</v>
      </c>
      <c r="J270">
        <v>1</v>
      </c>
      <c r="K270">
        <v>0.33333333333333298</v>
      </c>
      <c r="L270">
        <v>0</v>
      </c>
      <c r="M270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270" cm="1">
        <f t="array" ref="N270">MAX(IF((ProjectInfoTable[ProjectName]=ContinuousStatsTable[[#This Row],[ProjectName]]),(ProjectInfoTable[ProjectName]=ContinuousStatsTable[[#This Row],[ProjectName]])*ProjectInfoTable[NumberOfReplications]))</f>
        <v>10</v>
      </c>
      <c r="O270" cm="1">
        <f t="array" ref="O270">IFERROR(AVERAGE(IF((ContinuousStatsTable[GroupByKey]=ContinuousStatsTable[[#This Row],[GroupByKey]]),(ContinuousStatsTable[GroupByKey]=ContinuousStatsTable[[#This Row],[GroupByKey]])*ContinuousStatsTable[Average])),0)</f>
        <v>0.25269289312392118</v>
      </c>
      <c r="P270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4.9214010083081669E-2</v>
      </c>
      <c r="Q270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3.5205581983442397E-2</v>
      </c>
      <c r="S270" cm="1">
        <f t="array" ref="S270">MIN(IF((ContinuousStatsTable[GroupByKey]=ContinuousStatsTable[[#This Row],[GroupByKey]]),(ContinuousStatsTable[GroupByKey]=ContinuousStatsTable[[#This Row],[GroupByKey]])*ContinuousStatsTable[Average]))</f>
        <v>0.20500025225945401</v>
      </c>
      <c r="T270" cm="1">
        <f t="array" ref="T270">MAX(IF((ContinuousStatsTable[GroupByKey]=ContinuousStatsTable[[#This Row],[GroupByKey]]),(ContinuousStatsTable[GroupByKey]=ContinuousStatsTable[[#This Row],[GroupByKey]])*ContinuousStatsTable[Average]))</f>
        <v>0.33570777662711199</v>
      </c>
      <c r="U270">
        <f>IF((ContinuousStatsTable[[#This Row],[RepsRequested]]&gt;1),ContinuousStatsTable[[#This Row],[HalfWidth]],ContinuousStatsTable[[#This Row],[BatchMeansHalfWidth]])</f>
        <v>3.5205581983442397E-2</v>
      </c>
    </row>
    <row r="271" spans="1:21" x14ac:dyDescent="0.25">
      <c r="A271" t="s">
        <v>67</v>
      </c>
      <c r="B271" t="s">
        <v>243</v>
      </c>
      <c r="C271">
        <v>4</v>
      </c>
      <c r="D271" t="s">
        <v>122</v>
      </c>
      <c r="E271" t="s">
        <v>114</v>
      </c>
      <c r="F271" t="s">
        <v>113</v>
      </c>
      <c r="G271">
        <v>0.98379174234159195</v>
      </c>
      <c r="H271">
        <v>3E+20</v>
      </c>
      <c r="I271">
        <v>0</v>
      </c>
      <c r="J271">
        <v>3</v>
      </c>
      <c r="K271">
        <v>1</v>
      </c>
      <c r="L271">
        <v>0</v>
      </c>
      <c r="M271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271" cm="1">
        <f t="array" ref="N271">MAX(IF((ProjectInfoTable[ProjectName]=ContinuousStatsTable[[#This Row],[ProjectName]]),(ProjectInfoTable[ProjectName]=ContinuousStatsTable[[#This Row],[ProjectName]])*ProjectInfoTable[NumberOfReplications]))</f>
        <v>10</v>
      </c>
      <c r="O271" cm="1">
        <f t="array" ref="O271">IFERROR(AVERAGE(IF((ContinuousStatsTable[GroupByKey]=ContinuousStatsTable[[#This Row],[GroupByKey]]),(ContinuousStatsTable[GroupByKey]=ContinuousStatsTable[[#This Row],[GroupByKey]])*ContinuousStatsTable[Average])),0)</f>
        <v>0.75807867937176476</v>
      </c>
      <c r="P271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0.14764203024924766</v>
      </c>
      <c r="Q271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0.10561674595032908</v>
      </c>
      <c r="S271" cm="1">
        <f t="array" ref="S271">MIN(IF((ContinuousStatsTable[GroupByKey]=ContinuousStatsTable[[#This Row],[GroupByKey]]),(ContinuousStatsTable[GroupByKey]=ContinuousStatsTable[[#This Row],[GroupByKey]])*ContinuousStatsTable[Average]))</f>
        <v>0.61500075677836796</v>
      </c>
      <c r="T271" cm="1">
        <f t="array" ref="T271">MAX(IF((ContinuousStatsTable[GroupByKey]=ContinuousStatsTable[[#This Row],[GroupByKey]]),(ContinuousStatsTable[GroupByKey]=ContinuousStatsTable[[#This Row],[GroupByKey]])*ContinuousStatsTable[Average]))</f>
        <v>1.00712332988134</v>
      </c>
      <c r="U271">
        <f>IF((ContinuousStatsTable[[#This Row],[RepsRequested]]&gt;1),ContinuousStatsTable[[#This Row],[HalfWidth]],ContinuousStatsTable[[#This Row],[BatchMeansHalfWidth]])</f>
        <v>0.10561674595032908</v>
      </c>
    </row>
    <row r="272" spans="1:21" x14ac:dyDescent="0.25">
      <c r="A272" t="s">
        <v>67</v>
      </c>
      <c r="B272" t="s">
        <v>243</v>
      </c>
      <c r="C272">
        <v>4</v>
      </c>
      <c r="D272" t="s">
        <v>122</v>
      </c>
      <c r="E272" t="s">
        <v>115</v>
      </c>
      <c r="F272" t="s">
        <v>113</v>
      </c>
      <c r="G272">
        <v>3</v>
      </c>
      <c r="H272">
        <v>2E+20</v>
      </c>
      <c r="I272">
        <v>3</v>
      </c>
      <c r="J272">
        <v>3</v>
      </c>
      <c r="K272">
        <v>3</v>
      </c>
      <c r="L272">
        <v>0</v>
      </c>
      <c r="M272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272" cm="1">
        <f t="array" ref="N272">MAX(IF((ProjectInfoTable[ProjectName]=ContinuousStatsTable[[#This Row],[ProjectName]]),(ProjectInfoTable[ProjectName]=ContinuousStatsTable[[#This Row],[ProjectName]])*ProjectInfoTable[NumberOfReplications]))</f>
        <v>10</v>
      </c>
      <c r="O272" cm="1">
        <f t="array" ref="O272">IFERROR(AVERAGE(IF((ContinuousStatsTable[GroupByKey]=ContinuousStatsTable[[#This Row],[GroupByKey]]),(ContinuousStatsTable[GroupByKey]=ContinuousStatsTable[[#This Row],[GroupByKey]])*ContinuousStatsTable[Average])),0)</f>
        <v>3</v>
      </c>
      <c r="P272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</v>
      </c>
      <c r="Q272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2" cm="1">
        <f t="array" ref="S272">MIN(IF((ContinuousStatsTable[GroupByKey]=ContinuousStatsTable[[#This Row],[GroupByKey]]),(ContinuousStatsTable[GroupByKey]=ContinuousStatsTable[[#This Row],[GroupByKey]])*ContinuousStatsTable[Average]))</f>
        <v>3</v>
      </c>
      <c r="T272" cm="1">
        <f t="array" ref="T272">MAX(IF((ContinuousStatsTable[GroupByKey]=ContinuousStatsTable[[#This Row],[GroupByKey]]),(ContinuousStatsTable[GroupByKey]=ContinuousStatsTable[[#This Row],[GroupByKey]])*ContinuousStatsTable[Average]))</f>
        <v>3</v>
      </c>
      <c r="U272">
        <f>IF((ContinuousStatsTable[[#This Row],[RepsRequested]]&gt;1),ContinuousStatsTable[[#This Row],[HalfWidth]],ContinuousStatsTable[[#This Row],[BatchMeansHalfWidth]])</f>
        <v>0</v>
      </c>
    </row>
    <row r="273" spans="1:21" x14ac:dyDescent="0.25">
      <c r="A273" t="s">
        <v>67</v>
      </c>
      <c r="B273" t="s">
        <v>243</v>
      </c>
      <c r="C273">
        <v>4</v>
      </c>
      <c r="D273" t="s">
        <v>123</v>
      </c>
      <c r="E273" t="s">
        <v>112</v>
      </c>
      <c r="F273" t="s">
        <v>113</v>
      </c>
      <c r="G273">
        <v>0.15147736900268099</v>
      </c>
      <c r="H273">
        <v>3E+20</v>
      </c>
      <c r="I273">
        <v>0</v>
      </c>
      <c r="J273">
        <v>0.66666666666666696</v>
      </c>
      <c r="K273">
        <v>0</v>
      </c>
      <c r="L273">
        <v>0</v>
      </c>
      <c r="M273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273" cm="1">
        <f t="array" ref="N273">MAX(IF((ProjectInfoTable[ProjectName]=ContinuousStatsTable[[#This Row],[ProjectName]]),(ProjectInfoTable[ProjectName]=ContinuousStatsTable[[#This Row],[ProjectName]])*ProjectInfoTable[NumberOfReplications]))</f>
        <v>10</v>
      </c>
      <c r="O273" cm="1">
        <f t="array" ref="O273">IFERROR(AVERAGE(IF((ContinuousStatsTable[GroupByKey]=ContinuousStatsTable[[#This Row],[GroupByKey]]),(ContinuousStatsTable[GroupByKey]=ContinuousStatsTable[[#This Row],[GroupByKey]])*ContinuousStatsTable[Average])),0)</f>
        <v>0.151561654865698</v>
      </c>
      <c r="P273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1.2198256688154243E-4</v>
      </c>
      <c r="Q273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8.7261071626739862E-5</v>
      </c>
      <c r="S273" cm="1">
        <f t="array" ref="S273">MIN(IF((ContinuousStatsTable[GroupByKey]=ContinuousStatsTable[[#This Row],[GroupByKey]]),(ContinuousStatsTable[GroupByKey]=ContinuousStatsTable[[#This Row],[GroupByKey]])*ContinuousStatsTable[Average]))</f>
        <v>0.15134711042770499</v>
      </c>
      <c r="T273" cm="1">
        <f t="array" ref="T273">MAX(IF((ContinuousStatsTable[GroupByKey]=ContinuousStatsTable[[#This Row],[GroupByKey]]),(ContinuousStatsTable[GroupByKey]=ContinuousStatsTable[[#This Row],[GroupByKey]])*ContinuousStatsTable[Average]))</f>
        <v>0.15172806047441101</v>
      </c>
      <c r="U273">
        <f>IF((ContinuousStatsTable[[#This Row],[RepsRequested]]&gt;1),ContinuousStatsTable[[#This Row],[HalfWidth]],ContinuousStatsTable[[#This Row],[BatchMeansHalfWidth]])</f>
        <v>8.7261071626739862E-5</v>
      </c>
    </row>
    <row r="274" spans="1:21" x14ac:dyDescent="0.25">
      <c r="A274" t="s">
        <v>67</v>
      </c>
      <c r="B274" t="s">
        <v>243</v>
      </c>
      <c r="C274">
        <v>4</v>
      </c>
      <c r="D274" t="s">
        <v>123</v>
      </c>
      <c r="E274" t="s">
        <v>114</v>
      </c>
      <c r="F274" t="s">
        <v>113</v>
      </c>
      <c r="G274">
        <v>0.45443210700804798</v>
      </c>
      <c r="H274">
        <v>3E+20</v>
      </c>
      <c r="I274">
        <v>0</v>
      </c>
      <c r="J274">
        <v>2</v>
      </c>
      <c r="K274">
        <v>0</v>
      </c>
      <c r="L274">
        <v>0</v>
      </c>
      <c r="M274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274" cm="1">
        <f t="array" ref="N274">MAX(IF((ProjectInfoTable[ProjectName]=ContinuousStatsTable[[#This Row],[ProjectName]]),(ProjectInfoTable[ProjectName]=ContinuousStatsTable[[#This Row],[ProjectName]])*ProjectInfoTable[NumberOfReplications]))</f>
        <v>10</v>
      </c>
      <c r="O274" cm="1">
        <f t="array" ref="O274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274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274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274" cm="1">
        <f t="array" ref="S274">MIN(IF((ContinuousStatsTable[GroupByKey]=ContinuousStatsTable[[#This Row],[GroupByKey]]),(ContinuousStatsTable[GroupByKey]=ContinuousStatsTable[[#This Row],[GroupByKey]])*ContinuousStatsTable[Average]))</f>
        <v>0.45404133128311103</v>
      </c>
      <c r="T274" cm="1">
        <f t="array" ref="T274">MAX(IF((ContinuousStatsTable[GroupByKey]=ContinuousStatsTable[[#This Row],[GroupByKey]]),(ContinuousStatsTable[GroupByKey]=ContinuousStatsTable[[#This Row],[GroupByKey]])*ContinuousStatsTable[Average]))</f>
        <v>0.45518418142323402</v>
      </c>
      <c r="U274">
        <f>IF((ContinuousStatsTable[[#This Row],[RepsRequested]]&gt;1),ContinuousStatsTable[[#This Row],[HalfWidth]],ContinuousStatsTable[[#This Row],[BatchMeansHalfWidth]])</f>
        <v>2.6178321488092363E-4</v>
      </c>
    </row>
    <row r="275" spans="1:21" x14ac:dyDescent="0.25">
      <c r="A275" t="s">
        <v>67</v>
      </c>
      <c r="B275" t="s">
        <v>243</v>
      </c>
      <c r="C275">
        <v>4</v>
      </c>
      <c r="D275" t="s">
        <v>123</v>
      </c>
      <c r="E275" t="s">
        <v>115</v>
      </c>
      <c r="F275" t="s">
        <v>113</v>
      </c>
      <c r="G275">
        <v>3</v>
      </c>
      <c r="H275">
        <v>2E+20</v>
      </c>
      <c r="I275">
        <v>3</v>
      </c>
      <c r="J275">
        <v>3</v>
      </c>
      <c r="K275">
        <v>3</v>
      </c>
      <c r="L275">
        <v>0</v>
      </c>
      <c r="M275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275" cm="1">
        <f t="array" ref="N275">MAX(IF((ProjectInfoTable[ProjectName]=ContinuousStatsTable[[#This Row],[ProjectName]]),(ProjectInfoTable[ProjectName]=ContinuousStatsTable[[#This Row],[ProjectName]])*ProjectInfoTable[NumberOfReplications]))</f>
        <v>10</v>
      </c>
      <c r="O275" cm="1">
        <f t="array" ref="O275">IFERROR(AVERAGE(IF((ContinuousStatsTable[GroupByKey]=ContinuousStatsTable[[#This Row],[GroupByKey]]),(ContinuousStatsTable[GroupByKey]=ContinuousStatsTable[[#This Row],[GroupByKey]])*ContinuousStatsTable[Average])),0)</f>
        <v>3</v>
      </c>
      <c r="P27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cm="1">
        <f t="array" ref="S275">MIN(IF((ContinuousStatsTable[GroupByKey]=ContinuousStatsTable[[#This Row],[GroupByKey]]),(ContinuousStatsTable[GroupByKey]=ContinuousStatsTable[[#This Row],[GroupByKey]])*ContinuousStatsTable[Average]))</f>
        <v>3</v>
      </c>
      <c r="T275" cm="1">
        <f t="array" ref="T275">MAX(IF((ContinuousStatsTable[GroupByKey]=ContinuousStatsTable[[#This Row],[GroupByKey]]),(ContinuousStatsTable[GroupByKey]=ContinuousStatsTable[[#This Row],[GroupByKey]])*ContinuousStatsTable[Average]))</f>
        <v>3</v>
      </c>
      <c r="U275">
        <f>IF((ContinuousStatsTable[[#This Row],[RepsRequested]]&gt;1),ContinuousStatsTable[[#This Row],[HalfWidth]],ContinuousStatsTable[[#This Row],[BatchMeansHalfWidth]])</f>
        <v>0</v>
      </c>
    </row>
    <row r="276" spans="1:21" x14ac:dyDescent="0.25">
      <c r="A276" t="s">
        <v>67</v>
      </c>
      <c r="B276" t="s">
        <v>243</v>
      </c>
      <c r="C276">
        <v>4</v>
      </c>
      <c r="D276" t="s">
        <v>124</v>
      </c>
      <c r="E276" t="s">
        <v>112</v>
      </c>
      <c r="F276" t="s">
        <v>113</v>
      </c>
      <c r="G276">
        <v>0.90773078690034603</v>
      </c>
      <c r="H276">
        <v>2E+20</v>
      </c>
      <c r="I276">
        <v>0</v>
      </c>
      <c r="J276">
        <v>1</v>
      </c>
      <c r="K276">
        <v>1</v>
      </c>
      <c r="L276">
        <v>0</v>
      </c>
      <c r="M276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276" cm="1">
        <f t="array" ref="N276">MAX(IF((ProjectInfoTable[ProjectName]=ContinuousStatsTable[[#This Row],[ProjectName]]),(ProjectInfoTable[ProjectName]=ContinuousStatsTable[[#This Row],[ProjectName]])*ProjectInfoTable[NumberOfReplications]))</f>
        <v>10</v>
      </c>
      <c r="O276" cm="1">
        <f t="array" ref="O276">IFERROR(AVERAGE(IF((ContinuousStatsTable[GroupByKey]=ContinuousStatsTable[[#This Row],[GroupByKey]]),(ContinuousStatsTable[GroupByKey]=ContinuousStatsTable[[#This Row],[GroupByKey]])*ContinuousStatsTable[Average])),0)</f>
        <v>0.84558522180863771</v>
      </c>
      <c r="P276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0.11694354024491282</v>
      </c>
      <c r="Q276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8.3656369122856733E-2</v>
      </c>
      <c r="S276" cm="1">
        <f t="array" ref="S276">MIN(IF((ContinuousStatsTable[GroupByKey]=ContinuousStatsTable[[#This Row],[GroupByKey]]),(ContinuousStatsTable[GroupByKey]=ContinuousStatsTable[[#This Row],[GroupByKey]])*ContinuousStatsTable[Average]))</f>
        <v>0.625269422960122</v>
      </c>
      <c r="T276" cm="1">
        <f t="array" ref="T276">MAX(IF((ContinuousStatsTable[GroupByKey]=ContinuousStatsTable[[#This Row],[GroupByKey]]),(ContinuousStatsTable[GroupByKey]=ContinuousStatsTable[[#This Row],[GroupByKey]])*ContinuousStatsTable[Average]))</f>
        <v>0.95234896906597499</v>
      </c>
      <c r="U276">
        <f>IF((ContinuousStatsTable[[#This Row],[RepsRequested]]&gt;1),ContinuousStatsTable[[#This Row],[HalfWidth]],ContinuousStatsTable[[#This Row],[BatchMeansHalfWidth]])</f>
        <v>8.3656369122856733E-2</v>
      </c>
    </row>
    <row r="277" spans="1:21" x14ac:dyDescent="0.25">
      <c r="A277" t="s">
        <v>67</v>
      </c>
      <c r="B277" t="s">
        <v>243</v>
      </c>
      <c r="C277">
        <v>4</v>
      </c>
      <c r="D277" t="s">
        <v>124</v>
      </c>
      <c r="E277" t="s">
        <v>114</v>
      </c>
      <c r="F277" t="s">
        <v>113</v>
      </c>
      <c r="G277">
        <v>1.8154615738006901</v>
      </c>
      <c r="H277">
        <v>2E+20</v>
      </c>
      <c r="I277">
        <v>0</v>
      </c>
      <c r="J277">
        <v>2</v>
      </c>
      <c r="K277">
        <v>2</v>
      </c>
      <c r="L277">
        <v>0</v>
      </c>
      <c r="M277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277" cm="1">
        <f t="array" ref="N277">MAX(IF((ProjectInfoTable[ProjectName]=ContinuousStatsTable[[#This Row],[ProjectName]]),(ProjectInfoTable[ProjectName]=ContinuousStatsTable[[#This Row],[ProjectName]])*ProjectInfoTable[NumberOfReplications]))</f>
        <v>10</v>
      </c>
      <c r="O277" cm="1">
        <f t="array" ref="O277">IFERROR(AVERAGE(IF((ContinuousStatsTable[GroupByKey]=ContinuousStatsTable[[#This Row],[GroupByKey]]),(ContinuousStatsTable[GroupByKey]=ContinuousStatsTable[[#This Row],[GroupByKey]])*ContinuousStatsTable[Average])),0)</f>
        <v>1.6911704436172748</v>
      </c>
      <c r="P277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0.23388708048982901</v>
      </c>
      <c r="Q277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0.16731273824571591</v>
      </c>
      <c r="S277" cm="1">
        <f t="array" ref="S277">MIN(IF((ContinuousStatsTable[GroupByKey]=ContinuousStatsTable[[#This Row],[GroupByKey]]),(ContinuousStatsTable[GroupByKey]=ContinuousStatsTable[[#This Row],[GroupByKey]])*ContinuousStatsTable[Average]))</f>
        <v>1.25053884592024</v>
      </c>
      <c r="T277" cm="1">
        <f t="array" ref="T277">MAX(IF((ContinuousStatsTable[GroupByKey]=ContinuousStatsTable[[#This Row],[GroupByKey]]),(ContinuousStatsTable[GroupByKey]=ContinuousStatsTable[[#This Row],[GroupByKey]])*ContinuousStatsTable[Average]))</f>
        <v>1.90469793813195</v>
      </c>
      <c r="U277">
        <f>IF((ContinuousStatsTable[[#This Row],[RepsRequested]]&gt;1),ContinuousStatsTable[[#This Row],[HalfWidth]],ContinuousStatsTable[[#This Row],[BatchMeansHalfWidth]])</f>
        <v>0.16731273824571591</v>
      </c>
    </row>
    <row r="278" spans="1:21" x14ac:dyDescent="0.25">
      <c r="A278" t="s">
        <v>67</v>
      </c>
      <c r="B278" t="s">
        <v>243</v>
      </c>
      <c r="C278">
        <v>4</v>
      </c>
      <c r="D278" t="s">
        <v>124</v>
      </c>
      <c r="E278" t="s">
        <v>115</v>
      </c>
      <c r="F278" t="s">
        <v>113</v>
      </c>
      <c r="G278">
        <v>2</v>
      </c>
      <c r="H278">
        <v>2E+20</v>
      </c>
      <c r="I278">
        <v>2</v>
      </c>
      <c r="J278">
        <v>2</v>
      </c>
      <c r="K278">
        <v>2</v>
      </c>
      <c r="L278">
        <v>0</v>
      </c>
      <c r="M278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278" cm="1">
        <f t="array" ref="N278">MAX(IF((ProjectInfoTable[ProjectName]=ContinuousStatsTable[[#This Row],[ProjectName]]),(ProjectInfoTable[ProjectName]=ContinuousStatsTable[[#This Row],[ProjectName]])*ProjectInfoTable[NumberOfReplications]))</f>
        <v>10</v>
      </c>
      <c r="O278" cm="1">
        <f t="array" ref="O278">IFERROR(AVERAGE(IF((ContinuousStatsTable[GroupByKey]=ContinuousStatsTable[[#This Row],[GroupByKey]]),(ContinuousStatsTable[GroupByKey]=ContinuousStatsTable[[#This Row],[GroupByKey]])*ContinuousStatsTable[Average])),0)</f>
        <v>2</v>
      </c>
      <c r="P278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cm="1">
        <f t="array" ref="S278">MIN(IF((ContinuousStatsTable[GroupByKey]=ContinuousStatsTable[[#This Row],[GroupByKey]]),(ContinuousStatsTable[GroupByKey]=ContinuousStatsTable[[#This Row],[GroupByKey]])*ContinuousStatsTable[Average]))</f>
        <v>2</v>
      </c>
      <c r="T278" cm="1">
        <f t="array" ref="T278">MAX(IF((ContinuousStatsTable[GroupByKey]=ContinuousStatsTable[[#This Row],[GroupByKey]]),(ContinuousStatsTable[GroupByKey]=ContinuousStatsTable[[#This Row],[GroupByKey]])*ContinuousStatsTable[Average]))</f>
        <v>2</v>
      </c>
      <c r="U278">
        <f>IF((ContinuousStatsTable[[#This Row],[RepsRequested]]&gt;1),ContinuousStatsTable[[#This Row],[HalfWidth]],ContinuousStatsTable[[#This Row],[BatchMeansHalfWidth]])</f>
        <v>0</v>
      </c>
    </row>
    <row r="279" spans="1:21" x14ac:dyDescent="0.25">
      <c r="A279" t="s">
        <v>67</v>
      </c>
      <c r="B279" t="s">
        <v>243</v>
      </c>
      <c r="C279">
        <v>4</v>
      </c>
      <c r="D279" t="s">
        <v>125</v>
      </c>
      <c r="E279" t="s">
        <v>112</v>
      </c>
      <c r="F279" t="s">
        <v>113</v>
      </c>
      <c r="G279">
        <v>0.72518801126222898</v>
      </c>
      <c r="H279">
        <v>2E+20</v>
      </c>
      <c r="I279">
        <v>0</v>
      </c>
      <c r="J279">
        <v>1</v>
      </c>
      <c r="K279">
        <v>0.4</v>
      </c>
      <c r="L279">
        <v>0</v>
      </c>
      <c r="M279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279" cm="1">
        <f t="array" ref="N279">MAX(IF((ProjectInfoTable[ProjectName]=ContinuousStatsTable[[#This Row],[ProjectName]]),(ProjectInfoTable[ProjectName]=ContinuousStatsTable[[#This Row],[ProjectName]])*ProjectInfoTable[NumberOfReplications]))</f>
        <v>10</v>
      </c>
      <c r="O279" cm="1">
        <f t="array" ref="O279">IFERROR(AVERAGE(IF((ContinuousStatsTable[GroupByKey]=ContinuousStatsTable[[#This Row],[GroupByKey]]),(ContinuousStatsTable[GroupByKey]=ContinuousStatsTable[[#This Row],[GroupByKey]])*ContinuousStatsTable[Average])),0)</f>
        <v>0.74077431571180252</v>
      </c>
      <c r="P279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6.1280007141723249E-2</v>
      </c>
      <c r="Q279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4.3837076306763374E-2</v>
      </c>
      <c r="S279" cm="1">
        <f t="array" ref="S279">MIN(IF((ContinuousStatsTable[GroupByKey]=ContinuousStatsTable[[#This Row],[GroupByKey]]),(ContinuousStatsTable[GroupByKey]=ContinuousStatsTable[[#This Row],[GroupByKey]])*ContinuousStatsTable[Average]))</f>
        <v>0.67060354368791797</v>
      </c>
      <c r="T279" cm="1">
        <f t="array" ref="T279">MAX(IF((ContinuousStatsTable[GroupByKey]=ContinuousStatsTable[[#This Row],[GroupByKey]]),(ContinuousStatsTable[GroupByKey]=ContinuousStatsTable[[#This Row],[GroupByKey]])*ContinuousStatsTable[Average]))</f>
        <v>0.87728997349342996</v>
      </c>
      <c r="U279">
        <f>IF((ContinuousStatsTable[[#This Row],[RepsRequested]]&gt;1),ContinuousStatsTable[[#This Row],[HalfWidth]],ContinuousStatsTable[[#This Row],[BatchMeansHalfWidth]])</f>
        <v>4.3837076306763374E-2</v>
      </c>
    </row>
    <row r="280" spans="1:21" x14ac:dyDescent="0.25">
      <c r="A280" t="s">
        <v>67</v>
      </c>
      <c r="B280" t="s">
        <v>243</v>
      </c>
      <c r="C280">
        <v>4</v>
      </c>
      <c r="D280" t="s">
        <v>125</v>
      </c>
      <c r="E280" t="s">
        <v>114</v>
      </c>
      <c r="F280" t="s">
        <v>113</v>
      </c>
      <c r="G280">
        <v>3.6259400563111601</v>
      </c>
      <c r="H280">
        <v>2E+20</v>
      </c>
      <c r="I280">
        <v>0</v>
      </c>
      <c r="J280">
        <v>5</v>
      </c>
      <c r="K280">
        <v>2</v>
      </c>
      <c r="L280">
        <v>0</v>
      </c>
      <c r="M280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280" cm="1">
        <f t="array" ref="N280">MAX(IF((ProjectInfoTable[ProjectName]=ContinuousStatsTable[[#This Row],[ProjectName]]),(ProjectInfoTable[ProjectName]=ContinuousStatsTable[[#This Row],[ProjectName]])*ProjectInfoTable[NumberOfReplications]))</f>
        <v>10</v>
      </c>
      <c r="O280" cm="1">
        <f t="array" ref="O280">IFERROR(AVERAGE(IF((ContinuousStatsTable[GroupByKey]=ContinuousStatsTable[[#This Row],[GroupByKey]]),(ContinuousStatsTable[GroupByKey]=ContinuousStatsTable[[#This Row],[GroupByKey]])*ContinuousStatsTable[Average])),0)</f>
        <v>3.7038715785590122</v>
      </c>
      <c r="P280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0.30640003570861163</v>
      </c>
      <c r="Q280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0.21918538153381359</v>
      </c>
      <c r="S280" cm="1">
        <f t="array" ref="S280">MIN(IF((ContinuousStatsTable[GroupByKey]=ContinuousStatsTable[[#This Row],[GroupByKey]]),(ContinuousStatsTable[GroupByKey]=ContinuousStatsTable[[#This Row],[GroupByKey]])*ContinuousStatsTable[Average]))</f>
        <v>3.35301771843959</v>
      </c>
      <c r="T280" cm="1">
        <f t="array" ref="T280">MAX(IF((ContinuousStatsTable[GroupByKey]=ContinuousStatsTable[[#This Row],[GroupByKey]]),(ContinuousStatsTable[GroupByKey]=ContinuousStatsTable[[#This Row],[GroupByKey]])*ContinuousStatsTable[Average]))</f>
        <v>4.3864498674671397</v>
      </c>
      <c r="U280">
        <f>IF((ContinuousStatsTable[[#This Row],[RepsRequested]]&gt;1),ContinuousStatsTable[[#This Row],[HalfWidth]],ContinuousStatsTable[[#This Row],[BatchMeansHalfWidth]])</f>
        <v>0.21918538153381359</v>
      </c>
    </row>
    <row r="281" spans="1:21" x14ac:dyDescent="0.25">
      <c r="A281" t="s">
        <v>67</v>
      </c>
      <c r="B281" t="s">
        <v>243</v>
      </c>
      <c r="C281">
        <v>4</v>
      </c>
      <c r="D281" t="s">
        <v>125</v>
      </c>
      <c r="E281" t="s">
        <v>115</v>
      </c>
      <c r="F281" t="s">
        <v>113</v>
      </c>
      <c r="G281">
        <v>5</v>
      </c>
      <c r="H281">
        <v>2E+20</v>
      </c>
      <c r="I281">
        <v>5</v>
      </c>
      <c r="J281">
        <v>5</v>
      </c>
      <c r="K281">
        <v>5</v>
      </c>
      <c r="L281">
        <v>0</v>
      </c>
      <c r="M281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281" cm="1">
        <f t="array" ref="N281">MAX(IF((ProjectInfoTable[ProjectName]=ContinuousStatsTable[[#This Row],[ProjectName]]),(ProjectInfoTable[ProjectName]=ContinuousStatsTable[[#This Row],[ProjectName]])*ProjectInfoTable[NumberOfReplications]))</f>
        <v>10</v>
      </c>
      <c r="O281" cm="1">
        <f t="array" ref="O281">IFERROR(AVERAGE(IF((ContinuousStatsTable[GroupByKey]=ContinuousStatsTable[[#This Row],[GroupByKey]]),(ContinuousStatsTable[GroupByKey]=ContinuousStatsTable[[#This Row],[GroupByKey]])*ContinuousStatsTable[Average])),0)</f>
        <v>5</v>
      </c>
      <c r="P281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0</v>
      </c>
      <c r="Q281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1" cm="1">
        <f t="array" ref="S281">MIN(IF((ContinuousStatsTable[GroupByKey]=ContinuousStatsTable[[#This Row],[GroupByKey]]),(ContinuousStatsTable[GroupByKey]=ContinuousStatsTable[[#This Row],[GroupByKey]])*ContinuousStatsTable[Average]))</f>
        <v>5</v>
      </c>
      <c r="T281" cm="1">
        <f t="array" ref="T281">MAX(IF((ContinuousStatsTable[GroupByKey]=ContinuousStatsTable[[#This Row],[GroupByKey]]),(ContinuousStatsTable[GroupByKey]=ContinuousStatsTable[[#This Row],[GroupByKey]])*ContinuousStatsTable[Average]))</f>
        <v>5</v>
      </c>
      <c r="U281">
        <f>IF((ContinuousStatsTable[[#This Row],[RepsRequested]]&gt;1),ContinuousStatsTable[[#This Row],[HalfWidth]],ContinuousStatsTable[[#This Row],[BatchMeansHalfWidth]])</f>
        <v>0</v>
      </c>
    </row>
    <row r="282" spans="1:21" x14ac:dyDescent="0.25">
      <c r="A282" t="s">
        <v>67</v>
      </c>
      <c r="B282" t="s">
        <v>243</v>
      </c>
      <c r="C282">
        <v>4</v>
      </c>
      <c r="D282" t="s">
        <v>126</v>
      </c>
      <c r="E282" t="s">
        <v>112</v>
      </c>
      <c r="F282" t="s">
        <v>113</v>
      </c>
      <c r="G282">
        <v>0.55428007487619302</v>
      </c>
      <c r="H282">
        <v>3E+20</v>
      </c>
      <c r="I282">
        <v>0</v>
      </c>
      <c r="J282">
        <v>1</v>
      </c>
      <c r="K282">
        <v>1</v>
      </c>
      <c r="L282">
        <v>0</v>
      </c>
      <c r="M282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282" cm="1">
        <f t="array" ref="N282">MAX(IF((ProjectInfoTable[ProjectName]=ContinuousStatsTable[[#This Row],[ProjectName]]),(ProjectInfoTable[ProjectName]=ContinuousStatsTable[[#This Row],[ProjectName]])*ProjectInfoTable[NumberOfReplications]))</f>
        <v>10</v>
      </c>
      <c r="O282" cm="1">
        <f t="array" ref="O282">IFERROR(AVERAGE(IF((ContinuousStatsTable[GroupByKey]=ContinuousStatsTable[[#This Row],[GroupByKey]]),(ContinuousStatsTable[GroupByKey]=ContinuousStatsTable[[#This Row],[GroupByKey]])*ContinuousStatsTable[Average])),0)</f>
        <v>0.52391445815006699</v>
      </c>
      <c r="P282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7.0460308415606909E-2</v>
      </c>
      <c r="Q282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5.0404268221927347E-2</v>
      </c>
      <c r="S282" cm="1">
        <f t="array" ref="S282">MIN(IF((ContinuousStatsTable[GroupByKey]=ContinuousStatsTable[[#This Row],[GroupByKey]]),(ContinuousStatsTable[GroupByKey]=ContinuousStatsTable[[#This Row],[GroupByKey]])*ContinuousStatsTable[Average]))</f>
        <v>0.36555656561218303</v>
      </c>
      <c r="T282" cm="1">
        <f t="array" ref="T282">MAX(IF((ContinuousStatsTable[GroupByKey]=ContinuousStatsTable[[#This Row],[GroupByKey]]),(ContinuousStatsTable[GroupByKey]=ContinuousStatsTable[[#This Row],[GroupByKey]])*ContinuousStatsTable[Average]))</f>
        <v>0.59886206518967</v>
      </c>
      <c r="U282">
        <f>IF((ContinuousStatsTable[[#This Row],[RepsRequested]]&gt;1),ContinuousStatsTable[[#This Row],[HalfWidth]],ContinuousStatsTable[[#This Row],[BatchMeansHalfWidth]])</f>
        <v>5.0404268221927347E-2</v>
      </c>
    </row>
    <row r="283" spans="1:21" x14ac:dyDescent="0.25">
      <c r="A283" t="s">
        <v>67</v>
      </c>
      <c r="B283" t="s">
        <v>243</v>
      </c>
      <c r="C283">
        <v>4</v>
      </c>
      <c r="D283" t="s">
        <v>126</v>
      </c>
      <c r="E283" t="s">
        <v>114</v>
      </c>
      <c r="F283" t="s">
        <v>113</v>
      </c>
      <c r="G283">
        <v>2.2171202995047699</v>
      </c>
      <c r="H283">
        <v>3E+20</v>
      </c>
      <c r="I283">
        <v>0</v>
      </c>
      <c r="J283">
        <v>4</v>
      </c>
      <c r="K283">
        <v>4</v>
      </c>
      <c r="L283">
        <v>0</v>
      </c>
      <c r="M283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283" cm="1">
        <f t="array" ref="N283">MAX(IF((ProjectInfoTable[ProjectName]=ContinuousStatsTable[[#This Row],[ProjectName]]),(ProjectInfoTable[ProjectName]=ContinuousStatsTable[[#This Row],[ProjectName]])*ProjectInfoTable[NumberOfReplications]))</f>
        <v>10</v>
      </c>
      <c r="O283" cm="1">
        <f t="array" ref="O283">IFERROR(AVERAGE(IF((ContinuousStatsTable[GroupByKey]=ContinuousStatsTable[[#This Row],[GroupByKey]]),(ContinuousStatsTable[GroupByKey]=ContinuousStatsTable[[#This Row],[GroupByKey]])*ContinuousStatsTable[Average])),0)</f>
        <v>2.0956578326002671</v>
      </c>
      <c r="P283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0.28184123366242902</v>
      </c>
      <c r="Q283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0.20161707288771036</v>
      </c>
      <c r="S283" cm="1">
        <f t="array" ref="S283">MIN(IF((ContinuousStatsTable[GroupByKey]=ContinuousStatsTable[[#This Row],[GroupByKey]]),(ContinuousStatsTable[GroupByKey]=ContinuousStatsTable[[#This Row],[GroupByKey]])*ContinuousStatsTable[Average]))</f>
        <v>1.4622262624487301</v>
      </c>
      <c r="T283" cm="1">
        <f t="array" ref="T283">MAX(IF((ContinuousStatsTable[GroupByKey]=ContinuousStatsTable[[#This Row],[GroupByKey]]),(ContinuousStatsTable[GroupByKey]=ContinuousStatsTable[[#This Row],[GroupByKey]])*ContinuousStatsTable[Average]))</f>
        <v>2.39544826075868</v>
      </c>
      <c r="U283">
        <f>IF((ContinuousStatsTable[[#This Row],[RepsRequested]]&gt;1),ContinuousStatsTable[[#This Row],[HalfWidth]],ContinuousStatsTable[[#This Row],[BatchMeansHalfWidth]])</f>
        <v>0.20161707288771036</v>
      </c>
    </row>
    <row r="284" spans="1:21" x14ac:dyDescent="0.25">
      <c r="A284" t="s">
        <v>67</v>
      </c>
      <c r="B284" t="s">
        <v>243</v>
      </c>
      <c r="C284">
        <v>4</v>
      </c>
      <c r="D284" t="s">
        <v>126</v>
      </c>
      <c r="E284" t="s">
        <v>115</v>
      </c>
      <c r="F284" t="s">
        <v>113</v>
      </c>
      <c r="G284">
        <v>4</v>
      </c>
      <c r="H284">
        <v>2E+20</v>
      </c>
      <c r="I284">
        <v>4</v>
      </c>
      <c r="J284">
        <v>4</v>
      </c>
      <c r="K284">
        <v>4</v>
      </c>
      <c r="L284">
        <v>0</v>
      </c>
      <c r="M284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284" cm="1">
        <f t="array" ref="N284">MAX(IF((ProjectInfoTable[ProjectName]=ContinuousStatsTable[[#This Row],[ProjectName]]),(ProjectInfoTable[ProjectName]=ContinuousStatsTable[[#This Row],[ProjectName]])*ProjectInfoTable[NumberOfReplications]))</f>
        <v>10</v>
      </c>
      <c r="O284" cm="1">
        <f t="array" ref="O284">IFERROR(AVERAGE(IF((ContinuousStatsTable[GroupByKey]=ContinuousStatsTable[[#This Row],[GroupByKey]]),(ContinuousStatsTable[GroupByKey]=ContinuousStatsTable[[#This Row],[GroupByKey]])*ContinuousStatsTable[Average])),0)</f>
        <v>4</v>
      </c>
      <c r="P284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</v>
      </c>
      <c r="Q284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4" cm="1">
        <f t="array" ref="S284">MIN(IF((ContinuousStatsTable[GroupByKey]=ContinuousStatsTable[[#This Row],[GroupByKey]]),(ContinuousStatsTable[GroupByKey]=ContinuousStatsTable[[#This Row],[GroupByKey]])*ContinuousStatsTable[Average]))</f>
        <v>4</v>
      </c>
      <c r="T284" cm="1">
        <f t="array" ref="T284">MAX(IF((ContinuousStatsTable[GroupByKey]=ContinuousStatsTable[[#This Row],[GroupByKey]]),(ContinuousStatsTable[GroupByKey]=ContinuousStatsTable[[#This Row],[GroupByKey]])*ContinuousStatsTable[Average]))</f>
        <v>4</v>
      </c>
      <c r="U284">
        <f>IF((ContinuousStatsTable[[#This Row],[RepsRequested]]&gt;1),ContinuousStatsTable[[#This Row],[HalfWidth]],ContinuousStatsTable[[#This Row],[BatchMeansHalfWidth]])</f>
        <v>0</v>
      </c>
    </row>
    <row r="285" spans="1:21" x14ac:dyDescent="0.25">
      <c r="A285" t="s">
        <v>67</v>
      </c>
      <c r="B285" t="s">
        <v>243</v>
      </c>
      <c r="C285">
        <v>4</v>
      </c>
      <c r="D285" t="s">
        <v>127</v>
      </c>
      <c r="E285" t="s">
        <v>112</v>
      </c>
      <c r="F285" t="s">
        <v>113</v>
      </c>
      <c r="G285">
        <v>0.149670197256767</v>
      </c>
      <c r="H285">
        <v>3E+20</v>
      </c>
      <c r="I285">
        <v>0</v>
      </c>
      <c r="J285">
        <v>1</v>
      </c>
      <c r="K285">
        <v>0</v>
      </c>
      <c r="L285">
        <v>0</v>
      </c>
      <c r="M285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285" cm="1">
        <f t="array" ref="N285">MAX(IF((ProjectInfoTable[ProjectName]=ContinuousStatsTable[[#This Row],[ProjectName]]),(ProjectInfoTable[ProjectName]=ContinuousStatsTable[[#This Row],[ProjectName]])*ProjectInfoTable[NumberOfReplications]))</f>
        <v>10</v>
      </c>
      <c r="O285" cm="1">
        <f t="array" ref="O285">IFERROR(AVERAGE(IF((ContinuousStatsTable[GroupByKey]=ContinuousStatsTable[[#This Row],[GroupByKey]]),(ContinuousStatsTable[GroupByKey]=ContinuousStatsTable[[#This Row],[GroupByKey]])*ContinuousStatsTable[Average])),0)</f>
        <v>0.14955853655775292</v>
      </c>
      <c r="P28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1.8487754554887928E-4</v>
      </c>
      <c r="Q28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1.3225342896729691E-4</v>
      </c>
      <c r="S285" cm="1">
        <f t="array" ref="S285">MIN(IF((ContinuousStatsTable[GroupByKey]=ContinuousStatsTable[[#This Row],[GroupByKey]]),(ContinuousStatsTable[GroupByKey]=ContinuousStatsTable[[#This Row],[GroupByKey]])*ContinuousStatsTable[Average]))</f>
        <v>0.14921189842985499</v>
      </c>
      <c r="T285" cm="1">
        <f t="array" ref="T285">MAX(IF((ContinuousStatsTable[GroupByKey]=ContinuousStatsTable[[#This Row],[GroupByKey]]),(ContinuousStatsTable[GroupByKey]=ContinuousStatsTable[[#This Row],[GroupByKey]])*ContinuousStatsTable[Average]))</f>
        <v>0.14985050053976801</v>
      </c>
      <c r="U285">
        <f>IF((ContinuousStatsTable[[#This Row],[RepsRequested]]&gt;1),ContinuousStatsTable[[#This Row],[HalfWidth]],ContinuousStatsTable[[#This Row],[BatchMeansHalfWidth]])</f>
        <v>1.3225342896729691E-4</v>
      </c>
    </row>
    <row r="286" spans="1:21" x14ac:dyDescent="0.25">
      <c r="A286" t="s">
        <v>67</v>
      </c>
      <c r="B286" t="s">
        <v>243</v>
      </c>
      <c r="C286">
        <v>4</v>
      </c>
      <c r="D286" t="s">
        <v>127</v>
      </c>
      <c r="E286" t="s">
        <v>114</v>
      </c>
      <c r="F286" t="s">
        <v>113</v>
      </c>
      <c r="G286">
        <v>0.299340394513535</v>
      </c>
      <c r="H286">
        <v>3E+20</v>
      </c>
      <c r="I286">
        <v>0</v>
      </c>
      <c r="J286">
        <v>2</v>
      </c>
      <c r="K286">
        <v>0</v>
      </c>
      <c r="L286">
        <v>0</v>
      </c>
      <c r="M286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286" cm="1">
        <f t="array" ref="N286">MAX(IF((ProjectInfoTable[ProjectName]=ContinuousStatsTable[[#This Row],[ProjectName]]),(ProjectInfoTable[ProjectName]=ContinuousStatsTable[[#This Row],[ProjectName]])*ProjectInfoTable[NumberOfReplications]))</f>
        <v>10</v>
      </c>
      <c r="O286" cm="1">
        <f t="array" ref="O286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286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286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286" cm="1">
        <f t="array" ref="S286">MIN(IF((ContinuousStatsTable[GroupByKey]=ContinuousStatsTable[[#This Row],[GroupByKey]]),(ContinuousStatsTable[GroupByKey]=ContinuousStatsTable[[#This Row],[GroupByKey]])*ContinuousStatsTable[Average]))</f>
        <v>0.29842379685970999</v>
      </c>
      <c r="T286" cm="1">
        <f t="array" ref="T286">MAX(IF((ContinuousStatsTable[GroupByKey]=ContinuousStatsTable[[#This Row],[GroupByKey]]),(ContinuousStatsTable[GroupByKey]=ContinuousStatsTable[[#This Row],[GroupByKey]])*ContinuousStatsTable[Average]))</f>
        <v>0.29970100107953501</v>
      </c>
      <c r="U286">
        <f>IF((ContinuousStatsTable[[#This Row],[RepsRequested]]&gt;1),ContinuousStatsTable[[#This Row],[HalfWidth]],ContinuousStatsTable[[#This Row],[BatchMeansHalfWidth]])</f>
        <v>2.6450685793468105E-4</v>
      </c>
    </row>
    <row r="287" spans="1:21" x14ac:dyDescent="0.25">
      <c r="A287" t="s">
        <v>67</v>
      </c>
      <c r="B287" t="s">
        <v>243</v>
      </c>
      <c r="C287">
        <v>4</v>
      </c>
      <c r="D287" t="s">
        <v>127</v>
      </c>
      <c r="E287" t="s">
        <v>115</v>
      </c>
      <c r="F287" t="s">
        <v>113</v>
      </c>
      <c r="G287">
        <v>2</v>
      </c>
      <c r="H287">
        <v>2E+20</v>
      </c>
      <c r="I287">
        <v>2</v>
      </c>
      <c r="J287">
        <v>2</v>
      </c>
      <c r="K287">
        <v>2</v>
      </c>
      <c r="L287">
        <v>0</v>
      </c>
      <c r="M287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287" cm="1">
        <f t="array" ref="N287">MAX(IF((ProjectInfoTable[ProjectName]=ContinuousStatsTable[[#This Row],[ProjectName]]),(ProjectInfoTable[ProjectName]=ContinuousStatsTable[[#This Row],[ProjectName]])*ProjectInfoTable[NumberOfReplications]))</f>
        <v>10</v>
      </c>
      <c r="O287" cm="1">
        <f t="array" ref="O287">IFERROR(AVERAGE(IF((ContinuousStatsTable[GroupByKey]=ContinuousStatsTable[[#This Row],[GroupByKey]]),(ContinuousStatsTable[GroupByKey]=ContinuousStatsTable[[#This Row],[GroupByKey]])*ContinuousStatsTable[Average])),0)</f>
        <v>2</v>
      </c>
      <c r="P287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</v>
      </c>
      <c r="Q287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7" cm="1">
        <f t="array" ref="S287">MIN(IF((ContinuousStatsTable[GroupByKey]=ContinuousStatsTable[[#This Row],[GroupByKey]]),(ContinuousStatsTable[GroupByKey]=ContinuousStatsTable[[#This Row],[GroupByKey]])*ContinuousStatsTable[Average]))</f>
        <v>2</v>
      </c>
      <c r="T287" cm="1">
        <f t="array" ref="T287">MAX(IF((ContinuousStatsTable[GroupByKey]=ContinuousStatsTable[[#This Row],[GroupByKey]]),(ContinuousStatsTable[GroupByKey]=ContinuousStatsTable[[#This Row],[GroupByKey]])*ContinuousStatsTable[Average]))</f>
        <v>2</v>
      </c>
      <c r="U287">
        <f>IF((ContinuousStatsTable[[#This Row],[RepsRequested]]&gt;1),ContinuousStatsTable[[#This Row],[HalfWidth]],ContinuousStatsTable[[#This Row],[BatchMeansHalfWidth]])</f>
        <v>0</v>
      </c>
    </row>
    <row r="288" spans="1:21" x14ac:dyDescent="0.25">
      <c r="A288" t="s">
        <v>67</v>
      </c>
      <c r="B288" t="s">
        <v>243</v>
      </c>
      <c r="C288">
        <v>4</v>
      </c>
      <c r="D288" t="s">
        <v>128</v>
      </c>
      <c r="E288" t="s">
        <v>112</v>
      </c>
      <c r="F288" t="s">
        <v>113</v>
      </c>
      <c r="G288">
        <v>0.82680969033003504</v>
      </c>
      <c r="H288">
        <v>3E+20</v>
      </c>
      <c r="I288">
        <v>0</v>
      </c>
      <c r="J288">
        <v>1</v>
      </c>
      <c r="K288">
        <v>0.6</v>
      </c>
      <c r="L288">
        <v>0</v>
      </c>
      <c r="M288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288" cm="1">
        <f t="array" ref="N288">MAX(IF((ProjectInfoTable[ProjectName]=ContinuousStatsTable[[#This Row],[ProjectName]]),(ProjectInfoTable[ProjectName]=ContinuousStatsTable[[#This Row],[ProjectName]])*ProjectInfoTable[NumberOfReplications]))</f>
        <v>10</v>
      </c>
      <c r="O288" cm="1">
        <f t="array" ref="O288">IFERROR(AVERAGE(IF((ContinuousStatsTable[GroupByKey]=ContinuousStatsTable[[#This Row],[GroupByKey]]),(ContinuousStatsTable[GroupByKey]=ContinuousStatsTable[[#This Row],[GroupByKey]])*ContinuousStatsTable[Average])),0)</f>
        <v>0.78490250681152507</v>
      </c>
      <c r="P288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0.11345978752761832</v>
      </c>
      <c r="Q288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8.1164242557846045E-2</v>
      </c>
      <c r="S288" cm="1">
        <f t="array" ref="S288">MIN(IF((ContinuousStatsTable[GroupByKey]=ContinuousStatsTable[[#This Row],[GroupByKey]]),(ContinuousStatsTable[GroupByKey]=ContinuousStatsTable[[#This Row],[GroupByKey]])*ContinuousStatsTable[Average]))</f>
        <v>0.58338388917401696</v>
      </c>
      <c r="T288" cm="1">
        <f t="array" ref="T288">MAX(IF((ContinuousStatsTable[GroupByKey]=ContinuousStatsTable[[#This Row],[GroupByKey]]),(ContinuousStatsTable[GroupByKey]=ContinuousStatsTable[[#This Row],[GroupByKey]])*ContinuousStatsTable[Average]))</f>
        <v>0.90111632059041802</v>
      </c>
      <c r="U288">
        <f>IF((ContinuousStatsTable[[#This Row],[RepsRequested]]&gt;1),ContinuousStatsTable[[#This Row],[HalfWidth]],ContinuousStatsTable[[#This Row],[BatchMeansHalfWidth]])</f>
        <v>8.1164242557846045E-2</v>
      </c>
    </row>
    <row r="289" spans="1:21" x14ac:dyDescent="0.25">
      <c r="A289" t="s">
        <v>67</v>
      </c>
      <c r="B289" t="s">
        <v>243</v>
      </c>
      <c r="C289">
        <v>4</v>
      </c>
      <c r="D289" t="s">
        <v>128</v>
      </c>
      <c r="E289" t="s">
        <v>114</v>
      </c>
      <c r="F289" t="s">
        <v>113</v>
      </c>
      <c r="G289">
        <v>4.1340484516501901</v>
      </c>
      <c r="H289">
        <v>3E+20</v>
      </c>
      <c r="I289">
        <v>0</v>
      </c>
      <c r="J289">
        <v>5</v>
      </c>
      <c r="K289">
        <v>3</v>
      </c>
      <c r="L289">
        <v>0</v>
      </c>
      <c r="M289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289" cm="1">
        <f t="array" ref="N289">MAX(IF((ProjectInfoTable[ProjectName]=ContinuousStatsTable[[#This Row],[ProjectName]]),(ProjectInfoTable[ProjectName]=ContinuousStatsTable[[#This Row],[ProjectName]])*ProjectInfoTable[NumberOfReplications]))</f>
        <v>10</v>
      </c>
      <c r="O289" cm="1">
        <f t="array" ref="O289">IFERROR(AVERAGE(IF((ContinuousStatsTable[GroupByKey]=ContinuousStatsTable[[#This Row],[GroupByKey]]),(ContinuousStatsTable[GroupByKey]=ContinuousStatsTable[[#This Row],[GroupByKey]])*ContinuousStatsTable[Average])),0)</f>
        <v>3.9245125340576221</v>
      </c>
      <c r="P289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0.56729893763807904</v>
      </c>
      <c r="Q289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0.40582121278922129</v>
      </c>
      <c r="S289" cm="1">
        <f t="array" ref="S289">MIN(IF((ContinuousStatsTable[GroupByKey]=ContinuousStatsTable[[#This Row],[GroupByKey]]),(ContinuousStatsTable[GroupByKey]=ContinuousStatsTable[[#This Row],[GroupByKey]])*ContinuousStatsTable[Average]))</f>
        <v>2.91691944587008</v>
      </c>
      <c r="T289" cm="1">
        <f t="array" ref="T289">MAX(IF((ContinuousStatsTable[GroupByKey]=ContinuousStatsTable[[#This Row],[GroupByKey]]),(ContinuousStatsTable[GroupByKey]=ContinuousStatsTable[[#This Row],[GroupByKey]])*ContinuousStatsTable[Average]))</f>
        <v>4.5055816029520903</v>
      </c>
      <c r="U289">
        <f>IF((ContinuousStatsTable[[#This Row],[RepsRequested]]&gt;1),ContinuousStatsTable[[#This Row],[HalfWidth]],ContinuousStatsTable[[#This Row],[BatchMeansHalfWidth]])</f>
        <v>0.40582121278922129</v>
      </c>
    </row>
    <row r="290" spans="1:21" x14ac:dyDescent="0.25">
      <c r="A290" t="s">
        <v>67</v>
      </c>
      <c r="B290" t="s">
        <v>243</v>
      </c>
      <c r="C290">
        <v>4</v>
      </c>
      <c r="D290" t="s">
        <v>128</v>
      </c>
      <c r="E290" t="s">
        <v>115</v>
      </c>
      <c r="F290" t="s">
        <v>113</v>
      </c>
      <c r="G290">
        <v>5</v>
      </c>
      <c r="H290">
        <v>2E+20</v>
      </c>
      <c r="I290">
        <v>5</v>
      </c>
      <c r="J290">
        <v>5</v>
      </c>
      <c r="K290">
        <v>5</v>
      </c>
      <c r="L290">
        <v>0</v>
      </c>
      <c r="M290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290" cm="1">
        <f t="array" ref="N290">MAX(IF((ProjectInfoTable[ProjectName]=ContinuousStatsTable[[#This Row],[ProjectName]]),(ProjectInfoTable[ProjectName]=ContinuousStatsTable[[#This Row],[ProjectName]])*ProjectInfoTable[NumberOfReplications]))</f>
        <v>10</v>
      </c>
      <c r="O290" cm="1">
        <f t="array" ref="O290">IFERROR(AVERAGE(IF((ContinuousStatsTable[GroupByKey]=ContinuousStatsTable[[#This Row],[GroupByKey]]),(ContinuousStatsTable[GroupByKey]=ContinuousStatsTable[[#This Row],[GroupByKey]])*ContinuousStatsTable[Average])),0)</f>
        <v>5</v>
      </c>
      <c r="P290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</v>
      </c>
      <c r="Q290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0" cm="1">
        <f t="array" ref="S290">MIN(IF((ContinuousStatsTable[GroupByKey]=ContinuousStatsTable[[#This Row],[GroupByKey]]),(ContinuousStatsTable[GroupByKey]=ContinuousStatsTable[[#This Row],[GroupByKey]])*ContinuousStatsTable[Average]))</f>
        <v>5</v>
      </c>
      <c r="T290" cm="1">
        <f t="array" ref="T290">MAX(IF((ContinuousStatsTable[GroupByKey]=ContinuousStatsTable[[#This Row],[GroupByKey]]),(ContinuousStatsTable[GroupByKey]=ContinuousStatsTable[[#This Row],[GroupByKey]])*ContinuousStatsTable[Average]))</f>
        <v>5</v>
      </c>
      <c r="U290">
        <f>IF((ContinuousStatsTable[[#This Row],[RepsRequested]]&gt;1),ContinuousStatsTable[[#This Row],[HalfWidth]],ContinuousStatsTable[[#This Row],[BatchMeansHalfWidth]])</f>
        <v>0</v>
      </c>
    </row>
    <row r="291" spans="1:21" x14ac:dyDescent="0.25">
      <c r="A291" t="s">
        <v>67</v>
      </c>
      <c r="B291" t="s">
        <v>243</v>
      </c>
      <c r="C291">
        <v>4</v>
      </c>
      <c r="D291" t="s">
        <v>129</v>
      </c>
      <c r="E291" t="s">
        <v>112</v>
      </c>
      <c r="F291" t="s">
        <v>113</v>
      </c>
      <c r="G291">
        <v>0.15878446251421499</v>
      </c>
      <c r="H291">
        <v>2E+20</v>
      </c>
      <c r="I291">
        <v>0</v>
      </c>
      <c r="J291">
        <v>0.66666666666666696</v>
      </c>
      <c r="K291">
        <v>0</v>
      </c>
      <c r="L291">
        <v>0</v>
      </c>
      <c r="M291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291" cm="1">
        <f t="array" ref="N291">MAX(IF((ProjectInfoTable[ProjectName]=ContinuousStatsTable[[#This Row],[ProjectName]]),(ProjectInfoTable[ProjectName]=ContinuousStatsTable[[#This Row],[ProjectName]])*ProjectInfoTable[NumberOfReplications]))</f>
        <v>10</v>
      </c>
      <c r="O291" cm="1">
        <f t="array" ref="O291">IFERROR(AVERAGE(IF((ContinuousStatsTable[GroupByKey]=ContinuousStatsTable[[#This Row],[GroupByKey]]),(ContinuousStatsTable[GroupByKey]=ContinuousStatsTable[[#This Row],[GroupByKey]])*ContinuousStatsTable[Average])),0)</f>
        <v>0.15879210791146137</v>
      </c>
      <c r="P291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8.8786593845171554E-6</v>
      </c>
      <c r="Q291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6.3514103064755986E-6</v>
      </c>
      <c r="S291" cm="1">
        <f t="array" ref="S291">MIN(IF((ContinuousStatsTable[GroupByKey]=ContinuousStatsTable[[#This Row],[GroupByKey]]),(ContinuousStatsTable[GroupByKey]=ContinuousStatsTable[[#This Row],[GroupByKey]])*ContinuousStatsTable[Average]))</f>
        <v>0.15877821852350199</v>
      </c>
      <c r="T291" cm="1">
        <f t="array" ref="T291">MAX(IF((ContinuousStatsTable[GroupByKey]=ContinuousStatsTable[[#This Row],[GroupByKey]]),(ContinuousStatsTable[GroupByKey]=ContinuousStatsTable[[#This Row],[GroupByKey]])*ContinuousStatsTable[Average]))</f>
        <v>0.15880443244107401</v>
      </c>
      <c r="U291">
        <f>IF((ContinuousStatsTable[[#This Row],[RepsRequested]]&gt;1),ContinuousStatsTable[[#This Row],[HalfWidth]],ContinuousStatsTable[[#This Row],[BatchMeansHalfWidth]])</f>
        <v>6.3514103064755986E-6</v>
      </c>
    </row>
    <row r="292" spans="1:21" x14ac:dyDescent="0.25">
      <c r="A292" t="s">
        <v>67</v>
      </c>
      <c r="B292" t="s">
        <v>243</v>
      </c>
      <c r="C292">
        <v>4</v>
      </c>
      <c r="D292" t="s">
        <v>129</v>
      </c>
      <c r="E292" t="s">
        <v>114</v>
      </c>
      <c r="F292" t="s">
        <v>113</v>
      </c>
      <c r="G292">
        <v>0.476353387542643</v>
      </c>
      <c r="H292">
        <v>2E+20</v>
      </c>
      <c r="I292">
        <v>0</v>
      </c>
      <c r="J292">
        <v>2</v>
      </c>
      <c r="K292">
        <v>0</v>
      </c>
      <c r="L292">
        <v>0</v>
      </c>
      <c r="M292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292" cm="1">
        <f t="array" ref="N292">MAX(IF((ProjectInfoTable[ProjectName]=ContinuousStatsTable[[#This Row],[ProjectName]]),(ProjectInfoTable[ProjectName]=ContinuousStatsTable[[#This Row],[ProjectName]])*ProjectInfoTable[NumberOfReplications]))</f>
        <v>10</v>
      </c>
      <c r="O292" cm="1">
        <f t="array" ref="O292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292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292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292" cm="1">
        <f t="array" ref="S292">MIN(IF((ContinuousStatsTable[GroupByKey]=ContinuousStatsTable[[#This Row],[GroupByKey]]),(ContinuousStatsTable[GroupByKey]=ContinuousStatsTable[[#This Row],[GroupByKey]])*ContinuousStatsTable[Average]))</f>
        <v>0.47633465557050603</v>
      </c>
      <c r="T292" cm="1">
        <f t="array" ref="T292">MAX(IF((ContinuousStatsTable[GroupByKey]=ContinuousStatsTable[[#This Row],[GroupByKey]]),(ContinuousStatsTable[GroupByKey]=ContinuousStatsTable[[#This Row],[GroupByKey]])*ContinuousStatsTable[Average]))</f>
        <v>0.47641329732322302</v>
      </c>
      <c r="U292">
        <f>IF((ContinuousStatsTable[[#This Row],[RepsRequested]]&gt;1),ContinuousStatsTable[[#This Row],[HalfWidth]],ContinuousStatsTable[[#This Row],[BatchMeansHalfWidth]])</f>
        <v>1.9054230919217752E-5</v>
      </c>
    </row>
    <row r="293" spans="1:21" x14ac:dyDescent="0.25">
      <c r="A293" t="s">
        <v>67</v>
      </c>
      <c r="B293" t="s">
        <v>243</v>
      </c>
      <c r="C293">
        <v>4</v>
      </c>
      <c r="D293" t="s">
        <v>129</v>
      </c>
      <c r="E293" t="s">
        <v>115</v>
      </c>
      <c r="F293" t="s">
        <v>113</v>
      </c>
      <c r="G293">
        <v>3</v>
      </c>
      <c r="H293">
        <v>2E+20</v>
      </c>
      <c r="I293">
        <v>3</v>
      </c>
      <c r="J293">
        <v>3</v>
      </c>
      <c r="K293">
        <v>3</v>
      </c>
      <c r="L293">
        <v>0</v>
      </c>
      <c r="M293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293" cm="1">
        <f t="array" ref="N293">MAX(IF((ProjectInfoTable[ProjectName]=ContinuousStatsTable[[#This Row],[ProjectName]]),(ProjectInfoTable[ProjectName]=ContinuousStatsTable[[#This Row],[ProjectName]])*ProjectInfoTable[NumberOfReplications]))</f>
        <v>10</v>
      </c>
      <c r="O293" cm="1">
        <f t="array" ref="O293">IFERROR(AVERAGE(IF((ContinuousStatsTable[GroupByKey]=ContinuousStatsTable[[#This Row],[GroupByKey]]),(ContinuousStatsTable[GroupByKey]=ContinuousStatsTable[[#This Row],[GroupByKey]])*ContinuousStatsTable[Average])),0)</f>
        <v>3</v>
      </c>
      <c r="P293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cm="1">
        <f t="array" ref="S293">MIN(IF((ContinuousStatsTable[GroupByKey]=ContinuousStatsTable[[#This Row],[GroupByKey]]),(ContinuousStatsTable[GroupByKey]=ContinuousStatsTable[[#This Row],[GroupByKey]])*ContinuousStatsTable[Average]))</f>
        <v>3</v>
      </c>
      <c r="T293" cm="1">
        <f t="array" ref="T293">MAX(IF((ContinuousStatsTable[GroupByKey]=ContinuousStatsTable[[#This Row],[GroupByKey]]),(ContinuousStatsTable[GroupByKey]=ContinuousStatsTable[[#This Row],[GroupByKey]])*ContinuousStatsTable[Average]))</f>
        <v>3</v>
      </c>
      <c r="U293">
        <f>IF((ContinuousStatsTable[[#This Row],[RepsRequested]]&gt;1),ContinuousStatsTable[[#This Row],[HalfWidth]],ContinuousStatsTable[[#This Row],[BatchMeansHalfWidth]])</f>
        <v>0</v>
      </c>
    </row>
    <row r="294" spans="1:21" x14ac:dyDescent="0.25">
      <c r="A294" t="s">
        <v>67</v>
      </c>
      <c r="B294" t="s">
        <v>243</v>
      </c>
      <c r="C294">
        <v>4</v>
      </c>
      <c r="D294" t="s">
        <v>130</v>
      </c>
      <c r="E294" t="s">
        <v>112</v>
      </c>
      <c r="F294" t="s">
        <v>113</v>
      </c>
      <c r="G294">
        <v>0.47638046343127</v>
      </c>
      <c r="H294">
        <v>2E+20</v>
      </c>
      <c r="I294">
        <v>0</v>
      </c>
      <c r="J294">
        <v>1</v>
      </c>
      <c r="K294">
        <v>0</v>
      </c>
      <c r="L294">
        <v>0</v>
      </c>
      <c r="M294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294" cm="1">
        <f t="array" ref="N294">MAX(IF((ProjectInfoTable[ProjectName]=ContinuousStatsTable[[#This Row],[ProjectName]]),(ProjectInfoTable[ProjectName]=ContinuousStatsTable[[#This Row],[ProjectName]])*ProjectInfoTable[NumberOfReplications]))</f>
        <v>10</v>
      </c>
      <c r="O294" cm="1">
        <f t="array" ref="O294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294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294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294" cm="1">
        <f t="array" ref="S294">MIN(IF((ContinuousStatsTable[GroupByKey]=ContinuousStatsTable[[#This Row],[GroupByKey]]),(ContinuousStatsTable[GroupByKey]=ContinuousStatsTable[[#This Row],[GroupByKey]])*ContinuousStatsTable[Average]))</f>
        <v>0.47638046343127</v>
      </c>
      <c r="T294" cm="1">
        <f t="array" ref="T294">MAX(IF((ContinuousStatsTable[GroupByKey]=ContinuousStatsTable[[#This Row],[GroupByKey]]),(ContinuousStatsTable[GroupByKey]=ContinuousStatsTable[[#This Row],[GroupByKey]])*ContinuousStatsTable[Average]))</f>
        <v>0.47647340349894202</v>
      </c>
      <c r="U294">
        <f>IF((ContinuousStatsTable[[#This Row],[RepsRequested]]&gt;1),ContinuousStatsTable[[#This Row],[HalfWidth]],ContinuousStatsTable[[#This Row],[BatchMeansHalfWidth]])</f>
        <v>2.530338482140405E-5</v>
      </c>
    </row>
    <row r="295" spans="1:21" x14ac:dyDescent="0.25">
      <c r="A295" t="s">
        <v>67</v>
      </c>
      <c r="B295" t="s">
        <v>243</v>
      </c>
      <c r="C295">
        <v>4</v>
      </c>
      <c r="D295" t="s">
        <v>130</v>
      </c>
      <c r="E295" t="s">
        <v>114</v>
      </c>
      <c r="F295" t="s">
        <v>113</v>
      </c>
      <c r="G295">
        <v>0.47638046343127</v>
      </c>
      <c r="H295">
        <v>2E+20</v>
      </c>
      <c r="I295">
        <v>0</v>
      </c>
      <c r="J295">
        <v>1</v>
      </c>
      <c r="K295">
        <v>0</v>
      </c>
      <c r="L295">
        <v>0</v>
      </c>
      <c r="M295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295" cm="1">
        <f t="array" ref="N295">MAX(IF((ProjectInfoTable[ProjectName]=ContinuousStatsTable[[#This Row],[ProjectName]]),(ProjectInfoTable[ProjectName]=ContinuousStatsTable[[#This Row],[ProjectName]])*ProjectInfoTable[NumberOfReplications]))</f>
        <v>10</v>
      </c>
      <c r="O295" cm="1">
        <f t="array" ref="O295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29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29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295" cm="1">
        <f t="array" ref="S295">MIN(IF((ContinuousStatsTable[GroupByKey]=ContinuousStatsTable[[#This Row],[GroupByKey]]),(ContinuousStatsTable[GroupByKey]=ContinuousStatsTable[[#This Row],[GroupByKey]])*ContinuousStatsTable[Average]))</f>
        <v>0.47638046343127</v>
      </c>
      <c r="T295" cm="1">
        <f t="array" ref="T295">MAX(IF((ContinuousStatsTable[GroupByKey]=ContinuousStatsTable[[#This Row],[GroupByKey]]),(ContinuousStatsTable[GroupByKey]=ContinuousStatsTable[[#This Row],[GroupByKey]])*ContinuousStatsTable[Average]))</f>
        <v>0.47647340349894202</v>
      </c>
      <c r="U295">
        <f>IF((ContinuousStatsTable[[#This Row],[RepsRequested]]&gt;1),ContinuousStatsTable[[#This Row],[HalfWidth]],ContinuousStatsTable[[#This Row],[BatchMeansHalfWidth]])</f>
        <v>2.530338482140405E-5</v>
      </c>
    </row>
    <row r="296" spans="1:21" x14ac:dyDescent="0.25">
      <c r="A296" t="s">
        <v>67</v>
      </c>
      <c r="B296" t="s">
        <v>243</v>
      </c>
      <c r="C296">
        <v>4</v>
      </c>
      <c r="D296" t="s">
        <v>130</v>
      </c>
      <c r="E296" t="s">
        <v>115</v>
      </c>
      <c r="F296" t="s">
        <v>113</v>
      </c>
      <c r="G296">
        <v>0.476190476190476</v>
      </c>
      <c r="H296">
        <v>2E+20</v>
      </c>
      <c r="I296">
        <v>0</v>
      </c>
      <c r="J296">
        <v>1</v>
      </c>
      <c r="K296">
        <v>0</v>
      </c>
      <c r="L296">
        <v>0</v>
      </c>
      <c r="M296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296" cm="1">
        <f t="array" ref="N296">MAX(IF((ProjectInfoTable[ProjectName]=ContinuousStatsTable[[#This Row],[ProjectName]]),(ProjectInfoTable[ProjectName]=ContinuousStatsTable[[#This Row],[ProjectName]])*ProjectInfoTable[NumberOfReplications]))</f>
        <v>10</v>
      </c>
      <c r="O296" cm="1">
        <f t="array" ref="O296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96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cm="1">
        <f t="array" ref="S296">MIN(IF((ContinuousStatsTable[GroupByKey]=ContinuousStatsTable[[#This Row],[GroupByKey]]),(ContinuousStatsTable[GroupByKey]=ContinuousStatsTable[[#This Row],[GroupByKey]])*ContinuousStatsTable[Average]))</f>
        <v>0.476190476190476</v>
      </c>
      <c r="T296" cm="1">
        <f t="array" ref="T296">MAX(IF((ContinuousStatsTable[GroupByKey]=ContinuousStatsTable[[#This Row],[GroupByKey]]),(ContinuousStatsTable[GroupByKey]=ContinuousStatsTable[[#This Row],[GroupByKey]])*ContinuousStatsTable[Average]))</f>
        <v>0.476190476190476</v>
      </c>
      <c r="U296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67</v>
      </c>
      <c r="B297" t="s">
        <v>243</v>
      </c>
      <c r="C297">
        <v>4</v>
      </c>
      <c r="D297" t="s">
        <v>131</v>
      </c>
      <c r="E297" t="s">
        <v>112</v>
      </c>
      <c r="F297" t="s">
        <v>113</v>
      </c>
      <c r="G297">
        <v>0.34602746258727701</v>
      </c>
      <c r="H297">
        <v>3E+20</v>
      </c>
      <c r="I297">
        <v>0</v>
      </c>
      <c r="J297">
        <v>1</v>
      </c>
      <c r="K297">
        <v>0</v>
      </c>
      <c r="L297">
        <v>0</v>
      </c>
      <c r="M297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297" cm="1">
        <f t="array" ref="N297">MAX(IF((ProjectInfoTable[ProjectName]=ContinuousStatsTable[[#This Row],[ProjectName]]),(ProjectInfoTable[ProjectName]=ContinuousStatsTable[[#This Row],[ProjectName]])*ProjectInfoTable[NumberOfReplications]))</f>
        <v>10</v>
      </c>
      <c r="O297" cm="1">
        <f t="array" ref="O297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297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297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297" cm="1">
        <f t="array" ref="S297">MIN(IF((ContinuousStatsTable[GroupByKey]=ContinuousStatsTable[[#This Row],[GroupByKey]]),(ContinuousStatsTable[GroupByKey]=ContinuousStatsTable[[#This Row],[GroupByKey]])*ContinuousStatsTable[Average]))</f>
        <v>0.34602746258727701</v>
      </c>
      <c r="T297" cm="1">
        <f t="array" ref="T297">MAX(IF((ContinuousStatsTable[GroupByKey]=ContinuousStatsTable[[#This Row],[GroupByKey]]),(ContinuousStatsTable[GroupByKey]=ContinuousStatsTable[[#This Row],[GroupByKey]])*ContinuousStatsTable[Average]))</f>
        <v>0.34712505386175102</v>
      </c>
      <c r="U297">
        <f>IF((ContinuousStatsTable[[#This Row],[RepsRequested]]&gt;1),ContinuousStatsTable[[#This Row],[HalfWidth]],ContinuousStatsTable[[#This Row],[BatchMeansHalfWidth]])</f>
        <v>2.4134201748419608E-4</v>
      </c>
    </row>
    <row r="298" spans="1:21" x14ac:dyDescent="0.25">
      <c r="A298" t="s">
        <v>67</v>
      </c>
      <c r="B298" t="s">
        <v>243</v>
      </c>
      <c r="C298">
        <v>4</v>
      </c>
      <c r="D298" t="s">
        <v>131</v>
      </c>
      <c r="E298" t="s">
        <v>114</v>
      </c>
      <c r="F298" t="s">
        <v>113</v>
      </c>
      <c r="G298">
        <v>0.34602746258727701</v>
      </c>
      <c r="H298">
        <v>3E+20</v>
      </c>
      <c r="I298">
        <v>0</v>
      </c>
      <c r="J298">
        <v>1</v>
      </c>
      <c r="K298">
        <v>0</v>
      </c>
      <c r="L298">
        <v>0</v>
      </c>
      <c r="M298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298" cm="1">
        <f t="array" ref="N298">MAX(IF((ProjectInfoTable[ProjectName]=ContinuousStatsTable[[#This Row],[ProjectName]]),(ProjectInfoTable[ProjectName]=ContinuousStatsTable[[#This Row],[ProjectName]])*ProjectInfoTable[NumberOfReplications]))</f>
        <v>10</v>
      </c>
      <c r="O298" cm="1">
        <f t="array" ref="O298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298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298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298" cm="1">
        <f t="array" ref="S298">MIN(IF((ContinuousStatsTable[GroupByKey]=ContinuousStatsTable[[#This Row],[GroupByKey]]),(ContinuousStatsTable[GroupByKey]=ContinuousStatsTable[[#This Row],[GroupByKey]])*ContinuousStatsTable[Average]))</f>
        <v>0.34602746258727701</v>
      </c>
      <c r="T298" cm="1">
        <f t="array" ref="T298">MAX(IF((ContinuousStatsTable[GroupByKey]=ContinuousStatsTable[[#This Row],[GroupByKey]]),(ContinuousStatsTable[GroupByKey]=ContinuousStatsTable[[#This Row],[GroupByKey]])*ContinuousStatsTable[Average]))</f>
        <v>0.34712505386175102</v>
      </c>
      <c r="U298">
        <f>IF((ContinuousStatsTable[[#This Row],[RepsRequested]]&gt;1),ContinuousStatsTable[[#This Row],[HalfWidth]],ContinuousStatsTable[[#This Row],[BatchMeansHalfWidth]])</f>
        <v>2.4134201748419608E-4</v>
      </c>
    </row>
    <row r="299" spans="1:21" x14ac:dyDescent="0.25">
      <c r="A299" t="s">
        <v>67</v>
      </c>
      <c r="B299" t="s">
        <v>243</v>
      </c>
      <c r="C299">
        <v>4</v>
      </c>
      <c r="D299" t="s">
        <v>131</v>
      </c>
      <c r="E299" t="s">
        <v>115</v>
      </c>
      <c r="F299" t="s">
        <v>113</v>
      </c>
      <c r="G299">
        <v>0.476190476190476</v>
      </c>
      <c r="H299">
        <v>2E+20</v>
      </c>
      <c r="I299">
        <v>0</v>
      </c>
      <c r="J299">
        <v>1</v>
      </c>
      <c r="K299">
        <v>0</v>
      </c>
      <c r="L299">
        <v>0</v>
      </c>
      <c r="M299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299" cm="1">
        <f t="array" ref="N299">MAX(IF((ProjectInfoTable[ProjectName]=ContinuousStatsTable[[#This Row],[ProjectName]]),(ProjectInfoTable[ProjectName]=ContinuousStatsTable[[#This Row],[ProjectName]])*ProjectInfoTable[NumberOfReplications]))</f>
        <v>10</v>
      </c>
      <c r="O299" cm="1">
        <f t="array" ref="O29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299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cm="1">
        <f t="array" ref="S299">MIN(IF((ContinuousStatsTable[GroupByKey]=ContinuousStatsTable[[#This Row],[GroupByKey]]),(ContinuousStatsTable[GroupByKey]=ContinuousStatsTable[[#This Row],[GroupByKey]])*ContinuousStatsTable[Average]))</f>
        <v>0.476190476190476</v>
      </c>
      <c r="T299" cm="1">
        <f t="array" ref="T299">MAX(IF((ContinuousStatsTable[GroupByKey]=ContinuousStatsTable[[#This Row],[GroupByKey]]),(ContinuousStatsTable[GroupByKey]=ContinuousStatsTable[[#This Row],[GroupByKey]])*ContinuousStatsTable[Average]))</f>
        <v>0.476190476190476</v>
      </c>
      <c r="U299">
        <f>IF((ContinuousStatsTable[[#This Row],[RepsRequested]]&gt;1),ContinuousStatsTable[[#This Row],[HalfWidth]],ContinuousStatsTable[[#This Row],[BatchMeansHalfWidth]])</f>
        <v>0</v>
      </c>
    </row>
    <row r="300" spans="1:21" x14ac:dyDescent="0.25">
      <c r="A300" t="s">
        <v>67</v>
      </c>
      <c r="B300" t="s">
        <v>243</v>
      </c>
      <c r="C300">
        <v>4</v>
      </c>
      <c r="D300" t="s">
        <v>132</v>
      </c>
      <c r="E300" t="s">
        <v>112</v>
      </c>
      <c r="F300" t="s">
        <v>113</v>
      </c>
      <c r="G300">
        <v>0.45443210700804798</v>
      </c>
      <c r="H300">
        <v>3E+20</v>
      </c>
      <c r="I300">
        <v>0</v>
      </c>
      <c r="J300">
        <v>1</v>
      </c>
      <c r="K300">
        <v>0</v>
      </c>
      <c r="L300">
        <v>0</v>
      </c>
      <c r="M300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300" cm="1">
        <f t="array" ref="N300">MAX(IF((ProjectInfoTable[ProjectName]=ContinuousStatsTable[[#This Row],[ProjectName]]),(ProjectInfoTable[ProjectName]=ContinuousStatsTable[[#This Row],[ProjectName]])*ProjectInfoTable[NumberOfReplications]))</f>
        <v>10</v>
      </c>
      <c r="O300" cm="1">
        <f t="array" ref="O300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300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300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300" cm="1">
        <f t="array" ref="S300">MIN(IF((ContinuousStatsTable[GroupByKey]=ContinuousStatsTable[[#This Row],[GroupByKey]]),(ContinuousStatsTable[GroupByKey]=ContinuousStatsTable[[#This Row],[GroupByKey]])*ContinuousStatsTable[Average]))</f>
        <v>0.45404133128311103</v>
      </c>
      <c r="T300" cm="1">
        <f t="array" ref="T300">MAX(IF((ContinuousStatsTable[GroupByKey]=ContinuousStatsTable[[#This Row],[GroupByKey]]),(ContinuousStatsTable[GroupByKey]=ContinuousStatsTable[[#This Row],[GroupByKey]])*ContinuousStatsTable[Average]))</f>
        <v>0.45518418142323402</v>
      </c>
      <c r="U300">
        <f>IF((ContinuousStatsTable[[#This Row],[RepsRequested]]&gt;1),ContinuousStatsTable[[#This Row],[HalfWidth]],ContinuousStatsTable[[#This Row],[BatchMeansHalfWidth]])</f>
        <v>2.6178321488092363E-4</v>
      </c>
    </row>
    <row r="301" spans="1:21" x14ac:dyDescent="0.25">
      <c r="A301" t="s">
        <v>67</v>
      </c>
      <c r="B301" t="s">
        <v>243</v>
      </c>
      <c r="C301">
        <v>4</v>
      </c>
      <c r="D301" t="s">
        <v>132</v>
      </c>
      <c r="E301" t="s">
        <v>114</v>
      </c>
      <c r="F301" t="s">
        <v>113</v>
      </c>
      <c r="G301">
        <v>0.45443210700804798</v>
      </c>
      <c r="H301">
        <v>3E+20</v>
      </c>
      <c r="I301">
        <v>0</v>
      </c>
      <c r="J301">
        <v>1</v>
      </c>
      <c r="K301">
        <v>0</v>
      </c>
      <c r="L301">
        <v>0</v>
      </c>
      <c r="M301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301" cm="1">
        <f t="array" ref="N301">MAX(IF((ProjectInfoTable[ProjectName]=ContinuousStatsTable[[#This Row],[ProjectName]]),(ProjectInfoTable[ProjectName]=ContinuousStatsTable[[#This Row],[ProjectName]])*ProjectInfoTable[NumberOfReplications]))</f>
        <v>10</v>
      </c>
      <c r="O301" cm="1">
        <f t="array" ref="O301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301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301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301" cm="1">
        <f t="array" ref="S301">MIN(IF((ContinuousStatsTable[GroupByKey]=ContinuousStatsTable[[#This Row],[GroupByKey]]),(ContinuousStatsTable[GroupByKey]=ContinuousStatsTable[[#This Row],[GroupByKey]])*ContinuousStatsTable[Average]))</f>
        <v>0.45404133128311103</v>
      </c>
      <c r="T301" cm="1">
        <f t="array" ref="T301">MAX(IF((ContinuousStatsTable[GroupByKey]=ContinuousStatsTable[[#This Row],[GroupByKey]]),(ContinuousStatsTable[GroupByKey]=ContinuousStatsTable[[#This Row],[GroupByKey]])*ContinuousStatsTable[Average]))</f>
        <v>0.45518418142323402</v>
      </c>
      <c r="U301">
        <f>IF((ContinuousStatsTable[[#This Row],[RepsRequested]]&gt;1),ContinuousStatsTable[[#This Row],[HalfWidth]],ContinuousStatsTable[[#This Row],[BatchMeansHalfWidth]])</f>
        <v>2.6178321488092363E-4</v>
      </c>
    </row>
    <row r="302" spans="1:21" x14ac:dyDescent="0.25">
      <c r="A302" t="s">
        <v>67</v>
      </c>
      <c r="B302" t="s">
        <v>243</v>
      </c>
      <c r="C302">
        <v>4</v>
      </c>
      <c r="D302" t="s">
        <v>132</v>
      </c>
      <c r="E302" t="s">
        <v>115</v>
      </c>
      <c r="F302" t="s">
        <v>113</v>
      </c>
      <c r="G302">
        <v>0.476190476190476</v>
      </c>
      <c r="H302">
        <v>2E+20</v>
      </c>
      <c r="I302">
        <v>0</v>
      </c>
      <c r="J302">
        <v>1</v>
      </c>
      <c r="K302">
        <v>0</v>
      </c>
      <c r="L302">
        <v>0</v>
      </c>
      <c r="M302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302" cm="1">
        <f t="array" ref="N302">MAX(IF((ProjectInfoTable[ProjectName]=ContinuousStatsTable[[#This Row],[ProjectName]]),(ProjectInfoTable[ProjectName]=ContinuousStatsTable[[#This Row],[ProjectName]])*ProjectInfoTable[NumberOfReplications]))</f>
        <v>10</v>
      </c>
      <c r="O302" cm="1">
        <f t="array" ref="O302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02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cm="1">
        <f t="array" ref="S302">MIN(IF((ContinuousStatsTable[GroupByKey]=ContinuousStatsTable[[#This Row],[GroupByKey]]),(ContinuousStatsTable[GroupByKey]=ContinuousStatsTable[[#This Row],[GroupByKey]])*ContinuousStatsTable[Average]))</f>
        <v>0.476190476190476</v>
      </c>
      <c r="T302" cm="1">
        <f t="array" ref="T302">MAX(IF((ContinuousStatsTable[GroupByKey]=ContinuousStatsTable[[#This Row],[GroupByKey]]),(ContinuousStatsTable[GroupByKey]=ContinuousStatsTable[[#This Row],[GroupByKey]])*ContinuousStatsTable[Average]))</f>
        <v>0.476190476190476</v>
      </c>
      <c r="U302">
        <f>IF((ContinuousStatsTable[[#This Row],[RepsRequested]]&gt;1),ContinuousStatsTable[[#This Row],[HalfWidth]],ContinuousStatsTable[[#This Row],[BatchMeansHalfWidth]])</f>
        <v>0</v>
      </c>
    </row>
    <row r="303" spans="1:21" x14ac:dyDescent="0.25">
      <c r="A303" t="s">
        <v>67</v>
      </c>
      <c r="B303" t="s">
        <v>243</v>
      </c>
      <c r="C303">
        <v>4</v>
      </c>
      <c r="D303" t="s">
        <v>133</v>
      </c>
      <c r="E303" t="s">
        <v>112</v>
      </c>
      <c r="F303" t="s">
        <v>113</v>
      </c>
      <c r="G303">
        <v>0.23146351917430599</v>
      </c>
      <c r="H303">
        <v>3E+20</v>
      </c>
      <c r="I303">
        <v>0</v>
      </c>
      <c r="J303">
        <v>1</v>
      </c>
      <c r="K303">
        <v>0</v>
      </c>
      <c r="L303">
        <v>0</v>
      </c>
      <c r="M303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303" cm="1">
        <f t="array" ref="N303">MAX(IF((ProjectInfoTable[ProjectName]=ContinuousStatsTable[[#This Row],[ProjectName]]),(ProjectInfoTable[ProjectName]=ContinuousStatsTable[[#This Row],[ProjectName]])*ProjectInfoTable[NumberOfReplications]))</f>
        <v>10</v>
      </c>
      <c r="O303" cm="1">
        <f t="array" ref="O303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303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303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303" cm="1">
        <f t="array" ref="S303">MIN(IF((ContinuousStatsTable[GroupByKey]=ContinuousStatsTable[[#This Row],[GroupByKey]]),(ContinuousStatsTable[GroupByKey]=ContinuousStatsTable[[#This Row],[GroupByKey]])*ContinuousStatsTable[Average]))</f>
        <v>0.230969532572807</v>
      </c>
      <c r="T303" cm="1">
        <f t="array" ref="T303">MAX(IF((ContinuousStatsTable[GroupByKey]=ContinuousStatsTable[[#This Row],[GroupByKey]]),(ContinuousStatsTable[GroupByKey]=ContinuousStatsTable[[#This Row],[GroupByKey]])*ContinuousStatsTable[Average]))</f>
        <v>0.23202343200723599</v>
      </c>
      <c r="U303">
        <f>IF((ContinuousStatsTable[[#This Row],[RepsRequested]]&gt;1),ContinuousStatsTable[[#This Row],[HalfWidth]],ContinuousStatsTable[[#This Row],[BatchMeansHalfWidth]])</f>
        <v>2.4725912837525509E-4</v>
      </c>
    </row>
    <row r="304" spans="1:21" x14ac:dyDescent="0.25">
      <c r="A304" t="s">
        <v>67</v>
      </c>
      <c r="B304" t="s">
        <v>243</v>
      </c>
      <c r="C304">
        <v>4</v>
      </c>
      <c r="D304" t="s">
        <v>133</v>
      </c>
      <c r="E304" t="s">
        <v>114</v>
      </c>
      <c r="F304" t="s">
        <v>113</v>
      </c>
      <c r="G304">
        <v>0.23146351917430599</v>
      </c>
      <c r="H304">
        <v>3E+20</v>
      </c>
      <c r="I304">
        <v>0</v>
      </c>
      <c r="J304">
        <v>1</v>
      </c>
      <c r="K304">
        <v>0</v>
      </c>
      <c r="L304">
        <v>0</v>
      </c>
      <c r="M304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304" cm="1">
        <f t="array" ref="N304">MAX(IF((ProjectInfoTable[ProjectName]=ContinuousStatsTable[[#This Row],[ProjectName]]),(ProjectInfoTable[ProjectName]=ContinuousStatsTable[[#This Row],[ProjectName]])*ProjectInfoTable[NumberOfReplications]))</f>
        <v>10</v>
      </c>
      <c r="O304" cm="1">
        <f t="array" ref="O304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304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304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304" cm="1">
        <f t="array" ref="S304">MIN(IF((ContinuousStatsTable[GroupByKey]=ContinuousStatsTable[[#This Row],[GroupByKey]]),(ContinuousStatsTable[GroupByKey]=ContinuousStatsTable[[#This Row],[GroupByKey]])*ContinuousStatsTable[Average]))</f>
        <v>0.230969532572807</v>
      </c>
      <c r="T304" cm="1">
        <f t="array" ref="T304">MAX(IF((ContinuousStatsTable[GroupByKey]=ContinuousStatsTable[[#This Row],[GroupByKey]]),(ContinuousStatsTable[GroupByKey]=ContinuousStatsTable[[#This Row],[GroupByKey]])*ContinuousStatsTable[Average]))</f>
        <v>0.23202343200723599</v>
      </c>
      <c r="U304">
        <f>IF((ContinuousStatsTable[[#This Row],[RepsRequested]]&gt;1),ContinuousStatsTable[[#This Row],[HalfWidth]],ContinuousStatsTable[[#This Row],[BatchMeansHalfWidth]])</f>
        <v>2.4725912837525509E-4</v>
      </c>
    </row>
    <row r="305" spans="1:21" x14ac:dyDescent="0.25">
      <c r="A305" t="s">
        <v>67</v>
      </c>
      <c r="B305" t="s">
        <v>243</v>
      </c>
      <c r="C305">
        <v>4</v>
      </c>
      <c r="D305" t="s">
        <v>133</v>
      </c>
      <c r="E305" t="s">
        <v>115</v>
      </c>
      <c r="F305" t="s">
        <v>113</v>
      </c>
      <c r="G305">
        <v>0.476190476190476</v>
      </c>
      <c r="H305">
        <v>2E+20</v>
      </c>
      <c r="I305">
        <v>0</v>
      </c>
      <c r="J305">
        <v>1</v>
      </c>
      <c r="K305">
        <v>0</v>
      </c>
      <c r="L305">
        <v>0</v>
      </c>
      <c r="M305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305" cm="1">
        <f t="array" ref="N305">MAX(IF((ProjectInfoTable[ProjectName]=ContinuousStatsTable[[#This Row],[ProjectName]]),(ProjectInfoTable[ProjectName]=ContinuousStatsTable[[#This Row],[ProjectName]])*ProjectInfoTable[NumberOfReplications]))</f>
        <v>10</v>
      </c>
      <c r="O305" cm="1">
        <f t="array" ref="O305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0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cm="1">
        <f t="array" ref="S305">MIN(IF((ContinuousStatsTable[GroupByKey]=ContinuousStatsTable[[#This Row],[GroupByKey]]),(ContinuousStatsTable[GroupByKey]=ContinuousStatsTable[[#This Row],[GroupByKey]])*ContinuousStatsTable[Average]))</f>
        <v>0.476190476190476</v>
      </c>
      <c r="T305" cm="1">
        <f t="array" ref="T305">MAX(IF((ContinuousStatsTable[GroupByKey]=ContinuousStatsTable[[#This Row],[GroupByKey]]),(ContinuousStatsTable[GroupByKey]=ContinuousStatsTable[[#This Row],[GroupByKey]])*ContinuousStatsTable[Average]))</f>
        <v>0.476190476190476</v>
      </c>
      <c r="U30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67</v>
      </c>
      <c r="B306" t="s">
        <v>243</v>
      </c>
      <c r="C306">
        <v>4</v>
      </c>
      <c r="D306" t="s">
        <v>134</v>
      </c>
      <c r="E306" t="s">
        <v>112</v>
      </c>
      <c r="F306" t="s">
        <v>113</v>
      </c>
      <c r="G306">
        <v>0.27210864345295399</v>
      </c>
      <c r="H306">
        <v>3E+20</v>
      </c>
      <c r="I306">
        <v>0</v>
      </c>
      <c r="J306">
        <v>1</v>
      </c>
      <c r="K306">
        <v>0</v>
      </c>
      <c r="L306">
        <v>0</v>
      </c>
      <c r="M306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306" cm="1">
        <f t="array" ref="N306">MAX(IF((ProjectInfoTable[ProjectName]=ContinuousStatsTable[[#This Row],[ProjectName]]),(ProjectInfoTable[ProjectName]=ContinuousStatsTable[[#This Row],[ProjectName]])*ProjectInfoTable[NumberOfReplications]))</f>
        <v>10</v>
      </c>
      <c r="O306" cm="1">
        <f t="array" ref="O306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306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306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306" cm="1">
        <f t="array" ref="S306">MIN(IF((ContinuousStatsTable[GroupByKey]=ContinuousStatsTable[[#This Row],[GroupByKey]]),(ContinuousStatsTable[GroupByKey]=ContinuousStatsTable[[#This Row],[GroupByKey]])*ContinuousStatsTable[Average]))</f>
        <v>0.271979535431421</v>
      </c>
      <c r="T306" cm="1">
        <f t="array" ref="T306">MAX(IF((ContinuousStatsTable[GroupByKey]=ContinuousStatsTable[[#This Row],[GroupByKey]]),(ContinuousStatsTable[GroupByKey]=ContinuousStatsTable[[#This Row],[GroupByKey]])*ContinuousStatsTable[Average]))</f>
        <v>0.27283313106114998</v>
      </c>
      <c r="U306">
        <f>IF((ContinuousStatsTable[[#This Row],[RepsRequested]]&gt;1),ContinuousStatsTable[[#This Row],[HalfWidth]],ContinuousStatsTable[[#This Row],[BatchMeansHalfWidth]])</f>
        <v>1.7269361236560142E-4</v>
      </c>
    </row>
    <row r="307" spans="1:21" x14ac:dyDescent="0.25">
      <c r="A307" t="s">
        <v>67</v>
      </c>
      <c r="B307" t="s">
        <v>243</v>
      </c>
      <c r="C307">
        <v>4</v>
      </c>
      <c r="D307" t="s">
        <v>134</v>
      </c>
      <c r="E307" t="s">
        <v>114</v>
      </c>
      <c r="F307" t="s">
        <v>113</v>
      </c>
      <c r="G307">
        <v>0.27210864345295399</v>
      </c>
      <c r="H307">
        <v>3E+20</v>
      </c>
      <c r="I307">
        <v>0</v>
      </c>
      <c r="J307">
        <v>1</v>
      </c>
      <c r="K307">
        <v>0</v>
      </c>
      <c r="L307">
        <v>0</v>
      </c>
      <c r="M307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307" cm="1">
        <f t="array" ref="N307">MAX(IF((ProjectInfoTable[ProjectName]=ContinuousStatsTable[[#This Row],[ProjectName]]),(ProjectInfoTable[ProjectName]=ContinuousStatsTable[[#This Row],[ProjectName]])*ProjectInfoTable[NumberOfReplications]))</f>
        <v>10</v>
      </c>
      <c r="O307" cm="1">
        <f t="array" ref="O307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307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307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307" cm="1">
        <f t="array" ref="S307">MIN(IF((ContinuousStatsTable[GroupByKey]=ContinuousStatsTable[[#This Row],[GroupByKey]]),(ContinuousStatsTable[GroupByKey]=ContinuousStatsTable[[#This Row],[GroupByKey]])*ContinuousStatsTable[Average]))</f>
        <v>0.271979535431421</v>
      </c>
      <c r="T307" cm="1">
        <f t="array" ref="T307">MAX(IF((ContinuousStatsTable[GroupByKey]=ContinuousStatsTable[[#This Row],[GroupByKey]]),(ContinuousStatsTable[GroupByKey]=ContinuousStatsTable[[#This Row],[GroupByKey]])*ContinuousStatsTable[Average]))</f>
        <v>0.27283313106114998</v>
      </c>
      <c r="U307">
        <f>IF((ContinuousStatsTable[[#This Row],[RepsRequested]]&gt;1),ContinuousStatsTable[[#This Row],[HalfWidth]],ContinuousStatsTable[[#This Row],[BatchMeansHalfWidth]])</f>
        <v>1.7269361236560142E-4</v>
      </c>
    </row>
    <row r="308" spans="1:21" x14ac:dyDescent="0.25">
      <c r="A308" t="s">
        <v>67</v>
      </c>
      <c r="B308" t="s">
        <v>243</v>
      </c>
      <c r="C308">
        <v>4</v>
      </c>
      <c r="D308" t="s">
        <v>134</v>
      </c>
      <c r="E308" t="s">
        <v>115</v>
      </c>
      <c r="F308" t="s">
        <v>113</v>
      </c>
      <c r="G308">
        <v>0.476190476190476</v>
      </c>
      <c r="H308">
        <v>2E+20</v>
      </c>
      <c r="I308">
        <v>0</v>
      </c>
      <c r="J308">
        <v>1</v>
      </c>
      <c r="K308">
        <v>0</v>
      </c>
      <c r="L308">
        <v>0</v>
      </c>
      <c r="M308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308" cm="1">
        <f t="array" ref="N308">MAX(IF((ProjectInfoTable[ProjectName]=ContinuousStatsTable[[#This Row],[ProjectName]]),(ProjectInfoTable[ProjectName]=ContinuousStatsTable[[#This Row],[ProjectName]])*ProjectInfoTable[NumberOfReplications]))</f>
        <v>10</v>
      </c>
      <c r="O308" cm="1">
        <f t="array" ref="O308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08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</v>
      </c>
      <c r="Q308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8" cm="1">
        <f t="array" ref="S308">MIN(IF((ContinuousStatsTable[GroupByKey]=ContinuousStatsTable[[#This Row],[GroupByKey]]),(ContinuousStatsTable[GroupByKey]=ContinuousStatsTable[[#This Row],[GroupByKey]])*ContinuousStatsTable[Average]))</f>
        <v>0.476190476190476</v>
      </c>
      <c r="T308" cm="1">
        <f t="array" ref="T308">MAX(IF((ContinuousStatsTable[GroupByKey]=ContinuousStatsTable[[#This Row],[GroupByKey]]),(ContinuousStatsTable[GroupByKey]=ContinuousStatsTable[[#This Row],[GroupByKey]])*ContinuousStatsTable[Average]))</f>
        <v>0.476190476190476</v>
      </c>
      <c r="U308">
        <f>IF((ContinuousStatsTable[[#This Row],[RepsRequested]]&gt;1),ContinuousStatsTable[[#This Row],[HalfWidth]],ContinuousStatsTable[[#This Row],[BatchMeansHalfWidth]])</f>
        <v>0</v>
      </c>
    </row>
    <row r="309" spans="1:21" x14ac:dyDescent="0.25">
      <c r="A309" t="s">
        <v>67</v>
      </c>
      <c r="B309" t="s">
        <v>243</v>
      </c>
      <c r="C309">
        <v>4</v>
      </c>
      <c r="D309" t="s">
        <v>135</v>
      </c>
      <c r="E309" t="s">
        <v>112</v>
      </c>
      <c r="F309" t="s">
        <v>113</v>
      </c>
      <c r="G309">
        <v>0.47640852031768199</v>
      </c>
      <c r="H309">
        <v>2E+20</v>
      </c>
      <c r="I309">
        <v>0</v>
      </c>
      <c r="J309">
        <v>1</v>
      </c>
      <c r="K309">
        <v>0</v>
      </c>
      <c r="L309">
        <v>0</v>
      </c>
      <c r="M309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309" cm="1">
        <f t="array" ref="N309">MAX(IF((ProjectInfoTable[ProjectName]=ContinuousStatsTable[[#This Row],[ProjectName]]),(ProjectInfoTable[ProjectName]=ContinuousStatsTable[[#This Row],[ProjectName]])*ProjectInfoTable[NumberOfReplications]))</f>
        <v>10</v>
      </c>
      <c r="O309" cm="1">
        <f t="array" ref="O309">IFERROR(AVERAGE(IF((ContinuousStatsTable[GroupByKey]=ContinuousStatsTable[[#This Row],[GroupByKey]]),(ContinuousStatsTable[GroupByKey]=ContinuousStatsTable[[#This Row],[GroupByKey]])*ContinuousStatsTable[Average])),0)</f>
        <v>0.47640752107427203</v>
      </c>
      <c r="P309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7.9809559904816854E-5</v>
      </c>
      <c r="Q309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5.7092319840390197E-5</v>
      </c>
      <c r="S309" cm="1">
        <f t="array" ref="S309">MIN(IF((ContinuousStatsTable[GroupByKey]=ContinuousStatsTable[[#This Row],[GroupByKey]]),(ContinuousStatsTable[GroupByKey]=ContinuousStatsTable[[#This Row],[GroupByKey]])*ContinuousStatsTable[Average]))</f>
        <v>0.47622171379262102</v>
      </c>
      <c r="T309" cm="1">
        <f t="array" ref="T309">MAX(IF((ContinuousStatsTable[GroupByKey]=ContinuousStatsTable[[#This Row],[GroupByKey]]),(ContinuousStatsTable[GroupByKey]=ContinuousStatsTable[[#This Row],[GroupByKey]])*ContinuousStatsTable[Average]))</f>
        <v>0.47651577494330499</v>
      </c>
      <c r="U309">
        <f>IF((ContinuousStatsTable[[#This Row],[RepsRequested]]&gt;1),ContinuousStatsTable[[#This Row],[HalfWidth]],ContinuousStatsTable[[#This Row],[BatchMeansHalfWidth]])</f>
        <v>5.7092319840390197E-5</v>
      </c>
    </row>
    <row r="310" spans="1:21" x14ac:dyDescent="0.25">
      <c r="A310" t="s">
        <v>67</v>
      </c>
      <c r="B310" t="s">
        <v>243</v>
      </c>
      <c r="C310">
        <v>4</v>
      </c>
      <c r="D310" t="s">
        <v>135</v>
      </c>
      <c r="E310" t="s">
        <v>114</v>
      </c>
      <c r="F310" t="s">
        <v>113</v>
      </c>
      <c r="G310">
        <v>0.47640852031768199</v>
      </c>
      <c r="H310">
        <v>2E+20</v>
      </c>
      <c r="I310">
        <v>0</v>
      </c>
      <c r="J310">
        <v>1</v>
      </c>
      <c r="K310">
        <v>0</v>
      </c>
      <c r="L310">
        <v>0</v>
      </c>
      <c r="M310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310" cm="1">
        <f t="array" ref="N310">MAX(IF((ProjectInfoTable[ProjectName]=ContinuousStatsTable[[#This Row],[ProjectName]]),(ProjectInfoTable[ProjectName]=ContinuousStatsTable[[#This Row],[ProjectName]])*ProjectInfoTable[NumberOfReplications]))</f>
        <v>10</v>
      </c>
      <c r="O310" cm="1">
        <f t="array" ref="O310">IFERROR(AVERAGE(IF((ContinuousStatsTable[GroupByKey]=ContinuousStatsTable[[#This Row],[GroupByKey]]),(ContinuousStatsTable[GroupByKey]=ContinuousStatsTable[[#This Row],[GroupByKey]])*ContinuousStatsTable[Average])),0)</f>
        <v>0.47640752107427209</v>
      </c>
      <c r="P310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7.980955990487845E-5</v>
      </c>
      <c r="Q310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5.7092319840434263E-5</v>
      </c>
      <c r="S310" cm="1">
        <f t="array" ref="S310">MIN(IF((ContinuousStatsTable[GroupByKey]=ContinuousStatsTable[[#This Row],[GroupByKey]]),(ContinuousStatsTable[GroupByKey]=ContinuousStatsTable[[#This Row],[GroupByKey]])*ContinuousStatsTable[Average]))</f>
        <v>0.47622171379262102</v>
      </c>
      <c r="T310" cm="1">
        <f t="array" ref="T310">MAX(IF((ContinuousStatsTable[GroupByKey]=ContinuousStatsTable[[#This Row],[GroupByKey]]),(ContinuousStatsTable[GroupByKey]=ContinuousStatsTable[[#This Row],[GroupByKey]])*ContinuousStatsTable[Average]))</f>
        <v>0.47651577494330499</v>
      </c>
      <c r="U310">
        <f>IF((ContinuousStatsTable[[#This Row],[RepsRequested]]&gt;1),ContinuousStatsTable[[#This Row],[HalfWidth]],ContinuousStatsTable[[#This Row],[BatchMeansHalfWidth]])</f>
        <v>5.7092319840434263E-5</v>
      </c>
    </row>
    <row r="311" spans="1:21" x14ac:dyDescent="0.25">
      <c r="A311" t="s">
        <v>67</v>
      </c>
      <c r="B311" t="s">
        <v>243</v>
      </c>
      <c r="C311">
        <v>4</v>
      </c>
      <c r="D311" t="s">
        <v>135</v>
      </c>
      <c r="E311" t="s">
        <v>115</v>
      </c>
      <c r="F311" t="s">
        <v>113</v>
      </c>
      <c r="G311">
        <v>0.476190476190476</v>
      </c>
      <c r="H311">
        <v>2E+20</v>
      </c>
      <c r="I311">
        <v>0</v>
      </c>
      <c r="J311">
        <v>1</v>
      </c>
      <c r="K311">
        <v>0</v>
      </c>
      <c r="L311">
        <v>0</v>
      </c>
      <c r="M311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311" cm="1">
        <f t="array" ref="N311">MAX(IF((ProjectInfoTable[ProjectName]=ContinuousStatsTable[[#This Row],[ProjectName]]),(ProjectInfoTable[ProjectName]=ContinuousStatsTable[[#This Row],[ProjectName]])*ProjectInfoTable[NumberOfReplications]))</f>
        <v>10</v>
      </c>
      <c r="O311" cm="1">
        <f t="array" ref="O311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11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0</v>
      </c>
      <c r="Q311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1" cm="1">
        <f t="array" ref="S311">MIN(IF((ContinuousStatsTable[GroupByKey]=ContinuousStatsTable[[#This Row],[GroupByKey]]),(ContinuousStatsTable[GroupByKey]=ContinuousStatsTable[[#This Row],[GroupByKey]])*ContinuousStatsTable[Average]))</f>
        <v>0.476190476190476</v>
      </c>
      <c r="T311" cm="1">
        <f t="array" ref="T311">MAX(IF((ContinuousStatsTable[GroupByKey]=ContinuousStatsTable[[#This Row],[GroupByKey]]),(ContinuousStatsTable[GroupByKey]=ContinuousStatsTable[[#This Row],[GroupByKey]])*ContinuousStatsTable[Average]))</f>
        <v>0.476190476190476</v>
      </c>
      <c r="U311">
        <f>IF((ContinuousStatsTable[[#This Row],[RepsRequested]]&gt;1),ContinuousStatsTable[[#This Row],[HalfWidth]],ContinuousStatsTable[[#This Row],[BatchMeansHalfWidth]])</f>
        <v>0</v>
      </c>
    </row>
    <row r="312" spans="1:21" x14ac:dyDescent="0.25">
      <c r="A312" t="s">
        <v>67</v>
      </c>
      <c r="B312" t="s">
        <v>243</v>
      </c>
      <c r="C312">
        <v>4</v>
      </c>
      <c r="D312" t="s">
        <v>136</v>
      </c>
      <c r="E312" t="s">
        <v>112</v>
      </c>
      <c r="F312" t="s">
        <v>113</v>
      </c>
      <c r="G312">
        <v>0.299340394513535</v>
      </c>
      <c r="H312">
        <v>3E+20</v>
      </c>
      <c r="I312">
        <v>0</v>
      </c>
      <c r="J312">
        <v>1</v>
      </c>
      <c r="K312">
        <v>0</v>
      </c>
      <c r="L312">
        <v>0</v>
      </c>
      <c r="M312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312" cm="1">
        <f t="array" ref="N312">MAX(IF((ProjectInfoTable[ProjectName]=ContinuousStatsTable[[#This Row],[ProjectName]]),(ProjectInfoTable[ProjectName]=ContinuousStatsTable[[#This Row],[ProjectName]])*ProjectInfoTable[NumberOfReplications]))</f>
        <v>10</v>
      </c>
      <c r="O312" cm="1">
        <f t="array" ref="O312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312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312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312" cm="1">
        <f t="array" ref="S312">MIN(IF((ContinuousStatsTable[GroupByKey]=ContinuousStatsTable[[#This Row],[GroupByKey]]),(ContinuousStatsTable[GroupByKey]=ContinuousStatsTable[[#This Row],[GroupByKey]])*ContinuousStatsTable[Average]))</f>
        <v>0.29842379685970999</v>
      </c>
      <c r="T312" cm="1">
        <f t="array" ref="T312">MAX(IF((ContinuousStatsTable[GroupByKey]=ContinuousStatsTable[[#This Row],[GroupByKey]]),(ContinuousStatsTable[GroupByKey]=ContinuousStatsTable[[#This Row],[GroupByKey]])*ContinuousStatsTable[Average]))</f>
        <v>0.29970100107953501</v>
      </c>
      <c r="U312">
        <f>IF((ContinuousStatsTable[[#This Row],[RepsRequested]]&gt;1),ContinuousStatsTable[[#This Row],[HalfWidth]],ContinuousStatsTable[[#This Row],[BatchMeansHalfWidth]])</f>
        <v>2.6450685793468105E-4</v>
      </c>
    </row>
    <row r="313" spans="1:21" x14ac:dyDescent="0.25">
      <c r="A313" t="s">
        <v>67</v>
      </c>
      <c r="B313" t="s">
        <v>243</v>
      </c>
      <c r="C313">
        <v>4</v>
      </c>
      <c r="D313" t="s">
        <v>136</v>
      </c>
      <c r="E313" t="s">
        <v>114</v>
      </c>
      <c r="F313" t="s">
        <v>113</v>
      </c>
      <c r="G313">
        <v>0.299340394513535</v>
      </c>
      <c r="H313">
        <v>3E+20</v>
      </c>
      <c r="I313">
        <v>0</v>
      </c>
      <c r="J313">
        <v>1</v>
      </c>
      <c r="K313">
        <v>0</v>
      </c>
      <c r="L313">
        <v>0</v>
      </c>
      <c r="M313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313" cm="1">
        <f t="array" ref="N313">MAX(IF((ProjectInfoTable[ProjectName]=ContinuousStatsTable[[#This Row],[ProjectName]]),(ProjectInfoTable[ProjectName]=ContinuousStatsTable[[#This Row],[ProjectName]])*ProjectInfoTable[NumberOfReplications]))</f>
        <v>10</v>
      </c>
      <c r="O313" cm="1">
        <f t="array" ref="O313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313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313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313" cm="1">
        <f t="array" ref="S313">MIN(IF((ContinuousStatsTable[GroupByKey]=ContinuousStatsTable[[#This Row],[GroupByKey]]),(ContinuousStatsTable[GroupByKey]=ContinuousStatsTable[[#This Row],[GroupByKey]])*ContinuousStatsTable[Average]))</f>
        <v>0.29842379685970999</v>
      </c>
      <c r="T313" cm="1">
        <f t="array" ref="T313">MAX(IF((ContinuousStatsTable[GroupByKey]=ContinuousStatsTable[[#This Row],[GroupByKey]]),(ContinuousStatsTable[GroupByKey]=ContinuousStatsTable[[#This Row],[GroupByKey]])*ContinuousStatsTable[Average]))</f>
        <v>0.29970100107953501</v>
      </c>
      <c r="U313">
        <f>IF((ContinuousStatsTable[[#This Row],[RepsRequested]]&gt;1),ContinuousStatsTable[[#This Row],[HalfWidth]],ContinuousStatsTable[[#This Row],[BatchMeansHalfWidth]])</f>
        <v>2.6450685793468105E-4</v>
      </c>
    </row>
    <row r="314" spans="1:21" x14ac:dyDescent="0.25">
      <c r="A314" t="s">
        <v>67</v>
      </c>
      <c r="B314" t="s">
        <v>243</v>
      </c>
      <c r="C314">
        <v>4</v>
      </c>
      <c r="D314" t="s">
        <v>136</v>
      </c>
      <c r="E314" t="s">
        <v>115</v>
      </c>
      <c r="F314" t="s">
        <v>113</v>
      </c>
      <c r="G314">
        <v>0.476190476190476</v>
      </c>
      <c r="H314">
        <v>2E+20</v>
      </c>
      <c r="I314">
        <v>0</v>
      </c>
      <c r="J314">
        <v>1</v>
      </c>
      <c r="K314">
        <v>0</v>
      </c>
      <c r="L314">
        <v>0</v>
      </c>
      <c r="M314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314" cm="1">
        <f t="array" ref="N314">MAX(IF((ProjectInfoTable[ProjectName]=ContinuousStatsTable[[#This Row],[ProjectName]]),(ProjectInfoTable[ProjectName]=ContinuousStatsTable[[#This Row],[ProjectName]])*ProjectInfoTable[NumberOfReplications]))</f>
        <v>10</v>
      </c>
      <c r="O314" cm="1">
        <f t="array" ref="O31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14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0</v>
      </c>
      <c r="Q314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4" cm="1">
        <f t="array" ref="S314">MIN(IF((ContinuousStatsTable[GroupByKey]=ContinuousStatsTable[[#This Row],[GroupByKey]]),(ContinuousStatsTable[GroupByKey]=ContinuousStatsTable[[#This Row],[GroupByKey]])*ContinuousStatsTable[Average]))</f>
        <v>0.476190476190476</v>
      </c>
      <c r="T314" cm="1">
        <f t="array" ref="T314">MAX(IF((ContinuousStatsTable[GroupByKey]=ContinuousStatsTable[[#This Row],[GroupByKey]]),(ContinuousStatsTable[GroupByKey]=ContinuousStatsTable[[#This Row],[GroupByKey]])*ContinuousStatsTable[Average]))</f>
        <v>0.476190476190476</v>
      </c>
      <c r="U314">
        <f>IF((ContinuousStatsTable[[#This Row],[RepsRequested]]&gt;1),ContinuousStatsTable[[#This Row],[HalfWidth]],ContinuousStatsTable[[#This Row],[BatchMeansHalfWidth]])</f>
        <v>0</v>
      </c>
    </row>
    <row r="315" spans="1:21" x14ac:dyDescent="0.25">
      <c r="A315" t="s">
        <v>67</v>
      </c>
      <c r="B315" t="s">
        <v>243</v>
      </c>
      <c r="C315">
        <v>4</v>
      </c>
      <c r="D315" t="s">
        <v>137</v>
      </c>
      <c r="E315" t="s">
        <v>112</v>
      </c>
      <c r="F315" t="s">
        <v>113</v>
      </c>
      <c r="G315">
        <v>0.456385900039043</v>
      </c>
      <c r="H315">
        <v>3E+20</v>
      </c>
      <c r="I315">
        <v>0</v>
      </c>
      <c r="J315">
        <v>1</v>
      </c>
      <c r="K315">
        <v>0</v>
      </c>
      <c r="L315">
        <v>0</v>
      </c>
      <c r="M315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315" cm="1">
        <f t="array" ref="N315">MAX(IF((ProjectInfoTable[ProjectName]=ContinuousStatsTable[[#This Row],[ProjectName]]),(ProjectInfoTable[ProjectName]=ContinuousStatsTable[[#This Row],[ProjectName]])*ProjectInfoTable[NumberOfReplications]))</f>
        <v>10</v>
      </c>
      <c r="O315" cm="1">
        <f t="array" ref="O315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31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31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315" cm="1">
        <f t="array" ref="S315">MIN(IF((ContinuousStatsTable[GroupByKey]=ContinuousStatsTable[[#This Row],[GroupByKey]]),(ContinuousStatsTable[GroupByKey]=ContinuousStatsTable[[#This Row],[GroupByKey]])*ContinuousStatsTable[Average]))</f>
        <v>0.45550004981449399</v>
      </c>
      <c r="T315" cm="1">
        <f t="array" ref="T315">MAX(IF((ContinuousStatsTable[GroupByKey]=ContinuousStatsTable[[#This Row],[GroupByKey]]),(ContinuousStatsTable[GroupByKey]=ContinuousStatsTable[[#This Row],[GroupByKey]])*ContinuousStatsTable[Average]))</f>
        <v>0.45652258337600798</v>
      </c>
      <c r="U315">
        <f>IF((ContinuousStatsTable[[#This Row],[RepsRequested]]&gt;1),ContinuousStatsTable[[#This Row],[HalfWidth]],ContinuousStatsTable[[#This Row],[BatchMeansHalfWidth]])</f>
        <v>2.4108493326261801E-4</v>
      </c>
    </row>
    <row r="316" spans="1:21" x14ac:dyDescent="0.25">
      <c r="A316" t="s">
        <v>67</v>
      </c>
      <c r="B316" t="s">
        <v>243</v>
      </c>
      <c r="C316">
        <v>4</v>
      </c>
      <c r="D316" t="s">
        <v>137</v>
      </c>
      <c r="E316" t="s">
        <v>114</v>
      </c>
      <c r="F316" t="s">
        <v>113</v>
      </c>
      <c r="G316">
        <v>0.456385900039043</v>
      </c>
      <c r="H316">
        <v>3E+20</v>
      </c>
      <c r="I316">
        <v>0</v>
      </c>
      <c r="J316">
        <v>1</v>
      </c>
      <c r="K316">
        <v>0</v>
      </c>
      <c r="L316">
        <v>0</v>
      </c>
      <c r="M316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316" cm="1">
        <f t="array" ref="N316">MAX(IF((ProjectInfoTable[ProjectName]=ContinuousStatsTable[[#This Row],[ProjectName]]),(ProjectInfoTable[ProjectName]=ContinuousStatsTable[[#This Row],[ProjectName]])*ProjectInfoTable[NumberOfReplications]))</f>
        <v>10</v>
      </c>
      <c r="O316" cm="1">
        <f t="array" ref="O316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316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316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316" cm="1">
        <f t="array" ref="S316">MIN(IF((ContinuousStatsTable[GroupByKey]=ContinuousStatsTable[[#This Row],[GroupByKey]]),(ContinuousStatsTable[GroupByKey]=ContinuousStatsTable[[#This Row],[GroupByKey]])*ContinuousStatsTable[Average]))</f>
        <v>0.45550004981449399</v>
      </c>
      <c r="T316" cm="1">
        <f t="array" ref="T316">MAX(IF((ContinuousStatsTable[GroupByKey]=ContinuousStatsTable[[#This Row],[GroupByKey]]),(ContinuousStatsTable[GroupByKey]=ContinuousStatsTable[[#This Row],[GroupByKey]])*ContinuousStatsTable[Average]))</f>
        <v>0.45652258337600798</v>
      </c>
      <c r="U316">
        <f>IF((ContinuousStatsTable[[#This Row],[RepsRequested]]&gt;1),ContinuousStatsTable[[#This Row],[HalfWidth]],ContinuousStatsTable[[#This Row],[BatchMeansHalfWidth]])</f>
        <v>2.4108493326261801E-4</v>
      </c>
    </row>
    <row r="317" spans="1:21" x14ac:dyDescent="0.25">
      <c r="A317" t="s">
        <v>67</v>
      </c>
      <c r="B317" t="s">
        <v>243</v>
      </c>
      <c r="C317">
        <v>4</v>
      </c>
      <c r="D317" t="s">
        <v>137</v>
      </c>
      <c r="E317" t="s">
        <v>115</v>
      </c>
      <c r="F317" t="s">
        <v>113</v>
      </c>
      <c r="G317">
        <v>0.476190476190476</v>
      </c>
      <c r="H317">
        <v>2E+20</v>
      </c>
      <c r="I317">
        <v>0</v>
      </c>
      <c r="J317">
        <v>1</v>
      </c>
      <c r="K317">
        <v>0</v>
      </c>
      <c r="L317">
        <v>0</v>
      </c>
      <c r="M317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317" cm="1">
        <f t="array" ref="N317">MAX(IF((ProjectInfoTable[ProjectName]=ContinuousStatsTable[[#This Row],[ProjectName]]),(ProjectInfoTable[ProjectName]=ContinuousStatsTable[[#This Row],[ProjectName]])*ProjectInfoTable[NumberOfReplications]))</f>
        <v>10</v>
      </c>
      <c r="O317" cm="1">
        <f t="array" ref="O317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17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</v>
      </c>
      <c r="Q317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7" cm="1">
        <f t="array" ref="S317">MIN(IF((ContinuousStatsTable[GroupByKey]=ContinuousStatsTable[[#This Row],[GroupByKey]]),(ContinuousStatsTable[GroupByKey]=ContinuousStatsTable[[#This Row],[GroupByKey]])*ContinuousStatsTable[Average]))</f>
        <v>0.476190476190476</v>
      </c>
      <c r="T317" cm="1">
        <f t="array" ref="T317">MAX(IF((ContinuousStatsTable[GroupByKey]=ContinuousStatsTable[[#This Row],[GroupByKey]]),(ContinuousStatsTable[GroupByKey]=ContinuousStatsTable[[#This Row],[GroupByKey]])*ContinuousStatsTable[Average]))</f>
        <v>0.476190476190476</v>
      </c>
      <c r="U317">
        <f>IF((ContinuousStatsTable[[#This Row],[RepsRequested]]&gt;1),ContinuousStatsTable[[#This Row],[HalfWidth]],ContinuousStatsTable[[#This Row],[BatchMeansHalfWidth]])</f>
        <v>0</v>
      </c>
    </row>
    <row r="318" spans="1:21" x14ac:dyDescent="0.25">
      <c r="A318" t="s">
        <v>67</v>
      </c>
      <c r="B318" t="s">
        <v>243</v>
      </c>
      <c r="C318">
        <v>4</v>
      </c>
      <c r="D318" t="s">
        <v>138</v>
      </c>
      <c r="E318" t="s">
        <v>112</v>
      </c>
      <c r="F318" t="s">
        <v>113</v>
      </c>
      <c r="G318">
        <v>0.476353387542644</v>
      </c>
      <c r="H318">
        <v>2E+20</v>
      </c>
      <c r="I318">
        <v>0</v>
      </c>
      <c r="J318">
        <v>1</v>
      </c>
      <c r="K318">
        <v>0</v>
      </c>
      <c r="L318">
        <v>0</v>
      </c>
      <c r="M318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318" cm="1">
        <f t="array" ref="N318">MAX(IF((ProjectInfoTable[ProjectName]=ContinuousStatsTable[[#This Row],[ProjectName]]),(ProjectInfoTable[ProjectName]=ContinuousStatsTable[[#This Row],[ProjectName]])*ProjectInfoTable[NumberOfReplications]))</f>
        <v>10</v>
      </c>
      <c r="O318" cm="1">
        <f t="array" ref="O318">IFERROR(AVERAGE(IF((ContinuousStatsTable[GroupByKey]=ContinuousStatsTable[[#This Row],[GroupByKey]]),(ContinuousStatsTable[GroupByKey]=ContinuousStatsTable[[#This Row],[GroupByKey]])*ContinuousStatsTable[Average])),0)</f>
        <v>0.47637632373438449</v>
      </c>
      <c r="P318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2.6635978153163645E-5</v>
      </c>
      <c r="Q318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1.9054230919149366E-5</v>
      </c>
      <c r="S318" cm="1">
        <f t="array" ref="S318">MIN(IF((ContinuousStatsTable[GroupByKey]=ContinuousStatsTable[[#This Row],[GroupByKey]]),(ContinuousStatsTable[GroupByKey]=ContinuousStatsTable[[#This Row],[GroupByKey]])*ContinuousStatsTable[Average]))</f>
        <v>0.47633465557050603</v>
      </c>
      <c r="T318" cm="1">
        <f t="array" ref="T318">MAX(IF((ContinuousStatsTable[GroupByKey]=ContinuousStatsTable[[#This Row],[GroupByKey]]),(ContinuousStatsTable[GroupByKey]=ContinuousStatsTable[[#This Row],[GroupByKey]])*ContinuousStatsTable[Average]))</f>
        <v>0.47641329732322302</v>
      </c>
      <c r="U318">
        <f>IF((ContinuousStatsTable[[#This Row],[RepsRequested]]&gt;1),ContinuousStatsTable[[#This Row],[HalfWidth]],ContinuousStatsTable[[#This Row],[BatchMeansHalfWidth]])</f>
        <v>1.9054230919149366E-5</v>
      </c>
    </row>
    <row r="319" spans="1:21" x14ac:dyDescent="0.25">
      <c r="A319" t="s">
        <v>67</v>
      </c>
      <c r="B319" t="s">
        <v>243</v>
      </c>
      <c r="C319">
        <v>4</v>
      </c>
      <c r="D319" t="s">
        <v>138</v>
      </c>
      <c r="E319" t="s">
        <v>114</v>
      </c>
      <c r="F319" t="s">
        <v>113</v>
      </c>
      <c r="G319">
        <v>0.476353387542643</v>
      </c>
      <c r="H319">
        <v>2E+20</v>
      </c>
      <c r="I319">
        <v>0</v>
      </c>
      <c r="J319">
        <v>1</v>
      </c>
      <c r="K319">
        <v>0</v>
      </c>
      <c r="L319">
        <v>0</v>
      </c>
      <c r="M319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319" cm="1">
        <f t="array" ref="N319">MAX(IF((ProjectInfoTable[ProjectName]=ContinuousStatsTable[[#This Row],[ProjectName]]),(ProjectInfoTable[ProjectName]=ContinuousStatsTable[[#This Row],[ProjectName]])*ProjectInfoTable[NumberOfReplications]))</f>
        <v>10</v>
      </c>
      <c r="O319" cm="1">
        <f t="array" ref="O319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319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319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319" cm="1">
        <f t="array" ref="S319">MIN(IF((ContinuousStatsTable[GroupByKey]=ContinuousStatsTable[[#This Row],[GroupByKey]]),(ContinuousStatsTable[GroupByKey]=ContinuousStatsTable[[#This Row],[GroupByKey]])*ContinuousStatsTable[Average]))</f>
        <v>0.47633465557050603</v>
      </c>
      <c r="T319" cm="1">
        <f t="array" ref="T319">MAX(IF((ContinuousStatsTable[GroupByKey]=ContinuousStatsTable[[#This Row],[GroupByKey]]),(ContinuousStatsTable[GroupByKey]=ContinuousStatsTable[[#This Row],[GroupByKey]])*ContinuousStatsTable[Average]))</f>
        <v>0.47641329732322302</v>
      </c>
      <c r="U319">
        <f>IF((ContinuousStatsTable[[#This Row],[RepsRequested]]&gt;1),ContinuousStatsTable[[#This Row],[HalfWidth]],ContinuousStatsTable[[#This Row],[BatchMeansHalfWidth]])</f>
        <v>1.9054230919217752E-5</v>
      </c>
    </row>
    <row r="320" spans="1:21" x14ac:dyDescent="0.25">
      <c r="A320" t="s">
        <v>67</v>
      </c>
      <c r="B320" t="s">
        <v>243</v>
      </c>
      <c r="C320">
        <v>4</v>
      </c>
      <c r="D320" t="s">
        <v>138</v>
      </c>
      <c r="E320" t="s">
        <v>115</v>
      </c>
      <c r="F320" t="s">
        <v>113</v>
      </c>
      <c r="G320">
        <v>0.476190476190476</v>
      </c>
      <c r="H320">
        <v>2E+20</v>
      </c>
      <c r="I320">
        <v>0</v>
      </c>
      <c r="J320">
        <v>1</v>
      </c>
      <c r="K320">
        <v>0</v>
      </c>
      <c r="L320">
        <v>0</v>
      </c>
      <c r="M320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320" cm="1">
        <f t="array" ref="N320">MAX(IF((ProjectInfoTable[ProjectName]=ContinuousStatsTable[[#This Row],[ProjectName]]),(ProjectInfoTable[ProjectName]=ContinuousStatsTable[[#This Row],[ProjectName]])*ProjectInfoTable[NumberOfReplications]))</f>
        <v>10</v>
      </c>
      <c r="O320" cm="1">
        <f t="array" ref="O320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20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</v>
      </c>
      <c r="Q320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0" cm="1">
        <f t="array" ref="S320">MIN(IF((ContinuousStatsTable[GroupByKey]=ContinuousStatsTable[[#This Row],[GroupByKey]]),(ContinuousStatsTable[GroupByKey]=ContinuousStatsTable[[#This Row],[GroupByKey]])*ContinuousStatsTable[Average]))</f>
        <v>0.476190476190476</v>
      </c>
      <c r="T320" cm="1">
        <f t="array" ref="T320">MAX(IF((ContinuousStatsTable[GroupByKey]=ContinuousStatsTable[[#This Row],[GroupByKey]]),(ContinuousStatsTable[GroupByKey]=ContinuousStatsTable[[#This Row],[GroupByKey]])*ContinuousStatsTable[Average]))</f>
        <v>0.476190476190476</v>
      </c>
      <c r="U320">
        <f>IF((ContinuousStatsTable[[#This Row],[RepsRequested]]&gt;1),ContinuousStatsTable[[#This Row],[HalfWidth]],ContinuousStatsTable[[#This Row],[BatchMeansHalfWidth]])</f>
        <v>0</v>
      </c>
    </row>
    <row r="321" spans="1:21" x14ac:dyDescent="0.25">
      <c r="A321" t="s">
        <v>67</v>
      </c>
      <c r="B321" t="s">
        <v>243</v>
      </c>
      <c r="C321">
        <v>4</v>
      </c>
      <c r="D321" t="s">
        <v>83</v>
      </c>
      <c r="E321" t="s">
        <v>116</v>
      </c>
      <c r="F321" t="s">
        <v>71</v>
      </c>
      <c r="G321">
        <v>3.0947083085996098E-5</v>
      </c>
      <c r="H321">
        <v>2E+20</v>
      </c>
      <c r="I321">
        <v>0</v>
      </c>
      <c r="J321">
        <v>1</v>
      </c>
      <c r="K321">
        <v>0</v>
      </c>
      <c r="L321">
        <v>0</v>
      </c>
      <c r="M321" t="str">
        <f>ContinuousStatsTable[[#This Row],[ProjectName]]&amp;ContinuousStatsTable[[#This Row],[Name]]&amp;ContinuousStatsTable[[#This Row],[Type]]&amp;ContinuousStatsTable[[#This Row],[Source]]</f>
        <v>Unnamed ProjectMatch 1.Queue1Number WaitingQueue</v>
      </c>
      <c r="N321" cm="1">
        <f t="array" ref="N321">MAX(IF((ProjectInfoTable[ProjectName]=ContinuousStatsTable[[#This Row],[ProjectName]]),(ProjectInfoTable[ProjectName]=ContinuousStatsTable[[#This Row],[ProjectName]])*ProjectInfoTable[NumberOfReplications]))</f>
        <v>10</v>
      </c>
      <c r="O321" cm="1">
        <f t="array" ref="O321">IFERROR(AVERAGE(IF((ContinuousStatsTable[GroupByKey]=ContinuousStatsTable[[#This Row],[GroupByKey]]),(ContinuousStatsTable[GroupByKey]=ContinuousStatsTable[[#This Row],[GroupByKey]])*ContinuousStatsTable[Average])),0)</f>
        <v>2.9170315053456471E-5</v>
      </c>
      <c r="P321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7.7933109083950271E-6</v>
      </c>
      <c r="Q321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5.5749987786968959E-6</v>
      </c>
      <c r="S321" cm="1">
        <f t="array" ref="S321">MIN(IF((ContinuousStatsTable[GroupByKey]=ContinuousStatsTable[[#This Row],[GroupByKey]]),(ContinuousStatsTable[GroupByKey]=ContinuousStatsTable[[#This Row],[GroupByKey]])*ContinuousStatsTable[Average]))</f>
        <v>1.80144253291803E-5</v>
      </c>
      <c r="T321" cm="1">
        <f t="array" ref="T321">MAX(IF((ContinuousStatsTable[GroupByKey]=ContinuousStatsTable[[#This Row],[GroupByKey]]),(ContinuousStatsTable[GroupByKey]=ContinuousStatsTable[[#This Row],[GroupByKey]])*ContinuousStatsTable[Average]))</f>
        <v>4.21406992387485E-5</v>
      </c>
      <c r="U321">
        <f>IF((ContinuousStatsTable[[#This Row],[RepsRequested]]&gt;1),ContinuousStatsTable[[#This Row],[HalfWidth]],ContinuousStatsTable[[#This Row],[BatchMeansHalfWidth]])</f>
        <v>5.5749987786968959E-6</v>
      </c>
    </row>
    <row r="322" spans="1:21" x14ac:dyDescent="0.25">
      <c r="A322" t="s">
        <v>67</v>
      </c>
      <c r="B322" t="s">
        <v>243</v>
      </c>
      <c r="C322">
        <v>4</v>
      </c>
      <c r="D322" t="s">
        <v>84</v>
      </c>
      <c r="E322" t="s">
        <v>116</v>
      </c>
      <c r="F322" t="s">
        <v>71</v>
      </c>
      <c r="G322">
        <v>869.17466043154604</v>
      </c>
      <c r="H322">
        <v>3E+20</v>
      </c>
      <c r="I322">
        <v>0</v>
      </c>
      <c r="J322">
        <v>1684</v>
      </c>
      <c r="K322">
        <v>1683</v>
      </c>
      <c r="L322">
        <v>0</v>
      </c>
      <c r="M322" t="str">
        <f>ContinuousStatsTable[[#This Row],[ProjectName]]&amp;ContinuousStatsTable[[#This Row],[Name]]&amp;ContinuousStatsTable[[#This Row],[Type]]&amp;ContinuousStatsTable[[#This Row],[Source]]</f>
        <v>Unnamed ProjectMatch 1.Queue2Number WaitingQueue</v>
      </c>
      <c r="N322" cm="1">
        <f t="array" ref="N322">MAX(IF((ProjectInfoTable[ProjectName]=ContinuousStatsTable[[#This Row],[ProjectName]]),(ProjectInfoTable[ProjectName]=ContinuousStatsTable[[#This Row],[ProjectName]])*ProjectInfoTable[NumberOfReplications]))</f>
        <v>10</v>
      </c>
      <c r="O322" cm="1">
        <f t="array" ref="O322">IFERROR(AVERAGE(IF((ContinuousStatsTable[GroupByKey]=ContinuousStatsTable[[#This Row],[GroupByKey]]),(ContinuousStatsTable[GroupByKey]=ContinuousStatsTable[[#This Row],[GroupByKey]])*ContinuousStatsTable[Average])),0)</f>
        <v>867.85098767897125</v>
      </c>
      <c r="P322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5.9823523640247513</v>
      </c>
      <c r="Q322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4.2795170775550373</v>
      </c>
      <c r="S322" cm="1">
        <f t="array" ref="S322">MIN(IF((ContinuousStatsTable[GroupByKey]=ContinuousStatsTable[[#This Row],[GroupByKey]]),(ContinuousStatsTable[GroupByKey]=ContinuousStatsTable[[#This Row],[GroupByKey]])*ContinuousStatsTable[Average]))</f>
        <v>858.49288388840398</v>
      </c>
      <c r="T322" cm="1">
        <f t="array" ref="T322">MAX(IF((ContinuousStatsTable[GroupByKey]=ContinuousStatsTable[[#This Row],[GroupByKey]]),(ContinuousStatsTable[GroupByKey]=ContinuousStatsTable[[#This Row],[GroupByKey]])*ContinuousStatsTable[Average]))</f>
        <v>875.80608811200398</v>
      </c>
      <c r="U322">
        <f>IF((ContinuousStatsTable[[#This Row],[RepsRequested]]&gt;1),ContinuousStatsTable[[#This Row],[HalfWidth]],ContinuousStatsTable[[#This Row],[BatchMeansHalfWidth]])</f>
        <v>4.2795170775550373</v>
      </c>
    </row>
    <row r="323" spans="1:21" x14ac:dyDescent="0.25">
      <c r="A323" t="s">
        <v>67</v>
      </c>
      <c r="B323" t="s">
        <v>243</v>
      </c>
      <c r="C323">
        <v>4</v>
      </c>
      <c r="D323" t="s">
        <v>85</v>
      </c>
      <c r="E323" t="s">
        <v>116</v>
      </c>
      <c r="F323" t="s">
        <v>71</v>
      </c>
      <c r="G323">
        <v>1375.15787586601</v>
      </c>
      <c r="H323">
        <v>3E+20</v>
      </c>
      <c r="I323">
        <v>0</v>
      </c>
      <c r="J323">
        <v>2657</v>
      </c>
      <c r="K323">
        <v>2656</v>
      </c>
      <c r="L323">
        <v>0</v>
      </c>
      <c r="M323" t="str">
        <f>ContinuousStatsTable[[#This Row],[ProjectName]]&amp;ContinuousStatsTable[[#This Row],[Name]]&amp;ContinuousStatsTable[[#This Row],[Type]]&amp;ContinuousStatsTable[[#This Row],[Source]]</f>
        <v>Unnamed ProjectMatch 1.Queue3Number WaitingQueue</v>
      </c>
      <c r="N323" cm="1">
        <f t="array" ref="N323">MAX(IF((ProjectInfoTable[ProjectName]=ContinuousStatsTable[[#This Row],[ProjectName]]),(ProjectInfoTable[ProjectName]=ContinuousStatsTable[[#This Row],[ProjectName]])*ProjectInfoTable[NumberOfReplications]))</f>
        <v>10</v>
      </c>
      <c r="O323" cm="1">
        <f t="array" ref="O323">IFERROR(AVERAGE(IF((ContinuousStatsTable[GroupByKey]=ContinuousStatsTable[[#This Row],[GroupByKey]]),(ContinuousStatsTable[GroupByKey]=ContinuousStatsTable[[#This Row],[GroupByKey]])*ContinuousStatsTable[Average])),0)</f>
        <v>1368.6640709815952</v>
      </c>
      <c r="P323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5.3961917051273351</v>
      </c>
      <c r="Q323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3.860203002204456</v>
      </c>
      <c r="S323" cm="1">
        <f t="array" ref="S323">MIN(IF((ContinuousStatsTable[GroupByKey]=ContinuousStatsTable[[#This Row],[GroupByKey]]),(ContinuousStatsTable[GroupByKey]=ContinuousStatsTable[[#This Row],[GroupByKey]])*ContinuousStatsTable[Average]))</f>
        <v>1357.5761788714599</v>
      </c>
      <c r="T323" cm="1">
        <f t="array" ref="T323">MAX(IF((ContinuousStatsTable[GroupByKey]=ContinuousStatsTable[[#This Row],[GroupByKey]]),(ContinuousStatsTable[GroupByKey]=ContinuousStatsTable[[#This Row],[GroupByKey]])*ContinuousStatsTable[Average]))</f>
        <v>1375.17190829069</v>
      </c>
      <c r="U323">
        <f>IF((ContinuousStatsTable[[#This Row],[RepsRequested]]&gt;1),ContinuousStatsTable[[#This Row],[HalfWidth]],ContinuousStatsTable[[#This Row],[BatchMeansHalfWidth]])</f>
        <v>3.860203002204456</v>
      </c>
    </row>
    <row r="324" spans="1:21" x14ac:dyDescent="0.25">
      <c r="A324" t="s">
        <v>67</v>
      </c>
      <c r="B324" t="s">
        <v>243</v>
      </c>
      <c r="C324">
        <v>4</v>
      </c>
      <c r="D324" t="s">
        <v>139</v>
      </c>
      <c r="E324" t="s">
        <v>112</v>
      </c>
      <c r="F324" t="s">
        <v>113</v>
      </c>
      <c r="G324">
        <v>0</v>
      </c>
      <c r="H324">
        <v>2E+20</v>
      </c>
      <c r="I324">
        <v>0</v>
      </c>
      <c r="J324">
        <v>0</v>
      </c>
      <c r="K324">
        <v>0</v>
      </c>
      <c r="L324">
        <v>0</v>
      </c>
      <c r="M324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324" cm="1">
        <f t="array" ref="N324">MAX(IF((ProjectInfoTable[ProjectName]=ContinuousStatsTable[[#This Row],[ProjectName]]),(ProjectInfoTable[ProjectName]=ContinuousStatsTable[[#This Row],[ProjectName]])*ProjectInfoTable[NumberOfReplications]))</f>
        <v>10</v>
      </c>
      <c r="O324" cm="1">
        <f t="array" ref="O324">IFERROR(AVERAGE(IF((ContinuousStatsTable[GroupByKey]=ContinuousStatsTable[[#This Row],[GroupByKey]]),(ContinuousStatsTable[GroupByKey]=ContinuousStatsTable[[#This Row],[GroupByKey]])*ContinuousStatsTable[Average])),0)</f>
        <v>0</v>
      </c>
      <c r="P324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0</v>
      </c>
      <c r="Q324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4" cm="1">
        <f t="array" ref="S324">MIN(IF((ContinuousStatsTable[GroupByKey]=ContinuousStatsTable[[#This Row],[GroupByKey]]),(ContinuousStatsTable[GroupByKey]=ContinuousStatsTable[[#This Row],[GroupByKey]])*ContinuousStatsTable[Average]))</f>
        <v>0</v>
      </c>
      <c r="T324" cm="1">
        <f t="array" ref="T324">MAX(IF((ContinuousStatsTable[GroupByKey]=ContinuousStatsTable[[#This Row],[GroupByKey]]),(ContinuousStatsTable[GroupByKey]=ContinuousStatsTable[[#This Row],[GroupByKey]])*ContinuousStatsTable[Average]))</f>
        <v>0</v>
      </c>
      <c r="U324">
        <f>IF((ContinuousStatsTable[[#This Row],[RepsRequested]]&gt;1),ContinuousStatsTable[[#This Row],[HalfWidth]],ContinuousStatsTable[[#This Row],[BatchMeansHalfWidth]])</f>
        <v>0</v>
      </c>
    </row>
    <row r="325" spans="1:21" x14ac:dyDescent="0.25">
      <c r="A325" t="s">
        <v>67</v>
      </c>
      <c r="B325" t="s">
        <v>243</v>
      </c>
      <c r="C325">
        <v>4</v>
      </c>
      <c r="D325" t="s">
        <v>139</v>
      </c>
      <c r="E325" t="s">
        <v>114</v>
      </c>
      <c r="F325" t="s">
        <v>113</v>
      </c>
      <c r="G325">
        <v>0</v>
      </c>
      <c r="H325">
        <v>2E+20</v>
      </c>
      <c r="I325">
        <v>0</v>
      </c>
      <c r="J325">
        <v>0</v>
      </c>
      <c r="K325">
        <v>0</v>
      </c>
      <c r="L325">
        <v>0</v>
      </c>
      <c r="M325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325" cm="1">
        <f t="array" ref="N325">MAX(IF((ProjectInfoTable[ProjectName]=ContinuousStatsTable[[#This Row],[ProjectName]]),(ProjectInfoTable[ProjectName]=ContinuousStatsTable[[#This Row],[ProjectName]])*ProjectInfoTable[NumberOfReplications]))</f>
        <v>10</v>
      </c>
      <c r="O325" cm="1">
        <f t="array" ref="O325">IFERROR(AVERAGE(IF((ContinuousStatsTable[GroupByKey]=ContinuousStatsTable[[#This Row],[GroupByKey]]),(ContinuousStatsTable[GroupByKey]=ContinuousStatsTable[[#This Row],[GroupByKey]])*ContinuousStatsTable[Average])),0)</f>
        <v>0</v>
      </c>
      <c r="P32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</v>
      </c>
      <c r="Q32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5" cm="1">
        <f t="array" ref="S325">MIN(IF((ContinuousStatsTable[GroupByKey]=ContinuousStatsTable[[#This Row],[GroupByKey]]),(ContinuousStatsTable[GroupByKey]=ContinuousStatsTable[[#This Row],[GroupByKey]])*ContinuousStatsTable[Average]))</f>
        <v>0</v>
      </c>
      <c r="T325" cm="1">
        <f t="array" ref="T325">MAX(IF((ContinuousStatsTable[GroupByKey]=ContinuousStatsTable[[#This Row],[GroupByKey]]),(ContinuousStatsTable[GroupByKey]=ContinuousStatsTable[[#This Row],[GroupByKey]])*ContinuousStatsTable[Average]))</f>
        <v>0</v>
      </c>
      <c r="U325">
        <f>IF((ContinuousStatsTable[[#This Row],[RepsRequested]]&gt;1),ContinuousStatsTable[[#This Row],[HalfWidth]],ContinuousStatsTable[[#This Row],[BatchMeansHalfWidth]])</f>
        <v>0</v>
      </c>
    </row>
    <row r="326" spans="1:21" x14ac:dyDescent="0.25">
      <c r="A326" t="s">
        <v>67</v>
      </c>
      <c r="B326" t="s">
        <v>243</v>
      </c>
      <c r="C326">
        <v>4</v>
      </c>
      <c r="D326" t="s">
        <v>139</v>
      </c>
      <c r="E326" t="s">
        <v>115</v>
      </c>
      <c r="F326" t="s">
        <v>113</v>
      </c>
      <c r="G326">
        <v>0.26785714285714302</v>
      </c>
      <c r="H326">
        <v>2E+20</v>
      </c>
      <c r="I326">
        <v>0</v>
      </c>
      <c r="J326">
        <v>1</v>
      </c>
      <c r="K326">
        <v>1</v>
      </c>
      <c r="L326">
        <v>0</v>
      </c>
      <c r="M326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326" cm="1">
        <f t="array" ref="N326">MAX(IF((ProjectInfoTable[ProjectName]=ContinuousStatsTable[[#This Row],[ProjectName]]),(ProjectInfoTable[ProjectName]=ContinuousStatsTable[[#This Row],[ProjectName]])*ProjectInfoTable[NumberOfReplications]))</f>
        <v>10</v>
      </c>
      <c r="O326" cm="1">
        <f t="array" ref="O326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326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326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326" cm="1">
        <f t="array" ref="S326">MIN(IF((ContinuousStatsTable[GroupByKey]=ContinuousStatsTable[[#This Row],[GroupByKey]]),(ContinuousStatsTable[GroupByKey]=ContinuousStatsTable[[#This Row],[GroupByKey]])*ContinuousStatsTable[Average]))</f>
        <v>0.26785714285714302</v>
      </c>
      <c r="T326" cm="1">
        <f t="array" ref="T326">MAX(IF((ContinuousStatsTable[GroupByKey]=ContinuousStatsTable[[#This Row],[GroupByKey]]),(ContinuousStatsTable[GroupByKey]=ContinuousStatsTable[[#This Row],[GroupByKey]])*ContinuousStatsTable[Average]))</f>
        <v>0.26785714285714302</v>
      </c>
      <c r="U326">
        <f>IF((ContinuousStatsTable[[#This Row],[RepsRequested]]&gt;1),ContinuousStatsTable[[#This Row],[HalfWidth]],ContinuousStatsTable[[#This Row],[BatchMeansHalfWidth]])</f>
        <v>4.1858316124321422E-17</v>
      </c>
    </row>
    <row r="327" spans="1:21" x14ac:dyDescent="0.25">
      <c r="A327" t="s">
        <v>67</v>
      </c>
      <c r="B327" t="s">
        <v>243</v>
      </c>
      <c r="C327">
        <v>4</v>
      </c>
      <c r="D327" t="s">
        <v>140</v>
      </c>
      <c r="E327" t="s">
        <v>112</v>
      </c>
      <c r="F327" t="s">
        <v>113</v>
      </c>
      <c r="G327">
        <v>8.8452992731691799E-2</v>
      </c>
      <c r="H327">
        <v>2E+20</v>
      </c>
      <c r="I327">
        <v>0</v>
      </c>
      <c r="J327">
        <v>1</v>
      </c>
      <c r="K327">
        <v>0</v>
      </c>
      <c r="L327">
        <v>0</v>
      </c>
      <c r="M327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327" cm="1">
        <f t="array" ref="N327">MAX(IF((ProjectInfoTable[ProjectName]=ContinuousStatsTable[[#This Row],[ProjectName]]),(ProjectInfoTable[ProjectName]=ContinuousStatsTable[[#This Row],[ProjectName]])*ProjectInfoTable[NumberOfReplications]))</f>
        <v>10</v>
      </c>
      <c r="O327" cm="1">
        <f t="array" ref="O327">IFERROR(AVERAGE(IF((ContinuousStatsTable[GroupByKey]=ContinuousStatsTable[[#This Row],[GroupByKey]]),(ContinuousStatsTable[GroupByKey]=ContinuousStatsTable[[#This Row],[GroupByKey]])*ContinuousStatsTable[Average])),0)</f>
        <v>8.7684406282387828E-2</v>
      </c>
      <c r="P327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327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327" cm="1">
        <f t="array" ref="S327">MIN(IF((ContinuousStatsTable[GroupByKey]=ContinuousStatsTable[[#This Row],[GroupByKey]]),(ContinuousStatsTable[GroupByKey]=ContinuousStatsTable[[#This Row],[GroupByKey]])*ContinuousStatsTable[Average]))</f>
        <v>7.2143522330073706E-2</v>
      </c>
      <c r="T327" cm="1">
        <f t="array" ref="T327">MAX(IF((ContinuousStatsTable[GroupByKey]=ContinuousStatsTable[[#This Row],[GroupByKey]]),(ContinuousStatsTable[GroupByKey]=ContinuousStatsTable[[#This Row],[GroupByKey]])*ContinuousStatsTable[Average]))</f>
        <v>0.105326430117076</v>
      </c>
      <c r="U327">
        <f>IF((ContinuousStatsTable[[#This Row],[RepsRequested]]&gt;1),ContinuousStatsTable[[#This Row],[HalfWidth]],ContinuousStatsTable[[#This Row],[BatchMeansHalfWidth]])</f>
        <v>6.7395853500387742E-3</v>
      </c>
    </row>
    <row r="328" spans="1:21" x14ac:dyDescent="0.25">
      <c r="A328" t="s">
        <v>67</v>
      </c>
      <c r="B328" t="s">
        <v>243</v>
      </c>
      <c r="C328">
        <v>4</v>
      </c>
      <c r="D328" t="s">
        <v>140</v>
      </c>
      <c r="E328" t="s">
        <v>114</v>
      </c>
      <c r="F328" t="s">
        <v>113</v>
      </c>
      <c r="G328">
        <v>8.8452992731691799E-2</v>
      </c>
      <c r="H328">
        <v>2E+20</v>
      </c>
      <c r="I328">
        <v>0</v>
      </c>
      <c r="J328">
        <v>1</v>
      </c>
      <c r="K328">
        <v>0</v>
      </c>
      <c r="L328">
        <v>0</v>
      </c>
      <c r="M328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328" cm="1">
        <f t="array" ref="N328">MAX(IF((ProjectInfoTable[ProjectName]=ContinuousStatsTable[[#This Row],[ProjectName]]),(ProjectInfoTable[ProjectName]=ContinuousStatsTable[[#This Row],[ProjectName]])*ProjectInfoTable[NumberOfReplications]))</f>
        <v>10</v>
      </c>
      <c r="O328" cm="1">
        <f t="array" ref="O328">IFERROR(AVERAGE(IF((ContinuousStatsTable[GroupByKey]=ContinuousStatsTable[[#This Row],[GroupByKey]]),(ContinuousStatsTable[GroupByKey]=ContinuousStatsTable[[#This Row],[GroupByKey]])*ContinuousStatsTable[Average])),0)</f>
        <v>8.7684406282387842E-2</v>
      </c>
      <c r="P328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328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328" cm="1">
        <f t="array" ref="S328">MIN(IF((ContinuousStatsTable[GroupByKey]=ContinuousStatsTable[[#This Row],[GroupByKey]]),(ContinuousStatsTable[GroupByKey]=ContinuousStatsTable[[#This Row],[GroupByKey]])*ContinuousStatsTable[Average]))</f>
        <v>7.2143522330073706E-2</v>
      </c>
      <c r="T328" cm="1">
        <f t="array" ref="T328">MAX(IF((ContinuousStatsTable[GroupByKey]=ContinuousStatsTable[[#This Row],[GroupByKey]]),(ContinuousStatsTable[GroupByKey]=ContinuousStatsTable[[#This Row],[GroupByKey]])*ContinuousStatsTable[Average]))</f>
        <v>0.105326430117076</v>
      </c>
      <c r="U328">
        <f>IF((ContinuousStatsTable[[#This Row],[RepsRequested]]&gt;1),ContinuousStatsTable[[#This Row],[HalfWidth]],ContinuousStatsTable[[#This Row],[BatchMeansHalfWidth]])</f>
        <v>6.7395853500387742E-3</v>
      </c>
    </row>
    <row r="329" spans="1:21" x14ac:dyDescent="0.25">
      <c r="A329" t="s">
        <v>67</v>
      </c>
      <c r="B329" t="s">
        <v>243</v>
      </c>
      <c r="C329">
        <v>4</v>
      </c>
      <c r="D329" t="s">
        <v>140</v>
      </c>
      <c r="E329" t="s">
        <v>115</v>
      </c>
      <c r="F329" t="s">
        <v>113</v>
      </c>
      <c r="G329">
        <v>0.26785714285714302</v>
      </c>
      <c r="H329">
        <v>2E+20</v>
      </c>
      <c r="I329">
        <v>0</v>
      </c>
      <c r="J329">
        <v>1</v>
      </c>
      <c r="K329">
        <v>0</v>
      </c>
      <c r="L329">
        <v>0</v>
      </c>
      <c r="M329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329" cm="1">
        <f t="array" ref="N329">MAX(IF((ProjectInfoTable[ProjectName]=ContinuousStatsTable[[#This Row],[ProjectName]]),(ProjectInfoTable[ProjectName]=ContinuousStatsTable[[#This Row],[ProjectName]])*ProjectInfoTable[NumberOfReplications]))</f>
        <v>10</v>
      </c>
      <c r="O329" cm="1">
        <f t="array" ref="O329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329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329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329" cm="1">
        <f t="array" ref="S329">MIN(IF((ContinuousStatsTable[GroupByKey]=ContinuousStatsTable[[#This Row],[GroupByKey]]),(ContinuousStatsTable[GroupByKey]=ContinuousStatsTable[[#This Row],[GroupByKey]])*ContinuousStatsTable[Average]))</f>
        <v>0.26785714285714302</v>
      </c>
      <c r="T329" cm="1">
        <f t="array" ref="T329">MAX(IF((ContinuousStatsTable[GroupByKey]=ContinuousStatsTable[[#This Row],[GroupByKey]]),(ContinuousStatsTable[GroupByKey]=ContinuousStatsTable[[#This Row],[GroupByKey]])*ContinuousStatsTable[Average]))</f>
        <v>0.26785714285714302</v>
      </c>
      <c r="U329">
        <f>IF((ContinuousStatsTable[[#This Row],[RepsRequested]]&gt;1),ContinuousStatsTable[[#This Row],[HalfWidth]],ContinuousStatsTable[[#This Row],[BatchMeansHalfWidth]])</f>
        <v>4.1858316124321422E-17</v>
      </c>
    </row>
    <row r="330" spans="1:21" x14ac:dyDescent="0.25">
      <c r="A330" t="s">
        <v>67</v>
      </c>
      <c r="B330" t="s">
        <v>243</v>
      </c>
      <c r="C330">
        <v>4</v>
      </c>
      <c r="D330" t="s">
        <v>99</v>
      </c>
      <c r="E330" t="s">
        <v>116</v>
      </c>
      <c r="F330" t="s">
        <v>71</v>
      </c>
      <c r="G330">
        <v>87.992991368904796</v>
      </c>
      <c r="H330">
        <v>2E+20</v>
      </c>
      <c r="I330">
        <v>0</v>
      </c>
      <c r="J330">
        <v>181</v>
      </c>
      <c r="K330">
        <v>181</v>
      </c>
      <c r="L330">
        <v>0</v>
      </c>
      <c r="M330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330" cm="1">
        <f t="array" ref="N330">MAX(IF((ProjectInfoTable[ProjectName]=ContinuousStatsTable[[#This Row],[ProjectName]]),(ProjectInfoTable[ProjectName]=ContinuousStatsTable[[#This Row],[ProjectName]])*ProjectInfoTable[NumberOfReplications]))</f>
        <v>10</v>
      </c>
      <c r="O330" cm="1">
        <f t="array" ref="O330">IFERROR(AVERAGE(IF((ContinuousStatsTable[GroupByKey]=ContinuousStatsTable[[#This Row],[GroupByKey]]),(ContinuousStatsTable[GroupByKey]=ContinuousStatsTable[[#This Row],[GroupByKey]])*ContinuousStatsTable[Average])),0)</f>
        <v>83.474789654582125</v>
      </c>
      <c r="P330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6.0930686050573728</v>
      </c>
      <c r="Q330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4.358718705180836</v>
      </c>
      <c r="S330" cm="1">
        <f t="array" ref="S330">MIN(IF((ContinuousStatsTable[GroupByKey]=ContinuousStatsTable[[#This Row],[GroupByKey]]),(ContinuousStatsTable[GroupByKey]=ContinuousStatsTable[[#This Row],[GroupByKey]])*ContinuousStatsTable[Average]))</f>
        <v>72.152998246910798</v>
      </c>
      <c r="T330" cm="1">
        <f t="array" ref="T330">MAX(IF((ContinuousStatsTable[GroupByKey]=ContinuousStatsTable[[#This Row],[GroupByKey]]),(ContinuousStatsTable[GroupByKey]=ContinuousStatsTable[[#This Row],[GroupByKey]])*ContinuousStatsTable[Average]))</f>
        <v>91.653675793565498</v>
      </c>
      <c r="U330">
        <f>IF((ContinuousStatsTable[[#This Row],[RepsRequested]]&gt;1),ContinuousStatsTable[[#This Row],[HalfWidth]],ContinuousStatsTable[[#This Row],[BatchMeansHalfWidth]])</f>
        <v>4.358718705180836</v>
      </c>
    </row>
    <row r="331" spans="1:21" x14ac:dyDescent="0.25">
      <c r="A331" t="s">
        <v>67</v>
      </c>
      <c r="B331" t="s">
        <v>243</v>
      </c>
      <c r="C331">
        <v>4</v>
      </c>
      <c r="D331" t="s">
        <v>100</v>
      </c>
      <c r="E331" t="s">
        <v>116</v>
      </c>
      <c r="F331" t="s">
        <v>71</v>
      </c>
      <c r="G331">
        <v>0.84940189702371305</v>
      </c>
      <c r="H331">
        <v>2E+20</v>
      </c>
      <c r="I331">
        <v>0</v>
      </c>
      <c r="J331">
        <v>3</v>
      </c>
      <c r="K331">
        <v>3</v>
      </c>
      <c r="L331">
        <v>0</v>
      </c>
      <c r="M331" t="str">
        <f>ContinuousStatsTable[[#This Row],[ProjectName]]&amp;ContinuousStatsTable[[#This Row],[Name]]&amp;ContinuousStatsTable[[#This Row],[Type]]&amp;ContinuousStatsTable[[#This Row],[Source]]</f>
        <v>Unnamed ProjectSeize 10.QueueNumber WaitingQueue</v>
      </c>
      <c r="N331" cm="1">
        <f t="array" ref="N331">MAX(IF((ProjectInfoTable[ProjectName]=ContinuousStatsTable[[#This Row],[ProjectName]]),(ProjectInfoTable[ProjectName]=ContinuousStatsTable[[#This Row],[ProjectName]])*ProjectInfoTable[NumberOfReplications]))</f>
        <v>10</v>
      </c>
      <c r="O331" cm="1">
        <f t="array" ref="O331">IFERROR(AVERAGE(IF((ContinuousStatsTable[GroupByKey]=ContinuousStatsTable[[#This Row],[GroupByKey]]),(ContinuousStatsTable[GroupByKey]=ContinuousStatsTable[[#This Row],[GroupByKey]])*ContinuousStatsTable[Average])),0)</f>
        <v>0.77451739131190445</v>
      </c>
      <c r="P331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0.14034110421466847</v>
      </c>
      <c r="Q331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0.10039397809151185</v>
      </c>
      <c r="S331" cm="1">
        <f t="array" ref="S331">MIN(IF((ContinuousStatsTable[GroupByKey]=ContinuousStatsTable[[#This Row],[GroupByKey]]),(ContinuousStatsTable[GroupByKey]=ContinuousStatsTable[[#This Row],[GroupByKey]])*ContinuousStatsTable[Average]))</f>
        <v>0.57599630674201496</v>
      </c>
      <c r="T331" cm="1">
        <f t="array" ref="T331">MAX(IF((ContinuousStatsTable[GroupByKey]=ContinuousStatsTable[[#This Row],[GroupByKey]]),(ContinuousStatsTable[GroupByKey]=ContinuousStatsTable[[#This Row],[GroupByKey]])*ContinuousStatsTable[Average]))</f>
        <v>0.944128153448903</v>
      </c>
      <c r="U331">
        <f>IF((ContinuousStatsTable[[#This Row],[RepsRequested]]&gt;1),ContinuousStatsTable[[#This Row],[HalfWidth]],ContinuousStatsTable[[#This Row],[BatchMeansHalfWidth]])</f>
        <v>0.10039397809151185</v>
      </c>
    </row>
    <row r="332" spans="1:21" x14ac:dyDescent="0.25">
      <c r="A332" t="s">
        <v>67</v>
      </c>
      <c r="B332" t="s">
        <v>243</v>
      </c>
      <c r="C332">
        <v>4</v>
      </c>
      <c r="D332" t="s">
        <v>101</v>
      </c>
      <c r="E332" t="s">
        <v>116</v>
      </c>
      <c r="F332" t="s">
        <v>71</v>
      </c>
      <c r="G332">
        <v>17.194297331830601</v>
      </c>
      <c r="H332">
        <v>2E+20</v>
      </c>
      <c r="I332">
        <v>0</v>
      </c>
      <c r="J332">
        <v>113</v>
      </c>
      <c r="K332">
        <v>0</v>
      </c>
      <c r="L332">
        <v>0</v>
      </c>
      <c r="M332" t="str">
        <f>ContinuousStatsTable[[#This Row],[ProjectName]]&amp;ContinuousStatsTable[[#This Row],[Name]]&amp;ContinuousStatsTable[[#This Row],[Type]]&amp;ContinuousStatsTable[[#This Row],[Source]]</f>
        <v>Unnamed ProjectSeize 11.QueueNumber WaitingQueue</v>
      </c>
      <c r="N332" cm="1">
        <f t="array" ref="N332">MAX(IF((ProjectInfoTable[ProjectName]=ContinuousStatsTable[[#This Row],[ProjectName]]),(ProjectInfoTable[ProjectName]=ContinuousStatsTable[[#This Row],[ProjectName]])*ProjectInfoTable[NumberOfReplications]))</f>
        <v>10</v>
      </c>
      <c r="O332" cm="1">
        <f t="array" ref="O332">IFERROR(AVERAGE(IF((ContinuousStatsTable[GroupByKey]=ContinuousStatsTable[[#This Row],[GroupByKey]]),(ContinuousStatsTable[GroupByKey]=ContinuousStatsTable[[#This Row],[GroupByKey]])*ContinuousStatsTable[Average])),0)</f>
        <v>17.495844600024782</v>
      </c>
      <c r="P332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4.1567315260337745</v>
      </c>
      <c r="Q332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2.9735466034142406</v>
      </c>
      <c r="S332" cm="1">
        <f t="array" ref="S332">MIN(IF((ContinuousStatsTable[GroupByKey]=ContinuousStatsTable[[#This Row],[GroupByKey]]),(ContinuousStatsTable[GroupByKey]=ContinuousStatsTable[[#This Row],[GroupByKey]])*ContinuousStatsTable[Average]))</f>
        <v>10.770319236854199</v>
      </c>
      <c r="T332" cm="1">
        <f t="array" ref="T332">MAX(IF((ContinuousStatsTable[GroupByKey]=ContinuousStatsTable[[#This Row],[GroupByKey]]),(ContinuousStatsTable[GroupByKey]=ContinuousStatsTable[[#This Row],[GroupByKey]])*ContinuousStatsTable[Average]))</f>
        <v>25.764658423427701</v>
      </c>
      <c r="U332">
        <f>IF((ContinuousStatsTable[[#This Row],[RepsRequested]]&gt;1),ContinuousStatsTable[[#This Row],[HalfWidth]],ContinuousStatsTable[[#This Row],[BatchMeansHalfWidth]])</f>
        <v>2.9735466034142406</v>
      </c>
    </row>
    <row r="333" spans="1:21" x14ac:dyDescent="0.25">
      <c r="A333" t="s">
        <v>67</v>
      </c>
      <c r="B333" t="s">
        <v>243</v>
      </c>
      <c r="C333">
        <v>4</v>
      </c>
      <c r="D333" t="s">
        <v>102</v>
      </c>
      <c r="E333" t="s">
        <v>116</v>
      </c>
      <c r="F333" t="s">
        <v>71</v>
      </c>
      <c r="G333">
        <v>0.47601596605360202</v>
      </c>
      <c r="H333">
        <v>2E+20</v>
      </c>
      <c r="I333">
        <v>0</v>
      </c>
      <c r="J333">
        <v>1</v>
      </c>
      <c r="K333">
        <v>1</v>
      </c>
      <c r="L333">
        <v>0</v>
      </c>
      <c r="M333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333" cm="1">
        <f t="array" ref="N333">MAX(IF((ProjectInfoTable[ProjectName]=ContinuousStatsTable[[#This Row],[ProjectName]]),(ProjectInfoTable[ProjectName]=ContinuousStatsTable[[#This Row],[ProjectName]])*ProjectInfoTable[NumberOfReplications]))</f>
        <v>10</v>
      </c>
      <c r="O333" cm="1">
        <f t="array" ref="O333">IFERROR(AVERAGE(IF((ContinuousStatsTable[GroupByKey]=ContinuousStatsTable[[#This Row],[GroupByKey]]),(ContinuousStatsTable[GroupByKey]=ContinuousStatsTable[[#This Row],[GroupByKey]])*ContinuousStatsTable[Average])),0)</f>
        <v>1.2334365850159306</v>
      </c>
      <c r="P333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0.34677877772765942</v>
      </c>
      <c r="Q333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0.24807059349154728</v>
      </c>
      <c r="S333" cm="1">
        <f t="array" ref="S333">MIN(IF((ContinuousStatsTable[GroupByKey]=ContinuousStatsTable[[#This Row],[GroupByKey]]),(ContinuousStatsTable[GroupByKey]=ContinuousStatsTable[[#This Row],[GroupByKey]])*ContinuousStatsTable[Average]))</f>
        <v>0.47601596605360202</v>
      </c>
      <c r="T333" cm="1">
        <f t="array" ref="T333">MAX(IF((ContinuousStatsTable[GroupByKey]=ContinuousStatsTable[[#This Row],[GroupByKey]]),(ContinuousStatsTable[GroupByKey]=ContinuousStatsTable[[#This Row],[GroupByKey]])*ContinuousStatsTable[Average]))</f>
        <v>1.5938052921300001</v>
      </c>
      <c r="U333">
        <f>IF((ContinuousStatsTable[[#This Row],[RepsRequested]]&gt;1),ContinuousStatsTable[[#This Row],[HalfWidth]],ContinuousStatsTable[[#This Row],[BatchMeansHalfWidth]])</f>
        <v>0.24807059349154728</v>
      </c>
    </row>
    <row r="334" spans="1:21" x14ac:dyDescent="0.25">
      <c r="A334" t="s">
        <v>67</v>
      </c>
      <c r="B334" t="s">
        <v>243</v>
      </c>
      <c r="C334">
        <v>4</v>
      </c>
      <c r="D334" t="s">
        <v>103</v>
      </c>
      <c r="E334" t="s">
        <v>116</v>
      </c>
      <c r="F334" t="s">
        <v>71</v>
      </c>
      <c r="G334">
        <v>0.42126582993626199</v>
      </c>
      <c r="H334">
        <v>3E+20</v>
      </c>
      <c r="I334">
        <v>0</v>
      </c>
      <c r="J334">
        <v>1</v>
      </c>
      <c r="K334">
        <v>1</v>
      </c>
      <c r="L334">
        <v>0</v>
      </c>
      <c r="M334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334" cm="1">
        <f t="array" ref="N334">MAX(IF((ProjectInfoTable[ProjectName]=ContinuousStatsTable[[#This Row],[ProjectName]]),(ProjectInfoTable[ProjectName]=ContinuousStatsTable[[#This Row],[ProjectName]])*ProjectInfoTable[NumberOfReplications]))</f>
        <v>10</v>
      </c>
      <c r="O334" cm="1">
        <f t="array" ref="O334">IFERROR(AVERAGE(IF((ContinuousStatsTable[GroupByKey]=ContinuousStatsTable[[#This Row],[GroupByKey]]),(ContinuousStatsTable[GroupByKey]=ContinuousStatsTable[[#This Row],[GroupByKey]])*ContinuousStatsTable[Average])),0)</f>
        <v>0.19501309596936622</v>
      </c>
      <c r="P334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0.14771852643081365</v>
      </c>
      <c r="Q334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0.10567146802209269</v>
      </c>
      <c r="S334" cm="1">
        <f t="array" ref="S334">MIN(IF((ContinuousStatsTable[GroupByKey]=ContinuousStatsTable[[#This Row],[GroupByKey]]),(ContinuousStatsTable[GroupByKey]=ContinuousStatsTable[[#This Row],[GroupByKey]])*ContinuousStatsTable[Average]))</f>
        <v>5.2203254973614402E-2</v>
      </c>
      <c r="T334" cm="1">
        <f t="array" ref="T334">MAX(IF((ContinuousStatsTable[GroupByKey]=ContinuousStatsTable[[#This Row],[GroupByKey]]),(ContinuousStatsTable[GroupByKey]=ContinuousStatsTable[[#This Row],[GroupByKey]])*ContinuousStatsTable[Average]))</f>
        <v>0.443638473140476</v>
      </c>
      <c r="U334">
        <f>IF((ContinuousStatsTable[[#This Row],[RepsRequested]]&gt;1),ContinuousStatsTable[[#This Row],[HalfWidth]],ContinuousStatsTable[[#This Row],[BatchMeansHalfWidth]])</f>
        <v>0.10567146802209269</v>
      </c>
    </row>
    <row r="335" spans="1:21" x14ac:dyDescent="0.25">
      <c r="A335" t="s">
        <v>67</v>
      </c>
      <c r="B335" t="s">
        <v>243</v>
      </c>
      <c r="C335">
        <v>4</v>
      </c>
      <c r="D335" t="s">
        <v>104</v>
      </c>
      <c r="E335" t="s">
        <v>116</v>
      </c>
      <c r="F335" t="s">
        <v>71</v>
      </c>
      <c r="G335">
        <v>71.748169583675306</v>
      </c>
      <c r="H335">
        <v>3E+20</v>
      </c>
      <c r="I335">
        <v>0</v>
      </c>
      <c r="J335">
        <v>152</v>
      </c>
      <c r="K335">
        <v>152</v>
      </c>
      <c r="L335">
        <v>0</v>
      </c>
      <c r="M335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335" cm="1">
        <f t="array" ref="N335">MAX(IF((ProjectInfoTable[ProjectName]=ContinuousStatsTable[[#This Row],[ProjectName]]),(ProjectInfoTable[ProjectName]=ContinuousStatsTable[[#This Row],[ProjectName]])*ProjectInfoTable[NumberOfReplications]))</f>
        <v>10</v>
      </c>
      <c r="O335" cm="1">
        <f t="array" ref="O335">IFERROR(AVERAGE(IF((ContinuousStatsTable[GroupByKey]=ContinuousStatsTable[[#This Row],[GroupByKey]]),(ContinuousStatsTable[GroupByKey]=ContinuousStatsTable[[#This Row],[GroupByKey]])*ContinuousStatsTable[Average])),0)</f>
        <v>81.226274902651596</v>
      </c>
      <c r="P33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11.159336682409895</v>
      </c>
      <c r="Q33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7.9829085618136846</v>
      </c>
      <c r="S335" cm="1">
        <f t="array" ref="S335">MIN(IF((ContinuousStatsTable[GroupByKey]=ContinuousStatsTable[[#This Row],[GroupByKey]]),(ContinuousStatsTable[GroupByKey]=ContinuousStatsTable[[#This Row],[GroupByKey]])*ContinuousStatsTable[Average]))</f>
        <v>66.053444809788303</v>
      </c>
      <c r="T335" cm="1">
        <f t="array" ref="T335">MAX(IF((ContinuousStatsTable[GroupByKey]=ContinuousStatsTable[[#This Row],[GroupByKey]]),(ContinuousStatsTable[GroupByKey]=ContinuousStatsTable[[#This Row],[GroupByKey]])*ContinuousStatsTable[Average]))</f>
        <v>100.586340982454</v>
      </c>
      <c r="U335">
        <f>IF((ContinuousStatsTable[[#This Row],[RepsRequested]]&gt;1),ContinuousStatsTable[[#This Row],[HalfWidth]],ContinuousStatsTable[[#This Row],[BatchMeansHalfWidth]])</f>
        <v>7.9829085618136846</v>
      </c>
    </row>
    <row r="336" spans="1:21" x14ac:dyDescent="0.25">
      <c r="A336" t="s">
        <v>67</v>
      </c>
      <c r="B336" t="s">
        <v>243</v>
      </c>
      <c r="C336">
        <v>4</v>
      </c>
      <c r="D336" t="s">
        <v>105</v>
      </c>
      <c r="E336" t="s">
        <v>116</v>
      </c>
      <c r="F336" t="s">
        <v>71</v>
      </c>
      <c r="G336">
        <v>1.44805715814965</v>
      </c>
      <c r="H336">
        <v>3E+20</v>
      </c>
      <c r="I336">
        <v>0</v>
      </c>
      <c r="J336">
        <v>2</v>
      </c>
      <c r="K336">
        <v>2</v>
      </c>
      <c r="L336">
        <v>0</v>
      </c>
      <c r="M336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336" cm="1">
        <f t="array" ref="N336">MAX(IF((ProjectInfoTable[ProjectName]=ContinuousStatsTable[[#This Row],[ProjectName]]),(ProjectInfoTable[ProjectName]=ContinuousStatsTable[[#This Row],[ProjectName]])*ProjectInfoTable[NumberOfReplications]))</f>
        <v>10</v>
      </c>
      <c r="O336" cm="1">
        <f t="array" ref="O336">IFERROR(AVERAGE(IF((ContinuousStatsTable[GroupByKey]=ContinuousStatsTable[[#This Row],[GroupByKey]]),(ContinuousStatsTable[GroupByKey]=ContinuousStatsTable[[#This Row],[GroupByKey]])*ContinuousStatsTable[Average])),0)</f>
        <v>1.3234420699844864</v>
      </c>
      <c r="P336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0.23376145670955006</v>
      </c>
      <c r="Q336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0.1672228724069392</v>
      </c>
      <c r="S336" cm="1">
        <f t="array" ref="S336">MIN(IF((ContinuousStatsTable[GroupByKey]=ContinuousStatsTable[[#This Row],[GroupByKey]]),(ContinuousStatsTable[GroupByKey]=ContinuousStatsTable[[#This Row],[GroupByKey]])*ContinuousStatsTable[Average]))</f>
        <v>0.88257428434366503</v>
      </c>
      <c r="T336" cm="1">
        <f t="array" ref="T336">MAX(IF((ContinuousStatsTable[GroupByKey]=ContinuousStatsTable[[#This Row],[GroupByKey]]),(ContinuousStatsTable[GroupByKey]=ContinuousStatsTable[[#This Row],[GroupByKey]])*ContinuousStatsTable[Average]))</f>
        <v>1.5367801636504701</v>
      </c>
      <c r="U336">
        <f>IF((ContinuousStatsTable[[#This Row],[RepsRequested]]&gt;1),ContinuousStatsTable[[#This Row],[HalfWidth]],ContinuousStatsTable[[#This Row],[BatchMeansHalfWidth]])</f>
        <v>0.1672228724069392</v>
      </c>
    </row>
    <row r="337" spans="1:21" x14ac:dyDescent="0.25">
      <c r="A337" t="s">
        <v>67</v>
      </c>
      <c r="B337" t="s">
        <v>243</v>
      </c>
      <c r="C337">
        <v>4</v>
      </c>
      <c r="D337" t="s">
        <v>106</v>
      </c>
      <c r="E337" t="s">
        <v>116</v>
      </c>
      <c r="F337" t="s">
        <v>71</v>
      </c>
      <c r="G337">
        <v>3.2178557941267298</v>
      </c>
      <c r="H337">
        <v>3E+20</v>
      </c>
      <c r="I337">
        <v>0</v>
      </c>
      <c r="J337">
        <v>5</v>
      </c>
      <c r="K337">
        <v>2</v>
      </c>
      <c r="L337">
        <v>0</v>
      </c>
      <c r="M337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337" cm="1">
        <f t="array" ref="N337">MAX(IF((ProjectInfoTable[ProjectName]=ContinuousStatsTable[[#This Row],[ProjectName]]),(ProjectInfoTable[ProjectName]=ContinuousStatsTable[[#This Row],[ProjectName]])*ProjectInfoTable[NumberOfReplications]))</f>
        <v>10</v>
      </c>
      <c r="O337" cm="1">
        <f t="array" ref="O337">IFERROR(AVERAGE(IF((ContinuousStatsTable[GroupByKey]=ContinuousStatsTable[[#This Row],[GroupByKey]]),(ContinuousStatsTable[GroupByKey]=ContinuousStatsTable[[#This Row],[GroupByKey]])*ContinuousStatsTable[Average])),0)</f>
        <v>3.295350976306183</v>
      </c>
      <c r="P337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0.30652142094800816</v>
      </c>
      <c r="Q337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0.21927221530309879</v>
      </c>
      <c r="S337" cm="1">
        <f t="array" ref="S337">MIN(IF((ContinuousStatsTable[GroupByKey]=ContinuousStatsTable[[#This Row],[GroupByKey]]),(ContinuousStatsTable[GroupByKey]=ContinuousStatsTable[[#This Row],[GroupByKey]])*ContinuousStatsTable[Average]))</f>
        <v>2.9443042052265702</v>
      </c>
      <c r="T337" cm="1">
        <f t="array" ref="T337">MAX(IF((ContinuousStatsTable[GroupByKey]=ContinuousStatsTable[[#This Row],[GroupByKey]]),(ContinuousStatsTable[GroupByKey]=ContinuousStatsTable[[#This Row],[GroupByKey]])*ContinuousStatsTable[Average]))</f>
        <v>3.9785130958891202</v>
      </c>
      <c r="U337">
        <f>IF((ContinuousStatsTable[[#This Row],[RepsRequested]]&gt;1),ContinuousStatsTable[[#This Row],[HalfWidth]],ContinuousStatsTable[[#This Row],[BatchMeansHalfWidth]])</f>
        <v>0.21927221530309879</v>
      </c>
    </row>
    <row r="338" spans="1:21" x14ac:dyDescent="0.25">
      <c r="A338" t="s">
        <v>67</v>
      </c>
      <c r="B338" t="s">
        <v>243</v>
      </c>
      <c r="C338">
        <v>4</v>
      </c>
      <c r="D338" t="s">
        <v>107</v>
      </c>
      <c r="E338" t="s">
        <v>116</v>
      </c>
      <c r="F338" t="s">
        <v>71</v>
      </c>
      <c r="G338">
        <v>1.604384261489</v>
      </c>
      <c r="H338">
        <v>2E+20</v>
      </c>
      <c r="I338">
        <v>0</v>
      </c>
      <c r="J338">
        <v>4</v>
      </c>
      <c r="K338">
        <v>4</v>
      </c>
      <c r="L338">
        <v>0</v>
      </c>
      <c r="M338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338" cm="1">
        <f t="array" ref="N338">MAX(IF((ProjectInfoTable[ProjectName]=ContinuousStatsTable[[#This Row],[ProjectName]]),(ProjectInfoTable[ProjectName]=ContinuousStatsTable[[#This Row],[ProjectName]])*ProjectInfoTable[NumberOfReplications]))</f>
        <v>10</v>
      </c>
      <c r="O338" cm="1">
        <f t="array" ref="O338">IFERROR(AVERAGE(IF((ContinuousStatsTable[GroupByKey]=ContinuousStatsTable[[#This Row],[GroupByKey]]),(ContinuousStatsTable[GroupByKey]=ContinuousStatsTable[[#This Row],[GroupByKey]])*ContinuousStatsTable[Average])),0)</f>
        <v>1.4832039737284362</v>
      </c>
      <c r="P338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0.28170250043427397</v>
      </c>
      <c r="Q338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0.20151782911486205</v>
      </c>
      <c r="S338" cm="1">
        <f t="array" ref="S338">MIN(IF((ContinuousStatsTable[GroupByKey]=ContinuousStatsTable[[#This Row],[GroupByKey]]),(ContinuousStatsTable[GroupByKey]=ContinuousStatsTable[[#This Row],[GroupByKey]])*ContinuousStatsTable[Average]))</f>
        <v>0.850065833369271</v>
      </c>
      <c r="T338" cm="1">
        <f t="array" ref="T338">MAX(IF((ContinuousStatsTable[GroupByKey]=ContinuousStatsTable[[#This Row],[GroupByKey]]),(ContinuousStatsTable[GroupByKey]=ContinuousStatsTable[[#This Row],[GroupByKey]])*ContinuousStatsTable[Average]))</f>
        <v>1.78320590856036</v>
      </c>
      <c r="U338">
        <f>IF((ContinuousStatsTable[[#This Row],[RepsRequested]]&gt;1),ContinuousStatsTable[[#This Row],[HalfWidth]],ContinuousStatsTable[[#This Row],[BatchMeansHalfWidth]])</f>
        <v>0.20151782911486205</v>
      </c>
    </row>
    <row r="339" spans="1:21" x14ac:dyDescent="0.25">
      <c r="A339" t="s">
        <v>67</v>
      </c>
      <c r="B339" t="s">
        <v>243</v>
      </c>
      <c r="C339">
        <v>4</v>
      </c>
      <c r="D339" t="s">
        <v>108</v>
      </c>
      <c r="E339" t="s">
        <v>116</v>
      </c>
      <c r="F339" t="s">
        <v>71</v>
      </c>
      <c r="G339">
        <v>81.957713491085698</v>
      </c>
      <c r="H339">
        <v>3E+20</v>
      </c>
      <c r="I339">
        <v>0</v>
      </c>
      <c r="J339">
        <v>174</v>
      </c>
      <c r="K339">
        <v>174</v>
      </c>
      <c r="L339">
        <v>0</v>
      </c>
      <c r="M339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339" cm="1">
        <f t="array" ref="N339">MAX(IF((ProjectInfoTable[ProjectName]=ContinuousStatsTable[[#This Row],[ProjectName]]),(ProjectInfoTable[ProjectName]=ContinuousStatsTable[[#This Row],[ProjectName]])*ProjectInfoTable[NumberOfReplications]))</f>
        <v>10</v>
      </c>
      <c r="O339" cm="1">
        <f t="array" ref="O339">IFERROR(AVERAGE(IF((ContinuousStatsTable[GroupByKey]=ContinuousStatsTable[[#This Row],[GroupByKey]]),(ContinuousStatsTable[GroupByKey]=ContinuousStatsTable[[#This Row],[GroupByKey]])*ContinuousStatsTable[Average])),0)</f>
        <v>84.673313986400757</v>
      </c>
      <c r="P339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6.3050274623130749</v>
      </c>
      <c r="Q339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4.5103449375003528</v>
      </c>
      <c r="S339" cm="1">
        <f t="array" ref="S339">MIN(IF((ContinuousStatsTable[GroupByKey]=ContinuousStatsTable[[#This Row],[GroupByKey]]),(ContinuousStatsTable[GroupByKey]=ContinuousStatsTable[[#This Row],[GroupByKey]])*ContinuousStatsTable[Average]))</f>
        <v>72.004631303705096</v>
      </c>
      <c r="T339" cm="1">
        <f t="array" ref="T339">MAX(IF((ContinuousStatsTable[GroupByKey]=ContinuousStatsTable[[#This Row],[GroupByKey]]),(ContinuousStatsTable[GroupByKey]=ContinuousStatsTable[[#This Row],[GroupByKey]])*ContinuousStatsTable[Average]))</f>
        <v>94.488584180465494</v>
      </c>
      <c r="U339">
        <f>IF((ContinuousStatsTable[[#This Row],[RepsRequested]]&gt;1),ContinuousStatsTable[[#This Row],[HalfWidth]],ContinuousStatsTable[[#This Row],[BatchMeansHalfWidth]])</f>
        <v>4.5103449375003528</v>
      </c>
    </row>
    <row r="340" spans="1:21" x14ac:dyDescent="0.25">
      <c r="A340" t="s">
        <v>67</v>
      </c>
      <c r="B340" t="s">
        <v>243</v>
      </c>
      <c r="C340">
        <v>4</v>
      </c>
      <c r="D340" t="s">
        <v>109</v>
      </c>
      <c r="E340" t="s">
        <v>116</v>
      </c>
      <c r="F340" t="s">
        <v>71</v>
      </c>
      <c r="G340">
        <v>3.3738208972330699</v>
      </c>
      <c r="H340">
        <v>3E+20</v>
      </c>
      <c r="I340">
        <v>0</v>
      </c>
      <c r="J340">
        <v>5</v>
      </c>
      <c r="K340">
        <v>3</v>
      </c>
      <c r="L340">
        <v>0</v>
      </c>
      <c r="M340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340" cm="1">
        <f t="array" ref="N340">MAX(IF((ProjectInfoTable[ProjectName]=ContinuousStatsTable[[#This Row],[ProjectName]]),(ProjectInfoTable[ProjectName]=ContinuousStatsTable[[#This Row],[ProjectName]])*ProjectInfoTable[NumberOfReplications]))</f>
        <v>10</v>
      </c>
      <c r="O340" cm="1">
        <f t="array" ref="O340">IFERROR(AVERAGE(IF((ContinuousStatsTable[GroupByKey]=ContinuousStatsTable[[#This Row],[GroupByKey]]),(ContinuousStatsTable[GroupByKey]=ContinuousStatsTable[[#This Row],[GroupByKey]])*ContinuousStatsTable[Average])),0)</f>
        <v>3.1643006447829118</v>
      </c>
      <c r="P340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0.56709805972033456</v>
      </c>
      <c r="Q340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0.40567751338350572</v>
      </c>
      <c r="S340" cm="1">
        <f t="array" ref="S340">MIN(IF((ContinuousStatsTable[GroupByKey]=ContinuousStatsTable[[#This Row],[GroupByKey]]),(ContinuousStatsTable[GroupByKey]=ContinuousStatsTable[[#This Row],[GroupByKey]])*ContinuousStatsTable[Average]))</f>
        <v>2.1571183231200299</v>
      </c>
      <c r="T340" cm="1">
        <f t="array" ref="T340">MAX(IF((ContinuousStatsTable[GroupByKey]=ContinuousStatsTable[[#This Row],[GroupByKey]]),(ContinuousStatsTable[GroupByKey]=ContinuousStatsTable[[#This Row],[GroupByKey]])*ContinuousStatsTable[Average]))</f>
        <v>3.7448575603137102</v>
      </c>
      <c r="U340">
        <f>IF((ContinuousStatsTable[[#This Row],[RepsRequested]]&gt;1),ContinuousStatsTable[[#This Row],[HalfWidth]],ContinuousStatsTable[[#This Row],[BatchMeansHalfWidth]])</f>
        <v>0.40567751338350572</v>
      </c>
    </row>
    <row r="341" spans="1:21" x14ac:dyDescent="0.25">
      <c r="A341" t="s">
        <v>67</v>
      </c>
      <c r="B341" t="s">
        <v>243</v>
      </c>
      <c r="C341">
        <v>4</v>
      </c>
      <c r="D341" t="s">
        <v>110</v>
      </c>
      <c r="E341" t="s">
        <v>117</v>
      </c>
      <c r="F341" t="s">
        <v>76</v>
      </c>
      <c r="G341">
        <v>3.1807621046882799</v>
      </c>
      <c r="H341">
        <v>3E+20</v>
      </c>
      <c r="I341">
        <v>0</v>
      </c>
      <c r="J341">
        <v>7</v>
      </c>
      <c r="K341">
        <v>4</v>
      </c>
      <c r="L341">
        <v>0</v>
      </c>
      <c r="M341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341" cm="1">
        <f t="array" ref="N341">MAX(IF((ProjectInfoTable[ProjectName]=ContinuousStatsTable[[#This Row],[ProjectName]]),(ProjectInfoTable[ProjectName]=ContinuousStatsTable[[#This Row],[ProjectName]])*ProjectInfoTable[NumberOfReplications]))</f>
        <v>10</v>
      </c>
      <c r="O341" cm="1">
        <f t="array" ref="O341">IFERROR(AVERAGE(IF((ContinuousStatsTable[GroupByKey]=ContinuousStatsTable[[#This Row],[GroupByKey]]),(ContinuousStatsTable[GroupByKey]=ContinuousStatsTable[[#This Row],[GroupByKey]])*ContinuousStatsTable[Average])),0)</f>
        <v>2.7938165767457108</v>
      </c>
      <c r="P341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0.37107770243484822</v>
      </c>
      <c r="Q341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0.26545299708849601</v>
      </c>
      <c r="S341" cm="1">
        <f t="array" ref="S341">MIN(IF((ContinuousStatsTable[GroupByKey]=ContinuousStatsTable[[#This Row],[GroupByKey]]),(ContinuousStatsTable[GroupByKey]=ContinuousStatsTable[[#This Row],[GroupByKey]])*ContinuousStatsTable[Average]))</f>
        <v>2.05988155680273</v>
      </c>
      <c r="T341" cm="1">
        <f t="array" ref="T341">MAX(IF((ContinuousStatsTable[GroupByKey]=ContinuousStatsTable[[#This Row],[GroupByKey]]),(ContinuousStatsTable[GroupByKey]=ContinuousStatsTable[[#This Row],[GroupByKey]])*ContinuousStatsTable[Average]))</f>
        <v>3.2132100714910901</v>
      </c>
      <c r="U341">
        <f>IF((ContinuousStatsTable[[#This Row],[RepsRequested]]&gt;1),ContinuousStatsTable[[#This Row],[HalfWidth]],ContinuousStatsTable[[#This Row],[BatchMeansHalfWidth]])</f>
        <v>0.26545299708849601</v>
      </c>
    </row>
    <row r="342" spans="1:21" x14ac:dyDescent="0.25">
      <c r="A342" t="s">
        <v>67</v>
      </c>
      <c r="B342" t="s">
        <v>243</v>
      </c>
      <c r="C342">
        <v>5</v>
      </c>
      <c r="D342" t="s">
        <v>111</v>
      </c>
      <c r="E342" t="s">
        <v>112</v>
      </c>
      <c r="F342" t="s">
        <v>113</v>
      </c>
      <c r="G342">
        <v>3.6119903101666302E-2</v>
      </c>
      <c r="H342">
        <v>3E+20</v>
      </c>
      <c r="I342">
        <v>0</v>
      </c>
      <c r="J342">
        <v>1</v>
      </c>
      <c r="K342">
        <v>0</v>
      </c>
      <c r="L342">
        <v>0</v>
      </c>
      <c r="M342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342" cm="1">
        <f t="array" ref="N342">MAX(IF((ProjectInfoTable[ProjectName]=ContinuousStatsTable[[#This Row],[ProjectName]]),(ProjectInfoTable[ProjectName]=ContinuousStatsTable[[#This Row],[ProjectName]])*ProjectInfoTable[NumberOfReplications]))</f>
        <v>10</v>
      </c>
      <c r="O342" cm="1">
        <f t="array" ref="O342">IFERROR(AVERAGE(IF((ContinuousStatsTable[GroupByKey]=ContinuousStatsTable[[#This Row],[GroupByKey]]),(ContinuousStatsTable[GroupByKey]=ContinuousStatsTable[[#This Row],[GroupByKey]])*ContinuousStatsTable[Average])),0)</f>
        <v>3.6074566243936998E-2</v>
      </c>
      <c r="P342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6.6761681626786623E-5</v>
      </c>
      <c r="Q342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4.7758430005936653E-5</v>
      </c>
      <c r="S342" cm="1">
        <f t="array" ref="S342">MIN(IF((ContinuousStatsTable[GroupByKey]=ContinuousStatsTable[[#This Row],[GroupByKey]]),(ContinuousStatsTable[GroupByKey]=ContinuousStatsTable[[#This Row],[GroupByKey]])*ContinuousStatsTable[Average]))</f>
        <v>3.5941735992799297E-2</v>
      </c>
      <c r="T342" cm="1">
        <f t="array" ref="T342">MAX(IF((ContinuousStatsTable[GroupByKey]=ContinuousStatsTable[[#This Row],[GroupByKey]]),(ContinuousStatsTable[GroupByKey]=ContinuousStatsTable[[#This Row],[GroupByKey]])*ContinuousStatsTable[Average]))</f>
        <v>3.6177689828441002E-2</v>
      </c>
      <c r="U342">
        <f>IF((ContinuousStatsTable[[#This Row],[RepsRequested]]&gt;1),ContinuousStatsTable[[#This Row],[HalfWidth]],ContinuousStatsTable[[#This Row],[BatchMeansHalfWidth]])</f>
        <v>4.7758430005936653E-5</v>
      </c>
    </row>
    <row r="343" spans="1:21" x14ac:dyDescent="0.25">
      <c r="A343" t="s">
        <v>67</v>
      </c>
      <c r="B343" t="s">
        <v>243</v>
      </c>
      <c r="C343">
        <v>5</v>
      </c>
      <c r="D343" t="s">
        <v>111</v>
      </c>
      <c r="E343" t="s">
        <v>114</v>
      </c>
      <c r="F343" t="s">
        <v>113</v>
      </c>
      <c r="G343">
        <v>3.6119903101666302E-2</v>
      </c>
      <c r="H343">
        <v>3E+20</v>
      </c>
      <c r="I343">
        <v>0</v>
      </c>
      <c r="J343">
        <v>1</v>
      </c>
      <c r="K343">
        <v>0</v>
      </c>
      <c r="L343">
        <v>0</v>
      </c>
      <c r="M343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343" cm="1">
        <f t="array" ref="N343">MAX(IF((ProjectInfoTable[ProjectName]=ContinuousStatsTable[[#This Row],[ProjectName]]),(ProjectInfoTable[ProjectName]=ContinuousStatsTable[[#This Row],[ProjectName]])*ProjectInfoTable[NumberOfReplications]))</f>
        <v>10</v>
      </c>
      <c r="O343" cm="1">
        <f t="array" ref="O343">IFERROR(AVERAGE(IF((ContinuousStatsTable[GroupByKey]=ContinuousStatsTable[[#This Row],[GroupByKey]]),(ContinuousStatsTable[GroupByKey]=ContinuousStatsTable[[#This Row],[GroupByKey]])*ContinuousStatsTable[Average])),0)</f>
        <v>3.6074566243937005E-2</v>
      </c>
      <c r="P343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6.6761681626785268E-5</v>
      </c>
      <c r="Q343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4.7758430005935684E-5</v>
      </c>
      <c r="S343" cm="1">
        <f t="array" ref="S343">MIN(IF((ContinuousStatsTable[GroupByKey]=ContinuousStatsTable[[#This Row],[GroupByKey]]),(ContinuousStatsTable[GroupByKey]=ContinuousStatsTable[[#This Row],[GroupByKey]])*ContinuousStatsTable[Average]))</f>
        <v>3.5941735992799297E-2</v>
      </c>
      <c r="T343" cm="1">
        <f t="array" ref="T343">MAX(IF((ContinuousStatsTable[GroupByKey]=ContinuousStatsTable[[#This Row],[GroupByKey]]),(ContinuousStatsTable[GroupByKey]=ContinuousStatsTable[[#This Row],[GroupByKey]])*ContinuousStatsTable[Average]))</f>
        <v>3.6177689828441002E-2</v>
      </c>
      <c r="U343">
        <f>IF((ContinuousStatsTable[[#This Row],[RepsRequested]]&gt;1),ContinuousStatsTable[[#This Row],[HalfWidth]],ContinuousStatsTable[[#This Row],[BatchMeansHalfWidth]])</f>
        <v>4.7758430005935684E-5</v>
      </c>
    </row>
    <row r="344" spans="1:21" x14ac:dyDescent="0.25">
      <c r="A344" t="s">
        <v>67</v>
      </c>
      <c r="B344" t="s">
        <v>243</v>
      </c>
      <c r="C344">
        <v>5</v>
      </c>
      <c r="D344" t="s">
        <v>111</v>
      </c>
      <c r="E344" t="s">
        <v>115</v>
      </c>
      <c r="F344" t="s">
        <v>113</v>
      </c>
      <c r="G344">
        <v>0.476190476190476</v>
      </c>
      <c r="H344">
        <v>2E+20</v>
      </c>
      <c r="I344">
        <v>0</v>
      </c>
      <c r="J344">
        <v>1</v>
      </c>
      <c r="K344">
        <v>0</v>
      </c>
      <c r="L344">
        <v>0</v>
      </c>
      <c r="M344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344" cm="1">
        <f t="array" ref="N344">MAX(IF((ProjectInfoTable[ProjectName]=ContinuousStatsTable[[#This Row],[ProjectName]]),(ProjectInfoTable[ProjectName]=ContinuousStatsTable[[#This Row],[ProjectName]])*ProjectInfoTable[NumberOfReplications]))</f>
        <v>10</v>
      </c>
      <c r="O344" cm="1">
        <f t="array" ref="O34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44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cm="1">
        <f t="array" ref="S344">MIN(IF((ContinuousStatsTable[GroupByKey]=ContinuousStatsTable[[#This Row],[GroupByKey]]),(ContinuousStatsTable[GroupByKey]=ContinuousStatsTable[[#This Row],[GroupByKey]])*ContinuousStatsTable[Average]))</f>
        <v>0.476190476190476</v>
      </c>
      <c r="T344" cm="1">
        <f t="array" ref="T344">MAX(IF((ContinuousStatsTable[GroupByKey]=ContinuousStatsTable[[#This Row],[GroupByKey]]),(ContinuousStatsTable[GroupByKey]=ContinuousStatsTable[[#This Row],[GroupByKey]])*ContinuousStatsTable[Average]))</f>
        <v>0.476190476190476</v>
      </c>
      <c r="U344">
        <f>IF((ContinuousStatsTable[[#This Row],[RepsRequested]]&gt;1),ContinuousStatsTable[[#This Row],[HalfWidth]],ContinuousStatsTable[[#This Row],[BatchMeansHalfWidth]])</f>
        <v>0</v>
      </c>
    </row>
    <row r="345" spans="1:21" x14ac:dyDescent="0.25">
      <c r="A345" t="s">
        <v>67</v>
      </c>
      <c r="B345" t="s">
        <v>243</v>
      </c>
      <c r="C345">
        <v>5</v>
      </c>
      <c r="D345" t="s">
        <v>70</v>
      </c>
      <c r="E345" t="s">
        <v>116</v>
      </c>
      <c r="F345" t="s">
        <v>71</v>
      </c>
      <c r="G345">
        <v>1.7016667348007899</v>
      </c>
      <c r="H345">
        <v>3E+20</v>
      </c>
      <c r="I345">
        <v>0</v>
      </c>
      <c r="J345">
        <v>5</v>
      </c>
      <c r="K345">
        <v>3</v>
      </c>
      <c r="L345">
        <v>0</v>
      </c>
      <c r="M345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345" cm="1">
        <f t="array" ref="N345">MAX(IF((ProjectInfoTable[ProjectName]=ContinuousStatsTable[[#This Row],[ProjectName]]),(ProjectInfoTable[ProjectName]=ContinuousStatsTable[[#This Row],[ProjectName]])*ProjectInfoTable[NumberOfReplications]))</f>
        <v>10</v>
      </c>
      <c r="O345" cm="1">
        <f t="array" ref="O345">IFERROR(AVERAGE(IF((ContinuousStatsTable[GroupByKey]=ContinuousStatsTable[[#This Row],[GroupByKey]]),(ContinuousStatsTable[GroupByKey]=ContinuousStatsTable[[#This Row],[GroupByKey]])*ContinuousStatsTable[Average])),0)</f>
        <v>1.983224619189873</v>
      </c>
      <c r="P34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0.29990249131557767</v>
      </c>
      <c r="Q34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0.21453731828040576</v>
      </c>
      <c r="S345" cm="1">
        <f t="array" ref="S345">MIN(IF((ContinuousStatsTable[GroupByKey]=ContinuousStatsTable[[#This Row],[GroupByKey]]),(ContinuousStatsTable[GroupByKey]=ContinuousStatsTable[[#This Row],[GroupByKey]])*ContinuousStatsTable[Average]))</f>
        <v>1.4478959937017499</v>
      </c>
      <c r="T345" cm="1">
        <f t="array" ref="T345">MAX(IF((ContinuousStatsTable[GroupByKey]=ContinuousStatsTable[[#This Row],[GroupByKey]]),(ContinuousStatsTable[GroupByKey]=ContinuousStatsTable[[#This Row],[GroupByKey]])*ContinuousStatsTable[Average]))</f>
        <v>2.3267973127516899</v>
      </c>
      <c r="U345">
        <f>IF((ContinuousStatsTable[[#This Row],[RepsRequested]]&gt;1),ContinuousStatsTable[[#This Row],[HalfWidth]],ContinuousStatsTable[[#This Row],[BatchMeansHalfWidth]])</f>
        <v>0.21453731828040576</v>
      </c>
    </row>
    <row r="346" spans="1:21" x14ac:dyDescent="0.25">
      <c r="A346" t="s">
        <v>67</v>
      </c>
      <c r="B346" t="s">
        <v>243</v>
      </c>
      <c r="C346">
        <v>5</v>
      </c>
      <c r="D346" t="s">
        <v>73</v>
      </c>
      <c r="E346" t="s">
        <v>116</v>
      </c>
      <c r="F346" t="s">
        <v>71</v>
      </c>
      <c r="G346">
        <v>0.51744525079276404</v>
      </c>
      <c r="H346">
        <v>3E+20</v>
      </c>
      <c r="I346">
        <v>0</v>
      </c>
      <c r="J346">
        <v>2</v>
      </c>
      <c r="K346">
        <v>1</v>
      </c>
      <c r="L346">
        <v>0</v>
      </c>
      <c r="M346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346" cm="1">
        <f t="array" ref="N346">MAX(IF((ProjectInfoTable[ProjectName]=ContinuousStatsTable[[#This Row],[ProjectName]]),(ProjectInfoTable[ProjectName]=ContinuousStatsTable[[#This Row],[ProjectName]])*ProjectInfoTable[NumberOfReplications]))</f>
        <v>10</v>
      </c>
      <c r="O346" cm="1">
        <f t="array" ref="O346">IFERROR(AVERAGE(IF((ContinuousStatsTable[GroupByKey]=ContinuousStatsTable[[#This Row],[GroupByKey]]),(ContinuousStatsTable[GroupByKey]=ContinuousStatsTable[[#This Row],[GroupByKey]])*ContinuousStatsTable[Average])),0)</f>
        <v>0.47900820660242172</v>
      </c>
      <c r="P346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0.13717282935395095</v>
      </c>
      <c r="Q346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9.8127530789884315E-2</v>
      </c>
      <c r="S346" cm="1">
        <f t="array" ref="S346">MIN(IF((ContinuousStatsTable[GroupByKey]=ContinuousStatsTable[[#This Row],[GroupByKey]]),(ContinuousStatsTable[GroupByKey]=ContinuousStatsTable[[#This Row],[GroupByKey]])*ContinuousStatsTable[Average]))</f>
        <v>0.25584390949740998</v>
      </c>
      <c r="T346" cm="1">
        <f t="array" ref="T346">MAX(IF((ContinuousStatsTable[GroupByKey]=ContinuousStatsTable[[#This Row],[GroupByKey]]),(ContinuousStatsTable[GroupByKey]=ContinuousStatsTable[[#This Row],[GroupByKey]])*ContinuousStatsTable[Average]))</f>
        <v>0.66613303676888702</v>
      </c>
      <c r="U346">
        <f>IF((ContinuousStatsTable[[#This Row],[RepsRequested]]&gt;1),ContinuousStatsTable[[#This Row],[HalfWidth]],ContinuousStatsTable[[#This Row],[BatchMeansHalfWidth]])</f>
        <v>9.8127530789884315E-2</v>
      </c>
    </row>
    <row r="347" spans="1:21" x14ac:dyDescent="0.25">
      <c r="A347" t="s">
        <v>67</v>
      </c>
      <c r="B347" t="s">
        <v>243</v>
      </c>
      <c r="C347">
        <v>5</v>
      </c>
      <c r="D347" t="s">
        <v>74</v>
      </c>
      <c r="E347" t="s">
        <v>116</v>
      </c>
      <c r="F347" t="s">
        <v>71</v>
      </c>
      <c r="G347">
        <v>0.35088653072228099</v>
      </c>
      <c r="H347">
        <v>3E+20</v>
      </c>
      <c r="I347">
        <v>0</v>
      </c>
      <c r="J347">
        <v>2</v>
      </c>
      <c r="K347">
        <v>1</v>
      </c>
      <c r="L347">
        <v>0</v>
      </c>
      <c r="M347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347" cm="1">
        <f t="array" ref="N347">MAX(IF((ProjectInfoTable[ProjectName]=ContinuousStatsTable[[#This Row],[ProjectName]]),(ProjectInfoTable[ProjectName]=ContinuousStatsTable[[#This Row],[ProjectName]])*ProjectInfoTable[NumberOfReplications]))</f>
        <v>10</v>
      </c>
      <c r="O347" cm="1">
        <f t="array" ref="O347">IFERROR(AVERAGE(IF((ContinuousStatsTable[GroupByKey]=ContinuousStatsTable[[#This Row],[GroupByKey]]),(ContinuousStatsTable[GroupByKey]=ContinuousStatsTable[[#This Row],[GroupByKey]])*ContinuousStatsTable[Average])),0)</f>
        <v>0.41775820490048837</v>
      </c>
      <c r="P347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0.15099462697666188</v>
      </c>
      <c r="Q347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0.1080150491722195</v>
      </c>
      <c r="S347" cm="1">
        <f t="array" ref="S347">MIN(IF((ContinuousStatsTable[GroupByKey]=ContinuousStatsTable[[#This Row],[GroupByKey]]),(ContinuousStatsTable[GroupByKey]=ContinuousStatsTable[[#This Row],[GroupByKey]])*ContinuousStatsTable[Average]))</f>
        <v>0.25632285648643699</v>
      </c>
      <c r="T347" cm="1">
        <f t="array" ref="T347">MAX(IF((ContinuousStatsTable[GroupByKey]=ContinuousStatsTable[[#This Row],[GroupByKey]]),(ContinuousStatsTable[GroupByKey]=ContinuousStatsTable[[#This Row],[GroupByKey]])*ContinuousStatsTable[Average]))</f>
        <v>0.68422762922173497</v>
      </c>
      <c r="U347">
        <f>IF((ContinuousStatsTable[[#This Row],[RepsRequested]]&gt;1),ContinuousStatsTable[[#This Row],[HalfWidth]],ContinuousStatsTable[[#This Row],[BatchMeansHalfWidth]])</f>
        <v>0.1080150491722195</v>
      </c>
    </row>
    <row r="348" spans="1:21" x14ac:dyDescent="0.25">
      <c r="A348" t="s">
        <v>67</v>
      </c>
      <c r="B348" t="s">
        <v>243</v>
      </c>
      <c r="C348">
        <v>5</v>
      </c>
      <c r="D348" t="s">
        <v>75</v>
      </c>
      <c r="E348" t="s">
        <v>117</v>
      </c>
      <c r="F348" t="s">
        <v>76</v>
      </c>
      <c r="G348">
        <v>15.7509497843433</v>
      </c>
      <c r="H348">
        <v>2E+20</v>
      </c>
      <c r="I348">
        <v>0</v>
      </c>
      <c r="J348">
        <v>113</v>
      </c>
      <c r="K348">
        <v>0</v>
      </c>
      <c r="L348">
        <v>0</v>
      </c>
      <c r="M348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48" cm="1">
        <f t="array" ref="N348">MAX(IF((ProjectInfoTable[ProjectName]=ContinuousStatsTable[[#This Row],[ProjectName]]),(ProjectInfoTable[ProjectName]=ContinuousStatsTable[[#This Row],[ProjectName]])*ProjectInfoTable[NumberOfReplications]))</f>
        <v>10</v>
      </c>
      <c r="O348" cm="1">
        <f t="array" ref="O348">IFERROR(AVERAGE(IF((ContinuousStatsTable[GroupByKey]=ContinuousStatsTable[[#This Row],[GroupByKey]]),(ContinuousStatsTable[GroupByKey]=ContinuousStatsTable[[#This Row],[GroupByKey]])*ContinuousStatsTable[Average])),0)</f>
        <v>17.583529006307167</v>
      </c>
      <c r="P348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4.1660214616007023</v>
      </c>
      <c r="Q348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2.9801922229780646</v>
      </c>
      <c r="S348" cm="1">
        <f t="array" ref="S348">MIN(IF((ContinuousStatsTable[GroupByKey]=ContinuousStatsTable[[#This Row],[GroupByKey]]),(ContinuousStatsTable[GroupByKey]=ContinuousStatsTable[[#This Row],[GroupByKey]])*ContinuousStatsTable[Average]))</f>
        <v>10.842462759184199</v>
      </c>
      <c r="T348" cm="1">
        <f t="array" ref="T348">MAX(IF((ContinuousStatsTable[GroupByKey]=ContinuousStatsTable[[#This Row],[GroupByKey]]),(ContinuousStatsTable[GroupByKey]=ContinuousStatsTable[[#This Row],[GroupByKey]])*ContinuousStatsTable[Average]))</f>
        <v>25.8699848535447</v>
      </c>
      <c r="U348">
        <f>IF((ContinuousStatsTable[[#This Row],[RepsRequested]]&gt;1),ContinuousStatsTable[[#This Row],[HalfWidth]],ContinuousStatsTable[[#This Row],[BatchMeansHalfWidth]])</f>
        <v>2.9801922229780646</v>
      </c>
    </row>
    <row r="349" spans="1:21" x14ac:dyDescent="0.25">
      <c r="A349" t="s">
        <v>67</v>
      </c>
      <c r="B349" t="s">
        <v>243</v>
      </c>
      <c r="C349">
        <v>5</v>
      </c>
      <c r="D349" t="s">
        <v>118</v>
      </c>
      <c r="E349" t="s">
        <v>117</v>
      </c>
      <c r="F349" t="s">
        <v>76</v>
      </c>
      <c r="G349">
        <v>90.5623527266374</v>
      </c>
      <c r="H349">
        <v>3E+20</v>
      </c>
      <c r="I349">
        <v>0</v>
      </c>
      <c r="J349">
        <v>182</v>
      </c>
      <c r="K349">
        <v>182</v>
      </c>
      <c r="L349">
        <v>0</v>
      </c>
      <c r="M349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49" cm="1">
        <f t="array" ref="N349">MAX(IF((ProjectInfoTable[ProjectName]=ContinuousStatsTable[[#This Row],[ProjectName]]),(ProjectInfoTable[ProjectName]=ContinuousStatsTable[[#This Row],[ProjectName]])*ProjectInfoTable[NumberOfReplications]))</f>
        <v>10</v>
      </c>
      <c r="O349" cm="1">
        <f t="array" ref="O349">IFERROR(AVERAGE(IF((ContinuousStatsTable[GroupByKey]=ContinuousStatsTable[[#This Row],[GroupByKey]]),(ContinuousStatsTable[GroupByKey]=ContinuousStatsTable[[#This Row],[GroupByKey]])*ContinuousStatsTable[Average])),0)</f>
        <v>95.041511376368575</v>
      </c>
      <c r="P349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6.556289254191463</v>
      </c>
      <c r="Q349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4.6900867955271215</v>
      </c>
      <c r="S349" cm="1">
        <f t="array" ref="S349">MIN(IF((ContinuousStatsTable[GroupByKey]=ContinuousStatsTable[[#This Row],[GroupByKey]]),(ContinuousStatsTable[GroupByKey]=ContinuousStatsTable[[#This Row],[GroupByKey]])*ContinuousStatsTable[Average]))</f>
        <v>81.860988802888798</v>
      </c>
      <c r="T349" cm="1">
        <f t="array" ref="T349">MAX(IF((ContinuousStatsTable[GroupByKey]=ContinuousStatsTable[[#This Row],[GroupByKey]]),(ContinuousStatsTable[GroupByKey]=ContinuousStatsTable[[#This Row],[GroupByKey]])*ContinuousStatsTable[Average]))</f>
        <v>104.034812219697</v>
      </c>
      <c r="U349">
        <f>IF((ContinuousStatsTable[[#This Row],[RepsRequested]]&gt;1),ContinuousStatsTable[[#This Row],[HalfWidth]],ContinuousStatsTable[[#This Row],[BatchMeansHalfWidth]])</f>
        <v>4.6900867955271215</v>
      </c>
    </row>
    <row r="350" spans="1:21" x14ac:dyDescent="0.25">
      <c r="A350" t="s">
        <v>67</v>
      </c>
      <c r="B350" t="s">
        <v>243</v>
      </c>
      <c r="C350">
        <v>5</v>
      </c>
      <c r="D350" t="s">
        <v>119</v>
      </c>
      <c r="E350" t="s">
        <v>117</v>
      </c>
      <c r="F350" t="s">
        <v>76</v>
      </c>
      <c r="G350">
        <v>981.11437840867598</v>
      </c>
      <c r="H350">
        <v>3E+20</v>
      </c>
      <c r="I350">
        <v>0</v>
      </c>
      <c r="J350">
        <v>1881</v>
      </c>
      <c r="K350">
        <v>1881</v>
      </c>
      <c r="L350">
        <v>0</v>
      </c>
      <c r="M350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350" cm="1">
        <f t="array" ref="N350">MAX(IF((ProjectInfoTable[ProjectName]=ContinuousStatsTable[[#This Row],[ProjectName]]),(ProjectInfoTable[ProjectName]=ContinuousStatsTable[[#This Row],[ProjectName]])*ProjectInfoTable[NumberOfReplications]))</f>
        <v>10</v>
      </c>
      <c r="O350" cm="1">
        <f t="array" ref="O350">IFERROR(AVERAGE(IF((ContinuousStatsTable[GroupByKey]=ContinuousStatsTable[[#This Row],[GroupByKey]]),(ContinuousStatsTable[GroupByKey]=ContinuousStatsTable[[#This Row],[GroupByKey]])*ContinuousStatsTable[Average])),0)</f>
        <v>959.25249800465133</v>
      </c>
      <c r="P350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16.228386811509871</v>
      </c>
      <c r="Q350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11.609088578376843</v>
      </c>
      <c r="S350" cm="1">
        <f t="array" ref="S350">MIN(IF((ContinuousStatsTable[GroupByKey]=ContinuousStatsTable[[#This Row],[GroupByKey]]),(ContinuousStatsTable[GroupByKey]=ContinuousStatsTable[[#This Row],[GroupByKey]])*ContinuousStatsTable[Average]))</f>
        <v>935.21729677519602</v>
      </c>
      <c r="T350" cm="1">
        <f t="array" ref="T350">MAX(IF((ContinuousStatsTable[GroupByKey]=ContinuousStatsTable[[#This Row],[GroupByKey]]),(ContinuousStatsTable[GroupByKey]=ContinuousStatsTable[[#This Row],[GroupByKey]])*ContinuousStatsTable[Average]))</f>
        <v>986.61029939527498</v>
      </c>
      <c r="U350">
        <f>IF((ContinuousStatsTable[[#This Row],[RepsRequested]]&gt;1),ContinuousStatsTable[[#This Row],[HalfWidth]],ContinuousStatsTable[[#This Row],[BatchMeansHalfWidth]])</f>
        <v>11.609088578376843</v>
      </c>
    </row>
    <row r="351" spans="1:21" x14ac:dyDescent="0.25">
      <c r="A351" t="s">
        <v>67</v>
      </c>
      <c r="B351" t="s">
        <v>243</v>
      </c>
      <c r="C351">
        <v>5</v>
      </c>
      <c r="D351" t="s">
        <v>120</v>
      </c>
      <c r="E351" t="s">
        <v>117</v>
      </c>
      <c r="F351" t="s">
        <v>76</v>
      </c>
      <c r="G351">
        <v>4201.3397050952899</v>
      </c>
      <c r="H351">
        <v>3E+20</v>
      </c>
      <c r="I351">
        <v>0</v>
      </c>
      <c r="J351">
        <v>8096</v>
      </c>
      <c r="K351">
        <v>8096</v>
      </c>
      <c r="L351">
        <v>0</v>
      </c>
      <c r="M351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351" cm="1">
        <f t="array" ref="N351">MAX(IF((ProjectInfoTable[ProjectName]=ContinuousStatsTable[[#This Row],[ProjectName]]),(ProjectInfoTable[ProjectName]=ContinuousStatsTable[[#This Row],[ProjectName]])*ProjectInfoTable[NumberOfReplications]))</f>
        <v>10</v>
      </c>
      <c r="O351" cm="1">
        <f t="array" ref="O351">IFERROR(AVERAGE(IF((ContinuousStatsTable[GroupByKey]=ContinuousStatsTable[[#This Row],[GroupByKey]]),(ContinuousStatsTable[GroupByKey]=ContinuousStatsTable[[#This Row],[GroupByKey]])*ContinuousStatsTable[Average])),0)</f>
        <v>4203.5615331875215</v>
      </c>
      <c r="P351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17.695322227060075</v>
      </c>
      <c r="Q351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12.658470958503626</v>
      </c>
      <c r="S351" cm="1">
        <f t="array" ref="S351">MIN(IF((ContinuousStatsTable[GroupByKey]=ContinuousStatsTable[[#This Row],[GroupByKey]]),(ContinuousStatsTable[GroupByKey]=ContinuousStatsTable[[#This Row],[GroupByKey]])*ContinuousStatsTable[Average]))</f>
        <v>4170.1494074333395</v>
      </c>
      <c r="T351" cm="1">
        <f t="array" ref="T351">MAX(IF((ContinuousStatsTable[GroupByKey]=ContinuousStatsTable[[#This Row],[GroupByKey]]),(ContinuousStatsTable[GroupByKey]=ContinuousStatsTable[[#This Row],[GroupByKey]])*ContinuousStatsTable[Average]))</f>
        <v>4233.0569788620896</v>
      </c>
      <c r="U351">
        <f>IF((ContinuousStatsTable[[#This Row],[RepsRequested]]&gt;1),ContinuousStatsTable[[#This Row],[HalfWidth]],ContinuousStatsTable[[#This Row],[BatchMeansHalfWidth]])</f>
        <v>12.658470958503626</v>
      </c>
    </row>
    <row r="352" spans="1:21" x14ac:dyDescent="0.25">
      <c r="A352" t="s">
        <v>67</v>
      </c>
      <c r="B352" t="s">
        <v>243</v>
      </c>
      <c r="C352">
        <v>5</v>
      </c>
      <c r="D352" t="s">
        <v>121</v>
      </c>
      <c r="E352" t="s">
        <v>112</v>
      </c>
      <c r="F352" t="s">
        <v>113</v>
      </c>
      <c r="G352">
        <v>0.43353510935495398</v>
      </c>
      <c r="H352">
        <v>3E+20</v>
      </c>
      <c r="I352">
        <v>0</v>
      </c>
      <c r="J352">
        <v>0.75</v>
      </c>
      <c r="K352">
        <v>0.75</v>
      </c>
      <c r="L352">
        <v>0</v>
      </c>
      <c r="M352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352" cm="1">
        <f t="array" ref="N352">MAX(IF((ProjectInfoTable[ProjectName]=ContinuousStatsTable[[#This Row],[ProjectName]]),(ProjectInfoTable[ProjectName]=ContinuousStatsTable[[#This Row],[ProjectName]])*ProjectInfoTable[NumberOfReplications]))</f>
        <v>10</v>
      </c>
      <c r="O352" cm="1">
        <f t="array" ref="O352">IFERROR(AVERAGE(IF((ContinuousStatsTable[GroupByKey]=ContinuousStatsTable[[#This Row],[GroupByKey]]),(ContinuousStatsTable[GroupByKey]=ContinuousStatsTable[[#This Row],[GroupByKey]])*ContinuousStatsTable[Average])),0)</f>
        <v>0.48160620907873086</v>
      </c>
      <c r="P352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8.6686321722355061E-2</v>
      </c>
      <c r="Q352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6.2011658897281531E-2</v>
      </c>
      <c r="S352" cm="1">
        <f t="array" ref="S352">MIN(IF((ContinuousStatsTable[GroupByKey]=ContinuousStatsTable[[#This Row],[GroupByKey]]),(ContinuousStatsTable[GroupByKey]=ContinuousStatsTable[[#This Row],[GroupByKey]])*ContinuousStatsTable[Average]))</f>
        <v>0.292184201252493</v>
      </c>
      <c r="T352" cm="1">
        <f t="array" ref="T352">MAX(IF((ContinuousStatsTable[GroupByKey]=ContinuousStatsTable[[#This Row],[GroupByKey]]),(ContinuousStatsTable[GroupByKey]=ContinuousStatsTable[[#This Row],[GroupByKey]])*ContinuousStatsTable[Average]))</f>
        <v>0.57167989674475905</v>
      </c>
      <c r="U352">
        <f>IF((ContinuousStatsTable[[#This Row],[RepsRequested]]&gt;1),ContinuousStatsTable[[#This Row],[HalfWidth]],ContinuousStatsTable[[#This Row],[BatchMeansHalfWidth]])</f>
        <v>6.2011658897281531E-2</v>
      </c>
    </row>
    <row r="353" spans="1:21" x14ac:dyDescent="0.25">
      <c r="A353" t="s">
        <v>67</v>
      </c>
      <c r="B353" t="s">
        <v>243</v>
      </c>
      <c r="C353">
        <v>5</v>
      </c>
      <c r="D353" t="s">
        <v>121</v>
      </c>
      <c r="E353" t="s">
        <v>114</v>
      </c>
      <c r="F353" t="s">
        <v>113</v>
      </c>
      <c r="G353">
        <v>1.7341404374198199</v>
      </c>
      <c r="H353">
        <v>3E+20</v>
      </c>
      <c r="I353">
        <v>0</v>
      </c>
      <c r="J353">
        <v>3</v>
      </c>
      <c r="K353">
        <v>3</v>
      </c>
      <c r="L353">
        <v>0</v>
      </c>
      <c r="M353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353" cm="1">
        <f t="array" ref="N353">MAX(IF((ProjectInfoTable[ProjectName]=ContinuousStatsTable[[#This Row],[ProjectName]]),(ProjectInfoTable[ProjectName]=ContinuousStatsTable[[#This Row],[ProjectName]])*ProjectInfoTable[NumberOfReplications]))</f>
        <v>10</v>
      </c>
      <c r="O353" cm="1">
        <f t="array" ref="O353">IFERROR(AVERAGE(IF((ContinuousStatsTable[GroupByKey]=ContinuousStatsTable[[#This Row],[GroupByKey]]),(ContinuousStatsTable[GroupByKey]=ContinuousStatsTable[[#This Row],[GroupByKey]])*ContinuousStatsTable[Average])),0)</f>
        <v>1.9264248363149217</v>
      </c>
      <c r="P353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0.34674528688941914</v>
      </c>
      <c r="Q353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0.24804663558912532</v>
      </c>
      <c r="S353" cm="1">
        <f t="array" ref="S353">MIN(IF((ContinuousStatsTable[GroupByKey]=ContinuousStatsTable[[#This Row],[GroupByKey]]),(ContinuousStatsTable[GroupByKey]=ContinuousStatsTable[[#This Row],[GroupByKey]])*ContinuousStatsTable[Average]))</f>
        <v>1.16873680500997</v>
      </c>
      <c r="T353" cm="1">
        <f t="array" ref="T353">MAX(IF((ContinuousStatsTable[GroupByKey]=ContinuousStatsTable[[#This Row],[GroupByKey]]),(ContinuousStatsTable[GroupByKey]=ContinuousStatsTable[[#This Row],[GroupByKey]])*ContinuousStatsTable[Average]))</f>
        <v>2.28671958697903</v>
      </c>
      <c r="U353">
        <f>IF((ContinuousStatsTable[[#This Row],[RepsRequested]]&gt;1),ContinuousStatsTable[[#This Row],[HalfWidth]],ContinuousStatsTable[[#This Row],[BatchMeansHalfWidth]])</f>
        <v>0.24804663558912532</v>
      </c>
    </row>
    <row r="354" spans="1:21" x14ac:dyDescent="0.25">
      <c r="A354" t="s">
        <v>67</v>
      </c>
      <c r="B354" t="s">
        <v>243</v>
      </c>
      <c r="C354">
        <v>5</v>
      </c>
      <c r="D354" t="s">
        <v>121</v>
      </c>
      <c r="E354" t="s">
        <v>115</v>
      </c>
      <c r="F354" t="s">
        <v>113</v>
      </c>
      <c r="G354">
        <v>4</v>
      </c>
      <c r="H354">
        <v>2E+20</v>
      </c>
      <c r="I354">
        <v>4</v>
      </c>
      <c r="J354">
        <v>4</v>
      </c>
      <c r="K354">
        <v>4</v>
      </c>
      <c r="L354">
        <v>0</v>
      </c>
      <c r="M354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354" cm="1">
        <f t="array" ref="N354">MAX(IF((ProjectInfoTable[ProjectName]=ContinuousStatsTable[[#This Row],[ProjectName]]),(ProjectInfoTable[ProjectName]=ContinuousStatsTable[[#This Row],[ProjectName]])*ProjectInfoTable[NumberOfReplications]))</f>
        <v>10</v>
      </c>
      <c r="O354" cm="1">
        <f t="array" ref="O354">IFERROR(AVERAGE(IF((ContinuousStatsTable[GroupByKey]=ContinuousStatsTable[[#This Row],[GroupByKey]]),(ContinuousStatsTable[GroupByKey]=ContinuousStatsTable[[#This Row],[GroupByKey]])*ContinuousStatsTable[Average])),0)</f>
        <v>4</v>
      </c>
      <c r="P354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</v>
      </c>
      <c r="Q354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4" cm="1">
        <f t="array" ref="S354">MIN(IF((ContinuousStatsTable[GroupByKey]=ContinuousStatsTable[[#This Row],[GroupByKey]]),(ContinuousStatsTable[GroupByKey]=ContinuousStatsTable[[#This Row],[GroupByKey]])*ContinuousStatsTable[Average]))</f>
        <v>4</v>
      </c>
      <c r="T354" cm="1">
        <f t="array" ref="T354">MAX(IF((ContinuousStatsTable[GroupByKey]=ContinuousStatsTable[[#This Row],[GroupByKey]]),(ContinuousStatsTable[GroupByKey]=ContinuousStatsTable[[#This Row],[GroupByKey]])*ContinuousStatsTable[Average]))</f>
        <v>4</v>
      </c>
      <c r="U354">
        <f>IF((ContinuousStatsTable[[#This Row],[RepsRequested]]&gt;1),ContinuousStatsTable[[#This Row],[HalfWidth]],ContinuousStatsTable[[#This Row],[BatchMeansHalfWidth]])</f>
        <v>0</v>
      </c>
    </row>
    <row r="355" spans="1:21" x14ac:dyDescent="0.25">
      <c r="A355" t="s">
        <v>67</v>
      </c>
      <c r="B355" t="s">
        <v>243</v>
      </c>
      <c r="C355">
        <v>5</v>
      </c>
      <c r="D355" t="s">
        <v>122</v>
      </c>
      <c r="E355" t="s">
        <v>112</v>
      </c>
      <c r="F355" t="s">
        <v>113</v>
      </c>
      <c r="G355">
        <v>0.23696449062414701</v>
      </c>
      <c r="H355">
        <v>3E+20</v>
      </c>
      <c r="I355">
        <v>0</v>
      </c>
      <c r="J355">
        <v>1</v>
      </c>
      <c r="K355">
        <v>0</v>
      </c>
      <c r="L355">
        <v>0</v>
      </c>
      <c r="M355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355" cm="1">
        <f t="array" ref="N355">MAX(IF((ProjectInfoTable[ProjectName]=ContinuousStatsTable[[#This Row],[ProjectName]]),(ProjectInfoTable[ProjectName]=ContinuousStatsTable[[#This Row],[ProjectName]])*ProjectInfoTable[NumberOfReplications]))</f>
        <v>10</v>
      </c>
      <c r="O355" cm="1">
        <f t="array" ref="O355">IFERROR(AVERAGE(IF((ContinuousStatsTable[GroupByKey]=ContinuousStatsTable[[#This Row],[GroupByKey]]),(ContinuousStatsTable[GroupByKey]=ContinuousStatsTable[[#This Row],[GroupByKey]])*ContinuousStatsTable[Average])),0)</f>
        <v>0.25269289312392118</v>
      </c>
      <c r="P35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4.9214010083081669E-2</v>
      </c>
      <c r="Q35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3.5205581983442397E-2</v>
      </c>
      <c r="S355" cm="1">
        <f t="array" ref="S355">MIN(IF((ContinuousStatsTable[GroupByKey]=ContinuousStatsTable[[#This Row],[GroupByKey]]),(ContinuousStatsTable[GroupByKey]=ContinuousStatsTable[[#This Row],[GroupByKey]])*ContinuousStatsTable[Average]))</f>
        <v>0.20500025225945401</v>
      </c>
      <c r="T355" cm="1">
        <f t="array" ref="T355">MAX(IF((ContinuousStatsTable[GroupByKey]=ContinuousStatsTable[[#This Row],[GroupByKey]]),(ContinuousStatsTable[GroupByKey]=ContinuousStatsTable[[#This Row],[GroupByKey]])*ContinuousStatsTable[Average]))</f>
        <v>0.33570777662711199</v>
      </c>
      <c r="U355">
        <f>IF((ContinuousStatsTable[[#This Row],[RepsRequested]]&gt;1),ContinuousStatsTable[[#This Row],[HalfWidth]],ContinuousStatsTable[[#This Row],[BatchMeansHalfWidth]])</f>
        <v>3.5205581983442397E-2</v>
      </c>
    </row>
    <row r="356" spans="1:21" x14ac:dyDescent="0.25">
      <c r="A356" t="s">
        <v>67</v>
      </c>
      <c r="B356" t="s">
        <v>243</v>
      </c>
      <c r="C356">
        <v>5</v>
      </c>
      <c r="D356" t="s">
        <v>122</v>
      </c>
      <c r="E356" t="s">
        <v>114</v>
      </c>
      <c r="F356" t="s">
        <v>113</v>
      </c>
      <c r="G356">
        <v>0.71089347187243801</v>
      </c>
      <c r="H356">
        <v>3E+20</v>
      </c>
      <c r="I356">
        <v>0</v>
      </c>
      <c r="J356">
        <v>3</v>
      </c>
      <c r="K356">
        <v>0</v>
      </c>
      <c r="L356">
        <v>0</v>
      </c>
      <c r="M356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356" cm="1">
        <f t="array" ref="N356">MAX(IF((ProjectInfoTable[ProjectName]=ContinuousStatsTable[[#This Row],[ProjectName]]),(ProjectInfoTable[ProjectName]=ContinuousStatsTable[[#This Row],[ProjectName]])*ProjectInfoTable[NumberOfReplications]))</f>
        <v>10</v>
      </c>
      <c r="O356" cm="1">
        <f t="array" ref="O356">IFERROR(AVERAGE(IF((ContinuousStatsTable[GroupByKey]=ContinuousStatsTable[[#This Row],[GroupByKey]]),(ContinuousStatsTable[GroupByKey]=ContinuousStatsTable[[#This Row],[GroupByKey]])*ContinuousStatsTable[Average])),0)</f>
        <v>0.75807867937176476</v>
      </c>
      <c r="P356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0.14764203024924766</v>
      </c>
      <c r="Q356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0.10561674595032908</v>
      </c>
      <c r="S356" cm="1">
        <f t="array" ref="S356">MIN(IF((ContinuousStatsTable[GroupByKey]=ContinuousStatsTable[[#This Row],[GroupByKey]]),(ContinuousStatsTable[GroupByKey]=ContinuousStatsTable[[#This Row],[GroupByKey]])*ContinuousStatsTable[Average]))</f>
        <v>0.61500075677836796</v>
      </c>
      <c r="T356" cm="1">
        <f t="array" ref="T356">MAX(IF((ContinuousStatsTable[GroupByKey]=ContinuousStatsTable[[#This Row],[GroupByKey]]),(ContinuousStatsTable[GroupByKey]=ContinuousStatsTable[[#This Row],[GroupByKey]])*ContinuousStatsTable[Average]))</f>
        <v>1.00712332988134</v>
      </c>
      <c r="U356">
        <f>IF((ContinuousStatsTable[[#This Row],[RepsRequested]]&gt;1),ContinuousStatsTable[[#This Row],[HalfWidth]],ContinuousStatsTable[[#This Row],[BatchMeansHalfWidth]])</f>
        <v>0.10561674595032908</v>
      </c>
    </row>
    <row r="357" spans="1:21" x14ac:dyDescent="0.25">
      <c r="A357" t="s">
        <v>67</v>
      </c>
      <c r="B357" t="s">
        <v>243</v>
      </c>
      <c r="C357">
        <v>5</v>
      </c>
      <c r="D357" t="s">
        <v>122</v>
      </c>
      <c r="E357" t="s">
        <v>115</v>
      </c>
      <c r="F357" t="s">
        <v>113</v>
      </c>
      <c r="G357">
        <v>3</v>
      </c>
      <c r="H357">
        <v>2E+20</v>
      </c>
      <c r="I357">
        <v>3</v>
      </c>
      <c r="J357">
        <v>3</v>
      </c>
      <c r="K357">
        <v>3</v>
      </c>
      <c r="L357">
        <v>0</v>
      </c>
      <c r="M357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357" cm="1">
        <f t="array" ref="N357">MAX(IF((ProjectInfoTable[ProjectName]=ContinuousStatsTable[[#This Row],[ProjectName]]),(ProjectInfoTable[ProjectName]=ContinuousStatsTable[[#This Row],[ProjectName]])*ProjectInfoTable[NumberOfReplications]))</f>
        <v>10</v>
      </c>
      <c r="O357" cm="1">
        <f t="array" ref="O357">IFERROR(AVERAGE(IF((ContinuousStatsTable[GroupByKey]=ContinuousStatsTable[[#This Row],[GroupByKey]]),(ContinuousStatsTable[GroupByKey]=ContinuousStatsTable[[#This Row],[GroupByKey]])*ContinuousStatsTable[Average])),0)</f>
        <v>3</v>
      </c>
      <c r="P357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cm="1">
        <f t="array" ref="S357">MIN(IF((ContinuousStatsTable[GroupByKey]=ContinuousStatsTable[[#This Row],[GroupByKey]]),(ContinuousStatsTable[GroupByKey]=ContinuousStatsTable[[#This Row],[GroupByKey]])*ContinuousStatsTable[Average]))</f>
        <v>3</v>
      </c>
      <c r="T357" cm="1">
        <f t="array" ref="T357">MAX(IF((ContinuousStatsTable[GroupByKey]=ContinuousStatsTable[[#This Row],[GroupByKey]]),(ContinuousStatsTable[GroupByKey]=ContinuousStatsTable[[#This Row],[GroupByKey]])*ContinuousStatsTable[Average]))</f>
        <v>3</v>
      </c>
      <c r="U357">
        <f>IF((ContinuousStatsTable[[#This Row],[RepsRequested]]&gt;1),ContinuousStatsTable[[#This Row],[HalfWidth]],ContinuousStatsTable[[#This Row],[BatchMeansHalfWidth]])</f>
        <v>0</v>
      </c>
    </row>
    <row r="358" spans="1:21" x14ac:dyDescent="0.25">
      <c r="A358" t="s">
        <v>67</v>
      </c>
      <c r="B358" t="s">
        <v>243</v>
      </c>
      <c r="C358">
        <v>5</v>
      </c>
      <c r="D358" t="s">
        <v>123</v>
      </c>
      <c r="E358" t="s">
        <v>112</v>
      </c>
      <c r="F358" t="s">
        <v>113</v>
      </c>
      <c r="G358">
        <v>0.151658430645773</v>
      </c>
      <c r="H358">
        <v>3E+20</v>
      </c>
      <c r="I358">
        <v>0</v>
      </c>
      <c r="J358">
        <v>0.66666666666666696</v>
      </c>
      <c r="K358">
        <v>0</v>
      </c>
      <c r="L358">
        <v>0</v>
      </c>
      <c r="M358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358" cm="1">
        <f t="array" ref="N358">MAX(IF((ProjectInfoTable[ProjectName]=ContinuousStatsTable[[#This Row],[ProjectName]]),(ProjectInfoTable[ProjectName]=ContinuousStatsTable[[#This Row],[ProjectName]])*ProjectInfoTable[NumberOfReplications]))</f>
        <v>10</v>
      </c>
      <c r="O358" cm="1">
        <f t="array" ref="O358">IFERROR(AVERAGE(IF((ContinuousStatsTable[GroupByKey]=ContinuousStatsTable[[#This Row],[GroupByKey]]),(ContinuousStatsTable[GroupByKey]=ContinuousStatsTable[[#This Row],[GroupByKey]])*ContinuousStatsTable[Average])),0)</f>
        <v>0.151561654865698</v>
      </c>
      <c r="P358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1.2198256688154243E-4</v>
      </c>
      <c r="Q358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8.7261071626739862E-5</v>
      </c>
      <c r="S358" cm="1">
        <f t="array" ref="S358">MIN(IF((ContinuousStatsTable[GroupByKey]=ContinuousStatsTable[[#This Row],[GroupByKey]]),(ContinuousStatsTable[GroupByKey]=ContinuousStatsTable[[#This Row],[GroupByKey]])*ContinuousStatsTable[Average]))</f>
        <v>0.15134711042770499</v>
      </c>
      <c r="T358" cm="1">
        <f t="array" ref="T358">MAX(IF((ContinuousStatsTable[GroupByKey]=ContinuousStatsTable[[#This Row],[GroupByKey]]),(ContinuousStatsTable[GroupByKey]=ContinuousStatsTable[[#This Row],[GroupByKey]])*ContinuousStatsTable[Average]))</f>
        <v>0.15172806047441101</v>
      </c>
      <c r="U358">
        <f>IF((ContinuousStatsTable[[#This Row],[RepsRequested]]&gt;1),ContinuousStatsTable[[#This Row],[HalfWidth]],ContinuousStatsTable[[#This Row],[BatchMeansHalfWidth]])</f>
        <v>8.7261071626739862E-5</v>
      </c>
    </row>
    <row r="359" spans="1:21" x14ac:dyDescent="0.25">
      <c r="A359" t="s">
        <v>67</v>
      </c>
      <c r="B359" t="s">
        <v>243</v>
      </c>
      <c r="C359">
        <v>5</v>
      </c>
      <c r="D359" t="s">
        <v>123</v>
      </c>
      <c r="E359" t="s">
        <v>114</v>
      </c>
      <c r="F359" t="s">
        <v>113</v>
      </c>
      <c r="G359">
        <v>0.45497529193731701</v>
      </c>
      <c r="H359">
        <v>3E+20</v>
      </c>
      <c r="I359">
        <v>0</v>
      </c>
      <c r="J359">
        <v>2</v>
      </c>
      <c r="K359">
        <v>0</v>
      </c>
      <c r="L359">
        <v>0</v>
      </c>
      <c r="M359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359" cm="1">
        <f t="array" ref="N359">MAX(IF((ProjectInfoTable[ProjectName]=ContinuousStatsTable[[#This Row],[ProjectName]]),(ProjectInfoTable[ProjectName]=ContinuousStatsTable[[#This Row],[ProjectName]])*ProjectInfoTable[NumberOfReplications]))</f>
        <v>10</v>
      </c>
      <c r="O359" cm="1">
        <f t="array" ref="O359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359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359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359" cm="1">
        <f t="array" ref="S359">MIN(IF((ContinuousStatsTable[GroupByKey]=ContinuousStatsTable[[#This Row],[GroupByKey]]),(ContinuousStatsTable[GroupByKey]=ContinuousStatsTable[[#This Row],[GroupByKey]])*ContinuousStatsTable[Average]))</f>
        <v>0.45404133128311103</v>
      </c>
      <c r="T359" cm="1">
        <f t="array" ref="T359">MAX(IF((ContinuousStatsTable[GroupByKey]=ContinuousStatsTable[[#This Row],[GroupByKey]]),(ContinuousStatsTable[GroupByKey]=ContinuousStatsTable[[#This Row],[GroupByKey]])*ContinuousStatsTable[Average]))</f>
        <v>0.45518418142323402</v>
      </c>
      <c r="U359">
        <f>IF((ContinuousStatsTable[[#This Row],[RepsRequested]]&gt;1),ContinuousStatsTable[[#This Row],[HalfWidth]],ContinuousStatsTable[[#This Row],[BatchMeansHalfWidth]])</f>
        <v>2.6178321488092363E-4</v>
      </c>
    </row>
    <row r="360" spans="1:21" x14ac:dyDescent="0.25">
      <c r="A360" t="s">
        <v>67</v>
      </c>
      <c r="B360" t="s">
        <v>243</v>
      </c>
      <c r="C360">
        <v>5</v>
      </c>
      <c r="D360" t="s">
        <v>123</v>
      </c>
      <c r="E360" t="s">
        <v>115</v>
      </c>
      <c r="F360" t="s">
        <v>113</v>
      </c>
      <c r="G360">
        <v>3</v>
      </c>
      <c r="H360">
        <v>2E+20</v>
      </c>
      <c r="I360">
        <v>3</v>
      </c>
      <c r="J360">
        <v>3</v>
      </c>
      <c r="K360">
        <v>3</v>
      </c>
      <c r="L360">
        <v>0</v>
      </c>
      <c r="M360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360" cm="1">
        <f t="array" ref="N360">MAX(IF((ProjectInfoTable[ProjectName]=ContinuousStatsTable[[#This Row],[ProjectName]]),(ProjectInfoTable[ProjectName]=ContinuousStatsTable[[#This Row],[ProjectName]])*ProjectInfoTable[NumberOfReplications]))</f>
        <v>10</v>
      </c>
      <c r="O360" cm="1">
        <f t="array" ref="O360">IFERROR(AVERAGE(IF((ContinuousStatsTable[GroupByKey]=ContinuousStatsTable[[#This Row],[GroupByKey]]),(ContinuousStatsTable[GroupByKey]=ContinuousStatsTable[[#This Row],[GroupByKey]])*ContinuousStatsTable[Average])),0)</f>
        <v>3</v>
      </c>
      <c r="P360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</v>
      </c>
      <c r="Q360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0" cm="1">
        <f t="array" ref="S360">MIN(IF((ContinuousStatsTable[GroupByKey]=ContinuousStatsTable[[#This Row],[GroupByKey]]),(ContinuousStatsTable[GroupByKey]=ContinuousStatsTable[[#This Row],[GroupByKey]])*ContinuousStatsTable[Average]))</f>
        <v>3</v>
      </c>
      <c r="T360" cm="1">
        <f t="array" ref="T360">MAX(IF((ContinuousStatsTable[GroupByKey]=ContinuousStatsTable[[#This Row],[GroupByKey]]),(ContinuousStatsTable[GroupByKey]=ContinuousStatsTable[[#This Row],[GroupByKey]])*ContinuousStatsTable[Average]))</f>
        <v>3</v>
      </c>
      <c r="U360">
        <f>IF((ContinuousStatsTable[[#This Row],[RepsRequested]]&gt;1),ContinuousStatsTable[[#This Row],[HalfWidth]],ContinuousStatsTable[[#This Row],[BatchMeansHalfWidth]])</f>
        <v>0</v>
      </c>
    </row>
    <row r="361" spans="1:21" x14ac:dyDescent="0.25">
      <c r="A361" t="s">
        <v>67</v>
      </c>
      <c r="B361" t="s">
        <v>243</v>
      </c>
      <c r="C361">
        <v>5</v>
      </c>
      <c r="D361" t="s">
        <v>124</v>
      </c>
      <c r="E361" t="s">
        <v>112</v>
      </c>
      <c r="F361" t="s">
        <v>113</v>
      </c>
      <c r="G361">
        <v>0.95234896906597499</v>
      </c>
      <c r="H361">
        <v>2E+20</v>
      </c>
      <c r="I361">
        <v>0</v>
      </c>
      <c r="J361">
        <v>1</v>
      </c>
      <c r="K361">
        <v>1</v>
      </c>
      <c r="L361">
        <v>0</v>
      </c>
      <c r="M361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361" cm="1">
        <f t="array" ref="N361">MAX(IF((ProjectInfoTable[ProjectName]=ContinuousStatsTable[[#This Row],[ProjectName]]),(ProjectInfoTable[ProjectName]=ContinuousStatsTable[[#This Row],[ProjectName]])*ProjectInfoTable[NumberOfReplications]))</f>
        <v>10</v>
      </c>
      <c r="O361" cm="1">
        <f t="array" ref="O361">IFERROR(AVERAGE(IF((ContinuousStatsTable[GroupByKey]=ContinuousStatsTable[[#This Row],[GroupByKey]]),(ContinuousStatsTable[GroupByKey]=ContinuousStatsTable[[#This Row],[GroupByKey]])*ContinuousStatsTable[Average])),0)</f>
        <v>0.84558522180863771</v>
      </c>
      <c r="P361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0.11694354024491282</v>
      </c>
      <c r="Q361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8.3656369122856733E-2</v>
      </c>
      <c r="S361" cm="1">
        <f t="array" ref="S361">MIN(IF((ContinuousStatsTable[GroupByKey]=ContinuousStatsTable[[#This Row],[GroupByKey]]),(ContinuousStatsTable[GroupByKey]=ContinuousStatsTable[[#This Row],[GroupByKey]])*ContinuousStatsTable[Average]))</f>
        <v>0.625269422960122</v>
      </c>
      <c r="T361" cm="1">
        <f t="array" ref="T361">MAX(IF((ContinuousStatsTable[GroupByKey]=ContinuousStatsTable[[#This Row],[GroupByKey]]),(ContinuousStatsTable[GroupByKey]=ContinuousStatsTable[[#This Row],[GroupByKey]])*ContinuousStatsTable[Average]))</f>
        <v>0.95234896906597499</v>
      </c>
      <c r="U361">
        <f>IF((ContinuousStatsTable[[#This Row],[RepsRequested]]&gt;1),ContinuousStatsTable[[#This Row],[HalfWidth]],ContinuousStatsTable[[#This Row],[BatchMeansHalfWidth]])</f>
        <v>8.3656369122856733E-2</v>
      </c>
    </row>
    <row r="362" spans="1:21" x14ac:dyDescent="0.25">
      <c r="A362" t="s">
        <v>67</v>
      </c>
      <c r="B362" t="s">
        <v>243</v>
      </c>
      <c r="C362">
        <v>5</v>
      </c>
      <c r="D362" t="s">
        <v>124</v>
      </c>
      <c r="E362" t="s">
        <v>114</v>
      </c>
      <c r="F362" t="s">
        <v>113</v>
      </c>
      <c r="G362">
        <v>1.90469793813195</v>
      </c>
      <c r="H362">
        <v>2E+20</v>
      </c>
      <c r="I362">
        <v>0</v>
      </c>
      <c r="J362">
        <v>2</v>
      </c>
      <c r="K362">
        <v>2</v>
      </c>
      <c r="L362">
        <v>0</v>
      </c>
      <c r="M362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362" cm="1">
        <f t="array" ref="N362">MAX(IF((ProjectInfoTable[ProjectName]=ContinuousStatsTable[[#This Row],[ProjectName]]),(ProjectInfoTable[ProjectName]=ContinuousStatsTable[[#This Row],[ProjectName]])*ProjectInfoTable[NumberOfReplications]))</f>
        <v>10</v>
      </c>
      <c r="O362" cm="1">
        <f t="array" ref="O362">IFERROR(AVERAGE(IF((ContinuousStatsTable[GroupByKey]=ContinuousStatsTable[[#This Row],[GroupByKey]]),(ContinuousStatsTable[GroupByKey]=ContinuousStatsTable[[#This Row],[GroupByKey]])*ContinuousStatsTable[Average])),0)</f>
        <v>1.6911704436172748</v>
      </c>
      <c r="P362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0.23388708048982901</v>
      </c>
      <c r="Q362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0.16731273824571591</v>
      </c>
      <c r="S362" cm="1">
        <f t="array" ref="S362">MIN(IF((ContinuousStatsTable[GroupByKey]=ContinuousStatsTable[[#This Row],[GroupByKey]]),(ContinuousStatsTable[GroupByKey]=ContinuousStatsTable[[#This Row],[GroupByKey]])*ContinuousStatsTable[Average]))</f>
        <v>1.25053884592024</v>
      </c>
      <c r="T362" cm="1">
        <f t="array" ref="T362">MAX(IF((ContinuousStatsTable[GroupByKey]=ContinuousStatsTable[[#This Row],[GroupByKey]]),(ContinuousStatsTable[GroupByKey]=ContinuousStatsTable[[#This Row],[GroupByKey]])*ContinuousStatsTable[Average]))</f>
        <v>1.90469793813195</v>
      </c>
      <c r="U362">
        <f>IF((ContinuousStatsTable[[#This Row],[RepsRequested]]&gt;1),ContinuousStatsTable[[#This Row],[HalfWidth]],ContinuousStatsTable[[#This Row],[BatchMeansHalfWidth]])</f>
        <v>0.16731273824571591</v>
      </c>
    </row>
    <row r="363" spans="1:21" x14ac:dyDescent="0.25">
      <c r="A363" t="s">
        <v>67</v>
      </c>
      <c r="B363" t="s">
        <v>243</v>
      </c>
      <c r="C363">
        <v>5</v>
      </c>
      <c r="D363" t="s">
        <v>124</v>
      </c>
      <c r="E363" t="s">
        <v>115</v>
      </c>
      <c r="F363" t="s">
        <v>113</v>
      </c>
      <c r="G363">
        <v>2</v>
      </c>
      <c r="H363">
        <v>2E+20</v>
      </c>
      <c r="I363">
        <v>2</v>
      </c>
      <c r="J363">
        <v>2</v>
      </c>
      <c r="K363">
        <v>2</v>
      </c>
      <c r="L363">
        <v>0</v>
      </c>
      <c r="M363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363" cm="1">
        <f t="array" ref="N363">MAX(IF((ProjectInfoTable[ProjectName]=ContinuousStatsTable[[#This Row],[ProjectName]]),(ProjectInfoTable[ProjectName]=ContinuousStatsTable[[#This Row],[ProjectName]])*ProjectInfoTable[NumberOfReplications]))</f>
        <v>10</v>
      </c>
      <c r="O363" cm="1">
        <f t="array" ref="O363">IFERROR(AVERAGE(IF((ContinuousStatsTable[GroupByKey]=ContinuousStatsTable[[#This Row],[GroupByKey]]),(ContinuousStatsTable[GroupByKey]=ContinuousStatsTable[[#This Row],[GroupByKey]])*ContinuousStatsTable[Average])),0)</f>
        <v>2</v>
      </c>
      <c r="P363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</v>
      </c>
      <c r="Q363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3" cm="1">
        <f t="array" ref="S363">MIN(IF((ContinuousStatsTable[GroupByKey]=ContinuousStatsTable[[#This Row],[GroupByKey]]),(ContinuousStatsTable[GroupByKey]=ContinuousStatsTable[[#This Row],[GroupByKey]])*ContinuousStatsTable[Average]))</f>
        <v>2</v>
      </c>
      <c r="T363" cm="1">
        <f t="array" ref="T363">MAX(IF((ContinuousStatsTable[GroupByKey]=ContinuousStatsTable[[#This Row],[GroupByKey]]),(ContinuousStatsTable[GroupByKey]=ContinuousStatsTable[[#This Row],[GroupByKey]])*ContinuousStatsTable[Average]))</f>
        <v>2</v>
      </c>
      <c r="U363">
        <f>IF((ContinuousStatsTable[[#This Row],[RepsRequested]]&gt;1),ContinuousStatsTable[[#This Row],[HalfWidth]],ContinuousStatsTable[[#This Row],[BatchMeansHalfWidth]])</f>
        <v>0</v>
      </c>
    </row>
    <row r="364" spans="1:21" x14ac:dyDescent="0.25">
      <c r="A364" t="s">
        <v>67</v>
      </c>
      <c r="B364" t="s">
        <v>243</v>
      </c>
      <c r="C364">
        <v>5</v>
      </c>
      <c r="D364" t="s">
        <v>125</v>
      </c>
      <c r="E364" t="s">
        <v>112</v>
      </c>
      <c r="F364" t="s">
        <v>113</v>
      </c>
      <c r="G364">
        <v>0.69066103263237699</v>
      </c>
      <c r="H364">
        <v>2E+20</v>
      </c>
      <c r="I364">
        <v>0</v>
      </c>
      <c r="J364">
        <v>1</v>
      </c>
      <c r="K364">
        <v>0.4</v>
      </c>
      <c r="L364">
        <v>0</v>
      </c>
      <c r="M364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364" cm="1">
        <f t="array" ref="N364">MAX(IF((ProjectInfoTable[ProjectName]=ContinuousStatsTable[[#This Row],[ProjectName]]),(ProjectInfoTable[ProjectName]=ContinuousStatsTable[[#This Row],[ProjectName]])*ProjectInfoTable[NumberOfReplications]))</f>
        <v>10</v>
      </c>
      <c r="O364" cm="1">
        <f t="array" ref="O364">IFERROR(AVERAGE(IF((ContinuousStatsTable[GroupByKey]=ContinuousStatsTable[[#This Row],[GroupByKey]]),(ContinuousStatsTable[GroupByKey]=ContinuousStatsTable[[#This Row],[GroupByKey]])*ContinuousStatsTable[Average])),0)</f>
        <v>0.74077431571180252</v>
      </c>
      <c r="P364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6.1280007141723249E-2</v>
      </c>
      <c r="Q364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4.3837076306763374E-2</v>
      </c>
      <c r="S364" cm="1">
        <f t="array" ref="S364">MIN(IF((ContinuousStatsTable[GroupByKey]=ContinuousStatsTable[[#This Row],[GroupByKey]]),(ContinuousStatsTable[GroupByKey]=ContinuousStatsTable[[#This Row],[GroupByKey]])*ContinuousStatsTable[Average]))</f>
        <v>0.67060354368791797</v>
      </c>
      <c r="T364" cm="1">
        <f t="array" ref="T364">MAX(IF((ContinuousStatsTable[GroupByKey]=ContinuousStatsTable[[#This Row],[GroupByKey]]),(ContinuousStatsTable[GroupByKey]=ContinuousStatsTable[[#This Row],[GroupByKey]])*ContinuousStatsTable[Average]))</f>
        <v>0.87728997349342996</v>
      </c>
      <c r="U364">
        <f>IF((ContinuousStatsTable[[#This Row],[RepsRequested]]&gt;1),ContinuousStatsTable[[#This Row],[HalfWidth]],ContinuousStatsTable[[#This Row],[BatchMeansHalfWidth]])</f>
        <v>4.3837076306763374E-2</v>
      </c>
    </row>
    <row r="365" spans="1:21" x14ac:dyDescent="0.25">
      <c r="A365" t="s">
        <v>67</v>
      </c>
      <c r="B365" t="s">
        <v>243</v>
      </c>
      <c r="C365">
        <v>5</v>
      </c>
      <c r="D365" t="s">
        <v>125</v>
      </c>
      <c r="E365" t="s">
        <v>114</v>
      </c>
      <c r="F365" t="s">
        <v>113</v>
      </c>
      <c r="G365">
        <v>3.4533051631618901</v>
      </c>
      <c r="H365">
        <v>2E+20</v>
      </c>
      <c r="I365">
        <v>0</v>
      </c>
      <c r="J365">
        <v>5</v>
      </c>
      <c r="K365">
        <v>2</v>
      </c>
      <c r="L365">
        <v>0</v>
      </c>
      <c r="M365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365" cm="1">
        <f t="array" ref="N365">MAX(IF((ProjectInfoTable[ProjectName]=ContinuousStatsTable[[#This Row],[ProjectName]]),(ProjectInfoTable[ProjectName]=ContinuousStatsTable[[#This Row],[ProjectName]])*ProjectInfoTable[NumberOfReplications]))</f>
        <v>10</v>
      </c>
      <c r="O365" cm="1">
        <f t="array" ref="O365">IFERROR(AVERAGE(IF((ContinuousStatsTable[GroupByKey]=ContinuousStatsTable[[#This Row],[GroupByKey]]),(ContinuousStatsTable[GroupByKey]=ContinuousStatsTable[[#This Row],[GroupByKey]])*ContinuousStatsTable[Average])),0)</f>
        <v>3.7038715785590122</v>
      </c>
      <c r="P36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0.30640003570861163</v>
      </c>
      <c r="Q36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0.21918538153381359</v>
      </c>
      <c r="S365" cm="1">
        <f t="array" ref="S365">MIN(IF((ContinuousStatsTable[GroupByKey]=ContinuousStatsTable[[#This Row],[GroupByKey]]),(ContinuousStatsTable[GroupByKey]=ContinuousStatsTable[[#This Row],[GroupByKey]])*ContinuousStatsTable[Average]))</f>
        <v>3.35301771843959</v>
      </c>
      <c r="T365" cm="1">
        <f t="array" ref="T365">MAX(IF((ContinuousStatsTable[GroupByKey]=ContinuousStatsTable[[#This Row],[GroupByKey]]),(ContinuousStatsTable[GroupByKey]=ContinuousStatsTable[[#This Row],[GroupByKey]])*ContinuousStatsTable[Average]))</f>
        <v>4.3864498674671397</v>
      </c>
      <c r="U365">
        <f>IF((ContinuousStatsTable[[#This Row],[RepsRequested]]&gt;1),ContinuousStatsTable[[#This Row],[HalfWidth]],ContinuousStatsTable[[#This Row],[BatchMeansHalfWidth]])</f>
        <v>0.21918538153381359</v>
      </c>
    </row>
    <row r="366" spans="1:21" x14ac:dyDescent="0.25">
      <c r="A366" t="s">
        <v>67</v>
      </c>
      <c r="B366" t="s">
        <v>243</v>
      </c>
      <c r="C366">
        <v>5</v>
      </c>
      <c r="D366" t="s">
        <v>125</v>
      </c>
      <c r="E366" t="s">
        <v>115</v>
      </c>
      <c r="F366" t="s">
        <v>113</v>
      </c>
      <c r="G366">
        <v>5</v>
      </c>
      <c r="H366">
        <v>2E+20</v>
      </c>
      <c r="I366">
        <v>5</v>
      </c>
      <c r="J366">
        <v>5</v>
      </c>
      <c r="K366">
        <v>5</v>
      </c>
      <c r="L366">
        <v>0</v>
      </c>
      <c r="M366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366" cm="1">
        <f t="array" ref="N366">MAX(IF((ProjectInfoTable[ProjectName]=ContinuousStatsTable[[#This Row],[ProjectName]]),(ProjectInfoTable[ProjectName]=ContinuousStatsTable[[#This Row],[ProjectName]])*ProjectInfoTable[NumberOfReplications]))</f>
        <v>10</v>
      </c>
      <c r="O366" cm="1">
        <f t="array" ref="O366">IFERROR(AVERAGE(IF((ContinuousStatsTable[GroupByKey]=ContinuousStatsTable[[#This Row],[GroupByKey]]),(ContinuousStatsTable[GroupByKey]=ContinuousStatsTable[[#This Row],[GroupByKey]])*ContinuousStatsTable[Average])),0)</f>
        <v>5</v>
      </c>
      <c r="P366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0</v>
      </c>
      <c r="Q366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6" cm="1">
        <f t="array" ref="S366">MIN(IF((ContinuousStatsTable[GroupByKey]=ContinuousStatsTable[[#This Row],[GroupByKey]]),(ContinuousStatsTable[GroupByKey]=ContinuousStatsTable[[#This Row],[GroupByKey]])*ContinuousStatsTable[Average]))</f>
        <v>5</v>
      </c>
      <c r="T366" cm="1">
        <f t="array" ref="T366">MAX(IF((ContinuousStatsTable[GroupByKey]=ContinuousStatsTable[[#This Row],[GroupByKey]]),(ContinuousStatsTable[GroupByKey]=ContinuousStatsTable[[#This Row],[GroupByKey]])*ContinuousStatsTable[Average]))</f>
        <v>5</v>
      </c>
      <c r="U366">
        <f>IF((ContinuousStatsTable[[#This Row],[RepsRequested]]&gt;1),ContinuousStatsTable[[#This Row],[HalfWidth]],ContinuousStatsTable[[#This Row],[BatchMeansHalfWidth]])</f>
        <v>0</v>
      </c>
    </row>
    <row r="367" spans="1:21" x14ac:dyDescent="0.25">
      <c r="A367" t="s">
        <v>67</v>
      </c>
      <c r="B367" t="s">
        <v>243</v>
      </c>
      <c r="C367">
        <v>5</v>
      </c>
      <c r="D367" t="s">
        <v>126</v>
      </c>
      <c r="E367" t="s">
        <v>112</v>
      </c>
      <c r="F367" t="s">
        <v>113</v>
      </c>
      <c r="G367">
        <v>0.59886206518967</v>
      </c>
      <c r="H367">
        <v>3E+20</v>
      </c>
      <c r="I367">
        <v>0</v>
      </c>
      <c r="J367">
        <v>1</v>
      </c>
      <c r="K367">
        <v>1</v>
      </c>
      <c r="L367">
        <v>0</v>
      </c>
      <c r="M367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367" cm="1">
        <f t="array" ref="N367">MAX(IF((ProjectInfoTable[ProjectName]=ContinuousStatsTable[[#This Row],[ProjectName]]),(ProjectInfoTable[ProjectName]=ContinuousStatsTable[[#This Row],[ProjectName]])*ProjectInfoTable[NumberOfReplications]))</f>
        <v>10</v>
      </c>
      <c r="O367" cm="1">
        <f t="array" ref="O367">IFERROR(AVERAGE(IF((ContinuousStatsTable[GroupByKey]=ContinuousStatsTable[[#This Row],[GroupByKey]]),(ContinuousStatsTable[GroupByKey]=ContinuousStatsTable[[#This Row],[GroupByKey]])*ContinuousStatsTable[Average])),0)</f>
        <v>0.52391445815006699</v>
      </c>
      <c r="P367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7.0460308415606909E-2</v>
      </c>
      <c r="Q367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5.0404268221927347E-2</v>
      </c>
      <c r="S367" cm="1">
        <f t="array" ref="S367">MIN(IF((ContinuousStatsTable[GroupByKey]=ContinuousStatsTable[[#This Row],[GroupByKey]]),(ContinuousStatsTable[GroupByKey]=ContinuousStatsTable[[#This Row],[GroupByKey]])*ContinuousStatsTable[Average]))</f>
        <v>0.36555656561218303</v>
      </c>
      <c r="T367" cm="1">
        <f t="array" ref="T367">MAX(IF((ContinuousStatsTable[GroupByKey]=ContinuousStatsTable[[#This Row],[GroupByKey]]),(ContinuousStatsTable[GroupByKey]=ContinuousStatsTable[[#This Row],[GroupByKey]])*ContinuousStatsTable[Average]))</f>
        <v>0.59886206518967</v>
      </c>
      <c r="U367">
        <f>IF((ContinuousStatsTable[[#This Row],[RepsRequested]]&gt;1),ContinuousStatsTable[[#This Row],[HalfWidth]],ContinuousStatsTable[[#This Row],[BatchMeansHalfWidth]])</f>
        <v>5.0404268221927347E-2</v>
      </c>
    </row>
    <row r="368" spans="1:21" x14ac:dyDescent="0.25">
      <c r="A368" t="s">
        <v>67</v>
      </c>
      <c r="B368" t="s">
        <v>243</v>
      </c>
      <c r="C368">
        <v>5</v>
      </c>
      <c r="D368" t="s">
        <v>126</v>
      </c>
      <c r="E368" t="s">
        <v>114</v>
      </c>
      <c r="F368" t="s">
        <v>113</v>
      </c>
      <c r="G368">
        <v>2.39544826075868</v>
      </c>
      <c r="H368">
        <v>3E+20</v>
      </c>
      <c r="I368">
        <v>0</v>
      </c>
      <c r="J368">
        <v>4</v>
      </c>
      <c r="K368">
        <v>4</v>
      </c>
      <c r="L368">
        <v>0</v>
      </c>
      <c r="M368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368" cm="1">
        <f t="array" ref="N368">MAX(IF((ProjectInfoTable[ProjectName]=ContinuousStatsTable[[#This Row],[ProjectName]]),(ProjectInfoTable[ProjectName]=ContinuousStatsTable[[#This Row],[ProjectName]])*ProjectInfoTable[NumberOfReplications]))</f>
        <v>10</v>
      </c>
      <c r="O368" cm="1">
        <f t="array" ref="O368">IFERROR(AVERAGE(IF((ContinuousStatsTable[GroupByKey]=ContinuousStatsTable[[#This Row],[GroupByKey]]),(ContinuousStatsTable[GroupByKey]=ContinuousStatsTable[[#This Row],[GroupByKey]])*ContinuousStatsTable[Average])),0)</f>
        <v>2.0956578326002671</v>
      </c>
      <c r="P368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0.28184123366242902</v>
      </c>
      <c r="Q368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0.20161707288771036</v>
      </c>
      <c r="S368" cm="1">
        <f t="array" ref="S368">MIN(IF((ContinuousStatsTable[GroupByKey]=ContinuousStatsTable[[#This Row],[GroupByKey]]),(ContinuousStatsTable[GroupByKey]=ContinuousStatsTable[[#This Row],[GroupByKey]])*ContinuousStatsTable[Average]))</f>
        <v>1.4622262624487301</v>
      </c>
      <c r="T368" cm="1">
        <f t="array" ref="T368">MAX(IF((ContinuousStatsTable[GroupByKey]=ContinuousStatsTable[[#This Row],[GroupByKey]]),(ContinuousStatsTable[GroupByKey]=ContinuousStatsTable[[#This Row],[GroupByKey]])*ContinuousStatsTable[Average]))</f>
        <v>2.39544826075868</v>
      </c>
      <c r="U368">
        <f>IF((ContinuousStatsTable[[#This Row],[RepsRequested]]&gt;1),ContinuousStatsTable[[#This Row],[HalfWidth]],ContinuousStatsTable[[#This Row],[BatchMeansHalfWidth]])</f>
        <v>0.20161707288771036</v>
      </c>
    </row>
    <row r="369" spans="1:21" x14ac:dyDescent="0.25">
      <c r="A369" t="s">
        <v>67</v>
      </c>
      <c r="B369" t="s">
        <v>243</v>
      </c>
      <c r="C369">
        <v>5</v>
      </c>
      <c r="D369" t="s">
        <v>126</v>
      </c>
      <c r="E369" t="s">
        <v>115</v>
      </c>
      <c r="F369" t="s">
        <v>113</v>
      </c>
      <c r="G369">
        <v>4</v>
      </c>
      <c r="H369">
        <v>2E+20</v>
      </c>
      <c r="I369">
        <v>4</v>
      </c>
      <c r="J369">
        <v>4</v>
      </c>
      <c r="K369">
        <v>4</v>
      </c>
      <c r="L369">
        <v>0</v>
      </c>
      <c r="M369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369" cm="1">
        <f t="array" ref="N369">MAX(IF((ProjectInfoTable[ProjectName]=ContinuousStatsTable[[#This Row],[ProjectName]]),(ProjectInfoTable[ProjectName]=ContinuousStatsTable[[#This Row],[ProjectName]])*ProjectInfoTable[NumberOfReplications]))</f>
        <v>10</v>
      </c>
      <c r="O369" cm="1">
        <f t="array" ref="O369">IFERROR(AVERAGE(IF((ContinuousStatsTable[GroupByKey]=ContinuousStatsTable[[#This Row],[GroupByKey]]),(ContinuousStatsTable[GroupByKey]=ContinuousStatsTable[[#This Row],[GroupByKey]])*ContinuousStatsTable[Average])),0)</f>
        <v>4</v>
      </c>
      <c r="P369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cm="1">
        <f t="array" ref="S369">MIN(IF((ContinuousStatsTable[GroupByKey]=ContinuousStatsTable[[#This Row],[GroupByKey]]),(ContinuousStatsTable[GroupByKey]=ContinuousStatsTable[[#This Row],[GroupByKey]])*ContinuousStatsTable[Average]))</f>
        <v>4</v>
      </c>
      <c r="T369" cm="1">
        <f t="array" ref="T369">MAX(IF((ContinuousStatsTable[GroupByKey]=ContinuousStatsTable[[#This Row],[GroupByKey]]),(ContinuousStatsTable[GroupByKey]=ContinuousStatsTable[[#This Row],[GroupByKey]])*ContinuousStatsTable[Average]))</f>
        <v>4</v>
      </c>
      <c r="U369">
        <f>IF((ContinuousStatsTable[[#This Row],[RepsRequested]]&gt;1),ContinuousStatsTable[[#This Row],[HalfWidth]],ContinuousStatsTable[[#This Row],[BatchMeansHalfWidth]])</f>
        <v>0</v>
      </c>
    </row>
    <row r="370" spans="1:21" x14ac:dyDescent="0.25">
      <c r="A370" t="s">
        <v>67</v>
      </c>
      <c r="B370" t="s">
        <v>243</v>
      </c>
      <c r="C370">
        <v>5</v>
      </c>
      <c r="D370" t="s">
        <v>127</v>
      </c>
      <c r="E370" t="s">
        <v>112</v>
      </c>
      <c r="F370" t="s">
        <v>113</v>
      </c>
      <c r="G370">
        <v>0.14985050053976801</v>
      </c>
      <c r="H370">
        <v>3E+20</v>
      </c>
      <c r="I370">
        <v>0</v>
      </c>
      <c r="J370">
        <v>1</v>
      </c>
      <c r="K370">
        <v>0</v>
      </c>
      <c r="L370">
        <v>0</v>
      </c>
      <c r="M370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370" cm="1">
        <f t="array" ref="N370">MAX(IF((ProjectInfoTable[ProjectName]=ContinuousStatsTable[[#This Row],[ProjectName]]),(ProjectInfoTable[ProjectName]=ContinuousStatsTable[[#This Row],[ProjectName]])*ProjectInfoTable[NumberOfReplications]))</f>
        <v>10</v>
      </c>
      <c r="O370" cm="1">
        <f t="array" ref="O370">IFERROR(AVERAGE(IF((ContinuousStatsTable[GroupByKey]=ContinuousStatsTable[[#This Row],[GroupByKey]]),(ContinuousStatsTable[GroupByKey]=ContinuousStatsTable[[#This Row],[GroupByKey]])*ContinuousStatsTable[Average])),0)</f>
        <v>0.14955853655775292</v>
      </c>
      <c r="P370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1.8487754554887928E-4</v>
      </c>
      <c r="Q370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1.3225342896729691E-4</v>
      </c>
      <c r="S370" cm="1">
        <f t="array" ref="S370">MIN(IF((ContinuousStatsTable[GroupByKey]=ContinuousStatsTable[[#This Row],[GroupByKey]]),(ContinuousStatsTable[GroupByKey]=ContinuousStatsTable[[#This Row],[GroupByKey]])*ContinuousStatsTable[Average]))</f>
        <v>0.14921189842985499</v>
      </c>
      <c r="T370" cm="1">
        <f t="array" ref="T370">MAX(IF((ContinuousStatsTable[GroupByKey]=ContinuousStatsTable[[#This Row],[GroupByKey]]),(ContinuousStatsTable[GroupByKey]=ContinuousStatsTable[[#This Row],[GroupByKey]])*ContinuousStatsTable[Average]))</f>
        <v>0.14985050053976801</v>
      </c>
      <c r="U370">
        <f>IF((ContinuousStatsTable[[#This Row],[RepsRequested]]&gt;1),ContinuousStatsTable[[#This Row],[HalfWidth]],ContinuousStatsTable[[#This Row],[BatchMeansHalfWidth]])</f>
        <v>1.3225342896729691E-4</v>
      </c>
    </row>
    <row r="371" spans="1:21" x14ac:dyDescent="0.25">
      <c r="A371" t="s">
        <v>67</v>
      </c>
      <c r="B371" t="s">
        <v>243</v>
      </c>
      <c r="C371">
        <v>5</v>
      </c>
      <c r="D371" t="s">
        <v>127</v>
      </c>
      <c r="E371" t="s">
        <v>114</v>
      </c>
      <c r="F371" t="s">
        <v>113</v>
      </c>
      <c r="G371">
        <v>0.29970100107953501</v>
      </c>
      <c r="H371">
        <v>3E+20</v>
      </c>
      <c r="I371">
        <v>0</v>
      </c>
      <c r="J371">
        <v>2</v>
      </c>
      <c r="K371">
        <v>0</v>
      </c>
      <c r="L371">
        <v>0</v>
      </c>
      <c r="M371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371" cm="1">
        <f t="array" ref="N371">MAX(IF((ProjectInfoTable[ProjectName]=ContinuousStatsTable[[#This Row],[ProjectName]]),(ProjectInfoTable[ProjectName]=ContinuousStatsTable[[#This Row],[ProjectName]])*ProjectInfoTable[NumberOfReplications]))</f>
        <v>10</v>
      </c>
      <c r="O371" cm="1">
        <f t="array" ref="O371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371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371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371" cm="1">
        <f t="array" ref="S371">MIN(IF((ContinuousStatsTable[GroupByKey]=ContinuousStatsTable[[#This Row],[GroupByKey]]),(ContinuousStatsTable[GroupByKey]=ContinuousStatsTable[[#This Row],[GroupByKey]])*ContinuousStatsTable[Average]))</f>
        <v>0.29842379685970999</v>
      </c>
      <c r="T371" cm="1">
        <f t="array" ref="T371">MAX(IF((ContinuousStatsTable[GroupByKey]=ContinuousStatsTable[[#This Row],[GroupByKey]]),(ContinuousStatsTable[GroupByKey]=ContinuousStatsTable[[#This Row],[GroupByKey]])*ContinuousStatsTable[Average]))</f>
        <v>0.29970100107953501</v>
      </c>
      <c r="U371">
        <f>IF((ContinuousStatsTable[[#This Row],[RepsRequested]]&gt;1),ContinuousStatsTable[[#This Row],[HalfWidth]],ContinuousStatsTable[[#This Row],[BatchMeansHalfWidth]])</f>
        <v>2.6450685793468105E-4</v>
      </c>
    </row>
    <row r="372" spans="1:21" x14ac:dyDescent="0.25">
      <c r="A372" t="s">
        <v>67</v>
      </c>
      <c r="B372" t="s">
        <v>243</v>
      </c>
      <c r="C372">
        <v>5</v>
      </c>
      <c r="D372" t="s">
        <v>127</v>
      </c>
      <c r="E372" t="s">
        <v>115</v>
      </c>
      <c r="F372" t="s">
        <v>113</v>
      </c>
      <c r="G372">
        <v>2</v>
      </c>
      <c r="H372">
        <v>2E+20</v>
      </c>
      <c r="I372">
        <v>2</v>
      </c>
      <c r="J372">
        <v>2</v>
      </c>
      <c r="K372">
        <v>2</v>
      </c>
      <c r="L372">
        <v>0</v>
      </c>
      <c r="M372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372" cm="1">
        <f t="array" ref="N372">MAX(IF((ProjectInfoTable[ProjectName]=ContinuousStatsTable[[#This Row],[ProjectName]]),(ProjectInfoTable[ProjectName]=ContinuousStatsTable[[#This Row],[ProjectName]])*ProjectInfoTable[NumberOfReplications]))</f>
        <v>10</v>
      </c>
      <c r="O372" cm="1">
        <f t="array" ref="O372">IFERROR(AVERAGE(IF((ContinuousStatsTable[GroupByKey]=ContinuousStatsTable[[#This Row],[GroupByKey]]),(ContinuousStatsTable[GroupByKey]=ContinuousStatsTable[[#This Row],[GroupByKey]])*ContinuousStatsTable[Average])),0)</f>
        <v>2</v>
      </c>
      <c r="P372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0</v>
      </c>
      <c r="Q372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2" cm="1">
        <f t="array" ref="S372">MIN(IF((ContinuousStatsTable[GroupByKey]=ContinuousStatsTable[[#This Row],[GroupByKey]]),(ContinuousStatsTable[GroupByKey]=ContinuousStatsTable[[#This Row],[GroupByKey]])*ContinuousStatsTable[Average]))</f>
        <v>2</v>
      </c>
      <c r="T372" cm="1">
        <f t="array" ref="T372">MAX(IF((ContinuousStatsTable[GroupByKey]=ContinuousStatsTable[[#This Row],[GroupByKey]]),(ContinuousStatsTable[GroupByKey]=ContinuousStatsTable[[#This Row],[GroupByKey]])*ContinuousStatsTable[Average]))</f>
        <v>2</v>
      </c>
      <c r="U372">
        <f>IF((ContinuousStatsTable[[#This Row],[RepsRequested]]&gt;1),ContinuousStatsTable[[#This Row],[HalfWidth]],ContinuousStatsTable[[#This Row],[BatchMeansHalfWidth]])</f>
        <v>0</v>
      </c>
    </row>
    <row r="373" spans="1:21" x14ac:dyDescent="0.25">
      <c r="A373" t="s">
        <v>67</v>
      </c>
      <c r="B373" t="s">
        <v>243</v>
      </c>
      <c r="C373">
        <v>5</v>
      </c>
      <c r="D373" t="s">
        <v>128</v>
      </c>
      <c r="E373" t="s">
        <v>112</v>
      </c>
      <c r="F373" t="s">
        <v>113</v>
      </c>
      <c r="G373">
        <v>0.90105208693160799</v>
      </c>
      <c r="H373">
        <v>3E+20</v>
      </c>
      <c r="I373">
        <v>0</v>
      </c>
      <c r="J373">
        <v>1</v>
      </c>
      <c r="K373">
        <v>0.8</v>
      </c>
      <c r="L373">
        <v>0</v>
      </c>
      <c r="M373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373" cm="1">
        <f t="array" ref="N373">MAX(IF((ProjectInfoTable[ProjectName]=ContinuousStatsTable[[#This Row],[ProjectName]]),(ProjectInfoTable[ProjectName]=ContinuousStatsTable[[#This Row],[ProjectName]])*ProjectInfoTable[NumberOfReplications]))</f>
        <v>10</v>
      </c>
      <c r="O373" cm="1">
        <f t="array" ref="O373">IFERROR(AVERAGE(IF((ContinuousStatsTable[GroupByKey]=ContinuousStatsTable[[#This Row],[GroupByKey]]),(ContinuousStatsTable[GroupByKey]=ContinuousStatsTable[[#This Row],[GroupByKey]])*ContinuousStatsTable[Average])),0)</f>
        <v>0.78490250681152507</v>
      </c>
      <c r="P373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0.11345978752761832</v>
      </c>
      <c r="Q373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8.1164242557846045E-2</v>
      </c>
      <c r="S373" cm="1">
        <f t="array" ref="S373">MIN(IF((ContinuousStatsTable[GroupByKey]=ContinuousStatsTable[[#This Row],[GroupByKey]]),(ContinuousStatsTable[GroupByKey]=ContinuousStatsTable[[#This Row],[GroupByKey]])*ContinuousStatsTable[Average]))</f>
        <v>0.58338388917401696</v>
      </c>
      <c r="T373" cm="1">
        <f t="array" ref="T373">MAX(IF((ContinuousStatsTable[GroupByKey]=ContinuousStatsTable[[#This Row],[GroupByKey]]),(ContinuousStatsTable[GroupByKey]=ContinuousStatsTable[[#This Row],[GroupByKey]])*ContinuousStatsTable[Average]))</f>
        <v>0.90111632059041802</v>
      </c>
      <c r="U373">
        <f>IF((ContinuousStatsTable[[#This Row],[RepsRequested]]&gt;1),ContinuousStatsTable[[#This Row],[HalfWidth]],ContinuousStatsTable[[#This Row],[BatchMeansHalfWidth]])</f>
        <v>8.1164242557846045E-2</v>
      </c>
    </row>
    <row r="374" spans="1:21" x14ac:dyDescent="0.25">
      <c r="A374" t="s">
        <v>67</v>
      </c>
      <c r="B374" t="s">
        <v>243</v>
      </c>
      <c r="C374">
        <v>5</v>
      </c>
      <c r="D374" t="s">
        <v>128</v>
      </c>
      <c r="E374" t="s">
        <v>114</v>
      </c>
      <c r="F374" t="s">
        <v>113</v>
      </c>
      <c r="G374">
        <v>4.5052604346580303</v>
      </c>
      <c r="H374">
        <v>3E+20</v>
      </c>
      <c r="I374">
        <v>0</v>
      </c>
      <c r="J374">
        <v>5</v>
      </c>
      <c r="K374">
        <v>4</v>
      </c>
      <c r="L374">
        <v>0</v>
      </c>
      <c r="M374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374" cm="1">
        <f t="array" ref="N374">MAX(IF((ProjectInfoTable[ProjectName]=ContinuousStatsTable[[#This Row],[ProjectName]]),(ProjectInfoTable[ProjectName]=ContinuousStatsTable[[#This Row],[ProjectName]])*ProjectInfoTable[NumberOfReplications]))</f>
        <v>10</v>
      </c>
      <c r="O374" cm="1">
        <f t="array" ref="O374">IFERROR(AVERAGE(IF((ContinuousStatsTable[GroupByKey]=ContinuousStatsTable[[#This Row],[GroupByKey]]),(ContinuousStatsTable[GroupByKey]=ContinuousStatsTable[[#This Row],[GroupByKey]])*ContinuousStatsTable[Average])),0)</f>
        <v>3.9245125340576221</v>
      </c>
      <c r="P374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0.56729893763807904</v>
      </c>
      <c r="Q374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0.40582121278922129</v>
      </c>
      <c r="S374" cm="1">
        <f t="array" ref="S374">MIN(IF((ContinuousStatsTable[GroupByKey]=ContinuousStatsTable[[#This Row],[GroupByKey]]),(ContinuousStatsTable[GroupByKey]=ContinuousStatsTable[[#This Row],[GroupByKey]])*ContinuousStatsTable[Average]))</f>
        <v>2.91691944587008</v>
      </c>
      <c r="T374" cm="1">
        <f t="array" ref="T374">MAX(IF((ContinuousStatsTable[GroupByKey]=ContinuousStatsTable[[#This Row],[GroupByKey]]),(ContinuousStatsTable[GroupByKey]=ContinuousStatsTable[[#This Row],[GroupByKey]])*ContinuousStatsTable[Average]))</f>
        <v>4.5055816029520903</v>
      </c>
      <c r="U374">
        <f>IF((ContinuousStatsTable[[#This Row],[RepsRequested]]&gt;1),ContinuousStatsTable[[#This Row],[HalfWidth]],ContinuousStatsTable[[#This Row],[BatchMeansHalfWidth]])</f>
        <v>0.40582121278922129</v>
      </c>
    </row>
    <row r="375" spans="1:21" x14ac:dyDescent="0.25">
      <c r="A375" t="s">
        <v>67</v>
      </c>
      <c r="B375" t="s">
        <v>243</v>
      </c>
      <c r="C375">
        <v>5</v>
      </c>
      <c r="D375" t="s">
        <v>128</v>
      </c>
      <c r="E375" t="s">
        <v>115</v>
      </c>
      <c r="F375" t="s">
        <v>113</v>
      </c>
      <c r="G375">
        <v>5</v>
      </c>
      <c r="H375">
        <v>2E+20</v>
      </c>
      <c r="I375">
        <v>5</v>
      </c>
      <c r="J375">
        <v>5</v>
      </c>
      <c r="K375">
        <v>5</v>
      </c>
      <c r="L375">
        <v>0</v>
      </c>
      <c r="M375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375" cm="1">
        <f t="array" ref="N375">MAX(IF((ProjectInfoTable[ProjectName]=ContinuousStatsTable[[#This Row],[ProjectName]]),(ProjectInfoTable[ProjectName]=ContinuousStatsTable[[#This Row],[ProjectName]])*ProjectInfoTable[NumberOfReplications]))</f>
        <v>10</v>
      </c>
      <c r="O375" cm="1">
        <f t="array" ref="O375">IFERROR(AVERAGE(IF((ContinuousStatsTable[GroupByKey]=ContinuousStatsTable[[#This Row],[GroupByKey]]),(ContinuousStatsTable[GroupByKey]=ContinuousStatsTable[[#This Row],[GroupByKey]])*ContinuousStatsTable[Average])),0)</f>
        <v>5</v>
      </c>
      <c r="P37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</v>
      </c>
      <c r="Q37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5" cm="1">
        <f t="array" ref="S375">MIN(IF((ContinuousStatsTable[GroupByKey]=ContinuousStatsTable[[#This Row],[GroupByKey]]),(ContinuousStatsTable[GroupByKey]=ContinuousStatsTable[[#This Row],[GroupByKey]])*ContinuousStatsTable[Average]))</f>
        <v>5</v>
      </c>
      <c r="T375" cm="1">
        <f t="array" ref="T375">MAX(IF((ContinuousStatsTable[GroupByKey]=ContinuousStatsTable[[#This Row],[GroupByKey]]),(ContinuousStatsTable[GroupByKey]=ContinuousStatsTable[[#This Row],[GroupByKey]])*ContinuousStatsTable[Average]))</f>
        <v>5</v>
      </c>
      <c r="U375">
        <f>IF((ContinuousStatsTable[[#This Row],[RepsRequested]]&gt;1),ContinuousStatsTable[[#This Row],[HalfWidth]],ContinuousStatsTable[[#This Row],[BatchMeansHalfWidth]])</f>
        <v>0</v>
      </c>
    </row>
    <row r="376" spans="1:21" x14ac:dyDescent="0.25">
      <c r="A376" t="s">
        <v>67</v>
      </c>
      <c r="B376" t="s">
        <v>243</v>
      </c>
      <c r="C376">
        <v>5</v>
      </c>
      <c r="D376" t="s">
        <v>129</v>
      </c>
      <c r="E376" t="s">
        <v>112</v>
      </c>
      <c r="F376" t="s">
        <v>113</v>
      </c>
      <c r="G376">
        <v>0.15880301819842199</v>
      </c>
      <c r="H376">
        <v>2E+20</v>
      </c>
      <c r="I376">
        <v>0</v>
      </c>
      <c r="J376">
        <v>0.66666666666666696</v>
      </c>
      <c r="K376">
        <v>0</v>
      </c>
      <c r="L376">
        <v>0</v>
      </c>
      <c r="M376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376" cm="1">
        <f t="array" ref="N376">MAX(IF((ProjectInfoTable[ProjectName]=ContinuousStatsTable[[#This Row],[ProjectName]]),(ProjectInfoTable[ProjectName]=ContinuousStatsTable[[#This Row],[ProjectName]])*ProjectInfoTable[NumberOfReplications]))</f>
        <v>10</v>
      </c>
      <c r="O376" cm="1">
        <f t="array" ref="O376">IFERROR(AVERAGE(IF((ContinuousStatsTable[GroupByKey]=ContinuousStatsTable[[#This Row],[GroupByKey]]),(ContinuousStatsTable[GroupByKey]=ContinuousStatsTable[[#This Row],[GroupByKey]])*ContinuousStatsTable[Average])),0)</f>
        <v>0.15879210791146137</v>
      </c>
      <c r="P376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8.8786593845171554E-6</v>
      </c>
      <c r="Q376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6.3514103064755986E-6</v>
      </c>
      <c r="S376" cm="1">
        <f t="array" ref="S376">MIN(IF((ContinuousStatsTable[GroupByKey]=ContinuousStatsTable[[#This Row],[GroupByKey]]),(ContinuousStatsTable[GroupByKey]=ContinuousStatsTable[[#This Row],[GroupByKey]])*ContinuousStatsTable[Average]))</f>
        <v>0.15877821852350199</v>
      </c>
      <c r="T376" cm="1">
        <f t="array" ref="T376">MAX(IF((ContinuousStatsTable[GroupByKey]=ContinuousStatsTable[[#This Row],[GroupByKey]]),(ContinuousStatsTable[GroupByKey]=ContinuousStatsTable[[#This Row],[GroupByKey]])*ContinuousStatsTable[Average]))</f>
        <v>0.15880443244107401</v>
      </c>
      <c r="U376">
        <f>IF((ContinuousStatsTable[[#This Row],[RepsRequested]]&gt;1),ContinuousStatsTable[[#This Row],[HalfWidth]],ContinuousStatsTable[[#This Row],[BatchMeansHalfWidth]])</f>
        <v>6.3514103064755986E-6</v>
      </c>
    </row>
    <row r="377" spans="1:21" x14ac:dyDescent="0.25">
      <c r="A377" t="s">
        <v>67</v>
      </c>
      <c r="B377" t="s">
        <v>243</v>
      </c>
      <c r="C377">
        <v>5</v>
      </c>
      <c r="D377" t="s">
        <v>129</v>
      </c>
      <c r="E377" t="s">
        <v>114</v>
      </c>
      <c r="F377" t="s">
        <v>113</v>
      </c>
      <c r="G377">
        <v>0.476409054595266</v>
      </c>
      <c r="H377">
        <v>2E+20</v>
      </c>
      <c r="I377">
        <v>0</v>
      </c>
      <c r="J377">
        <v>2</v>
      </c>
      <c r="K377">
        <v>0</v>
      </c>
      <c r="L377">
        <v>0</v>
      </c>
      <c r="M377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377" cm="1">
        <f t="array" ref="N377">MAX(IF((ProjectInfoTable[ProjectName]=ContinuousStatsTable[[#This Row],[ProjectName]]),(ProjectInfoTable[ProjectName]=ContinuousStatsTable[[#This Row],[ProjectName]])*ProjectInfoTable[NumberOfReplications]))</f>
        <v>10</v>
      </c>
      <c r="O377" cm="1">
        <f t="array" ref="O377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377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377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377" cm="1">
        <f t="array" ref="S377">MIN(IF((ContinuousStatsTable[GroupByKey]=ContinuousStatsTable[[#This Row],[GroupByKey]]),(ContinuousStatsTable[GroupByKey]=ContinuousStatsTable[[#This Row],[GroupByKey]])*ContinuousStatsTable[Average]))</f>
        <v>0.47633465557050603</v>
      </c>
      <c r="T377" cm="1">
        <f t="array" ref="T377">MAX(IF((ContinuousStatsTable[GroupByKey]=ContinuousStatsTable[[#This Row],[GroupByKey]]),(ContinuousStatsTable[GroupByKey]=ContinuousStatsTable[[#This Row],[GroupByKey]])*ContinuousStatsTable[Average]))</f>
        <v>0.47641329732322302</v>
      </c>
      <c r="U377">
        <f>IF((ContinuousStatsTable[[#This Row],[RepsRequested]]&gt;1),ContinuousStatsTable[[#This Row],[HalfWidth]],ContinuousStatsTable[[#This Row],[BatchMeansHalfWidth]])</f>
        <v>1.9054230919217752E-5</v>
      </c>
    </row>
    <row r="378" spans="1:21" x14ac:dyDescent="0.25">
      <c r="A378" t="s">
        <v>67</v>
      </c>
      <c r="B378" t="s">
        <v>243</v>
      </c>
      <c r="C378">
        <v>5</v>
      </c>
      <c r="D378" t="s">
        <v>129</v>
      </c>
      <c r="E378" t="s">
        <v>115</v>
      </c>
      <c r="F378" t="s">
        <v>113</v>
      </c>
      <c r="G378">
        <v>3</v>
      </c>
      <c r="H378">
        <v>2E+20</v>
      </c>
      <c r="I378">
        <v>3</v>
      </c>
      <c r="J378">
        <v>3</v>
      </c>
      <c r="K378">
        <v>3</v>
      </c>
      <c r="L378">
        <v>0</v>
      </c>
      <c r="M378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378" cm="1">
        <f t="array" ref="N378">MAX(IF((ProjectInfoTable[ProjectName]=ContinuousStatsTable[[#This Row],[ProjectName]]),(ProjectInfoTable[ProjectName]=ContinuousStatsTable[[#This Row],[ProjectName]])*ProjectInfoTable[NumberOfReplications]))</f>
        <v>10</v>
      </c>
      <c r="O378" cm="1">
        <f t="array" ref="O378">IFERROR(AVERAGE(IF((ContinuousStatsTable[GroupByKey]=ContinuousStatsTable[[#This Row],[GroupByKey]]),(ContinuousStatsTable[GroupByKey]=ContinuousStatsTable[[#This Row],[GroupByKey]])*ContinuousStatsTable[Average])),0)</f>
        <v>3</v>
      </c>
      <c r="P378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cm="1">
        <f t="array" ref="S378">MIN(IF((ContinuousStatsTable[GroupByKey]=ContinuousStatsTable[[#This Row],[GroupByKey]]),(ContinuousStatsTable[GroupByKey]=ContinuousStatsTable[[#This Row],[GroupByKey]])*ContinuousStatsTable[Average]))</f>
        <v>3</v>
      </c>
      <c r="T378" cm="1">
        <f t="array" ref="T378">MAX(IF((ContinuousStatsTable[GroupByKey]=ContinuousStatsTable[[#This Row],[GroupByKey]]),(ContinuousStatsTable[GroupByKey]=ContinuousStatsTable[[#This Row],[GroupByKey]])*ContinuousStatsTable[Average]))</f>
        <v>3</v>
      </c>
      <c r="U378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67</v>
      </c>
      <c r="B379" t="s">
        <v>243</v>
      </c>
      <c r="C379">
        <v>5</v>
      </c>
      <c r="D379" t="s">
        <v>130</v>
      </c>
      <c r="E379" t="s">
        <v>112</v>
      </c>
      <c r="F379" t="s">
        <v>113</v>
      </c>
      <c r="G379">
        <v>0.476389499692775</v>
      </c>
      <c r="H379">
        <v>2E+20</v>
      </c>
      <c r="I379">
        <v>0</v>
      </c>
      <c r="J379">
        <v>1</v>
      </c>
      <c r="K379">
        <v>0</v>
      </c>
      <c r="L379">
        <v>0</v>
      </c>
      <c r="M379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379" cm="1">
        <f t="array" ref="N379">MAX(IF((ProjectInfoTable[ProjectName]=ContinuousStatsTable[[#This Row],[ProjectName]]),(ProjectInfoTable[ProjectName]=ContinuousStatsTable[[#This Row],[ProjectName]])*ProjectInfoTable[NumberOfReplications]))</f>
        <v>10</v>
      </c>
      <c r="O379" cm="1">
        <f t="array" ref="O379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379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379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379" cm="1">
        <f t="array" ref="S379">MIN(IF((ContinuousStatsTable[GroupByKey]=ContinuousStatsTable[[#This Row],[GroupByKey]]),(ContinuousStatsTable[GroupByKey]=ContinuousStatsTable[[#This Row],[GroupByKey]])*ContinuousStatsTable[Average]))</f>
        <v>0.47638046343127</v>
      </c>
      <c r="T379" cm="1">
        <f t="array" ref="T379">MAX(IF((ContinuousStatsTable[GroupByKey]=ContinuousStatsTable[[#This Row],[GroupByKey]]),(ContinuousStatsTable[GroupByKey]=ContinuousStatsTable[[#This Row],[GroupByKey]])*ContinuousStatsTable[Average]))</f>
        <v>0.47647340349894202</v>
      </c>
      <c r="U379">
        <f>IF((ContinuousStatsTable[[#This Row],[RepsRequested]]&gt;1),ContinuousStatsTable[[#This Row],[HalfWidth]],ContinuousStatsTable[[#This Row],[BatchMeansHalfWidth]])</f>
        <v>2.530338482140405E-5</v>
      </c>
    </row>
    <row r="380" spans="1:21" x14ac:dyDescent="0.25">
      <c r="A380" t="s">
        <v>67</v>
      </c>
      <c r="B380" t="s">
        <v>243</v>
      </c>
      <c r="C380">
        <v>5</v>
      </c>
      <c r="D380" t="s">
        <v>130</v>
      </c>
      <c r="E380" t="s">
        <v>114</v>
      </c>
      <c r="F380" t="s">
        <v>113</v>
      </c>
      <c r="G380">
        <v>0.476389499692775</v>
      </c>
      <c r="H380">
        <v>2E+20</v>
      </c>
      <c r="I380">
        <v>0</v>
      </c>
      <c r="J380">
        <v>1</v>
      </c>
      <c r="K380">
        <v>0</v>
      </c>
      <c r="L380">
        <v>0</v>
      </c>
      <c r="M380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380" cm="1">
        <f t="array" ref="N380">MAX(IF((ProjectInfoTable[ProjectName]=ContinuousStatsTable[[#This Row],[ProjectName]]),(ProjectInfoTable[ProjectName]=ContinuousStatsTable[[#This Row],[ProjectName]])*ProjectInfoTable[NumberOfReplications]))</f>
        <v>10</v>
      </c>
      <c r="O380" cm="1">
        <f t="array" ref="O380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380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380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380" cm="1">
        <f t="array" ref="S380">MIN(IF((ContinuousStatsTable[GroupByKey]=ContinuousStatsTable[[#This Row],[GroupByKey]]),(ContinuousStatsTable[GroupByKey]=ContinuousStatsTable[[#This Row],[GroupByKey]])*ContinuousStatsTable[Average]))</f>
        <v>0.47638046343127</v>
      </c>
      <c r="T380" cm="1">
        <f t="array" ref="T380">MAX(IF((ContinuousStatsTable[GroupByKey]=ContinuousStatsTable[[#This Row],[GroupByKey]]),(ContinuousStatsTable[GroupByKey]=ContinuousStatsTable[[#This Row],[GroupByKey]])*ContinuousStatsTable[Average]))</f>
        <v>0.47647340349894202</v>
      </c>
      <c r="U380">
        <f>IF((ContinuousStatsTable[[#This Row],[RepsRequested]]&gt;1),ContinuousStatsTable[[#This Row],[HalfWidth]],ContinuousStatsTable[[#This Row],[BatchMeansHalfWidth]])</f>
        <v>2.530338482140405E-5</v>
      </c>
    </row>
    <row r="381" spans="1:21" x14ac:dyDescent="0.25">
      <c r="A381" t="s">
        <v>67</v>
      </c>
      <c r="B381" t="s">
        <v>243</v>
      </c>
      <c r="C381">
        <v>5</v>
      </c>
      <c r="D381" t="s">
        <v>130</v>
      </c>
      <c r="E381" t="s">
        <v>115</v>
      </c>
      <c r="F381" t="s">
        <v>113</v>
      </c>
      <c r="G381">
        <v>0.476190476190476</v>
      </c>
      <c r="H381">
        <v>2E+20</v>
      </c>
      <c r="I381">
        <v>0</v>
      </c>
      <c r="J381">
        <v>1</v>
      </c>
      <c r="K381">
        <v>0</v>
      </c>
      <c r="L381">
        <v>0</v>
      </c>
      <c r="M381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381" cm="1">
        <f t="array" ref="N381">MAX(IF((ProjectInfoTable[ProjectName]=ContinuousStatsTable[[#This Row],[ProjectName]]),(ProjectInfoTable[ProjectName]=ContinuousStatsTable[[#This Row],[ProjectName]])*ProjectInfoTable[NumberOfReplications]))</f>
        <v>10</v>
      </c>
      <c r="O381" cm="1">
        <f t="array" ref="O381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81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cm="1">
        <f t="array" ref="S381">MIN(IF((ContinuousStatsTable[GroupByKey]=ContinuousStatsTable[[#This Row],[GroupByKey]]),(ContinuousStatsTable[GroupByKey]=ContinuousStatsTable[[#This Row],[GroupByKey]])*ContinuousStatsTable[Average]))</f>
        <v>0.476190476190476</v>
      </c>
      <c r="T381" cm="1">
        <f t="array" ref="T381">MAX(IF((ContinuousStatsTable[GroupByKey]=ContinuousStatsTable[[#This Row],[GroupByKey]]),(ContinuousStatsTable[GroupByKey]=ContinuousStatsTable[[#This Row],[GroupByKey]])*ContinuousStatsTable[Average]))</f>
        <v>0.476190476190476</v>
      </c>
      <c r="U381">
        <f>IF((ContinuousStatsTable[[#This Row],[RepsRequested]]&gt;1),ContinuousStatsTable[[#This Row],[HalfWidth]],ContinuousStatsTable[[#This Row],[BatchMeansHalfWidth]])</f>
        <v>0</v>
      </c>
    </row>
    <row r="382" spans="1:21" x14ac:dyDescent="0.25">
      <c r="A382" t="s">
        <v>67</v>
      </c>
      <c r="B382" t="s">
        <v>243</v>
      </c>
      <c r="C382">
        <v>5</v>
      </c>
      <c r="D382" t="s">
        <v>131</v>
      </c>
      <c r="E382" t="s">
        <v>112</v>
      </c>
      <c r="F382" t="s">
        <v>113</v>
      </c>
      <c r="G382">
        <v>0.34712505386175102</v>
      </c>
      <c r="H382">
        <v>3E+20</v>
      </c>
      <c r="I382">
        <v>0</v>
      </c>
      <c r="J382">
        <v>1</v>
      </c>
      <c r="K382">
        <v>0</v>
      </c>
      <c r="L382">
        <v>0</v>
      </c>
      <c r="M382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382" cm="1">
        <f t="array" ref="N382">MAX(IF((ProjectInfoTable[ProjectName]=ContinuousStatsTable[[#This Row],[ProjectName]]),(ProjectInfoTable[ProjectName]=ContinuousStatsTable[[#This Row],[ProjectName]])*ProjectInfoTable[NumberOfReplications]))</f>
        <v>10</v>
      </c>
      <c r="O382" cm="1">
        <f t="array" ref="O382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382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382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382" cm="1">
        <f t="array" ref="S382">MIN(IF((ContinuousStatsTable[GroupByKey]=ContinuousStatsTable[[#This Row],[GroupByKey]]),(ContinuousStatsTable[GroupByKey]=ContinuousStatsTable[[#This Row],[GroupByKey]])*ContinuousStatsTable[Average]))</f>
        <v>0.34602746258727701</v>
      </c>
      <c r="T382" cm="1">
        <f t="array" ref="T382">MAX(IF((ContinuousStatsTable[GroupByKey]=ContinuousStatsTable[[#This Row],[GroupByKey]]),(ContinuousStatsTable[GroupByKey]=ContinuousStatsTable[[#This Row],[GroupByKey]])*ContinuousStatsTable[Average]))</f>
        <v>0.34712505386175102</v>
      </c>
      <c r="U382">
        <f>IF((ContinuousStatsTable[[#This Row],[RepsRequested]]&gt;1),ContinuousStatsTable[[#This Row],[HalfWidth]],ContinuousStatsTable[[#This Row],[BatchMeansHalfWidth]])</f>
        <v>2.4134201748419608E-4</v>
      </c>
    </row>
    <row r="383" spans="1:21" x14ac:dyDescent="0.25">
      <c r="A383" t="s">
        <v>67</v>
      </c>
      <c r="B383" t="s">
        <v>243</v>
      </c>
      <c r="C383">
        <v>5</v>
      </c>
      <c r="D383" t="s">
        <v>131</v>
      </c>
      <c r="E383" t="s">
        <v>114</v>
      </c>
      <c r="F383" t="s">
        <v>113</v>
      </c>
      <c r="G383">
        <v>0.34712505386175102</v>
      </c>
      <c r="H383">
        <v>3E+20</v>
      </c>
      <c r="I383">
        <v>0</v>
      </c>
      <c r="J383">
        <v>1</v>
      </c>
      <c r="K383">
        <v>0</v>
      </c>
      <c r="L383">
        <v>0</v>
      </c>
      <c r="M383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383" cm="1">
        <f t="array" ref="N383">MAX(IF((ProjectInfoTable[ProjectName]=ContinuousStatsTable[[#This Row],[ProjectName]]),(ProjectInfoTable[ProjectName]=ContinuousStatsTable[[#This Row],[ProjectName]])*ProjectInfoTable[NumberOfReplications]))</f>
        <v>10</v>
      </c>
      <c r="O383" cm="1">
        <f t="array" ref="O383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383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383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383" cm="1">
        <f t="array" ref="S383">MIN(IF((ContinuousStatsTable[GroupByKey]=ContinuousStatsTable[[#This Row],[GroupByKey]]),(ContinuousStatsTable[GroupByKey]=ContinuousStatsTable[[#This Row],[GroupByKey]])*ContinuousStatsTable[Average]))</f>
        <v>0.34602746258727701</v>
      </c>
      <c r="T383" cm="1">
        <f t="array" ref="T383">MAX(IF((ContinuousStatsTable[GroupByKey]=ContinuousStatsTable[[#This Row],[GroupByKey]]),(ContinuousStatsTable[GroupByKey]=ContinuousStatsTable[[#This Row],[GroupByKey]])*ContinuousStatsTable[Average]))</f>
        <v>0.34712505386175102</v>
      </c>
      <c r="U383">
        <f>IF((ContinuousStatsTable[[#This Row],[RepsRequested]]&gt;1),ContinuousStatsTable[[#This Row],[HalfWidth]],ContinuousStatsTable[[#This Row],[BatchMeansHalfWidth]])</f>
        <v>2.4134201748419608E-4</v>
      </c>
    </row>
    <row r="384" spans="1:21" x14ac:dyDescent="0.25">
      <c r="A384" t="s">
        <v>67</v>
      </c>
      <c r="B384" t="s">
        <v>243</v>
      </c>
      <c r="C384">
        <v>5</v>
      </c>
      <c r="D384" t="s">
        <v>131</v>
      </c>
      <c r="E384" t="s">
        <v>115</v>
      </c>
      <c r="F384" t="s">
        <v>113</v>
      </c>
      <c r="G384">
        <v>0.476190476190476</v>
      </c>
      <c r="H384">
        <v>2E+20</v>
      </c>
      <c r="I384">
        <v>0</v>
      </c>
      <c r="J384">
        <v>1</v>
      </c>
      <c r="K384">
        <v>0</v>
      </c>
      <c r="L384">
        <v>0</v>
      </c>
      <c r="M384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384" cm="1">
        <f t="array" ref="N384">MAX(IF((ProjectInfoTable[ProjectName]=ContinuousStatsTable[[#This Row],[ProjectName]]),(ProjectInfoTable[ProjectName]=ContinuousStatsTable[[#This Row],[ProjectName]])*ProjectInfoTable[NumberOfReplications]))</f>
        <v>10</v>
      </c>
      <c r="O384" cm="1">
        <f t="array" ref="O38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84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cm="1">
        <f t="array" ref="S384">MIN(IF((ContinuousStatsTable[GroupByKey]=ContinuousStatsTable[[#This Row],[GroupByKey]]),(ContinuousStatsTable[GroupByKey]=ContinuousStatsTable[[#This Row],[GroupByKey]])*ContinuousStatsTable[Average]))</f>
        <v>0.476190476190476</v>
      </c>
      <c r="T384" cm="1">
        <f t="array" ref="T384">MAX(IF((ContinuousStatsTable[GroupByKey]=ContinuousStatsTable[[#This Row],[GroupByKey]]),(ContinuousStatsTable[GroupByKey]=ContinuousStatsTable[[#This Row],[GroupByKey]])*ContinuousStatsTable[Average]))</f>
        <v>0.476190476190476</v>
      </c>
      <c r="U384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67</v>
      </c>
      <c r="B385" t="s">
        <v>243</v>
      </c>
      <c r="C385">
        <v>5</v>
      </c>
      <c r="D385" t="s">
        <v>132</v>
      </c>
      <c r="E385" t="s">
        <v>112</v>
      </c>
      <c r="F385" t="s">
        <v>113</v>
      </c>
      <c r="G385">
        <v>0.45497529193731701</v>
      </c>
      <c r="H385">
        <v>3E+20</v>
      </c>
      <c r="I385">
        <v>0</v>
      </c>
      <c r="J385">
        <v>1</v>
      </c>
      <c r="K385">
        <v>0</v>
      </c>
      <c r="L385">
        <v>0</v>
      </c>
      <c r="M385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385" cm="1">
        <f t="array" ref="N385">MAX(IF((ProjectInfoTable[ProjectName]=ContinuousStatsTable[[#This Row],[ProjectName]]),(ProjectInfoTable[ProjectName]=ContinuousStatsTable[[#This Row],[ProjectName]])*ProjectInfoTable[NumberOfReplications]))</f>
        <v>10</v>
      </c>
      <c r="O385" cm="1">
        <f t="array" ref="O385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38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38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385" cm="1">
        <f t="array" ref="S385">MIN(IF((ContinuousStatsTable[GroupByKey]=ContinuousStatsTable[[#This Row],[GroupByKey]]),(ContinuousStatsTable[GroupByKey]=ContinuousStatsTable[[#This Row],[GroupByKey]])*ContinuousStatsTable[Average]))</f>
        <v>0.45404133128311103</v>
      </c>
      <c r="T385" cm="1">
        <f t="array" ref="T385">MAX(IF((ContinuousStatsTable[GroupByKey]=ContinuousStatsTable[[#This Row],[GroupByKey]]),(ContinuousStatsTable[GroupByKey]=ContinuousStatsTable[[#This Row],[GroupByKey]])*ContinuousStatsTable[Average]))</f>
        <v>0.45518418142323402</v>
      </c>
      <c r="U385">
        <f>IF((ContinuousStatsTable[[#This Row],[RepsRequested]]&gt;1),ContinuousStatsTable[[#This Row],[HalfWidth]],ContinuousStatsTable[[#This Row],[BatchMeansHalfWidth]])</f>
        <v>2.6178321488092363E-4</v>
      </c>
    </row>
    <row r="386" spans="1:21" x14ac:dyDescent="0.25">
      <c r="A386" t="s">
        <v>67</v>
      </c>
      <c r="B386" t="s">
        <v>243</v>
      </c>
      <c r="C386">
        <v>5</v>
      </c>
      <c r="D386" t="s">
        <v>132</v>
      </c>
      <c r="E386" t="s">
        <v>114</v>
      </c>
      <c r="F386" t="s">
        <v>113</v>
      </c>
      <c r="G386">
        <v>0.45497529193731701</v>
      </c>
      <c r="H386">
        <v>3E+20</v>
      </c>
      <c r="I386">
        <v>0</v>
      </c>
      <c r="J386">
        <v>1</v>
      </c>
      <c r="K386">
        <v>0</v>
      </c>
      <c r="L386">
        <v>0</v>
      </c>
      <c r="M386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386" cm="1">
        <f t="array" ref="N386">MAX(IF((ProjectInfoTable[ProjectName]=ContinuousStatsTable[[#This Row],[ProjectName]]),(ProjectInfoTable[ProjectName]=ContinuousStatsTable[[#This Row],[ProjectName]])*ProjectInfoTable[NumberOfReplications]))</f>
        <v>10</v>
      </c>
      <c r="O386" cm="1">
        <f t="array" ref="O386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386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386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386" cm="1">
        <f t="array" ref="S386">MIN(IF((ContinuousStatsTable[GroupByKey]=ContinuousStatsTable[[#This Row],[GroupByKey]]),(ContinuousStatsTable[GroupByKey]=ContinuousStatsTable[[#This Row],[GroupByKey]])*ContinuousStatsTable[Average]))</f>
        <v>0.45404133128311103</v>
      </c>
      <c r="T386" cm="1">
        <f t="array" ref="T386">MAX(IF((ContinuousStatsTable[GroupByKey]=ContinuousStatsTable[[#This Row],[GroupByKey]]),(ContinuousStatsTable[GroupByKey]=ContinuousStatsTable[[#This Row],[GroupByKey]])*ContinuousStatsTable[Average]))</f>
        <v>0.45518418142323402</v>
      </c>
      <c r="U386">
        <f>IF((ContinuousStatsTable[[#This Row],[RepsRequested]]&gt;1),ContinuousStatsTable[[#This Row],[HalfWidth]],ContinuousStatsTable[[#This Row],[BatchMeansHalfWidth]])</f>
        <v>2.6178321488092363E-4</v>
      </c>
    </row>
    <row r="387" spans="1:21" x14ac:dyDescent="0.25">
      <c r="A387" t="s">
        <v>67</v>
      </c>
      <c r="B387" t="s">
        <v>243</v>
      </c>
      <c r="C387">
        <v>5</v>
      </c>
      <c r="D387" t="s">
        <v>132</v>
      </c>
      <c r="E387" t="s">
        <v>115</v>
      </c>
      <c r="F387" t="s">
        <v>113</v>
      </c>
      <c r="G387">
        <v>0.476190476190476</v>
      </c>
      <c r="H387">
        <v>2E+20</v>
      </c>
      <c r="I387">
        <v>0</v>
      </c>
      <c r="J387">
        <v>1</v>
      </c>
      <c r="K387">
        <v>0</v>
      </c>
      <c r="L387">
        <v>0</v>
      </c>
      <c r="M387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387" cm="1">
        <f t="array" ref="N387">MAX(IF((ProjectInfoTable[ProjectName]=ContinuousStatsTable[[#This Row],[ProjectName]]),(ProjectInfoTable[ProjectName]=ContinuousStatsTable[[#This Row],[ProjectName]])*ProjectInfoTable[NumberOfReplications]))</f>
        <v>10</v>
      </c>
      <c r="O387" cm="1">
        <f t="array" ref="O387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87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cm="1">
        <f t="array" ref="S387">MIN(IF((ContinuousStatsTable[GroupByKey]=ContinuousStatsTable[[#This Row],[GroupByKey]]),(ContinuousStatsTable[GroupByKey]=ContinuousStatsTable[[#This Row],[GroupByKey]])*ContinuousStatsTable[Average]))</f>
        <v>0.476190476190476</v>
      </c>
      <c r="T387" cm="1">
        <f t="array" ref="T387">MAX(IF((ContinuousStatsTable[GroupByKey]=ContinuousStatsTable[[#This Row],[GroupByKey]]),(ContinuousStatsTable[GroupByKey]=ContinuousStatsTable[[#This Row],[GroupByKey]])*ContinuousStatsTable[Average]))</f>
        <v>0.476190476190476</v>
      </c>
      <c r="U387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67</v>
      </c>
      <c r="B388" t="s">
        <v>243</v>
      </c>
      <c r="C388">
        <v>5</v>
      </c>
      <c r="D388" t="s">
        <v>133</v>
      </c>
      <c r="E388" t="s">
        <v>112</v>
      </c>
      <c r="F388" t="s">
        <v>113</v>
      </c>
      <c r="G388">
        <v>0.23202343200723599</v>
      </c>
      <c r="H388">
        <v>3E+20</v>
      </c>
      <c r="I388">
        <v>0</v>
      </c>
      <c r="J388">
        <v>1</v>
      </c>
      <c r="K388">
        <v>0</v>
      </c>
      <c r="L388">
        <v>0</v>
      </c>
      <c r="M388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388" cm="1">
        <f t="array" ref="N388">MAX(IF((ProjectInfoTable[ProjectName]=ContinuousStatsTable[[#This Row],[ProjectName]]),(ProjectInfoTable[ProjectName]=ContinuousStatsTable[[#This Row],[ProjectName]])*ProjectInfoTable[NumberOfReplications]))</f>
        <v>10</v>
      </c>
      <c r="O388" cm="1">
        <f t="array" ref="O388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388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388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388" cm="1">
        <f t="array" ref="S388">MIN(IF((ContinuousStatsTable[GroupByKey]=ContinuousStatsTable[[#This Row],[GroupByKey]]),(ContinuousStatsTable[GroupByKey]=ContinuousStatsTable[[#This Row],[GroupByKey]])*ContinuousStatsTable[Average]))</f>
        <v>0.230969532572807</v>
      </c>
      <c r="T388" cm="1">
        <f t="array" ref="T388">MAX(IF((ContinuousStatsTable[GroupByKey]=ContinuousStatsTable[[#This Row],[GroupByKey]]),(ContinuousStatsTable[GroupByKey]=ContinuousStatsTable[[#This Row],[GroupByKey]])*ContinuousStatsTable[Average]))</f>
        <v>0.23202343200723599</v>
      </c>
      <c r="U388">
        <f>IF((ContinuousStatsTable[[#This Row],[RepsRequested]]&gt;1),ContinuousStatsTable[[#This Row],[HalfWidth]],ContinuousStatsTable[[#This Row],[BatchMeansHalfWidth]])</f>
        <v>2.4725912837525509E-4</v>
      </c>
    </row>
    <row r="389" spans="1:21" x14ac:dyDescent="0.25">
      <c r="A389" t="s">
        <v>67</v>
      </c>
      <c r="B389" t="s">
        <v>243</v>
      </c>
      <c r="C389">
        <v>5</v>
      </c>
      <c r="D389" t="s">
        <v>133</v>
      </c>
      <c r="E389" t="s">
        <v>114</v>
      </c>
      <c r="F389" t="s">
        <v>113</v>
      </c>
      <c r="G389">
        <v>0.23202343200723599</v>
      </c>
      <c r="H389">
        <v>3E+20</v>
      </c>
      <c r="I389">
        <v>0</v>
      </c>
      <c r="J389">
        <v>1</v>
      </c>
      <c r="K389">
        <v>0</v>
      </c>
      <c r="L389">
        <v>0</v>
      </c>
      <c r="M389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389" cm="1">
        <f t="array" ref="N389">MAX(IF((ProjectInfoTable[ProjectName]=ContinuousStatsTable[[#This Row],[ProjectName]]),(ProjectInfoTable[ProjectName]=ContinuousStatsTable[[#This Row],[ProjectName]])*ProjectInfoTable[NumberOfReplications]))</f>
        <v>10</v>
      </c>
      <c r="O389" cm="1">
        <f t="array" ref="O389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389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389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389" cm="1">
        <f t="array" ref="S389">MIN(IF((ContinuousStatsTable[GroupByKey]=ContinuousStatsTable[[#This Row],[GroupByKey]]),(ContinuousStatsTable[GroupByKey]=ContinuousStatsTable[[#This Row],[GroupByKey]])*ContinuousStatsTable[Average]))</f>
        <v>0.230969532572807</v>
      </c>
      <c r="T389" cm="1">
        <f t="array" ref="T389">MAX(IF((ContinuousStatsTable[GroupByKey]=ContinuousStatsTable[[#This Row],[GroupByKey]]),(ContinuousStatsTable[GroupByKey]=ContinuousStatsTable[[#This Row],[GroupByKey]])*ContinuousStatsTable[Average]))</f>
        <v>0.23202343200723599</v>
      </c>
      <c r="U389">
        <f>IF((ContinuousStatsTable[[#This Row],[RepsRequested]]&gt;1),ContinuousStatsTable[[#This Row],[HalfWidth]],ContinuousStatsTable[[#This Row],[BatchMeansHalfWidth]])</f>
        <v>2.4725912837525509E-4</v>
      </c>
    </row>
    <row r="390" spans="1:21" x14ac:dyDescent="0.25">
      <c r="A390" t="s">
        <v>67</v>
      </c>
      <c r="B390" t="s">
        <v>243</v>
      </c>
      <c r="C390">
        <v>5</v>
      </c>
      <c r="D390" t="s">
        <v>133</v>
      </c>
      <c r="E390" t="s">
        <v>115</v>
      </c>
      <c r="F390" t="s">
        <v>113</v>
      </c>
      <c r="G390">
        <v>0.476190476190476</v>
      </c>
      <c r="H390">
        <v>2E+20</v>
      </c>
      <c r="I390">
        <v>0</v>
      </c>
      <c r="J390">
        <v>1</v>
      </c>
      <c r="K390">
        <v>0</v>
      </c>
      <c r="L390">
        <v>0</v>
      </c>
      <c r="M390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390" cm="1">
        <f t="array" ref="N390">MAX(IF((ProjectInfoTable[ProjectName]=ContinuousStatsTable[[#This Row],[ProjectName]]),(ProjectInfoTable[ProjectName]=ContinuousStatsTable[[#This Row],[ProjectName]])*ProjectInfoTable[NumberOfReplications]))</f>
        <v>10</v>
      </c>
      <c r="O390" cm="1">
        <f t="array" ref="O390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90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0</v>
      </c>
      <c r="Q390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0" cm="1">
        <f t="array" ref="S390">MIN(IF((ContinuousStatsTable[GroupByKey]=ContinuousStatsTable[[#This Row],[GroupByKey]]),(ContinuousStatsTable[GroupByKey]=ContinuousStatsTable[[#This Row],[GroupByKey]])*ContinuousStatsTable[Average]))</f>
        <v>0.476190476190476</v>
      </c>
      <c r="T390" cm="1">
        <f t="array" ref="T390">MAX(IF((ContinuousStatsTable[GroupByKey]=ContinuousStatsTable[[#This Row],[GroupByKey]]),(ContinuousStatsTable[GroupByKey]=ContinuousStatsTable[[#This Row],[GroupByKey]])*ContinuousStatsTable[Average]))</f>
        <v>0.476190476190476</v>
      </c>
      <c r="U390">
        <f>IF((ContinuousStatsTable[[#This Row],[RepsRequested]]&gt;1),ContinuousStatsTable[[#This Row],[HalfWidth]],ContinuousStatsTable[[#This Row],[BatchMeansHalfWidth]])</f>
        <v>0</v>
      </c>
    </row>
    <row r="391" spans="1:21" x14ac:dyDescent="0.25">
      <c r="A391" t="s">
        <v>67</v>
      </c>
      <c r="B391" t="s">
        <v>243</v>
      </c>
      <c r="C391">
        <v>5</v>
      </c>
      <c r="D391" t="s">
        <v>134</v>
      </c>
      <c r="E391" t="s">
        <v>112</v>
      </c>
      <c r="F391" t="s">
        <v>113</v>
      </c>
      <c r="G391">
        <v>0.27224254865187397</v>
      </c>
      <c r="H391">
        <v>3E+20</v>
      </c>
      <c r="I391">
        <v>0</v>
      </c>
      <c r="J391">
        <v>1</v>
      </c>
      <c r="K391">
        <v>0</v>
      </c>
      <c r="L391">
        <v>0</v>
      </c>
      <c r="M391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391" cm="1">
        <f t="array" ref="N391">MAX(IF((ProjectInfoTable[ProjectName]=ContinuousStatsTable[[#This Row],[ProjectName]]),(ProjectInfoTable[ProjectName]=ContinuousStatsTable[[#This Row],[ProjectName]])*ProjectInfoTable[NumberOfReplications]))</f>
        <v>10</v>
      </c>
      <c r="O391" cm="1">
        <f t="array" ref="O391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391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391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391" cm="1">
        <f t="array" ref="S391">MIN(IF((ContinuousStatsTable[GroupByKey]=ContinuousStatsTable[[#This Row],[GroupByKey]]),(ContinuousStatsTable[GroupByKey]=ContinuousStatsTable[[#This Row],[GroupByKey]])*ContinuousStatsTable[Average]))</f>
        <v>0.271979535431421</v>
      </c>
      <c r="T391" cm="1">
        <f t="array" ref="T391">MAX(IF((ContinuousStatsTable[GroupByKey]=ContinuousStatsTable[[#This Row],[GroupByKey]]),(ContinuousStatsTable[GroupByKey]=ContinuousStatsTable[[#This Row],[GroupByKey]])*ContinuousStatsTable[Average]))</f>
        <v>0.27283313106114998</v>
      </c>
      <c r="U391">
        <f>IF((ContinuousStatsTable[[#This Row],[RepsRequested]]&gt;1),ContinuousStatsTable[[#This Row],[HalfWidth]],ContinuousStatsTable[[#This Row],[BatchMeansHalfWidth]])</f>
        <v>1.7269361236560142E-4</v>
      </c>
    </row>
    <row r="392" spans="1:21" x14ac:dyDescent="0.25">
      <c r="A392" t="s">
        <v>67</v>
      </c>
      <c r="B392" t="s">
        <v>243</v>
      </c>
      <c r="C392">
        <v>5</v>
      </c>
      <c r="D392" t="s">
        <v>134</v>
      </c>
      <c r="E392" t="s">
        <v>114</v>
      </c>
      <c r="F392" t="s">
        <v>113</v>
      </c>
      <c r="G392">
        <v>0.27224254865187397</v>
      </c>
      <c r="H392">
        <v>3E+20</v>
      </c>
      <c r="I392">
        <v>0</v>
      </c>
      <c r="J392">
        <v>1</v>
      </c>
      <c r="K392">
        <v>0</v>
      </c>
      <c r="L392">
        <v>0</v>
      </c>
      <c r="M392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392" cm="1">
        <f t="array" ref="N392">MAX(IF((ProjectInfoTable[ProjectName]=ContinuousStatsTable[[#This Row],[ProjectName]]),(ProjectInfoTable[ProjectName]=ContinuousStatsTable[[#This Row],[ProjectName]])*ProjectInfoTable[NumberOfReplications]))</f>
        <v>10</v>
      </c>
      <c r="O392" cm="1">
        <f t="array" ref="O392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392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392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392" cm="1">
        <f t="array" ref="S392">MIN(IF((ContinuousStatsTable[GroupByKey]=ContinuousStatsTable[[#This Row],[GroupByKey]]),(ContinuousStatsTable[GroupByKey]=ContinuousStatsTable[[#This Row],[GroupByKey]])*ContinuousStatsTable[Average]))</f>
        <v>0.271979535431421</v>
      </c>
      <c r="T392" cm="1">
        <f t="array" ref="T392">MAX(IF((ContinuousStatsTable[GroupByKey]=ContinuousStatsTable[[#This Row],[GroupByKey]]),(ContinuousStatsTable[GroupByKey]=ContinuousStatsTable[[#This Row],[GroupByKey]])*ContinuousStatsTable[Average]))</f>
        <v>0.27283313106114998</v>
      </c>
      <c r="U392">
        <f>IF((ContinuousStatsTable[[#This Row],[RepsRequested]]&gt;1),ContinuousStatsTable[[#This Row],[HalfWidth]],ContinuousStatsTable[[#This Row],[BatchMeansHalfWidth]])</f>
        <v>1.7269361236560142E-4</v>
      </c>
    </row>
    <row r="393" spans="1:21" x14ac:dyDescent="0.25">
      <c r="A393" t="s">
        <v>67</v>
      </c>
      <c r="B393" t="s">
        <v>243</v>
      </c>
      <c r="C393">
        <v>5</v>
      </c>
      <c r="D393" t="s">
        <v>134</v>
      </c>
      <c r="E393" t="s">
        <v>115</v>
      </c>
      <c r="F393" t="s">
        <v>113</v>
      </c>
      <c r="G393">
        <v>0.476190476190476</v>
      </c>
      <c r="H393">
        <v>2E+20</v>
      </c>
      <c r="I393">
        <v>0</v>
      </c>
      <c r="J393">
        <v>1</v>
      </c>
      <c r="K393">
        <v>0</v>
      </c>
      <c r="L393">
        <v>0</v>
      </c>
      <c r="M393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393" cm="1">
        <f t="array" ref="N393">MAX(IF((ProjectInfoTable[ProjectName]=ContinuousStatsTable[[#This Row],[ProjectName]]),(ProjectInfoTable[ProjectName]=ContinuousStatsTable[[#This Row],[ProjectName]])*ProjectInfoTable[NumberOfReplications]))</f>
        <v>10</v>
      </c>
      <c r="O393" cm="1">
        <f t="array" ref="O393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93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</v>
      </c>
      <c r="Q393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3" cm="1">
        <f t="array" ref="S393">MIN(IF((ContinuousStatsTable[GroupByKey]=ContinuousStatsTable[[#This Row],[GroupByKey]]),(ContinuousStatsTable[GroupByKey]=ContinuousStatsTable[[#This Row],[GroupByKey]])*ContinuousStatsTable[Average]))</f>
        <v>0.476190476190476</v>
      </c>
      <c r="T393" cm="1">
        <f t="array" ref="T393">MAX(IF((ContinuousStatsTable[GroupByKey]=ContinuousStatsTable[[#This Row],[GroupByKey]]),(ContinuousStatsTable[GroupByKey]=ContinuousStatsTable[[#This Row],[GroupByKey]])*ContinuousStatsTable[Average]))</f>
        <v>0.476190476190476</v>
      </c>
      <c r="U393">
        <f>IF((ContinuousStatsTable[[#This Row],[RepsRequested]]&gt;1),ContinuousStatsTable[[#This Row],[HalfWidth]],ContinuousStatsTable[[#This Row],[BatchMeansHalfWidth]])</f>
        <v>0</v>
      </c>
    </row>
    <row r="394" spans="1:21" x14ac:dyDescent="0.25">
      <c r="A394" t="s">
        <v>67</v>
      </c>
      <c r="B394" t="s">
        <v>243</v>
      </c>
      <c r="C394">
        <v>5</v>
      </c>
      <c r="D394" t="s">
        <v>135</v>
      </c>
      <c r="E394" t="s">
        <v>112</v>
      </c>
      <c r="F394" t="s">
        <v>113</v>
      </c>
      <c r="G394">
        <v>0.47622171379262102</v>
      </c>
      <c r="H394">
        <v>2E+20</v>
      </c>
      <c r="I394">
        <v>0</v>
      </c>
      <c r="J394">
        <v>1</v>
      </c>
      <c r="K394">
        <v>0</v>
      </c>
      <c r="L394">
        <v>0</v>
      </c>
      <c r="M394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394" cm="1">
        <f t="array" ref="N394">MAX(IF((ProjectInfoTable[ProjectName]=ContinuousStatsTable[[#This Row],[ProjectName]]),(ProjectInfoTable[ProjectName]=ContinuousStatsTable[[#This Row],[ProjectName]])*ProjectInfoTable[NumberOfReplications]))</f>
        <v>10</v>
      </c>
      <c r="O394" cm="1">
        <f t="array" ref="O394">IFERROR(AVERAGE(IF((ContinuousStatsTable[GroupByKey]=ContinuousStatsTable[[#This Row],[GroupByKey]]),(ContinuousStatsTable[GroupByKey]=ContinuousStatsTable[[#This Row],[GroupByKey]])*ContinuousStatsTable[Average])),0)</f>
        <v>0.47640752107427203</v>
      </c>
      <c r="P394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7.9809559904816854E-5</v>
      </c>
      <c r="Q394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5.7092319840390197E-5</v>
      </c>
      <c r="S394" cm="1">
        <f t="array" ref="S394">MIN(IF((ContinuousStatsTable[GroupByKey]=ContinuousStatsTable[[#This Row],[GroupByKey]]),(ContinuousStatsTable[GroupByKey]=ContinuousStatsTable[[#This Row],[GroupByKey]])*ContinuousStatsTable[Average]))</f>
        <v>0.47622171379262102</v>
      </c>
      <c r="T394" cm="1">
        <f t="array" ref="T394">MAX(IF((ContinuousStatsTable[GroupByKey]=ContinuousStatsTable[[#This Row],[GroupByKey]]),(ContinuousStatsTable[GroupByKey]=ContinuousStatsTable[[#This Row],[GroupByKey]])*ContinuousStatsTable[Average]))</f>
        <v>0.47651577494330499</v>
      </c>
      <c r="U394">
        <f>IF((ContinuousStatsTable[[#This Row],[RepsRequested]]&gt;1),ContinuousStatsTable[[#This Row],[HalfWidth]],ContinuousStatsTable[[#This Row],[BatchMeansHalfWidth]])</f>
        <v>5.7092319840390197E-5</v>
      </c>
    </row>
    <row r="395" spans="1:21" x14ac:dyDescent="0.25">
      <c r="A395" t="s">
        <v>67</v>
      </c>
      <c r="B395" t="s">
        <v>243</v>
      </c>
      <c r="C395">
        <v>5</v>
      </c>
      <c r="D395" t="s">
        <v>135</v>
      </c>
      <c r="E395" t="s">
        <v>114</v>
      </c>
      <c r="F395" t="s">
        <v>113</v>
      </c>
      <c r="G395">
        <v>0.47622171379262102</v>
      </c>
      <c r="H395">
        <v>2E+20</v>
      </c>
      <c r="I395">
        <v>0</v>
      </c>
      <c r="J395">
        <v>1</v>
      </c>
      <c r="K395">
        <v>0</v>
      </c>
      <c r="L395">
        <v>0</v>
      </c>
      <c r="M395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395" cm="1">
        <f t="array" ref="N395">MAX(IF((ProjectInfoTable[ProjectName]=ContinuousStatsTable[[#This Row],[ProjectName]]),(ProjectInfoTable[ProjectName]=ContinuousStatsTable[[#This Row],[ProjectName]])*ProjectInfoTable[NumberOfReplications]))</f>
        <v>10</v>
      </c>
      <c r="O395" cm="1">
        <f t="array" ref="O395">IFERROR(AVERAGE(IF((ContinuousStatsTable[GroupByKey]=ContinuousStatsTable[[#This Row],[GroupByKey]]),(ContinuousStatsTable[GroupByKey]=ContinuousStatsTable[[#This Row],[GroupByKey]])*ContinuousStatsTable[Average])),0)</f>
        <v>0.47640752107427209</v>
      </c>
      <c r="P39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7.980955990487845E-5</v>
      </c>
      <c r="Q39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5.7092319840434263E-5</v>
      </c>
      <c r="S395" cm="1">
        <f t="array" ref="S395">MIN(IF((ContinuousStatsTable[GroupByKey]=ContinuousStatsTable[[#This Row],[GroupByKey]]),(ContinuousStatsTable[GroupByKey]=ContinuousStatsTable[[#This Row],[GroupByKey]])*ContinuousStatsTable[Average]))</f>
        <v>0.47622171379262102</v>
      </c>
      <c r="T395" cm="1">
        <f t="array" ref="T395">MAX(IF((ContinuousStatsTable[GroupByKey]=ContinuousStatsTable[[#This Row],[GroupByKey]]),(ContinuousStatsTable[GroupByKey]=ContinuousStatsTable[[#This Row],[GroupByKey]])*ContinuousStatsTable[Average]))</f>
        <v>0.47651577494330499</v>
      </c>
      <c r="U395">
        <f>IF((ContinuousStatsTable[[#This Row],[RepsRequested]]&gt;1),ContinuousStatsTable[[#This Row],[HalfWidth]],ContinuousStatsTable[[#This Row],[BatchMeansHalfWidth]])</f>
        <v>5.7092319840434263E-5</v>
      </c>
    </row>
    <row r="396" spans="1:21" x14ac:dyDescent="0.25">
      <c r="A396" t="s">
        <v>67</v>
      </c>
      <c r="B396" t="s">
        <v>243</v>
      </c>
      <c r="C396">
        <v>5</v>
      </c>
      <c r="D396" t="s">
        <v>135</v>
      </c>
      <c r="E396" t="s">
        <v>115</v>
      </c>
      <c r="F396" t="s">
        <v>113</v>
      </c>
      <c r="G396">
        <v>0.476190476190476</v>
      </c>
      <c r="H396">
        <v>2E+20</v>
      </c>
      <c r="I396">
        <v>0</v>
      </c>
      <c r="J396">
        <v>1</v>
      </c>
      <c r="K396">
        <v>0</v>
      </c>
      <c r="L396">
        <v>0</v>
      </c>
      <c r="M396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396" cm="1">
        <f t="array" ref="N396">MAX(IF((ProjectInfoTable[ProjectName]=ContinuousStatsTable[[#This Row],[ProjectName]]),(ProjectInfoTable[ProjectName]=ContinuousStatsTable[[#This Row],[ProjectName]])*ProjectInfoTable[NumberOfReplications]))</f>
        <v>10</v>
      </c>
      <c r="O396" cm="1">
        <f t="array" ref="O396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96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cm="1">
        <f t="array" ref="S396">MIN(IF((ContinuousStatsTable[GroupByKey]=ContinuousStatsTable[[#This Row],[GroupByKey]]),(ContinuousStatsTable[GroupByKey]=ContinuousStatsTable[[#This Row],[GroupByKey]])*ContinuousStatsTable[Average]))</f>
        <v>0.476190476190476</v>
      </c>
      <c r="T396" cm="1">
        <f t="array" ref="T396">MAX(IF((ContinuousStatsTable[GroupByKey]=ContinuousStatsTable[[#This Row],[GroupByKey]]),(ContinuousStatsTable[GroupByKey]=ContinuousStatsTable[[#This Row],[GroupByKey]])*ContinuousStatsTable[Average]))</f>
        <v>0.476190476190476</v>
      </c>
      <c r="U396">
        <f>IF((ContinuousStatsTable[[#This Row],[RepsRequested]]&gt;1),ContinuousStatsTable[[#This Row],[HalfWidth]],ContinuousStatsTable[[#This Row],[BatchMeansHalfWidth]])</f>
        <v>0</v>
      </c>
    </row>
    <row r="397" spans="1:21" x14ac:dyDescent="0.25">
      <c r="A397" t="s">
        <v>67</v>
      </c>
      <c r="B397" t="s">
        <v>243</v>
      </c>
      <c r="C397">
        <v>5</v>
      </c>
      <c r="D397" t="s">
        <v>136</v>
      </c>
      <c r="E397" t="s">
        <v>112</v>
      </c>
      <c r="F397" t="s">
        <v>113</v>
      </c>
      <c r="G397">
        <v>0.29970100107953501</v>
      </c>
      <c r="H397">
        <v>3E+20</v>
      </c>
      <c r="I397">
        <v>0</v>
      </c>
      <c r="J397">
        <v>1</v>
      </c>
      <c r="K397">
        <v>0</v>
      </c>
      <c r="L397">
        <v>0</v>
      </c>
      <c r="M397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397" cm="1">
        <f t="array" ref="N397">MAX(IF((ProjectInfoTable[ProjectName]=ContinuousStatsTable[[#This Row],[ProjectName]]),(ProjectInfoTable[ProjectName]=ContinuousStatsTable[[#This Row],[ProjectName]])*ProjectInfoTable[NumberOfReplications]))</f>
        <v>10</v>
      </c>
      <c r="O397" cm="1">
        <f t="array" ref="O397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397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397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397" cm="1">
        <f t="array" ref="S397">MIN(IF((ContinuousStatsTable[GroupByKey]=ContinuousStatsTable[[#This Row],[GroupByKey]]),(ContinuousStatsTable[GroupByKey]=ContinuousStatsTable[[#This Row],[GroupByKey]])*ContinuousStatsTable[Average]))</f>
        <v>0.29842379685970999</v>
      </c>
      <c r="T397" cm="1">
        <f t="array" ref="T397">MAX(IF((ContinuousStatsTable[GroupByKey]=ContinuousStatsTable[[#This Row],[GroupByKey]]),(ContinuousStatsTable[GroupByKey]=ContinuousStatsTable[[#This Row],[GroupByKey]])*ContinuousStatsTable[Average]))</f>
        <v>0.29970100107953501</v>
      </c>
      <c r="U397">
        <f>IF((ContinuousStatsTable[[#This Row],[RepsRequested]]&gt;1),ContinuousStatsTable[[#This Row],[HalfWidth]],ContinuousStatsTable[[#This Row],[BatchMeansHalfWidth]])</f>
        <v>2.6450685793468105E-4</v>
      </c>
    </row>
    <row r="398" spans="1:21" x14ac:dyDescent="0.25">
      <c r="A398" t="s">
        <v>67</v>
      </c>
      <c r="B398" t="s">
        <v>243</v>
      </c>
      <c r="C398">
        <v>5</v>
      </c>
      <c r="D398" t="s">
        <v>136</v>
      </c>
      <c r="E398" t="s">
        <v>114</v>
      </c>
      <c r="F398" t="s">
        <v>113</v>
      </c>
      <c r="G398">
        <v>0.29970100107953501</v>
      </c>
      <c r="H398">
        <v>3E+20</v>
      </c>
      <c r="I398">
        <v>0</v>
      </c>
      <c r="J398">
        <v>1</v>
      </c>
      <c r="K398">
        <v>0</v>
      </c>
      <c r="L398">
        <v>0</v>
      </c>
      <c r="M398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398" cm="1">
        <f t="array" ref="N398">MAX(IF((ProjectInfoTable[ProjectName]=ContinuousStatsTable[[#This Row],[ProjectName]]),(ProjectInfoTable[ProjectName]=ContinuousStatsTable[[#This Row],[ProjectName]])*ProjectInfoTable[NumberOfReplications]))</f>
        <v>10</v>
      </c>
      <c r="O398" cm="1">
        <f t="array" ref="O398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398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398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398" cm="1">
        <f t="array" ref="S398">MIN(IF((ContinuousStatsTable[GroupByKey]=ContinuousStatsTable[[#This Row],[GroupByKey]]),(ContinuousStatsTable[GroupByKey]=ContinuousStatsTable[[#This Row],[GroupByKey]])*ContinuousStatsTable[Average]))</f>
        <v>0.29842379685970999</v>
      </c>
      <c r="T398" cm="1">
        <f t="array" ref="T398">MAX(IF((ContinuousStatsTable[GroupByKey]=ContinuousStatsTable[[#This Row],[GroupByKey]]),(ContinuousStatsTable[GroupByKey]=ContinuousStatsTable[[#This Row],[GroupByKey]])*ContinuousStatsTable[Average]))</f>
        <v>0.29970100107953501</v>
      </c>
      <c r="U398">
        <f>IF((ContinuousStatsTable[[#This Row],[RepsRequested]]&gt;1),ContinuousStatsTable[[#This Row],[HalfWidth]],ContinuousStatsTable[[#This Row],[BatchMeansHalfWidth]])</f>
        <v>2.6450685793468105E-4</v>
      </c>
    </row>
    <row r="399" spans="1:21" x14ac:dyDescent="0.25">
      <c r="A399" t="s">
        <v>67</v>
      </c>
      <c r="B399" t="s">
        <v>243</v>
      </c>
      <c r="C399">
        <v>5</v>
      </c>
      <c r="D399" t="s">
        <v>136</v>
      </c>
      <c r="E399" t="s">
        <v>115</v>
      </c>
      <c r="F399" t="s">
        <v>113</v>
      </c>
      <c r="G399">
        <v>0.476190476190476</v>
      </c>
      <c r="H399">
        <v>2E+20</v>
      </c>
      <c r="I399">
        <v>0</v>
      </c>
      <c r="J399">
        <v>1</v>
      </c>
      <c r="K399">
        <v>0</v>
      </c>
      <c r="L399">
        <v>0</v>
      </c>
      <c r="M399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399" cm="1">
        <f t="array" ref="N399">MAX(IF((ProjectInfoTable[ProjectName]=ContinuousStatsTable[[#This Row],[ProjectName]]),(ProjectInfoTable[ProjectName]=ContinuousStatsTable[[#This Row],[ProjectName]])*ProjectInfoTable[NumberOfReplications]))</f>
        <v>10</v>
      </c>
      <c r="O399" cm="1">
        <f t="array" ref="O39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399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</v>
      </c>
      <c r="Q399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9" cm="1">
        <f t="array" ref="S399">MIN(IF((ContinuousStatsTable[GroupByKey]=ContinuousStatsTable[[#This Row],[GroupByKey]]),(ContinuousStatsTable[GroupByKey]=ContinuousStatsTable[[#This Row],[GroupByKey]])*ContinuousStatsTable[Average]))</f>
        <v>0.476190476190476</v>
      </c>
      <c r="T399" cm="1">
        <f t="array" ref="T399">MAX(IF((ContinuousStatsTable[GroupByKey]=ContinuousStatsTable[[#This Row],[GroupByKey]]),(ContinuousStatsTable[GroupByKey]=ContinuousStatsTable[[#This Row],[GroupByKey]])*ContinuousStatsTable[Average]))</f>
        <v>0.476190476190476</v>
      </c>
      <c r="U399">
        <f>IF((ContinuousStatsTable[[#This Row],[RepsRequested]]&gt;1),ContinuousStatsTable[[#This Row],[HalfWidth]],ContinuousStatsTable[[#This Row],[BatchMeansHalfWidth]])</f>
        <v>0</v>
      </c>
    </row>
    <row r="400" spans="1:21" x14ac:dyDescent="0.25">
      <c r="A400" t="s">
        <v>67</v>
      </c>
      <c r="B400" t="s">
        <v>243</v>
      </c>
      <c r="C400">
        <v>5</v>
      </c>
      <c r="D400" t="s">
        <v>137</v>
      </c>
      <c r="E400" t="s">
        <v>112</v>
      </c>
      <c r="F400" t="s">
        <v>113</v>
      </c>
      <c r="G400">
        <v>0.45630554469193102</v>
      </c>
      <c r="H400">
        <v>3E+20</v>
      </c>
      <c r="I400">
        <v>0</v>
      </c>
      <c r="J400">
        <v>1</v>
      </c>
      <c r="K400">
        <v>0</v>
      </c>
      <c r="L400">
        <v>0</v>
      </c>
      <c r="M400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400" cm="1">
        <f t="array" ref="N400">MAX(IF((ProjectInfoTable[ProjectName]=ContinuousStatsTable[[#This Row],[ProjectName]]),(ProjectInfoTable[ProjectName]=ContinuousStatsTable[[#This Row],[ProjectName]])*ProjectInfoTable[NumberOfReplications]))</f>
        <v>10</v>
      </c>
      <c r="O400" cm="1">
        <f t="array" ref="O400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400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400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400" cm="1">
        <f t="array" ref="S400">MIN(IF((ContinuousStatsTable[GroupByKey]=ContinuousStatsTable[[#This Row],[GroupByKey]]),(ContinuousStatsTable[GroupByKey]=ContinuousStatsTable[[#This Row],[GroupByKey]])*ContinuousStatsTable[Average]))</f>
        <v>0.45550004981449399</v>
      </c>
      <c r="T400" cm="1">
        <f t="array" ref="T400">MAX(IF((ContinuousStatsTable[GroupByKey]=ContinuousStatsTable[[#This Row],[GroupByKey]]),(ContinuousStatsTable[GroupByKey]=ContinuousStatsTable[[#This Row],[GroupByKey]])*ContinuousStatsTable[Average]))</f>
        <v>0.45652258337600798</v>
      </c>
      <c r="U400">
        <f>IF((ContinuousStatsTable[[#This Row],[RepsRequested]]&gt;1),ContinuousStatsTable[[#This Row],[HalfWidth]],ContinuousStatsTable[[#This Row],[BatchMeansHalfWidth]])</f>
        <v>2.4108493326261801E-4</v>
      </c>
    </row>
    <row r="401" spans="1:21" x14ac:dyDescent="0.25">
      <c r="A401" t="s">
        <v>67</v>
      </c>
      <c r="B401" t="s">
        <v>243</v>
      </c>
      <c r="C401">
        <v>5</v>
      </c>
      <c r="D401" t="s">
        <v>137</v>
      </c>
      <c r="E401" t="s">
        <v>114</v>
      </c>
      <c r="F401" t="s">
        <v>113</v>
      </c>
      <c r="G401">
        <v>0.45630554469193102</v>
      </c>
      <c r="H401">
        <v>3E+20</v>
      </c>
      <c r="I401">
        <v>0</v>
      </c>
      <c r="J401">
        <v>1</v>
      </c>
      <c r="K401">
        <v>0</v>
      </c>
      <c r="L401">
        <v>0</v>
      </c>
      <c r="M401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401" cm="1">
        <f t="array" ref="N401">MAX(IF((ProjectInfoTable[ProjectName]=ContinuousStatsTable[[#This Row],[ProjectName]]),(ProjectInfoTable[ProjectName]=ContinuousStatsTable[[#This Row],[ProjectName]])*ProjectInfoTable[NumberOfReplications]))</f>
        <v>10</v>
      </c>
      <c r="O401" cm="1">
        <f t="array" ref="O401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401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401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401" cm="1">
        <f t="array" ref="S401">MIN(IF((ContinuousStatsTable[GroupByKey]=ContinuousStatsTable[[#This Row],[GroupByKey]]),(ContinuousStatsTable[GroupByKey]=ContinuousStatsTable[[#This Row],[GroupByKey]])*ContinuousStatsTable[Average]))</f>
        <v>0.45550004981449399</v>
      </c>
      <c r="T401" cm="1">
        <f t="array" ref="T401">MAX(IF((ContinuousStatsTable[GroupByKey]=ContinuousStatsTable[[#This Row],[GroupByKey]]),(ContinuousStatsTable[GroupByKey]=ContinuousStatsTable[[#This Row],[GroupByKey]])*ContinuousStatsTable[Average]))</f>
        <v>0.45652258337600798</v>
      </c>
      <c r="U401">
        <f>IF((ContinuousStatsTable[[#This Row],[RepsRequested]]&gt;1),ContinuousStatsTable[[#This Row],[HalfWidth]],ContinuousStatsTable[[#This Row],[BatchMeansHalfWidth]])</f>
        <v>2.4108493326261801E-4</v>
      </c>
    </row>
    <row r="402" spans="1:21" x14ac:dyDescent="0.25">
      <c r="A402" t="s">
        <v>67</v>
      </c>
      <c r="B402" t="s">
        <v>243</v>
      </c>
      <c r="C402">
        <v>5</v>
      </c>
      <c r="D402" t="s">
        <v>137</v>
      </c>
      <c r="E402" t="s">
        <v>115</v>
      </c>
      <c r="F402" t="s">
        <v>113</v>
      </c>
      <c r="G402">
        <v>0.476190476190476</v>
      </c>
      <c r="H402">
        <v>2E+20</v>
      </c>
      <c r="I402">
        <v>0</v>
      </c>
      <c r="J402">
        <v>1</v>
      </c>
      <c r="K402">
        <v>0</v>
      </c>
      <c r="L402">
        <v>0</v>
      </c>
      <c r="M402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402" cm="1">
        <f t="array" ref="N402">MAX(IF((ProjectInfoTable[ProjectName]=ContinuousStatsTable[[#This Row],[ProjectName]]),(ProjectInfoTable[ProjectName]=ContinuousStatsTable[[#This Row],[ProjectName]])*ProjectInfoTable[NumberOfReplications]))</f>
        <v>10</v>
      </c>
      <c r="O402" cm="1">
        <f t="array" ref="O402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02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0</v>
      </c>
      <c r="Q402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2" cm="1">
        <f t="array" ref="S402">MIN(IF((ContinuousStatsTable[GroupByKey]=ContinuousStatsTable[[#This Row],[GroupByKey]]),(ContinuousStatsTable[GroupByKey]=ContinuousStatsTable[[#This Row],[GroupByKey]])*ContinuousStatsTable[Average]))</f>
        <v>0.476190476190476</v>
      </c>
      <c r="T402" cm="1">
        <f t="array" ref="T402">MAX(IF((ContinuousStatsTable[GroupByKey]=ContinuousStatsTable[[#This Row],[GroupByKey]]),(ContinuousStatsTable[GroupByKey]=ContinuousStatsTable[[#This Row],[GroupByKey]])*ContinuousStatsTable[Average]))</f>
        <v>0.476190476190476</v>
      </c>
      <c r="U402">
        <f>IF((ContinuousStatsTable[[#This Row],[RepsRequested]]&gt;1),ContinuousStatsTable[[#This Row],[HalfWidth]],ContinuousStatsTable[[#This Row],[BatchMeansHalfWidth]])</f>
        <v>0</v>
      </c>
    </row>
    <row r="403" spans="1:21" x14ac:dyDescent="0.25">
      <c r="A403" t="s">
        <v>67</v>
      </c>
      <c r="B403" t="s">
        <v>243</v>
      </c>
      <c r="C403">
        <v>5</v>
      </c>
      <c r="D403" t="s">
        <v>138</v>
      </c>
      <c r="E403" t="s">
        <v>112</v>
      </c>
      <c r="F403" t="s">
        <v>113</v>
      </c>
      <c r="G403">
        <v>0.476409054595266</v>
      </c>
      <c r="H403">
        <v>2E+20</v>
      </c>
      <c r="I403">
        <v>0</v>
      </c>
      <c r="J403">
        <v>1</v>
      </c>
      <c r="K403">
        <v>0</v>
      </c>
      <c r="L403">
        <v>0</v>
      </c>
      <c r="M403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403" cm="1">
        <f t="array" ref="N403">MAX(IF((ProjectInfoTable[ProjectName]=ContinuousStatsTable[[#This Row],[ProjectName]]),(ProjectInfoTable[ProjectName]=ContinuousStatsTable[[#This Row],[ProjectName]])*ProjectInfoTable[NumberOfReplications]))</f>
        <v>10</v>
      </c>
      <c r="O403" cm="1">
        <f t="array" ref="O403">IFERROR(AVERAGE(IF((ContinuousStatsTable[GroupByKey]=ContinuousStatsTable[[#This Row],[GroupByKey]]),(ContinuousStatsTable[GroupByKey]=ContinuousStatsTable[[#This Row],[GroupByKey]])*ContinuousStatsTable[Average])),0)</f>
        <v>0.47637632373438449</v>
      </c>
      <c r="P403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2.6635978153163645E-5</v>
      </c>
      <c r="Q403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1.9054230919149366E-5</v>
      </c>
      <c r="S403" cm="1">
        <f t="array" ref="S403">MIN(IF((ContinuousStatsTable[GroupByKey]=ContinuousStatsTable[[#This Row],[GroupByKey]]),(ContinuousStatsTable[GroupByKey]=ContinuousStatsTable[[#This Row],[GroupByKey]])*ContinuousStatsTable[Average]))</f>
        <v>0.47633465557050603</v>
      </c>
      <c r="T403" cm="1">
        <f t="array" ref="T403">MAX(IF((ContinuousStatsTable[GroupByKey]=ContinuousStatsTable[[#This Row],[GroupByKey]]),(ContinuousStatsTable[GroupByKey]=ContinuousStatsTable[[#This Row],[GroupByKey]])*ContinuousStatsTable[Average]))</f>
        <v>0.47641329732322302</v>
      </c>
      <c r="U403">
        <f>IF((ContinuousStatsTable[[#This Row],[RepsRequested]]&gt;1),ContinuousStatsTable[[#This Row],[HalfWidth]],ContinuousStatsTable[[#This Row],[BatchMeansHalfWidth]])</f>
        <v>1.9054230919149366E-5</v>
      </c>
    </row>
    <row r="404" spans="1:21" x14ac:dyDescent="0.25">
      <c r="A404" t="s">
        <v>67</v>
      </c>
      <c r="B404" t="s">
        <v>243</v>
      </c>
      <c r="C404">
        <v>5</v>
      </c>
      <c r="D404" t="s">
        <v>138</v>
      </c>
      <c r="E404" t="s">
        <v>114</v>
      </c>
      <c r="F404" t="s">
        <v>113</v>
      </c>
      <c r="G404">
        <v>0.476409054595266</v>
      </c>
      <c r="H404">
        <v>2E+20</v>
      </c>
      <c r="I404">
        <v>0</v>
      </c>
      <c r="J404">
        <v>1</v>
      </c>
      <c r="K404">
        <v>0</v>
      </c>
      <c r="L404">
        <v>0</v>
      </c>
      <c r="M404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404" cm="1">
        <f t="array" ref="N404">MAX(IF((ProjectInfoTable[ProjectName]=ContinuousStatsTable[[#This Row],[ProjectName]]),(ProjectInfoTable[ProjectName]=ContinuousStatsTable[[#This Row],[ProjectName]])*ProjectInfoTable[NumberOfReplications]))</f>
        <v>10</v>
      </c>
      <c r="O404" cm="1">
        <f t="array" ref="O404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404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404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404" cm="1">
        <f t="array" ref="S404">MIN(IF((ContinuousStatsTable[GroupByKey]=ContinuousStatsTable[[#This Row],[GroupByKey]]),(ContinuousStatsTable[GroupByKey]=ContinuousStatsTable[[#This Row],[GroupByKey]])*ContinuousStatsTable[Average]))</f>
        <v>0.47633465557050603</v>
      </c>
      <c r="T404" cm="1">
        <f t="array" ref="T404">MAX(IF((ContinuousStatsTable[GroupByKey]=ContinuousStatsTable[[#This Row],[GroupByKey]]),(ContinuousStatsTable[GroupByKey]=ContinuousStatsTable[[#This Row],[GroupByKey]])*ContinuousStatsTable[Average]))</f>
        <v>0.47641329732322302</v>
      </c>
      <c r="U404">
        <f>IF((ContinuousStatsTable[[#This Row],[RepsRequested]]&gt;1),ContinuousStatsTable[[#This Row],[HalfWidth]],ContinuousStatsTable[[#This Row],[BatchMeansHalfWidth]])</f>
        <v>1.9054230919217752E-5</v>
      </c>
    </row>
    <row r="405" spans="1:21" x14ac:dyDescent="0.25">
      <c r="A405" t="s">
        <v>67</v>
      </c>
      <c r="B405" t="s">
        <v>243</v>
      </c>
      <c r="C405">
        <v>5</v>
      </c>
      <c r="D405" t="s">
        <v>138</v>
      </c>
      <c r="E405" t="s">
        <v>115</v>
      </c>
      <c r="F405" t="s">
        <v>113</v>
      </c>
      <c r="G405">
        <v>0.476190476190476</v>
      </c>
      <c r="H405">
        <v>2E+20</v>
      </c>
      <c r="I405">
        <v>0</v>
      </c>
      <c r="J405">
        <v>1</v>
      </c>
      <c r="K405">
        <v>0</v>
      </c>
      <c r="L405">
        <v>0</v>
      </c>
      <c r="M405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405" cm="1">
        <f t="array" ref="N405">MAX(IF((ProjectInfoTable[ProjectName]=ContinuousStatsTable[[#This Row],[ProjectName]]),(ProjectInfoTable[ProjectName]=ContinuousStatsTable[[#This Row],[ProjectName]])*ProjectInfoTable[NumberOfReplications]))</f>
        <v>10</v>
      </c>
      <c r="O405" cm="1">
        <f t="array" ref="O405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0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0</v>
      </c>
      <c r="Q40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5" cm="1">
        <f t="array" ref="S405">MIN(IF((ContinuousStatsTable[GroupByKey]=ContinuousStatsTable[[#This Row],[GroupByKey]]),(ContinuousStatsTable[GroupByKey]=ContinuousStatsTable[[#This Row],[GroupByKey]])*ContinuousStatsTable[Average]))</f>
        <v>0.476190476190476</v>
      </c>
      <c r="T405" cm="1">
        <f t="array" ref="T405">MAX(IF((ContinuousStatsTable[GroupByKey]=ContinuousStatsTable[[#This Row],[GroupByKey]]),(ContinuousStatsTable[GroupByKey]=ContinuousStatsTable[[#This Row],[GroupByKey]])*ContinuousStatsTable[Average]))</f>
        <v>0.476190476190476</v>
      </c>
      <c r="U405">
        <f>IF((ContinuousStatsTable[[#This Row],[RepsRequested]]&gt;1),ContinuousStatsTable[[#This Row],[HalfWidth]],ContinuousStatsTable[[#This Row],[BatchMeansHalfWidth]])</f>
        <v>0</v>
      </c>
    </row>
    <row r="406" spans="1:21" x14ac:dyDescent="0.25">
      <c r="A406" t="s">
        <v>67</v>
      </c>
      <c r="B406" t="s">
        <v>243</v>
      </c>
      <c r="C406">
        <v>5</v>
      </c>
      <c r="D406" t="s">
        <v>83</v>
      </c>
      <c r="E406" t="s">
        <v>116</v>
      </c>
      <c r="F406" t="s">
        <v>71</v>
      </c>
      <c r="G406">
        <v>2.8493256765762199E-5</v>
      </c>
      <c r="H406">
        <v>2E+20</v>
      </c>
      <c r="I406">
        <v>0</v>
      </c>
      <c r="J406">
        <v>1</v>
      </c>
      <c r="K406">
        <v>0</v>
      </c>
      <c r="L406">
        <v>0</v>
      </c>
      <c r="M406" t="str">
        <f>ContinuousStatsTable[[#This Row],[ProjectName]]&amp;ContinuousStatsTable[[#This Row],[Name]]&amp;ContinuousStatsTable[[#This Row],[Type]]&amp;ContinuousStatsTable[[#This Row],[Source]]</f>
        <v>Unnamed ProjectMatch 1.Queue1Number WaitingQueue</v>
      </c>
      <c r="N406" cm="1">
        <f t="array" ref="N406">MAX(IF((ProjectInfoTable[ProjectName]=ContinuousStatsTable[[#This Row],[ProjectName]]),(ProjectInfoTable[ProjectName]=ContinuousStatsTable[[#This Row],[ProjectName]])*ProjectInfoTable[NumberOfReplications]))</f>
        <v>10</v>
      </c>
      <c r="O406" cm="1">
        <f t="array" ref="O406">IFERROR(AVERAGE(IF((ContinuousStatsTable[GroupByKey]=ContinuousStatsTable[[#This Row],[GroupByKey]]),(ContinuousStatsTable[GroupByKey]=ContinuousStatsTable[[#This Row],[GroupByKey]])*ContinuousStatsTable[Average])),0)</f>
        <v>2.9170315053456471E-5</v>
      </c>
      <c r="P406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7.7933109083950271E-6</v>
      </c>
      <c r="Q406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5.5749987786968959E-6</v>
      </c>
      <c r="S406" cm="1">
        <f t="array" ref="S406">MIN(IF((ContinuousStatsTable[GroupByKey]=ContinuousStatsTable[[#This Row],[GroupByKey]]),(ContinuousStatsTable[GroupByKey]=ContinuousStatsTable[[#This Row],[GroupByKey]])*ContinuousStatsTable[Average]))</f>
        <v>1.80144253291803E-5</v>
      </c>
      <c r="T406" cm="1">
        <f t="array" ref="T406">MAX(IF((ContinuousStatsTable[GroupByKey]=ContinuousStatsTable[[#This Row],[GroupByKey]]),(ContinuousStatsTable[GroupByKey]=ContinuousStatsTable[[#This Row],[GroupByKey]])*ContinuousStatsTable[Average]))</f>
        <v>4.21406992387485E-5</v>
      </c>
      <c r="U406">
        <f>IF((ContinuousStatsTable[[#This Row],[RepsRequested]]&gt;1),ContinuousStatsTable[[#This Row],[HalfWidth]],ContinuousStatsTable[[#This Row],[BatchMeansHalfWidth]])</f>
        <v>5.5749987786968959E-6</v>
      </c>
    </row>
    <row r="407" spans="1:21" x14ac:dyDescent="0.25">
      <c r="A407" t="s">
        <v>67</v>
      </c>
      <c r="B407" t="s">
        <v>243</v>
      </c>
      <c r="C407">
        <v>5</v>
      </c>
      <c r="D407" t="s">
        <v>84</v>
      </c>
      <c r="E407" t="s">
        <v>116</v>
      </c>
      <c r="F407" t="s">
        <v>71</v>
      </c>
      <c r="G407">
        <v>875.80608811200398</v>
      </c>
      <c r="H407">
        <v>3E+20</v>
      </c>
      <c r="I407">
        <v>0</v>
      </c>
      <c r="J407">
        <v>1684</v>
      </c>
      <c r="K407">
        <v>1682</v>
      </c>
      <c r="L407">
        <v>0</v>
      </c>
      <c r="M407" t="str">
        <f>ContinuousStatsTable[[#This Row],[ProjectName]]&amp;ContinuousStatsTable[[#This Row],[Name]]&amp;ContinuousStatsTable[[#This Row],[Type]]&amp;ContinuousStatsTable[[#This Row],[Source]]</f>
        <v>Unnamed ProjectMatch 1.Queue2Number WaitingQueue</v>
      </c>
      <c r="N407" cm="1">
        <f t="array" ref="N407">MAX(IF((ProjectInfoTable[ProjectName]=ContinuousStatsTable[[#This Row],[ProjectName]]),(ProjectInfoTable[ProjectName]=ContinuousStatsTable[[#This Row],[ProjectName]])*ProjectInfoTable[NumberOfReplications]))</f>
        <v>10</v>
      </c>
      <c r="O407" cm="1">
        <f t="array" ref="O407">IFERROR(AVERAGE(IF((ContinuousStatsTable[GroupByKey]=ContinuousStatsTable[[#This Row],[GroupByKey]]),(ContinuousStatsTable[GroupByKey]=ContinuousStatsTable[[#This Row],[GroupByKey]])*ContinuousStatsTable[Average])),0)</f>
        <v>867.85098767897125</v>
      </c>
      <c r="P407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5.9823523640247513</v>
      </c>
      <c r="Q407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4.2795170775550373</v>
      </c>
      <c r="S407" cm="1">
        <f t="array" ref="S407">MIN(IF((ContinuousStatsTable[GroupByKey]=ContinuousStatsTable[[#This Row],[GroupByKey]]),(ContinuousStatsTable[GroupByKey]=ContinuousStatsTable[[#This Row],[GroupByKey]])*ContinuousStatsTable[Average]))</f>
        <v>858.49288388840398</v>
      </c>
      <c r="T407" cm="1">
        <f t="array" ref="T407">MAX(IF((ContinuousStatsTable[GroupByKey]=ContinuousStatsTable[[#This Row],[GroupByKey]]),(ContinuousStatsTable[GroupByKey]=ContinuousStatsTable[[#This Row],[GroupByKey]])*ContinuousStatsTable[Average]))</f>
        <v>875.80608811200398</v>
      </c>
      <c r="U407">
        <f>IF((ContinuousStatsTable[[#This Row],[RepsRequested]]&gt;1),ContinuousStatsTable[[#This Row],[HalfWidth]],ContinuousStatsTable[[#This Row],[BatchMeansHalfWidth]])</f>
        <v>4.2795170775550373</v>
      </c>
    </row>
    <row r="408" spans="1:21" x14ac:dyDescent="0.25">
      <c r="A408" t="s">
        <v>67</v>
      </c>
      <c r="B408" t="s">
        <v>243</v>
      </c>
      <c r="C408">
        <v>5</v>
      </c>
      <c r="D408" t="s">
        <v>85</v>
      </c>
      <c r="E408" t="s">
        <v>116</v>
      </c>
      <c r="F408" t="s">
        <v>71</v>
      </c>
      <c r="G408">
        <v>1372.37166318558</v>
      </c>
      <c r="H408">
        <v>3E+20</v>
      </c>
      <c r="I408">
        <v>0</v>
      </c>
      <c r="J408">
        <v>2645</v>
      </c>
      <c r="K408">
        <v>2645</v>
      </c>
      <c r="L408">
        <v>0</v>
      </c>
      <c r="M408" t="str">
        <f>ContinuousStatsTable[[#This Row],[ProjectName]]&amp;ContinuousStatsTable[[#This Row],[Name]]&amp;ContinuousStatsTable[[#This Row],[Type]]&amp;ContinuousStatsTable[[#This Row],[Source]]</f>
        <v>Unnamed ProjectMatch 1.Queue3Number WaitingQueue</v>
      </c>
      <c r="N408" cm="1">
        <f t="array" ref="N408">MAX(IF((ProjectInfoTable[ProjectName]=ContinuousStatsTable[[#This Row],[ProjectName]]),(ProjectInfoTable[ProjectName]=ContinuousStatsTable[[#This Row],[ProjectName]])*ProjectInfoTable[NumberOfReplications]))</f>
        <v>10</v>
      </c>
      <c r="O408" cm="1">
        <f t="array" ref="O408">IFERROR(AVERAGE(IF((ContinuousStatsTable[GroupByKey]=ContinuousStatsTable[[#This Row],[GroupByKey]]),(ContinuousStatsTable[GroupByKey]=ContinuousStatsTable[[#This Row],[GroupByKey]])*ContinuousStatsTable[Average])),0)</f>
        <v>1368.6640709815952</v>
      </c>
      <c r="P408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5.3961917051273351</v>
      </c>
      <c r="Q408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3.860203002204456</v>
      </c>
      <c r="S408" cm="1">
        <f t="array" ref="S408">MIN(IF((ContinuousStatsTable[GroupByKey]=ContinuousStatsTable[[#This Row],[GroupByKey]]),(ContinuousStatsTable[GroupByKey]=ContinuousStatsTable[[#This Row],[GroupByKey]])*ContinuousStatsTable[Average]))</f>
        <v>1357.5761788714599</v>
      </c>
      <c r="T408" cm="1">
        <f t="array" ref="T408">MAX(IF((ContinuousStatsTable[GroupByKey]=ContinuousStatsTable[[#This Row],[GroupByKey]]),(ContinuousStatsTable[GroupByKey]=ContinuousStatsTable[[#This Row],[GroupByKey]])*ContinuousStatsTable[Average]))</f>
        <v>1375.17190829069</v>
      </c>
      <c r="U408">
        <f>IF((ContinuousStatsTable[[#This Row],[RepsRequested]]&gt;1),ContinuousStatsTable[[#This Row],[HalfWidth]],ContinuousStatsTable[[#This Row],[BatchMeansHalfWidth]])</f>
        <v>3.860203002204456</v>
      </c>
    </row>
    <row r="409" spans="1:21" x14ac:dyDescent="0.25">
      <c r="A409" t="s">
        <v>67</v>
      </c>
      <c r="B409" t="s">
        <v>243</v>
      </c>
      <c r="C409">
        <v>5</v>
      </c>
      <c r="D409" t="s">
        <v>139</v>
      </c>
      <c r="E409" t="s">
        <v>112</v>
      </c>
      <c r="F409" t="s">
        <v>113</v>
      </c>
      <c r="G409">
        <v>0</v>
      </c>
      <c r="H409">
        <v>2E+20</v>
      </c>
      <c r="I409">
        <v>0</v>
      </c>
      <c r="J409">
        <v>0</v>
      </c>
      <c r="K409">
        <v>0</v>
      </c>
      <c r="L409">
        <v>0</v>
      </c>
      <c r="M409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409" cm="1">
        <f t="array" ref="N409">MAX(IF((ProjectInfoTable[ProjectName]=ContinuousStatsTable[[#This Row],[ProjectName]]),(ProjectInfoTable[ProjectName]=ContinuousStatsTable[[#This Row],[ProjectName]])*ProjectInfoTable[NumberOfReplications]))</f>
        <v>10</v>
      </c>
      <c r="O409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>
        <f>IF((ContinuousStatsTable[[#This Row],[RepsRequested]]&gt;1),ContinuousStatsTable[[#This Row],[HalfWidth]],ContinuousStatsTable[[#This Row],[BatchMeansHalfWidth]])</f>
        <v>0</v>
      </c>
    </row>
    <row r="410" spans="1:21" x14ac:dyDescent="0.25">
      <c r="A410" t="s">
        <v>67</v>
      </c>
      <c r="B410" t="s">
        <v>243</v>
      </c>
      <c r="C410">
        <v>5</v>
      </c>
      <c r="D410" t="s">
        <v>139</v>
      </c>
      <c r="E410" t="s">
        <v>114</v>
      </c>
      <c r="F410" t="s">
        <v>113</v>
      </c>
      <c r="G410">
        <v>0</v>
      </c>
      <c r="H410">
        <v>2E+20</v>
      </c>
      <c r="I410">
        <v>0</v>
      </c>
      <c r="J410">
        <v>0</v>
      </c>
      <c r="K410">
        <v>0</v>
      </c>
      <c r="L410">
        <v>0</v>
      </c>
      <c r="M410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410" cm="1">
        <f t="array" ref="N410">MAX(IF((ProjectInfoTable[ProjectName]=ContinuousStatsTable[[#This Row],[ProjectName]]),(ProjectInfoTable[ProjectName]=ContinuousStatsTable[[#This Row],[ProjectName]])*ProjectInfoTable[NumberOfReplications]))</f>
        <v>10</v>
      </c>
      <c r="O410" cm="1">
        <f t="array" ref="O410">IFERROR(AVERAGE(IF((ContinuousStatsTable[GroupByKey]=ContinuousStatsTable[[#This Row],[GroupByKey]]),(ContinuousStatsTable[GroupByKey]=ContinuousStatsTable[[#This Row],[GroupByKey]])*ContinuousStatsTable[Average])),0)</f>
        <v>0</v>
      </c>
      <c r="P410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cm="1">
        <f t="array" ref="S410">MIN(IF((ContinuousStatsTable[GroupByKey]=ContinuousStatsTable[[#This Row],[GroupByKey]]),(ContinuousStatsTable[GroupByKey]=ContinuousStatsTable[[#This Row],[GroupByKey]])*ContinuousStatsTable[Average]))</f>
        <v>0</v>
      </c>
      <c r="T410" cm="1">
        <f t="array" ref="T410">MAX(IF((ContinuousStatsTable[GroupByKey]=ContinuousStatsTable[[#This Row],[GroupByKey]]),(ContinuousStatsTable[GroupByKey]=ContinuousStatsTable[[#This Row],[GroupByKey]])*ContinuousStatsTable[Average]))</f>
        <v>0</v>
      </c>
      <c r="U410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67</v>
      </c>
      <c r="B411" t="s">
        <v>243</v>
      </c>
      <c r="C411">
        <v>5</v>
      </c>
      <c r="D411" t="s">
        <v>139</v>
      </c>
      <c r="E411" t="s">
        <v>115</v>
      </c>
      <c r="F411" t="s">
        <v>113</v>
      </c>
      <c r="G411">
        <v>0.26785714285714302</v>
      </c>
      <c r="H411">
        <v>2E+20</v>
      </c>
      <c r="I411">
        <v>0</v>
      </c>
      <c r="J411">
        <v>1</v>
      </c>
      <c r="K411">
        <v>1</v>
      </c>
      <c r="L411">
        <v>0</v>
      </c>
      <c r="M411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411" cm="1">
        <f t="array" ref="N411">MAX(IF((ProjectInfoTable[ProjectName]=ContinuousStatsTable[[#This Row],[ProjectName]]),(ProjectInfoTable[ProjectName]=ContinuousStatsTable[[#This Row],[ProjectName]])*ProjectInfoTable[NumberOfReplications]))</f>
        <v>10</v>
      </c>
      <c r="O411" cm="1">
        <f t="array" ref="O411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411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411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411" cm="1">
        <f t="array" ref="S411">MIN(IF((ContinuousStatsTable[GroupByKey]=ContinuousStatsTable[[#This Row],[GroupByKey]]),(ContinuousStatsTable[GroupByKey]=ContinuousStatsTable[[#This Row],[GroupByKey]])*ContinuousStatsTable[Average]))</f>
        <v>0.26785714285714302</v>
      </c>
      <c r="T411" cm="1">
        <f t="array" ref="T411">MAX(IF((ContinuousStatsTable[GroupByKey]=ContinuousStatsTable[[#This Row],[GroupByKey]]),(ContinuousStatsTable[GroupByKey]=ContinuousStatsTable[[#This Row],[GroupByKey]])*ContinuousStatsTable[Average]))</f>
        <v>0.26785714285714302</v>
      </c>
      <c r="U411">
        <f>IF((ContinuousStatsTable[[#This Row],[RepsRequested]]&gt;1),ContinuousStatsTable[[#This Row],[HalfWidth]],ContinuousStatsTable[[#This Row],[BatchMeansHalfWidth]])</f>
        <v>4.1858316124321422E-17</v>
      </c>
    </row>
    <row r="412" spans="1:21" x14ac:dyDescent="0.25">
      <c r="A412" t="s">
        <v>67</v>
      </c>
      <c r="B412" t="s">
        <v>243</v>
      </c>
      <c r="C412">
        <v>5</v>
      </c>
      <c r="D412" t="s">
        <v>140</v>
      </c>
      <c r="E412" t="s">
        <v>112</v>
      </c>
      <c r="F412" t="s">
        <v>113</v>
      </c>
      <c r="G412">
        <v>8.6290077440278001E-2</v>
      </c>
      <c r="H412">
        <v>2E+20</v>
      </c>
      <c r="I412">
        <v>0</v>
      </c>
      <c r="J412">
        <v>1</v>
      </c>
      <c r="K412">
        <v>0</v>
      </c>
      <c r="L412">
        <v>0</v>
      </c>
      <c r="M412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412" cm="1">
        <f t="array" ref="N412">MAX(IF((ProjectInfoTable[ProjectName]=ContinuousStatsTable[[#This Row],[ProjectName]]),(ProjectInfoTable[ProjectName]=ContinuousStatsTable[[#This Row],[ProjectName]])*ProjectInfoTable[NumberOfReplications]))</f>
        <v>10</v>
      </c>
      <c r="O412" cm="1">
        <f t="array" ref="O412">IFERROR(AVERAGE(IF((ContinuousStatsTable[GroupByKey]=ContinuousStatsTable[[#This Row],[GroupByKey]]),(ContinuousStatsTable[GroupByKey]=ContinuousStatsTable[[#This Row],[GroupByKey]])*ContinuousStatsTable[Average])),0)</f>
        <v>8.7684406282387828E-2</v>
      </c>
      <c r="P412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412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412" cm="1">
        <f t="array" ref="S412">MIN(IF((ContinuousStatsTable[GroupByKey]=ContinuousStatsTable[[#This Row],[GroupByKey]]),(ContinuousStatsTable[GroupByKey]=ContinuousStatsTable[[#This Row],[GroupByKey]])*ContinuousStatsTable[Average]))</f>
        <v>7.2143522330073706E-2</v>
      </c>
      <c r="T412" cm="1">
        <f t="array" ref="T412">MAX(IF((ContinuousStatsTable[GroupByKey]=ContinuousStatsTable[[#This Row],[GroupByKey]]),(ContinuousStatsTable[GroupByKey]=ContinuousStatsTable[[#This Row],[GroupByKey]])*ContinuousStatsTable[Average]))</f>
        <v>0.105326430117076</v>
      </c>
      <c r="U412">
        <f>IF((ContinuousStatsTable[[#This Row],[RepsRequested]]&gt;1),ContinuousStatsTable[[#This Row],[HalfWidth]],ContinuousStatsTable[[#This Row],[BatchMeansHalfWidth]])</f>
        <v>6.7395853500387742E-3</v>
      </c>
    </row>
    <row r="413" spans="1:21" x14ac:dyDescent="0.25">
      <c r="A413" t="s">
        <v>67</v>
      </c>
      <c r="B413" t="s">
        <v>243</v>
      </c>
      <c r="C413">
        <v>5</v>
      </c>
      <c r="D413" t="s">
        <v>140</v>
      </c>
      <c r="E413" t="s">
        <v>114</v>
      </c>
      <c r="F413" t="s">
        <v>113</v>
      </c>
      <c r="G413">
        <v>8.6290077440278001E-2</v>
      </c>
      <c r="H413">
        <v>2E+20</v>
      </c>
      <c r="I413">
        <v>0</v>
      </c>
      <c r="J413">
        <v>1</v>
      </c>
      <c r="K413">
        <v>0</v>
      </c>
      <c r="L413">
        <v>0</v>
      </c>
      <c r="M413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413" cm="1">
        <f t="array" ref="N413">MAX(IF((ProjectInfoTable[ProjectName]=ContinuousStatsTable[[#This Row],[ProjectName]]),(ProjectInfoTable[ProjectName]=ContinuousStatsTable[[#This Row],[ProjectName]])*ProjectInfoTable[NumberOfReplications]))</f>
        <v>10</v>
      </c>
      <c r="O413" cm="1">
        <f t="array" ref="O413">IFERROR(AVERAGE(IF((ContinuousStatsTable[GroupByKey]=ContinuousStatsTable[[#This Row],[GroupByKey]]),(ContinuousStatsTable[GroupByKey]=ContinuousStatsTable[[#This Row],[GroupByKey]])*ContinuousStatsTable[Average])),0)</f>
        <v>8.7684406282387842E-2</v>
      </c>
      <c r="P413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413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413" cm="1">
        <f t="array" ref="S413">MIN(IF((ContinuousStatsTable[GroupByKey]=ContinuousStatsTable[[#This Row],[GroupByKey]]),(ContinuousStatsTable[GroupByKey]=ContinuousStatsTable[[#This Row],[GroupByKey]])*ContinuousStatsTable[Average]))</f>
        <v>7.2143522330073706E-2</v>
      </c>
      <c r="T413" cm="1">
        <f t="array" ref="T413">MAX(IF((ContinuousStatsTable[GroupByKey]=ContinuousStatsTable[[#This Row],[GroupByKey]]),(ContinuousStatsTable[GroupByKey]=ContinuousStatsTable[[#This Row],[GroupByKey]])*ContinuousStatsTable[Average]))</f>
        <v>0.105326430117076</v>
      </c>
      <c r="U413">
        <f>IF((ContinuousStatsTable[[#This Row],[RepsRequested]]&gt;1),ContinuousStatsTable[[#This Row],[HalfWidth]],ContinuousStatsTable[[#This Row],[BatchMeansHalfWidth]])</f>
        <v>6.7395853500387742E-3</v>
      </c>
    </row>
    <row r="414" spans="1:21" x14ac:dyDescent="0.25">
      <c r="A414" t="s">
        <v>67</v>
      </c>
      <c r="B414" t="s">
        <v>243</v>
      </c>
      <c r="C414">
        <v>5</v>
      </c>
      <c r="D414" t="s">
        <v>140</v>
      </c>
      <c r="E414" t="s">
        <v>115</v>
      </c>
      <c r="F414" t="s">
        <v>113</v>
      </c>
      <c r="G414">
        <v>0.26785714285714302</v>
      </c>
      <c r="H414">
        <v>2E+20</v>
      </c>
      <c r="I414">
        <v>0</v>
      </c>
      <c r="J414">
        <v>1</v>
      </c>
      <c r="K414">
        <v>0</v>
      </c>
      <c r="L414">
        <v>0</v>
      </c>
      <c r="M414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414" cm="1">
        <f t="array" ref="N414">MAX(IF((ProjectInfoTable[ProjectName]=ContinuousStatsTable[[#This Row],[ProjectName]]),(ProjectInfoTable[ProjectName]=ContinuousStatsTable[[#This Row],[ProjectName]])*ProjectInfoTable[NumberOfReplications]))</f>
        <v>10</v>
      </c>
      <c r="O414" cm="1">
        <f t="array" ref="O414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414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414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414" cm="1">
        <f t="array" ref="S414">MIN(IF((ContinuousStatsTable[GroupByKey]=ContinuousStatsTable[[#This Row],[GroupByKey]]),(ContinuousStatsTable[GroupByKey]=ContinuousStatsTable[[#This Row],[GroupByKey]])*ContinuousStatsTable[Average]))</f>
        <v>0.26785714285714302</v>
      </c>
      <c r="T414" cm="1">
        <f t="array" ref="T414">MAX(IF((ContinuousStatsTable[GroupByKey]=ContinuousStatsTable[[#This Row],[GroupByKey]]),(ContinuousStatsTable[GroupByKey]=ContinuousStatsTable[[#This Row],[GroupByKey]])*ContinuousStatsTable[Average]))</f>
        <v>0.26785714285714302</v>
      </c>
      <c r="U414">
        <f>IF((ContinuousStatsTable[[#This Row],[RepsRequested]]&gt;1),ContinuousStatsTable[[#This Row],[HalfWidth]],ContinuousStatsTable[[#This Row],[BatchMeansHalfWidth]])</f>
        <v>4.1858316124321422E-17</v>
      </c>
    </row>
    <row r="415" spans="1:21" x14ac:dyDescent="0.25">
      <c r="A415" t="s">
        <v>67</v>
      </c>
      <c r="B415" t="s">
        <v>243</v>
      </c>
      <c r="C415">
        <v>5</v>
      </c>
      <c r="D415" t="s">
        <v>99</v>
      </c>
      <c r="E415" t="s">
        <v>116</v>
      </c>
      <c r="F415" t="s">
        <v>71</v>
      </c>
      <c r="G415">
        <v>80.386541069000899</v>
      </c>
      <c r="H415">
        <v>2E+20</v>
      </c>
      <c r="I415">
        <v>0</v>
      </c>
      <c r="J415">
        <v>163</v>
      </c>
      <c r="K415">
        <v>163</v>
      </c>
      <c r="L415">
        <v>0</v>
      </c>
      <c r="M415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415" cm="1">
        <f t="array" ref="N415">MAX(IF((ProjectInfoTable[ProjectName]=ContinuousStatsTable[[#This Row],[ProjectName]]),(ProjectInfoTable[ProjectName]=ContinuousStatsTable[[#This Row],[ProjectName]])*ProjectInfoTable[NumberOfReplications]))</f>
        <v>10</v>
      </c>
      <c r="O415" cm="1">
        <f t="array" ref="O415">IFERROR(AVERAGE(IF((ContinuousStatsTable[GroupByKey]=ContinuousStatsTable[[#This Row],[GroupByKey]]),(ContinuousStatsTable[GroupByKey]=ContinuousStatsTable[[#This Row],[GroupByKey]])*ContinuousStatsTable[Average])),0)</f>
        <v>83.474789654582125</v>
      </c>
      <c r="P41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6.0930686050573728</v>
      </c>
      <c r="Q41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4.358718705180836</v>
      </c>
      <c r="S415" cm="1">
        <f t="array" ref="S415">MIN(IF((ContinuousStatsTable[GroupByKey]=ContinuousStatsTable[[#This Row],[GroupByKey]]),(ContinuousStatsTable[GroupByKey]=ContinuousStatsTable[[#This Row],[GroupByKey]])*ContinuousStatsTable[Average]))</f>
        <v>72.152998246910798</v>
      </c>
      <c r="T415" cm="1">
        <f t="array" ref="T415">MAX(IF((ContinuousStatsTable[GroupByKey]=ContinuousStatsTable[[#This Row],[GroupByKey]]),(ContinuousStatsTable[GroupByKey]=ContinuousStatsTable[[#This Row],[GroupByKey]])*ContinuousStatsTable[Average]))</f>
        <v>91.653675793565498</v>
      </c>
      <c r="U415">
        <f>IF((ContinuousStatsTable[[#This Row],[RepsRequested]]&gt;1),ContinuousStatsTable[[#This Row],[HalfWidth]],ContinuousStatsTable[[#This Row],[BatchMeansHalfWidth]])</f>
        <v>4.358718705180836</v>
      </c>
    </row>
    <row r="416" spans="1:21" x14ac:dyDescent="0.25">
      <c r="A416" t="s">
        <v>67</v>
      </c>
      <c r="B416" t="s">
        <v>243</v>
      </c>
      <c r="C416">
        <v>5</v>
      </c>
      <c r="D416" t="s">
        <v>100</v>
      </c>
      <c r="E416" t="s">
        <v>116</v>
      </c>
      <c r="F416" t="s">
        <v>71</v>
      </c>
      <c r="G416">
        <v>0.659471645950231</v>
      </c>
      <c r="H416">
        <v>2E+20</v>
      </c>
      <c r="I416">
        <v>0</v>
      </c>
      <c r="J416">
        <v>2</v>
      </c>
      <c r="K416">
        <v>2</v>
      </c>
      <c r="L416">
        <v>0</v>
      </c>
      <c r="M416" t="str">
        <f>ContinuousStatsTable[[#This Row],[ProjectName]]&amp;ContinuousStatsTable[[#This Row],[Name]]&amp;ContinuousStatsTable[[#This Row],[Type]]&amp;ContinuousStatsTable[[#This Row],[Source]]</f>
        <v>Unnamed ProjectSeize 10.QueueNumber WaitingQueue</v>
      </c>
      <c r="N416" cm="1">
        <f t="array" ref="N416">MAX(IF((ProjectInfoTable[ProjectName]=ContinuousStatsTable[[#This Row],[ProjectName]]),(ProjectInfoTable[ProjectName]=ContinuousStatsTable[[#This Row],[ProjectName]])*ProjectInfoTable[NumberOfReplications]))</f>
        <v>10</v>
      </c>
      <c r="O416" cm="1">
        <f t="array" ref="O416">IFERROR(AVERAGE(IF((ContinuousStatsTable[GroupByKey]=ContinuousStatsTable[[#This Row],[GroupByKey]]),(ContinuousStatsTable[GroupByKey]=ContinuousStatsTable[[#This Row],[GroupByKey]])*ContinuousStatsTable[Average])),0)</f>
        <v>0.77451739131190445</v>
      </c>
      <c r="P416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0.14034110421466847</v>
      </c>
      <c r="Q416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0.10039397809151185</v>
      </c>
      <c r="S416" cm="1">
        <f t="array" ref="S416">MIN(IF((ContinuousStatsTable[GroupByKey]=ContinuousStatsTable[[#This Row],[GroupByKey]]),(ContinuousStatsTable[GroupByKey]=ContinuousStatsTable[[#This Row],[GroupByKey]])*ContinuousStatsTable[Average]))</f>
        <v>0.57599630674201496</v>
      </c>
      <c r="T416" cm="1">
        <f t="array" ref="T416">MAX(IF((ContinuousStatsTable[GroupByKey]=ContinuousStatsTable[[#This Row],[GroupByKey]]),(ContinuousStatsTable[GroupByKey]=ContinuousStatsTable[[#This Row],[GroupByKey]])*ContinuousStatsTable[Average]))</f>
        <v>0.944128153448903</v>
      </c>
      <c r="U416">
        <f>IF((ContinuousStatsTable[[#This Row],[RepsRequested]]&gt;1),ContinuousStatsTable[[#This Row],[HalfWidth]],ContinuousStatsTable[[#This Row],[BatchMeansHalfWidth]])</f>
        <v>0.10039397809151185</v>
      </c>
    </row>
    <row r="417" spans="1:21" x14ac:dyDescent="0.25">
      <c r="A417" t="s">
        <v>67</v>
      </c>
      <c r="B417" t="s">
        <v>243</v>
      </c>
      <c r="C417">
        <v>5</v>
      </c>
      <c r="D417" t="s">
        <v>101</v>
      </c>
      <c r="E417" t="s">
        <v>116</v>
      </c>
      <c r="F417" t="s">
        <v>71</v>
      </c>
      <c r="G417">
        <v>15.6646597069031</v>
      </c>
      <c r="H417">
        <v>2E+20</v>
      </c>
      <c r="I417">
        <v>0</v>
      </c>
      <c r="J417">
        <v>111</v>
      </c>
      <c r="K417">
        <v>0</v>
      </c>
      <c r="L417">
        <v>0</v>
      </c>
      <c r="M417" t="str">
        <f>ContinuousStatsTable[[#This Row],[ProjectName]]&amp;ContinuousStatsTable[[#This Row],[Name]]&amp;ContinuousStatsTable[[#This Row],[Type]]&amp;ContinuousStatsTable[[#This Row],[Source]]</f>
        <v>Unnamed ProjectSeize 11.QueueNumber WaitingQueue</v>
      </c>
      <c r="N417" cm="1">
        <f t="array" ref="N417">MAX(IF((ProjectInfoTable[ProjectName]=ContinuousStatsTable[[#This Row],[ProjectName]]),(ProjectInfoTable[ProjectName]=ContinuousStatsTable[[#This Row],[ProjectName]])*ProjectInfoTable[NumberOfReplications]))</f>
        <v>10</v>
      </c>
      <c r="O417" cm="1">
        <f t="array" ref="O417">IFERROR(AVERAGE(IF((ContinuousStatsTable[GroupByKey]=ContinuousStatsTable[[#This Row],[GroupByKey]]),(ContinuousStatsTable[GroupByKey]=ContinuousStatsTable[[#This Row],[GroupByKey]])*ContinuousStatsTable[Average])),0)</f>
        <v>17.495844600024782</v>
      </c>
      <c r="P417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4.1567315260337745</v>
      </c>
      <c r="Q417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2.9735466034142406</v>
      </c>
      <c r="S417" cm="1">
        <f t="array" ref="S417">MIN(IF((ContinuousStatsTable[GroupByKey]=ContinuousStatsTable[[#This Row],[GroupByKey]]),(ContinuousStatsTable[GroupByKey]=ContinuousStatsTable[[#This Row],[GroupByKey]])*ContinuousStatsTable[Average]))</f>
        <v>10.770319236854199</v>
      </c>
      <c r="T417" cm="1">
        <f t="array" ref="T417">MAX(IF((ContinuousStatsTable[GroupByKey]=ContinuousStatsTable[[#This Row],[GroupByKey]]),(ContinuousStatsTable[GroupByKey]=ContinuousStatsTable[[#This Row],[GroupByKey]])*ContinuousStatsTable[Average]))</f>
        <v>25.764658423427701</v>
      </c>
      <c r="U417">
        <f>IF((ContinuousStatsTable[[#This Row],[RepsRequested]]&gt;1),ContinuousStatsTable[[#This Row],[HalfWidth]],ContinuousStatsTable[[#This Row],[BatchMeansHalfWidth]])</f>
        <v>2.9735466034142406</v>
      </c>
    </row>
    <row r="418" spans="1:21" x14ac:dyDescent="0.25">
      <c r="A418" t="s">
        <v>67</v>
      </c>
      <c r="B418" t="s">
        <v>243</v>
      </c>
      <c r="C418">
        <v>5</v>
      </c>
      <c r="D418" t="s">
        <v>102</v>
      </c>
      <c r="E418" t="s">
        <v>116</v>
      </c>
      <c r="F418" t="s">
        <v>71</v>
      </c>
      <c r="G418">
        <v>1.0409096712844399</v>
      </c>
      <c r="H418">
        <v>2E+20</v>
      </c>
      <c r="I418">
        <v>0</v>
      </c>
      <c r="J418">
        <v>3</v>
      </c>
      <c r="K418">
        <v>3</v>
      </c>
      <c r="L418">
        <v>0</v>
      </c>
      <c r="M418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418" cm="1">
        <f t="array" ref="N418">MAX(IF((ProjectInfoTable[ProjectName]=ContinuousStatsTable[[#This Row],[ProjectName]]),(ProjectInfoTable[ProjectName]=ContinuousStatsTable[[#This Row],[ProjectName]])*ProjectInfoTable[NumberOfReplications]))</f>
        <v>10</v>
      </c>
      <c r="O418" cm="1">
        <f t="array" ref="O418">IFERROR(AVERAGE(IF((ContinuousStatsTable[GroupByKey]=ContinuousStatsTable[[#This Row],[GroupByKey]]),(ContinuousStatsTable[GroupByKey]=ContinuousStatsTable[[#This Row],[GroupByKey]])*ContinuousStatsTable[Average])),0)</f>
        <v>1.2334365850159306</v>
      </c>
      <c r="P418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0.34677877772765942</v>
      </c>
      <c r="Q418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0.24807059349154728</v>
      </c>
      <c r="S418" cm="1">
        <f t="array" ref="S418">MIN(IF((ContinuousStatsTable[GroupByKey]=ContinuousStatsTable[[#This Row],[GroupByKey]]),(ContinuousStatsTable[GroupByKey]=ContinuousStatsTable[[#This Row],[GroupByKey]])*ContinuousStatsTable[Average]))</f>
        <v>0.47601596605360202</v>
      </c>
      <c r="T418" cm="1">
        <f t="array" ref="T418">MAX(IF((ContinuousStatsTable[GroupByKey]=ContinuousStatsTable[[#This Row],[GroupByKey]]),(ContinuousStatsTable[GroupByKey]=ContinuousStatsTable[[#This Row],[GroupByKey]])*ContinuousStatsTable[Average]))</f>
        <v>1.5938052921300001</v>
      </c>
      <c r="U418">
        <f>IF((ContinuousStatsTable[[#This Row],[RepsRequested]]&gt;1),ContinuousStatsTable[[#This Row],[HalfWidth]],ContinuousStatsTable[[#This Row],[BatchMeansHalfWidth]])</f>
        <v>0.24807059349154728</v>
      </c>
    </row>
    <row r="419" spans="1:21" x14ac:dyDescent="0.25">
      <c r="A419" t="s">
        <v>67</v>
      </c>
      <c r="B419" t="s">
        <v>243</v>
      </c>
      <c r="C419">
        <v>5</v>
      </c>
      <c r="D419" t="s">
        <v>103</v>
      </c>
      <c r="E419" t="s">
        <v>116</v>
      </c>
      <c r="F419" t="s">
        <v>71</v>
      </c>
      <c r="G419">
        <v>0.14710655873928299</v>
      </c>
      <c r="H419">
        <v>3E+20</v>
      </c>
      <c r="I419">
        <v>0</v>
      </c>
      <c r="J419">
        <v>2</v>
      </c>
      <c r="K419">
        <v>0</v>
      </c>
      <c r="L419">
        <v>0</v>
      </c>
      <c r="M419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419" cm="1">
        <f t="array" ref="N419">MAX(IF((ProjectInfoTable[ProjectName]=ContinuousStatsTable[[#This Row],[ProjectName]]),(ProjectInfoTable[ProjectName]=ContinuousStatsTable[[#This Row],[ProjectName]])*ProjectInfoTable[NumberOfReplications]))</f>
        <v>10</v>
      </c>
      <c r="O419" cm="1">
        <f t="array" ref="O419">IFERROR(AVERAGE(IF((ContinuousStatsTable[GroupByKey]=ContinuousStatsTable[[#This Row],[GroupByKey]]),(ContinuousStatsTable[GroupByKey]=ContinuousStatsTable[[#This Row],[GroupByKey]])*ContinuousStatsTable[Average])),0)</f>
        <v>0.19501309596936622</v>
      </c>
      <c r="P419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0.14771852643081365</v>
      </c>
      <c r="Q419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0.10567146802209269</v>
      </c>
      <c r="S419" cm="1">
        <f t="array" ref="S419">MIN(IF((ContinuousStatsTable[GroupByKey]=ContinuousStatsTable[[#This Row],[GroupByKey]]),(ContinuousStatsTable[GroupByKey]=ContinuousStatsTable[[#This Row],[GroupByKey]])*ContinuousStatsTable[Average]))</f>
        <v>5.2203254973614402E-2</v>
      </c>
      <c r="T419" cm="1">
        <f t="array" ref="T419">MAX(IF((ContinuousStatsTable[GroupByKey]=ContinuousStatsTable[[#This Row],[GroupByKey]]),(ContinuousStatsTable[GroupByKey]=ContinuousStatsTable[[#This Row],[GroupByKey]])*ContinuousStatsTable[Average]))</f>
        <v>0.443638473140476</v>
      </c>
      <c r="U419">
        <f>IF((ContinuousStatsTable[[#This Row],[RepsRequested]]&gt;1),ContinuousStatsTable[[#This Row],[HalfWidth]],ContinuousStatsTable[[#This Row],[BatchMeansHalfWidth]])</f>
        <v>0.10567146802209269</v>
      </c>
    </row>
    <row r="420" spans="1:21" x14ac:dyDescent="0.25">
      <c r="A420" t="s">
        <v>67</v>
      </c>
      <c r="B420" t="s">
        <v>243</v>
      </c>
      <c r="C420">
        <v>5</v>
      </c>
      <c r="D420" t="s">
        <v>104</v>
      </c>
      <c r="E420" t="s">
        <v>116</v>
      </c>
      <c r="F420" t="s">
        <v>71</v>
      </c>
      <c r="G420">
        <v>95.266145299451495</v>
      </c>
      <c r="H420">
        <v>3E+20</v>
      </c>
      <c r="I420">
        <v>0</v>
      </c>
      <c r="J420">
        <v>186</v>
      </c>
      <c r="K420">
        <v>186</v>
      </c>
      <c r="L420">
        <v>0</v>
      </c>
      <c r="M420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420" cm="1">
        <f t="array" ref="N420">MAX(IF((ProjectInfoTable[ProjectName]=ContinuousStatsTable[[#This Row],[ProjectName]]),(ProjectInfoTable[ProjectName]=ContinuousStatsTable[[#This Row],[ProjectName]])*ProjectInfoTable[NumberOfReplications]))</f>
        <v>10</v>
      </c>
      <c r="O420" cm="1">
        <f t="array" ref="O420">IFERROR(AVERAGE(IF((ContinuousStatsTable[GroupByKey]=ContinuousStatsTable[[#This Row],[GroupByKey]]),(ContinuousStatsTable[GroupByKey]=ContinuousStatsTable[[#This Row],[GroupByKey]])*ContinuousStatsTable[Average])),0)</f>
        <v>81.226274902651596</v>
      </c>
      <c r="P420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11.159336682409895</v>
      </c>
      <c r="Q420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7.9829085618136846</v>
      </c>
      <c r="S420" cm="1">
        <f t="array" ref="S420">MIN(IF((ContinuousStatsTable[GroupByKey]=ContinuousStatsTable[[#This Row],[GroupByKey]]),(ContinuousStatsTable[GroupByKey]=ContinuousStatsTable[[#This Row],[GroupByKey]])*ContinuousStatsTable[Average]))</f>
        <v>66.053444809788303</v>
      </c>
      <c r="T420" cm="1">
        <f t="array" ref="T420">MAX(IF((ContinuousStatsTable[GroupByKey]=ContinuousStatsTable[[#This Row],[GroupByKey]]),(ContinuousStatsTable[GroupByKey]=ContinuousStatsTable[[#This Row],[GroupByKey]])*ContinuousStatsTable[Average]))</f>
        <v>100.586340982454</v>
      </c>
      <c r="U420">
        <f>IF((ContinuousStatsTable[[#This Row],[RepsRequested]]&gt;1),ContinuousStatsTable[[#This Row],[HalfWidth]],ContinuousStatsTable[[#This Row],[BatchMeansHalfWidth]])</f>
        <v>7.9829085618136846</v>
      </c>
    </row>
    <row r="421" spans="1:21" x14ac:dyDescent="0.25">
      <c r="A421" t="s">
        <v>67</v>
      </c>
      <c r="B421" t="s">
        <v>243</v>
      </c>
      <c r="C421">
        <v>5</v>
      </c>
      <c r="D421" t="s">
        <v>105</v>
      </c>
      <c r="E421" t="s">
        <v>116</v>
      </c>
      <c r="F421" t="s">
        <v>71</v>
      </c>
      <c r="G421">
        <v>1.5367801636504701</v>
      </c>
      <c r="H421">
        <v>3E+20</v>
      </c>
      <c r="I421">
        <v>0</v>
      </c>
      <c r="J421">
        <v>2</v>
      </c>
      <c r="K421">
        <v>2</v>
      </c>
      <c r="L421">
        <v>0</v>
      </c>
      <c r="M421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421" cm="1">
        <f t="array" ref="N421">MAX(IF((ProjectInfoTable[ProjectName]=ContinuousStatsTable[[#This Row],[ProjectName]]),(ProjectInfoTable[ProjectName]=ContinuousStatsTable[[#This Row],[ProjectName]])*ProjectInfoTable[NumberOfReplications]))</f>
        <v>10</v>
      </c>
      <c r="O421" cm="1">
        <f t="array" ref="O421">IFERROR(AVERAGE(IF((ContinuousStatsTable[GroupByKey]=ContinuousStatsTable[[#This Row],[GroupByKey]]),(ContinuousStatsTable[GroupByKey]=ContinuousStatsTable[[#This Row],[GroupByKey]])*ContinuousStatsTable[Average])),0)</f>
        <v>1.3234420699844864</v>
      </c>
      <c r="P421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0.23376145670955006</v>
      </c>
      <c r="Q421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0.1672228724069392</v>
      </c>
      <c r="S421" cm="1">
        <f t="array" ref="S421">MIN(IF((ContinuousStatsTable[GroupByKey]=ContinuousStatsTable[[#This Row],[GroupByKey]]),(ContinuousStatsTable[GroupByKey]=ContinuousStatsTable[[#This Row],[GroupByKey]])*ContinuousStatsTable[Average]))</f>
        <v>0.88257428434366503</v>
      </c>
      <c r="T421" cm="1">
        <f t="array" ref="T421">MAX(IF((ContinuousStatsTable[GroupByKey]=ContinuousStatsTable[[#This Row],[GroupByKey]]),(ContinuousStatsTable[GroupByKey]=ContinuousStatsTable[[#This Row],[GroupByKey]])*ContinuousStatsTable[Average]))</f>
        <v>1.5367801636504701</v>
      </c>
      <c r="U421">
        <f>IF((ContinuousStatsTable[[#This Row],[RepsRequested]]&gt;1),ContinuousStatsTable[[#This Row],[HalfWidth]],ContinuousStatsTable[[#This Row],[BatchMeansHalfWidth]])</f>
        <v>0.1672228724069392</v>
      </c>
    </row>
    <row r="422" spans="1:21" x14ac:dyDescent="0.25">
      <c r="A422" t="s">
        <v>67</v>
      </c>
      <c r="B422" t="s">
        <v>243</v>
      </c>
      <c r="C422">
        <v>5</v>
      </c>
      <c r="D422" t="s">
        <v>106</v>
      </c>
      <c r="E422" t="s">
        <v>116</v>
      </c>
      <c r="F422" t="s">
        <v>71</v>
      </c>
      <c r="G422">
        <v>3.04471194562616</v>
      </c>
      <c r="H422">
        <v>3E+20</v>
      </c>
      <c r="I422">
        <v>0</v>
      </c>
      <c r="J422">
        <v>5</v>
      </c>
      <c r="K422">
        <v>2</v>
      </c>
      <c r="L422">
        <v>0</v>
      </c>
      <c r="M422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422" cm="1">
        <f t="array" ref="N422">MAX(IF((ProjectInfoTable[ProjectName]=ContinuousStatsTable[[#This Row],[ProjectName]]),(ProjectInfoTable[ProjectName]=ContinuousStatsTable[[#This Row],[ProjectName]])*ProjectInfoTable[NumberOfReplications]))</f>
        <v>10</v>
      </c>
      <c r="O422" cm="1">
        <f t="array" ref="O422">IFERROR(AVERAGE(IF((ContinuousStatsTable[GroupByKey]=ContinuousStatsTable[[#This Row],[GroupByKey]]),(ContinuousStatsTable[GroupByKey]=ContinuousStatsTable[[#This Row],[GroupByKey]])*ContinuousStatsTable[Average])),0)</f>
        <v>3.295350976306183</v>
      </c>
      <c r="P422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0.30652142094800816</v>
      </c>
      <c r="Q422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0.21927221530309879</v>
      </c>
      <c r="S422" cm="1">
        <f t="array" ref="S422">MIN(IF((ContinuousStatsTable[GroupByKey]=ContinuousStatsTable[[#This Row],[GroupByKey]]),(ContinuousStatsTable[GroupByKey]=ContinuousStatsTable[[#This Row],[GroupByKey]])*ContinuousStatsTable[Average]))</f>
        <v>2.9443042052265702</v>
      </c>
      <c r="T422" cm="1">
        <f t="array" ref="T422">MAX(IF((ContinuousStatsTable[GroupByKey]=ContinuousStatsTable[[#This Row],[GroupByKey]]),(ContinuousStatsTable[GroupByKey]=ContinuousStatsTable[[#This Row],[GroupByKey]])*ContinuousStatsTable[Average]))</f>
        <v>3.9785130958891202</v>
      </c>
      <c r="U422">
        <f>IF((ContinuousStatsTable[[#This Row],[RepsRequested]]&gt;1),ContinuousStatsTable[[#This Row],[HalfWidth]],ContinuousStatsTable[[#This Row],[BatchMeansHalfWidth]])</f>
        <v>0.21927221530309879</v>
      </c>
    </row>
    <row r="423" spans="1:21" x14ac:dyDescent="0.25">
      <c r="A423" t="s">
        <v>67</v>
      </c>
      <c r="B423" t="s">
        <v>243</v>
      </c>
      <c r="C423">
        <v>5</v>
      </c>
      <c r="D423" t="s">
        <v>107</v>
      </c>
      <c r="E423" t="s">
        <v>116</v>
      </c>
      <c r="F423" t="s">
        <v>71</v>
      </c>
      <c r="G423">
        <v>1.78320590856036</v>
      </c>
      <c r="H423">
        <v>2E+20</v>
      </c>
      <c r="I423">
        <v>0</v>
      </c>
      <c r="J423">
        <v>4</v>
      </c>
      <c r="K423">
        <v>4</v>
      </c>
      <c r="L423">
        <v>0</v>
      </c>
      <c r="M423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423" cm="1">
        <f t="array" ref="N423">MAX(IF((ProjectInfoTable[ProjectName]=ContinuousStatsTable[[#This Row],[ProjectName]]),(ProjectInfoTable[ProjectName]=ContinuousStatsTable[[#This Row],[ProjectName]])*ProjectInfoTable[NumberOfReplications]))</f>
        <v>10</v>
      </c>
      <c r="O423" cm="1">
        <f t="array" ref="O423">IFERROR(AVERAGE(IF((ContinuousStatsTable[GroupByKey]=ContinuousStatsTable[[#This Row],[GroupByKey]]),(ContinuousStatsTable[GroupByKey]=ContinuousStatsTable[[#This Row],[GroupByKey]])*ContinuousStatsTable[Average])),0)</f>
        <v>1.4832039737284362</v>
      </c>
      <c r="P423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0.28170250043427397</v>
      </c>
      <c r="Q423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0.20151782911486205</v>
      </c>
      <c r="S423" cm="1">
        <f t="array" ref="S423">MIN(IF((ContinuousStatsTable[GroupByKey]=ContinuousStatsTable[[#This Row],[GroupByKey]]),(ContinuousStatsTable[GroupByKey]=ContinuousStatsTable[[#This Row],[GroupByKey]])*ContinuousStatsTable[Average]))</f>
        <v>0.850065833369271</v>
      </c>
      <c r="T423" cm="1">
        <f t="array" ref="T423">MAX(IF((ContinuousStatsTable[GroupByKey]=ContinuousStatsTable[[#This Row],[GroupByKey]]),(ContinuousStatsTable[GroupByKey]=ContinuousStatsTable[[#This Row],[GroupByKey]])*ContinuousStatsTable[Average]))</f>
        <v>1.78320590856036</v>
      </c>
      <c r="U423">
        <f>IF((ContinuousStatsTable[[#This Row],[RepsRequested]]&gt;1),ContinuousStatsTable[[#This Row],[HalfWidth]],ContinuousStatsTable[[#This Row],[BatchMeansHalfWidth]])</f>
        <v>0.20151782911486205</v>
      </c>
    </row>
    <row r="424" spans="1:21" x14ac:dyDescent="0.25">
      <c r="A424" t="s">
        <v>67</v>
      </c>
      <c r="B424" t="s">
        <v>243</v>
      </c>
      <c r="C424">
        <v>5</v>
      </c>
      <c r="D424" t="s">
        <v>108</v>
      </c>
      <c r="E424" t="s">
        <v>116</v>
      </c>
      <c r="F424" t="s">
        <v>71</v>
      </c>
      <c r="G424">
        <v>72.004631303705096</v>
      </c>
      <c r="H424">
        <v>3E+20</v>
      </c>
      <c r="I424">
        <v>0</v>
      </c>
      <c r="J424">
        <v>141</v>
      </c>
      <c r="K424">
        <v>141</v>
      </c>
      <c r="L424">
        <v>0</v>
      </c>
      <c r="M424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424" cm="1">
        <f t="array" ref="N424">MAX(IF((ProjectInfoTable[ProjectName]=ContinuousStatsTable[[#This Row],[ProjectName]]),(ProjectInfoTable[ProjectName]=ContinuousStatsTable[[#This Row],[ProjectName]])*ProjectInfoTable[NumberOfReplications]))</f>
        <v>10</v>
      </c>
      <c r="O424" cm="1">
        <f t="array" ref="O424">IFERROR(AVERAGE(IF((ContinuousStatsTable[GroupByKey]=ContinuousStatsTable[[#This Row],[GroupByKey]]),(ContinuousStatsTable[GroupByKey]=ContinuousStatsTable[[#This Row],[GroupByKey]])*ContinuousStatsTable[Average])),0)</f>
        <v>84.673313986400757</v>
      </c>
      <c r="P424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6.3050274623130749</v>
      </c>
      <c r="Q424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4.5103449375003528</v>
      </c>
      <c r="S424" cm="1">
        <f t="array" ref="S424">MIN(IF((ContinuousStatsTable[GroupByKey]=ContinuousStatsTable[[#This Row],[GroupByKey]]),(ContinuousStatsTable[GroupByKey]=ContinuousStatsTable[[#This Row],[GroupByKey]])*ContinuousStatsTable[Average]))</f>
        <v>72.004631303705096</v>
      </c>
      <c r="T424" cm="1">
        <f t="array" ref="T424">MAX(IF((ContinuousStatsTable[GroupByKey]=ContinuousStatsTable[[#This Row],[GroupByKey]]),(ContinuousStatsTable[GroupByKey]=ContinuousStatsTable[[#This Row],[GroupByKey]])*ContinuousStatsTable[Average]))</f>
        <v>94.488584180465494</v>
      </c>
      <c r="U424">
        <f>IF((ContinuousStatsTable[[#This Row],[RepsRequested]]&gt;1),ContinuousStatsTable[[#This Row],[HalfWidth]],ContinuousStatsTable[[#This Row],[BatchMeansHalfWidth]])</f>
        <v>4.5103449375003528</v>
      </c>
    </row>
    <row r="425" spans="1:21" x14ac:dyDescent="0.25">
      <c r="A425" t="s">
        <v>67</v>
      </c>
      <c r="B425" t="s">
        <v>243</v>
      </c>
      <c r="C425">
        <v>5</v>
      </c>
      <c r="D425" t="s">
        <v>109</v>
      </c>
      <c r="E425" t="s">
        <v>116</v>
      </c>
      <c r="F425" t="s">
        <v>71</v>
      </c>
      <c r="G425">
        <v>3.74470825327669</v>
      </c>
      <c r="H425">
        <v>3E+20</v>
      </c>
      <c r="I425">
        <v>0</v>
      </c>
      <c r="J425">
        <v>5</v>
      </c>
      <c r="K425">
        <v>4</v>
      </c>
      <c r="L425">
        <v>0</v>
      </c>
      <c r="M425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425" cm="1">
        <f t="array" ref="N425">MAX(IF((ProjectInfoTable[ProjectName]=ContinuousStatsTable[[#This Row],[ProjectName]]),(ProjectInfoTable[ProjectName]=ContinuousStatsTable[[#This Row],[ProjectName]])*ProjectInfoTable[NumberOfReplications]))</f>
        <v>10</v>
      </c>
      <c r="O425" cm="1">
        <f t="array" ref="O425">IFERROR(AVERAGE(IF((ContinuousStatsTable[GroupByKey]=ContinuousStatsTable[[#This Row],[GroupByKey]]),(ContinuousStatsTable[GroupByKey]=ContinuousStatsTable[[#This Row],[GroupByKey]])*ContinuousStatsTable[Average])),0)</f>
        <v>3.1643006447829118</v>
      </c>
      <c r="P42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0.56709805972033456</v>
      </c>
      <c r="Q42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0.40567751338350572</v>
      </c>
      <c r="S425" cm="1">
        <f t="array" ref="S425">MIN(IF((ContinuousStatsTable[GroupByKey]=ContinuousStatsTable[[#This Row],[GroupByKey]]),(ContinuousStatsTable[GroupByKey]=ContinuousStatsTable[[#This Row],[GroupByKey]])*ContinuousStatsTable[Average]))</f>
        <v>2.1571183231200299</v>
      </c>
      <c r="T425" cm="1">
        <f t="array" ref="T425">MAX(IF((ContinuousStatsTable[GroupByKey]=ContinuousStatsTable[[#This Row],[GroupByKey]]),(ContinuousStatsTable[GroupByKey]=ContinuousStatsTable[[#This Row],[GroupByKey]])*ContinuousStatsTable[Average]))</f>
        <v>3.7448575603137102</v>
      </c>
      <c r="U425">
        <f>IF((ContinuousStatsTable[[#This Row],[RepsRequested]]&gt;1),ContinuousStatsTable[[#This Row],[HalfWidth]],ContinuousStatsTable[[#This Row],[BatchMeansHalfWidth]])</f>
        <v>0.40567751338350572</v>
      </c>
    </row>
    <row r="426" spans="1:21" x14ac:dyDescent="0.25">
      <c r="A426" t="s">
        <v>67</v>
      </c>
      <c r="B426" t="s">
        <v>243</v>
      </c>
      <c r="C426">
        <v>5</v>
      </c>
      <c r="D426" t="s">
        <v>110</v>
      </c>
      <c r="E426" t="s">
        <v>117</v>
      </c>
      <c r="F426" t="s">
        <v>76</v>
      </c>
      <c r="G426">
        <v>2.3972582838526901</v>
      </c>
      <c r="H426">
        <v>3E+20</v>
      </c>
      <c r="I426">
        <v>0</v>
      </c>
      <c r="J426">
        <v>6</v>
      </c>
      <c r="K426">
        <v>5</v>
      </c>
      <c r="L426">
        <v>0</v>
      </c>
      <c r="M426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426" cm="1">
        <f t="array" ref="N426">MAX(IF((ProjectInfoTable[ProjectName]=ContinuousStatsTable[[#This Row],[ProjectName]]),(ProjectInfoTable[ProjectName]=ContinuousStatsTable[[#This Row],[ProjectName]])*ProjectInfoTable[NumberOfReplications]))</f>
        <v>10</v>
      </c>
      <c r="O426" cm="1">
        <f t="array" ref="O426">IFERROR(AVERAGE(IF((ContinuousStatsTable[GroupByKey]=ContinuousStatsTable[[#This Row],[GroupByKey]]),(ContinuousStatsTable[GroupByKey]=ContinuousStatsTable[[#This Row],[GroupByKey]])*ContinuousStatsTable[Average])),0)</f>
        <v>2.7938165767457108</v>
      </c>
      <c r="P426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0.37107770243484822</v>
      </c>
      <c r="Q426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0.26545299708849601</v>
      </c>
      <c r="S426" cm="1">
        <f t="array" ref="S426">MIN(IF((ContinuousStatsTable[GroupByKey]=ContinuousStatsTable[[#This Row],[GroupByKey]]),(ContinuousStatsTable[GroupByKey]=ContinuousStatsTable[[#This Row],[GroupByKey]])*ContinuousStatsTable[Average]))</f>
        <v>2.05988155680273</v>
      </c>
      <c r="T426" cm="1">
        <f t="array" ref="T426">MAX(IF((ContinuousStatsTable[GroupByKey]=ContinuousStatsTable[[#This Row],[GroupByKey]]),(ContinuousStatsTable[GroupByKey]=ContinuousStatsTable[[#This Row],[GroupByKey]])*ContinuousStatsTable[Average]))</f>
        <v>3.2132100714910901</v>
      </c>
      <c r="U426">
        <f>IF((ContinuousStatsTable[[#This Row],[RepsRequested]]&gt;1),ContinuousStatsTable[[#This Row],[HalfWidth]],ContinuousStatsTable[[#This Row],[BatchMeansHalfWidth]])</f>
        <v>0.26545299708849601</v>
      </c>
    </row>
    <row r="427" spans="1:21" x14ac:dyDescent="0.25">
      <c r="A427" t="s">
        <v>67</v>
      </c>
      <c r="B427" t="s">
        <v>243</v>
      </c>
      <c r="C427">
        <v>6</v>
      </c>
      <c r="D427" t="s">
        <v>111</v>
      </c>
      <c r="E427" t="s">
        <v>112</v>
      </c>
      <c r="F427" t="s">
        <v>113</v>
      </c>
      <c r="G427">
        <v>3.6105271539592199E-2</v>
      </c>
      <c r="H427">
        <v>3E+20</v>
      </c>
      <c r="I427">
        <v>0</v>
      </c>
      <c r="J427">
        <v>1</v>
      </c>
      <c r="K427">
        <v>1</v>
      </c>
      <c r="L427">
        <v>0</v>
      </c>
      <c r="M427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427" cm="1">
        <f t="array" ref="N427">MAX(IF((ProjectInfoTable[ProjectName]=ContinuousStatsTable[[#This Row],[ProjectName]]),(ProjectInfoTable[ProjectName]=ContinuousStatsTable[[#This Row],[ProjectName]])*ProjectInfoTable[NumberOfReplications]))</f>
        <v>10</v>
      </c>
      <c r="O427" cm="1">
        <f t="array" ref="O427">IFERROR(AVERAGE(IF((ContinuousStatsTable[GroupByKey]=ContinuousStatsTable[[#This Row],[GroupByKey]]),(ContinuousStatsTable[GroupByKey]=ContinuousStatsTable[[#This Row],[GroupByKey]])*ContinuousStatsTable[Average])),0)</f>
        <v>3.6074566243936998E-2</v>
      </c>
      <c r="P427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6.6761681626786623E-5</v>
      </c>
      <c r="Q427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4.7758430005936653E-5</v>
      </c>
      <c r="S427" cm="1">
        <f t="array" ref="S427">MIN(IF((ContinuousStatsTable[GroupByKey]=ContinuousStatsTable[[#This Row],[GroupByKey]]),(ContinuousStatsTable[GroupByKey]=ContinuousStatsTable[[#This Row],[GroupByKey]])*ContinuousStatsTable[Average]))</f>
        <v>3.5941735992799297E-2</v>
      </c>
      <c r="T427" cm="1">
        <f t="array" ref="T427">MAX(IF((ContinuousStatsTable[GroupByKey]=ContinuousStatsTable[[#This Row],[GroupByKey]]),(ContinuousStatsTable[GroupByKey]=ContinuousStatsTable[[#This Row],[GroupByKey]])*ContinuousStatsTable[Average]))</f>
        <v>3.6177689828441002E-2</v>
      </c>
      <c r="U427">
        <f>IF((ContinuousStatsTable[[#This Row],[RepsRequested]]&gt;1),ContinuousStatsTable[[#This Row],[HalfWidth]],ContinuousStatsTable[[#This Row],[BatchMeansHalfWidth]])</f>
        <v>4.7758430005936653E-5</v>
      </c>
    </row>
    <row r="428" spans="1:21" x14ac:dyDescent="0.25">
      <c r="A428" t="s">
        <v>67</v>
      </c>
      <c r="B428" t="s">
        <v>243</v>
      </c>
      <c r="C428">
        <v>6</v>
      </c>
      <c r="D428" t="s">
        <v>111</v>
      </c>
      <c r="E428" t="s">
        <v>114</v>
      </c>
      <c r="F428" t="s">
        <v>113</v>
      </c>
      <c r="G428">
        <v>3.6105271539592199E-2</v>
      </c>
      <c r="H428">
        <v>3E+20</v>
      </c>
      <c r="I428">
        <v>0</v>
      </c>
      <c r="J428">
        <v>1</v>
      </c>
      <c r="K428">
        <v>1</v>
      </c>
      <c r="L428">
        <v>0</v>
      </c>
      <c r="M428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428" cm="1">
        <f t="array" ref="N428">MAX(IF((ProjectInfoTable[ProjectName]=ContinuousStatsTable[[#This Row],[ProjectName]]),(ProjectInfoTable[ProjectName]=ContinuousStatsTable[[#This Row],[ProjectName]])*ProjectInfoTable[NumberOfReplications]))</f>
        <v>10</v>
      </c>
      <c r="O428" cm="1">
        <f t="array" ref="O428">IFERROR(AVERAGE(IF((ContinuousStatsTable[GroupByKey]=ContinuousStatsTable[[#This Row],[GroupByKey]]),(ContinuousStatsTable[GroupByKey]=ContinuousStatsTable[[#This Row],[GroupByKey]])*ContinuousStatsTable[Average])),0)</f>
        <v>3.6074566243937005E-2</v>
      </c>
      <c r="P428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6.6761681626785268E-5</v>
      </c>
      <c r="Q428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4.7758430005935684E-5</v>
      </c>
      <c r="S428" cm="1">
        <f t="array" ref="S428">MIN(IF((ContinuousStatsTable[GroupByKey]=ContinuousStatsTable[[#This Row],[GroupByKey]]),(ContinuousStatsTable[GroupByKey]=ContinuousStatsTable[[#This Row],[GroupByKey]])*ContinuousStatsTable[Average]))</f>
        <v>3.5941735992799297E-2</v>
      </c>
      <c r="T428" cm="1">
        <f t="array" ref="T428">MAX(IF((ContinuousStatsTable[GroupByKey]=ContinuousStatsTable[[#This Row],[GroupByKey]]),(ContinuousStatsTable[GroupByKey]=ContinuousStatsTable[[#This Row],[GroupByKey]])*ContinuousStatsTable[Average]))</f>
        <v>3.6177689828441002E-2</v>
      </c>
      <c r="U428">
        <f>IF((ContinuousStatsTable[[#This Row],[RepsRequested]]&gt;1),ContinuousStatsTable[[#This Row],[HalfWidth]],ContinuousStatsTable[[#This Row],[BatchMeansHalfWidth]])</f>
        <v>4.7758430005935684E-5</v>
      </c>
    </row>
    <row r="429" spans="1:21" x14ac:dyDescent="0.25">
      <c r="A429" t="s">
        <v>67</v>
      </c>
      <c r="B429" t="s">
        <v>243</v>
      </c>
      <c r="C429">
        <v>6</v>
      </c>
      <c r="D429" t="s">
        <v>111</v>
      </c>
      <c r="E429" t="s">
        <v>115</v>
      </c>
      <c r="F429" t="s">
        <v>113</v>
      </c>
      <c r="G429">
        <v>0.476190476190476</v>
      </c>
      <c r="H429">
        <v>2E+20</v>
      </c>
      <c r="I429">
        <v>0</v>
      </c>
      <c r="J429">
        <v>1</v>
      </c>
      <c r="K429">
        <v>1</v>
      </c>
      <c r="L429">
        <v>0</v>
      </c>
      <c r="M429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429" cm="1">
        <f t="array" ref="N429">MAX(IF((ProjectInfoTable[ProjectName]=ContinuousStatsTable[[#This Row],[ProjectName]]),(ProjectInfoTable[ProjectName]=ContinuousStatsTable[[#This Row],[ProjectName]])*ProjectInfoTable[NumberOfReplications]))</f>
        <v>10</v>
      </c>
      <c r="O429" cm="1">
        <f t="array" ref="O42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29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0</v>
      </c>
      <c r="Q429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9" cm="1">
        <f t="array" ref="S429">MIN(IF((ContinuousStatsTable[GroupByKey]=ContinuousStatsTable[[#This Row],[GroupByKey]]),(ContinuousStatsTable[GroupByKey]=ContinuousStatsTable[[#This Row],[GroupByKey]])*ContinuousStatsTable[Average]))</f>
        <v>0.476190476190476</v>
      </c>
      <c r="T429" cm="1">
        <f t="array" ref="T429">MAX(IF((ContinuousStatsTable[GroupByKey]=ContinuousStatsTable[[#This Row],[GroupByKey]]),(ContinuousStatsTable[GroupByKey]=ContinuousStatsTable[[#This Row],[GroupByKey]])*ContinuousStatsTable[Average]))</f>
        <v>0.476190476190476</v>
      </c>
      <c r="U429">
        <f>IF((ContinuousStatsTable[[#This Row],[RepsRequested]]&gt;1),ContinuousStatsTable[[#This Row],[HalfWidth]],ContinuousStatsTable[[#This Row],[BatchMeansHalfWidth]])</f>
        <v>0</v>
      </c>
    </row>
    <row r="430" spans="1:21" x14ac:dyDescent="0.25">
      <c r="A430" t="s">
        <v>67</v>
      </c>
      <c r="B430" t="s">
        <v>243</v>
      </c>
      <c r="C430">
        <v>6</v>
      </c>
      <c r="D430" t="s">
        <v>70</v>
      </c>
      <c r="E430" t="s">
        <v>116</v>
      </c>
      <c r="F430" t="s">
        <v>71</v>
      </c>
      <c r="G430">
        <v>1.8760472605413501</v>
      </c>
      <c r="H430">
        <v>3E+20</v>
      </c>
      <c r="I430">
        <v>0</v>
      </c>
      <c r="J430">
        <v>5</v>
      </c>
      <c r="K430">
        <v>4</v>
      </c>
      <c r="L430">
        <v>0</v>
      </c>
      <c r="M430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430" cm="1">
        <f t="array" ref="N430">MAX(IF((ProjectInfoTable[ProjectName]=ContinuousStatsTable[[#This Row],[ProjectName]]),(ProjectInfoTable[ProjectName]=ContinuousStatsTable[[#This Row],[ProjectName]])*ProjectInfoTable[NumberOfReplications]))</f>
        <v>10</v>
      </c>
      <c r="O430" cm="1">
        <f t="array" ref="O430">IFERROR(AVERAGE(IF((ContinuousStatsTable[GroupByKey]=ContinuousStatsTable[[#This Row],[GroupByKey]]),(ContinuousStatsTable[GroupByKey]=ContinuousStatsTable[[#This Row],[GroupByKey]])*ContinuousStatsTable[Average])),0)</f>
        <v>1.983224619189873</v>
      </c>
      <c r="P430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0.29990249131557767</v>
      </c>
      <c r="Q430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0.21453731828040576</v>
      </c>
      <c r="S430" cm="1">
        <f t="array" ref="S430">MIN(IF((ContinuousStatsTable[GroupByKey]=ContinuousStatsTable[[#This Row],[GroupByKey]]),(ContinuousStatsTable[GroupByKey]=ContinuousStatsTable[[#This Row],[GroupByKey]])*ContinuousStatsTable[Average]))</f>
        <v>1.4478959937017499</v>
      </c>
      <c r="T430" cm="1">
        <f t="array" ref="T430">MAX(IF((ContinuousStatsTable[GroupByKey]=ContinuousStatsTable[[#This Row],[GroupByKey]]),(ContinuousStatsTable[GroupByKey]=ContinuousStatsTable[[#This Row],[GroupByKey]])*ContinuousStatsTable[Average]))</f>
        <v>2.3267973127516899</v>
      </c>
      <c r="U430">
        <f>IF((ContinuousStatsTable[[#This Row],[RepsRequested]]&gt;1),ContinuousStatsTable[[#This Row],[HalfWidth]],ContinuousStatsTable[[#This Row],[BatchMeansHalfWidth]])</f>
        <v>0.21453731828040576</v>
      </c>
    </row>
    <row r="431" spans="1:21" x14ac:dyDescent="0.25">
      <c r="A431" t="s">
        <v>67</v>
      </c>
      <c r="B431" t="s">
        <v>243</v>
      </c>
      <c r="C431">
        <v>6</v>
      </c>
      <c r="D431" t="s">
        <v>73</v>
      </c>
      <c r="E431" t="s">
        <v>116</v>
      </c>
      <c r="F431" t="s">
        <v>71</v>
      </c>
      <c r="G431">
        <v>0.66613303676888702</v>
      </c>
      <c r="H431">
        <v>3E+20</v>
      </c>
      <c r="I431">
        <v>0</v>
      </c>
      <c r="J431">
        <v>2</v>
      </c>
      <c r="K431">
        <v>1</v>
      </c>
      <c r="L431">
        <v>0</v>
      </c>
      <c r="M431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431" cm="1">
        <f t="array" ref="N431">MAX(IF((ProjectInfoTable[ProjectName]=ContinuousStatsTable[[#This Row],[ProjectName]]),(ProjectInfoTable[ProjectName]=ContinuousStatsTable[[#This Row],[ProjectName]])*ProjectInfoTable[NumberOfReplications]))</f>
        <v>10</v>
      </c>
      <c r="O431" cm="1">
        <f t="array" ref="O431">IFERROR(AVERAGE(IF((ContinuousStatsTable[GroupByKey]=ContinuousStatsTable[[#This Row],[GroupByKey]]),(ContinuousStatsTable[GroupByKey]=ContinuousStatsTable[[#This Row],[GroupByKey]])*ContinuousStatsTable[Average])),0)</f>
        <v>0.47900820660242172</v>
      </c>
      <c r="P431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0.13717282935395095</v>
      </c>
      <c r="Q431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9.8127530789884315E-2</v>
      </c>
      <c r="S431" cm="1">
        <f t="array" ref="S431">MIN(IF((ContinuousStatsTable[GroupByKey]=ContinuousStatsTable[[#This Row],[GroupByKey]]),(ContinuousStatsTable[GroupByKey]=ContinuousStatsTable[[#This Row],[GroupByKey]])*ContinuousStatsTable[Average]))</f>
        <v>0.25584390949740998</v>
      </c>
      <c r="T431" cm="1">
        <f t="array" ref="T431">MAX(IF((ContinuousStatsTable[GroupByKey]=ContinuousStatsTable[[#This Row],[GroupByKey]]),(ContinuousStatsTable[GroupByKey]=ContinuousStatsTable[[#This Row],[GroupByKey]])*ContinuousStatsTable[Average]))</f>
        <v>0.66613303676888702</v>
      </c>
      <c r="U431">
        <f>IF((ContinuousStatsTable[[#This Row],[RepsRequested]]&gt;1),ContinuousStatsTable[[#This Row],[HalfWidth]],ContinuousStatsTable[[#This Row],[BatchMeansHalfWidth]])</f>
        <v>9.8127530789884315E-2</v>
      </c>
    </row>
    <row r="432" spans="1:21" x14ac:dyDescent="0.25">
      <c r="A432" t="s">
        <v>67</v>
      </c>
      <c r="B432" t="s">
        <v>243</v>
      </c>
      <c r="C432">
        <v>6</v>
      </c>
      <c r="D432" t="s">
        <v>74</v>
      </c>
      <c r="E432" t="s">
        <v>116</v>
      </c>
      <c r="F432" t="s">
        <v>71</v>
      </c>
      <c r="G432">
        <v>0.51788426940096599</v>
      </c>
      <c r="H432">
        <v>3E+20</v>
      </c>
      <c r="I432">
        <v>0</v>
      </c>
      <c r="J432">
        <v>2</v>
      </c>
      <c r="K432">
        <v>0</v>
      </c>
      <c r="L432">
        <v>0</v>
      </c>
      <c r="M432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432" cm="1">
        <f t="array" ref="N432">MAX(IF((ProjectInfoTable[ProjectName]=ContinuousStatsTable[[#This Row],[ProjectName]]),(ProjectInfoTable[ProjectName]=ContinuousStatsTable[[#This Row],[ProjectName]])*ProjectInfoTable[NumberOfReplications]))</f>
        <v>10</v>
      </c>
      <c r="O432" cm="1">
        <f t="array" ref="O432">IFERROR(AVERAGE(IF((ContinuousStatsTable[GroupByKey]=ContinuousStatsTable[[#This Row],[GroupByKey]]),(ContinuousStatsTable[GroupByKey]=ContinuousStatsTable[[#This Row],[GroupByKey]])*ContinuousStatsTable[Average])),0)</f>
        <v>0.41775820490048837</v>
      </c>
      <c r="P432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0.15099462697666188</v>
      </c>
      <c r="Q432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0.1080150491722195</v>
      </c>
      <c r="S432" cm="1">
        <f t="array" ref="S432">MIN(IF((ContinuousStatsTable[GroupByKey]=ContinuousStatsTable[[#This Row],[GroupByKey]]),(ContinuousStatsTable[GroupByKey]=ContinuousStatsTable[[#This Row],[GroupByKey]])*ContinuousStatsTable[Average]))</f>
        <v>0.25632285648643699</v>
      </c>
      <c r="T432" cm="1">
        <f t="array" ref="T432">MAX(IF((ContinuousStatsTable[GroupByKey]=ContinuousStatsTable[[#This Row],[GroupByKey]]),(ContinuousStatsTable[GroupByKey]=ContinuousStatsTable[[#This Row],[GroupByKey]])*ContinuousStatsTable[Average]))</f>
        <v>0.68422762922173497</v>
      </c>
      <c r="U432">
        <f>IF((ContinuousStatsTable[[#This Row],[RepsRequested]]&gt;1),ContinuousStatsTable[[#This Row],[HalfWidth]],ContinuousStatsTable[[#This Row],[BatchMeansHalfWidth]])</f>
        <v>0.1080150491722195</v>
      </c>
    </row>
    <row r="433" spans="1:21" x14ac:dyDescent="0.25">
      <c r="A433" t="s">
        <v>67</v>
      </c>
      <c r="B433" t="s">
        <v>243</v>
      </c>
      <c r="C433">
        <v>6</v>
      </c>
      <c r="D433" t="s">
        <v>75</v>
      </c>
      <c r="E433" t="s">
        <v>117</v>
      </c>
      <c r="F433" t="s">
        <v>76</v>
      </c>
      <c r="G433">
        <v>21.033373075555598</v>
      </c>
      <c r="H433">
        <v>2E+20</v>
      </c>
      <c r="I433">
        <v>0</v>
      </c>
      <c r="J433">
        <v>125</v>
      </c>
      <c r="K433">
        <v>0</v>
      </c>
      <c r="L433">
        <v>0</v>
      </c>
      <c r="M43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33" cm="1">
        <f t="array" ref="N433">MAX(IF((ProjectInfoTable[ProjectName]=ContinuousStatsTable[[#This Row],[ProjectName]]),(ProjectInfoTable[ProjectName]=ContinuousStatsTable[[#This Row],[ProjectName]])*ProjectInfoTable[NumberOfReplications]))</f>
        <v>10</v>
      </c>
      <c r="O433" cm="1">
        <f t="array" ref="O433">IFERROR(AVERAGE(IF((ContinuousStatsTable[GroupByKey]=ContinuousStatsTable[[#This Row],[GroupByKey]]),(ContinuousStatsTable[GroupByKey]=ContinuousStatsTable[[#This Row],[GroupByKey]])*ContinuousStatsTable[Average])),0)</f>
        <v>17.583529006307167</v>
      </c>
      <c r="P433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4.1660214616007023</v>
      </c>
      <c r="Q433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2.9801922229780646</v>
      </c>
      <c r="S433" cm="1">
        <f t="array" ref="S433">MIN(IF((ContinuousStatsTable[GroupByKey]=ContinuousStatsTable[[#This Row],[GroupByKey]]),(ContinuousStatsTable[GroupByKey]=ContinuousStatsTable[[#This Row],[GroupByKey]])*ContinuousStatsTable[Average]))</f>
        <v>10.842462759184199</v>
      </c>
      <c r="T433" cm="1">
        <f t="array" ref="T433">MAX(IF((ContinuousStatsTable[GroupByKey]=ContinuousStatsTable[[#This Row],[GroupByKey]]),(ContinuousStatsTable[GroupByKey]=ContinuousStatsTable[[#This Row],[GroupByKey]])*ContinuousStatsTable[Average]))</f>
        <v>25.8699848535447</v>
      </c>
      <c r="U433">
        <f>IF((ContinuousStatsTable[[#This Row],[RepsRequested]]&gt;1),ContinuousStatsTable[[#This Row],[HalfWidth]],ContinuousStatsTable[[#This Row],[BatchMeansHalfWidth]])</f>
        <v>2.9801922229780646</v>
      </c>
    </row>
    <row r="434" spans="1:21" x14ac:dyDescent="0.25">
      <c r="A434" t="s">
        <v>67</v>
      </c>
      <c r="B434" t="s">
        <v>243</v>
      </c>
      <c r="C434">
        <v>6</v>
      </c>
      <c r="D434" t="s">
        <v>118</v>
      </c>
      <c r="E434" t="s">
        <v>117</v>
      </c>
      <c r="F434" t="s">
        <v>76</v>
      </c>
      <c r="G434">
        <v>97.961580323687201</v>
      </c>
      <c r="H434">
        <v>3E+20</v>
      </c>
      <c r="I434">
        <v>0</v>
      </c>
      <c r="J434">
        <v>194</v>
      </c>
      <c r="K434">
        <v>194</v>
      </c>
      <c r="L434">
        <v>0</v>
      </c>
      <c r="M434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34" cm="1">
        <f t="array" ref="N434">MAX(IF((ProjectInfoTable[ProjectName]=ContinuousStatsTable[[#This Row],[ProjectName]]),(ProjectInfoTable[ProjectName]=ContinuousStatsTable[[#This Row],[ProjectName]])*ProjectInfoTable[NumberOfReplications]))</f>
        <v>10</v>
      </c>
      <c r="O434" cm="1">
        <f t="array" ref="O434">IFERROR(AVERAGE(IF((ContinuousStatsTable[GroupByKey]=ContinuousStatsTable[[#This Row],[GroupByKey]]),(ContinuousStatsTable[GroupByKey]=ContinuousStatsTable[[#This Row],[GroupByKey]])*ContinuousStatsTable[Average])),0)</f>
        <v>95.041511376368575</v>
      </c>
      <c r="P434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6.556289254191463</v>
      </c>
      <c r="Q434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4.6900867955271215</v>
      </c>
      <c r="S434" cm="1">
        <f t="array" ref="S434">MIN(IF((ContinuousStatsTable[GroupByKey]=ContinuousStatsTable[[#This Row],[GroupByKey]]),(ContinuousStatsTable[GroupByKey]=ContinuousStatsTable[[#This Row],[GroupByKey]])*ContinuousStatsTable[Average]))</f>
        <v>81.860988802888798</v>
      </c>
      <c r="T434" cm="1">
        <f t="array" ref="T434">MAX(IF((ContinuousStatsTable[GroupByKey]=ContinuousStatsTable[[#This Row],[GroupByKey]]),(ContinuousStatsTable[GroupByKey]=ContinuousStatsTable[[#This Row],[GroupByKey]])*ContinuousStatsTable[Average]))</f>
        <v>104.034812219697</v>
      </c>
      <c r="U434">
        <f>IF((ContinuousStatsTable[[#This Row],[RepsRequested]]&gt;1),ContinuousStatsTable[[#This Row],[HalfWidth]],ContinuousStatsTable[[#This Row],[BatchMeansHalfWidth]])</f>
        <v>4.6900867955271215</v>
      </c>
    </row>
    <row r="435" spans="1:21" x14ac:dyDescent="0.25">
      <c r="A435" t="s">
        <v>67</v>
      </c>
      <c r="B435" t="s">
        <v>243</v>
      </c>
      <c r="C435">
        <v>6</v>
      </c>
      <c r="D435" t="s">
        <v>119</v>
      </c>
      <c r="E435" t="s">
        <v>117</v>
      </c>
      <c r="F435" t="s">
        <v>76</v>
      </c>
      <c r="G435">
        <v>935.21729677519602</v>
      </c>
      <c r="H435">
        <v>3E+20</v>
      </c>
      <c r="I435">
        <v>0</v>
      </c>
      <c r="J435">
        <v>1808</v>
      </c>
      <c r="K435">
        <v>1808</v>
      </c>
      <c r="L435">
        <v>0</v>
      </c>
      <c r="M435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435" cm="1">
        <f t="array" ref="N435">MAX(IF((ProjectInfoTable[ProjectName]=ContinuousStatsTable[[#This Row],[ProjectName]]),(ProjectInfoTable[ProjectName]=ContinuousStatsTable[[#This Row],[ProjectName]])*ProjectInfoTable[NumberOfReplications]))</f>
        <v>10</v>
      </c>
      <c r="O435" cm="1">
        <f t="array" ref="O435">IFERROR(AVERAGE(IF((ContinuousStatsTable[GroupByKey]=ContinuousStatsTable[[#This Row],[GroupByKey]]),(ContinuousStatsTable[GroupByKey]=ContinuousStatsTable[[#This Row],[GroupByKey]])*ContinuousStatsTable[Average])),0)</f>
        <v>959.25249800465133</v>
      </c>
      <c r="P43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16.228386811509871</v>
      </c>
      <c r="Q43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11.609088578376843</v>
      </c>
      <c r="S435" cm="1">
        <f t="array" ref="S435">MIN(IF((ContinuousStatsTable[GroupByKey]=ContinuousStatsTable[[#This Row],[GroupByKey]]),(ContinuousStatsTable[GroupByKey]=ContinuousStatsTable[[#This Row],[GroupByKey]])*ContinuousStatsTable[Average]))</f>
        <v>935.21729677519602</v>
      </c>
      <c r="T435" cm="1">
        <f t="array" ref="T435">MAX(IF((ContinuousStatsTable[GroupByKey]=ContinuousStatsTable[[#This Row],[GroupByKey]]),(ContinuousStatsTable[GroupByKey]=ContinuousStatsTable[[#This Row],[GroupByKey]])*ContinuousStatsTable[Average]))</f>
        <v>986.61029939527498</v>
      </c>
      <c r="U435">
        <f>IF((ContinuousStatsTable[[#This Row],[RepsRequested]]&gt;1),ContinuousStatsTable[[#This Row],[HalfWidth]],ContinuousStatsTable[[#This Row],[BatchMeansHalfWidth]])</f>
        <v>11.609088578376843</v>
      </c>
    </row>
    <row r="436" spans="1:21" x14ac:dyDescent="0.25">
      <c r="A436" t="s">
        <v>67</v>
      </c>
      <c r="B436" t="s">
        <v>243</v>
      </c>
      <c r="C436">
        <v>6</v>
      </c>
      <c r="D436" t="s">
        <v>120</v>
      </c>
      <c r="E436" t="s">
        <v>117</v>
      </c>
      <c r="F436" t="s">
        <v>76</v>
      </c>
      <c r="G436">
        <v>4198.3595150761003</v>
      </c>
      <c r="H436">
        <v>3E+20</v>
      </c>
      <c r="I436">
        <v>0</v>
      </c>
      <c r="J436">
        <v>8094</v>
      </c>
      <c r="K436">
        <v>8094</v>
      </c>
      <c r="L436">
        <v>0</v>
      </c>
      <c r="M436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436" cm="1">
        <f t="array" ref="N436">MAX(IF((ProjectInfoTable[ProjectName]=ContinuousStatsTable[[#This Row],[ProjectName]]),(ProjectInfoTable[ProjectName]=ContinuousStatsTable[[#This Row],[ProjectName]])*ProjectInfoTable[NumberOfReplications]))</f>
        <v>10</v>
      </c>
      <c r="O436" cm="1">
        <f t="array" ref="O436">IFERROR(AVERAGE(IF((ContinuousStatsTable[GroupByKey]=ContinuousStatsTable[[#This Row],[GroupByKey]]),(ContinuousStatsTable[GroupByKey]=ContinuousStatsTable[[#This Row],[GroupByKey]])*ContinuousStatsTable[Average])),0)</f>
        <v>4203.5615331875215</v>
      </c>
      <c r="P436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17.695322227060075</v>
      </c>
      <c r="Q436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12.658470958503626</v>
      </c>
      <c r="S436" cm="1">
        <f t="array" ref="S436">MIN(IF((ContinuousStatsTable[GroupByKey]=ContinuousStatsTable[[#This Row],[GroupByKey]]),(ContinuousStatsTable[GroupByKey]=ContinuousStatsTable[[#This Row],[GroupByKey]])*ContinuousStatsTable[Average]))</f>
        <v>4170.1494074333395</v>
      </c>
      <c r="T436" cm="1">
        <f t="array" ref="T436">MAX(IF((ContinuousStatsTable[GroupByKey]=ContinuousStatsTable[[#This Row],[GroupByKey]]),(ContinuousStatsTable[GroupByKey]=ContinuousStatsTable[[#This Row],[GroupByKey]])*ContinuousStatsTable[Average]))</f>
        <v>4233.0569788620896</v>
      </c>
      <c r="U436">
        <f>IF((ContinuousStatsTable[[#This Row],[RepsRequested]]&gt;1),ContinuousStatsTable[[#This Row],[HalfWidth]],ContinuousStatsTable[[#This Row],[BatchMeansHalfWidth]])</f>
        <v>12.658470958503626</v>
      </c>
    </row>
    <row r="437" spans="1:21" x14ac:dyDescent="0.25">
      <c r="A437" t="s">
        <v>67</v>
      </c>
      <c r="B437" t="s">
        <v>243</v>
      </c>
      <c r="C437">
        <v>6</v>
      </c>
      <c r="D437" t="s">
        <v>121</v>
      </c>
      <c r="E437" t="s">
        <v>112</v>
      </c>
      <c r="F437" t="s">
        <v>113</v>
      </c>
      <c r="G437">
        <v>0.57167989674475905</v>
      </c>
      <c r="H437">
        <v>3E+20</v>
      </c>
      <c r="I437">
        <v>0</v>
      </c>
      <c r="J437">
        <v>1</v>
      </c>
      <c r="K437">
        <v>1</v>
      </c>
      <c r="L437">
        <v>0</v>
      </c>
      <c r="M437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437" cm="1">
        <f t="array" ref="N437">MAX(IF((ProjectInfoTable[ProjectName]=ContinuousStatsTable[[#This Row],[ProjectName]]),(ProjectInfoTable[ProjectName]=ContinuousStatsTable[[#This Row],[ProjectName]])*ProjectInfoTable[NumberOfReplications]))</f>
        <v>10</v>
      </c>
      <c r="O437" cm="1">
        <f t="array" ref="O437">IFERROR(AVERAGE(IF((ContinuousStatsTable[GroupByKey]=ContinuousStatsTable[[#This Row],[GroupByKey]]),(ContinuousStatsTable[GroupByKey]=ContinuousStatsTable[[#This Row],[GroupByKey]])*ContinuousStatsTable[Average])),0)</f>
        <v>0.48160620907873086</v>
      </c>
      <c r="P437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8.6686321722355061E-2</v>
      </c>
      <c r="Q437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6.2011658897281531E-2</v>
      </c>
      <c r="S437" cm="1">
        <f t="array" ref="S437">MIN(IF((ContinuousStatsTable[GroupByKey]=ContinuousStatsTable[[#This Row],[GroupByKey]]),(ContinuousStatsTable[GroupByKey]=ContinuousStatsTable[[#This Row],[GroupByKey]])*ContinuousStatsTable[Average]))</f>
        <v>0.292184201252493</v>
      </c>
      <c r="T437" cm="1">
        <f t="array" ref="T437">MAX(IF((ContinuousStatsTable[GroupByKey]=ContinuousStatsTable[[#This Row],[GroupByKey]]),(ContinuousStatsTable[GroupByKey]=ContinuousStatsTable[[#This Row],[GroupByKey]])*ContinuousStatsTable[Average]))</f>
        <v>0.57167989674475905</v>
      </c>
      <c r="U437">
        <f>IF((ContinuousStatsTable[[#This Row],[RepsRequested]]&gt;1),ContinuousStatsTable[[#This Row],[HalfWidth]],ContinuousStatsTable[[#This Row],[BatchMeansHalfWidth]])</f>
        <v>6.2011658897281531E-2</v>
      </c>
    </row>
    <row r="438" spans="1:21" x14ac:dyDescent="0.25">
      <c r="A438" t="s">
        <v>67</v>
      </c>
      <c r="B438" t="s">
        <v>243</v>
      </c>
      <c r="C438">
        <v>6</v>
      </c>
      <c r="D438" t="s">
        <v>121</v>
      </c>
      <c r="E438" t="s">
        <v>114</v>
      </c>
      <c r="F438" t="s">
        <v>113</v>
      </c>
      <c r="G438">
        <v>2.28671958697903</v>
      </c>
      <c r="H438">
        <v>3E+20</v>
      </c>
      <c r="I438">
        <v>0</v>
      </c>
      <c r="J438">
        <v>4</v>
      </c>
      <c r="K438">
        <v>4</v>
      </c>
      <c r="L438">
        <v>0</v>
      </c>
      <c r="M438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438" cm="1">
        <f t="array" ref="N438">MAX(IF((ProjectInfoTable[ProjectName]=ContinuousStatsTable[[#This Row],[ProjectName]]),(ProjectInfoTable[ProjectName]=ContinuousStatsTable[[#This Row],[ProjectName]])*ProjectInfoTable[NumberOfReplications]))</f>
        <v>10</v>
      </c>
      <c r="O438" cm="1">
        <f t="array" ref="O438">IFERROR(AVERAGE(IF((ContinuousStatsTable[GroupByKey]=ContinuousStatsTable[[#This Row],[GroupByKey]]),(ContinuousStatsTable[GroupByKey]=ContinuousStatsTable[[#This Row],[GroupByKey]])*ContinuousStatsTable[Average])),0)</f>
        <v>1.9264248363149217</v>
      </c>
      <c r="P438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0.34674528688941914</v>
      </c>
      <c r="Q438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0.24804663558912532</v>
      </c>
      <c r="S438" cm="1">
        <f t="array" ref="S438">MIN(IF((ContinuousStatsTable[GroupByKey]=ContinuousStatsTable[[#This Row],[GroupByKey]]),(ContinuousStatsTable[GroupByKey]=ContinuousStatsTable[[#This Row],[GroupByKey]])*ContinuousStatsTable[Average]))</f>
        <v>1.16873680500997</v>
      </c>
      <c r="T438" cm="1">
        <f t="array" ref="T438">MAX(IF((ContinuousStatsTable[GroupByKey]=ContinuousStatsTable[[#This Row],[GroupByKey]]),(ContinuousStatsTable[GroupByKey]=ContinuousStatsTable[[#This Row],[GroupByKey]])*ContinuousStatsTable[Average]))</f>
        <v>2.28671958697903</v>
      </c>
      <c r="U438">
        <f>IF((ContinuousStatsTable[[#This Row],[RepsRequested]]&gt;1),ContinuousStatsTable[[#This Row],[HalfWidth]],ContinuousStatsTable[[#This Row],[BatchMeansHalfWidth]])</f>
        <v>0.24804663558912532</v>
      </c>
    </row>
    <row r="439" spans="1:21" x14ac:dyDescent="0.25">
      <c r="A439" t="s">
        <v>67</v>
      </c>
      <c r="B439" t="s">
        <v>243</v>
      </c>
      <c r="C439">
        <v>6</v>
      </c>
      <c r="D439" t="s">
        <v>121</v>
      </c>
      <c r="E439" t="s">
        <v>115</v>
      </c>
      <c r="F439" t="s">
        <v>113</v>
      </c>
      <c r="G439">
        <v>4</v>
      </c>
      <c r="H439">
        <v>2E+20</v>
      </c>
      <c r="I439">
        <v>4</v>
      </c>
      <c r="J439">
        <v>4</v>
      </c>
      <c r="K439">
        <v>4</v>
      </c>
      <c r="L439">
        <v>0</v>
      </c>
      <c r="M439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439" cm="1">
        <f t="array" ref="N439">MAX(IF((ProjectInfoTable[ProjectName]=ContinuousStatsTable[[#This Row],[ProjectName]]),(ProjectInfoTable[ProjectName]=ContinuousStatsTable[[#This Row],[ProjectName]])*ProjectInfoTable[NumberOfReplications]))</f>
        <v>10</v>
      </c>
      <c r="O439" cm="1">
        <f t="array" ref="O439">IFERROR(AVERAGE(IF((ContinuousStatsTable[GroupByKey]=ContinuousStatsTable[[#This Row],[GroupByKey]]),(ContinuousStatsTable[GroupByKey]=ContinuousStatsTable[[#This Row],[GroupByKey]])*ContinuousStatsTable[Average])),0)</f>
        <v>4</v>
      </c>
      <c r="P439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cm="1">
        <f t="array" ref="S439">MIN(IF((ContinuousStatsTable[GroupByKey]=ContinuousStatsTable[[#This Row],[GroupByKey]]),(ContinuousStatsTable[GroupByKey]=ContinuousStatsTable[[#This Row],[GroupByKey]])*ContinuousStatsTable[Average]))</f>
        <v>4</v>
      </c>
      <c r="T439" cm="1">
        <f t="array" ref="T439">MAX(IF((ContinuousStatsTable[GroupByKey]=ContinuousStatsTable[[#This Row],[GroupByKey]]),(ContinuousStatsTable[GroupByKey]=ContinuousStatsTable[[#This Row],[GroupByKey]])*ContinuousStatsTable[Average]))</f>
        <v>4</v>
      </c>
      <c r="U439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67</v>
      </c>
      <c r="B440" t="s">
        <v>243</v>
      </c>
      <c r="C440">
        <v>6</v>
      </c>
      <c r="D440" t="s">
        <v>122</v>
      </c>
      <c r="E440" t="s">
        <v>112</v>
      </c>
      <c r="F440" t="s">
        <v>113</v>
      </c>
      <c r="G440">
        <v>0.20846694968871901</v>
      </c>
      <c r="H440">
        <v>3E+20</v>
      </c>
      <c r="I440">
        <v>0</v>
      </c>
      <c r="J440">
        <v>1</v>
      </c>
      <c r="K440">
        <v>0</v>
      </c>
      <c r="L440">
        <v>0</v>
      </c>
      <c r="M440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440" cm="1">
        <f t="array" ref="N440">MAX(IF((ProjectInfoTable[ProjectName]=ContinuousStatsTable[[#This Row],[ProjectName]]),(ProjectInfoTable[ProjectName]=ContinuousStatsTable[[#This Row],[ProjectName]])*ProjectInfoTable[NumberOfReplications]))</f>
        <v>10</v>
      </c>
      <c r="O440" cm="1">
        <f t="array" ref="O440">IFERROR(AVERAGE(IF((ContinuousStatsTable[GroupByKey]=ContinuousStatsTable[[#This Row],[GroupByKey]]),(ContinuousStatsTable[GroupByKey]=ContinuousStatsTable[[#This Row],[GroupByKey]])*ContinuousStatsTable[Average])),0)</f>
        <v>0.25269289312392118</v>
      </c>
      <c r="P440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4.9214010083081669E-2</v>
      </c>
      <c r="Q440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3.5205581983442397E-2</v>
      </c>
      <c r="S440" cm="1">
        <f t="array" ref="S440">MIN(IF((ContinuousStatsTable[GroupByKey]=ContinuousStatsTable[[#This Row],[GroupByKey]]),(ContinuousStatsTable[GroupByKey]=ContinuousStatsTable[[#This Row],[GroupByKey]])*ContinuousStatsTable[Average]))</f>
        <v>0.20500025225945401</v>
      </c>
      <c r="T440" cm="1">
        <f t="array" ref="T440">MAX(IF((ContinuousStatsTable[GroupByKey]=ContinuousStatsTable[[#This Row],[GroupByKey]]),(ContinuousStatsTable[GroupByKey]=ContinuousStatsTable[[#This Row],[GroupByKey]])*ContinuousStatsTable[Average]))</f>
        <v>0.33570777662711199</v>
      </c>
      <c r="U440">
        <f>IF((ContinuousStatsTable[[#This Row],[RepsRequested]]&gt;1),ContinuousStatsTable[[#This Row],[HalfWidth]],ContinuousStatsTable[[#This Row],[BatchMeansHalfWidth]])</f>
        <v>3.5205581983442397E-2</v>
      </c>
    </row>
    <row r="441" spans="1:21" x14ac:dyDescent="0.25">
      <c r="A441" t="s">
        <v>67</v>
      </c>
      <c r="B441" t="s">
        <v>243</v>
      </c>
      <c r="C441">
        <v>6</v>
      </c>
      <c r="D441" t="s">
        <v>122</v>
      </c>
      <c r="E441" t="s">
        <v>114</v>
      </c>
      <c r="F441" t="s">
        <v>113</v>
      </c>
      <c r="G441">
        <v>0.625400849066165</v>
      </c>
      <c r="H441">
        <v>3E+20</v>
      </c>
      <c r="I441">
        <v>0</v>
      </c>
      <c r="J441">
        <v>3</v>
      </c>
      <c r="K441">
        <v>0</v>
      </c>
      <c r="L441">
        <v>0</v>
      </c>
      <c r="M441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441" cm="1">
        <f t="array" ref="N441">MAX(IF((ProjectInfoTable[ProjectName]=ContinuousStatsTable[[#This Row],[ProjectName]]),(ProjectInfoTable[ProjectName]=ContinuousStatsTable[[#This Row],[ProjectName]])*ProjectInfoTable[NumberOfReplications]))</f>
        <v>10</v>
      </c>
      <c r="O441" cm="1">
        <f t="array" ref="O441">IFERROR(AVERAGE(IF((ContinuousStatsTable[GroupByKey]=ContinuousStatsTable[[#This Row],[GroupByKey]]),(ContinuousStatsTable[GroupByKey]=ContinuousStatsTable[[#This Row],[GroupByKey]])*ContinuousStatsTable[Average])),0)</f>
        <v>0.75807867937176476</v>
      </c>
      <c r="P441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0.14764203024924766</v>
      </c>
      <c r="Q441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0.10561674595032908</v>
      </c>
      <c r="S441" cm="1">
        <f t="array" ref="S441">MIN(IF((ContinuousStatsTable[GroupByKey]=ContinuousStatsTable[[#This Row],[GroupByKey]]),(ContinuousStatsTable[GroupByKey]=ContinuousStatsTable[[#This Row],[GroupByKey]])*ContinuousStatsTable[Average]))</f>
        <v>0.61500075677836796</v>
      </c>
      <c r="T441" cm="1">
        <f t="array" ref="T441">MAX(IF((ContinuousStatsTable[GroupByKey]=ContinuousStatsTable[[#This Row],[GroupByKey]]),(ContinuousStatsTable[GroupByKey]=ContinuousStatsTable[[#This Row],[GroupByKey]])*ContinuousStatsTable[Average]))</f>
        <v>1.00712332988134</v>
      </c>
      <c r="U441">
        <f>IF((ContinuousStatsTable[[#This Row],[RepsRequested]]&gt;1),ContinuousStatsTable[[#This Row],[HalfWidth]],ContinuousStatsTable[[#This Row],[BatchMeansHalfWidth]])</f>
        <v>0.10561674595032908</v>
      </c>
    </row>
    <row r="442" spans="1:21" x14ac:dyDescent="0.25">
      <c r="A442" t="s">
        <v>67</v>
      </c>
      <c r="B442" t="s">
        <v>243</v>
      </c>
      <c r="C442">
        <v>6</v>
      </c>
      <c r="D442" t="s">
        <v>122</v>
      </c>
      <c r="E442" t="s">
        <v>115</v>
      </c>
      <c r="F442" t="s">
        <v>113</v>
      </c>
      <c r="G442">
        <v>3</v>
      </c>
      <c r="H442">
        <v>2E+20</v>
      </c>
      <c r="I442">
        <v>3</v>
      </c>
      <c r="J442">
        <v>3</v>
      </c>
      <c r="K442">
        <v>3</v>
      </c>
      <c r="L442">
        <v>0</v>
      </c>
      <c r="M442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442" cm="1">
        <f t="array" ref="N442">MAX(IF((ProjectInfoTable[ProjectName]=ContinuousStatsTable[[#This Row],[ProjectName]]),(ProjectInfoTable[ProjectName]=ContinuousStatsTable[[#This Row],[ProjectName]])*ProjectInfoTable[NumberOfReplications]))</f>
        <v>10</v>
      </c>
      <c r="O442" cm="1">
        <f t="array" ref="O442">IFERROR(AVERAGE(IF((ContinuousStatsTable[GroupByKey]=ContinuousStatsTable[[#This Row],[GroupByKey]]),(ContinuousStatsTable[GroupByKey]=ContinuousStatsTable[[#This Row],[GroupByKey]])*ContinuousStatsTable[Average])),0)</f>
        <v>3</v>
      </c>
      <c r="P442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0</v>
      </c>
      <c r="Q442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2" cm="1">
        <f t="array" ref="S442">MIN(IF((ContinuousStatsTable[GroupByKey]=ContinuousStatsTable[[#This Row],[GroupByKey]]),(ContinuousStatsTable[GroupByKey]=ContinuousStatsTable[[#This Row],[GroupByKey]])*ContinuousStatsTable[Average]))</f>
        <v>3</v>
      </c>
      <c r="T442" cm="1">
        <f t="array" ref="T442">MAX(IF((ContinuousStatsTable[GroupByKey]=ContinuousStatsTable[[#This Row],[GroupByKey]]),(ContinuousStatsTable[GroupByKey]=ContinuousStatsTable[[#This Row],[GroupByKey]])*ContinuousStatsTable[Average]))</f>
        <v>3</v>
      </c>
      <c r="U442">
        <f>IF((ContinuousStatsTable[[#This Row],[RepsRequested]]&gt;1),ContinuousStatsTable[[#This Row],[HalfWidth]],ContinuousStatsTable[[#This Row],[BatchMeansHalfWidth]])</f>
        <v>0</v>
      </c>
    </row>
    <row r="443" spans="1:21" x14ac:dyDescent="0.25">
      <c r="A443" t="s">
        <v>67</v>
      </c>
      <c r="B443" t="s">
        <v>243</v>
      </c>
      <c r="C443">
        <v>6</v>
      </c>
      <c r="D443" t="s">
        <v>123</v>
      </c>
      <c r="E443" t="s">
        <v>112</v>
      </c>
      <c r="F443" t="s">
        <v>113</v>
      </c>
      <c r="G443">
        <v>0.151561235045161</v>
      </c>
      <c r="H443">
        <v>3E+20</v>
      </c>
      <c r="I443">
        <v>0</v>
      </c>
      <c r="J443">
        <v>0.66666666666666696</v>
      </c>
      <c r="K443">
        <v>0</v>
      </c>
      <c r="L443">
        <v>0</v>
      </c>
      <c r="M443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443" cm="1">
        <f t="array" ref="N443">MAX(IF((ProjectInfoTable[ProjectName]=ContinuousStatsTable[[#This Row],[ProjectName]]),(ProjectInfoTable[ProjectName]=ContinuousStatsTable[[#This Row],[ProjectName]])*ProjectInfoTable[NumberOfReplications]))</f>
        <v>10</v>
      </c>
      <c r="O443" cm="1">
        <f t="array" ref="O443">IFERROR(AVERAGE(IF((ContinuousStatsTable[GroupByKey]=ContinuousStatsTable[[#This Row],[GroupByKey]]),(ContinuousStatsTable[GroupByKey]=ContinuousStatsTable[[#This Row],[GroupByKey]])*ContinuousStatsTable[Average])),0)</f>
        <v>0.151561654865698</v>
      </c>
      <c r="P443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1.2198256688154243E-4</v>
      </c>
      <c r="Q443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8.7261071626739862E-5</v>
      </c>
      <c r="S443" cm="1">
        <f t="array" ref="S443">MIN(IF((ContinuousStatsTable[GroupByKey]=ContinuousStatsTable[[#This Row],[GroupByKey]]),(ContinuousStatsTable[GroupByKey]=ContinuousStatsTable[[#This Row],[GroupByKey]])*ContinuousStatsTable[Average]))</f>
        <v>0.15134711042770499</v>
      </c>
      <c r="T443" cm="1">
        <f t="array" ref="T443">MAX(IF((ContinuousStatsTable[GroupByKey]=ContinuousStatsTable[[#This Row],[GroupByKey]]),(ContinuousStatsTable[GroupByKey]=ContinuousStatsTable[[#This Row],[GroupByKey]])*ContinuousStatsTable[Average]))</f>
        <v>0.15172806047441101</v>
      </c>
      <c r="U443">
        <f>IF((ContinuousStatsTable[[#This Row],[RepsRequested]]&gt;1),ContinuousStatsTable[[#This Row],[HalfWidth]],ContinuousStatsTable[[#This Row],[BatchMeansHalfWidth]])</f>
        <v>8.7261071626739862E-5</v>
      </c>
    </row>
    <row r="444" spans="1:21" x14ac:dyDescent="0.25">
      <c r="A444" t="s">
        <v>67</v>
      </c>
      <c r="B444" t="s">
        <v>243</v>
      </c>
      <c r="C444">
        <v>6</v>
      </c>
      <c r="D444" t="s">
        <v>123</v>
      </c>
      <c r="E444" t="s">
        <v>114</v>
      </c>
      <c r="F444" t="s">
        <v>113</v>
      </c>
      <c r="G444">
        <v>0.45468370513548301</v>
      </c>
      <c r="H444">
        <v>3E+20</v>
      </c>
      <c r="I444">
        <v>0</v>
      </c>
      <c r="J444">
        <v>2</v>
      </c>
      <c r="K444">
        <v>0</v>
      </c>
      <c r="L444">
        <v>0</v>
      </c>
      <c r="M444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444" cm="1">
        <f t="array" ref="N444">MAX(IF((ProjectInfoTable[ProjectName]=ContinuousStatsTable[[#This Row],[ProjectName]]),(ProjectInfoTable[ProjectName]=ContinuousStatsTable[[#This Row],[ProjectName]])*ProjectInfoTable[NumberOfReplications]))</f>
        <v>10</v>
      </c>
      <c r="O444" cm="1">
        <f t="array" ref="O444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444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444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444" cm="1">
        <f t="array" ref="S444">MIN(IF((ContinuousStatsTable[GroupByKey]=ContinuousStatsTable[[#This Row],[GroupByKey]]),(ContinuousStatsTable[GroupByKey]=ContinuousStatsTable[[#This Row],[GroupByKey]])*ContinuousStatsTable[Average]))</f>
        <v>0.45404133128311103</v>
      </c>
      <c r="T444" cm="1">
        <f t="array" ref="T444">MAX(IF((ContinuousStatsTable[GroupByKey]=ContinuousStatsTable[[#This Row],[GroupByKey]]),(ContinuousStatsTable[GroupByKey]=ContinuousStatsTable[[#This Row],[GroupByKey]])*ContinuousStatsTable[Average]))</f>
        <v>0.45518418142323402</v>
      </c>
      <c r="U444">
        <f>IF((ContinuousStatsTable[[#This Row],[RepsRequested]]&gt;1),ContinuousStatsTable[[#This Row],[HalfWidth]],ContinuousStatsTable[[#This Row],[BatchMeansHalfWidth]])</f>
        <v>2.6178321488092363E-4</v>
      </c>
    </row>
    <row r="445" spans="1:21" x14ac:dyDescent="0.25">
      <c r="A445" t="s">
        <v>67</v>
      </c>
      <c r="B445" t="s">
        <v>243</v>
      </c>
      <c r="C445">
        <v>6</v>
      </c>
      <c r="D445" t="s">
        <v>123</v>
      </c>
      <c r="E445" t="s">
        <v>115</v>
      </c>
      <c r="F445" t="s">
        <v>113</v>
      </c>
      <c r="G445">
        <v>3</v>
      </c>
      <c r="H445">
        <v>2E+20</v>
      </c>
      <c r="I445">
        <v>3</v>
      </c>
      <c r="J445">
        <v>3</v>
      </c>
      <c r="K445">
        <v>3</v>
      </c>
      <c r="L445">
        <v>0</v>
      </c>
      <c r="M445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445" cm="1">
        <f t="array" ref="N445">MAX(IF((ProjectInfoTable[ProjectName]=ContinuousStatsTable[[#This Row],[ProjectName]]),(ProjectInfoTable[ProjectName]=ContinuousStatsTable[[#This Row],[ProjectName]])*ProjectInfoTable[NumberOfReplications]))</f>
        <v>10</v>
      </c>
      <c r="O445" cm="1">
        <f t="array" ref="O445">IFERROR(AVERAGE(IF((ContinuousStatsTable[GroupByKey]=ContinuousStatsTable[[#This Row],[GroupByKey]]),(ContinuousStatsTable[GroupByKey]=ContinuousStatsTable[[#This Row],[GroupByKey]])*ContinuousStatsTable[Average])),0)</f>
        <v>3</v>
      </c>
      <c r="P44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0</v>
      </c>
      <c r="Q44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5" cm="1">
        <f t="array" ref="S445">MIN(IF((ContinuousStatsTable[GroupByKey]=ContinuousStatsTable[[#This Row],[GroupByKey]]),(ContinuousStatsTable[GroupByKey]=ContinuousStatsTable[[#This Row],[GroupByKey]])*ContinuousStatsTable[Average]))</f>
        <v>3</v>
      </c>
      <c r="T445" cm="1">
        <f t="array" ref="T445">MAX(IF((ContinuousStatsTable[GroupByKey]=ContinuousStatsTable[[#This Row],[GroupByKey]]),(ContinuousStatsTable[GroupByKey]=ContinuousStatsTable[[#This Row],[GroupByKey]])*ContinuousStatsTable[Average]))</f>
        <v>3</v>
      </c>
      <c r="U445">
        <f>IF((ContinuousStatsTable[[#This Row],[RepsRequested]]&gt;1),ContinuousStatsTable[[#This Row],[HalfWidth]],ContinuousStatsTable[[#This Row],[BatchMeansHalfWidth]])</f>
        <v>0</v>
      </c>
    </row>
    <row r="446" spans="1:21" x14ac:dyDescent="0.25">
      <c r="A446" t="s">
        <v>67</v>
      </c>
      <c r="B446" t="s">
        <v>243</v>
      </c>
      <c r="C446">
        <v>6</v>
      </c>
      <c r="D446" t="s">
        <v>124</v>
      </c>
      <c r="E446" t="s">
        <v>112</v>
      </c>
      <c r="F446" t="s">
        <v>113</v>
      </c>
      <c r="G446">
        <v>0.91069583094839002</v>
      </c>
      <c r="H446">
        <v>2E+20</v>
      </c>
      <c r="I446">
        <v>0</v>
      </c>
      <c r="J446">
        <v>1</v>
      </c>
      <c r="K446">
        <v>1</v>
      </c>
      <c r="L446">
        <v>0</v>
      </c>
      <c r="M446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446" cm="1">
        <f t="array" ref="N446">MAX(IF((ProjectInfoTable[ProjectName]=ContinuousStatsTable[[#This Row],[ProjectName]]),(ProjectInfoTable[ProjectName]=ContinuousStatsTable[[#This Row],[ProjectName]])*ProjectInfoTable[NumberOfReplications]))</f>
        <v>10</v>
      </c>
      <c r="O446" cm="1">
        <f t="array" ref="O446">IFERROR(AVERAGE(IF((ContinuousStatsTable[GroupByKey]=ContinuousStatsTable[[#This Row],[GroupByKey]]),(ContinuousStatsTable[GroupByKey]=ContinuousStatsTable[[#This Row],[GroupByKey]])*ContinuousStatsTable[Average])),0)</f>
        <v>0.84558522180863771</v>
      </c>
      <c r="P446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0.11694354024491282</v>
      </c>
      <c r="Q446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8.3656369122856733E-2</v>
      </c>
      <c r="S446" cm="1">
        <f t="array" ref="S446">MIN(IF((ContinuousStatsTable[GroupByKey]=ContinuousStatsTable[[#This Row],[GroupByKey]]),(ContinuousStatsTable[GroupByKey]=ContinuousStatsTable[[#This Row],[GroupByKey]])*ContinuousStatsTable[Average]))</f>
        <v>0.625269422960122</v>
      </c>
      <c r="T446" cm="1">
        <f t="array" ref="T446">MAX(IF((ContinuousStatsTable[GroupByKey]=ContinuousStatsTable[[#This Row],[GroupByKey]]),(ContinuousStatsTable[GroupByKey]=ContinuousStatsTable[[#This Row],[GroupByKey]])*ContinuousStatsTable[Average]))</f>
        <v>0.95234896906597499</v>
      </c>
      <c r="U446">
        <f>IF((ContinuousStatsTable[[#This Row],[RepsRequested]]&gt;1),ContinuousStatsTable[[#This Row],[HalfWidth]],ContinuousStatsTable[[#This Row],[BatchMeansHalfWidth]])</f>
        <v>8.3656369122856733E-2</v>
      </c>
    </row>
    <row r="447" spans="1:21" x14ac:dyDescent="0.25">
      <c r="A447" t="s">
        <v>67</v>
      </c>
      <c r="B447" t="s">
        <v>243</v>
      </c>
      <c r="C447">
        <v>6</v>
      </c>
      <c r="D447" t="s">
        <v>124</v>
      </c>
      <c r="E447" t="s">
        <v>114</v>
      </c>
      <c r="F447" t="s">
        <v>113</v>
      </c>
      <c r="G447">
        <v>1.82139166189678</v>
      </c>
      <c r="H447">
        <v>2E+20</v>
      </c>
      <c r="I447">
        <v>0</v>
      </c>
      <c r="J447">
        <v>2</v>
      </c>
      <c r="K447">
        <v>2</v>
      </c>
      <c r="L447">
        <v>0</v>
      </c>
      <c r="M447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447" cm="1">
        <f t="array" ref="N447">MAX(IF((ProjectInfoTable[ProjectName]=ContinuousStatsTable[[#This Row],[ProjectName]]),(ProjectInfoTable[ProjectName]=ContinuousStatsTable[[#This Row],[ProjectName]])*ProjectInfoTable[NumberOfReplications]))</f>
        <v>10</v>
      </c>
      <c r="O447" cm="1">
        <f t="array" ref="O447">IFERROR(AVERAGE(IF((ContinuousStatsTable[GroupByKey]=ContinuousStatsTable[[#This Row],[GroupByKey]]),(ContinuousStatsTable[GroupByKey]=ContinuousStatsTable[[#This Row],[GroupByKey]])*ContinuousStatsTable[Average])),0)</f>
        <v>1.6911704436172748</v>
      </c>
      <c r="P447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0.23388708048982901</v>
      </c>
      <c r="Q447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0.16731273824571591</v>
      </c>
      <c r="S447" cm="1">
        <f t="array" ref="S447">MIN(IF((ContinuousStatsTable[GroupByKey]=ContinuousStatsTable[[#This Row],[GroupByKey]]),(ContinuousStatsTable[GroupByKey]=ContinuousStatsTable[[#This Row],[GroupByKey]])*ContinuousStatsTable[Average]))</f>
        <v>1.25053884592024</v>
      </c>
      <c r="T447" cm="1">
        <f t="array" ref="T447">MAX(IF((ContinuousStatsTable[GroupByKey]=ContinuousStatsTable[[#This Row],[GroupByKey]]),(ContinuousStatsTable[GroupByKey]=ContinuousStatsTable[[#This Row],[GroupByKey]])*ContinuousStatsTable[Average]))</f>
        <v>1.90469793813195</v>
      </c>
      <c r="U447">
        <f>IF((ContinuousStatsTable[[#This Row],[RepsRequested]]&gt;1),ContinuousStatsTable[[#This Row],[HalfWidth]],ContinuousStatsTable[[#This Row],[BatchMeansHalfWidth]])</f>
        <v>0.16731273824571591</v>
      </c>
    </row>
    <row r="448" spans="1:21" x14ac:dyDescent="0.25">
      <c r="A448" t="s">
        <v>67</v>
      </c>
      <c r="B448" t="s">
        <v>243</v>
      </c>
      <c r="C448">
        <v>6</v>
      </c>
      <c r="D448" t="s">
        <v>124</v>
      </c>
      <c r="E448" t="s">
        <v>115</v>
      </c>
      <c r="F448" t="s">
        <v>113</v>
      </c>
      <c r="G448">
        <v>2</v>
      </c>
      <c r="H448">
        <v>2E+20</v>
      </c>
      <c r="I448">
        <v>2</v>
      </c>
      <c r="J448">
        <v>2</v>
      </c>
      <c r="K448">
        <v>2</v>
      </c>
      <c r="L448">
        <v>0</v>
      </c>
      <c r="M448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448" cm="1">
        <f t="array" ref="N448">MAX(IF((ProjectInfoTable[ProjectName]=ContinuousStatsTable[[#This Row],[ProjectName]]),(ProjectInfoTable[ProjectName]=ContinuousStatsTable[[#This Row],[ProjectName]])*ProjectInfoTable[NumberOfReplications]))</f>
        <v>10</v>
      </c>
      <c r="O448" cm="1">
        <f t="array" ref="O448">IFERROR(AVERAGE(IF((ContinuousStatsTable[GroupByKey]=ContinuousStatsTable[[#This Row],[GroupByKey]]),(ContinuousStatsTable[GroupByKey]=ContinuousStatsTable[[#This Row],[GroupByKey]])*ContinuousStatsTable[Average])),0)</f>
        <v>2</v>
      </c>
      <c r="P448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0</v>
      </c>
      <c r="Q448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8" cm="1">
        <f t="array" ref="S448">MIN(IF((ContinuousStatsTable[GroupByKey]=ContinuousStatsTable[[#This Row],[GroupByKey]]),(ContinuousStatsTable[GroupByKey]=ContinuousStatsTable[[#This Row],[GroupByKey]])*ContinuousStatsTable[Average]))</f>
        <v>2</v>
      </c>
      <c r="T448" cm="1">
        <f t="array" ref="T448">MAX(IF((ContinuousStatsTable[GroupByKey]=ContinuousStatsTable[[#This Row],[GroupByKey]]),(ContinuousStatsTable[GroupByKey]=ContinuousStatsTable[[#This Row],[GroupByKey]])*ContinuousStatsTable[Average]))</f>
        <v>2</v>
      </c>
      <c r="U448">
        <f>IF((ContinuousStatsTable[[#This Row],[RepsRequested]]&gt;1),ContinuousStatsTable[[#This Row],[HalfWidth]],ContinuousStatsTable[[#This Row],[BatchMeansHalfWidth]])</f>
        <v>0</v>
      </c>
    </row>
    <row r="449" spans="1:21" x14ac:dyDescent="0.25">
      <c r="A449" t="s">
        <v>67</v>
      </c>
      <c r="B449" t="s">
        <v>243</v>
      </c>
      <c r="C449">
        <v>6</v>
      </c>
      <c r="D449" t="s">
        <v>125</v>
      </c>
      <c r="E449" t="s">
        <v>112</v>
      </c>
      <c r="F449" t="s">
        <v>113</v>
      </c>
      <c r="G449">
        <v>0.69080851286508105</v>
      </c>
      <c r="H449">
        <v>2E+20</v>
      </c>
      <c r="I449">
        <v>0</v>
      </c>
      <c r="J449">
        <v>1</v>
      </c>
      <c r="K449">
        <v>0.2</v>
      </c>
      <c r="L449">
        <v>0</v>
      </c>
      <c r="M449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449" cm="1">
        <f t="array" ref="N449">MAX(IF((ProjectInfoTable[ProjectName]=ContinuousStatsTable[[#This Row],[ProjectName]]),(ProjectInfoTable[ProjectName]=ContinuousStatsTable[[#This Row],[ProjectName]])*ProjectInfoTable[NumberOfReplications]))</f>
        <v>10</v>
      </c>
      <c r="O449" cm="1">
        <f t="array" ref="O449">IFERROR(AVERAGE(IF((ContinuousStatsTable[GroupByKey]=ContinuousStatsTable[[#This Row],[GroupByKey]]),(ContinuousStatsTable[GroupByKey]=ContinuousStatsTable[[#This Row],[GroupByKey]])*ContinuousStatsTable[Average])),0)</f>
        <v>0.74077431571180252</v>
      </c>
      <c r="P449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6.1280007141723249E-2</v>
      </c>
      <c r="Q449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4.3837076306763374E-2</v>
      </c>
      <c r="S449" cm="1">
        <f t="array" ref="S449">MIN(IF((ContinuousStatsTable[GroupByKey]=ContinuousStatsTable[[#This Row],[GroupByKey]]),(ContinuousStatsTable[GroupByKey]=ContinuousStatsTable[[#This Row],[GroupByKey]])*ContinuousStatsTable[Average]))</f>
        <v>0.67060354368791797</v>
      </c>
      <c r="T449" cm="1">
        <f t="array" ref="T449">MAX(IF((ContinuousStatsTable[GroupByKey]=ContinuousStatsTable[[#This Row],[GroupByKey]]),(ContinuousStatsTable[GroupByKey]=ContinuousStatsTable[[#This Row],[GroupByKey]])*ContinuousStatsTable[Average]))</f>
        <v>0.87728997349342996</v>
      </c>
      <c r="U449">
        <f>IF((ContinuousStatsTable[[#This Row],[RepsRequested]]&gt;1),ContinuousStatsTable[[#This Row],[HalfWidth]],ContinuousStatsTable[[#This Row],[BatchMeansHalfWidth]])</f>
        <v>4.3837076306763374E-2</v>
      </c>
    </row>
    <row r="450" spans="1:21" x14ac:dyDescent="0.25">
      <c r="A450" t="s">
        <v>67</v>
      </c>
      <c r="B450" t="s">
        <v>243</v>
      </c>
      <c r="C450">
        <v>6</v>
      </c>
      <c r="D450" t="s">
        <v>125</v>
      </c>
      <c r="E450" t="s">
        <v>114</v>
      </c>
      <c r="F450" t="s">
        <v>113</v>
      </c>
      <c r="G450">
        <v>3.4540425643254098</v>
      </c>
      <c r="H450">
        <v>2E+20</v>
      </c>
      <c r="I450">
        <v>0</v>
      </c>
      <c r="J450">
        <v>5</v>
      </c>
      <c r="K450">
        <v>1</v>
      </c>
      <c r="L450">
        <v>0</v>
      </c>
      <c r="M450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450" cm="1">
        <f t="array" ref="N450">MAX(IF((ProjectInfoTable[ProjectName]=ContinuousStatsTable[[#This Row],[ProjectName]]),(ProjectInfoTable[ProjectName]=ContinuousStatsTable[[#This Row],[ProjectName]])*ProjectInfoTable[NumberOfReplications]))</f>
        <v>10</v>
      </c>
      <c r="O450" cm="1">
        <f t="array" ref="O450">IFERROR(AVERAGE(IF((ContinuousStatsTable[GroupByKey]=ContinuousStatsTable[[#This Row],[GroupByKey]]),(ContinuousStatsTable[GroupByKey]=ContinuousStatsTable[[#This Row],[GroupByKey]])*ContinuousStatsTable[Average])),0)</f>
        <v>3.7038715785590122</v>
      </c>
      <c r="P450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0.30640003570861163</v>
      </c>
      <c r="Q450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0.21918538153381359</v>
      </c>
      <c r="S450" cm="1">
        <f t="array" ref="S450">MIN(IF((ContinuousStatsTable[GroupByKey]=ContinuousStatsTable[[#This Row],[GroupByKey]]),(ContinuousStatsTable[GroupByKey]=ContinuousStatsTable[[#This Row],[GroupByKey]])*ContinuousStatsTable[Average]))</f>
        <v>3.35301771843959</v>
      </c>
      <c r="T450" cm="1">
        <f t="array" ref="T450">MAX(IF((ContinuousStatsTable[GroupByKey]=ContinuousStatsTable[[#This Row],[GroupByKey]]),(ContinuousStatsTable[GroupByKey]=ContinuousStatsTable[[#This Row],[GroupByKey]])*ContinuousStatsTable[Average]))</f>
        <v>4.3864498674671397</v>
      </c>
      <c r="U450">
        <f>IF((ContinuousStatsTable[[#This Row],[RepsRequested]]&gt;1),ContinuousStatsTable[[#This Row],[HalfWidth]],ContinuousStatsTable[[#This Row],[BatchMeansHalfWidth]])</f>
        <v>0.21918538153381359</v>
      </c>
    </row>
    <row r="451" spans="1:21" x14ac:dyDescent="0.25">
      <c r="A451" t="s">
        <v>67</v>
      </c>
      <c r="B451" t="s">
        <v>243</v>
      </c>
      <c r="C451">
        <v>6</v>
      </c>
      <c r="D451" t="s">
        <v>125</v>
      </c>
      <c r="E451" t="s">
        <v>115</v>
      </c>
      <c r="F451" t="s">
        <v>113</v>
      </c>
      <c r="G451">
        <v>5</v>
      </c>
      <c r="H451">
        <v>2E+20</v>
      </c>
      <c r="I451">
        <v>5</v>
      </c>
      <c r="J451">
        <v>5</v>
      </c>
      <c r="K451">
        <v>5</v>
      </c>
      <c r="L451">
        <v>0</v>
      </c>
      <c r="M451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451" cm="1">
        <f t="array" ref="N451">MAX(IF((ProjectInfoTable[ProjectName]=ContinuousStatsTable[[#This Row],[ProjectName]]),(ProjectInfoTable[ProjectName]=ContinuousStatsTable[[#This Row],[ProjectName]])*ProjectInfoTable[NumberOfReplications]))</f>
        <v>10</v>
      </c>
      <c r="O451" cm="1">
        <f t="array" ref="O451">IFERROR(AVERAGE(IF((ContinuousStatsTable[GroupByKey]=ContinuousStatsTable[[#This Row],[GroupByKey]]),(ContinuousStatsTable[GroupByKey]=ContinuousStatsTable[[#This Row],[GroupByKey]])*ContinuousStatsTable[Average])),0)</f>
        <v>5</v>
      </c>
      <c r="P451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</v>
      </c>
      <c r="Q451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1" cm="1">
        <f t="array" ref="S451">MIN(IF((ContinuousStatsTable[GroupByKey]=ContinuousStatsTable[[#This Row],[GroupByKey]]),(ContinuousStatsTable[GroupByKey]=ContinuousStatsTable[[#This Row],[GroupByKey]])*ContinuousStatsTable[Average]))</f>
        <v>5</v>
      </c>
      <c r="T451" cm="1">
        <f t="array" ref="T451">MAX(IF((ContinuousStatsTable[GroupByKey]=ContinuousStatsTable[[#This Row],[GroupByKey]]),(ContinuousStatsTable[GroupByKey]=ContinuousStatsTable[[#This Row],[GroupByKey]])*ContinuousStatsTable[Average]))</f>
        <v>5</v>
      </c>
      <c r="U451">
        <f>IF((ContinuousStatsTable[[#This Row],[RepsRequested]]&gt;1),ContinuousStatsTable[[#This Row],[HalfWidth]],ContinuousStatsTable[[#This Row],[BatchMeansHalfWidth]])</f>
        <v>0</v>
      </c>
    </row>
    <row r="452" spans="1:21" x14ac:dyDescent="0.25">
      <c r="A452" t="s">
        <v>67</v>
      </c>
      <c r="B452" t="s">
        <v>243</v>
      </c>
      <c r="C452">
        <v>6</v>
      </c>
      <c r="D452" t="s">
        <v>126</v>
      </c>
      <c r="E452" t="s">
        <v>112</v>
      </c>
      <c r="F452" t="s">
        <v>113</v>
      </c>
      <c r="G452">
        <v>0.47990655912621799</v>
      </c>
      <c r="H452">
        <v>3E+20</v>
      </c>
      <c r="I452">
        <v>0</v>
      </c>
      <c r="J452">
        <v>1</v>
      </c>
      <c r="K452">
        <v>1</v>
      </c>
      <c r="L452">
        <v>0</v>
      </c>
      <c r="M452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452" cm="1">
        <f t="array" ref="N452">MAX(IF((ProjectInfoTable[ProjectName]=ContinuousStatsTable[[#This Row],[ProjectName]]),(ProjectInfoTable[ProjectName]=ContinuousStatsTable[[#This Row],[ProjectName]])*ProjectInfoTable[NumberOfReplications]))</f>
        <v>10</v>
      </c>
      <c r="O452" cm="1">
        <f t="array" ref="O452">IFERROR(AVERAGE(IF((ContinuousStatsTable[GroupByKey]=ContinuousStatsTable[[#This Row],[GroupByKey]]),(ContinuousStatsTable[GroupByKey]=ContinuousStatsTable[[#This Row],[GroupByKey]])*ContinuousStatsTable[Average])),0)</f>
        <v>0.52391445815006699</v>
      </c>
      <c r="P452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7.0460308415606909E-2</v>
      </c>
      <c r="Q452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5.0404268221927347E-2</v>
      </c>
      <c r="S452" cm="1">
        <f t="array" ref="S452">MIN(IF((ContinuousStatsTable[GroupByKey]=ContinuousStatsTable[[#This Row],[GroupByKey]]),(ContinuousStatsTable[GroupByKey]=ContinuousStatsTable[[#This Row],[GroupByKey]])*ContinuousStatsTable[Average]))</f>
        <v>0.36555656561218303</v>
      </c>
      <c r="T452" cm="1">
        <f t="array" ref="T452">MAX(IF((ContinuousStatsTable[GroupByKey]=ContinuousStatsTable[[#This Row],[GroupByKey]]),(ContinuousStatsTable[GroupByKey]=ContinuousStatsTable[[#This Row],[GroupByKey]])*ContinuousStatsTable[Average]))</f>
        <v>0.59886206518967</v>
      </c>
      <c r="U452">
        <f>IF((ContinuousStatsTable[[#This Row],[RepsRequested]]&gt;1),ContinuousStatsTable[[#This Row],[HalfWidth]],ContinuousStatsTable[[#This Row],[BatchMeansHalfWidth]])</f>
        <v>5.0404268221927347E-2</v>
      </c>
    </row>
    <row r="453" spans="1:21" x14ac:dyDescent="0.25">
      <c r="A453" t="s">
        <v>67</v>
      </c>
      <c r="B453" t="s">
        <v>243</v>
      </c>
      <c r="C453">
        <v>6</v>
      </c>
      <c r="D453" t="s">
        <v>126</v>
      </c>
      <c r="E453" t="s">
        <v>114</v>
      </c>
      <c r="F453" t="s">
        <v>113</v>
      </c>
      <c r="G453">
        <v>1.91962623650487</v>
      </c>
      <c r="H453">
        <v>3E+20</v>
      </c>
      <c r="I453">
        <v>0</v>
      </c>
      <c r="J453">
        <v>4</v>
      </c>
      <c r="K453">
        <v>4</v>
      </c>
      <c r="L453">
        <v>0</v>
      </c>
      <c r="M453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453" cm="1">
        <f t="array" ref="N453">MAX(IF((ProjectInfoTable[ProjectName]=ContinuousStatsTable[[#This Row],[ProjectName]]),(ProjectInfoTable[ProjectName]=ContinuousStatsTable[[#This Row],[ProjectName]])*ProjectInfoTable[NumberOfReplications]))</f>
        <v>10</v>
      </c>
      <c r="O453" cm="1">
        <f t="array" ref="O453">IFERROR(AVERAGE(IF((ContinuousStatsTable[GroupByKey]=ContinuousStatsTable[[#This Row],[GroupByKey]]),(ContinuousStatsTable[GroupByKey]=ContinuousStatsTable[[#This Row],[GroupByKey]])*ContinuousStatsTable[Average])),0)</f>
        <v>2.0956578326002671</v>
      </c>
      <c r="P453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0.28184123366242902</v>
      </c>
      <c r="Q453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0.20161707288771036</v>
      </c>
      <c r="S453" cm="1">
        <f t="array" ref="S453">MIN(IF((ContinuousStatsTable[GroupByKey]=ContinuousStatsTable[[#This Row],[GroupByKey]]),(ContinuousStatsTable[GroupByKey]=ContinuousStatsTable[[#This Row],[GroupByKey]])*ContinuousStatsTable[Average]))</f>
        <v>1.4622262624487301</v>
      </c>
      <c r="T453" cm="1">
        <f t="array" ref="T453">MAX(IF((ContinuousStatsTable[GroupByKey]=ContinuousStatsTable[[#This Row],[GroupByKey]]),(ContinuousStatsTable[GroupByKey]=ContinuousStatsTable[[#This Row],[GroupByKey]])*ContinuousStatsTable[Average]))</f>
        <v>2.39544826075868</v>
      </c>
      <c r="U453">
        <f>IF((ContinuousStatsTable[[#This Row],[RepsRequested]]&gt;1),ContinuousStatsTable[[#This Row],[HalfWidth]],ContinuousStatsTable[[#This Row],[BatchMeansHalfWidth]])</f>
        <v>0.20161707288771036</v>
      </c>
    </row>
    <row r="454" spans="1:21" x14ac:dyDescent="0.25">
      <c r="A454" t="s">
        <v>67</v>
      </c>
      <c r="B454" t="s">
        <v>243</v>
      </c>
      <c r="C454">
        <v>6</v>
      </c>
      <c r="D454" t="s">
        <v>126</v>
      </c>
      <c r="E454" t="s">
        <v>115</v>
      </c>
      <c r="F454" t="s">
        <v>113</v>
      </c>
      <c r="G454">
        <v>4</v>
      </c>
      <c r="H454">
        <v>2E+20</v>
      </c>
      <c r="I454">
        <v>4</v>
      </c>
      <c r="J454">
        <v>4</v>
      </c>
      <c r="K454">
        <v>4</v>
      </c>
      <c r="L454">
        <v>0</v>
      </c>
      <c r="M454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454" cm="1">
        <f t="array" ref="N454">MAX(IF((ProjectInfoTable[ProjectName]=ContinuousStatsTable[[#This Row],[ProjectName]]),(ProjectInfoTable[ProjectName]=ContinuousStatsTable[[#This Row],[ProjectName]])*ProjectInfoTable[NumberOfReplications]))</f>
        <v>10</v>
      </c>
      <c r="O454" cm="1">
        <f t="array" ref="O454">IFERROR(AVERAGE(IF((ContinuousStatsTable[GroupByKey]=ContinuousStatsTable[[#This Row],[GroupByKey]]),(ContinuousStatsTable[GroupByKey]=ContinuousStatsTable[[#This Row],[GroupByKey]])*ContinuousStatsTable[Average])),0)</f>
        <v>4</v>
      </c>
      <c r="P454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0</v>
      </c>
      <c r="Q454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4" cm="1">
        <f t="array" ref="S454">MIN(IF((ContinuousStatsTable[GroupByKey]=ContinuousStatsTable[[#This Row],[GroupByKey]]),(ContinuousStatsTable[GroupByKey]=ContinuousStatsTable[[#This Row],[GroupByKey]])*ContinuousStatsTable[Average]))</f>
        <v>4</v>
      </c>
      <c r="T454" cm="1">
        <f t="array" ref="T454">MAX(IF((ContinuousStatsTable[GroupByKey]=ContinuousStatsTable[[#This Row],[GroupByKey]]),(ContinuousStatsTable[GroupByKey]=ContinuousStatsTable[[#This Row],[GroupByKey]])*ContinuousStatsTable[Average]))</f>
        <v>4</v>
      </c>
      <c r="U454">
        <f>IF((ContinuousStatsTable[[#This Row],[RepsRequested]]&gt;1),ContinuousStatsTable[[#This Row],[HalfWidth]],ContinuousStatsTable[[#This Row],[BatchMeansHalfWidth]])</f>
        <v>0</v>
      </c>
    </row>
    <row r="455" spans="1:21" x14ac:dyDescent="0.25">
      <c r="A455" t="s">
        <v>67</v>
      </c>
      <c r="B455" t="s">
        <v>243</v>
      </c>
      <c r="C455">
        <v>6</v>
      </c>
      <c r="D455" t="s">
        <v>127</v>
      </c>
      <c r="E455" t="s">
        <v>112</v>
      </c>
      <c r="F455" t="s">
        <v>113</v>
      </c>
      <c r="G455">
        <v>0.149379358330504</v>
      </c>
      <c r="H455">
        <v>3E+20</v>
      </c>
      <c r="I455">
        <v>0</v>
      </c>
      <c r="J455">
        <v>1</v>
      </c>
      <c r="K455">
        <v>0</v>
      </c>
      <c r="L455">
        <v>0</v>
      </c>
      <c r="M455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455" cm="1">
        <f t="array" ref="N455">MAX(IF((ProjectInfoTable[ProjectName]=ContinuousStatsTable[[#This Row],[ProjectName]]),(ProjectInfoTable[ProjectName]=ContinuousStatsTable[[#This Row],[ProjectName]])*ProjectInfoTable[NumberOfReplications]))</f>
        <v>10</v>
      </c>
      <c r="O455" cm="1">
        <f t="array" ref="O455">IFERROR(AVERAGE(IF((ContinuousStatsTable[GroupByKey]=ContinuousStatsTable[[#This Row],[GroupByKey]]),(ContinuousStatsTable[GroupByKey]=ContinuousStatsTable[[#This Row],[GroupByKey]])*ContinuousStatsTable[Average])),0)</f>
        <v>0.14955853655775292</v>
      </c>
      <c r="P45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1.8487754554887928E-4</v>
      </c>
      <c r="Q45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1.3225342896729691E-4</v>
      </c>
      <c r="S455" cm="1">
        <f t="array" ref="S455">MIN(IF((ContinuousStatsTable[GroupByKey]=ContinuousStatsTable[[#This Row],[GroupByKey]]),(ContinuousStatsTable[GroupByKey]=ContinuousStatsTable[[#This Row],[GroupByKey]])*ContinuousStatsTable[Average]))</f>
        <v>0.14921189842985499</v>
      </c>
      <c r="T455" cm="1">
        <f t="array" ref="T455">MAX(IF((ContinuousStatsTable[GroupByKey]=ContinuousStatsTable[[#This Row],[GroupByKey]]),(ContinuousStatsTable[GroupByKey]=ContinuousStatsTable[[#This Row],[GroupByKey]])*ContinuousStatsTable[Average]))</f>
        <v>0.14985050053976801</v>
      </c>
      <c r="U455">
        <f>IF((ContinuousStatsTable[[#This Row],[RepsRequested]]&gt;1),ContinuousStatsTable[[#This Row],[HalfWidth]],ContinuousStatsTable[[#This Row],[BatchMeansHalfWidth]])</f>
        <v>1.3225342896729691E-4</v>
      </c>
    </row>
    <row r="456" spans="1:21" x14ac:dyDescent="0.25">
      <c r="A456" t="s">
        <v>67</v>
      </c>
      <c r="B456" t="s">
        <v>243</v>
      </c>
      <c r="C456">
        <v>6</v>
      </c>
      <c r="D456" t="s">
        <v>127</v>
      </c>
      <c r="E456" t="s">
        <v>114</v>
      </c>
      <c r="F456" t="s">
        <v>113</v>
      </c>
      <c r="G456">
        <v>0.29875871666100801</v>
      </c>
      <c r="H456">
        <v>3E+20</v>
      </c>
      <c r="I456">
        <v>0</v>
      </c>
      <c r="J456">
        <v>2</v>
      </c>
      <c r="K456">
        <v>0</v>
      </c>
      <c r="L456">
        <v>0</v>
      </c>
      <c r="M456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456" cm="1">
        <f t="array" ref="N456">MAX(IF((ProjectInfoTable[ProjectName]=ContinuousStatsTable[[#This Row],[ProjectName]]),(ProjectInfoTable[ProjectName]=ContinuousStatsTable[[#This Row],[ProjectName]])*ProjectInfoTable[NumberOfReplications]))</f>
        <v>10</v>
      </c>
      <c r="O456" cm="1">
        <f t="array" ref="O456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456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456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456" cm="1">
        <f t="array" ref="S456">MIN(IF((ContinuousStatsTable[GroupByKey]=ContinuousStatsTable[[#This Row],[GroupByKey]]),(ContinuousStatsTable[GroupByKey]=ContinuousStatsTable[[#This Row],[GroupByKey]])*ContinuousStatsTable[Average]))</f>
        <v>0.29842379685970999</v>
      </c>
      <c r="T456" cm="1">
        <f t="array" ref="T456">MAX(IF((ContinuousStatsTable[GroupByKey]=ContinuousStatsTable[[#This Row],[GroupByKey]]),(ContinuousStatsTable[GroupByKey]=ContinuousStatsTable[[#This Row],[GroupByKey]])*ContinuousStatsTable[Average]))</f>
        <v>0.29970100107953501</v>
      </c>
      <c r="U456">
        <f>IF((ContinuousStatsTable[[#This Row],[RepsRequested]]&gt;1),ContinuousStatsTable[[#This Row],[HalfWidth]],ContinuousStatsTable[[#This Row],[BatchMeansHalfWidth]])</f>
        <v>2.6450685793468105E-4</v>
      </c>
    </row>
    <row r="457" spans="1:21" x14ac:dyDescent="0.25">
      <c r="A457" t="s">
        <v>67</v>
      </c>
      <c r="B457" t="s">
        <v>243</v>
      </c>
      <c r="C457">
        <v>6</v>
      </c>
      <c r="D457" t="s">
        <v>127</v>
      </c>
      <c r="E457" t="s">
        <v>115</v>
      </c>
      <c r="F457" t="s">
        <v>113</v>
      </c>
      <c r="G457">
        <v>2</v>
      </c>
      <c r="H457">
        <v>2E+20</v>
      </c>
      <c r="I457">
        <v>2</v>
      </c>
      <c r="J457">
        <v>2</v>
      </c>
      <c r="K457">
        <v>2</v>
      </c>
      <c r="L457">
        <v>0</v>
      </c>
      <c r="M457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457" cm="1">
        <f t="array" ref="N457">MAX(IF((ProjectInfoTable[ProjectName]=ContinuousStatsTable[[#This Row],[ProjectName]]),(ProjectInfoTable[ProjectName]=ContinuousStatsTable[[#This Row],[ProjectName]])*ProjectInfoTable[NumberOfReplications]))</f>
        <v>10</v>
      </c>
      <c r="O457" cm="1">
        <f t="array" ref="O457">IFERROR(AVERAGE(IF((ContinuousStatsTable[GroupByKey]=ContinuousStatsTable[[#This Row],[GroupByKey]]),(ContinuousStatsTable[GroupByKey]=ContinuousStatsTable[[#This Row],[GroupByKey]])*ContinuousStatsTable[Average])),0)</f>
        <v>2</v>
      </c>
      <c r="P457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0</v>
      </c>
      <c r="Q457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7" cm="1">
        <f t="array" ref="S457">MIN(IF((ContinuousStatsTable[GroupByKey]=ContinuousStatsTable[[#This Row],[GroupByKey]]),(ContinuousStatsTable[GroupByKey]=ContinuousStatsTable[[#This Row],[GroupByKey]])*ContinuousStatsTable[Average]))</f>
        <v>2</v>
      </c>
      <c r="T457" cm="1">
        <f t="array" ref="T457">MAX(IF((ContinuousStatsTable[GroupByKey]=ContinuousStatsTable[[#This Row],[GroupByKey]]),(ContinuousStatsTable[GroupByKey]=ContinuousStatsTable[[#This Row],[GroupByKey]])*ContinuousStatsTable[Average]))</f>
        <v>2</v>
      </c>
      <c r="U457">
        <f>IF((ContinuousStatsTable[[#This Row],[RepsRequested]]&gt;1),ContinuousStatsTable[[#This Row],[HalfWidth]],ContinuousStatsTable[[#This Row],[BatchMeansHalfWidth]])</f>
        <v>0</v>
      </c>
    </row>
    <row r="458" spans="1:21" x14ac:dyDescent="0.25">
      <c r="A458" t="s">
        <v>67</v>
      </c>
      <c r="B458" t="s">
        <v>243</v>
      </c>
      <c r="C458">
        <v>6</v>
      </c>
      <c r="D458" t="s">
        <v>128</v>
      </c>
      <c r="E458" t="s">
        <v>112</v>
      </c>
      <c r="F458" t="s">
        <v>113</v>
      </c>
      <c r="G458">
        <v>0.62044759961596296</v>
      </c>
      <c r="H458">
        <v>3E+20</v>
      </c>
      <c r="I458">
        <v>0</v>
      </c>
      <c r="J458">
        <v>1</v>
      </c>
      <c r="K458">
        <v>0</v>
      </c>
      <c r="L458">
        <v>0</v>
      </c>
      <c r="M458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458" cm="1">
        <f t="array" ref="N458">MAX(IF((ProjectInfoTable[ProjectName]=ContinuousStatsTable[[#This Row],[ProjectName]]),(ProjectInfoTable[ProjectName]=ContinuousStatsTable[[#This Row],[ProjectName]])*ProjectInfoTable[NumberOfReplications]))</f>
        <v>10</v>
      </c>
      <c r="O458" cm="1">
        <f t="array" ref="O458">IFERROR(AVERAGE(IF((ContinuousStatsTable[GroupByKey]=ContinuousStatsTable[[#This Row],[GroupByKey]]),(ContinuousStatsTable[GroupByKey]=ContinuousStatsTable[[#This Row],[GroupByKey]])*ContinuousStatsTable[Average])),0)</f>
        <v>0.78490250681152507</v>
      </c>
      <c r="P458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0.11345978752761832</v>
      </c>
      <c r="Q458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8.1164242557846045E-2</v>
      </c>
      <c r="S458" cm="1">
        <f t="array" ref="S458">MIN(IF((ContinuousStatsTable[GroupByKey]=ContinuousStatsTable[[#This Row],[GroupByKey]]),(ContinuousStatsTable[GroupByKey]=ContinuousStatsTable[[#This Row],[GroupByKey]])*ContinuousStatsTable[Average]))</f>
        <v>0.58338388917401696</v>
      </c>
      <c r="T458" cm="1">
        <f t="array" ref="T458">MAX(IF((ContinuousStatsTable[GroupByKey]=ContinuousStatsTable[[#This Row],[GroupByKey]]),(ContinuousStatsTable[GroupByKey]=ContinuousStatsTable[[#This Row],[GroupByKey]])*ContinuousStatsTable[Average]))</f>
        <v>0.90111632059041802</v>
      </c>
      <c r="U458">
        <f>IF((ContinuousStatsTable[[#This Row],[RepsRequested]]&gt;1),ContinuousStatsTable[[#This Row],[HalfWidth]],ContinuousStatsTable[[#This Row],[BatchMeansHalfWidth]])</f>
        <v>8.1164242557846045E-2</v>
      </c>
    </row>
    <row r="459" spans="1:21" x14ac:dyDescent="0.25">
      <c r="A459" t="s">
        <v>67</v>
      </c>
      <c r="B459" t="s">
        <v>243</v>
      </c>
      <c r="C459">
        <v>6</v>
      </c>
      <c r="D459" t="s">
        <v>128</v>
      </c>
      <c r="E459" t="s">
        <v>114</v>
      </c>
      <c r="F459" t="s">
        <v>113</v>
      </c>
      <c r="G459">
        <v>3.1022379980798398</v>
      </c>
      <c r="H459">
        <v>3E+20</v>
      </c>
      <c r="I459">
        <v>0</v>
      </c>
      <c r="J459">
        <v>5</v>
      </c>
      <c r="K459">
        <v>0</v>
      </c>
      <c r="L459">
        <v>0</v>
      </c>
      <c r="M459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459" cm="1">
        <f t="array" ref="N459">MAX(IF((ProjectInfoTable[ProjectName]=ContinuousStatsTable[[#This Row],[ProjectName]]),(ProjectInfoTable[ProjectName]=ContinuousStatsTable[[#This Row],[ProjectName]])*ProjectInfoTable[NumberOfReplications]))</f>
        <v>10</v>
      </c>
      <c r="O459" cm="1">
        <f t="array" ref="O459">IFERROR(AVERAGE(IF((ContinuousStatsTable[GroupByKey]=ContinuousStatsTable[[#This Row],[GroupByKey]]),(ContinuousStatsTable[GroupByKey]=ContinuousStatsTable[[#This Row],[GroupByKey]])*ContinuousStatsTable[Average])),0)</f>
        <v>3.9245125340576221</v>
      </c>
      <c r="P459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0.56729893763807904</v>
      </c>
      <c r="Q459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0.40582121278922129</v>
      </c>
      <c r="S459" cm="1">
        <f t="array" ref="S459">MIN(IF((ContinuousStatsTable[GroupByKey]=ContinuousStatsTable[[#This Row],[GroupByKey]]),(ContinuousStatsTable[GroupByKey]=ContinuousStatsTable[[#This Row],[GroupByKey]])*ContinuousStatsTable[Average]))</f>
        <v>2.91691944587008</v>
      </c>
      <c r="T459" cm="1">
        <f t="array" ref="T459">MAX(IF((ContinuousStatsTable[GroupByKey]=ContinuousStatsTable[[#This Row],[GroupByKey]]),(ContinuousStatsTable[GroupByKey]=ContinuousStatsTable[[#This Row],[GroupByKey]])*ContinuousStatsTable[Average]))</f>
        <v>4.5055816029520903</v>
      </c>
      <c r="U459">
        <f>IF((ContinuousStatsTable[[#This Row],[RepsRequested]]&gt;1),ContinuousStatsTable[[#This Row],[HalfWidth]],ContinuousStatsTable[[#This Row],[BatchMeansHalfWidth]])</f>
        <v>0.40582121278922129</v>
      </c>
    </row>
    <row r="460" spans="1:21" x14ac:dyDescent="0.25">
      <c r="A460" t="s">
        <v>67</v>
      </c>
      <c r="B460" t="s">
        <v>243</v>
      </c>
      <c r="C460">
        <v>6</v>
      </c>
      <c r="D460" t="s">
        <v>128</v>
      </c>
      <c r="E460" t="s">
        <v>115</v>
      </c>
      <c r="F460" t="s">
        <v>113</v>
      </c>
      <c r="G460">
        <v>5</v>
      </c>
      <c r="H460">
        <v>2E+20</v>
      </c>
      <c r="I460">
        <v>5</v>
      </c>
      <c r="J460">
        <v>5</v>
      </c>
      <c r="K460">
        <v>5</v>
      </c>
      <c r="L460">
        <v>0</v>
      </c>
      <c r="M460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460" cm="1">
        <f t="array" ref="N460">MAX(IF((ProjectInfoTable[ProjectName]=ContinuousStatsTable[[#This Row],[ProjectName]]),(ProjectInfoTable[ProjectName]=ContinuousStatsTable[[#This Row],[ProjectName]])*ProjectInfoTable[NumberOfReplications]))</f>
        <v>10</v>
      </c>
      <c r="O460" cm="1">
        <f t="array" ref="O460">IFERROR(AVERAGE(IF((ContinuousStatsTable[GroupByKey]=ContinuousStatsTable[[#This Row],[GroupByKey]]),(ContinuousStatsTable[GroupByKey]=ContinuousStatsTable[[#This Row],[GroupByKey]])*ContinuousStatsTable[Average])),0)</f>
        <v>5</v>
      </c>
      <c r="P460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cm="1">
        <f t="array" ref="S460">MIN(IF((ContinuousStatsTable[GroupByKey]=ContinuousStatsTable[[#This Row],[GroupByKey]]),(ContinuousStatsTable[GroupByKey]=ContinuousStatsTable[[#This Row],[GroupByKey]])*ContinuousStatsTable[Average]))</f>
        <v>5</v>
      </c>
      <c r="T460" cm="1">
        <f t="array" ref="T460">MAX(IF((ContinuousStatsTable[GroupByKey]=ContinuousStatsTable[[#This Row],[GroupByKey]]),(ContinuousStatsTable[GroupByKey]=ContinuousStatsTable[[#This Row],[GroupByKey]])*ContinuousStatsTable[Average]))</f>
        <v>5</v>
      </c>
      <c r="U460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67</v>
      </c>
      <c r="B461" t="s">
        <v>243</v>
      </c>
      <c r="C461">
        <v>6</v>
      </c>
      <c r="D461" t="s">
        <v>129</v>
      </c>
      <c r="E461" t="s">
        <v>112</v>
      </c>
      <c r="F461" t="s">
        <v>113</v>
      </c>
      <c r="G461">
        <v>0.15880182157992101</v>
      </c>
      <c r="H461">
        <v>2E+20</v>
      </c>
      <c r="I461">
        <v>0</v>
      </c>
      <c r="J461">
        <v>0.66666666666666696</v>
      </c>
      <c r="K461">
        <v>0</v>
      </c>
      <c r="L461">
        <v>0</v>
      </c>
      <c r="M461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461" cm="1">
        <f t="array" ref="N461">MAX(IF((ProjectInfoTable[ProjectName]=ContinuousStatsTable[[#This Row],[ProjectName]]),(ProjectInfoTable[ProjectName]=ContinuousStatsTable[[#This Row],[ProjectName]])*ProjectInfoTable[NumberOfReplications]))</f>
        <v>10</v>
      </c>
      <c r="O461" cm="1">
        <f t="array" ref="O461">IFERROR(AVERAGE(IF((ContinuousStatsTable[GroupByKey]=ContinuousStatsTable[[#This Row],[GroupByKey]]),(ContinuousStatsTable[GroupByKey]=ContinuousStatsTable[[#This Row],[GroupByKey]])*ContinuousStatsTable[Average])),0)</f>
        <v>0.15879210791146137</v>
      </c>
      <c r="P461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8.8786593845171554E-6</v>
      </c>
      <c r="Q461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6.3514103064755986E-6</v>
      </c>
      <c r="S461" cm="1">
        <f t="array" ref="S461">MIN(IF((ContinuousStatsTable[GroupByKey]=ContinuousStatsTable[[#This Row],[GroupByKey]]),(ContinuousStatsTable[GroupByKey]=ContinuousStatsTable[[#This Row],[GroupByKey]])*ContinuousStatsTable[Average]))</f>
        <v>0.15877821852350199</v>
      </c>
      <c r="T461" cm="1">
        <f t="array" ref="T461">MAX(IF((ContinuousStatsTable[GroupByKey]=ContinuousStatsTable[[#This Row],[GroupByKey]]),(ContinuousStatsTable[GroupByKey]=ContinuousStatsTable[[#This Row],[GroupByKey]])*ContinuousStatsTable[Average]))</f>
        <v>0.15880443244107401</v>
      </c>
      <c r="U461">
        <f>IF((ContinuousStatsTable[[#This Row],[RepsRequested]]&gt;1),ContinuousStatsTable[[#This Row],[HalfWidth]],ContinuousStatsTable[[#This Row],[BatchMeansHalfWidth]])</f>
        <v>6.3514103064755986E-6</v>
      </c>
    </row>
    <row r="462" spans="1:21" x14ac:dyDescent="0.25">
      <c r="A462" t="s">
        <v>67</v>
      </c>
      <c r="B462" t="s">
        <v>243</v>
      </c>
      <c r="C462">
        <v>6</v>
      </c>
      <c r="D462" t="s">
        <v>129</v>
      </c>
      <c r="E462" t="s">
        <v>114</v>
      </c>
      <c r="F462" t="s">
        <v>113</v>
      </c>
      <c r="G462">
        <v>0.47640546473976197</v>
      </c>
      <c r="H462">
        <v>2E+20</v>
      </c>
      <c r="I462">
        <v>0</v>
      </c>
      <c r="J462">
        <v>2</v>
      </c>
      <c r="K462">
        <v>0</v>
      </c>
      <c r="L462">
        <v>0</v>
      </c>
      <c r="M462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462" cm="1">
        <f t="array" ref="N462">MAX(IF((ProjectInfoTable[ProjectName]=ContinuousStatsTable[[#This Row],[ProjectName]]),(ProjectInfoTable[ProjectName]=ContinuousStatsTable[[#This Row],[ProjectName]])*ProjectInfoTable[NumberOfReplications]))</f>
        <v>10</v>
      </c>
      <c r="O462" cm="1">
        <f t="array" ref="O462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462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462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462" cm="1">
        <f t="array" ref="S462">MIN(IF((ContinuousStatsTable[GroupByKey]=ContinuousStatsTable[[#This Row],[GroupByKey]]),(ContinuousStatsTable[GroupByKey]=ContinuousStatsTable[[#This Row],[GroupByKey]])*ContinuousStatsTable[Average]))</f>
        <v>0.47633465557050603</v>
      </c>
      <c r="T462" cm="1">
        <f t="array" ref="T462">MAX(IF((ContinuousStatsTable[GroupByKey]=ContinuousStatsTable[[#This Row],[GroupByKey]]),(ContinuousStatsTable[GroupByKey]=ContinuousStatsTable[[#This Row],[GroupByKey]])*ContinuousStatsTable[Average]))</f>
        <v>0.47641329732322302</v>
      </c>
      <c r="U462">
        <f>IF((ContinuousStatsTable[[#This Row],[RepsRequested]]&gt;1),ContinuousStatsTable[[#This Row],[HalfWidth]],ContinuousStatsTable[[#This Row],[BatchMeansHalfWidth]])</f>
        <v>1.9054230919217752E-5</v>
      </c>
    </row>
    <row r="463" spans="1:21" x14ac:dyDescent="0.25">
      <c r="A463" t="s">
        <v>67</v>
      </c>
      <c r="B463" t="s">
        <v>243</v>
      </c>
      <c r="C463">
        <v>6</v>
      </c>
      <c r="D463" t="s">
        <v>129</v>
      </c>
      <c r="E463" t="s">
        <v>115</v>
      </c>
      <c r="F463" t="s">
        <v>113</v>
      </c>
      <c r="G463">
        <v>3</v>
      </c>
      <c r="H463">
        <v>2E+20</v>
      </c>
      <c r="I463">
        <v>3</v>
      </c>
      <c r="J463">
        <v>3</v>
      </c>
      <c r="K463">
        <v>3</v>
      </c>
      <c r="L463">
        <v>0</v>
      </c>
      <c r="M463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463" cm="1">
        <f t="array" ref="N463">MAX(IF((ProjectInfoTable[ProjectName]=ContinuousStatsTable[[#This Row],[ProjectName]]),(ProjectInfoTable[ProjectName]=ContinuousStatsTable[[#This Row],[ProjectName]])*ProjectInfoTable[NumberOfReplications]))</f>
        <v>10</v>
      </c>
      <c r="O463" cm="1">
        <f t="array" ref="O463">IFERROR(AVERAGE(IF((ContinuousStatsTable[GroupByKey]=ContinuousStatsTable[[#This Row],[GroupByKey]]),(ContinuousStatsTable[GroupByKey]=ContinuousStatsTable[[#This Row],[GroupByKey]])*ContinuousStatsTable[Average])),0)</f>
        <v>3</v>
      </c>
      <c r="P463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0</v>
      </c>
      <c r="Q463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3" cm="1">
        <f t="array" ref="S463">MIN(IF((ContinuousStatsTable[GroupByKey]=ContinuousStatsTable[[#This Row],[GroupByKey]]),(ContinuousStatsTable[GroupByKey]=ContinuousStatsTable[[#This Row],[GroupByKey]])*ContinuousStatsTable[Average]))</f>
        <v>3</v>
      </c>
      <c r="T463" cm="1">
        <f t="array" ref="T463">MAX(IF((ContinuousStatsTable[GroupByKey]=ContinuousStatsTable[[#This Row],[GroupByKey]]),(ContinuousStatsTable[GroupByKey]=ContinuousStatsTable[[#This Row],[GroupByKey]])*ContinuousStatsTable[Average]))</f>
        <v>3</v>
      </c>
      <c r="U463">
        <f>IF((ContinuousStatsTable[[#This Row],[RepsRequested]]&gt;1),ContinuousStatsTable[[#This Row],[HalfWidth]],ContinuousStatsTable[[#This Row],[BatchMeansHalfWidth]])</f>
        <v>0</v>
      </c>
    </row>
    <row r="464" spans="1:21" x14ac:dyDescent="0.25">
      <c r="A464" t="s">
        <v>67</v>
      </c>
      <c r="B464" t="s">
        <v>243</v>
      </c>
      <c r="C464">
        <v>6</v>
      </c>
      <c r="D464" t="s">
        <v>130</v>
      </c>
      <c r="E464" t="s">
        <v>112</v>
      </c>
      <c r="F464" t="s">
        <v>113</v>
      </c>
      <c r="G464">
        <v>0.476382249805959</v>
      </c>
      <c r="H464">
        <v>2E+20</v>
      </c>
      <c r="I464">
        <v>0</v>
      </c>
      <c r="J464">
        <v>1</v>
      </c>
      <c r="K464">
        <v>0</v>
      </c>
      <c r="L464">
        <v>0</v>
      </c>
      <c r="M464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464" cm="1">
        <f t="array" ref="N464">MAX(IF((ProjectInfoTable[ProjectName]=ContinuousStatsTable[[#This Row],[ProjectName]]),(ProjectInfoTable[ProjectName]=ContinuousStatsTable[[#This Row],[ProjectName]])*ProjectInfoTable[NumberOfReplications]))</f>
        <v>10</v>
      </c>
      <c r="O464" cm="1">
        <f t="array" ref="O464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464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464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464" cm="1">
        <f t="array" ref="S464">MIN(IF((ContinuousStatsTable[GroupByKey]=ContinuousStatsTable[[#This Row],[GroupByKey]]),(ContinuousStatsTable[GroupByKey]=ContinuousStatsTable[[#This Row],[GroupByKey]])*ContinuousStatsTable[Average]))</f>
        <v>0.47638046343127</v>
      </c>
      <c r="T464" cm="1">
        <f t="array" ref="T464">MAX(IF((ContinuousStatsTable[GroupByKey]=ContinuousStatsTable[[#This Row],[GroupByKey]]),(ContinuousStatsTable[GroupByKey]=ContinuousStatsTable[[#This Row],[GroupByKey]])*ContinuousStatsTable[Average]))</f>
        <v>0.47647340349894202</v>
      </c>
      <c r="U464">
        <f>IF((ContinuousStatsTable[[#This Row],[RepsRequested]]&gt;1),ContinuousStatsTable[[#This Row],[HalfWidth]],ContinuousStatsTable[[#This Row],[BatchMeansHalfWidth]])</f>
        <v>2.530338482140405E-5</v>
      </c>
    </row>
    <row r="465" spans="1:21" x14ac:dyDescent="0.25">
      <c r="A465" t="s">
        <v>67</v>
      </c>
      <c r="B465" t="s">
        <v>243</v>
      </c>
      <c r="C465">
        <v>6</v>
      </c>
      <c r="D465" t="s">
        <v>130</v>
      </c>
      <c r="E465" t="s">
        <v>114</v>
      </c>
      <c r="F465" t="s">
        <v>113</v>
      </c>
      <c r="G465">
        <v>0.476382249805959</v>
      </c>
      <c r="H465">
        <v>2E+20</v>
      </c>
      <c r="I465">
        <v>0</v>
      </c>
      <c r="J465">
        <v>1</v>
      </c>
      <c r="K465">
        <v>0</v>
      </c>
      <c r="L465">
        <v>0</v>
      </c>
      <c r="M465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465" cm="1">
        <f t="array" ref="N465">MAX(IF((ProjectInfoTable[ProjectName]=ContinuousStatsTable[[#This Row],[ProjectName]]),(ProjectInfoTable[ProjectName]=ContinuousStatsTable[[#This Row],[ProjectName]])*ProjectInfoTable[NumberOfReplications]))</f>
        <v>10</v>
      </c>
      <c r="O465" cm="1">
        <f t="array" ref="O465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46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46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465" cm="1">
        <f t="array" ref="S465">MIN(IF((ContinuousStatsTable[GroupByKey]=ContinuousStatsTable[[#This Row],[GroupByKey]]),(ContinuousStatsTable[GroupByKey]=ContinuousStatsTable[[#This Row],[GroupByKey]])*ContinuousStatsTable[Average]))</f>
        <v>0.47638046343127</v>
      </c>
      <c r="T465" cm="1">
        <f t="array" ref="T465">MAX(IF((ContinuousStatsTable[GroupByKey]=ContinuousStatsTable[[#This Row],[GroupByKey]]),(ContinuousStatsTable[GroupByKey]=ContinuousStatsTable[[#This Row],[GroupByKey]])*ContinuousStatsTable[Average]))</f>
        <v>0.47647340349894202</v>
      </c>
      <c r="U465">
        <f>IF((ContinuousStatsTable[[#This Row],[RepsRequested]]&gt;1),ContinuousStatsTable[[#This Row],[HalfWidth]],ContinuousStatsTable[[#This Row],[BatchMeansHalfWidth]])</f>
        <v>2.530338482140405E-5</v>
      </c>
    </row>
    <row r="466" spans="1:21" x14ac:dyDescent="0.25">
      <c r="A466" t="s">
        <v>67</v>
      </c>
      <c r="B466" t="s">
        <v>243</v>
      </c>
      <c r="C466">
        <v>6</v>
      </c>
      <c r="D466" t="s">
        <v>130</v>
      </c>
      <c r="E466" t="s">
        <v>115</v>
      </c>
      <c r="F466" t="s">
        <v>113</v>
      </c>
      <c r="G466">
        <v>0.476190476190476</v>
      </c>
      <c r="H466">
        <v>2E+20</v>
      </c>
      <c r="I466">
        <v>0</v>
      </c>
      <c r="J466">
        <v>1</v>
      </c>
      <c r="K466">
        <v>0</v>
      </c>
      <c r="L466">
        <v>0</v>
      </c>
      <c r="M466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466" cm="1">
        <f t="array" ref="N466">MAX(IF((ProjectInfoTable[ProjectName]=ContinuousStatsTable[[#This Row],[ProjectName]]),(ProjectInfoTable[ProjectName]=ContinuousStatsTable[[#This Row],[ProjectName]])*ProjectInfoTable[NumberOfReplications]))</f>
        <v>10</v>
      </c>
      <c r="O466" cm="1">
        <f t="array" ref="O466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66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</v>
      </c>
      <c r="Q466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6" cm="1">
        <f t="array" ref="S466">MIN(IF((ContinuousStatsTable[GroupByKey]=ContinuousStatsTable[[#This Row],[GroupByKey]]),(ContinuousStatsTable[GroupByKey]=ContinuousStatsTable[[#This Row],[GroupByKey]])*ContinuousStatsTable[Average]))</f>
        <v>0.476190476190476</v>
      </c>
      <c r="T466" cm="1">
        <f t="array" ref="T466">MAX(IF((ContinuousStatsTable[GroupByKey]=ContinuousStatsTable[[#This Row],[GroupByKey]]),(ContinuousStatsTable[GroupByKey]=ContinuousStatsTable[[#This Row],[GroupByKey]])*ContinuousStatsTable[Average]))</f>
        <v>0.476190476190476</v>
      </c>
      <c r="U466">
        <f>IF((ContinuousStatsTable[[#This Row],[RepsRequested]]&gt;1),ContinuousStatsTable[[#This Row],[HalfWidth]],ContinuousStatsTable[[#This Row],[BatchMeansHalfWidth]])</f>
        <v>0</v>
      </c>
    </row>
    <row r="467" spans="1:21" x14ac:dyDescent="0.25">
      <c r="A467" t="s">
        <v>67</v>
      </c>
      <c r="B467" t="s">
        <v>243</v>
      </c>
      <c r="C467">
        <v>6</v>
      </c>
      <c r="D467" t="s">
        <v>131</v>
      </c>
      <c r="E467" t="s">
        <v>112</v>
      </c>
      <c r="F467" t="s">
        <v>113</v>
      </c>
      <c r="G467">
        <v>0.34645204370064098</v>
      </c>
      <c r="H467">
        <v>3E+20</v>
      </c>
      <c r="I467">
        <v>0</v>
      </c>
      <c r="J467">
        <v>1</v>
      </c>
      <c r="K467">
        <v>0</v>
      </c>
      <c r="L467">
        <v>0</v>
      </c>
      <c r="M467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467" cm="1">
        <f t="array" ref="N467">MAX(IF((ProjectInfoTable[ProjectName]=ContinuousStatsTable[[#This Row],[ProjectName]]),(ProjectInfoTable[ProjectName]=ContinuousStatsTable[[#This Row],[ProjectName]])*ProjectInfoTable[NumberOfReplications]))</f>
        <v>10</v>
      </c>
      <c r="O467" cm="1">
        <f t="array" ref="O467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467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467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467" cm="1">
        <f t="array" ref="S467">MIN(IF((ContinuousStatsTable[GroupByKey]=ContinuousStatsTable[[#This Row],[GroupByKey]]),(ContinuousStatsTable[GroupByKey]=ContinuousStatsTable[[#This Row],[GroupByKey]])*ContinuousStatsTable[Average]))</f>
        <v>0.34602746258727701</v>
      </c>
      <c r="T467" cm="1">
        <f t="array" ref="T467">MAX(IF((ContinuousStatsTable[GroupByKey]=ContinuousStatsTable[[#This Row],[GroupByKey]]),(ContinuousStatsTable[GroupByKey]=ContinuousStatsTable[[#This Row],[GroupByKey]])*ContinuousStatsTable[Average]))</f>
        <v>0.34712505386175102</v>
      </c>
      <c r="U467">
        <f>IF((ContinuousStatsTable[[#This Row],[RepsRequested]]&gt;1),ContinuousStatsTable[[#This Row],[HalfWidth]],ContinuousStatsTable[[#This Row],[BatchMeansHalfWidth]])</f>
        <v>2.4134201748419608E-4</v>
      </c>
    </row>
    <row r="468" spans="1:21" x14ac:dyDescent="0.25">
      <c r="A468" t="s">
        <v>67</v>
      </c>
      <c r="B468" t="s">
        <v>243</v>
      </c>
      <c r="C468">
        <v>6</v>
      </c>
      <c r="D468" t="s">
        <v>131</v>
      </c>
      <c r="E468" t="s">
        <v>114</v>
      </c>
      <c r="F468" t="s">
        <v>113</v>
      </c>
      <c r="G468">
        <v>0.34645204370064098</v>
      </c>
      <c r="H468">
        <v>3E+20</v>
      </c>
      <c r="I468">
        <v>0</v>
      </c>
      <c r="J468">
        <v>1</v>
      </c>
      <c r="K468">
        <v>0</v>
      </c>
      <c r="L468">
        <v>0</v>
      </c>
      <c r="M468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468" cm="1">
        <f t="array" ref="N468">MAX(IF((ProjectInfoTable[ProjectName]=ContinuousStatsTable[[#This Row],[ProjectName]]),(ProjectInfoTable[ProjectName]=ContinuousStatsTable[[#This Row],[ProjectName]])*ProjectInfoTable[NumberOfReplications]))</f>
        <v>10</v>
      </c>
      <c r="O468" cm="1">
        <f t="array" ref="O468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468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468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468" cm="1">
        <f t="array" ref="S468">MIN(IF((ContinuousStatsTable[GroupByKey]=ContinuousStatsTable[[#This Row],[GroupByKey]]),(ContinuousStatsTable[GroupByKey]=ContinuousStatsTable[[#This Row],[GroupByKey]])*ContinuousStatsTable[Average]))</f>
        <v>0.34602746258727701</v>
      </c>
      <c r="T468" cm="1">
        <f t="array" ref="T468">MAX(IF((ContinuousStatsTable[GroupByKey]=ContinuousStatsTable[[#This Row],[GroupByKey]]),(ContinuousStatsTable[GroupByKey]=ContinuousStatsTable[[#This Row],[GroupByKey]])*ContinuousStatsTable[Average]))</f>
        <v>0.34712505386175102</v>
      </c>
      <c r="U468">
        <f>IF((ContinuousStatsTable[[#This Row],[RepsRequested]]&gt;1),ContinuousStatsTable[[#This Row],[HalfWidth]],ContinuousStatsTable[[#This Row],[BatchMeansHalfWidth]])</f>
        <v>2.4134201748419608E-4</v>
      </c>
    </row>
    <row r="469" spans="1:21" x14ac:dyDescent="0.25">
      <c r="A469" t="s">
        <v>67</v>
      </c>
      <c r="B469" t="s">
        <v>243</v>
      </c>
      <c r="C469">
        <v>6</v>
      </c>
      <c r="D469" t="s">
        <v>131</v>
      </c>
      <c r="E469" t="s">
        <v>115</v>
      </c>
      <c r="F469" t="s">
        <v>113</v>
      </c>
      <c r="G469">
        <v>0.476190476190476</v>
      </c>
      <c r="H469">
        <v>2E+20</v>
      </c>
      <c r="I469">
        <v>0</v>
      </c>
      <c r="J469">
        <v>1</v>
      </c>
      <c r="K469">
        <v>0</v>
      </c>
      <c r="L469">
        <v>0</v>
      </c>
      <c r="M469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469" cm="1">
        <f t="array" ref="N469">MAX(IF((ProjectInfoTable[ProjectName]=ContinuousStatsTable[[#This Row],[ProjectName]]),(ProjectInfoTable[ProjectName]=ContinuousStatsTable[[#This Row],[ProjectName]])*ProjectInfoTable[NumberOfReplications]))</f>
        <v>10</v>
      </c>
      <c r="O469" cm="1">
        <f t="array" ref="O46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69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cm="1">
        <f t="array" ref="S469">MIN(IF((ContinuousStatsTable[GroupByKey]=ContinuousStatsTable[[#This Row],[GroupByKey]]),(ContinuousStatsTable[GroupByKey]=ContinuousStatsTable[[#This Row],[GroupByKey]])*ContinuousStatsTable[Average]))</f>
        <v>0.476190476190476</v>
      </c>
      <c r="T469" cm="1">
        <f t="array" ref="T469">MAX(IF((ContinuousStatsTable[GroupByKey]=ContinuousStatsTable[[#This Row],[GroupByKey]]),(ContinuousStatsTable[GroupByKey]=ContinuousStatsTable[[#This Row],[GroupByKey]])*ContinuousStatsTable[Average]))</f>
        <v>0.476190476190476</v>
      </c>
      <c r="U469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67</v>
      </c>
      <c r="B470" t="s">
        <v>243</v>
      </c>
      <c r="C470">
        <v>6</v>
      </c>
      <c r="D470" t="s">
        <v>132</v>
      </c>
      <c r="E470" t="s">
        <v>112</v>
      </c>
      <c r="F470" t="s">
        <v>113</v>
      </c>
      <c r="G470">
        <v>0.45468370513548301</v>
      </c>
      <c r="H470">
        <v>3E+20</v>
      </c>
      <c r="I470">
        <v>0</v>
      </c>
      <c r="J470">
        <v>1</v>
      </c>
      <c r="K470">
        <v>0</v>
      </c>
      <c r="L470">
        <v>0</v>
      </c>
      <c r="M470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470" cm="1">
        <f t="array" ref="N470">MAX(IF((ProjectInfoTable[ProjectName]=ContinuousStatsTable[[#This Row],[ProjectName]]),(ProjectInfoTable[ProjectName]=ContinuousStatsTable[[#This Row],[ProjectName]])*ProjectInfoTable[NumberOfReplications]))</f>
        <v>10</v>
      </c>
      <c r="O470" cm="1">
        <f t="array" ref="O470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470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470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470" cm="1">
        <f t="array" ref="S470">MIN(IF((ContinuousStatsTable[GroupByKey]=ContinuousStatsTable[[#This Row],[GroupByKey]]),(ContinuousStatsTable[GroupByKey]=ContinuousStatsTable[[#This Row],[GroupByKey]])*ContinuousStatsTable[Average]))</f>
        <v>0.45404133128311103</v>
      </c>
      <c r="T470" cm="1">
        <f t="array" ref="T470">MAX(IF((ContinuousStatsTable[GroupByKey]=ContinuousStatsTable[[#This Row],[GroupByKey]]),(ContinuousStatsTable[GroupByKey]=ContinuousStatsTable[[#This Row],[GroupByKey]])*ContinuousStatsTable[Average]))</f>
        <v>0.45518418142323402</v>
      </c>
      <c r="U470">
        <f>IF((ContinuousStatsTable[[#This Row],[RepsRequested]]&gt;1),ContinuousStatsTable[[#This Row],[HalfWidth]],ContinuousStatsTable[[#This Row],[BatchMeansHalfWidth]])</f>
        <v>2.6178321488092363E-4</v>
      </c>
    </row>
    <row r="471" spans="1:21" x14ac:dyDescent="0.25">
      <c r="A471" t="s">
        <v>67</v>
      </c>
      <c r="B471" t="s">
        <v>243</v>
      </c>
      <c r="C471">
        <v>6</v>
      </c>
      <c r="D471" t="s">
        <v>132</v>
      </c>
      <c r="E471" t="s">
        <v>114</v>
      </c>
      <c r="F471" t="s">
        <v>113</v>
      </c>
      <c r="G471">
        <v>0.45468370513548301</v>
      </c>
      <c r="H471">
        <v>3E+20</v>
      </c>
      <c r="I471">
        <v>0</v>
      </c>
      <c r="J471">
        <v>1</v>
      </c>
      <c r="K471">
        <v>0</v>
      </c>
      <c r="L471">
        <v>0</v>
      </c>
      <c r="M471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471" cm="1">
        <f t="array" ref="N471">MAX(IF((ProjectInfoTable[ProjectName]=ContinuousStatsTable[[#This Row],[ProjectName]]),(ProjectInfoTable[ProjectName]=ContinuousStatsTable[[#This Row],[ProjectName]])*ProjectInfoTable[NumberOfReplications]))</f>
        <v>10</v>
      </c>
      <c r="O471" cm="1">
        <f t="array" ref="O471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471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471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471" cm="1">
        <f t="array" ref="S471">MIN(IF((ContinuousStatsTable[GroupByKey]=ContinuousStatsTable[[#This Row],[GroupByKey]]),(ContinuousStatsTable[GroupByKey]=ContinuousStatsTable[[#This Row],[GroupByKey]])*ContinuousStatsTable[Average]))</f>
        <v>0.45404133128311103</v>
      </c>
      <c r="T471" cm="1">
        <f t="array" ref="T471">MAX(IF((ContinuousStatsTable[GroupByKey]=ContinuousStatsTable[[#This Row],[GroupByKey]]),(ContinuousStatsTable[GroupByKey]=ContinuousStatsTable[[#This Row],[GroupByKey]])*ContinuousStatsTable[Average]))</f>
        <v>0.45518418142323402</v>
      </c>
      <c r="U471">
        <f>IF((ContinuousStatsTable[[#This Row],[RepsRequested]]&gt;1),ContinuousStatsTable[[#This Row],[HalfWidth]],ContinuousStatsTable[[#This Row],[BatchMeansHalfWidth]])</f>
        <v>2.6178321488092363E-4</v>
      </c>
    </row>
    <row r="472" spans="1:21" x14ac:dyDescent="0.25">
      <c r="A472" t="s">
        <v>67</v>
      </c>
      <c r="B472" t="s">
        <v>243</v>
      </c>
      <c r="C472">
        <v>6</v>
      </c>
      <c r="D472" t="s">
        <v>132</v>
      </c>
      <c r="E472" t="s">
        <v>115</v>
      </c>
      <c r="F472" t="s">
        <v>113</v>
      </c>
      <c r="G472">
        <v>0.476190476190476</v>
      </c>
      <c r="H472">
        <v>2E+20</v>
      </c>
      <c r="I472">
        <v>0</v>
      </c>
      <c r="J472">
        <v>1</v>
      </c>
      <c r="K472">
        <v>0</v>
      </c>
      <c r="L472">
        <v>0</v>
      </c>
      <c r="M472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472" cm="1">
        <f t="array" ref="N472">MAX(IF((ProjectInfoTable[ProjectName]=ContinuousStatsTable[[#This Row],[ProjectName]]),(ProjectInfoTable[ProjectName]=ContinuousStatsTable[[#This Row],[ProjectName]])*ProjectInfoTable[NumberOfReplications]))</f>
        <v>10</v>
      </c>
      <c r="O472" cm="1">
        <f t="array" ref="O472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72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0</v>
      </c>
      <c r="Q472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2" cm="1">
        <f t="array" ref="S472">MIN(IF((ContinuousStatsTable[GroupByKey]=ContinuousStatsTable[[#This Row],[GroupByKey]]),(ContinuousStatsTable[GroupByKey]=ContinuousStatsTable[[#This Row],[GroupByKey]])*ContinuousStatsTable[Average]))</f>
        <v>0.476190476190476</v>
      </c>
      <c r="T472" cm="1">
        <f t="array" ref="T472">MAX(IF((ContinuousStatsTable[GroupByKey]=ContinuousStatsTable[[#This Row],[GroupByKey]]),(ContinuousStatsTable[GroupByKey]=ContinuousStatsTable[[#This Row],[GroupByKey]])*ContinuousStatsTable[Average]))</f>
        <v>0.476190476190476</v>
      </c>
      <c r="U472">
        <f>IF((ContinuousStatsTable[[#This Row],[RepsRequested]]&gt;1),ContinuousStatsTable[[#This Row],[HalfWidth]],ContinuousStatsTable[[#This Row],[BatchMeansHalfWidth]])</f>
        <v>0</v>
      </c>
    </row>
    <row r="473" spans="1:21" x14ac:dyDescent="0.25">
      <c r="A473" t="s">
        <v>67</v>
      </c>
      <c r="B473" t="s">
        <v>243</v>
      </c>
      <c r="C473">
        <v>6</v>
      </c>
      <c r="D473" t="s">
        <v>133</v>
      </c>
      <c r="E473" t="s">
        <v>112</v>
      </c>
      <c r="F473" t="s">
        <v>113</v>
      </c>
      <c r="G473">
        <v>0.230969532572807</v>
      </c>
      <c r="H473">
        <v>3E+20</v>
      </c>
      <c r="I473">
        <v>0</v>
      </c>
      <c r="J473">
        <v>1</v>
      </c>
      <c r="K473">
        <v>0</v>
      </c>
      <c r="L473">
        <v>0</v>
      </c>
      <c r="M473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473" cm="1">
        <f t="array" ref="N473">MAX(IF((ProjectInfoTable[ProjectName]=ContinuousStatsTable[[#This Row],[ProjectName]]),(ProjectInfoTable[ProjectName]=ContinuousStatsTable[[#This Row],[ProjectName]])*ProjectInfoTable[NumberOfReplications]))</f>
        <v>10</v>
      </c>
      <c r="O473" cm="1">
        <f t="array" ref="O473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473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473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473" cm="1">
        <f t="array" ref="S473">MIN(IF((ContinuousStatsTable[GroupByKey]=ContinuousStatsTable[[#This Row],[GroupByKey]]),(ContinuousStatsTable[GroupByKey]=ContinuousStatsTable[[#This Row],[GroupByKey]])*ContinuousStatsTable[Average]))</f>
        <v>0.230969532572807</v>
      </c>
      <c r="T473" cm="1">
        <f t="array" ref="T473">MAX(IF((ContinuousStatsTable[GroupByKey]=ContinuousStatsTable[[#This Row],[GroupByKey]]),(ContinuousStatsTable[GroupByKey]=ContinuousStatsTable[[#This Row],[GroupByKey]])*ContinuousStatsTable[Average]))</f>
        <v>0.23202343200723599</v>
      </c>
      <c r="U473">
        <f>IF((ContinuousStatsTable[[#This Row],[RepsRequested]]&gt;1),ContinuousStatsTable[[#This Row],[HalfWidth]],ContinuousStatsTable[[#This Row],[BatchMeansHalfWidth]])</f>
        <v>2.4725912837525509E-4</v>
      </c>
    </row>
    <row r="474" spans="1:21" x14ac:dyDescent="0.25">
      <c r="A474" t="s">
        <v>67</v>
      </c>
      <c r="B474" t="s">
        <v>243</v>
      </c>
      <c r="C474">
        <v>6</v>
      </c>
      <c r="D474" t="s">
        <v>133</v>
      </c>
      <c r="E474" t="s">
        <v>114</v>
      </c>
      <c r="F474" t="s">
        <v>113</v>
      </c>
      <c r="G474">
        <v>0.230969532572807</v>
      </c>
      <c r="H474">
        <v>3E+20</v>
      </c>
      <c r="I474">
        <v>0</v>
      </c>
      <c r="J474">
        <v>1</v>
      </c>
      <c r="K474">
        <v>0</v>
      </c>
      <c r="L474">
        <v>0</v>
      </c>
      <c r="M474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474" cm="1">
        <f t="array" ref="N474">MAX(IF((ProjectInfoTable[ProjectName]=ContinuousStatsTable[[#This Row],[ProjectName]]),(ProjectInfoTable[ProjectName]=ContinuousStatsTable[[#This Row],[ProjectName]])*ProjectInfoTable[NumberOfReplications]))</f>
        <v>10</v>
      </c>
      <c r="O474" cm="1">
        <f t="array" ref="O474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474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474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474" cm="1">
        <f t="array" ref="S474">MIN(IF((ContinuousStatsTable[GroupByKey]=ContinuousStatsTable[[#This Row],[GroupByKey]]),(ContinuousStatsTable[GroupByKey]=ContinuousStatsTable[[#This Row],[GroupByKey]])*ContinuousStatsTable[Average]))</f>
        <v>0.230969532572807</v>
      </c>
      <c r="T474" cm="1">
        <f t="array" ref="T474">MAX(IF((ContinuousStatsTable[GroupByKey]=ContinuousStatsTable[[#This Row],[GroupByKey]]),(ContinuousStatsTable[GroupByKey]=ContinuousStatsTable[[#This Row],[GroupByKey]])*ContinuousStatsTable[Average]))</f>
        <v>0.23202343200723599</v>
      </c>
      <c r="U474">
        <f>IF((ContinuousStatsTable[[#This Row],[RepsRequested]]&gt;1),ContinuousStatsTable[[#This Row],[HalfWidth]],ContinuousStatsTable[[#This Row],[BatchMeansHalfWidth]])</f>
        <v>2.4725912837525509E-4</v>
      </c>
    </row>
    <row r="475" spans="1:21" x14ac:dyDescent="0.25">
      <c r="A475" t="s">
        <v>67</v>
      </c>
      <c r="B475" t="s">
        <v>243</v>
      </c>
      <c r="C475">
        <v>6</v>
      </c>
      <c r="D475" t="s">
        <v>133</v>
      </c>
      <c r="E475" t="s">
        <v>115</v>
      </c>
      <c r="F475" t="s">
        <v>113</v>
      </c>
      <c r="G475">
        <v>0.476190476190476</v>
      </c>
      <c r="H475">
        <v>2E+20</v>
      </c>
      <c r="I475">
        <v>0</v>
      </c>
      <c r="J475">
        <v>1</v>
      </c>
      <c r="K475">
        <v>0</v>
      </c>
      <c r="L475">
        <v>0</v>
      </c>
      <c r="M475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475" cm="1">
        <f t="array" ref="N475">MAX(IF((ProjectInfoTable[ProjectName]=ContinuousStatsTable[[#This Row],[ProjectName]]),(ProjectInfoTable[ProjectName]=ContinuousStatsTable[[#This Row],[ProjectName]])*ProjectInfoTable[NumberOfReplications]))</f>
        <v>10</v>
      </c>
      <c r="O475" cm="1">
        <f t="array" ref="O475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7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cm="1">
        <f t="array" ref="S475">MIN(IF((ContinuousStatsTable[GroupByKey]=ContinuousStatsTable[[#This Row],[GroupByKey]]),(ContinuousStatsTable[GroupByKey]=ContinuousStatsTable[[#This Row],[GroupByKey]])*ContinuousStatsTable[Average]))</f>
        <v>0.476190476190476</v>
      </c>
      <c r="T475" cm="1">
        <f t="array" ref="T475">MAX(IF((ContinuousStatsTable[GroupByKey]=ContinuousStatsTable[[#This Row],[GroupByKey]]),(ContinuousStatsTable[GroupByKey]=ContinuousStatsTable[[#This Row],[GroupByKey]])*ContinuousStatsTable[Average]))</f>
        <v>0.476190476190476</v>
      </c>
      <c r="U47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67</v>
      </c>
      <c r="B476" t="s">
        <v>243</v>
      </c>
      <c r="C476">
        <v>6</v>
      </c>
      <c r="D476" t="s">
        <v>134</v>
      </c>
      <c r="E476" t="s">
        <v>112</v>
      </c>
      <c r="F476" t="s">
        <v>113</v>
      </c>
      <c r="G476">
        <v>0.27222290156155798</v>
      </c>
      <c r="H476">
        <v>3E+20</v>
      </c>
      <c r="I476">
        <v>0</v>
      </c>
      <c r="J476">
        <v>1</v>
      </c>
      <c r="K476">
        <v>0</v>
      </c>
      <c r="L476">
        <v>0</v>
      </c>
      <c r="M476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476" cm="1">
        <f t="array" ref="N476">MAX(IF((ProjectInfoTable[ProjectName]=ContinuousStatsTable[[#This Row],[ProjectName]]),(ProjectInfoTable[ProjectName]=ContinuousStatsTable[[#This Row],[ProjectName]])*ProjectInfoTable[NumberOfReplications]))</f>
        <v>10</v>
      </c>
      <c r="O476" cm="1">
        <f t="array" ref="O476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476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476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476" cm="1">
        <f t="array" ref="S476">MIN(IF((ContinuousStatsTable[GroupByKey]=ContinuousStatsTable[[#This Row],[GroupByKey]]),(ContinuousStatsTable[GroupByKey]=ContinuousStatsTable[[#This Row],[GroupByKey]])*ContinuousStatsTable[Average]))</f>
        <v>0.271979535431421</v>
      </c>
      <c r="T476" cm="1">
        <f t="array" ref="T476">MAX(IF((ContinuousStatsTable[GroupByKey]=ContinuousStatsTable[[#This Row],[GroupByKey]]),(ContinuousStatsTable[GroupByKey]=ContinuousStatsTable[[#This Row],[GroupByKey]])*ContinuousStatsTable[Average]))</f>
        <v>0.27283313106114998</v>
      </c>
      <c r="U476">
        <f>IF((ContinuousStatsTable[[#This Row],[RepsRequested]]&gt;1),ContinuousStatsTable[[#This Row],[HalfWidth]],ContinuousStatsTable[[#This Row],[BatchMeansHalfWidth]])</f>
        <v>1.7269361236560142E-4</v>
      </c>
    </row>
    <row r="477" spans="1:21" x14ac:dyDescent="0.25">
      <c r="A477" t="s">
        <v>67</v>
      </c>
      <c r="B477" t="s">
        <v>243</v>
      </c>
      <c r="C477">
        <v>6</v>
      </c>
      <c r="D477" t="s">
        <v>134</v>
      </c>
      <c r="E477" t="s">
        <v>114</v>
      </c>
      <c r="F477" t="s">
        <v>113</v>
      </c>
      <c r="G477">
        <v>0.27222290156155798</v>
      </c>
      <c r="H477">
        <v>3E+20</v>
      </c>
      <c r="I477">
        <v>0</v>
      </c>
      <c r="J477">
        <v>1</v>
      </c>
      <c r="K477">
        <v>0</v>
      </c>
      <c r="L477">
        <v>0</v>
      </c>
      <c r="M477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477" cm="1">
        <f t="array" ref="N477">MAX(IF((ProjectInfoTable[ProjectName]=ContinuousStatsTable[[#This Row],[ProjectName]]),(ProjectInfoTable[ProjectName]=ContinuousStatsTable[[#This Row],[ProjectName]])*ProjectInfoTable[NumberOfReplications]))</f>
        <v>10</v>
      </c>
      <c r="O477" cm="1">
        <f t="array" ref="O477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477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477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477" cm="1">
        <f t="array" ref="S477">MIN(IF((ContinuousStatsTable[GroupByKey]=ContinuousStatsTable[[#This Row],[GroupByKey]]),(ContinuousStatsTable[GroupByKey]=ContinuousStatsTable[[#This Row],[GroupByKey]])*ContinuousStatsTable[Average]))</f>
        <v>0.271979535431421</v>
      </c>
      <c r="T477" cm="1">
        <f t="array" ref="T477">MAX(IF((ContinuousStatsTable[GroupByKey]=ContinuousStatsTable[[#This Row],[GroupByKey]]),(ContinuousStatsTable[GroupByKey]=ContinuousStatsTable[[#This Row],[GroupByKey]])*ContinuousStatsTable[Average]))</f>
        <v>0.27283313106114998</v>
      </c>
      <c r="U477">
        <f>IF((ContinuousStatsTable[[#This Row],[RepsRequested]]&gt;1),ContinuousStatsTable[[#This Row],[HalfWidth]],ContinuousStatsTable[[#This Row],[BatchMeansHalfWidth]])</f>
        <v>1.7269361236560142E-4</v>
      </c>
    </row>
    <row r="478" spans="1:21" x14ac:dyDescent="0.25">
      <c r="A478" t="s">
        <v>67</v>
      </c>
      <c r="B478" t="s">
        <v>243</v>
      </c>
      <c r="C478">
        <v>6</v>
      </c>
      <c r="D478" t="s">
        <v>134</v>
      </c>
      <c r="E478" t="s">
        <v>115</v>
      </c>
      <c r="F478" t="s">
        <v>113</v>
      </c>
      <c r="G478">
        <v>0.476190476190476</v>
      </c>
      <c r="H478">
        <v>2E+20</v>
      </c>
      <c r="I478">
        <v>0</v>
      </c>
      <c r="J478">
        <v>1</v>
      </c>
      <c r="K478">
        <v>0</v>
      </c>
      <c r="L478">
        <v>0</v>
      </c>
      <c r="M478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478" cm="1">
        <f t="array" ref="N478">MAX(IF((ProjectInfoTable[ProjectName]=ContinuousStatsTable[[#This Row],[ProjectName]]),(ProjectInfoTable[ProjectName]=ContinuousStatsTable[[#This Row],[ProjectName]])*ProjectInfoTable[NumberOfReplications]))</f>
        <v>10</v>
      </c>
      <c r="O478" cm="1">
        <f t="array" ref="O478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78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cm="1">
        <f t="array" ref="S478">MIN(IF((ContinuousStatsTable[GroupByKey]=ContinuousStatsTable[[#This Row],[GroupByKey]]),(ContinuousStatsTable[GroupByKey]=ContinuousStatsTable[[#This Row],[GroupByKey]])*ContinuousStatsTable[Average]))</f>
        <v>0.476190476190476</v>
      </c>
      <c r="T478" cm="1">
        <f t="array" ref="T478">MAX(IF((ContinuousStatsTable[GroupByKey]=ContinuousStatsTable[[#This Row],[GroupByKey]]),(ContinuousStatsTable[GroupByKey]=ContinuousStatsTable[[#This Row],[GroupByKey]])*ContinuousStatsTable[Average]))</f>
        <v>0.476190476190476</v>
      </c>
      <c r="U478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67</v>
      </c>
      <c r="B479" t="s">
        <v>243</v>
      </c>
      <c r="C479">
        <v>6</v>
      </c>
      <c r="D479" t="s">
        <v>135</v>
      </c>
      <c r="E479" t="s">
        <v>112</v>
      </c>
      <c r="F479" t="s">
        <v>113</v>
      </c>
      <c r="G479">
        <v>0.47651577494330499</v>
      </c>
      <c r="H479">
        <v>2E+20</v>
      </c>
      <c r="I479">
        <v>0</v>
      </c>
      <c r="J479">
        <v>1</v>
      </c>
      <c r="K479">
        <v>0</v>
      </c>
      <c r="L479">
        <v>0</v>
      </c>
      <c r="M479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479" cm="1">
        <f t="array" ref="N479">MAX(IF((ProjectInfoTable[ProjectName]=ContinuousStatsTable[[#This Row],[ProjectName]]),(ProjectInfoTable[ProjectName]=ContinuousStatsTable[[#This Row],[ProjectName]])*ProjectInfoTable[NumberOfReplications]))</f>
        <v>10</v>
      </c>
      <c r="O479" cm="1">
        <f t="array" ref="O479">IFERROR(AVERAGE(IF((ContinuousStatsTable[GroupByKey]=ContinuousStatsTable[[#This Row],[GroupByKey]]),(ContinuousStatsTable[GroupByKey]=ContinuousStatsTable[[#This Row],[GroupByKey]])*ContinuousStatsTable[Average])),0)</f>
        <v>0.47640752107427203</v>
      </c>
      <c r="P479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7.9809559904816854E-5</v>
      </c>
      <c r="Q479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5.7092319840390197E-5</v>
      </c>
      <c r="S479" cm="1">
        <f t="array" ref="S479">MIN(IF((ContinuousStatsTable[GroupByKey]=ContinuousStatsTable[[#This Row],[GroupByKey]]),(ContinuousStatsTable[GroupByKey]=ContinuousStatsTable[[#This Row],[GroupByKey]])*ContinuousStatsTable[Average]))</f>
        <v>0.47622171379262102</v>
      </c>
      <c r="T479" cm="1">
        <f t="array" ref="T479">MAX(IF((ContinuousStatsTable[GroupByKey]=ContinuousStatsTable[[#This Row],[GroupByKey]]),(ContinuousStatsTable[GroupByKey]=ContinuousStatsTable[[#This Row],[GroupByKey]])*ContinuousStatsTable[Average]))</f>
        <v>0.47651577494330499</v>
      </c>
      <c r="U479">
        <f>IF((ContinuousStatsTable[[#This Row],[RepsRequested]]&gt;1),ContinuousStatsTable[[#This Row],[HalfWidth]],ContinuousStatsTable[[#This Row],[BatchMeansHalfWidth]])</f>
        <v>5.7092319840390197E-5</v>
      </c>
    </row>
    <row r="480" spans="1:21" x14ac:dyDescent="0.25">
      <c r="A480" t="s">
        <v>67</v>
      </c>
      <c r="B480" t="s">
        <v>243</v>
      </c>
      <c r="C480">
        <v>6</v>
      </c>
      <c r="D480" t="s">
        <v>135</v>
      </c>
      <c r="E480" t="s">
        <v>114</v>
      </c>
      <c r="F480" t="s">
        <v>113</v>
      </c>
      <c r="G480">
        <v>0.47651577494330499</v>
      </c>
      <c r="H480">
        <v>2E+20</v>
      </c>
      <c r="I480">
        <v>0</v>
      </c>
      <c r="J480">
        <v>1</v>
      </c>
      <c r="K480">
        <v>0</v>
      </c>
      <c r="L480">
        <v>0</v>
      </c>
      <c r="M480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480" cm="1">
        <f t="array" ref="N480">MAX(IF((ProjectInfoTable[ProjectName]=ContinuousStatsTable[[#This Row],[ProjectName]]),(ProjectInfoTable[ProjectName]=ContinuousStatsTable[[#This Row],[ProjectName]])*ProjectInfoTable[NumberOfReplications]))</f>
        <v>10</v>
      </c>
      <c r="O480" cm="1">
        <f t="array" ref="O480">IFERROR(AVERAGE(IF((ContinuousStatsTable[GroupByKey]=ContinuousStatsTable[[#This Row],[GroupByKey]]),(ContinuousStatsTable[GroupByKey]=ContinuousStatsTable[[#This Row],[GroupByKey]])*ContinuousStatsTable[Average])),0)</f>
        <v>0.47640752107427209</v>
      </c>
      <c r="P480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7.980955990487845E-5</v>
      </c>
      <c r="Q480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5.7092319840434263E-5</v>
      </c>
      <c r="S480" cm="1">
        <f t="array" ref="S480">MIN(IF((ContinuousStatsTable[GroupByKey]=ContinuousStatsTable[[#This Row],[GroupByKey]]),(ContinuousStatsTable[GroupByKey]=ContinuousStatsTable[[#This Row],[GroupByKey]])*ContinuousStatsTable[Average]))</f>
        <v>0.47622171379262102</v>
      </c>
      <c r="T480" cm="1">
        <f t="array" ref="T480">MAX(IF((ContinuousStatsTable[GroupByKey]=ContinuousStatsTable[[#This Row],[GroupByKey]]),(ContinuousStatsTable[GroupByKey]=ContinuousStatsTable[[#This Row],[GroupByKey]])*ContinuousStatsTable[Average]))</f>
        <v>0.47651577494330499</v>
      </c>
      <c r="U480">
        <f>IF((ContinuousStatsTable[[#This Row],[RepsRequested]]&gt;1),ContinuousStatsTable[[#This Row],[HalfWidth]],ContinuousStatsTable[[#This Row],[BatchMeansHalfWidth]])</f>
        <v>5.7092319840434263E-5</v>
      </c>
    </row>
    <row r="481" spans="1:21" x14ac:dyDescent="0.25">
      <c r="A481" t="s">
        <v>67</v>
      </c>
      <c r="B481" t="s">
        <v>243</v>
      </c>
      <c r="C481">
        <v>6</v>
      </c>
      <c r="D481" t="s">
        <v>135</v>
      </c>
      <c r="E481" t="s">
        <v>115</v>
      </c>
      <c r="F481" t="s">
        <v>113</v>
      </c>
      <c r="G481">
        <v>0.476190476190476</v>
      </c>
      <c r="H481">
        <v>2E+20</v>
      </c>
      <c r="I481">
        <v>0</v>
      </c>
      <c r="J481">
        <v>1</v>
      </c>
      <c r="K481">
        <v>0</v>
      </c>
      <c r="L481">
        <v>0</v>
      </c>
      <c r="M481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481" cm="1">
        <f t="array" ref="N481">MAX(IF((ProjectInfoTable[ProjectName]=ContinuousStatsTable[[#This Row],[ProjectName]]),(ProjectInfoTable[ProjectName]=ContinuousStatsTable[[#This Row],[ProjectName]])*ProjectInfoTable[NumberOfReplications]))</f>
        <v>10</v>
      </c>
      <c r="O481" cm="1">
        <f t="array" ref="O481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81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0</v>
      </c>
      <c r="Q481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1" cm="1">
        <f t="array" ref="S481">MIN(IF((ContinuousStatsTable[GroupByKey]=ContinuousStatsTable[[#This Row],[GroupByKey]]),(ContinuousStatsTable[GroupByKey]=ContinuousStatsTable[[#This Row],[GroupByKey]])*ContinuousStatsTable[Average]))</f>
        <v>0.476190476190476</v>
      </c>
      <c r="T481" cm="1">
        <f t="array" ref="T481">MAX(IF((ContinuousStatsTable[GroupByKey]=ContinuousStatsTable[[#This Row],[GroupByKey]]),(ContinuousStatsTable[GroupByKey]=ContinuousStatsTable[[#This Row],[GroupByKey]])*ContinuousStatsTable[Average]))</f>
        <v>0.476190476190476</v>
      </c>
      <c r="U481">
        <f>IF((ContinuousStatsTable[[#This Row],[RepsRequested]]&gt;1),ContinuousStatsTable[[#This Row],[HalfWidth]],ContinuousStatsTable[[#This Row],[BatchMeansHalfWidth]])</f>
        <v>0</v>
      </c>
    </row>
    <row r="482" spans="1:21" x14ac:dyDescent="0.25">
      <c r="A482" t="s">
        <v>67</v>
      </c>
      <c r="B482" t="s">
        <v>243</v>
      </c>
      <c r="C482">
        <v>6</v>
      </c>
      <c r="D482" t="s">
        <v>136</v>
      </c>
      <c r="E482" t="s">
        <v>112</v>
      </c>
      <c r="F482" t="s">
        <v>113</v>
      </c>
      <c r="G482">
        <v>0.29875871666100801</v>
      </c>
      <c r="H482">
        <v>3E+20</v>
      </c>
      <c r="I482">
        <v>0</v>
      </c>
      <c r="J482">
        <v>1</v>
      </c>
      <c r="K482">
        <v>0</v>
      </c>
      <c r="L482">
        <v>0</v>
      </c>
      <c r="M482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482" cm="1">
        <f t="array" ref="N482">MAX(IF((ProjectInfoTable[ProjectName]=ContinuousStatsTable[[#This Row],[ProjectName]]),(ProjectInfoTable[ProjectName]=ContinuousStatsTable[[#This Row],[ProjectName]])*ProjectInfoTable[NumberOfReplications]))</f>
        <v>10</v>
      </c>
      <c r="O482" cm="1">
        <f t="array" ref="O482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482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482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482" cm="1">
        <f t="array" ref="S482">MIN(IF((ContinuousStatsTable[GroupByKey]=ContinuousStatsTable[[#This Row],[GroupByKey]]),(ContinuousStatsTable[GroupByKey]=ContinuousStatsTable[[#This Row],[GroupByKey]])*ContinuousStatsTable[Average]))</f>
        <v>0.29842379685970999</v>
      </c>
      <c r="T482" cm="1">
        <f t="array" ref="T482">MAX(IF((ContinuousStatsTable[GroupByKey]=ContinuousStatsTable[[#This Row],[GroupByKey]]),(ContinuousStatsTable[GroupByKey]=ContinuousStatsTable[[#This Row],[GroupByKey]])*ContinuousStatsTable[Average]))</f>
        <v>0.29970100107953501</v>
      </c>
      <c r="U482">
        <f>IF((ContinuousStatsTable[[#This Row],[RepsRequested]]&gt;1),ContinuousStatsTable[[#This Row],[HalfWidth]],ContinuousStatsTable[[#This Row],[BatchMeansHalfWidth]])</f>
        <v>2.6450685793468105E-4</v>
      </c>
    </row>
    <row r="483" spans="1:21" x14ac:dyDescent="0.25">
      <c r="A483" t="s">
        <v>67</v>
      </c>
      <c r="B483" t="s">
        <v>243</v>
      </c>
      <c r="C483">
        <v>6</v>
      </c>
      <c r="D483" t="s">
        <v>136</v>
      </c>
      <c r="E483" t="s">
        <v>114</v>
      </c>
      <c r="F483" t="s">
        <v>113</v>
      </c>
      <c r="G483">
        <v>0.29875871666100801</v>
      </c>
      <c r="H483">
        <v>3E+20</v>
      </c>
      <c r="I483">
        <v>0</v>
      </c>
      <c r="J483">
        <v>1</v>
      </c>
      <c r="K483">
        <v>0</v>
      </c>
      <c r="L483">
        <v>0</v>
      </c>
      <c r="M483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483" cm="1">
        <f t="array" ref="N483">MAX(IF((ProjectInfoTable[ProjectName]=ContinuousStatsTable[[#This Row],[ProjectName]]),(ProjectInfoTable[ProjectName]=ContinuousStatsTable[[#This Row],[ProjectName]])*ProjectInfoTable[NumberOfReplications]))</f>
        <v>10</v>
      </c>
      <c r="O483" cm="1">
        <f t="array" ref="O483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483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483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483" cm="1">
        <f t="array" ref="S483">MIN(IF((ContinuousStatsTable[GroupByKey]=ContinuousStatsTable[[#This Row],[GroupByKey]]),(ContinuousStatsTable[GroupByKey]=ContinuousStatsTable[[#This Row],[GroupByKey]])*ContinuousStatsTable[Average]))</f>
        <v>0.29842379685970999</v>
      </c>
      <c r="T483" cm="1">
        <f t="array" ref="T483">MAX(IF((ContinuousStatsTable[GroupByKey]=ContinuousStatsTable[[#This Row],[GroupByKey]]),(ContinuousStatsTable[GroupByKey]=ContinuousStatsTable[[#This Row],[GroupByKey]])*ContinuousStatsTable[Average]))</f>
        <v>0.29970100107953501</v>
      </c>
      <c r="U483">
        <f>IF((ContinuousStatsTable[[#This Row],[RepsRequested]]&gt;1),ContinuousStatsTable[[#This Row],[HalfWidth]],ContinuousStatsTable[[#This Row],[BatchMeansHalfWidth]])</f>
        <v>2.6450685793468105E-4</v>
      </c>
    </row>
    <row r="484" spans="1:21" x14ac:dyDescent="0.25">
      <c r="A484" t="s">
        <v>67</v>
      </c>
      <c r="B484" t="s">
        <v>243</v>
      </c>
      <c r="C484">
        <v>6</v>
      </c>
      <c r="D484" t="s">
        <v>136</v>
      </c>
      <c r="E484" t="s">
        <v>115</v>
      </c>
      <c r="F484" t="s">
        <v>113</v>
      </c>
      <c r="G484">
        <v>0.476190476190476</v>
      </c>
      <c r="H484">
        <v>2E+20</v>
      </c>
      <c r="I484">
        <v>0</v>
      </c>
      <c r="J484">
        <v>1</v>
      </c>
      <c r="K484">
        <v>0</v>
      </c>
      <c r="L484">
        <v>0</v>
      </c>
      <c r="M484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484" cm="1">
        <f t="array" ref="N484">MAX(IF((ProjectInfoTable[ProjectName]=ContinuousStatsTable[[#This Row],[ProjectName]]),(ProjectInfoTable[ProjectName]=ContinuousStatsTable[[#This Row],[ProjectName]])*ProjectInfoTable[NumberOfReplications]))</f>
        <v>10</v>
      </c>
      <c r="O484" cm="1">
        <f t="array" ref="O48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84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0</v>
      </c>
      <c r="Q484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4" cm="1">
        <f t="array" ref="S484">MIN(IF((ContinuousStatsTable[GroupByKey]=ContinuousStatsTable[[#This Row],[GroupByKey]]),(ContinuousStatsTable[GroupByKey]=ContinuousStatsTable[[#This Row],[GroupByKey]])*ContinuousStatsTable[Average]))</f>
        <v>0.476190476190476</v>
      </c>
      <c r="T484" cm="1">
        <f t="array" ref="T484">MAX(IF((ContinuousStatsTable[GroupByKey]=ContinuousStatsTable[[#This Row],[GroupByKey]]),(ContinuousStatsTable[GroupByKey]=ContinuousStatsTable[[#This Row],[GroupByKey]])*ContinuousStatsTable[Average]))</f>
        <v>0.476190476190476</v>
      </c>
      <c r="U484">
        <f>IF((ContinuousStatsTable[[#This Row],[RepsRequested]]&gt;1),ContinuousStatsTable[[#This Row],[HalfWidth]],ContinuousStatsTable[[#This Row],[BatchMeansHalfWidth]])</f>
        <v>0</v>
      </c>
    </row>
    <row r="485" spans="1:21" x14ac:dyDescent="0.25">
      <c r="A485" t="s">
        <v>67</v>
      </c>
      <c r="B485" t="s">
        <v>243</v>
      </c>
      <c r="C485">
        <v>6</v>
      </c>
      <c r="D485" t="s">
        <v>137</v>
      </c>
      <c r="E485" t="s">
        <v>112</v>
      </c>
      <c r="F485" t="s">
        <v>113</v>
      </c>
      <c r="G485">
        <v>0.45606279193907701</v>
      </c>
      <c r="H485">
        <v>3E+20</v>
      </c>
      <c r="I485">
        <v>0</v>
      </c>
      <c r="J485">
        <v>1</v>
      </c>
      <c r="K485">
        <v>0</v>
      </c>
      <c r="L485">
        <v>0</v>
      </c>
      <c r="M485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485" cm="1">
        <f t="array" ref="N485">MAX(IF((ProjectInfoTable[ProjectName]=ContinuousStatsTable[[#This Row],[ProjectName]]),(ProjectInfoTable[ProjectName]=ContinuousStatsTable[[#This Row],[ProjectName]])*ProjectInfoTable[NumberOfReplications]))</f>
        <v>10</v>
      </c>
      <c r="O485" cm="1">
        <f t="array" ref="O485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48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48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485" cm="1">
        <f t="array" ref="S485">MIN(IF((ContinuousStatsTable[GroupByKey]=ContinuousStatsTable[[#This Row],[GroupByKey]]),(ContinuousStatsTable[GroupByKey]=ContinuousStatsTable[[#This Row],[GroupByKey]])*ContinuousStatsTable[Average]))</f>
        <v>0.45550004981449399</v>
      </c>
      <c r="T485" cm="1">
        <f t="array" ref="T485">MAX(IF((ContinuousStatsTable[GroupByKey]=ContinuousStatsTable[[#This Row],[GroupByKey]]),(ContinuousStatsTable[GroupByKey]=ContinuousStatsTable[[#This Row],[GroupByKey]])*ContinuousStatsTable[Average]))</f>
        <v>0.45652258337600798</v>
      </c>
      <c r="U485">
        <f>IF((ContinuousStatsTable[[#This Row],[RepsRequested]]&gt;1),ContinuousStatsTable[[#This Row],[HalfWidth]],ContinuousStatsTable[[#This Row],[BatchMeansHalfWidth]])</f>
        <v>2.4108493326261801E-4</v>
      </c>
    </row>
    <row r="486" spans="1:21" x14ac:dyDescent="0.25">
      <c r="A486" t="s">
        <v>67</v>
      </c>
      <c r="B486" t="s">
        <v>243</v>
      </c>
      <c r="C486">
        <v>6</v>
      </c>
      <c r="D486" t="s">
        <v>137</v>
      </c>
      <c r="E486" t="s">
        <v>114</v>
      </c>
      <c r="F486" t="s">
        <v>113</v>
      </c>
      <c r="G486">
        <v>0.45606279193907701</v>
      </c>
      <c r="H486">
        <v>3E+20</v>
      </c>
      <c r="I486">
        <v>0</v>
      </c>
      <c r="J486">
        <v>1</v>
      </c>
      <c r="K486">
        <v>0</v>
      </c>
      <c r="L486">
        <v>0</v>
      </c>
      <c r="M486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486" cm="1">
        <f t="array" ref="N486">MAX(IF((ProjectInfoTable[ProjectName]=ContinuousStatsTable[[#This Row],[ProjectName]]),(ProjectInfoTable[ProjectName]=ContinuousStatsTable[[#This Row],[ProjectName]])*ProjectInfoTable[NumberOfReplications]))</f>
        <v>10</v>
      </c>
      <c r="O486" cm="1">
        <f t="array" ref="O486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486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486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486" cm="1">
        <f t="array" ref="S486">MIN(IF((ContinuousStatsTable[GroupByKey]=ContinuousStatsTable[[#This Row],[GroupByKey]]),(ContinuousStatsTable[GroupByKey]=ContinuousStatsTable[[#This Row],[GroupByKey]])*ContinuousStatsTable[Average]))</f>
        <v>0.45550004981449399</v>
      </c>
      <c r="T486" cm="1">
        <f t="array" ref="T486">MAX(IF((ContinuousStatsTable[GroupByKey]=ContinuousStatsTable[[#This Row],[GroupByKey]]),(ContinuousStatsTable[GroupByKey]=ContinuousStatsTable[[#This Row],[GroupByKey]])*ContinuousStatsTable[Average]))</f>
        <v>0.45652258337600798</v>
      </c>
      <c r="U486">
        <f>IF((ContinuousStatsTable[[#This Row],[RepsRequested]]&gt;1),ContinuousStatsTable[[#This Row],[HalfWidth]],ContinuousStatsTable[[#This Row],[BatchMeansHalfWidth]])</f>
        <v>2.4108493326261801E-4</v>
      </c>
    </row>
    <row r="487" spans="1:21" x14ac:dyDescent="0.25">
      <c r="A487" t="s">
        <v>67</v>
      </c>
      <c r="B487" t="s">
        <v>243</v>
      </c>
      <c r="C487">
        <v>6</v>
      </c>
      <c r="D487" t="s">
        <v>137</v>
      </c>
      <c r="E487" t="s">
        <v>115</v>
      </c>
      <c r="F487" t="s">
        <v>113</v>
      </c>
      <c r="G487">
        <v>0.476190476190476</v>
      </c>
      <c r="H487">
        <v>2E+20</v>
      </c>
      <c r="I487">
        <v>0</v>
      </c>
      <c r="J487">
        <v>1</v>
      </c>
      <c r="K487">
        <v>0</v>
      </c>
      <c r="L487">
        <v>0</v>
      </c>
      <c r="M487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487" cm="1">
        <f t="array" ref="N487">MAX(IF((ProjectInfoTable[ProjectName]=ContinuousStatsTable[[#This Row],[ProjectName]]),(ProjectInfoTable[ProjectName]=ContinuousStatsTable[[#This Row],[ProjectName]])*ProjectInfoTable[NumberOfReplications]))</f>
        <v>10</v>
      </c>
      <c r="O487" cm="1">
        <f t="array" ref="O487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87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cm="1">
        <f t="array" ref="S487">MIN(IF((ContinuousStatsTable[GroupByKey]=ContinuousStatsTable[[#This Row],[GroupByKey]]),(ContinuousStatsTable[GroupByKey]=ContinuousStatsTable[[#This Row],[GroupByKey]])*ContinuousStatsTable[Average]))</f>
        <v>0.476190476190476</v>
      </c>
      <c r="T487" cm="1">
        <f t="array" ref="T487">MAX(IF((ContinuousStatsTable[GroupByKey]=ContinuousStatsTable[[#This Row],[GroupByKey]]),(ContinuousStatsTable[GroupByKey]=ContinuousStatsTable[[#This Row],[GroupByKey]])*ContinuousStatsTable[Average]))</f>
        <v>0.476190476190476</v>
      </c>
      <c r="U487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67</v>
      </c>
      <c r="B488" t="s">
        <v>243</v>
      </c>
      <c r="C488">
        <v>6</v>
      </c>
      <c r="D488" t="s">
        <v>138</v>
      </c>
      <c r="E488" t="s">
        <v>112</v>
      </c>
      <c r="F488" t="s">
        <v>113</v>
      </c>
      <c r="G488">
        <v>0.47640546473976197</v>
      </c>
      <c r="H488">
        <v>2E+20</v>
      </c>
      <c r="I488">
        <v>0</v>
      </c>
      <c r="J488">
        <v>1</v>
      </c>
      <c r="K488">
        <v>0</v>
      </c>
      <c r="L488">
        <v>0</v>
      </c>
      <c r="M488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488" cm="1">
        <f t="array" ref="N488">MAX(IF((ProjectInfoTable[ProjectName]=ContinuousStatsTable[[#This Row],[ProjectName]]),(ProjectInfoTable[ProjectName]=ContinuousStatsTable[[#This Row],[ProjectName]])*ProjectInfoTable[NumberOfReplications]))</f>
        <v>10</v>
      </c>
      <c r="O488" cm="1">
        <f t="array" ref="O488">IFERROR(AVERAGE(IF((ContinuousStatsTable[GroupByKey]=ContinuousStatsTable[[#This Row],[GroupByKey]]),(ContinuousStatsTable[GroupByKey]=ContinuousStatsTable[[#This Row],[GroupByKey]])*ContinuousStatsTable[Average])),0)</f>
        <v>0.47637632373438449</v>
      </c>
      <c r="P488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2.6635978153163645E-5</v>
      </c>
      <c r="Q488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1.9054230919149366E-5</v>
      </c>
      <c r="S488" cm="1">
        <f t="array" ref="S488">MIN(IF((ContinuousStatsTable[GroupByKey]=ContinuousStatsTable[[#This Row],[GroupByKey]]),(ContinuousStatsTable[GroupByKey]=ContinuousStatsTable[[#This Row],[GroupByKey]])*ContinuousStatsTable[Average]))</f>
        <v>0.47633465557050603</v>
      </c>
      <c r="T488" cm="1">
        <f t="array" ref="T488">MAX(IF((ContinuousStatsTable[GroupByKey]=ContinuousStatsTable[[#This Row],[GroupByKey]]),(ContinuousStatsTable[GroupByKey]=ContinuousStatsTable[[#This Row],[GroupByKey]])*ContinuousStatsTable[Average]))</f>
        <v>0.47641329732322302</v>
      </c>
      <c r="U488">
        <f>IF((ContinuousStatsTable[[#This Row],[RepsRequested]]&gt;1),ContinuousStatsTable[[#This Row],[HalfWidth]],ContinuousStatsTable[[#This Row],[BatchMeansHalfWidth]])</f>
        <v>1.9054230919149366E-5</v>
      </c>
    </row>
    <row r="489" spans="1:21" x14ac:dyDescent="0.25">
      <c r="A489" t="s">
        <v>67</v>
      </c>
      <c r="B489" t="s">
        <v>243</v>
      </c>
      <c r="C489">
        <v>6</v>
      </c>
      <c r="D489" t="s">
        <v>138</v>
      </c>
      <c r="E489" t="s">
        <v>114</v>
      </c>
      <c r="F489" t="s">
        <v>113</v>
      </c>
      <c r="G489">
        <v>0.47640546473976197</v>
      </c>
      <c r="H489">
        <v>2E+20</v>
      </c>
      <c r="I489">
        <v>0</v>
      </c>
      <c r="J489">
        <v>1</v>
      </c>
      <c r="K489">
        <v>0</v>
      </c>
      <c r="L489">
        <v>0</v>
      </c>
      <c r="M489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489" cm="1">
        <f t="array" ref="N489">MAX(IF((ProjectInfoTable[ProjectName]=ContinuousStatsTable[[#This Row],[ProjectName]]),(ProjectInfoTable[ProjectName]=ContinuousStatsTable[[#This Row],[ProjectName]])*ProjectInfoTable[NumberOfReplications]))</f>
        <v>10</v>
      </c>
      <c r="O489" cm="1">
        <f t="array" ref="O489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489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489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489" cm="1">
        <f t="array" ref="S489">MIN(IF((ContinuousStatsTable[GroupByKey]=ContinuousStatsTable[[#This Row],[GroupByKey]]),(ContinuousStatsTable[GroupByKey]=ContinuousStatsTable[[#This Row],[GroupByKey]])*ContinuousStatsTable[Average]))</f>
        <v>0.47633465557050603</v>
      </c>
      <c r="T489" cm="1">
        <f t="array" ref="T489">MAX(IF((ContinuousStatsTable[GroupByKey]=ContinuousStatsTable[[#This Row],[GroupByKey]]),(ContinuousStatsTable[GroupByKey]=ContinuousStatsTable[[#This Row],[GroupByKey]])*ContinuousStatsTable[Average]))</f>
        <v>0.47641329732322302</v>
      </c>
      <c r="U489">
        <f>IF((ContinuousStatsTable[[#This Row],[RepsRequested]]&gt;1),ContinuousStatsTable[[#This Row],[HalfWidth]],ContinuousStatsTable[[#This Row],[BatchMeansHalfWidth]])</f>
        <v>1.9054230919217752E-5</v>
      </c>
    </row>
    <row r="490" spans="1:21" x14ac:dyDescent="0.25">
      <c r="A490" t="s">
        <v>67</v>
      </c>
      <c r="B490" t="s">
        <v>243</v>
      </c>
      <c r="C490">
        <v>6</v>
      </c>
      <c r="D490" t="s">
        <v>138</v>
      </c>
      <c r="E490" t="s">
        <v>115</v>
      </c>
      <c r="F490" t="s">
        <v>113</v>
      </c>
      <c r="G490">
        <v>0.476190476190476</v>
      </c>
      <c r="H490">
        <v>2E+20</v>
      </c>
      <c r="I490">
        <v>0</v>
      </c>
      <c r="J490">
        <v>1</v>
      </c>
      <c r="K490">
        <v>0</v>
      </c>
      <c r="L490">
        <v>0</v>
      </c>
      <c r="M490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490" cm="1">
        <f t="array" ref="N490">MAX(IF((ProjectInfoTable[ProjectName]=ContinuousStatsTable[[#This Row],[ProjectName]]),(ProjectInfoTable[ProjectName]=ContinuousStatsTable[[#This Row],[ProjectName]])*ProjectInfoTable[NumberOfReplications]))</f>
        <v>10</v>
      </c>
      <c r="O490" cm="1">
        <f t="array" ref="O490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490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0</v>
      </c>
      <c r="Q490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0" cm="1">
        <f t="array" ref="S490">MIN(IF((ContinuousStatsTable[GroupByKey]=ContinuousStatsTable[[#This Row],[GroupByKey]]),(ContinuousStatsTable[GroupByKey]=ContinuousStatsTable[[#This Row],[GroupByKey]])*ContinuousStatsTable[Average]))</f>
        <v>0.476190476190476</v>
      </c>
      <c r="T490" cm="1">
        <f t="array" ref="T490">MAX(IF((ContinuousStatsTable[GroupByKey]=ContinuousStatsTable[[#This Row],[GroupByKey]]),(ContinuousStatsTable[GroupByKey]=ContinuousStatsTable[[#This Row],[GroupByKey]])*ContinuousStatsTable[Average]))</f>
        <v>0.476190476190476</v>
      </c>
      <c r="U490">
        <f>IF((ContinuousStatsTable[[#This Row],[RepsRequested]]&gt;1),ContinuousStatsTable[[#This Row],[HalfWidth]],ContinuousStatsTable[[#This Row],[BatchMeansHalfWidth]])</f>
        <v>0</v>
      </c>
    </row>
    <row r="491" spans="1:21" x14ac:dyDescent="0.25">
      <c r="A491" t="s">
        <v>67</v>
      </c>
      <c r="B491" t="s">
        <v>243</v>
      </c>
      <c r="C491">
        <v>6</v>
      </c>
      <c r="D491" t="s">
        <v>83</v>
      </c>
      <c r="E491" t="s">
        <v>116</v>
      </c>
      <c r="F491" t="s">
        <v>71</v>
      </c>
      <c r="G491">
        <v>3.4287996770912797E-5</v>
      </c>
      <c r="H491">
        <v>2E+20</v>
      </c>
      <c r="I491">
        <v>0</v>
      </c>
      <c r="J491">
        <v>1</v>
      </c>
      <c r="K491">
        <v>0</v>
      </c>
      <c r="L491">
        <v>0</v>
      </c>
      <c r="M491" t="str">
        <f>ContinuousStatsTable[[#This Row],[ProjectName]]&amp;ContinuousStatsTable[[#This Row],[Name]]&amp;ContinuousStatsTable[[#This Row],[Type]]&amp;ContinuousStatsTable[[#This Row],[Source]]</f>
        <v>Unnamed ProjectMatch 1.Queue1Number WaitingQueue</v>
      </c>
      <c r="N491" cm="1">
        <f t="array" ref="N491">MAX(IF((ProjectInfoTable[ProjectName]=ContinuousStatsTable[[#This Row],[ProjectName]]),(ProjectInfoTable[ProjectName]=ContinuousStatsTable[[#This Row],[ProjectName]])*ProjectInfoTable[NumberOfReplications]))</f>
        <v>10</v>
      </c>
      <c r="O491" cm="1">
        <f t="array" ref="O491">IFERROR(AVERAGE(IF((ContinuousStatsTable[GroupByKey]=ContinuousStatsTable[[#This Row],[GroupByKey]]),(ContinuousStatsTable[GroupByKey]=ContinuousStatsTable[[#This Row],[GroupByKey]])*ContinuousStatsTable[Average])),0)</f>
        <v>2.9170315053456471E-5</v>
      </c>
      <c r="P491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7.7933109083950271E-6</v>
      </c>
      <c r="Q491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5.5749987786968959E-6</v>
      </c>
      <c r="S491" cm="1">
        <f t="array" ref="S491">MIN(IF((ContinuousStatsTable[GroupByKey]=ContinuousStatsTable[[#This Row],[GroupByKey]]),(ContinuousStatsTable[GroupByKey]=ContinuousStatsTable[[#This Row],[GroupByKey]])*ContinuousStatsTable[Average]))</f>
        <v>1.80144253291803E-5</v>
      </c>
      <c r="T491" cm="1">
        <f t="array" ref="T491">MAX(IF((ContinuousStatsTable[GroupByKey]=ContinuousStatsTable[[#This Row],[GroupByKey]]),(ContinuousStatsTable[GroupByKey]=ContinuousStatsTable[[#This Row],[GroupByKey]])*ContinuousStatsTable[Average]))</f>
        <v>4.21406992387485E-5</v>
      </c>
      <c r="U491">
        <f>IF((ContinuousStatsTable[[#This Row],[RepsRequested]]&gt;1),ContinuousStatsTable[[#This Row],[HalfWidth]],ContinuousStatsTable[[#This Row],[BatchMeansHalfWidth]])</f>
        <v>5.5749987786968959E-6</v>
      </c>
    </row>
    <row r="492" spans="1:21" x14ac:dyDescent="0.25">
      <c r="A492" t="s">
        <v>67</v>
      </c>
      <c r="B492" t="s">
        <v>243</v>
      </c>
      <c r="C492">
        <v>6</v>
      </c>
      <c r="D492" t="s">
        <v>84</v>
      </c>
      <c r="E492" t="s">
        <v>116</v>
      </c>
      <c r="F492" t="s">
        <v>71</v>
      </c>
      <c r="G492">
        <v>859.40550198176004</v>
      </c>
      <c r="H492">
        <v>3E+20</v>
      </c>
      <c r="I492">
        <v>0</v>
      </c>
      <c r="J492">
        <v>1665</v>
      </c>
      <c r="K492">
        <v>1665</v>
      </c>
      <c r="L492">
        <v>0</v>
      </c>
      <c r="M492" t="str">
        <f>ContinuousStatsTable[[#This Row],[ProjectName]]&amp;ContinuousStatsTable[[#This Row],[Name]]&amp;ContinuousStatsTable[[#This Row],[Type]]&amp;ContinuousStatsTable[[#This Row],[Source]]</f>
        <v>Unnamed ProjectMatch 1.Queue2Number WaitingQueue</v>
      </c>
      <c r="N492" cm="1">
        <f t="array" ref="N492">MAX(IF((ProjectInfoTable[ProjectName]=ContinuousStatsTable[[#This Row],[ProjectName]]),(ProjectInfoTable[ProjectName]=ContinuousStatsTable[[#This Row],[ProjectName]])*ProjectInfoTable[NumberOfReplications]))</f>
        <v>10</v>
      </c>
      <c r="O492" cm="1">
        <f t="array" ref="O492">IFERROR(AVERAGE(IF((ContinuousStatsTable[GroupByKey]=ContinuousStatsTable[[#This Row],[GroupByKey]]),(ContinuousStatsTable[GroupByKey]=ContinuousStatsTable[[#This Row],[GroupByKey]])*ContinuousStatsTable[Average])),0)</f>
        <v>867.85098767897125</v>
      </c>
      <c r="P492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5.9823523640247513</v>
      </c>
      <c r="Q492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4.2795170775550373</v>
      </c>
      <c r="S492" cm="1">
        <f t="array" ref="S492">MIN(IF((ContinuousStatsTable[GroupByKey]=ContinuousStatsTable[[#This Row],[GroupByKey]]),(ContinuousStatsTable[GroupByKey]=ContinuousStatsTable[[#This Row],[GroupByKey]])*ContinuousStatsTable[Average]))</f>
        <v>858.49288388840398</v>
      </c>
      <c r="T492" cm="1">
        <f t="array" ref="T492">MAX(IF((ContinuousStatsTable[GroupByKey]=ContinuousStatsTable[[#This Row],[GroupByKey]]),(ContinuousStatsTable[GroupByKey]=ContinuousStatsTable[[#This Row],[GroupByKey]])*ContinuousStatsTable[Average]))</f>
        <v>875.80608811200398</v>
      </c>
      <c r="U492">
        <f>IF((ContinuousStatsTable[[#This Row],[RepsRequested]]&gt;1),ContinuousStatsTable[[#This Row],[HalfWidth]],ContinuousStatsTable[[#This Row],[BatchMeansHalfWidth]])</f>
        <v>4.2795170775550373</v>
      </c>
    </row>
    <row r="493" spans="1:21" x14ac:dyDescent="0.25">
      <c r="A493" t="s">
        <v>67</v>
      </c>
      <c r="B493" t="s">
        <v>243</v>
      </c>
      <c r="C493">
        <v>6</v>
      </c>
      <c r="D493" t="s">
        <v>85</v>
      </c>
      <c r="E493" t="s">
        <v>116</v>
      </c>
      <c r="F493" t="s">
        <v>71</v>
      </c>
      <c r="G493">
        <v>1366.7566584578401</v>
      </c>
      <c r="H493">
        <v>3E+20</v>
      </c>
      <c r="I493">
        <v>0</v>
      </c>
      <c r="J493">
        <v>2637</v>
      </c>
      <c r="K493">
        <v>2637</v>
      </c>
      <c r="L493">
        <v>0</v>
      </c>
      <c r="M493" t="str">
        <f>ContinuousStatsTable[[#This Row],[ProjectName]]&amp;ContinuousStatsTable[[#This Row],[Name]]&amp;ContinuousStatsTable[[#This Row],[Type]]&amp;ContinuousStatsTable[[#This Row],[Source]]</f>
        <v>Unnamed ProjectMatch 1.Queue3Number WaitingQueue</v>
      </c>
      <c r="N493" cm="1">
        <f t="array" ref="N493">MAX(IF((ProjectInfoTable[ProjectName]=ContinuousStatsTable[[#This Row],[ProjectName]]),(ProjectInfoTable[ProjectName]=ContinuousStatsTable[[#This Row],[ProjectName]])*ProjectInfoTable[NumberOfReplications]))</f>
        <v>10</v>
      </c>
      <c r="O493" cm="1">
        <f t="array" ref="O493">IFERROR(AVERAGE(IF((ContinuousStatsTable[GroupByKey]=ContinuousStatsTable[[#This Row],[GroupByKey]]),(ContinuousStatsTable[GroupByKey]=ContinuousStatsTable[[#This Row],[GroupByKey]])*ContinuousStatsTable[Average])),0)</f>
        <v>1368.6640709815952</v>
      </c>
      <c r="P493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5.3961917051273351</v>
      </c>
      <c r="Q493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3.860203002204456</v>
      </c>
      <c r="S493" cm="1">
        <f t="array" ref="S493">MIN(IF((ContinuousStatsTable[GroupByKey]=ContinuousStatsTable[[#This Row],[GroupByKey]]),(ContinuousStatsTable[GroupByKey]=ContinuousStatsTable[[#This Row],[GroupByKey]])*ContinuousStatsTable[Average]))</f>
        <v>1357.5761788714599</v>
      </c>
      <c r="T493" cm="1">
        <f t="array" ref="T493">MAX(IF((ContinuousStatsTable[GroupByKey]=ContinuousStatsTable[[#This Row],[GroupByKey]]),(ContinuousStatsTable[GroupByKey]=ContinuousStatsTable[[#This Row],[GroupByKey]])*ContinuousStatsTable[Average]))</f>
        <v>1375.17190829069</v>
      </c>
      <c r="U493">
        <f>IF((ContinuousStatsTable[[#This Row],[RepsRequested]]&gt;1),ContinuousStatsTable[[#This Row],[HalfWidth]],ContinuousStatsTable[[#This Row],[BatchMeansHalfWidth]])</f>
        <v>3.860203002204456</v>
      </c>
    </row>
    <row r="494" spans="1:21" x14ac:dyDescent="0.25">
      <c r="A494" t="s">
        <v>67</v>
      </c>
      <c r="B494" t="s">
        <v>243</v>
      </c>
      <c r="C494">
        <v>6</v>
      </c>
      <c r="D494" t="s">
        <v>139</v>
      </c>
      <c r="E494" t="s">
        <v>112</v>
      </c>
      <c r="F494" t="s">
        <v>113</v>
      </c>
      <c r="G494">
        <v>0</v>
      </c>
      <c r="H494">
        <v>2E+20</v>
      </c>
      <c r="I494">
        <v>0</v>
      </c>
      <c r="J494">
        <v>0</v>
      </c>
      <c r="K494">
        <v>0</v>
      </c>
      <c r="L494">
        <v>0</v>
      </c>
      <c r="M494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494" cm="1">
        <f t="array" ref="N494">MAX(IF((ProjectInfoTable[ProjectName]=ContinuousStatsTable[[#This Row],[ProjectName]]),(ProjectInfoTable[ProjectName]=ContinuousStatsTable[[#This Row],[ProjectName]])*ProjectInfoTable[NumberOfReplications]))</f>
        <v>10</v>
      </c>
      <c r="O494" cm="1">
        <f t="array" ref="O494">IFERROR(AVERAGE(IF((ContinuousStatsTable[GroupByKey]=ContinuousStatsTable[[#This Row],[GroupByKey]]),(ContinuousStatsTable[GroupByKey]=ContinuousStatsTable[[#This Row],[GroupByKey]])*ContinuousStatsTable[Average])),0)</f>
        <v>0</v>
      </c>
      <c r="P494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0</v>
      </c>
      <c r="Q494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4" cm="1">
        <f t="array" ref="S494">MIN(IF((ContinuousStatsTable[GroupByKey]=ContinuousStatsTable[[#This Row],[GroupByKey]]),(ContinuousStatsTable[GroupByKey]=ContinuousStatsTable[[#This Row],[GroupByKey]])*ContinuousStatsTable[Average]))</f>
        <v>0</v>
      </c>
      <c r="T494" cm="1">
        <f t="array" ref="T494">MAX(IF((ContinuousStatsTable[GroupByKey]=ContinuousStatsTable[[#This Row],[GroupByKey]]),(ContinuousStatsTable[GroupByKey]=ContinuousStatsTable[[#This Row],[GroupByKey]])*ContinuousStatsTable[Average]))</f>
        <v>0</v>
      </c>
      <c r="U494">
        <f>IF((ContinuousStatsTable[[#This Row],[RepsRequested]]&gt;1),ContinuousStatsTable[[#This Row],[HalfWidth]],ContinuousStatsTable[[#This Row],[BatchMeansHalfWidth]])</f>
        <v>0</v>
      </c>
    </row>
    <row r="495" spans="1:21" x14ac:dyDescent="0.25">
      <c r="A495" t="s">
        <v>67</v>
      </c>
      <c r="B495" t="s">
        <v>243</v>
      </c>
      <c r="C495">
        <v>6</v>
      </c>
      <c r="D495" t="s">
        <v>139</v>
      </c>
      <c r="E495" t="s">
        <v>114</v>
      </c>
      <c r="F495" t="s">
        <v>113</v>
      </c>
      <c r="G495">
        <v>0</v>
      </c>
      <c r="H495">
        <v>2E+20</v>
      </c>
      <c r="I495">
        <v>0</v>
      </c>
      <c r="J495">
        <v>0</v>
      </c>
      <c r="K495">
        <v>0</v>
      </c>
      <c r="L495">
        <v>0</v>
      </c>
      <c r="M495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495" cm="1">
        <f t="array" ref="N495">MAX(IF((ProjectInfoTable[ProjectName]=ContinuousStatsTable[[#This Row],[ProjectName]]),(ProjectInfoTable[ProjectName]=ContinuousStatsTable[[#This Row],[ProjectName]])*ProjectInfoTable[NumberOfReplications]))</f>
        <v>10</v>
      </c>
      <c r="O495" cm="1">
        <f t="array" ref="O495">IFERROR(AVERAGE(IF((ContinuousStatsTable[GroupByKey]=ContinuousStatsTable[[#This Row],[GroupByKey]]),(ContinuousStatsTable[GroupByKey]=ContinuousStatsTable[[#This Row],[GroupByKey]])*ContinuousStatsTable[Average])),0)</f>
        <v>0</v>
      </c>
      <c r="P49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cm="1">
        <f t="array" ref="S495">MIN(IF((ContinuousStatsTable[GroupByKey]=ContinuousStatsTable[[#This Row],[GroupByKey]]),(ContinuousStatsTable[GroupByKey]=ContinuousStatsTable[[#This Row],[GroupByKey]])*ContinuousStatsTable[Average]))</f>
        <v>0</v>
      </c>
      <c r="T495" cm="1">
        <f t="array" ref="T495">MAX(IF((ContinuousStatsTable[GroupByKey]=ContinuousStatsTable[[#This Row],[GroupByKey]]),(ContinuousStatsTable[GroupByKey]=ContinuousStatsTable[[#This Row],[GroupByKey]])*ContinuousStatsTable[Average]))</f>
        <v>0</v>
      </c>
      <c r="U495">
        <f>IF((ContinuousStatsTable[[#This Row],[RepsRequested]]&gt;1),ContinuousStatsTable[[#This Row],[HalfWidth]],ContinuousStatsTable[[#This Row],[BatchMeansHalfWidth]])</f>
        <v>0</v>
      </c>
    </row>
    <row r="496" spans="1:21" x14ac:dyDescent="0.25">
      <c r="A496" t="s">
        <v>67</v>
      </c>
      <c r="B496" t="s">
        <v>243</v>
      </c>
      <c r="C496">
        <v>6</v>
      </c>
      <c r="D496" t="s">
        <v>139</v>
      </c>
      <c r="E496" t="s">
        <v>115</v>
      </c>
      <c r="F496" t="s">
        <v>113</v>
      </c>
      <c r="G496">
        <v>0.26785714285714302</v>
      </c>
      <c r="H496">
        <v>2E+20</v>
      </c>
      <c r="I496">
        <v>0</v>
      </c>
      <c r="J496">
        <v>1</v>
      </c>
      <c r="K496">
        <v>1</v>
      </c>
      <c r="L496">
        <v>0</v>
      </c>
      <c r="M496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496" cm="1">
        <f t="array" ref="N496">MAX(IF((ProjectInfoTable[ProjectName]=ContinuousStatsTable[[#This Row],[ProjectName]]),(ProjectInfoTable[ProjectName]=ContinuousStatsTable[[#This Row],[ProjectName]])*ProjectInfoTable[NumberOfReplications]))</f>
        <v>10</v>
      </c>
      <c r="O496" cm="1">
        <f t="array" ref="O496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496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496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496" cm="1">
        <f t="array" ref="S496">MIN(IF((ContinuousStatsTable[GroupByKey]=ContinuousStatsTable[[#This Row],[GroupByKey]]),(ContinuousStatsTable[GroupByKey]=ContinuousStatsTable[[#This Row],[GroupByKey]])*ContinuousStatsTable[Average]))</f>
        <v>0.26785714285714302</v>
      </c>
      <c r="T496" cm="1">
        <f t="array" ref="T496">MAX(IF((ContinuousStatsTable[GroupByKey]=ContinuousStatsTable[[#This Row],[GroupByKey]]),(ContinuousStatsTable[GroupByKey]=ContinuousStatsTable[[#This Row],[GroupByKey]])*ContinuousStatsTable[Average]))</f>
        <v>0.26785714285714302</v>
      </c>
      <c r="U496">
        <f>IF((ContinuousStatsTable[[#This Row],[RepsRequested]]&gt;1),ContinuousStatsTable[[#This Row],[HalfWidth]],ContinuousStatsTable[[#This Row],[BatchMeansHalfWidth]])</f>
        <v>4.1858316124321422E-17</v>
      </c>
    </row>
    <row r="497" spans="1:21" x14ac:dyDescent="0.25">
      <c r="A497" t="s">
        <v>67</v>
      </c>
      <c r="B497" t="s">
        <v>243</v>
      </c>
      <c r="C497">
        <v>6</v>
      </c>
      <c r="D497" t="s">
        <v>140</v>
      </c>
      <c r="E497" t="s">
        <v>112</v>
      </c>
      <c r="F497" t="s">
        <v>113</v>
      </c>
      <c r="G497">
        <v>9.6666383418524099E-2</v>
      </c>
      <c r="H497">
        <v>2E+20</v>
      </c>
      <c r="I497">
        <v>0</v>
      </c>
      <c r="J497">
        <v>1</v>
      </c>
      <c r="K497">
        <v>0</v>
      </c>
      <c r="L497">
        <v>0</v>
      </c>
      <c r="M497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497" cm="1">
        <f t="array" ref="N497">MAX(IF((ProjectInfoTable[ProjectName]=ContinuousStatsTable[[#This Row],[ProjectName]]),(ProjectInfoTable[ProjectName]=ContinuousStatsTable[[#This Row],[ProjectName]])*ProjectInfoTable[NumberOfReplications]))</f>
        <v>10</v>
      </c>
      <c r="O497" cm="1">
        <f t="array" ref="O497">IFERROR(AVERAGE(IF((ContinuousStatsTable[GroupByKey]=ContinuousStatsTable[[#This Row],[GroupByKey]]),(ContinuousStatsTable[GroupByKey]=ContinuousStatsTable[[#This Row],[GroupByKey]])*ContinuousStatsTable[Average])),0)</f>
        <v>8.7684406282387828E-2</v>
      </c>
      <c r="P497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497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497" cm="1">
        <f t="array" ref="S497">MIN(IF((ContinuousStatsTable[GroupByKey]=ContinuousStatsTable[[#This Row],[GroupByKey]]),(ContinuousStatsTable[GroupByKey]=ContinuousStatsTable[[#This Row],[GroupByKey]])*ContinuousStatsTable[Average]))</f>
        <v>7.2143522330073706E-2</v>
      </c>
      <c r="T497" cm="1">
        <f t="array" ref="T497">MAX(IF((ContinuousStatsTable[GroupByKey]=ContinuousStatsTable[[#This Row],[GroupByKey]]),(ContinuousStatsTable[GroupByKey]=ContinuousStatsTable[[#This Row],[GroupByKey]])*ContinuousStatsTable[Average]))</f>
        <v>0.105326430117076</v>
      </c>
      <c r="U497">
        <f>IF((ContinuousStatsTable[[#This Row],[RepsRequested]]&gt;1),ContinuousStatsTable[[#This Row],[HalfWidth]],ContinuousStatsTable[[#This Row],[BatchMeansHalfWidth]])</f>
        <v>6.7395853500387742E-3</v>
      </c>
    </row>
    <row r="498" spans="1:21" x14ac:dyDescent="0.25">
      <c r="A498" t="s">
        <v>67</v>
      </c>
      <c r="B498" t="s">
        <v>243</v>
      </c>
      <c r="C498">
        <v>6</v>
      </c>
      <c r="D498" t="s">
        <v>140</v>
      </c>
      <c r="E498" t="s">
        <v>114</v>
      </c>
      <c r="F498" t="s">
        <v>113</v>
      </c>
      <c r="G498">
        <v>9.6666383418524099E-2</v>
      </c>
      <c r="H498">
        <v>2E+20</v>
      </c>
      <c r="I498">
        <v>0</v>
      </c>
      <c r="J498">
        <v>1</v>
      </c>
      <c r="K498">
        <v>0</v>
      </c>
      <c r="L498">
        <v>0</v>
      </c>
      <c r="M498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498" cm="1">
        <f t="array" ref="N498">MAX(IF((ProjectInfoTable[ProjectName]=ContinuousStatsTable[[#This Row],[ProjectName]]),(ProjectInfoTable[ProjectName]=ContinuousStatsTable[[#This Row],[ProjectName]])*ProjectInfoTable[NumberOfReplications]))</f>
        <v>10</v>
      </c>
      <c r="O498" cm="1">
        <f t="array" ref="O498">IFERROR(AVERAGE(IF((ContinuousStatsTable[GroupByKey]=ContinuousStatsTable[[#This Row],[GroupByKey]]),(ContinuousStatsTable[GroupByKey]=ContinuousStatsTable[[#This Row],[GroupByKey]])*ContinuousStatsTable[Average])),0)</f>
        <v>8.7684406282387842E-2</v>
      </c>
      <c r="P498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498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498" cm="1">
        <f t="array" ref="S498">MIN(IF((ContinuousStatsTable[GroupByKey]=ContinuousStatsTable[[#This Row],[GroupByKey]]),(ContinuousStatsTable[GroupByKey]=ContinuousStatsTable[[#This Row],[GroupByKey]])*ContinuousStatsTable[Average]))</f>
        <v>7.2143522330073706E-2</v>
      </c>
      <c r="T498" cm="1">
        <f t="array" ref="T498">MAX(IF((ContinuousStatsTable[GroupByKey]=ContinuousStatsTable[[#This Row],[GroupByKey]]),(ContinuousStatsTable[GroupByKey]=ContinuousStatsTable[[#This Row],[GroupByKey]])*ContinuousStatsTable[Average]))</f>
        <v>0.105326430117076</v>
      </c>
      <c r="U498">
        <f>IF((ContinuousStatsTable[[#This Row],[RepsRequested]]&gt;1),ContinuousStatsTable[[#This Row],[HalfWidth]],ContinuousStatsTable[[#This Row],[BatchMeansHalfWidth]])</f>
        <v>6.7395853500387742E-3</v>
      </c>
    </row>
    <row r="499" spans="1:21" x14ac:dyDescent="0.25">
      <c r="A499" t="s">
        <v>67</v>
      </c>
      <c r="B499" t="s">
        <v>243</v>
      </c>
      <c r="C499">
        <v>6</v>
      </c>
      <c r="D499" t="s">
        <v>140</v>
      </c>
      <c r="E499" t="s">
        <v>115</v>
      </c>
      <c r="F499" t="s">
        <v>113</v>
      </c>
      <c r="G499">
        <v>0.26785714285714302</v>
      </c>
      <c r="H499">
        <v>2E+20</v>
      </c>
      <c r="I499">
        <v>0</v>
      </c>
      <c r="J499">
        <v>1</v>
      </c>
      <c r="K499">
        <v>0</v>
      </c>
      <c r="L499">
        <v>0</v>
      </c>
      <c r="M499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499" cm="1">
        <f t="array" ref="N499">MAX(IF((ProjectInfoTable[ProjectName]=ContinuousStatsTable[[#This Row],[ProjectName]]),(ProjectInfoTable[ProjectName]=ContinuousStatsTable[[#This Row],[ProjectName]])*ProjectInfoTable[NumberOfReplications]))</f>
        <v>10</v>
      </c>
      <c r="O499" cm="1">
        <f t="array" ref="O499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499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499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499" cm="1">
        <f t="array" ref="S499">MIN(IF((ContinuousStatsTable[GroupByKey]=ContinuousStatsTable[[#This Row],[GroupByKey]]),(ContinuousStatsTable[GroupByKey]=ContinuousStatsTable[[#This Row],[GroupByKey]])*ContinuousStatsTable[Average]))</f>
        <v>0.26785714285714302</v>
      </c>
      <c r="T499" cm="1">
        <f t="array" ref="T499">MAX(IF((ContinuousStatsTable[GroupByKey]=ContinuousStatsTable[[#This Row],[GroupByKey]]),(ContinuousStatsTable[GroupByKey]=ContinuousStatsTable[[#This Row],[GroupByKey]])*ContinuousStatsTable[Average]))</f>
        <v>0.26785714285714302</v>
      </c>
      <c r="U499">
        <f>IF((ContinuousStatsTable[[#This Row],[RepsRequested]]&gt;1),ContinuousStatsTable[[#This Row],[HalfWidth]],ContinuousStatsTable[[#This Row],[BatchMeansHalfWidth]])</f>
        <v>4.1858316124321422E-17</v>
      </c>
    </row>
    <row r="500" spans="1:21" x14ac:dyDescent="0.25">
      <c r="A500" t="s">
        <v>67</v>
      </c>
      <c r="B500" t="s">
        <v>243</v>
      </c>
      <c r="C500">
        <v>6</v>
      </c>
      <c r="D500" t="s">
        <v>99</v>
      </c>
      <c r="E500" t="s">
        <v>116</v>
      </c>
      <c r="F500" t="s">
        <v>71</v>
      </c>
      <c r="G500">
        <v>86.343557422954405</v>
      </c>
      <c r="H500">
        <v>2E+20</v>
      </c>
      <c r="I500">
        <v>0</v>
      </c>
      <c r="J500">
        <v>171</v>
      </c>
      <c r="K500">
        <v>171</v>
      </c>
      <c r="L500">
        <v>0</v>
      </c>
      <c r="M500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500" cm="1">
        <f t="array" ref="N500">MAX(IF((ProjectInfoTable[ProjectName]=ContinuousStatsTable[[#This Row],[ProjectName]]),(ProjectInfoTable[ProjectName]=ContinuousStatsTable[[#This Row],[ProjectName]])*ProjectInfoTable[NumberOfReplications]))</f>
        <v>10</v>
      </c>
      <c r="O500" cm="1">
        <f t="array" ref="O500">IFERROR(AVERAGE(IF((ContinuousStatsTable[GroupByKey]=ContinuousStatsTable[[#This Row],[GroupByKey]]),(ContinuousStatsTable[GroupByKey]=ContinuousStatsTable[[#This Row],[GroupByKey]])*ContinuousStatsTable[Average])),0)</f>
        <v>83.474789654582125</v>
      </c>
      <c r="P500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6.0930686050573728</v>
      </c>
      <c r="Q500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4.358718705180836</v>
      </c>
      <c r="S500" cm="1">
        <f t="array" ref="S500">MIN(IF((ContinuousStatsTable[GroupByKey]=ContinuousStatsTable[[#This Row],[GroupByKey]]),(ContinuousStatsTable[GroupByKey]=ContinuousStatsTable[[#This Row],[GroupByKey]])*ContinuousStatsTable[Average]))</f>
        <v>72.152998246910798</v>
      </c>
      <c r="T500" cm="1">
        <f t="array" ref="T500">MAX(IF((ContinuousStatsTable[GroupByKey]=ContinuousStatsTable[[#This Row],[GroupByKey]]),(ContinuousStatsTable[GroupByKey]=ContinuousStatsTable[[#This Row],[GroupByKey]])*ContinuousStatsTable[Average]))</f>
        <v>91.653675793565498</v>
      </c>
      <c r="U500">
        <f>IF((ContinuousStatsTable[[#This Row],[RepsRequested]]&gt;1),ContinuousStatsTable[[#This Row],[HalfWidth]],ContinuousStatsTable[[#This Row],[BatchMeansHalfWidth]])</f>
        <v>4.358718705180836</v>
      </c>
    </row>
    <row r="501" spans="1:21" x14ac:dyDescent="0.25">
      <c r="A501" t="s">
        <v>67</v>
      </c>
      <c r="B501" t="s">
        <v>243</v>
      </c>
      <c r="C501">
        <v>6</v>
      </c>
      <c r="D501" t="s">
        <v>100</v>
      </c>
      <c r="E501" t="s">
        <v>116</v>
      </c>
      <c r="F501" t="s">
        <v>71</v>
      </c>
      <c r="G501">
        <v>0.76048175082473701</v>
      </c>
      <c r="H501">
        <v>2E+20</v>
      </c>
      <c r="I501">
        <v>0</v>
      </c>
      <c r="J501">
        <v>2</v>
      </c>
      <c r="K501">
        <v>1</v>
      </c>
      <c r="L501">
        <v>0</v>
      </c>
      <c r="M501" t="str">
        <f>ContinuousStatsTable[[#This Row],[ProjectName]]&amp;ContinuousStatsTable[[#This Row],[Name]]&amp;ContinuousStatsTable[[#This Row],[Type]]&amp;ContinuousStatsTable[[#This Row],[Source]]</f>
        <v>Unnamed ProjectSeize 10.QueueNumber WaitingQueue</v>
      </c>
      <c r="N501" cm="1">
        <f t="array" ref="N501">MAX(IF((ProjectInfoTable[ProjectName]=ContinuousStatsTable[[#This Row],[ProjectName]]),(ProjectInfoTable[ProjectName]=ContinuousStatsTable[[#This Row],[ProjectName]])*ProjectInfoTable[NumberOfReplications]))</f>
        <v>10</v>
      </c>
      <c r="O501" cm="1">
        <f t="array" ref="O501">IFERROR(AVERAGE(IF((ContinuousStatsTable[GroupByKey]=ContinuousStatsTable[[#This Row],[GroupByKey]]),(ContinuousStatsTable[GroupByKey]=ContinuousStatsTable[[#This Row],[GroupByKey]])*ContinuousStatsTable[Average])),0)</f>
        <v>0.77451739131190445</v>
      </c>
      <c r="P501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0.14034110421466847</v>
      </c>
      <c r="Q501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0.10039397809151185</v>
      </c>
      <c r="S501" cm="1">
        <f t="array" ref="S501">MIN(IF((ContinuousStatsTable[GroupByKey]=ContinuousStatsTable[[#This Row],[GroupByKey]]),(ContinuousStatsTable[GroupByKey]=ContinuousStatsTable[[#This Row],[GroupByKey]])*ContinuousStatsTable[Average]))</f>
        <v>0.57599630674201496</v>
      </c>
      <c r="T501" cm="1">
        <f t="array" ref="T501">MAX(IF((ContinuousStatsTable[GroupByKey]=ContinuousStatsTable[[#This Row],[GroupByKey]]),(ContinuousStatsTable[GroupByKey]=ContinuousStatsTable[[#This Row],[GroupByKey]])*ContinuousStatsTable[Average]))</f>
        <v>0.944128153448903</v>
      </c>
      <c r="U501">
        <f>IF((ContinuousStatsTable[[#This Row],[RepsRequested]]&gt;1),ContinuousStatsTable[[#This Row],[HalfWidth]],ContinuousStatsTable[[#This Row],[BatchMeansHalfWidth]])</f>
        <v>0.10039397809151185</v>
      </c>
    </row>
    <row r="502" spans="1:21" x14ac:dyDescent="0.25">
      <c r="A502" t="s">
        <v>67</v>
      </c>
      <c r="B502" t="s">
        <v>243</v>
      </c>
      <c r="C502">
        <v>6</v>
      </c>
      <c r="D502" t="s">
        <v>101</v>
      </c>
      <c r="E502" t="s">
        <v>116</v>
      </c>
      <c r="F502" t="s">
        <v>71</v>
      </c>
      <c r="G502">
        <v>20.936706692137101</v>
      </c>
      <c r="H502">
        <v>2E+20</v>
      </c>
      <c r="I502">
        <v>0</v>
      </c>
      <c r="J502">
        <v>124</v>
      </c>
      <c r="K502">
        <v>0</v>
      </c>
      <c r="L502">
        <v>0</v>
      </c>
      <c r="M502" t="str">
        <f>ContinuousStatsTable[[#This Row],[ProjectName]]&amp;ContinuousStatsTable[[#This Row],[Name]]&amp;ContinuousStatsTable[[#This Row],[Type]]&amp;ContinuousStatsTable[[#This Row],[Source]]</f>
        <v>Unnamed ProjectSeize 11.QueueNumber WaitingQueue</v>
      </c>
      <c r="N502" cm="1">
        <f t="array" ref="N502">MAX(IF((ProjectInfoTable[ProjectName]=ContinuousStatsTable[[#This Row],[ProjectName]]),(ProjectInfoTable[ProjectName]=ContinuousStatsTable[[#This Row],[ProjectName]])*ProjectInfoTable[NumberOfReplications]))</f>
        <v>10</v>
      </c>
      <c r="O502" cm="1">
        <f t="array" ref="O502">IFERROR(AVERAGE(IF((ContinuousStatsTable[GroupByKey]=ContinuousStatsTable[[#This Row],[GroupByKey]]),(ContinuousStatsTable[GroupByKey]=ContinuousStatsTable[[#This Row],[GroupByKey]])*ContinuousStatsTable[Average])),0)</f>
        <v>17.495844600024782</v>
      </c>
      <c r="P502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4.1567315260337745</v>
      </c>
      <c r="Q502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2.9735466034142406</v>
      </c>
      <c r="S502" cm="1">
        <f t="array" ref="S502">MIN(IF((ContinuousStatsTable[GroupByKey]=ContinuousStatsTable[[#This Row],[GroupByKey]]),(ContinuousStatsTable[GroupByKey]=ContinuousStatsTable[[#This Row],[GroupByKey]])*ContinuousStatsTable[Average]))</f>
        <v>10.770319236854199</v>
      </c>
      <c r="T502" cm="1">
        <f t="array" ref="T502">MAX(IF((ContinuousStatsTable[GroupByKey]=ContinuousStatsTable[[#This Row],[GroupByKey]]),(ContinuousStatsTable[GroupByKey]=ContinuousStatsTable[[#This Row],[GroupByKey]])*ContinuousStatsTable[Average]))</f>
        <v>25.764658423427701</v>
      </c>
      <c r="U502">
        <f>IF((ContinuousStatsTable[[#This Row],[RepsRequested]]&gt;1),ContinuousStatsTable[[#This Row],[HalfWidth]],ContinuousStatsTable[[#This Row],[BatchMeansHalfWidth]])</f>
        <v>2.9735466034142406</v>
      </c>
    </row>
    <row r="503" spans="1:21" x14ac:dyDescent="0.25">
      <c r="A503" t="s">
        <v>67</v>
      </c>
      <c r="B503" t="s">
        <v>243</v>
      </c>
      <c r="C503">
        <v>6</v>
      </c>
      <c r="D503" t="s">
        <v>102</v>
      </c>
      <c r="E503" t="s">
        <v>116</v>
      </c>
      <c r="F503" t="s">
        <v>71</v>
      </c>
      <c r="G503">
        <v>1.5938052921300001</v>
      </c>
      <c r="H503">
        <v>3E+20</v>
      </c>
      <c r="I503">
        <v>0</v>
      </c>
      <c r="J503">
        <v>4</v>
      </c>
      <c r="K503">
        <v>4</v>
      </c>
      <c r="L503">
        <v>0</v>
      </c>
      <c r="M503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503" cm="1">
        <f t="array" ref="N503">MAX(IF((ProjectInfoTable[ProjectName]=ContinuousStatsTable[[#This Row],[ProjectName]]),(ProjectInfoTable[ProjectName]=ContinuousStatsTable[[#This Row],[ProjectName]])*ProjectInfoTable[NumberOfReplications]))</f>
        <v>10</v>
      </c>
      <c r="O503" cm="1">
        <f t="array" ref="O503">IFERROR(AVERAGE(IF((ContinuousStatsTable[GroupByKey]=ContinuousStatsTable[[#This Row],[GroupByKey]]),(ContinuousStatsTable[GroupByKey]=ContinuousStatsTable[[#This Row],[GroupByKey]])*ContinuousStatsTable[Average])),0)</f>
        <v>1.2334365850159306</v>
      </c>
      <c r="P503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0.34677877772765942</v>
      </c>
      <c r="Q503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0.24807059349154728</v>
      </c>
      <c r="S503" cm="1">
        <f t="array" ref="S503">MIN(IF((ContinuousStatsTable[GroupByKey]=ContinuousStatsTable[[#This Row],[GroupByKey]]),(ContinuousStatsTable[GroupByKey]=ContinuousStatsTable[[#This Row],[GroupByKey]])*ContinuousStatsTable[Average]))</f>
        <v>0.47601596605360202</v>
      </c>
      <c r="T503" cm="1">
        <f t="array" ref="T503">MAX(IF((ContinuousStatsTable[GroupByKey]=ContinuousStatsTable[[#This Row],[GroupByKey]]),(ContinuousStatsTable[GroupByKey]=ContinuousStatsTable[[#This Row],[GroupByKey]])*ContinuousStatsTable[Average]))</f>
        <v>1.5938052921300001</v>
      </c>
      <c r="U503">
        <f>IF((ContinuousStatsTable[[#This Row],[RepsRequested]]&gt;1),ContinuousStatsTable[[#This Row],[HalfWidth]],ContinuousStatsTable[[#This Row],[BatchMeansHalfWidth]])</f>
        <v>0.24807059349154728</v>
      </c>
    </row>
    <row r="504" spans="1:21" x14ac:dyDescent="0.25">
      <c r="A504" t="s">
        <v>67</v>
      </c>
      <c r="B504" t="s">
        <v>243</v>
      </c>
      <c r="C504">
        <v>6</v>
      </c>
      <c r="D504" t="s">
        <v>103</v>
      </c>
      <c r="E504" t="s">
        <v>116</v>
      </c>
      <c r="F504" t="s">
        <v>71</v>
      </c>
      <c r="G504">
        <v>6.2560860484483893E-2</v>
      </c>
      <c r="H504">
        <v>2.4067205764103702E-2</v>
      </c>
      <c r="I504">
        <v>0</v>
      </c>
      <c r="J504">
        <v>2</v>
      </c>
      <c r="K504">
        <v>0</v>
      </c>
      <c r="L504">
        <v>0</v>
      </c>
      <c r="M504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504" cm="1">
        <f t="array" ref="N504">MAX(IF((ProjectInfoTable[ProjectName]=ContinuousStatsTable[[#This Row],[ProjectName]]),(ProjectInfoTable[ProjectName]=ContinuousStatsTable[[#This Row],[ProjectName]])*ProjectInfoTable[NumberOfReplications]))</f>
        <v>10</v>
      </c>
      <c r="O504" cm="1">
        <f t="array" ref="O504">IFERROR(AVERAGE(IF((ContinuousStatsTable[GroupByKey]=ContinuousStatsTable[[#This Row],[GroupByKey]]),(ContinuousStatsTable[GroupByKey]=ContinuousStatsTable[[#This Row],[GroupByKey]])*ContinuousStatsTable[Average])),0)</f>
        <v>0.19501309596936622</v>
      </c>
      <c r="P504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0.14771852643081365</v>
      </c>
      <c r="Q504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0.10567146802209269</v>
      </c>
      <c r="S504" cm="1">
        <f t="array" ref="S504">MIN(IF((ContinuousStatsTable[GroupByKey]=ContinuousStatsTable[[#This Row],[GroupByKey]]),(ContinuousStatsTable[GroupByKey]=ContinuousStatsTable[[#This Row],[GroupByKey]])*ContinuousStatsTable[Average]))</f>
        <v>5.2203254973614402E-2</v>
      </c>
      <c r="T504" cm="1">
        <f t="array" ref="T504">MAX(IF((ContinuousStatsTable[GroupByKey]=ContinuousStatsTable[[#This Row],[GroupByKey]]),(ContinuousStatsTable[GroupByKey]=ContinuousStatsTable[[#This Row],[GroupByKey]])*ContinuousStatsTable[Average]))</f>
        <v>0.443638473140476</v>
      </c>
      <c r="U504">
        <f>IF((ContinuousStatsTable[[#This Row],[RepsRequested]]&gt;1),ContinuousStatsTable[[#This Row],[HalfWidth]],ContinuousStatsTable[[#This Row],[BatchMeansHalfWidth]])</f>
        <v>0.10567146802209269</v>
      </c>
    </row>
    <row r="505" spans="1:21" x14ac:dyDescent="0.25">
      <c r="A505" t="s">
        <v>67</v>
      </c>
      <c r="B505" t="s">
        <v>243</v>
      </c>
      <c r="C505">
        <v>6</v>
      </c>
      <c r="D505" t="s">
        <v>104</v>
      </c>
      <c r="E505" t="s">
        <v>116</v>
      </c>
      <c r="F505" t="s">
        <v>71</v>
      </c>
      <c r="G505">
        <v>66.053444809788303</v>
      </c>
      <c r="H505">
        <v>3E+20</v>
      </c>
      <c r="I505">
        <v>0</v>
      </c>
      <c r="J505">
        <v>130</v>
      </c>
      <c r="K505">
        <v>130</v>
      </c>
      <c r="L505">
        <v>0</v>
      </c>
      <c r="M505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505" cm="1">
        <f t="array" ref="N505">MAX(IF((ProjectInfoTable[ProjectName]=ContinuousStatsTable[[#This Row],[ProjectName]]),(ProjectInfoTable[ProjectName]=ContinuousStatsTable[[#This Row],[ProjectName]])*ProjectInfoTable[NumberOfReplications]))</f>
        <v>10</v>
      </c>
      <c r="O505" cm="1">
        <f t="array" ref="O505">IFERROR(AVERAGE(IF((ContinuousStatsTable[GroupByKey]=ContinuousStatsTable[[#This Row],[GroupByKey]]),(ContinuousStatsTable[GroupByKey]=ContinuousStatsTable[[#This Row],[GroupByKey]])*ContinuousStatsTable[Average])),0)</f>
        <v>81.226274902651596</v>
      </c>
      <c r="P50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11.159336682409895</v>
      </c>
      <c r="Q50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7.9829085618136846</v>
      </c>
      <c r="S505" cm="1">
        <f t="array" ref="S505">MIN(IF((ContinuousStatsTable[GroupByKey]=ContinuousStatsTable[[#This Row],[GroupByKey]]),(ContinuousStatsTable[GroupByKey]=ContinuousStatsTable[[#This Row],[GroupByKey]])*ContinuousStatsTable[Average]))</f>
        <v>66.053444809788303</v>
      </c>
      <c r="T505" cm="1">
        <f t="array" ref="T505">MAX(IF((ContinuousStatsTable[GroupByKey]=ContinuousStatsTable[[#This Row],[GroupByKey]]),(ContinuousStatsTable[GroupByKey]=ContinuousStatsTable[[#This Row],[GroupByKey]])*ContinuousStatsTable[Average]))</f>
        <v>100.586340982454</v>
      </c>
      <c r="U505">
        <f>IF((ContinuousStatsTable[[#This Row],[RepsRequested]]&gt;1),ContinuousStatsTable[[#This Row],[HalfWidth]],ContinuousStatsTable[[#This Row],[BatchMeansHalfWidth]])</f>
        <v>7.9829085618136846</v>
      </c>
    </row>
    <row r="506" spans="1:21" x14ac:dyDescent="0.25">
      <c r="A506" t="s">
        <v>67</v>
      </c>
      <c r="B506" t="s">
        <v>243</v>
      </c>
      <c r="C506">
        <v>6</v>
      </c>
      <c r="D506" t="s">
        <v>105</v>
      </c>
      <c r="E506" t="s">
        <v>116</v>
      </c>
      <c r="F506" t="s">
        <v>71</v>
      </c>
      <c r="G506">
        <v>1.45429123043776</v>
      </c>
      <c r="H506">
        <v>3E+20</v>
      </c>
      <c r="I506">
        <v>0</v>
      </c>
      <c r="J506">
        <v>2</v>
      </c>
      <c r="K506">
        <v>2</v>
      </c>
      <c r="L506">
        <v>0</v>
      </c>
      <c r="M506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506" cm="1">
        <f t="array" ref="N506">MAX(IF((ProjectInfoTable[ProjectName]=ContinuousStatsTable[[#This Row],[ProjectName]]),(ProjectInfoTable[ProjectName]=ContinuousStatsTable[[#This Row],[ProjectName]])*ProjectInfoTable[NumberOfReplications]))</f>
        <v>10</v>
      </c>
      <c r="O506" cm="1">
        <f t="array" ref="O506">IFERROR(AVERAGE(IF((ContinuousStatsTable[GroupByKey]=ContinuousStatsTable[[#This Row],[GroupByKey]]),(ContinuousStatsTable[GroupByKey]=ContinuousStatsTable[[#This Row],[GroupByKey]])*ContinuousStatsTable[Average])),0)</f>
        <v>1.3234420699844864</v>
      </c>
      <c r="P506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0.23376145670955006</v>
      </c>
      <c r="Q506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0.1672228724069392</v>
      </c>
      <c r="S506" cm="1">
        <f t="array" ref="S506">MIN(IF((ContinuousStatsTable[GroupByKey]=ContinuousStatsTable[[#This Row],[GroupByKey]]),(ContinuousStatsTable[GroupByKey]=ContinuousStatsTable[[#This Row],[GroupByKey]])*ContinuousStatsTable[Average]))</f>
        <v>0.88257428434366503</v>
      </c>
      <c r="T506" cm="1">
        <f t="array" ref="T506">MAX(IF((ContinuousStatsTable[GroupByKey]=ContinuousStatsTable[[#This Row],[GroupByKey]]),(ContinuousStatsTable[GroupByKey]=ContinuousStatsTable[[#This Row],[GroupByKey]])*ContinuousStatsTable[Average]))</f>
        <v>1.5367801636504701</v>
      </c>
      <c r="U506">
        <f>IF((ContinuousStatsTable[[#This Row],[RepsRequested]]&gt;1),ContinuousStatsTable[[#This Row],[HalfWidth]],ContinuousStatsTable[[#This Row],[BatchMeansHalfWidth]])</f>
        <v>0.1672228724069392</v>
      </c>
    </row>
    <row r="507" spans="1:21" x14ac:dyDescent="0.25">
      <c r="A507" t="s">
        <v>67</v>
      </c>
      <c r="B507" t="s">
        <v>243</v>
      </c>
      <c r="C507">
        <v>6</v>
      </c>
      <c r="D507" t="s">
        <v>106</v>
      </c>
      <c r="E507" t="s">
        <v>116</v>
      </c>
      <c r="F507" t="s">
        <v>71</v>
      </c>
      <c r="G507">
        <v>3.0458506227607201</v>
      </c>
      <c r="H507">
        <v>3E+20</v>
      </c>
      <c r="I507">
        <v>0</v>
      </c>
      <c r="J507">
        <v>5</v>
      </c>
      <c r="K507">
        <v>1</v>
      </c>
      <c r="L507">
        <v>0</v>
      </c>
      <c r="M507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507" cm="1">
        <f t="array" ref="N507">MAX(IF((ProjectInfoTable[ProjectName]=ContinuousStatsTable[[#This Row],[ProjectName]]),(ProjectInfoTable[ProjectName]=ContinuousStatsTable[[#This Row],[ProjectName]])*ProjectInfoTable[NumberOfReplications]))</f>
        <v>10</v>
      </c>
      <c r="O507" cm="1">
        <f t="array" ref="O507">IFERROR(AVERAGE(IF((ContinuousStatsTable[GroupByKey]=ContinuousStatsTable[[#This Row],[GroupByKey]]),(ContinuousStatsTable[GroupByKey]=ContinuousStatsTable[[#This Row],[GroupByKey]])*ContinuousStatsTable[Average])),0)</f>
        <v>3.295350976306183</v>
      </c>
      <c r="P507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0.30652142094800816</v>
      </c>
      <c r="Q507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0.21927221530309879</v>
      </c>
      <c r="S507" cm="1">
        <f t="array" ref="S507">MIN(IF((ContinuousStatsTable[GroupByKey]=ContinuousStatsTable[[#This Row],[GroupByKey]]),(ContinuousStatsTable[GroupByKey]=ContinuousStatsTable[[#This Row],[GroupByKey]])*ContinuousStatsTable[Average]))</f>
        <v>2.9443042052265702</v>
      </c>
      <c r="T507" cm="1">
        <f t="array" ref="T507">MAX(IF((ContinuousStatsTable[GroupByKey]=ContinuousStatsTable[[#This Row],[GroupByKey]]),(ContinuousStatsTable[GroupByKey]=ContinuousStatsTable[[#This Row],[GroupByKey]])*ContinuousStatsTable[Average]))</f>
        <v>3.9785130958891202</v>
      </c>
      <c r="U507">
        <f>IF((ContinuousStatsTable[[#This Row],[RepsRequested]]&gt;1),ContinuousStatsTable[[#This Row],[HalfWidth]],ContinuousStatsTable[[#This Row],[BatchMeansHalfWidth]])</f>
        <v>0.21927221530309879</v>
      </c>
    </row>
    <row r="508" spans="1:21" x14ac:dyDescent="0.25">
      <c r="A508" t="s">
        <v>67</v>
      </c>
      <c r="B508" t="s">
        <v>243</v>
      </c>
      <c r="C508">
        <v>6</v>
      </c>
      <c r="D508" t="s">
        <v>107</v>
      </c>
      <c r="E508" t="s">
        <v>116</v>
      </c>
      <c r="F508" t="s">
        <v>71</v>
      </c>
      <c r="G508">
        <v>1.30710692180494</v>
      </c>
      <c r="H508">
        <v>2E+20</v>
      </c>
      <c r="I508">
        <v>0</v>
      </c>
      <c r="J508">
        <v>4</v>
      </c>
      <c r="K508">
        <v>4</v>
      </c>
      <c r="L508">
        <v>0</v>
      </c>
      <c r="M508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508" cm="1">
        <f t="array" ref="N508">MAX(IF((ProjectInfoTable[ProjectName]=ContinuousStatsTable[[#This Row],[ProjectName]]),(ProjectInfoTable[ProjectName]=ContinuousStatsTable[[#This Row],[ProjectName]])*ProjectInfoTable[NumberOfReplications]))</f>
        <v>10</v>
      </c>
      <c r="O508" cm="1">
        <f t="array" ref="O508">IFERROR(AVERAGE(IF((ContinuousStatsTable[GroupByKey]=ContinuousStatsTable[[#This Row],[GroupByKey]]),(ContinuousStatsTable[GroupByKey]=ContinuousStatsTable[[#This Row],[GroupByKey]])*ContinuousStatsTable[Average])),0)</f>
        <v>1.4832039737284362</v>
      </c>
      <c r="P508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0.28170250043427397</v>
      </c>
      <c r="Q508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0.20151782911486205</v>
      </c>
      <c r="S508" cm="1">
        <f t="array" ref="S508">MIN(IF((ContinuousStatsTable[GroupByKey]=ContinuousStatsTable[[#This Row],[GroupByKey]]),(ContinuousStatsTable[GroupByKey]=ContinuousStatsTable[[#This Row],[GroupByKey]])*ContinuousStatsTable[Average]))</f>
        <v>0.850065833369271</v>
      </c>
      <c r="T508" cm="1">
        <f t="array" ref="T508">MAX(IF((ContinuousStatsTable[GroupByKey]=ContinuousStatsTable[[#This Row],[GroupByKey]]),(ContinuousStatsTable[GroupByKey]=ContinuousStatsTable[[#This Row],[GroupByKey]])*ContinuousStatsTable[Average]))</f>
        <v>1.78320590856036</v>
      </c>
      <c r="U508">
        <f>IF((ContinuousStatsTable[[#This Row],[RepsRequested]]&gt;1),ContinuousStatsTable[[#This Row],[HalfWidth]],ContinuousStatsTable[[#This Row],[BatchMeansHalfWidth]])</f>
        <v>0.20151782911486205</v>
      </c>
    </row>
    <row r="509" spans="1:21" x14ac:dyDescent="0.25">
      <c r="A509" t="s">
        <v>67</v>
      </c>
      <c r="B509" t="s">
        <v>243</v>
      </c>
      <c r="C509">
        <v>6</v>
      </c>
      <c r="D509" t="s">
        <v>108</v>
      </c>
      <c r="E509" t="s">
        <v>116</v>
      </c>
      <c r="F509" t="s">
        <v>71</v>
      </c>
      <c r="G509">
        <v>86.279096662724896</v>
      </c>
      <c r="H509">
        <v>3E+20</v>
      </c>
      <c r="I509">
        <v>0</v>
      </c>
      <c r="J509">
        <v>165</v>
      </c>
      <c r="K509">
        <v>165</v>
      </c>
      <c r="L509">
        <v>0</v>
      </c>
      <c r="M509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509" cm="1">
        <f t="array" ref="N509">MAX(IF((ProjectInfoTable[ProjectName]=ContinuousStatsTable[[#This Row],[ProjectName]]),(ProjectInfoTable[ProjectName]=ContinuousStatsTable[[#This Row],[ProjectName]])*ProjectInfoTable[NumberOfReplications]))</f>
        <v>10</v>
      </c>
      <c r="O509" cm="1">
        <f t="array" ref="O509">IFERROR(AVERAGE(IF((ContinuousStatsTable[GroupByKey]=ContinuousStatsTable[[#This Row],[GroupByKey]]),(ContinuousStatsTable[GroupByKey]=ContinuousStatsTable[[#This Row],[GroupByKey]])*ContinuousStatsTable[Average])),0)</f>
        <v>84.673313986400757</v>
      </c>
      <c r="P509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6.3050274623130749</v>
      </c>
      <c r="Q509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4.5103449375003528</v>
      </c>
      <c r="S509" cm="1">
        <f t="array" ref="S509">MIN(IF((ContinuousStatsTable[GroupByKey]=ContinuousStatsTable[[#This Row],[GroupByKey]]),(ContinuousStatsTable[GroupByKey]=ContinuousStatsTable[[#This Row],[GroupByKey]])*ContinuousStatsTable[Average]))</f>
        <v>72.004631303705096</v>
      </c>
      <c r="T509" cm="1">
        <f t="array" ref="T509">MAX(IF((ContinuousStatsTable[GroupByKey]=ContinuousStatsTable[[#This Row],[GroupByKey]]),(ContinuousStatsTable[GroupByKey]=ContinuousStatsTable[[#This Row],[GroupByKey]])*ContinuousStatsTable[Average]))</f>
        <v>94.488584180465494</v>
      </c>
      <c r="U509">
        <f>IF((ContinuousStatsTable[[#This Row],[RepsRequested]]&gt;1),ContinuousStatsTable[[#This Row],[HalfWidth]],ContinuousStatsTable[[#This Row],[BatchMeansHalfWidth]])</f>
        <v>4.5103449375003528</v>
      </c>
    </row>
    <row r="510" spans="1:21" x14ac:dyDescent="0.25">
      <c r="A510" t="s">
        <v>67</v>
      </c>
      <c r="B510" t="s">
        <v>243</v>
      </c>
      <c r="C510">
        <v>6</v>
      </c>
      <c r="D510" t="s">
        <v>109</v>
      </c>
      <c r="E510" t="s">
        <v>116</v>
      </c>
      <c r="F510" t="s">
        <v>71</v>
      </c>
      <c r="G510">
        <v>2.3421876650756901</v>
      </c>
      <c r="H510">
        <v>3E+20</v>
      </c>
      <c r="I510">
        <v>0</v>
      </c>
      <c r="J510">
        <v>5</v>
      </c>
      <c r="K510">
        <v>0</v>
      </c>
      <c r="L510">
        <v>0</v>
      </c>
      <c r="M510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510" cm="1">
        <f t="array" ref="N510">MAX(IF((ProjectInfoTable[ProjectName]=ContinuousStatsTable[[#This Row],[ProjectName]]),(ProjectInfoTable[ProjectName]=ContinuousStatsTable[[#This Row],[ProjectName]])*ProjectInfoTable[NumberOfReplications]))</f>
        <v>10</v>
      </c>
      <c r="O510" cm="1">
        <f t="array" ref="O510">IFERROR(AVERAGE(IF((ContinuousStatsTable[GroupByKey]=ContinuousStatsTable[[#This Row],[GroupByKey]]),(ContinuousStatsTable[GroupByKey]=ContinuousStatsTable[[#This Row],[GroupByKey]])*ContinuousStatsTable[Average])),0)</f>
        <v>3.1643006447829118</v>
      </c>
      <c r="P510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0.56709805972033456</v>
      </c>
      <c r="Q510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0.40567751338350572</v>
      </c>
      <c r="S510" cm="1">
        <f t="array" ref="S510">MIN(IF((ContinuousStatsTable[GroupByKey]=ContinuousStatsTable[[#This Row],[GroupByKey]]),(ContinuousStatsTable[GroupByKey]=ContinuousStatsTable[[#This Row],[GroupByKey]])*ContinuousStatsTable[Average]))</f>
        <v>2.1571183231200299</v>
      </c>
      <c r="T510" cm="1">
        <f t="array" ref="T510">MAX(IF((ContinuousStatsTable[GroupByKey]=ContinuousStatsTable[[#This Row],[GroupByKey]]),(ContinuousStatsTable[GroupByKey]=ContinuousStatsTable[[#This Row],[GroupByKey]])*ContinuousStatsTable[Average]))</f>
        <v>3.7448575603137102</v>
      </c>
      <c r="U510">
        <f>IF((ContinuousStatsTable[[#This Row],[RepsRequested]]&gt;1),ContinuousStatsTable[[#This Row],[HalfWidth]],ContinuousStatsTable[[#This Row],[BatchMeansHalfWidth]])</f>
        <v>0.40567751338350572</v>
      </c>
    </row>
    <row r="511" spans="1:21" x14ac:dyDescent="0.25">
      <c r="A511" t="s">
        <v>67</v>
      </c>
      <c r="B511" t="s">
        <v>243</v>
      </c>
      <c r="C511">
        <v>6</v>
      </c>
      <c r="D511" t="s">
        <v>110</v>
      </c>
      <c r="E511" t="s">
        <v>117</v>
      </c>
      <c r="F511" t="s">
        <v>76</v>
      </c>
      <c r="G511">
        <v>2.6726342829056802</v>
      </c>
      <c r="H511">
        <v>3E+20</v>
      </c>
      <c r="I511">
        <v>0</v>
      </c>
      <c r="J511">
        <v>6</v>
      </c>
      <c r="K511">
        <v>6</v>
      </c>
      <c r="L511">
        <v>0</v>
      </c>
      <c r="M511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511" cm="1">
        <f t="array" ref="N511">MAX(IF((ProjectInfoTable[ProjectName]=ContinuousStatsTable[[#This Row],[ProjectName]]),(ProjectInfoTable[ProjectName]=ContinuousStatsTable[[#This Row],[ProjectName]])*ProjectInfoTable[NumberOfReplications]))</f>
        <v>10</v>
      </c>
      <c r="O511" cm="1">
        <f t="array" ref="O511">IFERROR(AVERAGE(IF((ContinuousStatsTable[GroupByKey]=ContinuousStatsTable[[#This Row],[GroupByKey]]),(ContinuousStatsTable[GroupByKey]=ContinuousStatsTable[[#This Row],[GroupByKey]])*ContinuousStatsTable[Average])),0)</f>
        <v>2.7938165767457108</v>
      </c>
      <c r="P511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0.37107770243484822</v>
      </c>
      <c r="Q511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0.26545299708849601</v>
      </c>
      <c r="S511" cm="1">
        <f t="array" ref="S511">MIN(IF((ContinuousStatsTable[GroupByKey]=ContinuousStatsTable[[#This Row],[GroupByKey]]),(ContinuousStatsTable[GroupByKey]=ContinuousStatsTable[[#This Row],[GroupByKey]])*ContinuousStatsTable[Average]))</f>
        <v>2.05988155680273</v>
      </c>
      <c r="T511" cm="1">
        <f t="array" ref="T511">MAX(IF((ContinuousStatsTable[GroupByKey]=ContinuousStatsTable[[#This Row],[GroupByKey]]),(ContinuousStatsTable[GroupByKey]=ContinuousStatsTable[[#This Row],[GroupByKey]])*ContinuousStatsTable[Average]))</f>
        <v>3.2132100714910901</v>
      </c>
      <c r="U511">
        <f>IF((ContinuousStatsTable[[#This Row],[RepsRequested]]&gt;1),ContinuousStatsTable[[#This Row],[HalfWidth]],ContinuousStatsTable[[#This Row],[BatchMeansHalfWidth]])</f>
        <v>0.26545299708849601</v>
      </c>
    </row>
    <row r="512" spans="1:21" x14ac:dyDescent="0.25">
      <c r="A512" t="s">
        <v>67</v>
      </c>
      <c r="B512" t="s">
        <v>243</v>
      </c>
      <c r="C512">
        <v>7</v>
      </c>
      <c r="D512" t="s">
        <v>111</v>
      </c>
      <c r="E512" t="s">
        <v>112</v>
      </c>
      <c r="F512" t="s">
        <v>113</v>
      </c>
      <c r="G512">
        <v>3.6095781315415E-2</v>
      </c>
      <c r="H512">
        <v>3E+20</v>
      </c>
      <c r="I512">
        <v>0</v>
      </c>
      <c r="J512">
        <v>1</v>
      </c>
      <c r="K512">
        <v>0</v>
      </c>
      <c r="L512">
        <v>0</v>
      </c>
      <c r="M512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512" cm="1">
        <f t="array" ref="N512">MAX(IF((ProjectInfoTable[ProjectName]=ContinuousStatsTable[[#This Row],[ProjectName]]),(ProjectInfoTable[ProjectName]=ContinuousStatsTable[[#This Row],[ProjectName]])*ProjectInfoTable[NumberOfReplications]))</f>
        <v>10</v>
      </c>
      <c r="O512" cm="1">
        <f t="array" ref="O512">IFERROR(AVERAGE(IF((ContinuousStatsTable[GroupByKey]=ContinuousStatsTable[[#This Row],[GroupByKey]]),(ContinuousStatsTable[GroupByKey]=ContinuousStatsTable[[#This Row],[GroupByKey]])*ContinuousStatsTable[Average])),0)</f>
        <v>3.6074566243936998E-2</v>
      </c>
      <c r="P512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6.6761681626786623E-5</v>
      </c>
      <c r="Q512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4.7758430005936653E-5</v>
      </c>
      <c r="S512" cm="1">
        <f t="array" ref="S512">MIN(IF((ContinuousStatsTable[GroupByKey]=ContinuousStatsTable[[#This Row],[GroupByKey]]),(ContinuousStatsTable[GroupByKey]=ContinuousStatsTable[[#This Row],[GroupByKey]])*ContinuousStatsTable[Average]))</f>
        <v>3.5941735992799297E-2</v>
      </c>
      <c r="T512" cm="1">
        <f t="array" ref="T512">MAX(IF((ContinuousStatsTable[GroupByKey]=ContinuousStatsTable[[#This Row],[GroupByKey]]),(ContinuousStatsTable[GroupByKey]=ContinuousStatsTable[[#This Row],[GroupByKey]])*ContinuousStatsTable[Average]))</f>
        <v>3.6177689828441002E-2</v>
      </c>
      <c r="U512">
        <f>IF((ContinuousStatsTable[[#This Row],[RepsRequested]]&gt;1),ContinuousStatsTable[[#This Row],[HalfWidth]],ContinuousStatsTable[[#This Row],[BatchMeansHalfWidth]])</f>
        <v>4.7758430005936653E-5</v>
      </c>
    </row>
    <row r="513" spans="1:21" x14ac:dyDescent="0.25">
      <c r="A513" t="s">
        <v>67</v>
      </c>
      <c r="B513" t="s">
        <v>243</v>
      </c>
      <c r="C513">
        <v>7</v>
      </c>
      <c r="D513" t="s">
        <v>111</v>
      </c>
      <c r="E513" t="s">
        <v>114</v>
      </c>
      <c r="F513" t="s">
        <v>113</v>
      </c>
      <c r="G513">
        <v>3.6095781315415E-2</v>
      </c>
      <c r="H513">
        <v>3E+20</v>
      </c>
      <c r="I513">
        <v>0</v>
      </c>
      <c r="J513">
        <v>1</v>
      </c>
      <c r="K513">
        <v>0</v>
      </c>
      <c r="L513">
        <v>0</v>
      </c>
      <c r="M513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513" cm="1">
        <f t="array" ref="N513">MAX(IF((ProjectInfoTable[ProjectName]=ContinuousStatsTable[[#This Row],[ProjectName]]),(ProjectInfoTable[ProjectName]=ContinuousStatsTable[[#This Row],[ProjectName]])*ProjectInfoTable[NumberOfReplications]))</f>
        <v>10</v>
      </c>
      <c r="O513" cm="1">
        <f t="array" ref="O513">IFERROR(AVERAGE(IF((ContinuousStatsTable[GroupByKey]=ContinuousStatsTable[[#This Row],[GroupByKey]]),(ContinuousStatsTable[GroupByKey]=ContinuousStatsTable[[#This Row],[GroupByKey]])*ContinuousStatsTable[Average])),0)</f>
        <v>3.6074566243937005E-2</v>
      </c>
      <c r="P513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6.6761681626785268E-5</v>
      </c>
      <c r="Q513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4.7758430005935684E-5</v>
      </c>
      <c r="S513" cm="1">
        <f t="array" ref="S513">MIN(IF((ContinuousStatsTable[GroupByKey]=ContinuousStatsTable[[#This Row],[GroupByKey]]),(ContinuousStatsTable[GroupByKey]=ContinuousStatsTable[[#This Row],[GroupByKey]])*ContinuousStatsTable[Average]))</f>
        <v>3.5941735992799297E-2</v>
      </c>
      <c r="T513" cm="1">
        <f t="array" ref="T513">MAX(IF((ContinuousStatsTable[GroupByKey]=ContinuousStatsTable[[#This Row],[GroupByKey]]),(ContinuousStatsTable[GroupByKey]=ContinuousStatsTable[[#This Row],[GroupByKey]])*ContinuousStatsTable[Average]))</f>
        <v>3.6177689828441002E-2</v>
      </c>
      <c r="U513">
        <f>IF((ContinuousStatsTable[[#This Row],[RepsRequested]]&gt;1),ContinuousStatsTable[[#This Row],[HalfWidth]],ContinuousStatsTable[[#This Row],[BatchMeansHalfWidth]])</f>
        <v>4.7758430005935684E-5</v>
      </c>
    </row>
    <row r="514" spans="1:21" x14ac:dyDescent="0.25">
      <c r="A514" t="s">
        <v>67</v>
      </c>
      <c r="B514" t="s">
        <v>243</v>
      </c>
      <c r="C514">
        <v>7</v>
      </c>
      <c r="D514" t="s">
        <v>111</v>
      </c>
      <c r="E514" t="s">
        <v>115</v>
      </c>
      <c r="F514" t="s">
        <v>113</v>
      </c>
      <c r="G514">
        <v>0.476190476190476</v>
      </c>
      <c r="H514">
        <v>2E+20</v>
      </c>
      <c r="I514">
        <v>0</v>
      </c>
      <c r="J514">
        <v>1</v>
      </c>
      <c r="K514">
        <v>0</v>
      </c>
      <c r="L514">
        <v>0</v>
      </c>
      <c r="M514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514" cm="1">
        <f t="array" ref="N514">MAX(IF((ProjectInfoTable[ProjectName]=ContinuousStatsTable[[#This Row],[ProjectName]]),(ProjectInfoTable[ProjectName]=ContinuousStatsTable[[#This Row],[ProjectName]])*ProjectInfoTable[NumberOfReplications]))</f>
        <v>10</v>
      </c>
      <c r="O514" cm="1">
        <f t="array" ref="O51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14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cm="1">
        <f t="array" ref="S514">MIN(IF((ContinuousStatsTable[GroupByKey]=ContinuousStatsTable[[#This Row],[GroupByKey]]),(ContinuousStatsTable[GroupByKey]=ContinuousStatsTable[[#This Row],[GroupByKey]])*ContinuousStatsTable[Average]))</f>
        <v>0.476190476190476</v>
      </c>
      <c r="T514" cm="1">
        <f t="array" ref="T514">MAX(IF((ContinuousStatsTable[GroupByKey]=ContinuousStatsTable[[#This Row],[GroupByKey]]),(ContinuousStatsTable[GroupByKey]=ContinuousStatsTable[[#This Row],[GroupByKey]])*ContinuousStatsTable[Average]))</f>
        <v>0.476190476190476</v>
      </c>
      <c r="U514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67</v>
      </c>
      <c r="B515" t="s">
        <v>243</v>
      </c>
      <c r="C515">
        <v>7</v>
      </c>
      <c r="D515" t="s">
        <v>70</v>
      </c>
      <c r="E515" t="s">
        <v>116</v>
      </c>
      <c r="F515" t="s">
        <v>71</v>
      </c>
      <c r="G515">
        <v>2.3267973127516899</v>
      </c>
      <c r="H515">
        <v>3E+20</v>
      </c>
      <c r="I515">
        <v>0</v>
      </c>
      <c r="J515">
        <v>5</v>
      </c>
      <c r="K515">
        <v>4</v>
      </c>
      <c r="L515">
        <v>0</v>
      </c>
      <c r="M515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515" cm="1">
        <f t="array" ref="N515">MAX(IF((ProjectInfoTable[ProjectName]=ContinuousStatsTable[[#This Row],[ProjectName]]),(ProjectInfoTable[ProjectName]=ContinuousStatsTable[[#This Row],[ProjectName]])*ProjectInfoTable[NumberOfReplications]))</f>
        <v>10</v>
      </c>
      <c r="O515" cm="1">
        <f t="array" ref="O515">IFERROR(AVERAGE(IF((ContinuousStatsTable[GroupByKey]=ContinuousStatsTable[[#This Row],[GroupByKey]]),(ContinuousStatsTable[GroupByKey]=ContinuousStatsTable[[#This Row],[GroupByKey]])*ContinuousStatsTable[Average])),0)</f>
        <v>1.983224619189873</v>
      </c>
      <c r="P51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0.29990249131557767</v>
      </c>
      <c r="Q51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0.21453731828040576</v>
      </c>
      <c r="S515" cm="1">
        <f t="array" ref="S515">MIN(IF((ContinuousStatsTable[GroupByKey]=ContinuousStatsTable[[#This Row],[GroupByKey]]),(ContinuousStatsTable[GroupByKey]=ContinuousStatsTable[[#This Row],[GroupByKey]])*ContinuousStatsTable[Average]))</f>
        <v>1.4478959937017499</v>
      </c>
      <c r="T515" cm="1">
        <f t="array" ref="T515">MAX(IF((ContinuousStatsTable[GroupByKey]=ContinuousStatsTable[[#This Row],[GroupByKey]]),(ContinuousStatsTable[GroupByKey]=ContinuousStatsTable[[#This Row],[GroupByKey]])*ContinuousStatsTable[Average]))</f>
        <v>2.3267973127516899</v>
      </c>
      <c r="U515">
        <f>IF((ContinuousStatsTable[[#This Row],[RepsRequested]]&gt;1),ContinuousStatsTable[[#This Row],[HalfWidth]],ContinuousStatsTable[[#This Row],[BatchMeansHalfWidth]])</f>
        <v>0.21453731828040576</v>
      </c>
    </row>
    <row r="516" spans="1:21" x14ac:dyDescent="0.25">
      <c r="A516" t="s">
        <v>67</v>
      </c>
      <c r="B516" t="s">
        <v>243</v>
      </c>
      <c r="C516">
        <v>7</v>
      </c>
      <c r="D516" t="s">
        <v>73</v>
      </c>
      <c r="E516" t="s">
        <v>116</v>
      </c>
      <c r="F516" t="s">
        <v>71</v>
      </c>
      <c r="G516">
        <v>0.43453667932852003</v>
      </c>
      <c r="H516">
        <v>3E+20</v>
      </c>
      <c r="I516">
        <v>0</v>
      </c>
      <c r="J516">
        <v>2</v>
      </c>
      <c r="K516">
        <v>1</v>
      </c>
      <c r="L516">
        <v>0</v>
      </c>
      <c r="M516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516" cm="1">
        <f t="array" ref="N516">MAX(IF((ProjectInfoTable[ProjectName]=ContinuousStatsTable[[#This Row],[ProjectName]]),(ProjectInfoTable[ProjectName]=ContinuousStatsTable[[#This Row],[ProjectName]])*ProjectInfoTable[NumberOfReplications]))</f>
        <v>10</v>
      </c>
      <c r="O516" cm="1">
        <f t="array" ref="O516">IFERROR(AVERAGE(IF((ContinuousStatsTable[GroupByKey]=ContinuousStatsTable[[#This Row],[GroupByKey]]),(ContinuousStatsTable[GroupByKey]=ContinuousStatsTable[[#This Row],[GroupByKey]])*ContinuousStatsTable[Average])),0)</f>
        <v>0.47900820660242172</v>
      </c>
      <c r="P516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0.13717282935395095</v>
      </c>
      <c r="Q516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9.8127530789884315E-2</v>
      </c>
      <c r="S516" cm="1">
        <f t="array" ref="S516">MIN(IF((ContinuousStatsTable[GroupByKey]=ContinuousStatsTable[[#This Row],[GroupByKey]]),(ContinuousStatsTable[GroupByKey]=ContinuousStatsTable[[#This Row],[GroupByKey]])*ContinuousStatsTable[Average]))</f>
        <v>0.25584390949740998</v>
      </c>
      <c r="T516" cm="1">
        <f t="array" ref="T516">MAX(IF((ContinuousStatsTable[GroupByKey]=ContinuousStatsTable[[#This Row],[GroupByKey]]),(ContinuousStatsTable[GroupByKey]=ContinuousStatsTable[[#This Row],[GroupByKey]])*ContinuousStatsTable[Average]))</f>
        <v>0.66613303676888702</v>
      </c>
      <c r="U516">
        <f>IF((ContinuousStatsTable[[#This Row],[RepsRequested]]&gt;1),ContinuousStatsTable[[#This Row],[HalfWidth]],ContinuousStatsTable[[#This Row],[BatchMeansHalfWidth]])</f>
        <v>9.8127530789884315E-2</v>
      </c>
    </row>
    <row r="517" spans="1:21" x14ac:dyDescent="0.25">
      <c r="A517" t="s">
        <v>67</v>
      </c>
      <c r="B517" t="s">
        <v>243</v>
      </c>
      <c r="C517">
        <v>7</v>
      </c>
      <c r="D517" t="s">
        <v>74</v>
      </c>
      <c r="E517" t="s">
        <v>116</v>
      </c>
      <c r="F517" t="s">
        <v>71</v>
      </c>
      <c r="G517">
        <v>0.261885284144113</v>
      </c>
      <c r="H517">
        <v>3E+20</v>
      </c>
      <c r="I517">
        <v>0</v>
      </c>
      <c r="J517">
        <v>2</v>
      </c>
      <c r="K517">
        <v>0</v>
      </c>
      <c r="L517">
        <v>0</v>
      </c>
      <c r="M517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517" cm="1">
        <f t="array" ref="N517">MAX(IF((ProjectInfoTable[ProjectName]=ContinuousStatsTable[[#This Row],[ProjectName]]),(ProjectInfoTable[ProjectName]=ContinuousStatsTable[[#This Row],[ProjectName]])*ProjectInfoTable[NumberOfReplications]))</f>
        <v>10</v>
      </c>
      <c r="O517" cm="1">
        <f t="array" ref="O517">IFERROR(AVERAGE(IF((ContinuousStatsTable[GroupByKey]=ContinuousStatsTable[[#This Row],[GroupByKey]]),(ContinuousStatsTable[GroupByKey]=ContinuousStatsTable[[#This Row],[GroupByKey]])*ContinuousStatsTable[Average])),0)</f>
        <v>0.41775820490048837</v>
      </c>
      <c r="P517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0.15099462697666188</v>
      </c>
      <c r="Q517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0.1080150491722195</v>
      </c>
      <c r="S517" cm="1">
        <f t="array" ref="S517">MIN(IF((ContinuousStatsTable[GroupByKey]=ContinuousStatsTable[[#This Row],[GroupByKey]]),(ContinuousStatsTable[GroupByKey]=ContinuousStatsTable[[#This Row],[GroupByKey]])*ContinuousStatsTable[Average]))</f>
        <v>0.25632285648643699</v>
      </c>
      <c r="T517" cm="1">
        <f t="array" ref="T517">MAX(IF((ContinuousStatsTable[GroupByKey]=ContinuousStatsTable[[#This Row],[GroupByKey]]),(ContinuousStatsTable[GroupByKey]=ContinuousStatsTable[[#This Row],[GroupByKey]])*ContinuousStatsTable[Average]))</f>
        <v>0.68422762922173497</v>
      </c>
      <c r="U517">
        <f>IF((ContinuousStatsTable[[#This Row],[RepsRequested]]&gt;1),ContinuousStatsTable[[#This Row],[HalfWidth]],ContinuousStatsTable[[#This Row],[BatchMeansHalfWidth]])</f>
        <v>0.1080150491722195</v>
      </c>
    </row>
    <row r="518" spans="1:21" x14ac:dyDescent="0.25">
      <c r="A518" t="s">
        <v>67</v>
      </c>
      <c r="B518" t="s">
        <v>243</v>
      </c>
      <c r="C518">
        <v>7</v>
      </c>
      <c r="D518" t="s">
        <v>75</v>
      </c>
      <c r="E518" t="s">
        <v>117</v>
      </c>
      <c r="F518" t="s">
        <v>76</v>
      </c>
      <c r="G518">
        <v>25.8699848535447</v>
      </c>
      <c r="H518">
        <v>2E+20</v>
      </c>
      <c r="I518">
        <v>0</v>
      </c>
      <c r="J518">
        <v>139</v>
      </c>
      <c r="K518">
        <v>0</v>
      </c>
      <c r="L518">
        <v>0</v>
      </c>
      <c r="M518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18" cm="1">
        <f t="array" ref="N518">MAX(IF((ProjectInfoTable[ProjectName]=ContinuousStatsTable[[#This Row],[ProjectName]]),(ProjectInfoTable[ProjectName]=ContinuousStatsTable[[#This Row],[ProjectName]])*ProjectInfoTable[NumberOfReplications]))</f>
        <v>10</v>
      </c>
      <c r="O518" cm="1">
        <f t="array" ref="O518">IFERROR(AVERAGE(IF((ContinuousStatsTable[GroupByKey]=ContinuousStatsTable[[#This Row],[GroupByKey]]),(ContinuousStatsTable[GroupByKey]=ContinuousStatsTable[[#This Row],[GroupByKey]])*ContinuousStatsTable[Average])),0)</f>
        <v>17.583529006307167</v>
      </c>
      <c r="P518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4.1660214616007023</v>
      </c>
      <c r="Q518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2.9801922229780646</v>
      </c>
      <c r="S518" cm="1">
        <f t="array" ref="S518">MIN(IF((ContinuousStatsTable[GroupByKey]=ContinuousStatsTable[[#This Row],[GroupByKey]]),(ContinuousStatsTable[GroupByKey]=ContinuousStatsTable[[#This Row],[GroupByKey]])*ContinuousStatsTable[Average]))</f>
        <v>10.842462759184199</v>
      </c>
      <c r="T518" cm="1">
        <f t="array" ref="T518">MAX(IF((ContinuousStatsTable[GroupByKey]=ContinuousStatsTable[[#This Row],[GroupByKey]]),(ContinuousStatsTable[GroupByKey]=ContinuousStatsTable[[#This Row],[GroupByKey]])*ContinuousStatsTable[Average]))</f>
        <v>25.8699848535447</v>
      </c>
      <c r="U518">
        <f>IF((ContinuousStatsTable[[#This Row],[RepsRequested]]&gt;1),ContinuousStatsTable[[#This Row],[HalfWidth]],ContinuousStatsTable[[#This Row],[BatchMeansHalfWidth]])</f>
        <v>2.9801922229780646</v>
      </c>
    </row>
    <row r="519" spans="1:21" x14ac:dyDescent="0.25">
      <c r="A519" t="s">
        <v>67</v>
      </c>
      <c r="B519" t="s">
        <v>243</v>
      </c>
      <c r="C519">
        <v>7</v>
      </c>
      <c r="D519" t="s">
        <v>118</v>
      </c>
      <c r="E519" t="s">
        <v>117</v>
      </c>
      <c r="F519" t="s">
        <v>76</v>
      </c>
      <c r="G519">
        <v>90.955360870170793</v>
      </c>
      <c r="H519">
        <v>3E+20</v>
      </c>
      <c r="I519">
        <v>0</v>
      </c>
      <c r="J519">
        <v>190</v>
      </c>
      <c r="K519">
        <v>190</v>
      </c>
      <c r="L519">
        <v>0</v>
      </c>
      <c r="M519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19" cm="1">
        <f t="array" ref="N519">MAX(IF((ProjectInfoTable[ProjectName]=ContinuousStatsTable[[#This Row],[ProjectName]]),(ProjectInfoTable[ProjectName]=ContinuousStatsTable[[#This Row],[ProjectName]])*ProjectInfoTable[NumberOfReplications]))</f>
        <v>10</v>
      </c>
      <c r="O519" cm="1">
        <f t="array" ref="O519">IFERROR(AVERAGE(IF((ContinuousStatsTable[GroupByKey]=ContinuousStatsTable[[#This Row],[GroupByKey]]),(ContinuousStatsTable[GroupByKey]=ContinuousStatsTable[[#This Row],[GroupByKey]])*ContinuousStatsTable[Average])),0)</f>
        <v>95.041511376368575</v>
      </c>
      <c r="P519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6.556289254191463</v>
      </c>
      <c r="Q519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4.6900867955271215</v>
      </c>
      <c r="S519" cm="1">
        <f t="array" ref="S519">MIN(IF((ContinuousStatsTable[GroupByKey]=ContinuousStatsTable[[#This Row],[GroupByKey]]),(ContinuousStatsTable[GroupByKey]=ContinuousStatsTable[[#This Row],[GroupByKey]])*ContinuousStatsTable[Average]))</f>
        <v>81.860988802888798</v>
      </c>
      <c r="T519" cm="1">
        <f t="array" ref="T519">MAX(IF((ContinuousStatsTable[GroupByKey]=ContinuousStatsTable[[#This Row],[GroupByKey]]),(ContinuousStatsTable[GroupByKey]=ContinuousStatsTable[[#This Row],[GroupByKey]])*ContinuousStatsTable[Average]))</f>
        <v>104.034812219697</v>
      </c>
      <c r="U519">
        <f>IF((ContinuousStatsTable[[#This Row],[RepsRequested]]&gt;1),ContinuousStatsTable[[#This Row],[HalfWidth]],ContinuousStatsTable[[#This Row],[BatchMeansHalfWidth]])</f>
        <v>4.6900867955271215</v>
      </c>
    </row>
    <row r="520" spans="1:21" x14ac:dyDescent="0.25">
      <c r="A520" t="s">
        <v>67</v>
      </c>
      <c r="B520" t="s">
        <v>243</v>
      </c>
      <c r="C520">
        <v>7</v>
      </c>
      <c r="D520" t="s">
        <v>119</v>
      </c>
      <c r="E520" t="s">
        <v>117</v>
      </c>
      <c r="F520" t="s">
        <v>76</v>
      </c>
      <c r="G520">
        <v>955.59716950029201</v>
      </c>
      <c r="H520">
        <v>3E+20</v>
      </c>
      <c r="I520">
        <v>0</v>
      </c>
      <c r="J520">
        <v>1852</v>
      </c>
      <c r="K520">
        <v>1852</v>
      </c>
      <c r="L520">
        <v>0</v>
      </c>
      <c r="M520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520" cm="1">
        <f t="array" ref="N520">MAX(IF((ProjectInfoTable[ProjectName]=ContinuousStatsTable[[#This Row],[ProjectName]]),(ProjectInfoTable[ProjectName]=ContinuousStatsTable[[#This Row],[ProjectName]])*ProjectInfoTable[NumberOfReplications]))</f>
        <v>10</v>
      </c>
      <c r="O520" cm="1">
        <f t="array" ref="O520">IFERROR(AVERAGE(IF((ContinuousStatsTable[GroupByKey]=ContinuousStatsTable[[#This Row],[GroupByKey]]),(ContinuousStatsTable[GroupByKey]=ContinuousStatsTable[[#This Row],[GroupByKey]])*ContinuousStatsTable[Average])),0)</f>
        <v>959.25249800465133</v>
      </c>
      <c r="P520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16.228386811509871</v>
      </c>
      <c r="Q520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11.609088578376843</v>
      </c>
      <c r="S520" cm="1">
        <f t="array" ref="S520">MIN(IF((ContinuousStatsTable[GroupByKey]=ContinuousStatsTable[[#This Row],[GroupByKey]]),(ContinuousStatsTable[GroupByKey]=ContinuousStatsTable[[#This Row],[GroupByKey]])*ContinuousStatsTable[Average]))</f>
        <v>935.21729677519602</v>
      </c>
      <c r="T520" cm="1">
        <f t="array" ref="T520">MAX(IF((ContinuousStatsTable[GroupByKey]=ContinuousStatsTable[[#This Row],[GroupByKey]]),(ContinuousStatsTable[GroupByKey]=ContinuousStatsTable[[#This Row],[GroupByKey]])*ContinuousStatsTable[Average]))</f>
        <v>986.61029939527498</v>
      </c>
      <c r="U520">
        <f>IF((ContinuousStatsTable[[#This Row],[RepsRequested]]&gt;1),ContinuousStatsTable[[#This Row],[HalfWidth]],ContinuousStatsTable[[#This Row],[BatchMeansHalfWidth]])</f>
        <v>11.609088578376843</v>
      </c>
    </row>
    <row r="521" spans="1:21" x14ac:dyDescent="0.25">
      <c r="A521" t="s">
        <v>67</v>
      </c>
      <c r="B521" t="s">
        <v>243</v>
      </c>
      <c r="C521">
        <v>7</v>
      </c>
      <c r="D521" t="s">
        <v>120</v>
      </c>
      <c r="E521" t="s">
        <v>117</v>
      </c>
      <c r="F521" t="s">
        <v>76</v>
      </c>
      <c r="G521">
        <v>4199.5817714515397</v>
      </c>
      <c r="H521">
        <v>3E+20</v>
      </c>
      <c r="I521">
        <v>0</v>
      </c>
      <c r="J521">
        <v>8126</v>
      </c>
      <c r="K521">
        <v>8126</v>
      </c>
      <c r="L521">
        <v>0</v>
      </c>
      <c r="M521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521" cm="1">
        <f t="array" ref="N521">MAX(IF((ProjectInfoTable[ProjectName]=ContinuousStatsTable[[#This Row],[ProjectName]]),(ProjectInfoTable[ProjectName]=ContinuousStatsTable[[#This Row],[ProjectName]])*ProjectInfoTable[NumberOfReplications]))</f>
        <v>10</v>
      </c>
      <c r="O521" cm="1">
        <f t="array" ref="O521">IFERROR(AVERAGE(IF((ContinuousStatsTable[GroupByKey]=ContinuousStatsTable[[#This Row],[GroupByKey]]),(ContinuousStatsTable[GroupByKey]=ContinuousStatsTable[[#This Row],[GroupByKey]])*ContinuousStatsTable[Average])),0)</f>
        <v>4203.5615331875215</v>
      </c>
      <c r="P521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17.695322227060075</v>
      </c>
      <c r="Q521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12.658470958503626</v>
      </c>
      <c r="S521" cm="1">
        <f t="array" ref="S521">MIN(IF((ContinuousStatsTable[GroupByKey]=ContinuousStatsTable[[#This Row],[GroupByKey]]),(ContinuousStatsTable[GroupByKey]=ContinuousStatsTable[[#This Row],[GroupByKey]])*ContinuousStatsTable[Average]))</f>
        <v>4170.1494074333395</v>
      </c>
      <c r="T521" cm="1">
        <f t="array" ref="T521">MAX(IF((ContinuousStatsTable[GroupByKey]=ContinuousStatsTable[[#This Row],[GroupByKey]]),(ContinuousStatsTable[GroupByKey]=ContinuousStatsTable[[#This Row],[GroupByKey]])*ContinuousStatsTable[Average]))</f>
        <v>4233.0569788620896</v>
      </c>
      <c r="U521">
        <f>IF((ContinuousStatsTable[[#This Row],[RepsRequested]]&gt;1),ContinuousStatsTable[[#This Row],[HalfWidth]],ContinuousStatsTable[[#This Row],[BatchMeansHalfWidth]])</f>
        <v>12.658470958503626</v>
      </c>
    </row>
    <row r="522" spans="1:21" x14ac:dyDescent="0.25">
      <c r="A522" t="s">
        <v>67</v>
      </c>
      <c r="B522" t="s">
        <v>243</v>
      </c>
      <c r="C522">
        <v>7</v>
      </c>
      <c r="D522" t="s">
        <v>121</v>
      </c>
      <c r="E522" t="s">
        <v>112</v>
      </c>
      <c r="F522" t="s">
        <v>113</v>
      </c>
      <c r="G522">
        <v>0.503322475256885</v>
      </c>
      <c r="H522">
        <v>3E+20</v>
      </c>
      <c r="I522">
        <v>0</v>
      </c>
      <c r="J522">
        <v>1</v>
      </c>
      <c r="K522">
        <v>1</v>
      </c>
      <c r="L522">
        <v>0</v>
      </c>
      <c r="M522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522" cm="1">
        <f t="array" ref="N522">MAX(IF((ProjectInfoTable[ProjectName]=ContinuousStatsTable[[#This Row],[ProjectName]]),(ProjectInfoTable[ProjectName]=ContinuousStatsTable[[#This Row],[ProjectName]])*ProjectInfoTable[NumberOfReplications]))</f>
        <v>10</v>
      </c>
      <c r="O522" cm="1">
        <f t="array" ref="O522">IFERROR(AVERAGE(IF((ContinuousStatsTable[GroupByKey]=ContinuousStatsTable[[#This Row],[GroupByKey]]),(ContinuousStatsTable[GroupByKey]=ContinuousStatsTable[[#This Row],[GroupByKey]])*ContinuousStatsTable[Average])),0)</f>
        <v>0.48160620907873086</v>
      </c>
      <c r="P522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8.6686321722355061E-2</v>
      </c>
      <c r="Q522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6.2011658897281531E-2</v>
      </c>
      <c r="S522" cm="1">
        <f t="array" ref="S522">MIN(IF((ContinuousStatsTable[GroupByKey]=ContinuousStatsTable[[#This Row],[GroupByKey]]),(ContinuousStatsTable[GroupByKey]=ContinuousStatsTable[[#This Row],[GroupByKey]])*ContinuousStatsTable[Average]))</f>
        <v>0.292184201252493</v>
      </c>
      <c r="T522" cm="1">
        <f t="array" ref="T522">MAX(IF((ContinuousStatsTable[GroupByKey]=ContinuousStatsTable[[#This Row],[GroupByKey]]),(ContinuousStatsTable[GroupByKey]=ContinuousStatsTable[[#This Row],[GroupByKey]])*ContinuousStatsTable[Average]))</f>
        <v>0.57167989674475905</v>
      </c>
      <c r="U522">
        <f>IF((ContinuousStatsTable[[#This Row],[RepsRequested]]&gt;1),ContinuousStatsTable[[#This Row],[HalfWidth]],ContinuousStatsTable[[#This Row],[BatchMeansHalfWidth]])</f>
        <v>6.2011658897281531E-2</v>
      </c>
    </row>
    <row r="523" spans="1:21" x14ac:dyDescent="0.25">
      <c r="A523" t="s">
        <v>67</v>
      </c>
      <c r="B523" t="s">
        <v>243</v>
      </c>
      <c r="C523">
        <v>7</v>
      </c>
      <c r="D523" t="s">
        <v>121</v>
      </c>
      <c r="E523" t="s">
        <v>114</v>
      </c>
      <c r="F523" t="s">
        <v>113</v>
      </c>
      <c r="G523">
        <v>2.01328990102754</v>
      </c>
      <c r="H523">
        <v>3E+20</v>
      </c>
      <c r="I523">
        <v>0</v>
      </c>
      <c r="J523">
        <v>4</v>
      </c>
      <c r="K523">
        <v>4</v>
      </c>
      <c r="L523">
        <v>0</v>
      </c>
      <c r="M523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523" cm="1">
        <f t="array" ref="N523">MAX(IF((ProjectInfoTable[ProjectName]=ContinuousStatsTable[[#This Row],[ProjectName]]),(ProjectInfoTable[ProjectName]=ContinuousStatsTable[[#This Row],[ProjectName]])*ProjectInfoTable[NumberOfReplications]))</f>
        <v>10</v>
      </c>
      <c r="O523" cm="1">
        <f t="array" ref="O523">IFERROR(AVERAGE(IF((ContinuousStatsTable[GroupByKey]=ContinuousStatsTable[[#This Row],[GroupByKey]]),(ContinuousStatsTable[GroupByKey]=ContinuousStatsTable[[#This Row],[GroupByKey]])*ContinuousStatsTable[Average])),0)</f>
        <v>1.9264248363149217</v>
      </c>
      <c r="P523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0.34674528688941914</v>
      </c>
      <c r="Q523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0.24804663558912532</v>
      </c>
      <c r="S523" cm="1">
        <f t="array" ref="S523">MIN(IF((ContinuousStatsTable[GroupByKey]=ContinuousStatsTable[[#This Row],[GroupByKey]]),(ContinuousStatsTable[GroupByKey]=ContinuousStatsTable[[#This Row],[GroupByKey]])*ContinuousStatsTable[Average]))</f>
        <v>1.16873680500997</v>
      </c>
      <c r="T523" cm="1">
        <f t="array" ref="T523">MAX(IF((ContinuousStatsTable[GroupByKey]=ContinuousStatsTable[[#This Row],[GroupByKey]]),(ContinuousStatsTable[GroupByKey]=ContinuousStatsTable[[#This Row],[GroupByKey]])*ContinuousStatsTable[Average]))</f>
        <v>2.28671958697903</v>
      </c>
      <c r="U523">
        <f>IF((ContinuousStatsTable[[#This Row],[RepsRequested]]&gt;1),ContinuousStatsTable[[#This Row],[HalfWidth]],ContinuousStatsTable[[#This Row],[BatchMeansHalfWidth]])</f>
        <v>0.24804663558912532</v>
      </c>
    </row>
    <row r="524" spans="1:21" x14ac:dyDescent="0.25">
      <c r="A524" t="s">
        <v>67</v>
      </c>
      <c r="B524" t="s">
        <v>243</v>
      </c>
      <c r="C524">
        <v>7</v>
      </c>
      <c r="D524" t="s">
        <v>121</v>
      </c>
      <c r="E524" t="s">
        <v>115</v>
      </c>
      <c r="F524" t="s">
        <v>113</v>
      </c>
      <c r="G524">
        <v>4</v>
      </c>
      <c r="H524">
        <v>2E+20</v>
      </c>
      <c r="I524">
        <v>4</v>
      </c>
      <c r="J524">
        <v>4</v>
      </c>
      <c r="K524">
        <v>4</v>
      </c>
      <c r="L524">
        <v>0</v>
      </c>
      <c r="M524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524" cm="1">
        <f t="array" ref="N524">MAX(IF((ProjectInfoTable[ProjectName]=ContinuousStatsTable[[#This Row],[ProjectName]]),(ProjectInfoTable[ProjectName]=ContinuousStatsTable[[#This Row],[ProjectName]])*ProjectInfoTable[NumberOfReplications]))</f>
        <v>10</v>
      </c>
      <c r="O524" cm="1">
        <f t="array" ref="O524">IFERROR(AVERAGE(IF((ContinuousStatsTable[GroupByKey]=ContinuousStatsTable[[#This Row],[GroupByKey]]),(ContinuousStatsTable[GroupByKey]=ContinuousStatsTable[[#This Row],[GroupByKey]])*ContinuousStatsTable[Average])),0)</f>
        <v>4</v>
      </c>
      <c r="P524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</v>
      </c>
      <c r="Q524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4" cm="1">
        <f t="array" ref="S524">MIN(IF((ContinuousStatsTable[GroupByKey]=ContinuousStatsTable[[#This Row],[GroupByKey]]),(ContinuousStatsTable[GroupByKey]=ContinuousStatsTable[[#This Row],[GroupByKey]])*ContinuousStatsTable[Average]))</f>
        <v>4</v>
      </c>
      <c r="T524" cm="1">
        <f t="array" ref="T524">MAX(IF((ContinuousStatsTable[GroupByKey]=ContinuousStatsTable[[#This Row],[GroupByKey]]),(ContinuousStatsTable[GroupByKey]=ContinuousStatsTable[[#This Row],[GroupByKey]])*ContinuousStatsTable[Average]))</f>
        <v>4</v>
      </c>
      <c r="U524">
        <f>IF((ContinuousStatsTable[[#This Row],[RepsRequested]]&gt;1),ContinuousStatsTable[[#This Row],[HalfWidth]],ContinuousStatsTable[[#This Row],[BatchMeansHalfWidth]])</f>
        <v>0</v>
      </c>
    </row>
    <row r="525" spans="1:21" x14ac:dyDescent="0.25">
      <c r="A525" t="s">
        <v>67</v>
      </c>
      <c r="B525" t="s">
        <v>243</v>
      </c>
      <c r="C525">
        <v>7</v>
      </c>
      <c r="D525" t="s">
        <v>122</v>
      </c>
      <c r="E525" t="s">
        <v>112</v>
      </c>
      <c r="F525" t="s">
        <v>113</v>
      </c>
      <c r="G525">
        <v>0.33570777662711199</v>
      </c>
      <c r="H525">
        <v>3E+20</v>
      </c>
      <c r="I525">
        <v>0</v>
      </c>
      <c r="J525">
        <v>1</v>
      </c>
      <c r="K525">
        <v>0</v>
      </c>
      <c r="L525">
        <v>0</v>
      </c>
      <c r="M525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525" cm="1">
        <f t="array" ref="N525">MAX(IF((ProjectInfoTable[ProjectName]=ContinuousStatsTable[[#This Row],[ProjectName]]),(ProjectInfoTable[ProjectName]=ContinuousStatsTable[[#This Row],[ProjectName]])*ProjectInfoTable[NumberOfReplications]))</f>
        <v>10</v>
      </c>
      <c r="O525" cm="1">
        <f t="array" ref="O525">IFERROR(AVERAGE(IF((ContinuousStatsTable[GroupByKey]=ContinuousStatsTable[[#This Row],[GroupByKey]]),(ContinuousStatsTable[GroupByKey]=ContinuousStatsTable[[#This Row],[GroupByKey]])*ContinuousStatsTable[Average])),0)</f>
        <v>0.25269289312392118</v>
      </c>
      <c r="P52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4.9214010083081669E-2</v>
      </c>
      <c r="Q52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3.5205581983442397E-2</v>
      </c>
      <c r="S525" cm="1">
        <f t="array" ref="S525">MIN(IF((ContinuousStatsTable[GroupByKey]=ContinuousStatsTable[[#This Row],[GroupByKey]]),(ContinuousStatsTable[GroupByKey]=ContinuousStatsTable[[#This Row],[GroupByKey]])*ContinuousStatsTable[Average]))</f>
        <v>0.20500025225945401</v>
      </c>
      <c r="T525" cm="1">
        <f t="array" ref="T525">MAX(IF((ContinuousStatsTable[GroupByKey]=ContinuousStatsTable[[#This Row],[GroupByKey]]),(ContinuousStatsTable[GroupByKey]=ContinuousStatsTable[[#This Row],[GroupByKey]])*ContinuousStatsTable[Average]))</f>
        <v>0.33570777662711199</v>
      </c>
      <c r="U525">
        <f>IF((ContinuousStatsTable[[#This Row],[RepsRequested]]&gt;1),ContinuousStatsTable[[#This Row],[HalfWidth]],ContinuousStatsTable[[#This Row],[BatchMeansHalfWidth]])</f>
        <v>3.5205581983442397E-2</v>
      </c>
    </row>
    <row r="526" spans="1:21" x14ac:dyDescent="0.25">
      <c r="A526" t="s">
        <v>67</v>
      </c>
      <c r="B526" t="s">
        <v>243</v>
      </c>
      <c r="C526">
        <v>7</v>
      </c>
      <c r="D526" t="s">
        <v>122</v>
      </c>
      <c r="E526" t="s">
        <v>114</v>
      </c>
      <c r="F526" t="s">
        <v>113</v>
      </c>
      <c r="G526">
        <v>1.00712332988134</v>
      </c>
      <c r="H526">
        <v>3E+20</v>
      </c>
      <c r="I526">
        <v>0</v>
      </c>
      <c r="J526">
        <v>3</v>
      </c>
      <c r="K526">
        <v>0</v>
      </c>
      <c r="L526">
        <v>0</v>
      </c>
      <c r="M526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526" cm="1">
        <f t="array" ref="N526">MAX(IF((ProjectInfoTable[ProjectName]=ContinuousStatsTable[[#This Row],[ProjectName]]),(ProjectInfoTable[ProjectName]=ContinuousStatsTable[[#This Row],[ProjectName]])*ProjectInfoTable[NumberOfReplications]))</f>
        <v>10</v>
      </c>
      <c r="O526" cm="1">
        <f t="array" ref="O526">IFERROR(AVERAGE(IF((ContinuousStatsTable[GroupByKey]=ContinuousStatsTable[[#This Row],[GroupByKey]]),(ContinuousStatsTable[GroupByKey]=ContinuousStatsTable[[#This Row],[GroupByKey]])*ContinuousStatsTable[Average])),0)</f>
        <v>0.75807867937176476</v>
      </c>
      <c r="P526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0.14764203024924766</v>
      </c>
      <c r="Q526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0.10561674595032908</v>
      </c>
      <c r="S526" cm="1">
        <f t="array" ref="S526">MIN(IF((ContinuousStatsTable[GroupByKey]=ContinuousStatsTable[[#This Row],[GroupByKey]]),(ContinuousStatsTable[GroupByKey]=ContinuousStatsTable[[#This Row],[GroupByKey]])*ContinuousStatsTable[Average]))</f>
        <v>0.61500075677836796</v>
      </c>
      <c r="T526" cm="1">
        <f t="array" ref="T526">MAX(IF((ContinuousStatsTable[GroupByKey]=ContinuousStatsTable[[#This Row],[GroupByKey]]),(ContinuousStatsTable[GroupByKey]=ContinuousStatsTable[[#This Row],[GroupByKey]])*ContinuousStatsTable[Average]))</f>
        <v>1.00712332988134</v>
      </c>
      <c r="U526">
        <f>IF((ContinuousStatsTable[[#This Row],[RepsRequested]]&gt;1),ContinuousStatsTable[[#This Row],[HalfWidth]],ContinuousStatsTable[[#This Row],[BatchMeansHalfWidth]])</f>
        <v>0.10561674595032908</v>
      </c>
    </row>
    <row r="527" spans="1:21" x14ac:dyDescent="0.25">
      <c r="A527" t="s">
        <v>67</v>
      </c>
      <c r="B527" t="s">
        <v>243</v>
      </c>
      <c r="C527">
        <v>7</v>
      </c>
      <c r="D527" t="s">
        <v>122</v>
      </c>
      <c r="E527" t="s">
        <v>115</v>
      </c>
      <c r="F527" t="s">
        <v>113</v>
      </c>
      <c r="G527">
        <v>3</v>
      </c>
      <c r="H527">
        <v>2E+20</v>
      </c>
      <c r="I527">
        <v>3</v>
      </c>
      <c r="J527">
        <v>3</v>
      </c>
      <c r="K527">
        <v>3</v>
      </c>
      <c r="L527">
        <v>0</v>
      </c>
      <c r="M527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527" cm="1">
        <f t="array" ref="N527">MAX(IF((ProjectInfoTable[ProjectName]=ContinuousStatsTable[[#This Row],[ProjectName]]),(ProjectInfoTable[ProjectName]=ContinuousStatsTable[[#This Row],[ProjectName]])*ProjectInfoTable[NumberOfReplications]))</f>
        <v>10</v>
      </c>
      <c r="O527" cm="1">
        <f t="array" ref="O527">IFERROR(AVERAGE(IF((ContinuousStatsTable[GroupByKey]=ContinuousStatsTable[[#This Row],[GroupByKey]]),(ContinuousStatsTable[GroupByKey]=ContinuousStatsTable[[#This Row],[GroupByKey]])*ContinuousStatsTable[Average])),0)</f>
        <v>3</v>
      </c>
      <c r="P527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cm="1">
        <f t="array" ref="S527">MIN(IF((ContinuousStatsTable[GroupByKey]=ContinuousStatsTable[[#This Row],[GroupByKey]]),(ContinuousStatsTable[GroupByKey]=ContinuousStatsTable[[#This Row],[GroupByKey]])*ContinuousStatsTable[Average]))</f>
        <v>3</v>
      </c>
      <c r="T527" cm="1">
        <f t="array" ref="T527">MAX(IF((ContinuousStatsTable[GroupByKey]=ContinuousStatsTable[[#This Row],[GroupByKey]]),(ContinuousStatsTable[GroupByKey]=ContinuousStatsTable[[#This Row],[GroupByKey]])*ContinuousStatsTable[Average]))</f>
        <v>3</v>
      </c>
      <c r="U527">
        <f>IF((ContinuousStatsTable[[#This Row],[RepsRequested]]&gt;1),ContinuousStatsTable[[#This Row],[HalfWidth]],ContinuousStatsTable[[#This Row],[BatchMeansHalfWidth]])</f>
        <v>0</v>
      </c>
    </row>
    <row r="528" spans="1:21" x14ac:dyDescent="0.25">
      <c r="A528" t="s">
        <v>67</v>
      </c>
      <c r="B528" t="s">
        <v>243</v>
      </c>
      <c r="C528">
        <v>7</v>
      </c>
      <c r="D528" t="s">
        <v>123</v>
      </c>
      <c r="E528" t="s">
        <v>112</v>
      </c>
      <c r="F528" t="s">
        <v>113</v>
      </c>
      <c r="G528">
        <v>0.15167485045888399</v>
      </c>
      <c r="H528">
        <v>3E+20</v>
      </c>
      <c r="I528">
        <v>0</v>
      </c>
      <c r="J528">
        <v>0.66666666666666696</v>
      </c>
      <c r="K528">
        <v>0</v>
      </c>
      <c r="L528">
        <v>0</v>
      </c>
      <c r="M528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528" cm="1">
        <f t="array" ref="N528">MAX(IF((ProjectInfoTable[ProjectName]=ContinuousStatsTable[[#This Row],[ProjectName]]),(ProjectInfoTable[ProjectName]=ContinuousStatsTable[[#This Row],[ProjectName]])*ProjectInfoTable[NumberOfReplications]))</f>
        <v>10</v>
      </c>
      <c r="O528" cm="1">
        <f t="array" ref="O528">IFERROR(AVERAGE(IF((ContinuousStatsTable[GroupByKey]=ContinuousStatsTable[[#This Row],[GroupByKey]]),(ContinuousStatsTable[GroupByKey]=ContinuousStatsTable[[#This Row],[GroupByKey]])*ContinuousStatsTable[Average])),0)</f>
        <v>0.151561654865698</v>
      </c>
      <c r="P528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1.2198256688154243E-4</v>
      </c>
      <c r="Q528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8.7261071626739862E-5</v>
      </c>
      <c r="S528" cm="1">
        <f t="array" ref="S528">MIN(IF((ContinuousStatsTable[GroupByKey]=ContinuousStatsTable[[#This Row],[GroupByKey]]),(ContinuousStatsTable[GroupByKey]=ContinuousStatsTable[[#This Row],[GroupByKey]])*ContinuousStatsTable[Average]))</f>
        <v>0.15134711042770499</v>
      </c>
      <c r="T528" cm="1">
        <f t="array" ref="T528">MAX(IF((ContinuousStatsTable[GroupByKey]=ContinuousStatsTable[[#This Row],[GroupByKey]]),(ContinuousStatsTable[GroupByKey]=ContinuousStatsTable[[#This Row],[GroupByKey]])*ContinuousStatsTable[Average]))</f>
        <v>0.15172806047441101</v>
      </c>
      <c r="U528">
        <f>IF((ContinuousStatsTable[[#This Row],[RepsRequested]]&gt;1),ContinuousStatsTable[[#This Row],[HalfWidth]],ContinuousStatsTable[[#This Row],[BatchMeansHalfWidth]])</f>
        <v>8.7261071626739862E-5</v>
      </c>
    </row>
    <row r="529" spans="1:21" x14ac:dyDescent="0.25">
      <c r="A529" t="s">
        <v>67</v>
      </c>
      <c r="B529" t="s">
        <v>243</v>
      </c>
      <c r="C529">
        <v>7</v>
      </c>
      <c r="D529" t="s">
        <v>123</v>
      </c>
      <c r="E529" t="s">
        <v>114</v>
      </c>
      <c r="F529" t="s">
        <v>113</v>
      </c>
      <c r="G529">
        <v>0.45502455137665199</v>
      </c>
      <c r="H529">
        <v>3E+20</v>
      </c>
      <c r="I529">
        <v>0</v>
      </c>
      <c r="J529">
        <v>2</v>
      </c>
      <c r="K529">
        <v>0</v>
      </c>
      <c r="L529">
        <v>0</v>
      </c>
      <c r="M529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529" cm="1">
        <f t="array" ref="N529">MAX(IF((ProjectInfoTable[ProjectName]=ContinuousStatsTable[[#This Row],[ProjectName]]),(ProjectInfoTable[ProjectName]=ContinuousStatsTable[[#This Row],[ProjectName]])*ProjectInfoTable[NumberOfReplications]))</f>
        <v>10</v>
      </c>
      <c r="O529" cm="1">
        <f t="array" ref="O529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529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529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529" cm="1">
        <f t="array" ref="S529">MIN(IF((ContinuousStatsTable[GroupByKey]=ContinuousStatsTable[[#This Row],[GroupByKey]]),(ContinuousStatsTable[GroupByKey]=ContinuousStatsTable[[#This Row],[GroupByKey]])*ContinuousStatsTable[Average]))</f>
        <v>0.45404133128311103</v>
      </c>
      <c r="T529" cm="1">
        <f t="array" ref="T529">MAX(IF((ContinuousStatsTable[GroupByKey]=ContinuousStatsTable[[#This Row],[GroupByKey]]),(ContinuousStatsTable[GroupByKey]=ContinuousStatsTable[[#This Row],[GroupByKey]])*ContinuousStatsTable[Average]))</f>
        <v>0.45518418142323402</v>
      </c>
      <c r="U529">
        <f>IF((ContinuousStatsTable[[#This Row],[RepsRequested]]&gt;1),ContinuousStatsTable[[#This Row],[HalfWidth]],ContinuousStatsTable[[#This Row],[BatchMeansHalfWidth]])</f>
        <v>2.6178321488092363E-4</v>
      </c>
    </row>
    <row r="530" spans="1:21" x14ac:dyDescent="0.25">
      <c r="A530" t="s">
        <v>67</v>
      </c>
      <c r="B530" t="s">
        <v>243</v>
      </c>
      <c r="C530">
        <v>7</v>
      </c>
      <c r="D530" t="s">
        <v>123</v>
      </c>
      <c r="E530" t="s">
        <v>115</v>
      </c>
      <c r="F530" t="s">
        <v>113</v>
      </c>
      <c r="G530">
        <v>3</v>
      </c>
      <c r="H530">
        <v>2E+20</v>
      </c>
      <c r="I530">
        <v>3</v>
      </c>
      <c r="J530">
        <v>3</v>
      </c>
      <c r="K530">
        <v>3</v>
      </c>
      <c r="L530">
        <v>0</v>
      </c>
      <c r="M530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530" cm="1">
        <f t="array" ref="N530">MAX(IF((ProjectInfoTable[ProjectName]=ContinuousStatsTable[[#This Row],[ProjectName]]),(ProjectInfoTable[ProjectName]=ContinuousStatsTable[[#This Row],[ProjectName]])*ProjectInfoTable[NumberOfReplications]))</f>
        <v>10</v>
      </c>
      <c r="O530" cm="1">
        <f t="array" ref="O530">IFERROR(AVERAGE(IF((ContinuousStatsTable[GroupByKey]=ContinuousStatsTable[[#This Row],[GroupByKey]]),(ContinuousStatsTable[GroupByKey]=ContinuousStatsTable[[#This Row],[GroupByKey]])*ContinuousStatsTable[Average])),0)</f>
        <v>3</v>
      </c>
      <c r="P530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cm="1">
        <f t="array" ref="S530">MIN(IF((ContinuousStatsTable[GroupByKey]=ContinuousStatsTable[[#This Row],[GroupByKey]]),(ContinuousStatsTable[GroupByKey]=ContinuousStatsTable[[#This Row],[GroupByKey]])*ContinuousStatsTable[Average]))</f>
        <v>3</v>
      </c>
      <c r="T530" cm="1">
        <f t="array" ref="T530">MAX(IF((ContinuousStatsTable[GroupByKey]=ContinuousStatsTable[[#This Row],[GroupByKey]]),(ContinuousStatsTable[GroupByKey]=ContinuousStatsTable[[#This Row],[GroupByKey]])*ContinuousStatsTable[Average]))</f>
        <v>3</v>
      </c>
      <c r="U530">
        <f>IF((ContinuousStatsTable[[#This Row],[RepsRequested]]&gt;1),ContinuousStatsTable[[#This Row],[HalfWidth]],ContinuousStatsTable[[#This Row],[BatchMeansHalfWidth]])</f>
        <v>0</v>
      </c>
    </row>
    <row r="531" spans="1:21" x14ac:dyDescent="0.25">
      <c r="A531" t="s">
        <v>67</v>
      </c>
      <c r="B531" t="s">
        <v>243</v>
      </c>
      <c r="C531">
        <v>7</v>
      </c>
      <c r="D531" t="s">
        <v>124</v>
      </c>
      <c r="E531" t="s">
        <v>112</v>
      </c>
      <c r="F531" t="s">
        <v>113</v>
      </c>
      <c r="G531">
        <v>0.94640294028002103</v>
      </c>
      <c r="H531">
        <v>2E+20</v>
      </c>
      <c r="I531">
        <v>0</v>
      </c>
      <c r="J531">
        <v>1</v>
      </c>
      <c r="K531">
        <v>1</v>
      </c>
      <c r="L531">
        <v>0</v>
      </c>
      <c r="M531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531" cm="1">
        <f t="array" ref="N531">MAX(IF((ProjectInfoTable[ProjectName]=ContinuousStatsTable[[#This Row],[ProjectName]]),(ProjectInfoTable[ProjectName]=ContinuousStatsTable[[#This Row],[ProjectName]])*ProjectInfoTable[NumberOfReplications]))</f>
        <v>10</v>
      </c>
      <c r="O531" cm="1">
        <f t="array" ref="O531">IFERROR(AVERAGE(IF((ContinuousStatsTable[GroupByKey]=ContinuousStatsTable[[#This Row],[GroupByKey]]),(ContinuousStatsTable[GroupByKey]=ContinuousStatsTable[[#This Row],[GroupByKey]])*ContinuousStatsTable[Average])),0)</f>
        <v>0.84558522180863771</v>
      </c>
      <c r="P531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0.11694354024491282</v>
      </c>
      <c r="Q531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8.3656369122856733E-2</v>
      </c>
      <c r="S531" cm="1">
        <f t="array" ref="S531">MIN(IF((ContinuousStatsTable[GroupByKey]=ContinuousStatsTable[[#This Row],[GroupByKey]]),(ContinuousStatsTable[GroupByKey]=ContinuousStatsTable[[#This Row],[GroupByKey]])*ContinuousStatsTable[Average]))</f>
        <v>0.625269422960122</v>
      </c>
      <c r="T531" cm="1">
        <f t="array" ref="T531">MAX(IF((ContinuousStatsTable[GroupByKey]=ContinuousStatsTable[[#This Row],[GroupByKey]]),(ContinuousStatsTable[GroupByKey]=ContinuousStatsTable[[#This Row],[GroupByKey]])*ContinuousStatsTable[Average]))</f>
        <v>0.95234896906597499</v>
      </c>
      <c r="U531">
        <f>IF((ContinuousStatsTable[[#This Row],[RepsRequested]]&gt;1),ContinuousStatsTable[[#This Row],[HalfWidth]],ContinuousStatsTable[[#This Row],[BatchMeansHalfWidth]])</f>
        <v>8.3656369122856733E-2</v>
      </c>
    </row>
    <row r="532" spans="1:21" x14ac:dyDescent="0.25">
      <c r="A532" t="s">
        <v>67</v>
      </c>
      <c r="B532" t="s">
        <v>243</v>
      </c>
      <c r="C532">
        <v>7</v>
      </c>
      <c r="D532" t="s">
        <v>124</v>
      </c>
      <c r="E532" t="s">
        <v>114</v>
      </c>
      <c r="F532" t="s">
        <v>113</v>
      </c>
      <c r="G532">
        <v>1.8928058805600401</v>
      </c>
      <c r="H532">
        <v>2E+20</v>
      </c>
      <c r="I532">
        <v>0</v>
      </c>
      <c r="J532">
        <v>2</v>
      </c>
      <c r="K532">
        <v>2</v>
      </c>
      <c r="L532">
        <v>0</v>
      </c>
      <c r="M532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532" cm="1">
        <f t="array" ref="N532">MAX(IF((ProjectInfoTable[ProjectName]=ContinuousStatsTable[[#This Row],[ProjectName]]),(ProjectInfoTable[ProjectName]=ContinuousStatsTable[[#This Row],[ProjectName]])*ProjectInfoTable[NumberOfReplications]))</f>
        <v>10</v>
      </c>
      <c r="O532" cm="1">
        <f t="array" ref="O532">IFERROR(AVERAGE(IF((ContinuousStatsTable[GroupByKey]=ContinuousStatsTable[[#This Row],[GroupByKey]]),(ContinuousStatsTable[GroupByKey]=ContinuousStatsTable[[#This Row],[GroupByKey]])*ContinuousStatsTable[Average])),0)</f>
        <v>1.6911704436172748</v>
      </c>
      <c r="P532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0.23388708048982901</v>
      </c>
      <c r="Q532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0.16731273824571591</v>
      </c>
      <c r="S532" cm="1">
        <f t="array" ref="S532">MIN(IF((ContinuousStatsTable[GroupByKey]=ContinuousStatsTable[[#This Row],[GroupByKey]]),(ContinuousStatsTable[GroupByKey]=ContinuousStatsTable[[#This Row],[GroupByKey]])*ContinuousStatsTable[Average]))</f>
        <v>1.25053884592024</v>
      </c>
      <c r="T532" cm="1">
        <f t="array" ref="T532">MAX(IF((ContinuousStatsTable[GroupByKey]=ContinuousStatsTable[[#This Row],[GroupByKey]]),(ContinuousStatsTable[GroupByKey]=ContinuousStatsTable[[#This Row],[GroupByKey]])*ContinuousStatsTable[Average]))</f>
        <v>1.90469793813195</v>
      </c>
      <c r="U532">
        <f>IF((ContinuousStatsTable[[#This Row],[RepsRequested]]&gt;1),ContinuousStatsTable[[#This Row],[HalfWidth]],ContinuousStatsTable[[#This Row],[BatchMeansHalfWidth]])</f>
        <v>0.16731273824571591</v>
      </c>
    </row>
    <row r="533" spans="1:21" x14ac:dyDescent="0.25">
      <c r="A533" t="s">
        <v>67</v>
      </c>
      <c r="B533" t="s">
        <v>243</v>
      </c>
      <c r="C533">
        <v>7</v>
      </c>
      <c r="D533" t="s">
        <v>124</v>
      </c>
      <c r="E533" t="s">
        <v>115</v>
      </c>
      <c r="F533" t="s">
        <v>113</v>
      </c>
      <c r="G533">
        <v>2</v>
      </c>
      <c r="H533">
        <v>2E+20</v>
      </c>
      <c r="I533">
        <v>2</v>
      </c>
      <c r="J533">
        <v>2</v>
      </c>
      <c r="K533">
        <v>2</v>
      </c>
      <c r="L533">
        <v>0</v>
      </c>
      <c r="M533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533" cm="1">
        <f t="array" ref="N533">MAX(IF((ProjectInfoTable[ProjectName]=ContinuousStatsTable[[#This Row],[ProjectName]]),(ProjectInfoTable[ProjectName]=ContinuousStatsTable[[#This Row],[ProjectName]])*ProjectInfoTable[NumberOfReplications]))</f>
        <v>10</v>
      </c>
      <c r="O533" cm="1">
        <f t="array" ref="O533">IFERROR(AVERAGE(IF((ContinuousStatsTable[GroupByKey]=ContinuousStatsTable[[#This Row],[GroupByKey]]),(ContinuousStatsTable[GroupByKey]=ContinuousStatsTable[[#This Row],[GroupByKey]])*ContinuousStatsTable[Average])),0)</f>
        <v>2</v>
      </c>
      <c r="P533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0</v>
      </c>
      <c r="Q533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3" cm="1">
        <f t="array" ref="S533">MIN(IF((ContinuousStatsTable[GroupByKey]=ContinuousStatsTable[[#This Row],[GroupByKey]]),(ContinuousStatsTable[GroupByKey]=ContinuousStatsTable[[#This Row],[GroupByKey]])*ContinuousStatsTable[Average]))</f>
        <v>2</v>
      </c>
      <c r="T533" cm="1">
        <f t="array" ref="T533">MAX(IF((ContinuousStatsTable[GroupByKey]=ContinuousStatsTable[[#This Row],[GroupByKey]]),(ContinuousStatsTable[GroupByKey]=ContinuousStatsTable[[#This Row],[GroupByKey]])*ContinuousStatsTable[Average]))</f>
        <v>2</v>
      </c>
      <c r="U533">
        <f>IF((ContinuousStatsTable[[#This Row],[RepsRequested]]&gt;1),ContinuousStatsTable[[#This Row],[HalfWidth]],ContinuousStatsTable[[#This Row],[BatchMeansHalfWidth]])</f>
        <v>0</v>
      </c>
    </row>
    <row r="534" spans="1:21" x14ac:dyDescent="0.25">
      <c r="A534" t="s">
        <v>67</v>
      </c>
      <c r="B534" t="s">
        <v>243</v>
      </c>
      <c r="C534">
        <v>7</v>
      </c>
      <c r="D534" t="s">
        <v>125</v>
      </c>
      <c r="E534" t="s">
        <v>112</v>
      </c>
      <c r="F534" t="s">
        <v>113</v>
      </c>
      <c r="G534">
        <v>0.80367374551252302</v>
      </c>
      <c r="H534">
        <v>2E+20</v>
      </c>
      <c r="I534">
        <v>0</v>
      </c>
      <c r="J534">
        <v>1</v>
      </c>
      <c r="K534">
        <v>0.4</v>
      </c>
      <c r="L534">
        <v>0</v>
      </c>
      <c r="M534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534" cm="1">
        <f t="array" ref="N534">MAX(IF((ProjectInfoTable[ProjectName]=ContinuousStatsTable[[#This Row],[ProjectName]]),(ProjectInfoTable[ProjectName]=ContinuousStatsTable[[#This Row],[ProjectName]])*ProjectInfoTable[NumberOfReplications]))</f>
        <v>10</v>
      </c>
      <c r="O534" cm="1">
        <f t="array" ref="O534">IFERROR(AVERAGE(IF((ContinuousStatsTable[GroupByKey]=ContinuousStatsTable[[#This Row],[GroupByKey]]),(ContinuousStatsTable[GroupByKey]=ContinuousStatsTable[[#This Row],[GroupByKey]])*ContinuousStatsTable[Average])),0)</f>
        <v>0.74077431571180252</v>
      </c>
      <c r="P534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6.1280007141723249E-2</v>
      </c>
      <c r="Q534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4.3837076306763374E-2</v>
      </c>
      <c r="S534" cm="1">
        <f t="array" ref="S534">MIN(IF((ContinuousStatsTable[GroupByKey]=ContinuousStatsTable[[#This Row],[GroupByKey]]),(ContinuousStatsTable[GroupByKey]=ContinuousStatsTable[[#This Row],[GroupByKey]])*ContinuousStatsTable[Average]))</f>
        <v>0.67060354368791797</v>
      </c>
      <c r="T534" cm="1">
        <f t="array" ref="T534">MAX(IF((ContinuousStatsTable[GroupByKey]=ContinuousStatsTable[[#This Row],[GroupByKey]]),(ContinuousStatsTable[GroupByKey]=ContinuousStatsTable[[#This Row],[GroupByKey]])*ContinuousStatsTable[Average]))</f>
        <v>0.87728997349342996</v>
      </c>
      <c r="U534">
        <f>IF((ContinuousStatsTable[[#This Row],[RepsRequested]]&gt;1),ContinuousStatsTable[[#This Row],[HalfWidth]],ContinuousStatsTable[[#This Row],[BatchMeansHalfWidth]])</f>
        <v>4.3837076306763374E-2</v>
      </c>
    </row>
    <row r="535" spans="1:21" x14ac:dyDescent="0.25">
      <c r="A535" t="s">
        <v>67</v>
      </c>
      <c r="B535" t="s">
        <v>243</v>
      </c>
      <c r="C535">
        <v>7</v>
      </c>
      <c r="D535" t="s">
        <v>125</v>
      </c>
      <c r="E535" t="s">
        <v>114</v>
      </c>
      <c r="F535" t="s">
        <v>113</v>
      </c>
      <c r="G535">
        <v>4.0183687275626099</v>
      </c>
      <c r="H535">
        <v>2E+20</v>
      </c>
      <c r="I535">
        <v>0</v>
      </c>
      <c r="J535">
        <v>5</v>
      </c>
      <c r="K535">
        <v>2</v>
      </c>
      <c r="L535">
        <v>0</v>
      </c>
      <c r="M535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535" cm="1">
        <f t="array" ref="N535">MAX(IF((ProjectInfoTable[ProjectName]=ContinuousStatsTable[[#This Row],[ProjectName]]),(ProjectInfoTable[ProjectName]=ContinuousStatsTable[[#This Row],[ProjectName]])*ProjectInfoTable[NumberOfReplications]))</f>
        <v>10</v>
      </c>
      <c r="O535" cm="1">
        <f t="array" ref="O535">IFERROR(AVERAGE(IF((ContinuousStatsTable[GroupByKey]=ContinuousStatsTable[[#This Row],[GroupByKey]]),(ContinuousStatsTable[GroupByKey]=ContinuousStatsTable[[#This Row],[GroupByKey]])*ContinuousStatsTable[Average])),0)</f>
        <v>3.7038715785590122</v>
      </c>
      <c r="P53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0.30640003570861163</v>
      </c>
      <c r="Q53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0.21918538153381359</v>
      </c>
      <c r="S535" cm="1">
        <f t="array" ref="S535">MIN(IF((ContinuousStatsTable[GroupByKey]=ContinuousStatsTable[[#This Row],[GroupByKey]]),(ContinuousStatsTable[GroupByKey]=ContinuousStatsTable[[#This Row],[GroupByKey]])*ContinuousStatsTable[Average]))</f>
        <v>3.35301771843959</v>
      </c>
      <c r="T535" cm="1">
        <f t="array" ref="T535">MAX(IF((ContinuousStatsTable[GroupByKey]=ContinuousStatsTable[[#This Row],[GroupByKey]]),(ContinuousStatsTable[GroupByKey]=ContinuousStatsTable[[#This Row],[GroupByKey]])*ContinuousStatsTable[Average]))</f>
        <v>4.3864498674671397</v>
      </c>
      <c r="U535">
        <f>IF((ContinuousStatsTable[[#This Row],[RepsRequested]]&gt;1),ContinuousStatsTable[[#This Row],[HalfWidth]],ContinuousStatsTable[[#This Row],[BatchMeansHalfWidth]])</f>
        <v>0.21918538153381359</v>
      </c>
    </row>
    <row r="536" spans="1:21" x14ac:dyDescent="0.25">
      <c r="A536" t="s">
        <v>67</v>
      </c>
      <c r="B536" t="s">
        <v>243</v>
      </c>
      <c r="C536">
        <v>7</v>
      </c>
      <c r="D536" t="s">
        <v>125</v>
      </c>
      <c r="E536" t="s">
        <v>115</v>
      </c>
      <c r="F536" t="s">
        <v>113</v>
      </c>
      <c r="G536">
        <v>5</v>
      </c>
      <c r="H536">
        <v>2E+20</v>
      </c>
      <c r="I536">
        <v>5</v>
      </c>
      <c r="J536">
        <v>5</v>
      </c>
      <c r="K536">
        <v>5</v>
      </c>
      <c r="L536">
        <v>0</v>
      </c>
      <c r="M536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536" cm="1">
        <f t="array" ref="N536">MAX(IF((ProjectInfoTable[ProjectName]=ContinuousStatsTable[[#This Row],[ProjectName]]),(ProjectInfoTable[ProjectName]=ContinuousStatsTable[[#This Row],[ProjectName]])*ProjectInfoTable[NumberOfReplications]))</f>
        <v>10</v>
      </c>
      <c r="O536" cm="1">
        <f t="array" ref="O536">IFERROR(AVERAGE(IF((ContinuousStatsTable[GroupByKey]=ContinuousStatsTable[[#This Row],[GroupByKey]]),(ContinuousStatsTable[GroupByKey]=ContinuousStatsTable[[#This Row],[GroupByKey]])*ContinuousStatsTable[Average])),0)</f>
        <v>5</v>
      </c>
      <c r="P536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0</v>
      </c>
      <c r="Q536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6" cm="1">
        <f t="array" ref="S536">MIN(IF((ContinuousStatsTable[GroupByKey]=ContinuousStatsTable[[#This Row],[GroupByKey]]),(ContinuousStatsTable[GroupByKey]=ContinuousStatsTable[[#This Row],[GroupByKey]])*ContinuousStatsTable[Average]))</f>
        <v>5</v>
      </c>
      <c r="T536" cm="1">
        <f t="array" ref="T536">MAX(IF((ContinuousStatsTable[GroupByKey]=ContinuousStatsTable[[#This Row],[GroupByKey]]),(ContinuousStatsTable[GroupByKey]=ContinuousStatsTable[[#This Row],[GroupByKey]])*ContinuousStatsTable[Average]))</f>
        <v>5</v>
      </c>
      <c r="U536">
        <f>IF((ContinuousStatsTable[[#This Row],[RepsRequested]]&gt;1),ContinuousStatsTable[[#This Row],[HalfWidth]],ContinuousStatsTable[[#This Row],[BatchMeansHalfWidth]])</f>
        <v>0</v>
      </c>
    </row>
    <row r="537" spans="1:21" x14ac:dyDescent="0.25">
      <c r="A537" t="s">
        <v>67</v>
      </c>
      <c r="B537" t="s">
        <v>243</v>
      </c>
      <c r="C537">
        <v>7</v>
      </c>
      <c r="D537" t="s">
        <v>126</v>
      </c>
      <c r="E537" t="s">
        <v>112</v>
      </c>
      <c r="F537" t="s">
        <v>113</v>
      </c>
      <c r="G537">
        <v>0.45750763212080597</v>
      </c>
      <c r="H537">
        <v>3E+20</v>
      </c>
      <c r="I537">
        <v>0</v>
      </c>
      <c r="J537">
        <v>1</v>
      </c>
      <c r="K537">
        <v>1</v>
      </c>
      <c r="L537">
        <v>0</v>
      </c>
      <c r="M537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537" cm="1">
        <f t="array" ref="N537">MAX(IF((ProjectInfoTable[ProjectName]=ContinuousStatsTable[[#This Row],[ProjectName]]),(ProjectInfoTable[ProjectName]=ContinuousStatsTable[[#This Row],[ProjectName]])*ProjectInfoTable[NumberOfReplications]))</f>
        <v>10</v>
      </c>
      <c r="O537" cm="1">
        <f t="array" ref="O537">IFERROR(AVERAGE(IF((ContinuousStatsTable[GroupByKey]=ContinuousStatsTable[[#This Row],[GroupByKey]]),(ContinuousStatsTable[GroupByKey]=ContinuousStatsTable[[#This Row],[GroupByKey]])*ContinuousStatsTable[Average])),0)</f>
        <v>0.52391445815006699</v>
      </c>
      <c r="P537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7.0460308415606909E-2</v>
      </c>
      <c r="Q537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5.0404268221927347E-2</v>
      </c>
      <c r="S537" cm="1">
        <f t="array" ref="S537">MIN(IF((ContinuousStatsTable[GroupByKey]=ContinuousStatsTable[[#This Row],[GroupByKey]]),(ContinuousStatsTable[GroupByKey]=ContinuousStatsTable[[#This Row],[GroupByKey]])*ContinuousStatsTable[Average]))</f>
        <v>0.36555656561218303</v>
      </c>
      <c r="T537" cm="1">
        <f t="array" ref="T537">MAX(IF((ContinuousStatsTable[GroupByKey]=ContinuousStatsTable[[#This Row],[GroupByKey]]),(ContinuousStatsTable[GroupByKey]=ContinuousStatsTable[[#This Row],[GroupByKey]])*ContinuousStatsTable[Average]))</f>
        <v>0.59886206518967</v>
      </c>
      <c r="U537">
        <f>IF((ContinuousStatsTable[[#This Row],[RepsRequested]]&gt;1),ContinuousStatsTable[[#This Row],[HalfWidth]],ContinuousStatsTable[[#This Row],[BatchMeansHalfWidth]])</f>
        <v>5.0404268221927347E-2</v>
      </c>
    </row>
    <row r="538" spans="1:21" x14ac:dyDescent="0.25">
      <c r="A538" t="s">
        <v>67</v>
      </c>
      <c r="B538" t="s">
        <v>243</v>
      </c>
      <c r="C538">
        <v>7</v>
      </c>
      <c r="D538" t="s">
        <v>126</v>
      </c>
      <c r="E538" t="s">
        <v>114</v>
      </c>
      <c r="F538" t="s">
        <v>113</v>
      </c>
      <c r="G538">
        <v>1.8300305284832199</v>
      </c>
      <c r="H538">
        <v>3E+20</v>
      </c>
      <c r="I538">
        <v>0</v>
      </c>
      <c r="J538">
        <v>4</v>
      </c>
      <c r="K538">
        <v>4</v>
      </c>
      <c r="L538">
        <v>0</v>
      </c>
      <c r="M538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538" cm="1">
        <f t="array" ref="N538">MAX(IF((ProjectInfoTable[ProjectName]=ContinuousStatsTable[[#This Row],[ProjectName]]),(ProjectInfoTable[ProjectName]=ContinuousStatsTable[[#This Row],[ProjectName]])*ProjectInfoTable[NumberOfReplications]))</f>
        <v>10</v>
      </c>
      <c r="O538" cm="1">
        <f t="array" ref="O538">IFERROR(AVERAGE(IF((ContinuousStatsTable[GroupByKey]=ContinuousStatsTable[[#This Row],[GroupByKey]]),(ContinuousStatsTable[GroupByKey]=ContinuousStatsTable[[#This Row],[GroupByKey]])*ContinuousStatsTable[Average])),0)</f>
        <v>2.0956578326002671</v>
      </c>
      <c r="P538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0.28184123366242902</v>
      </c>
      <c r="Q538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0.20161707288771036</v>
      </c>
      <c r="S538" cm="1">
        <f t="array" ref="S538">MIN(IF((ContinuousStatsTable[GroupByKey]=ContinuousStatsTable[[#This Row],[GroupByKey]]),(ContinuousStatsTable[GroupByKey]=ContinuousStatsTable[[#This Row],[GroupByKey]])*ContinuousStatsTable[Average]))</f>
        <v>1.4622262624487301</v>
      </c>
      <c r="T538" cm="1">
        <f t="array" ref="T538">MAX(IF((ContinuousStatsTable[GroupByKey]=ContinuousStatsTable[[#This Row],[GroupByKey]]),(ContinuousStatsTable[GroupByKey]=ContinuousStatsTable[[#This Row],[GroupByKey]])*ContinuousStatsTable[Average]))</f>
        <v>2.39544826075868</v>
      </c>
      <c r="U538">
        <f>IF((ContinuousStatsTable[[#This Row],[RepsRequested]]&gt;1),ContinuousStatsTable[[#This Row],[HalfWidth]],ContinuousStatsTable[[#This Row],[BatchMeansHalfWidth]])</f>
        <v>0.20161707288771036</v>
      </c>
    </row>
    <row r="539" spans="1:21" x14ac:dyDescent="0.25">
      <c r="A539" t="s">
        <v>67</v>
      </c>
      <c r="B539" t="s">
        <v>243</v>
      </c>
      <c r="C539">
        <v>7</v>
      </c>
      <c r="D539" t="s">
        <v>126</v>
      </c>
      <c r="E539" t="s">
        <v>115</v>
      </c>
      <c r="F539" t="s">
        <v>113</v>
      </c>
      <c r="G539">
        <v>4</v>
      </c>
      <c r="H539">
        <v>2E+20</v>
      </c>
      <c r="I539">
        <v>4</v>
      </c>
      <c r="J539">
        <v>4</v>
      </c>
      <c r="K539">
        <v>4</v>
      </c>
      <c r="L539">
        <v>0</v>
      </c>
      <c r="M539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539" cm="1">
        <f t="array" ref="N539">MAX(IF((ProjectInfoTable[ProjectName]=ContinuousStatsTable[[#This Row],[ProjectName]]),(ProjectInfoTable[ProjectName]=ContinuousStatsTable[[#This Row],[ProjectName]])*ProjectInfoTable[NumberOfReplications]))</f>
        <v>10</v>
      </c>
      <c r="O539" cm="1">
        <f t="array" ref="O539">IFERROR(AVERAGE(IF((ContinuousStatsTable[GroupByKey]=ContinuousStatsTable[[#This Row],[GroupByKey]]),(ContinuousStatsTable[GroupByKey]=ContinuousStatsTable[[#This Row],[GroupByKey]])*ContinuousStatsTable[Average])),0)</f>
        <v>4</v>
      </c>
      <c r="P539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cm="1">
        <f t="array" ref="S539">MIN(IF((ContinuousStatsTable[GroupByKey]=ContinuousStatsTable[[#This Row],[GroupByKey]]),(ContinuousStatsTable[GroupByKey]=ContinuousStatsTable[[#This Row],[GroupByKey]])*ContinuousStatsTable[Average]))</f>
        <v>4</v>
      </c>
      <c r="T539" cm="1">
        <f t="array" ref="T539">MAX(IF((ContinuousStatsTable[GroupByKey]=ContinuousStatsTable[[#This Row],[GroupByKey]]),(ContinuousStatsTable[GroupByKey]=ContinuousStatsTable[[#This Row],[GroupByKey]])*ContinuousStatsTable[Average]))</f>
        <v>4</v>
      </c>
      <c r="U539">
        <f>IF((ContinuousStatsTable[[#This Row],[RepsRequested]]&gt;1),ContinuousStatsTable[[#This Row],[HalfWidth]],ContinuousStatsTable[[#This Row],[BatchMeansHalfWidth]])</f>
        <v>0</v>
      </c>
    </row>
    <row r="540" spans="1:21" x14ac:dyDescent="0.25">
      <c r="A540" t="s">
        <v>67</v>
      </c>
      <c r="B540" t="s">
        <v>243</v>
      </c>
      <c r="C540">
        <v>7</v>
      </c>
      <c r="D540" t="s">
        <v>127</v>
      </c>
      <c r="E540" t="s">
        <v>112</v>
      </c>
      <c r="F540" t="s">
        <v>113</v>
      </c>
      <c r="G540">
        <v>0.14921189842985499</v>
      </c>
      <c r="H540">
        <v>3E+20</v>
      </c>
      <c r="I540">
        <v>0</v>
      </c>
      <c r="J540">
        <v>1</v>
      </c>
      <c r="K540">
        <v>0</v>
      </c>
      <c r="L540">
        <v>0</v>
      </c>
      <c r="M540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540" cm="1">
        <f t="array" ref="N540">MAX(IF((ProjectInfoTable[ProjectName]=ContinuousStatsTable[[#This Row],[ProjectName]]),(ProjectInfoTable[ProjectName]=ContinuousStatsTable[[#This Row],[ProjectName]])*ProjectInfoTable[NumberOfReplications]))</f>
        <v>10</v>
      </c>
      <c r="O540" cm="1">
        <f t="array" ref="O540">IFERROR(AVERAGE(IF((ContinuousStatsTable[GroupByKey]=ContinuousStatsTable[[#This Row],[GroupByKey]]),(ContinuousStatsTable[GroupByKey]=ContinuousStatsTable[[#This Row],[GroupByKey]])*ContinuousStatsTable[Average])),0)</f>
        <v>0.14955853655775292</v>
      </c>
      <c r="P540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1.8487754554887928E-4</v>
      </c>
      <c r="Q540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1.3225342896729691E-4</v>
      </c>
      <c r="S540" cm="1">
        <f t="array" ref="S540">MIN(IF((ContinuousStatsTable[GroupByKey]=ContinuousStatsTable[[#This Row],[GroupByKey]]),(ContinuousStatsTable[GroupByKey]=ContinuousStatsTable[[#This Row],[GroupByKey]])*ContinuousStatsTable[Average]))</f>
        <v>0.14921189842985499</v>
      </c>
      <c r="T540" cm="1">
        <f t="array" ref="T540">MAX(IF((ContinuousStatsTable[GroupByKey]=ContinuousStatsTable[[#This Row],[GroupByKey]]),(ContinuousStatsTable[GroupByKey]=ContinuousStatsTable[[#This Row],[GroupByKey]])*ContinuousStatsTable[Average]))</f>
        <v>0.14985050053976801</v>
      </c>
      <c r="U540">
        <f>IF((ContinuousStatsTable[[#This Row],[RepsRequested]]&gt;1),ContinuousStatsTable[[#This Row],[HalfWidth]],ContinuousStatsTable[[#This Row],[BatchMeansHalfWidth]])</f>
        <v>1.3225342896729691E-4</v>
      </c>
    </row>
    <row r="541" spans="1:21" x14ac:dyDescent="0.25">
      <c r="A541" t="s">
        <v>67</v>
      </c>
      <c r="B541" t="s">
        <v>243</v>
      </c>
      <c r="C541">
        <v>7</v>
      </c>
      <c r="D541" t="s">
        <v>127</v>
      </c>
      <c r="E541" t="s">
        <v>114</v>
      </c>
      <c r="F541" t="s">
        <v>113</v>
      </c>
      <c r="G541">
        <v>0.29842379685970999</v>
      </c>
      <c r="H541">
        <v>3E+20</v>
      </c>
      <c r="I541">
        <v>0</v>
      </c>
      <c r="J541">
        <v>2</v>
      </c>
      <c r="K541">
        <v>0</v>
      </c>
      <c r="L541">
        <v>0</v>
      </c>
      <c r="M541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541" cm="1">
        <f t="array" ref="N541">MAX(IF((ProjectInfoTable[ProjectName]=ContinuousStatsTable[[#This Row],[ProjectName]]),(ProjectInfoTable[ProjectName]=ContinuousStatsTable[[#This Row],[ProjectName]])*ProjectInfoTable[NumberOfReplications]))</f>
        <v>10</v>
      </c>
      <c r="O541" cm="1">
        <f t="array" ref="O541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541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541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541" cm="1">
        <f t="array" ref="S541">MIN(IF((ContinuousStatsTable[GroupByKey]=ContinuousStatsTable[[#This Row],[GroupByKey]]),(ContinuousStatsTable[GroupByKey]=ContinuousStatsTable[[#This Row],[GroupByKey]])*ContinuousStatsTable[Average]))</f>
        <v>0.29842379685970999</v>
      </c>
      <c r="T541" cm="1">
        <f t="array" ref="T541">MAX(IF((ContinuousStatsTable[GroupByKey]=ContinuousStatsTable[[#This Row],[GroupByKey]]),(ContinuousStatsTable[GroupByKey]=ContinuousStatsTable[[#This Row],[GroupByKey]])*ContinuousStatsTable[Average]))</f>
        <v>0.29970100107953501</v>
      </c>
      <c r="U541">
        <f>IF((ContinuousStatsTable[[#This Row],[RepsRequested]]&gt;1),ContinuousStatsTable[[#This Row],[HalfWidth]],ContinuousStatsTable[[#This Row],[BatchMeansHalfWidth]])</f>
        <v>2.6450685793468105E-4</v>
      </c>
    </row>
    <row r="542" spans="1:21" x14ac:dyDescent="0.25">
      <c r="A542" t="s">
        <v>67</v>
      </c>
      <c r="B542" t="s">
        <v>243</v>
      </c>
      <c r="C542">
        <v>7</v>
      </c>
      <c r="D542" t="s">
        <v>127</v>
      </c>
      <c r="E542" t="s">
        <v>115</v>
      </c>
      <c r="F542" t="s">
        <v>113</v>
      </c>
      <c r="G542">
        <v>2</v>
      </c>
      <c r="H542">
        <v>2E+20</v>
      </c>
      <c r="I542">
        <v>2</v>
      </c>
      <c r="J542">
        <v>2</v>
      </c>
      <c r="K542">
        <v>2</v>
      </c>
      <c r="L542">
        <v>0</v>
      </c>
      <c r="M542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542" cm="1">
        <f t="array" ref="N542">MAX(IF((ProjectInfoTable[ProjectName]=ContinuousStatsTable[[#This Row],[ProjectName]]),(ProjectInfoTable[ProjectName]=ContinuousStatsTable[[#This Row],[ProjectName]])*ProjectInfoTable[NumberOfReplications]))</f>
        <v>10</v>
      </c>
      <c r="O542" cm="1">
        <f t="array" ref="O542">IFERROR(AVERAGE(IF((ContinuousStatsTable[GroupByKey]=ContinuousStatsTable[[#This Row],[GroupByKey]]),(ContinuousStatsTable[GroupByKey]=ContinuousStatsTable[[#This Row],[GroupByKey]])*ContinuousStatsTable[Average])),0)</f>
        <v>2</v>
      </c>
      <c r="P542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0</v>
      </c>
      <c r="Q542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2" cm="1">
        <f t="array" ref="S542">MIN(IF((ContinuousStatsTable[GroupByKey]=ContinuousStatsTable[[#This Row],[GroupByKey]]),(ContinuousStatsTable[GroupByKey]=ContinuousStatsTable[[#This Row],[GroupByKey]])*ContinuousStatsTable[Average]))</f>
        <v>2</v>
      </c>
      <c r="T542" cm="1">
        <f t="array" ref="T542">MAX(IF((ContinuousStatsTable[GroupByKey]=ContinuousStatsTable[[#This Row],[GroupByKey]]),(ContinuousStatsTable[GroupByKey]=ContinuousStatsTable[[#This Row],[GroupByKey]])*ContinuousStatsTable[Average]))</f>
        <v>2</v>
      </c>
      <c r="U542">
        <f>IF((ContinuousStatsTable[[#This Row],[RepsRequested]]&gt;1),ContinuousStatsTable[[#This Row],[HalfWidth]],ContinuousStatsTable[[#This Row],[BatchMeansHalfWidth]])</f>
        <v>0</v>
      </c>
    </row>
    <row r="543" spans="1:21" x14ac:dyDescent="0.25">
      <c r="A543" t="s">
        <v>67</v>
      </c>
      <c r="B543" t="s">
        <v>243</v>
      </c>
      <c r="C543">
        <v>7</v>
      </c>
      <c r="D543" t="s">
        <v>128</v>
      </c>
      <c r="E543" t="s">
        <v>112</v>
      </c>
      <c r="F543" t="s">
        <v>113</v>
      </c>
      <c r="G543">
        <v>0.89992010424273505</v>
      </c>
      <c r="H543">
        <v>3E+20</v>
      </c>
      <c r="I543">
        <v>0</v>
      </c>
      <c r="J543">
        <v>1</v>
      </c>
      <c r="K543">
        <v>0.8</v>
      </c>
      <c r="L543">
        <v>0</v>
      </c>
      <c r="M543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543" cm="1">
        <f t="array" ref="N543">MAX(IF((ProjectInfoTable[ProjectName]=ContinuousStatsTable[[#This Row],[ProjectName]]),(ProjectInfoTable[ProjectName]=ContinuousStatsTable[[#This Row],[ProjectName]])*ProjectInfoTable[NumberOfReplications]))</f>
        <v>10</v>
      </c>
      <c r="O543" cm="1">
        <f t="array" ref="O543">IFERROR(AVERAGE(IF((ContinuousStatsTable[GroupByKey]=ContinuousStatsTable[[#This Row],[GroupByKey]]),(ContinuousStatsTable[GroupByKey]=ContinuousStatsTable[[#This Row],[GroupByKey]])*ContinuousStatsTable[Average])),0)</f>
        <v>0.78490250681152507</v>
      </c>
      <c r="P543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0.11345978752761832</v>
      </c>
      <c r="Q543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8.1164242557846045E-2</v>
      </c>
      <c r="S543" cm="1">
        <f t="array" ref="S543">MIN(IF((ContinuousStatsTable[GroupByKey]=ContinuousStatsTable[[#This Row],[GroupByKey]]),(ContinuousStatsTable[GroupByKey]=ContinuousStatsTable[[#This Row],[GroupByKey]])*ContinuousStatsTable[Average]))</f>
        <v>0.58338388917401696</v>
      </c>
      <c r="T543" cm="1">
        <f t="array" ref="T543">MAX(IF((ContinuousStatsTable[GroupByKey]=ContinuousStatsTable[[#This Row],[GroupByKey]]),(ContinuousStatsTable[GroupByKey]=ContinuousStatsTable[[#This Row],[GroupByKey]])*ContinuousStatsTable[Average]))</f>
        <v>0.90111632059041802</v>
      </c>
      <c r="U543">
        <f>IF((ContinuousStatsTable[[#This Row],[RepsRequested]]&gt;1),ContinuousStatsTable[[#This Row],[HalfWidth]],ContinuousStatsTable[[#This Row],[BatchMeansHalfWidth]])</f>
        <v>8.1164242557846045E-2</v>
      </c>
    </row>
    <row r="544" spans="1:21" x14ac:dyDescent="0.25">
      <c r="A544" t="s">
        <v>67</v>
      </c>
      <c r="B544" t="s">
        <v>243</v>
      </c>
      <c r="C544">
        <v>7</v>
      </c>
      <c r="D544" t="s">
        <v>128</v>
      </c>
      <c r="E544" t="s">
        <v>114</v>
      </c>
      <c r="F544" t="s">
        <v>113</v>
      </c>
      <c r="G544">
        <v>4.4996005212136296</v>
      </c>
      <c r="H544">
        <v>3E+20</v>
      </c>
      <c r="I544">
        <v>0</v>
      </c>
      <c r="J544">
        <v>5</v>
      </c>
      <c r="K544">
        <v>4</v>
      </c>
      <c r="L544">
        <v>0</v>
      </c>
      <c r="M544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544" cm="1">
        <f t="array" ref="N544">MAX(IF((ProjectInfoTable[ProjectName]=ContinuousStatsTable[[#This Row],[ProjectName]]),(ProjectInfoTable[ProjectName]=ContinuousStatsTable[[#This Row],[ProjectName]])*ProjectInfoTable[NumberOfReplications]))</f>
        <v>10</v>
      </c>
      <c r="O544" cm="1">
        <f t="array" ref="O544">IFERROR(AVERAGE(IF((ContinuousStatsTable[GroupByKey]=ContinuousStatsTable[[#This Row],[GroupByKey]]),(ContinuousStatsTable[GroupByKey]=ContinuousStatsTable[[#This Row],[GroupByKey]])*ContinuousStatsTable[Average])),0)</f>
        <v>3.9245125340576221</v>
      </c>
      <c r="P544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0.56729893763807904</v>
      </c>
      <c r="Q544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0.40582121278922129</v>
      </c>
      <c r="S544" cm="1">
        <f t="array" ref="S544">MIN(IF((ContinuousStatsTable[GroupByKey]=ContinuousStatsTable[[#This Row],[GroupByKey]]),(ContinuousStatsTable[GroupByKey]=ContinuousStatsTable[[#This Row],[GroupByKey]])*ContinuousStatsTable[Average]))</f>
        <v>2.91691944587008</v>
      </c>
      <c r="T544" cm="1">
        <f t="array" ref="T544">MAX(IF((ContinuousStatsTable[GroupByKey]=ContinuousStatsTable[[#This Row],[GroupByKey]]),(ContinuousStatsTable[GroupByKey]=ContinuousStatsTable[[#This Row],[GroupByKey]])*ContinuousStatsTable[Average]))</f>
        <v>4.5055816029520903</v>
      </c>
      <c r="U544">
        <f>IF((ContinuousStatsTable[[#This Row],[RepsRequested]]&gt;1),ContinuousStatsTable[[#This Row],[HalfWidth]],ContinuousStatsTable[[#This Row],[BatchMeansHalfWidth]])</f>
        <v>0.40582121278922129</v>
      </c>
    </row>
    <row r="545" spans="1:21" x14ac:dyDescent="0.25">
      <c r="A545" t="s">
        <v>67</v>
      </c>
      <c r="B545" t="s">
        <v>243</v>
      </c>
      <c r="C545">
        <v>7</v>
      </c>
      <c r="D545" t="s">
        <v>128</v>
      </c>
      <c r="E545" t="s">
        <v>115</v>
      </c>
      <c r="F545" t="s">
        <v>113</v>
      </c>
      <c r="G545">
        <v>5</v>
      </c>
      <c r="H545">
        <v>2E+20</v>
      </c>
      <c r="I545">
        <v>5</v>
      </c>
      <c r="J545">
        <v>5</v>
      </c>
      <c r="K545">
        <v>5</v>
      </c>
      <c r="L545">
        <v>0</v>
      </c>
      <c r="M545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545" cm="1">
        <f t="array" ref="N545">MAX(IF((ProjectInfoTable[ProjectName]=ContinuousStatsTable[[#This Row],[ProjectName]]),(ProjectInfoTable[ProjectName]=ContinuousStatsTable[[#This Row],[ProjectName]])*ProjectInfoTable[NumberOfReplications]))</f>
        <v>10</v>
      </c>
      <c r="O545" cm="1">
        <f t="array" ref="O545">IFERROR(AVERAGE(IF((ContinuousStatsTable[GroupByKey]=ContinuousStatsTable[[#This Row],[GroupByKey]]),(ContinuousStatsTable[GroupByKey]=ContinuousStatsTable[[#This Row],[GroupByKey]])*ContinuousStatsTable[Average])),0)</f>
        <v>5</v>
      </c>
      <c r="P54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0</v>
      </c>
      <c r="Q54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5" cm="1">
        <f t="array" ref="S545">MIN(IF((ContinuousStatsTable[GroupByKey]=ContinuousStatsTable[[#This Row],[GroupByKey]]),(ContinuousStatsTable[GroupByKey]=ContinuousStatsTable[[#This Row],[GroupByKey]])*ContinuousStatsTable[Average]))</f>
        <v>5</v>
      </c>
      <c r="T545" cm="1">
        <f t="array" ref="T545">MAX(IF((ContinuousStatsTable[GroupByKey]=ContinuousStatsTable[[#This Row],[GroupByKey]]),(ContinuousStatsTable[GroupByKey]=ContinuousStatsTable[[#This Row],[GroupByKey]])*ContinuousStatsTable[Average]))</f>
        <v>5</v>
      </c>
      <c r="U545">
        <f>IF((ContinuousStatsTable[[#This Row],[RepsRequested]]&gt;1),ContinuousStatsTable[[#This Row],[HalfWidth]],ContinuousStatsTable[[#This Row],[BatchMeansHalfWidth]])</f>
        <v>0</v>
      </c>
    </row>
    <row r="546" spans="1:21" x14ac:dyDescent="0.25">
      <c r="A546" t="s">
        <v>67</v>
      </c>
      <c r="B546" t="s">
        <v>243</v>
      </c>
      <c r="C546">
        <v>7</v>
      </c>
      <c r="D546" t="s">
        <v>129</v>
      </c>
      <c r="E546" t="s">
        <v>112</v>
      </c>
      <c r="F546" t="s">
        <v>113</v>
      </c>
      <c r="G546">
        <v>0.15878533453201299</v>
      </c>
      <c r="H546">
        <v>2E+20</v>
      </c>
      <c r="I546">
        <v>0</v>
      </c>
      <c r="J546">
        <v>0.66666666666666696</v>
      </c>
      <c r="K546">
        <v>0</v>
      </c>
      <c r="L546">
        <v>0</v>
      </c>
      <c r="M546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546" cm="1">
        <f t="array" ref="N546">MAX(IF((ProjectInfoTable[ProjectName]=ContinuousStatsTable[[#This Row],[ProjectName]]),(ProjectInfoTable[ProjectName]=ContinuousStatsTable[[#This Row],[ProjectName]])*ProjectInfoTable[NumberOfReplications]))</f>
        <v>10</v>
      </c>
      <c r="O546" cm="1">
        <f t="array" ref="O546">IFERROR(AVERAGE(IF((ContinuousStatsTable[GroupByKey]=ContinuousStatsTable[[#This Row],[GroupByKey]]),(ContinuousStatsTable[GroupByKey]=ContinuousStatsTable[[#This Row],[GroupByKey]])*ContinuousStatsTable[Average])),0)</f>
        <v>0.15879210791146137</v>
      </c>
      <c r="P546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8.8786593845171554E-6</v>
      </c>
      <c r="Q546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6.3514103064755986E-6</v>
      </c>
      <c r="S546" cm="1">
        <f t="array" ref="S546">MIN(IF((ContinuousStatsTable[GroupByKey]=ContinuousStatsTable[[#This Row],[GroupByKey]]),(ContinuousStatsTable[GroupByKey]=ContinuousStatsTable[[#This Row],[GroupByKey]])*ContinuousStatsTable[Average]))</f>
        <v>0.15877821852350199</v>
      </c>
      <c r="T546" cm="1">
        <f t="array" ref="T546">MAX(IF((ContinuousStatsTable[GroupByKey]=ContinuousStatsTable[[#This Row],[GroupByKey]]),(ContinuousStatsTable[GroupByKey]=ContinuousStatsTable[[#This Row],[GroupByKey]])*ContinuousStatsTable[Average]))</f>
        <v>0.15880443244107401</v>
      </c>
      <c r="U546">
        <f>IF((ContinuousStatsTable[[#This Row],[RepsRequested]]&gt;1),ContinuousStatsTable[[#This Row],[HalfWidth]],ContinuousStatsTable[[#This Row],[BatchMeansHalfWidth]])</f>
        <v>6.3514103064755986E-6</v>
      </c>
    </row>
    <row r="547" spans="1:21" x14ac:dyDescent="0.25">
      <c r="A547" t="s">
        <v>67</v>
      </c>
      <c r="B547" t="s">
        <v>243</v>
      </c>
      <c r="C547">
        <v>7</v>
      </c>
      <c r="D547" t="s">
        <v>129</v>
      </c>
      <c r="E547" t="s">
        <v>114</v>
      </c>
      <c r="F547" t="s">
        <v>113</v>
      </c>
      <c r="G547">
        <v>0.47635600359604302</v>
      </c>
      <c r="H547">
        <v>2E+20</v>
      </c>
      <c r="I547">
        <v>0</v>
      </c>
      <c r="J547">
        <v>2</v>
      </c>
      <c r="K547">
        <v>0</v>
      </c>
      <c r="L547">
        <v>0</v>
      </c>
      <c r="M547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547" cm="1">
        <f t="array" ref="N547">MAX(IF((ProjectInfoTable[ProjectName]=ContinuousStatsTable[[#This Row],[ProjectName]]),(ProjectInfoTable[ProjectName]=ContinuousStatsTable[[#This Row],[ProjectName]])*ProjectInfoTable[NumberOfReplications]))</f>
        <v>10</v>
      </c>
      <c r="O547" cm="1">
        <f t="array" ref="O547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547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547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547" cm="1">
        <f t="array" ref="S547">MIN(IF((ContinuousStatsTable[GroupByKey]=ContinuousStatsTable[[#This Row],[GroupByKey]]),(ContinuousStatsTable[GroupByKey]=ContinuousStatsTable[[#This Row],[GroupByKey]])*ContinuousStatsTable[Average]))</f>
        <v>0.47633465557050603</v>
      </c>
      <c r="T547" cm="1">
        <f t="array" ref="T547">MAX(IF((ContinuousStatsTable[GroupByKey]=ContinuousStatsTable[[#This Row],[GroupByKey]]),(ContinuousStatsTable[GroupByKey]=ContinuousStatsTable[[#This Row],[GroupByKey]])*ContinuousStatsTable[Average]))</f>
        <v>0.47641329732322302</v>
      </c>
      <c r="U547">
        <f>IF((ContinuousStatsTable[[#This Row],[RepsRequested]]&gt;1),ContinuousStatsTable[[#This Row],[HalfWidth]],ContinuousStatsTable[[#This Row],[BatchMeansHalfWidth]])</f>
        <v>1.9054230919217752E-5</v>
      </c>
    </row>
    <row r="548" spans="1:21" x14ac:dyDescent="0.25">
      <c r="A548" t="s">
        <v>67</v>
      </c>
      <c r="B548" t="s">
        <v>243</v>
      </c>
      <c r="C548">
        <v>7</v>
      </c>
      <c r="D548" t="s">
        <v>129</v>
      </c>
      <c r="E548" t="s">
        <v>115</v>
      </c>
      <c r="F548" t="s">
        <v>113</v>
      </c>
      <c r="G548">
        <v>3</v>
      </c>
      <c r="H548">
        <v>2E+20</v>
      </c>
      <c r="I548">
        <v>3</v>
      </c>
      <c r="J548">
        <v>3</v>
      </c>
      <c r="K548">
        <v>3</v>
      </c>
      <c r="L548">
        <v>0</v>
      </c>
      <c r="M548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548" cm="1">
        <f t="array" ref="N548">MAX(IF((ProjectInfoTable[ProjectName]=ContinuousStatsTable[[#This Row],[ProjectName]]),(ProjectInfoTable[ProjectName]=ContinuousStatsTable[[#This Row],[ProjectName]])*ProjectInfoTable[NumberOfReplications]))</f>
        <v>10</v>
      </c>
      <c r="O548" cm="1">
        <f t="array" ref="O548">IFERROR(AVERAGE(IF((ContinuousStatsTable[GroupByKey]=ContinuousStatsTable[[#This Row],[GroupByKey]]),(ContinuousStatsTable[GroupByKey]=ContinuousStatsTable[[#This Row],[GroupByKey]])*ContinuousStatsTable[Average])),0)</f>
        <v>3</v>
      </c>
      <c r="P548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0</v>
      </c>
      <c r="Q548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8" cm="1">
        <f t="array" ref="S548">MIN(IF((ContinuousStatsTable[GroupByKey]=ContinuousStatsTable[[#This Row],[GroupByKey]]),(ContinuousStatsTable[GroupByKey]=ContinuousStatsTable[[#This Row],[GroupByKey]])*ContinuousStatsTable[Average]))</f>
        <v>3</v>
      </c>
      <c r="T548" cm="1">
        <f t="array" ref="T548">MAX(IF((ContinuousStatsTable[GroupByKey]=ContinuousStatsTable[[#This Row],[GroupByKey]]),(ContinuousStatsTable[GroupByKey]=ContinuousStatsTable[[#This Row],[GroupByKey]])*ContinuousStatsTable[Average]))</f>
        <v>3</v>
      </c>
      <c r="U548">
        <f>IF((ContinuousStatsTable[[#This Row],[RepsRequested]]&gt;1),ContinuousStatsTable[[#This Row],[HalfWidth]],ContinuousStatsTable[[#This Row],[BatchMeansHalfWidth]])</f>
        <v>0</v>
      </c>
    </row>
    <row r="549" spans="1:21" x14ac:dyDescent="0.25">
      <c r="A549" t="s">
        <v>67</v>
      </c>
      <c r="B549" t="s">
        <v>243</v>
      </c>
      <c r="C549">
        <v>7</v>
      </c>
      <c r="D549" t="s">
        <v>130</v>
      </c>
      <c r="E549" t="s">
        <v>112</v>
      </c>
      <c r="F549" t="s">
        <v>113</v>
      </c>
      <c r="G549">
        <v>0.47646677260811499</v>
      </c>
      <c r="H549">
        <v>2E+20</v>
      </c>
      <c r="I549">
        <v>0</v>
      </c>
      <c r="J549">
        <v>1</v>
      </c>
      <c r="K549">
        <v>0</v>
      </c>
      <c r="L549">
        <v>0</v>
      </c>
      <c r="M549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549" cm="1">
        <f t="array" ref="N549">MAX(IF((ProjectInfoTable[ProjectName]=ContinuousStatsTable[[#This Row],[ProjectName]]),(ProjectInfoTable[ProjectName]=ContinuousStatsTable[[#This Row],[ProjectName]])*ProjectInfoTable[NumberOfReplications]))</f>
        <v>10</v>
      </c>
      <c r="O549" cm="1">
        <f t="array" ref="O549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549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549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549" cm="1">
        <f t="array" ref="S549">MIN(IF((ContinuousStatsTable[GroupByKey]=ContinuousStatsTable[[#This Row],[GroupByKey]]),(ContinuousStatsTable[GroupByKey]=ContinuousStatsTable[[#This Row],[GroupByKey]])*ContinuousStatsTable[Average]))</f>
        <v>0.47638046343127</v>
      </c>
      <c r="T549" cm="1">
        <f t="array" ref="T549">MAX(IF((ContinuousStatsTable[GroupByKey]=ContinuousStatsTable[[#This Row],[GroupByKey]]),(ContinuousStatsTable[GroupByKey]=ContinuousStatsTable[[#This Row],[GroupByKey]])*ContinuousStatsTable[Average]))</f>
        <v>0.47647340349894202</v>
      </c>
      <c r="U549">
        <f>IF((ContinuousStatsTable[[#This Row],[RepsRequested]]&gt;1),ContinuousStatsTable[[#This Row],[HalfWidth]],ContinuousStatsTable[[#This Row],[BatchMeansHalfWidth]])</f>
        <v>2.530338482140405E-5</v>
      </c>
    </row>
    <row r="550" spans="1:21" x14ac:dyDescent="0.25">
      <c r="A550" t="s">
        <v>67</v>
      </c>
      <c r="B550" t="s">
        <v>243</v>
      </c>
      <c r="C550">
        <v>7</v>
      </c>
      <c r="D550" t="s">
        <v>130</v>
      </c>
      <c r="E550" t="s">
        <v>114</v>
      </c>
      <c r="F550" t="s">
        <v>113</v>
      </c>
      <c r="G550">
        <v>0.47646677260811499</v>
      </c>
      <c r="H550">
        <v>2E+20</v>
      </c>
      <c r="I550">
        <v>0</v>
      </c>
      <c r="J550">
        <v>1</v>
      </c>
      <c r="K550">
        <v>0</v>
      </c>
      <c r="L550">
        <v>0</v>
      </c>
      <c r="M550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550" cm="1">
        <f t="array" ref="N550">MAX(IF((ProjectInfoTable[ProjectName]=ContinuousStatsTable[[#This Row],[ProjectName]]),(ProjectInfoTable[ProjectName]=ContinuousStatsTable[[#This Row],[ProjectName]])*ProjectInfoTable[NumberOfReplications]))</f>
        <v>10</v>
      </c>
      <c r="O550" cm="1">
        <f t="array" ref="O550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550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550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550" cm="1">
        <f t="array" ref="S550">MIN(IF((ContinuousStatsTable[GroupByKey]=ContinuousStatsTable[[#This Row],[GroupByKey]]),(ContinuousStatsTable[GroupByKey]=ContinuousStatsTable[[#This Row],[GroupByKey]])*ContinuousStatsTable[Average]))</f>
        <v>0.47638046343127</v>
      </c>
      <c r="T550" cm="1">
        <f t="array" ref="T550">MAX(IF((ContinuousStatsTable[GroupByKey]=ContinuousStatsTable[[#This Row],[GroupByKey]]),(ContinuousStatsTable[GroupByKey]=ContinuousStatsTable[[#This Row],[GroupByKey]])*ContinuousStatsTable[Average]))</f>
        <v>0.47647340349894202</v>
      </c>
      <c r="U550">
        <f>IF((ContinuousStatsTable[[#This Row],[RepsRequested]]&gt;1),ContinuousStatsTable[[#This Row],[HalfWidth]],ContinuousStatsTable[[#This Row],[BatchMeansHalfWidth]])</f>
        <v>2.530338482140405E-5</v>
      </c>
    </row>
    <row r="551" spans="1:21" x14ac:dyDescent="0.25">
      <c r="A551" t="s">
        <v>67</v>
      </c>
      <c r="B551" t="s">
        <v>243</v>
      </c>
      <c r="C551">
        <v>7</v>
      </c>
      <c r="D551" t="s">
        <v>130</v>
      </c>
      <c r="E551" t="s">
        <v>115</v>
      </c>
      <c r="F551" t="s">
        <v>113</v>
      </c>
      <c r="G551">
        <v>0.476190476190476</v>
      </c>
      <c r="H551">
        <v>2E+20</v>
      </c>
      <c r="I551">
        <v>0</v>
      </c>
      <c r="J551">
        <v>1</v>
      </c>
      <c r="K551">
        <v>0</v>
      </c>
      <c r="L551">
        <v>0</v>
      </c>
      <c r="M551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551" cm="1">
        <f t="array" ref="N551">MAX(IF((ProjectInfoTable[ProjectName]=ContinuousStatsTable[[#This Row],[ProjectName]]),(ProjectInfoTable[ProjectName]=ContinuousStatsTable[[#This Row],[ProjectName]])*ProjectInfoTable[NumberOfReplications]))</f>
        <v>10</v>
      </c>
      <c r="O551" cm="1">
        <f t="array" ref="O551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51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cm="1">
        <f t="array" ref="S551">MIN(IF((ContinuousStatsTable[GroupByKey]=ContinuousStatsTable[[#This Row],[GroupByKey]]),(ContinuousStatsTable[GroupByKey]=ContinuousStatsTable[[#This Row],[GroupByKey]])*ContinuousStatsTable[Average]))</f>
        <v>0.476190476190476</v>
      </c>
      <c r="T551" cm="1">
        <f t="array" ref="T551">MAX(IF((ContinuousStatsTable[GroupByKey]=ContinuousStatsTable[[#This Row],[GroupByKey]]),(ContinuousStatsTable[GroupByKey]=ContinuousStatsTable[[#This Row],[GroupByKey]])*ContinuousStatsTable[Average]))</f>
        <v>0.476190476190476</v>
      </c>
      <c r="U551">
        <f>IF((ContinuousStatsTable[[#This Row],[RepsRequested]]&gt;1),ContinuousStatsTable[[#This Row],[HalfWidth]],ContinuousStatsTable[[#This Row],[BatchMeansHalfWidth]])</f>
        <v>0</v>
      </c>
    </row>
    <row r="552" spans="1:21" x14ac:dyDescent="0.25">
      <c r="A552" t="s">
        <v>67</v>
      </c>
      <c r="B552" t="s">
        <v>243</v>
      </c>
      <c r="C552">
        <v>7</v>
      </c>
      <c r="D552" t="s">
        <v>131</v>
      </c>
      <c r="E552" t="s">
        <v>112</v>
      </c>
      <c r="F552" t="s">
        <v>113</v>
      </c>
      <c r="G552">
        <v>0.34698853009023001</v>
      </c>
      <c r="H552">
        <v>3E+20</v>
      </c>
      <c r="I552">
        <v>0</v>
      </c>
      <c r="J552">
        <v>1</v>
      </c>
      <c r="K552">
        <v>0</v>
      </c>
      <c r="L552">
        <v>0</v>
      </c>
      <c r="M552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552" cm="1">
        <f t="array" ref="N552">MAX(IF((ProjectInfoTable[ProjectName]=ContinuousStatsTable[[#This Row],[ProjectName]]),(ProjectInfoTable[ProjectName]=ContinuousStatsTable[[#This Row],[ProjectName]])*ProjectInfoTable[NumberOfReplications]))</f>
        <v>10</v>
      </c>
      <c r="O552" cm="1">
        <f t="array" ref="O552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552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552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552" cm="1">
        <f t="array" ref="S552">MIN(IF((ContinuousStatsTable[GroupByKey]=ContinuousStatsTable[[#This Row],[GroupByKey]]),(ContinuousStatsTable[GroupByKey]=ContinuousStatsTable[[#This Row],[GroupByKey]])*ContinuousStatsTable[Average]))</f>
        <v>0.34602746258727701</v>
      </c>
      <c r="T552" cm="1">
        <f t="array" ref="T552">MAX(IF((ContinuousStatsTable[GroupByKey]=ContinuousStatsTable[[#This Row],[GroupByKey]]),(ContinuousStatsTable[GroupByKey]=ContinuousStatsTable[[#This Row],[GroupByKey]])*ContinuousStatsTable[Average]))</f>
        <v>0.34712505386175102</v>
      </c>
      <c r="U552">
        <f>IF((ContinuousStatsTable[[#This Row],[RepsRequested]]&gt;1),ContinuousStatsTable[[#This Row],[HalfWidth]],ContinuousStatsTable[[#This Row],[BatchMeansHalfWidth]])</f>
        <v>2.4134201748419608E-4</v>
      </c>
    </row>
    <row r="553" spans="1:21" x14ac:dyDescent="0.25">
      <c r="A553" t="s">
        <v>67</v>
      </c>
      <c r="B553" t="s">
        <v>243</v>
      </c>
      <c r="C553">
        <v>7</v>
      </c>
      <c r="D553" t="s">
        <v>131</v>
      </c>
      <c r="E553" t="s">
        <v>114</v>
      </c>
      <c r="F553" t="s">
        <v>113</v>
      </c>
      <c r="G553">
        <v>0.34698853009023001</v>
      </c>
      <c r="H553">
        <v>3E+20</v>
      </c>
      <c r="I553">
        <v>0</v>
      </c>
      <c r="J553">
        <v>1</v>
      </c>
      <c r="K553">
        <v>0</v>
      </c>
      <c r="L553">
        <v>0</v>
      </c>
      <c r="M553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553" cm="1">
        <f t="array" ref="N553">MAX(IF((ProjectInfoTable[ProjectName]=ContinuousStatsTable[[#This Row],[ProjectName]]),(ProjectInfoTable[ProjectName]=ContinuousStatsTable[[#This Row],[ProjectName]])*ProjectInfoTable[NumberOfReplications]))</f>
        <v>10</v>
      </c>
      <c r="O553" cm="1">
        <f t="array" ref="O553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553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553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553" cm="1">
        <f t="array" ref="S553">MIN(IF((ContinuousStatsTable[GroupByKey]=ContinuousStatsTable[[#This Row],[GroupByKey]]),(ContinuousStatsTable[GroupByKey]=ContinuousStatsTable[[#This Row],[GroupByKey]])*ContinuousStatsTable[Average]))</f>
        <v>0.34602746258727701</v>
      </c>
      <c r="T553" cm="1">
        <f t="array" ref="T553">MAX(IF((ContinuousStatsTable[GroupByKey]=ContinuousStatsTable[[#This Row],[GroupByKey]]),(ContinuousStatsTable[GroupByKey]=ContinuousStatsTable[[#This Row],[GroupByKey]])*ContinuousStatsTable[Average]))</f>
        <v>0.34712505386175102</v>
      </c>
      <c r="U553">
        <f>IF((ContinuousStatsTable[[#This Row],[RepsRequested]]&gt;1),ContinuousStatsTable[[#This Row],[HalfWidth]],ContinuousStatsTable[[#This Row],[BatchMeansHalfWidth]])</f>
        <v>2.4134201748419608E-4</v>
      </c>
    </row>
    <row r="554" spans="1:21" x14ac:dyDescent="0.25">
      <c r="A554" t="s">
        <v>67</v>
      </c>
      <c r="B554" t="s">
        <v>243</v>
      </c>
      <c r="C554">
        <v>7</v>
      </c>
      <c r="D554" t="s">
        <v>131</v>
      </c>
      <c r="E554" t="s">
        <v>115</v>
      </c>
      <c r="F554" t="s">
        <v>113</v>
      </c>
      <c r="G554">
        <v>0.476190476190476</v>
      </c>
      <c r="H554">
        <v>2E+20</v>
      </c>
      <c r="I554">
        <v>0</v>
      </c>
      <c r="J554">
        <v>1</v>
      </c>
      <c r="K554">
        <v>0</v>
      </c>
      <c r="L554">
        <v>0</v>
      </c>
      <c r="M554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554" cm="1">
        <f t="array" ref="N554">MAX(IF((ProjectInfoTable[ProjectName]=ContinuousStatsTable[[#This Row],[ProjectName]]),(ProjectInfoTable[ProjectName]=ContinuousStatsTable[[#This Row],[ProjectName]])*ProjectInfoTable[NumberOfReplications]))</f>
        <v>10</v>
      </c>
      <c r="O554" cm="1">
        <f t="array" ref="O55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54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0</v>
      </c>
      <c r="Q554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4" cm="1">
        <f t="array" ref="S554">MIN(IF((ContinuousStatsTable[GroupByKey]=ContinuousStatsTable[[#This Row],[GroupByKey]]),(ContinuousStatsTable[GroupByKey]=ContinuousStatsTable[[#This Row],[GroupByKey]])*ContinuousStatsTable[Average]))</f>
        <v>0.476190476190476</v>
      </c>
      <c r="T554" cm="1">
        <f t="array" ref="T554">MAX(IF((ContinuousStatsTable[GroupByKey]=ContinuousStatsTable[[#This Row],[GroupByKey]]),(ContinuousStatsTable[GroupByKey]=ContinuousStatsTable[[#This Row],[GroupByKey]])*ContinuousStatsTable[Average]))</f>
        <v>0.476190476190476</v>
      </c>
      <c r="U554">
        <f>IF((ContinuousStatsTable[[#This Row],[RepsRequested]]&gt;1),ContinuousStatsTable[[#This Row],[HalfWidth]],ContinuousStatsTable[[#This Row],[BatchMeansHalfWidth]])</f>
        <v>0</v>
      </c>
    </row>
    <row r="555" spans="1:21" x14ac:dyDescent="0.25">
      <c r="A555" t="s">
        <v>67</v>
      </c>
      <c r="B555" t="s">
        <v>243</v>
      </c>
      <c r="C555">
        <v>7</v>
      </c>
      <c r="D555" t="s">
        <v>132</v>
      </c>
      <c r="E555" t="s">
        <v>112</v>
      </c>
      <c r="F555" t="s">
        <v>113</v>
      </c>
      <c r="G555">
        <v>0.45502455137665199</v>
      </c>
      <c r="H555">
        <v>3E+20</v>
      </c>
      <c r="I555">
        <v>0</v>
      </c>
      <c r="J555">
        <v>1</v>
      </c>
      <c r="K555">
        <v>0</v>
      </c>
      <c r="L555">
        <v>0</v>
      </c>
      <c r="M555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555" cm="1">
        <f t="array" ref="N555">MAX(IF((ProjectInfoTable[ProjectName]=ContinuousStatsTable[[#This Row],[ProjectName]]),(ProjectInfoTable[ProjectName]=ContinuousStatsTable[[#This Row],[ProjectName]])*ProjectInfoTable[NumberOfReplications]))</f>
        <v>10</v>
      </c>
      <c r="O555" cm="1">
        <f t="array" ref="O555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55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55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555" cm="1">
        <f t="array" ref="S555">MIN(IF((ContinuousStatsTable[GroupByKey]=ContinuousStatsTable[[#This Row],[GroupByKey]]),(ContinuousStatsTable[GroupByKey]=ContinuousStatsTable[[#This Row],[GroupByKey]])*ContinuousStatsTable[Average]))</f>
        <v>0.45404133128311103</v>
      </c>
      <c r="T555" cm="1">
        <f t="array" ref="T555">MAX(IF((ContinuousStatsTable[GroupByKey]=ContinuousStatsTable[[#This Row],[GroupByKey]]),(ContinuousStatsTable[GroupByKey]=ContinuousStatsTable[[#This Row],[GroupByKey]])*ContinuousStatsTable[Average]))</f>
        <v>0.45518418142323402</v>
      </c>
      <c r="U555">
        <f>IF((ContinuousStatsTable[[#This Row],[RepsRequested]]&gt;1),ContinuousStatsTable[[#This Row],[HalfWidth]],ContinuousStatsTable[[#This Row],[BatchMeansHalfWidth]])</f>
        <v>2.6178321488092363E-4</v>
      </c>
    </row>
    <row r="556" spans="1:21" x14ac:dyDescent="0.25">
      <c r="A556" t="s">
        <v>67</v>
      </c>
      <c r="B556" t="s">
        <v>243</v>
      </c>
      <c r="C556">
        <v>7</v>
      </c>
      <c r="D556" t="s">
        <v>132</v>
      </c>
      <c r="E556" t="s">
        <v>114</v>
      </c>
      <c r="F556" t="s">
        <v>113</v>
      </c>
      <c r="G556">
        <v>0.45502455137665199</v>
      </c>
      <c r="H556">
        <v>3E+20</v>
      </c>
      <c r="I556">
        <v>0</v>
      </c>
      <c r="J556">
        <v>1</v>
      </c>
      <c r="K556">
        <v>0</v>
      </c>
      <c r="L556">
        <v>0</v>
      </c>
      <c r="M556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556" cm="1">
        <f t="array" ref="N556">MAX(IF((ProjectInfoTable[ProjectName]=ContinuousStatsTable[[#This Row],[ProjectName]]),(ProjectInfoTable[ProjectName]=ContinuousStatsTable[[#This Row],[ProjectName]])*ProjectInfoTable[NumberOfReplications]))</f>
        <v>10</v>
      </c>
      <c r="O556" cm="1">
        <f t="array" ref="O556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556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556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556" cm="1">
        <f t="array" ref="S556">MIN(IF((ContinuousStatsTable[GroupByKey]=ContinuousStatsTable[[#This Row],[GroupByKey]]),(ContinuousStatsTable[GroupByKey]=ContinuousStatsTable[[#This Row],[GroupByKey]])*ContinuousStatsTable[Average]))</f>
        <v>0.45404133128311103</v>
      </c>
      <c r="T556" cm="1">
        <f t="array" ref="T556">MAX(IF((ContinuousStatsTable[GroupByKey]=ContinuousStatsTable[[#This Row],[GroupByKey]]),(ContinuousStatsTable[GroupByKey]=ContinuousStatsTable[[#This Row],[GroupByKey]])*ContinuousStatsTable[Average]))</f>
        <v>0.45518418142323402</v>
      </c>
      <c r="U556">
        <f>IF((ContinuousStatsTable[[#This Row],[RepsRequested]]&gt;1),ContinuousStatsTable[[#This Row],[HalfWidth]],ContinuousStatsTable[[#This Row],[BatchMeansHalfWidth]])</f>
        <v>2.6178321488092363E-4</v>
      </c>
    </row>
    <row r="557" spans="1:21" x14ac:dyDescent="0.25">
      <c r="A557" t="s">
        <v>67</v>
      </c>
      <c r="B557" t="s">
        <v>243</v>
      </c>
      <c r="C557">
        <v>7</v>
      </c>
      <c r="D557" t="s">
        <v>132</v>
      </c>
      <c r="E557" t="s">
        <v>115</v>
      </c>
      <c r="F557" t="s">
        <v>113</v>
      </c>
      <c r="G557">
        <v>0.476190476190476</v>
      </c>
      <c r="H557">
        <v>2E+20</v>
      </c>
      <c r="I557">
        <v>0</v>
      </c>
      <c r="J557">
        <v>1</v>
      </c>
      <c r="K557">
        <v>0</v>
      </c>
      <c r="L557">
        <v>0</v>
      </c>
      <c r="M557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557" cm="1">
        <f t="array" ref="N557">MAX(IF((ProjectInfoTable[ProjectName]=ContinuousStatsTable[[#This Row],[ProjectName]]),(ProjectInfoTable[ProjectName]=ContinuousStatsTable[[#This Row],[ProjectName]])*ProjectInfoTable[NumberOfReplications]))</f>
        <v>10</v>
      </c>
      <c r="O557" cm="1">
        <f t="array" ref="O557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57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0</v>
      </c>
      <c r="Q557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7" cm="1">
        <f t="array" ref="S557">MIN(IF((ContinuousStatsTable[GroupByKey]=ContinuousStatsTable[[#This Row],[GroupByKey]]),(ContinuousStatsTable[GroupByKey]=ContinuousStatsTable[[#This Row],[GroupByKey]])*ContinuousStatsTable[Average]))</f>
        <v>0.476190476190476</v>
      </c>
      <c r="T557" cm="1">
        <f t="array" ref="T557">MAX(IF((ContinuousStatsTable[GroupByKey]=ContinuousStatsTable[[#This Row],[GroupByKey]]),(ContinuousStatsTable[GroupByKey]=ContinuousStatsTable[[#This Row],[GroupByKey]])*ContinuousStatsTable[Average]))</f>
        <v>0.476190476190476</v>
      </c>
      <c r="U557">
        <f>IF((ContinuousStatsTable[[#This Row],[RepsRequested]]&gt;1),ContinuousStatsTable[[#This Row],[HalfWidth]],ContinuousStatsTable[[#This Row],[BatchMeansHalfWidth]])</f>
        <v>0</v>
      </c>
    </row>
    <row r="558" spans="1:21" x14ac:dyDescent="0.25">
      <c r="A558" t="s">
        <v>67</v>
      </c>
      <c r="B558" t="s">
        <v>243</v>
      </c>
      <c r="C558">
        <v>7</v>
      </c>
      <c r="D558" t="s">
        <v>133</v>
      </c>
      <c r="E558" t="s">
        <v>112</v>
      </c>
      <c r="F558" t="s">
        <v>113</v>
      </c>
      <c r="G558">
        <v>0.231931597051206</v>
      </c>
      <c r="H558">
        <v>3E+20</v>
      </c>
      <c r="I558">
        <v>0</v>
      </c>
      <c r="J558">
        <v>1</v>
      </c>
      <c r="K558">
        <v>0</v>
      </c>
      <c r="L558">
        <v>0</v>
      </c>
      <c r="M558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558" cm="1">
        <f t="array" ref="N558">MAX(IF((ProjectInfoTable[ProjectName]=ContinuousStatsTable[[#This Row],[ProjectName]]),(ProjectInfoTable[ProjectName]=ContinuousStatsTable[[#This Row],[ProjectName]])*ProjectInfoTable[NumberOfReplications]))</f>
        <v>10</v>
      </c>
      <c r="O558" cm="1">
        <f t="array" ref="O558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558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558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558" cm="1">
        <f t="array" ref="S558">MIN(IF((ContinuousStatsTable[GroupByKey]=ContinuousStatsTable[[#This Row],[GroupByKey]]),(ContinuousStatsTable[GroupByKey]=ContinuousStatsTable[[#This Row],[GroupByKey]])*ContinuousStatsTable[Average]))</f>
        <v>0.230969532572807</v>
      </c>
      <c r="T558" cm="1">
        <f t="array" ref="T558">MAX(IF((ContinuousStatsTable[GroupByKey]=ContinuousStatsTable[[#This Row],[GroupByKey]]),(ContinuousStatsTable[GroupByKey]=ContinuousStatsTable[[#This Row],[GroupByKey]])*ContinuousStatsTable[Average]))</f>
        <v>0.23202343200723599</v>
      </c>
      <c r="U558">
        <f>IF((ContinuousStatsTable[[#This Row],[RepsRequested]]&gt;1),ContinuousStatsTable[[#This Row],[HalfWidth]],ContinuousStatsTable[[#This Row],[BatchMeansHalfWidth]])</f>
        <v>2.4725912837525509E-4</v>
      </c>
    </row>
    <row r="559" spans="1:21" x14ac:dyDescent="0.25">
      <c r="A559" t="s">
        <v>67</v>
      </c>
      <c r="B559" t="s">
        <v>243</v>
      </c>
      <c r="C559">
        <v>7</v>
      </c>
      <c r="D559" t="s">
        <v>133</v>
      </c>
      <c r="E559" t="s">
        <v>114</v>
      </c>
      <c r="F559" t="s">
        <v>113</v>
      </c>
      <c r="G559">
        <v>0.231931597051206</v>
      </c>
      <c r="H559">
        <v>3E+20</v>
      </c>
      <c r="I559">
        <v>0</v>
      </c>
      <c r="J559">
        <v>1</v>
      </c>
      <c r="K559">
        <v>0</v>
      </c>
      <c r="L559">
        <v>0</v>
      </c>
      <c r="M559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559" cm="1">
        <f t="array" ref="N559">MAX(IF((ProjectInfoTable[ProjectName]=ContinuousStatsTable[[#This Row],[ProjectName]]),(ProjectInfoTable[ProjectName]=ContinuousStatsTable[[#This Row],[ProjectName]])*ProjectInfoTable[NumberOfReplications]))</f>
        <v>10</v>
      </c>
      <c r="O559" cm="1">
        <f t="array" ref="O559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559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559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559" cm="1">
        <f t="array" ref="S559">MIN(IF((ContinuousStatsTable[GroupByKey]=ContinuousStatsTable[[#This Row],[GroupByKey]]),(ContinuousStatsTable[GroupByKey]=ContinuousStatsTable[[#This Row],[GroupByKey]])*ContinuousStatsTable[Average]))</f>
        <v>0.230969532572807</v>
      </c>
      <c r="T559" cm="1">
        <f t="array" ref="T559">MAX(IF((ContinuousStatsTable[GroupByKey]=ContinuousStatsTable[[#This Row],[GroupByKey]]),(ContinuousStatsTable[GroupByKey]=ContinuousStatsTable[[#This Row],[GroupByKey]])*ContinuousStatsTable[Average]))</f>
        <v>0.23202343200723599</v>
      </c>
      <c r="U559">
        <f>IF((ContinuousStatsTable[[#This Row],[RepsRequested]]&gt;1),ContinuousStatsTable[[#This Row],[HalfWidth]],ContinuousStatsTable[[#This Row],[BatchMeansHalfWidth]])</f>
        <v>2.4725912837525509E-4</v>
      </c>
    </row>
    <row r="560" spans="1:21" x14ac:dyDescent="0.25">
      <c r="A560" t="s">
        <v>67</v>
      </c>
      <c r="B560" t="s">
        <v>243</v>
      </c>
      <c r="C560">
        <v>7</v>
      </c>
      <c r="D560" t="s">
        <v>133</v>
      </c>
      <c r="E560" t="s">
        <v>115</v>
      </c>
      <c r="F560" t="s">
        <v>113</v>
      </c>
      <c r="G560">
        <v>0.476190476190476</v>
      </c>
      <c r="H560">
        <v>2E+20</v>
      </c>
      <c r="I560">
        <v>0</v>
      </c>
      <c r="J560">
        <v>1</v>
      </c>
      <c r="K560">
        <v>0</v>
      </c>
      <c r="L560">
        <v>0</v>
      </c>
      <c r="M560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560" cm="1">
        <f t="array" ref="N560">MAX(IF((ProjectInfoTable[ProjectName]=ContinuousStatsTable[[#This Row],[ProjectName]]),(ProjectInfoTable[ProjectName]=ContinuousStatsTable[[#This Row],[ProjectName]])*ProjectInfoTable[NumberOfReplications]))</f>
        <v>10</v>
      </c>
      <c r="O560" cm="1">
        <f t="array" ref="O560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60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cm="1">
        <f t="array" ref="S560">MIN(IF((ContinuousStatsTable[GroupByKey]=ContinuousStatsTable[[#This Row],[GroupByKey]]),(ContinuousStatsTable[GroupByKey]=ContinuousStatsTable[[#This Row],[GroupByKey]])*ContinuousStatsTable[Average]))</f>
        <v>0.476190476190476</v>
      </c>
      <c r="T560" cm="1">
        <f t="array" ref="T560">MAX(IF((ContinuousStatsTable[GroupByKey]=ContinuousStatsTable[[#This Row],[GroupByKey]]),(ContinuousStatsTable[GroupByKey]=ContinuousStatsTable[[#This Row],[GroupByKey]])*ContinuousStatsTable[Average]))</f>
        <v>0.476190476190476</v>
      </c>
      <c r="U560">
        <f>IF((ContinuousStatsTable[[#This Row],[RepsRequested]]&gt;1),ContinuousStatsTable[[#This Row],[HalfWidth]],ContinuousStatsTable[[#This Row],[BatchMeansHalfWidth]])</f>
        <v>0</v>
      </c>
    </row>
    <row r="561" spans="1:21" x14ac:dyDescent="0.25">
      <c r="A561" t="s">
        <v>67</v>
      </c>
      <c r="B561" t="s">
        <v>243</v>
      </c>
      <c r="C561">
        <v>7</v>
      </c>
      <c r="D561" t="s">
        <v>134</v>
      </c>
      <c r="E561" t="s">
        <v>112</v>
      </c>
      <c r="F561" t="s">
        <v>113</v>
      </c>
      <c r="G561">
        <v>0.27247090168166299</v>
      </c>
      <c r="H561">
        <v>3E+20</v>
      </c>
      <c r="I561">
        <v>0</v>
      </c>
      <c r="J561">
        <v>1</v>
      </c>
      <c r="K561">
        <v>0</v>
      </c>
      <c r="L561">
        <v>0</v>
      </c>
      <c r="M561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561" cm="1">
        <f t="array" ref="N561">MAX(IF((ProjectInfoTable[ProjectName]=ContinuousStatsTable[[#This Row],[ProjectName]]),(ProjectInfoTable[ProjectName]=ContinuousStatsTable[[#This Row],[ProjectName]])*ProjectInfoTable[NumberOfReplications]))</f>
        <v>10</v>
      </c>
      <c r="O561" cm="1">
        <f t="array" ref="O561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561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561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561" cm="1">
        <f t="array" ref="S561">MIN(IF((ContinuousStatsTable[GroupByKey]=ContinuousStatsTable[[#This Row],[GroupByKey]]),(ContinuousStatsTable[GroupByKey]=ContinuousStatsTable[[#This Row],[GroupByKey]])*ContinuousStatsTable[Average]))</f>
        <v>0.271979535431421</v>
      </c>
      <c r="T561" cm="1">
        <f t="array" ref="T561">MAX(IF((ContinuousStatsTable[GroupByKey]=ContinuousStatsTable[[#This Row],[GroupByKey]]),(ContinuousStatsTable[GroupByKey]=ContinuousStatsTable[[#This Row],[GroupByKey]])*ContinuousStatsTable[Average]))</f>
        <v>0.27283313106114998</v>
      </c>
      <c r="U561">
        <f>IF((ContinuousStatsTable[[#This Row],[RepsRequested]]&gt;1),ContinuousStatsTable[[#This Row],[HalfWidth]],ContinuousStatsTable[[#This Row],[BatchMeansHalfWidth]])</f>
        <v>1.7269361236560142E-4</v>
      </c>
    </row>
    <row r="562" spans="1:21" x14ac:dyDescent="0.25">
      <c r="A562" t="s">
        <v>67</v>
      </c>
      <c r="B562" t="s">
        <v>243</v>
      </c>
      <c r="C562">
        <v>7</v>
      </c>
      <c r="D562" t="s">
        <v>134</v>
      </c>
      <c r="E562" t="s">
        <v>114</v>
      </c>
      <c r="F562" t="s">
        <v>113</v>
      </c>
      <c r="G562">
        <v>0.27247090168166299</v>
      </c>
      <c r="H562">
        <v>3E+20</v>
      </c>
      <c r="I562">
        <v>0</v>
      </c>
      <c r="J562">
        <v>1</v>
      </c>
      <c r="K562">
        <v>0</v>
      </c>
      <c r="L562">
        <v>0</v>
      </c>
      <c r="M562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562" cm="1">
        <f t="array" ref="N562">MAX(IF((ProjectInfoTable[ProjectName]=ContinuousStatsTable[[#This Row],[ProjectName]]),(ProjectInfoTable[ProjectName]=ContinuousStatsTable[[#This Row],[ProjectName]])*ProjectInfoTable[NumberOfReplications]))</f>
        <v>10</v>
      </c>
      <c r="O562" cm="1">
        <f t="array" ref="O562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562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562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562" cm="1">
        <f t="array" ref="S562">MIN(IF((ContinuousStatsTable[GroupByKey]=ContinuousStatsTable[[#This Row],[GroupByKey]]),(ContinuousStatsTable[GroupByKey]=ContinuousStatsTable[[#This Row],[GroupByKey]])*ContinuousStatsTable[Average]))</f>
        <v>0.271979535431421</v>
      </c>
      <c r="T562" cm="1">
        <f t="array" ref="T562">MAX(IF((ContinuousStatsTable[GroupByKey]=ContinuousStatsTable[[#This Row],[GroupByKey]]),(ContinuousStatsTable[GroupByKey]=ContinuousStatsTable[[#This Row],[GroupByKey]])*ContinuousStatsTable[Average]))</f>
        <v>0.27283313106114998</v>
      </c>
      <c r="U562">
        <f>IF((ContinuousStatsTable[[#This Row],[RepsRequested]]&gt;1),ContinuousStatsTable[[#This Row],[HalfWidth]],ContinuousStatsTable[[#This Row],[BatchMeansHalfWidth]])</f>
        <v>1.7269361236560142E-4</v>
      </c>
    </row>
    <row r="563" spans="1:21" x14ac:dyDescent="0.25">
      <c r="A563" t="s">
        <v>67</v>
      </c>
      <c r="B563" t="s">
        <v>243</v>
      </c>
      <c r="C563">
        <v>7</v>
      </c>
      <c r="D563" t="s">
        <v>134</v>
      </c>
      <c r="E563" t="s">
        <v>115</v>
      </c>
      <c r="F563" t="s">
        <v>113</v>
      </c>
      <c r="G563">
        <v>0.476190476190476</v>
      </c>
      <c r="H563">
        <v>2E+20</v>
      </c>
      <c r="I563">
        <v>0</v>
      </c>
      <c r="J563">
        <v>1</v>
      </c>
      <c r="K563">
        <v>0</v>
      </c>
      <c r="L563">
        <v>0</v>
      </c>
      <c r="M563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563" cm="1">
        <f t="array" ref="N563">MAX(IF((ProjectInfoTable[ProjectName]=ContinuousStatsTable[[#This Row],[ProjectName]]),(ProjectInfoTable[ProjectName]=ContinuousStatsTable[[#This Row],[ProjectName]])*ProjectInfoTable[NumberOfReplications]))</f>
        <v>10</v>
      </c>
      <c r="O563" cm="1">
        <f t="array" ref="O563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63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</v>
      </c>
      <c r="Q563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3" cm="1">
        <f t="array" ref="S563">MIN(IF((ContinuousStatsTable[GroupByKey]=ContinuousStatsTable[[#This Row],[GroupByKey]]),(ContinuousStatsTable[GroupByKey]=ContinuousStatsTable[[#This Row],[GroupByKey]])*ContinuousStatsTable[Average]))</f>
        <v>0.476190476190476</v>
      </c>
      <c r="T563" cm="1">
        <f t="array" ref="T563">MAX(IF((ContinuousStatsTable[GroupByKey]=ContinuousStatsTable[[#This Row],[GroupByKey]]),(ContinuousStatsTable[GroupByKey]=ContinuousStatsTable[[#This Row],[GroupByKey]])*ContinuousStatsTable[Average]))</f>
        <v>0.476190476190476</v>
      </c>
      <c r="U563">
        <f>IF((ContinuousStatsTable[[#This Row],[RepsRequested]]&gt;1),ContinuousStatsTable[[#This Row],[HalfWidth]],ContinuousStatsTable[[#This Row],[BatchMeansHalfWidth]])</f>
        <v>0</v>
      </c>
    </row>
    <row r="564" spans="1:21" x14ac:dyDescent="0.25">
      <c r="A564" t="s">
        <v>67</v>
      </c>
      <c r="B564" t="s">
        <v>243</v>
      </c>
      <c r="C564">
        <v>7</v>
      </c>
      <c r="D564" t="s">
        <v>135</v>
      </c>
      <c r="E564" t="s">
        <v>112</v>
      </c>
      <c r="F564" t="s">
        <v>113</v>
      </c>
      <c r="G564">
        <v>0.47645180008591498</v>
      </c>
      <c r="H564">
        <v>2E+20</v>
      </c>
      <c r="I564">
        <v>0</v>
      </c>
      <c r="J564">
        <v>1</v>
      </c>
      <c r="K564">
        <v>0</v>
      </c>
      <c r="L564">
        <v>0</v>
      </c>
      <c r="M564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564" cm="1">
        <f t="array" ref="N564">MAX(IF((ProjectInfoTable[ProjectName]=ContinuousStatsTable[[#This Row],[ProjectName]]),(ProjectInfoTable[ProjectName]=ContinuousStatsTable[[#This Row],[ProjectName]])*ProjectInfoTable[NumberOfReplications]))</f>
        <v>10</v>
      </c>
      <c r="O564" cm="1">
        <f t="array" ref="O564">IFERROR(AVERAGE(IF((ContinuousStatsTable[GroupByKey]=ContinuousStatsTable[[#This Row],[GroupByKey]]),(ContinuousStatsTable[GroupByKey]=ContinuousStatsTable[[#This Row],[GroupByKey]])*ContinuousStatsTable[Average])),0)</f>
        <v>0.47640752107427203</v>
      </c>
      <c r="P564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7.9809559904816854E-5</v>
      </c>
      <c r="Q564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5.7092319840390197E-5</v>
      </c>
      <c r="S564" cm="1">
        <f t="array" ref="S564">MIN(IF((ContinuousStatsTable[GroupByKey]=ContinuousStatsTable[[#This Row],[GroupByKey]]),(ContinuousStatsTable[GroupByKey]=ContinuousStatsTable[[#This Row],[GroupByKey]])*ContinuousStatsTable[Average]))</f>
        <v>0.47622171379262102</v>
      </c>
      <c r="T564" cm="1">
        <f t="array" ref="T564">MAX(IF((ContinuousStatsTable[GroupByKey]=ContinuousStatsTable[[#This Row],[GroupByKey]]),(ContinuousStatsTable[GroupByKey]=ContinuousStatsTable[[#This Row],[GroupByKey]])*ContinuousStatsTable[Average]))</f>
        <v>0.47651577494330499</v>
      </c>
      <c r="U564">
        <f>IF((ContinuousStatsTable[[#This Row],[RepsRequested]]&gt;1),ContinuousStatsTable[[#This Row],[HalfWidth]],ContinuousStatsTable[[#This Row],[BatchMeansHalfWidth]])</f>
        <v>5.7092319840390197E-5</v>
      </c>
    </row>
    <row r="565" spans="1:21" x14ac:dyDescent="0.25">
      <c r="A565" t="s">
        <v>67</v>
      </c>
      <c r="B565" t="s">
        <v>243</v>
      </c>
      <c r="C565">
        <v>7</v>
      </c>
      <c r="D565" t="s">
        <v>135</v>
      </c>
      <c r="E565" t="s">
        <v>114</v>
      </c>
      <c r="F565" t="s">
        <v>113</v>
      </c>
      <c r="G565">
        <v>0.47645180008591598</v>
      </c>
      <c r="H565">
        <v>2E+20</v>
      </c>
      <c r="I565">
        <v>0</v>
      </c>
      <c r="J565">
        <v>1</v>
      </c>
      <c r="K565">
        <v>0</v>
      </c>
      <c r="L565">
        <v>0</v>
      </c>
      <c r="M565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565" cm="1">
        <f t="array" ref="N565">MAX(IF((ProjectInfoTable[ProjectName]=ContinuousStatsTable[[#This Row],[ProjectName]]),(ProjectInfoTable[ProjectName]=ContinuousStatsTable[[#This Row],[ProjectName]])*ProjectInfoTable[NumberOfReplications]))</f>
        <v>10</v>
      </c>
      <c r="O565" cm="1">
        <f t="array" ref="O565">IFERROR(AVERAGE(IF((ContinuousStatsTable[GroupByKey]=ContinuousStatsTable[[#This Row],[GroupByKey]]),(ContinuousStatsTable[GroupByKey]=ContinuousStatsTable[[#This Row],[GroupByKey]])*ContinuousStatsTable[Average])),0)</f>
        <v>0.47640752107427209</v>
      </c>
      <c r="P56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7.980955990487845E-5</v>
      </c>
      <c r="Q56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5.7092319840434263E-5</v>
      </c>
      <c r="S565" cm="1">
        <f t="array" ref="S565">MIN(IF((ContinuousStatsTable[GroupByKey]=ContinuousStatsTable[[#This Row],[GroupByKey]]),(ContinuousStatsTable[GroupByKey]=ContinuousStatsTable[[#This Row],[GroupByKey]])*ContinuousStatsTable[Average]))</f>
        <v>0.47622171379262102</v>
      </c>
      <c r="T565" cm="1">
        <f t="array" ref="T565">MAX(IF((ContinuousStatsTable[GroupByKey]=ContinuousStatsTable[[#This Row],[GroupByKey]]),(ContinuousStatsTable[GroupByKey]=ContinuousStatsTable[[#This Row],[GroupByKey]])*ContinuousStatsTable[Average]))</f>
        <v>0.47651577494330499</v>
      </c>
      <c r="U565">
        <f>IF((ContinuousStatsTable[[#This Row],[RepsRequested]]&gt;1),ContinuousStatsTable[[#This Row],[HalfWidth]],ContinuousStatsTable[[#This Row],[BatchMeansHalfWidth]])</f>
        <v>5.7092319840434263E-5</v>
      </c>
    </row>
    <row r="566" spans="1:21" x14ac:dyDescent="0.25">
      <c r="A566" t="s">
        <v>67</v>
      </c>
      <c r="B566" t="s">
        <v>243</v>
      </c>
      <c r="C566">
        <v>7</v>
      </c>
      <c r="D566" t="s">
        <v>135</v>
      </c>
      <c r="E566" t="s">
        <v>115</v>
      </c>
      <c r="F566" t="s">
        <v>113</v>
      </c>
      <c r="G566">
        <v>0.476190476190476</v>
      </c>
      <c r="H566">
        <v>2E+20</v>
      </c>
      <c r="I566">
        <v>0</v>
      </c>
      <c r="J566">
        <v>1</v>
      </c>
      <c r="K566">
        <v>0</v>
      </c>
      <c r="L566">
        <v>0</v>
      </c>
      <c r="M566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566" cm="1">
        <f t="array" ref="N566">MAX(IF((ProjectInfoTable[ProjectName]=ContinuousStatsTable[[#This Row],[ProjectName]]),(ProjectInfoTable[ProjectName]=ContinuousStatsTable[[#This Row],[ProjectName]])*ProjectInfoTable[NumberOfReplications]))</f>
        <v>10</v>
      </c>
      <c r="O566" cm="1">
        <f t="array" ref="O566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66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cm="1">
        <f t="array" ref="S566">MIN(IF((ContinuousStatsTable[GroupByKey]=ContinuousStatsTable[[#This Row],[GroupByKey]]),(ContinuousStatsTable[GroupByKey]=ContinuousStatsTable[[#This Row],[GroupByKey]])*ContinuousStatsTable[Average]))</f>
        <v>0.476190476190476</v>
      </c>
      <c r="T566" cm="1">
        <f t="array" ref="T566">MAX(IF((ContinuousStatsTable[GroupByKey]=ContinuousStatsTable[[#This Row],[GroupByKey]]),(ContinuousStatsTable[GroupByKey]=ContinuousStatsTable[[#This Row],[GroupByKey]])*ContinuousStatsTable[Average]))</f>
        <v>0.476190476190476</v>
      </c>
      <c r="U566">
        <f>IF((ContinuousStatsTable[[#This Row],[RepsRequested]]&gt;1),ContinuousStatsTable[[#This Row],[HalfWidth]],ContinuousStatsTable[[#This Row],[BatchMeansHalfWidth]])</f>
        <v>0</v>
      </c>
    </row>
    <row r="567" spans="1:21" x14ac:dyDescent="0.25">
      <c r="A567" t="s">
        <v>67</v>
      </c>
      <c r="B567" t="s">
        <v>243</v>
      </c>
      <c r="C567">
        <v>7</v>
      </c>
      <c r="D567" t="s">
        <v>136</v>
      </c>
      <c r="E567" t="s">
        <v>112</v>
      </c>
      <c r="F567" t="s">
        <v>113</v>
      </c>
      <c r="G567">
        <v>0.29842379685970999</v>
      </c>
      <c r="H567">
        <v>3E+20</v>
      </c>
      <c r="I567">
        <v>0</v>
      </c>
      <c r="J567">
        <v>1</v>
      </c>
      <c r="K567">
        <v>0</v>
      </c>
      <c r="L567">
        <v>0</v>
      </c>
      <c r="M567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567" cm="1">
        <f t="array" ref="N567">MAX(IF((ProjectInfoTable[ProjectName]=ContinuousStatsTable[[#This Row],[ProjectName]]),(ProjectInfoTable[ProjectName]=ContinuousStatsTable[[#This Row],[ProjectName]])*ProjectInfoTable[NumberOfReplications]))</f>
        <v>10</v>
      </c>
      <c r="O567" cm="1">
        <f t="array" ref="O567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567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567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567" cm="1">
        <f t="array" ref="S567">MIN(IF((ContinuousStatsTable[GroupByKey]=ContinuousStatsTable[[#This Row],[GroupByKey]]),(ContinuousStatsTable[GroupByKey]=ContinuousStatsTable[[#This Row],[GroupByKey]])*ContinuousStatsTable[Average]))</f>
        <v>0.29842379685970999</v>
      </c>
      <c r="T567" cm="1">
        <f t="array" ref="T567">MAX(IF((ContinuousStatsTable[GroupByKey]=ContinuousStatsTable[[#This Row],[GroupByKey]]),(ContinuousStatsTable[GroupByKey]=ContinuousStatsTable[[#This Row],[GroupByKey]])*ContinuousStatsTable[Average]))</f>
        <v>0.29970100107953501</v>
      </c>
      <c r="U567">
        <f>IF((ContinuousStatsTable[[#This Row],[RepsRequested]]&gt;1),ContinuousStatsTable[[#This Row],[HalfWidth]],ContinuousStatsTable[[#This Row],[BatchMeansHalfWidth]])</f>
        <v>2.6450685793468105E-4</v>
      </c>
    </row>
    <row r="568" spans="1:21" x14ac:dyDescent="0.25">
      <c r="A568" t="s">
        <v>67</v>
      </c>
      <c r="B568" t="s">
        <v>243</v>
      </c>
      <c r="C568">
        <v>7</v>
      </c>
      <c r="D568" t="s">
        <v>136</v>
      </c>
      <c r="E568" t="s">
        <v>114</v>
      </c>
      <c r="F568" t="s">
        <v>113</v>
      </c>
      <c r="G568">
        <v>0.29842379685970999</v>
      </c>
      <c r="H568">
        <v>3E+20</v>
      </c>
      <c r="I568">
        <v>0</v>
      </c>
      <c r="J568">
        <v>1</v>
      </c>
      <c r="K568">
        <v>0</v>
      </c>
      <c r="L568">
        <v>0</v>
      </c>
      <c r="M568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568" cm="1">
        <f t="array" ref="N568">MAX(IF((ProjectInfoTable[ProjectName]=ContinuousStatsTable[[#This Row],[ProjectName]]),(ProjectInfoTable[ProjectName]=ContinuousStatsTable[[#This Row],[ProjectName]])*ProjectInfoTable[NumberOfReplications]))</f>
        <v>10</v>
      </c>
      <c r="O568" cm="1">
        <f t="array" ref="O568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568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568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568" cm="1">
        <f t="array" ref="S568">MIN(IF((ContinuousStatsTable[GroupByKey]=ContinuousStatsTable[[#This Row],[GroupByKey]]),(ContinuousStatsTable[GroupByKey]=ContinuousStatsTable[[#This Row],[GroupByKey]])*ContinuousStatsTable[Average]))</f>
        <v>0.29842379685970999</v>
      </c>
      <c r="T568" cm="1">
        <f t="array" ref="T568">MAX(IF((ContinuousStatsTable[GroupByKey]=ContinuousStatsTable[[#This Row],[GroupByKey]]),(ContinuousStatsTable[GroupByKey]=ContinuousStatsTable[[#This Row],[GroupByKey]])*ContinuousStatsTable[Average]))</f>
        <v>0.29970100107953501</v>
      </c>
      <c r="U568">
        <f>IF((ContinuousStatsTable[[#This Row],[RepsRequested]]&gt;1),ContinuousStatsTable[[#This Row],[HalfWidth]],ContinuousStatsTable[[#This Row],[BatchMeansHalfWidth]])</f>
        <v>2.6450685793468105E-4</v>
      </c>
    </row>
    <row r="569" spans="1:21" x14ac:dyDescent="0.25">
      <c r="A569" t="s">
        <v>67</v>
      </c>
      <c r="B569" t="s">
        <v>243</v>
      </c>
      <c r="C569">
        <v>7</v>
      </c>
      <c r="D569" t="s">
        <v>136</v>
      </c>
      <c r="E569" t="s">
        <v>115</v>
      </c>
      <c r="F569" t="s">
        <v>113</v>
      </c>
      <c r="G569">
        <v>0.476190476190476</v>
      </c>
      <c r="H569">
        <v>2E+20</v>
      </c>
      <c r="I569">
        <v>0</v>
      </c>
      <c r="J569">
        <v>1</v>
      </c>
      <c r="K569">
        <v>0</v>
      </c>
      <c r="L569">
        <v>0</v>
      </c>
      <c r="M569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569" cm="1">
        <f t="array" ref="N569">MAX(IF((ProjectInfoTable[ProjectName]=ContinuousStatsTable[[#This Row],[ProjectName]]),(ProjectInfoTable[ProjectName]=ContinuousStatsTable[[#This Row],[ProjectName]])*ProjectInfoTable[NumberOfReplications]))</f>
        <v>10</v>
      </c>
      <c r="O569" cm="1">
        <f t="array" ref="O56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69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</v>
      </c>
      <c r="Q569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9" cm="1">
        <f t="array" ref="S569">MIN(IF((ContinuousStatsTable[GroupByKey]=ContinuousStatsTable[[#This Row],[GroupByKey]]),(ContinuousStatsTable[GroupByKey]=ContinuousStatsTable[[#This Row],[GroupByKey]])*ContinuousStatsTable[Average]))</f>
        <v>0.476190476190476</v>
      </c>
      <c r="T569" cm="1">
        <f t="array" ref="T569">MAX(IF((ContinuousStatsTable[GroupByKey]=ContinuousStatsTable[[#This Row],[GroupByKey]]),(ContinuousStatsTable[GroupByKey]=ContinuousStatsTable[[#This Row],[GroupByKey]])*ContinuousStatsTable[Average]))</f>
        <v>0.476190476190476</v>
      </c>
      <c r="U569">
        <f>IF((ContinuousStatsTable[[#This Row],[RepsRequested]]&gt;1),ContinuousStatsTable[[#This Row],[HalfWidth]],ContinuousStatsTable[[#This Row],[BatchMeansHalfWidth]])</f>
        <v>0</v>
      </c>
    </row>
    <row r="570" spans="1:21" x14ac:dyDescent="0.25">
      <c r="A570" t="s">
        <v>67</v>
      </c>
      <c r="B570" t="s">
        <v>243</v>
      </c>
      <c r="C570">
        <v>7</v>
      </c>
      <c r="D570" t="s">
        <v>137</v>
      </c>
      <c r="E570" t="s">
        <v>112</v>
      </c>
      <c r="F570" t="s">
        <v>113</v>
      </c>
      <c r="G570">
        <v>0.45626273578631799</v>
      </c>
      <c r="H570">
        <v>3E+20</v>
      </c>
      <c r="I570">
        <v>0</v>
      </c>
      <c r="J570">
        <v>1</v>
      </c>
      <c r="K570">
        <v>0</v>
      </c>
      <c r="L570">
        <v>0</v>
      </c>
      <c r="M570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570" cm="1">
        <f t="array" ref="N570">MAX(IF((ProjectInfoTable[ProjectName]=ContinuousStatsTable[[#This Row],[ProjectName]]),(ProjectInfoTable[ProjectName]=ContinuousStatsTable[[#This Row],[ProjectName]])*ProjectInfoTable[NumberOfReplications]))</f>
        <v>10</v>
      </c>
      <c r="O570" cm="1">
        <f t="array" ref="O570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570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570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570" cm="1">
        <f t="array" ref="S570">MIN(IF((ContinuousStatsTable[GroupByKey]=ContinuousStatsTable[[#This Row],[GroupByKey]]),(ContinuousStatsTable[GroupByKey]=ContinuousStatsTable[[#This Row],[GroupByKey]])*ContinuousStatsTable[Average]))</f>
        <v>0.45550004981449399</v>
      </c>
      <c r="T570" cm="1">
        <f t="array" ref="T570">MAX(IF((ContinuousStatsTable[GroupByKey]=ContinuousStatsTable[[#This Row],[GroupByKey]]),(ContinuousStatsTable[GroupByKey]=ContinuousStatsTable[[#This Row],[GroupByKey]])*ContinuousStatsTable[Average]))</f>
        <v>0.45652258337600798</v>
      </c>
      <c r="U570">
        <f>IF((ContinuousStatsTable[[#This Row],[RepsRequested]]&gt;1),ContinuousStatsTable[[#This Row],[HalfWidth]],ContinuousStatsTable[[#This Row],[BatchMeansHalfWidth]])</f>
        <v>2.4108493326261801E-4</v>
      </c>
    </row>
    <row r="571" spans="1:21" x14ac:dyDescent="0.25">
      <c r="A571" t="s">
        <v>67</v>
      </c>
      <c r="B571" t="s">
        <v>243</v>
      </c>
      <c r="C571">
        <v>7</v>
      </c>
      <c r="D571" t="s">
        <v>137</v>
      </c>
      <c r="E571" t="s">
        <v>114</v>
      </c>
      <c r="F571" t="s">
        <v>113</v>
      </c>
      <c r="G571">
        <v>0.45626273578631799</v>
      </c>
      <c r="H571">
        <v>3E+20</v>
      </c>
      <c r="I571">
        <v>0</v>
      </c>
      <c r="J571">
        <v>1</v>
      </c>
      <c r="K571">
        <v>0</v>
      </c>
      <c r="L571">
        <v>0</v>
      </c>
      <c r="M571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571" cm="1">
        <f t="array" ref="N571">MAX(IF((ProjectInfoTable[ProjectName]=ContinuousStatsTable[[#This Row],[ProjectName]]),(ProjectInfoTable[ProjectName]=ContinuousStatsTable[[#This Row],[ProjectName]])*ProjectInfoTable[NumberOfReplications]))</f>
        <v>10</v>
      </c>
      <c r="O571" cm="1">
        <f t="array" ref="O571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571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571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571" cm="1">
        <f t="array" ref="S571">MIN(IF((ContinuousStatsTable[GroupByKey]=ContinuousStatsTable[[#This Row],[GroupByKey]]),(ContinuousStatsTable[GroupByKey]=ContinuousStatsTable[[#This Row],[GroupByKey]])*ContinuousStatsTable[Average]))</f>
        <v>0.45550004981449399</v>
      </c>
      <c r="T571" cm="1">
        <f t="array" ref="T571">MAX(IF((ContinuousStatsTable[GroupByKey]=ContinuousStatsTable[[#This Row],[GroupByKey]]),(ContinuousStatsTable[GroupByKey]=ContinuousStatsTable[[#This Row],[GroupByKey]])*ContinuousStatsTable[Average]))</f>
        <v>0.45652258337600798</v>
      </c>
      <c r="U571">
        <f>IF((ContinuousStatsTable[[#This Row],[RepsRequested]]&gt;1),ContinuousStatsTable[[#This Row],[HalfWidth]],ContinuousStatsTable[[#This Row],[BatchMeansHalfWidth]])</f>
        <v>2.4108493326261801E-4</v>
      </c>
    </row>
    <row r="572" spans="1:21" x14ac:dyDescent="0.25">
      <c r="A572" t="s">
        <v>67</v>
      </c>
      <c r="B572" t="s">
        <v>243</v>
      </c>
      <c r="C572">
        <v>7</v>
      </c>
      <c r="D572" t="s">
        <v>137</v>
      </c>
      <c r="E572" t="s">
        <v>115</v>
      </c>
      <c r="F572" t="s">
        <v>113</v>
      </c>
      <c r="G572">
        <v>0.476190476190476</v>
      </c>
      <c r="H572">
        <v>2E+20</v>
      </c>
      <c r="I572">
        <v>0</v>
      </c>
      <c r="J572">
        <v>1</v>
      </c>
      <c r="K572">
        <v>0</v>
      </c>
      <c r="L572">
        <v>0</v>
      </c>
      <c r="M572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572" cm="1">
        <f t="array" ref="N572">MAX(IF((ProjectInfoTable[ProjectName]=ContinuousStatsTable[[#This Row],[ProjectName]]),(ProjectInfoTable[ProjectName]=ContinuousStatsTable[[#This Row],[ProjectName]])*ProjectInfoTable[NumberOfReplications]))</f>
        <v>10</v>
      </c>
      <c r="O572" cm="1">
        <f t="array" ref="O572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72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0</v>
      </c>
      <c r="Q572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2" cm="1">
        <f t="array" ref="S572">MIN(IF((ContinuousStatsTable[GroupByKey]=ContinuousStatsTable[[#This Row],[GroupByKey]]),(ContinuousStatsTable[GroupByKey]=ContinuousStatsTable[[#This Row],[GroupByKey]])*ContinuousStatsTable[Average]))</f>
        <v>0.476190476190476</v>
      </c>
      <c r="T572" cm="1">
        <f t="array" ref="T572">MAX(IF((ContinuousStatsTable[GroupByKey]=ContinuousStatsTable[[#This Row],[GroupByKey]]),(ContinuousStatsTable[GroupByKey]=ContinuousStatsTable[[#This Row],[GroupByKey]])*ContinuousStatsTable[Average]))</f>
        <v>0.476190476190476</v>
      </c>
      <c r="U572">
        <f>IF((ContinuousStatsTable[[#This Row],[RepsRequested]]&gt;1),ContinuousStatsTable[[#This Row],[HalfWidth]],ContinuousStatsTable[[#This Row],[BatchMeansHalfWidth]])</f>
        <v>0</v>
      </c>
    </row>
    <row r="573" spans="1:21" x14ac:dyDescent="0.25">
      <c r="A573" t="s">
        <v>67</v>
      </c>
      <c r="B573" t="s">
        <v>243</v>
      </c>
      <c r="C573">
        <v>7</v>
      </c>
      <c r="D573" t="s">
        <v>138</v>
      </c>
      <c r="E573" t="s">
        <v>112</v>
      </c>
      <c r="F573" t="s">
        <v>113</v>
      </c>
      <c r="G573">
        <v>0.47635600359604302</v>
      </c>
      <c r="H573">
        <v>2E+20</v>
      </c>
      <c r="I573">
        <v>0</v>
      </c>
      <c r="J573">
        <v>1</v>
      </c>
      <c r="K573">
        <v>0</v>
      </c>
      <c r="L573">
        <v>0</v>
      </c>
      <c r="M573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573" cm="1">
        <f t="array" ref="N573">MAX(IF((ProjectInfoTable[ProjectName]=ContinuousStatsTable[[#This Row],[ProjectName]]),(ProjectInfoTable[ProjectName]=ContinuousStatsTable[[#This Row],[ProjectName]])*ProjectInfoTable[NumberOfReplications]))</f>
        <v>10</v>
      </c>
      <c r="O573" cm="1">
        <f t="array" ref="O573">IFERROR(AVERAGE(IF((ContinuousStatsTable[GroupByKey]=ContinuousStatsTable[[#This Row],[GroupByKey]]),(ContinuousStatsTable[GroupByKey]=ContinuousStatsTable[[#This Row],[GroupByKey]])*ContinuousStatsTable[Average])),0)</f>
        <v>0.47637632373438449</v>
      </c>
      <c r="P573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2.6635978153163645E-5</v>
      </c>
      <c r="Q573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1.9054230919149366E-5</v>
      </c>
      <c r="S573" cm="1">
        <f t="array" ref="S573">MIN(IF((ContinuousStatsTable[GroupByKey]=ContinuousStatsTable[[#This Row],[GroupByKey]]),(ContinuousStatsTable[GroupByKey]=ContinuousStatsTable[[#This Row],[GroupByKey]])*ContinuousStatsTable[Average]))</f>
        <v>0.47633465557050603</v>
      </c>
      <c r="T573" cm="1">
        <f t="array" ref="T573">MAX(IF((ContinuousStatsTable[GroupByKey]=ContinuousStatsTable[[#This Row],[GroupByKey]]),(ContinuousStatsTable[GroupByKey]=ContinuousStatsTable[[#This Row],[GroupByKey]])*ContinuousStatsTable[Average]))</f>
        <v>0.47641329732322302</v>
      </c>
      <c r="U573">
        <f>IF((ContinuousStatsTable[[#This Row],[RepsRequested]]&gt;1),ContinuousStatsTable[[#This Row],[HalfWidth]],ContinuousStatsTable[[#This Row],[BatchMeansHalfWidth]])</f>
        <v>1.9054230919149366E-5</v>
      </c>
    </row>
    <row r="574" spans="1:21" x14ac:dyDescent="0.25">
      <c r="A574" t="s">
        <v>67</v>
      </c>
      <c r="B574" t="s">
        <v>243</v>
      </c>
      <c r="C574">
        <v>7</v>
      </c>
      <c r="D574" t="s">
        <v>138</v>
      </c>
      <c r="E574" t="s">
        <v>114</v>
      </c>
      <c r="F574" t="s">
        <v>113</v>
      </c>
      <c r="G574">
        <v>0.47635600359604302</v>
      </c>
      <c r="H574">
        <v>2E+20</v>
      </c>
      <c r="I574">
        <v>0</v>
      </c>
      <c r="J574">
        <v>1</v>
      </c>
      <c r="K574">
        <v>0</v>
      </c>
      <c r="L574">
        <v>0</v>
      </c>
      <c r="M574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574" cm="1">
        <f t="array" ref="N574">MAX(IF((ProjectInfoTable[ProjectName]=ContinuousStatsTable[[#This Row],[ProjectName]]),(ProjectInfoTable[ProjectName]=ContinuousStatsTable[[#This Row],[ProjectName]])*ProjectInfoTable[NumberOfReplications]))</f>
        <v>10</v>
      </c>
      <c r="O574" cm="1">
        <f t="array" ref="O574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574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574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574" cm="1">
        <f t="array" ref="S574">MIN(IF((ContinuousStatsTable[GroupByKey]=ContinuousStatsTable[[#This Row],[GroupByKey]]),(ContinuousStatsTable[GroupByKey]=ContinuousStatsTable[[#This Row],[GroupByKey]])*ContinuousStatsTable[Average]))</f>
        <v>0.47633465557050603</v>
      </c>
      <c r="T574" cm="1">
        <f t="array" ref="T574">MAX(IF((ContinuousStatsTable[GroupByKey]=ContinuousStatsTable[[#This Row],[GroupByKey]]),(ContinuousStatsTable[GroupByKey]=ContinuousStatsTable[[#This Row],[GroupByKey]])*ContinuousStatsTable[Average]))</f>
        <v>0.47641329732322302</v>
      </c>
      <c r="U574">
        <f>IF((ContinuousStatsTable[[#This Row],[RepsRequested]]&gt;1),ContinuousStatsTable[[#This Row],[HalfWidth]],ContinuousStatsTable[[#This Row],[BatchMeansHalfWidth]])</f>
        <v>1.9054230919217752E-5</v>
      </c>
    </row>
    <row r="575" spans="1:21" x14ac:dyDescent="0.25">
      <c r="A575" t="s">
        <v>67</v>
      </c>
      <c r="B575" t="s">
        <v>243</v>
      </c>
      <c r="C575">
        <v>7</v>
      </c>
      <c r="D575" t="s">
        <v>138</v>
      </c>
      <c r="E575" t="s">
        <v>115</v>
      </c>
      <c r="F575" t="s">
        <v>113</v>
      </c>
      <c r="G575">
        <v>0.476190476190476</v>
      </c>
      <c r="H575">
        <v>2E+20</v>
      </c>
      <c r="I575">
        <v>0</v>
      </c>
      <c r="J575">
        <v>1</v>
      </c>
      <c r="K575">
        <v>0</v>
      </c>
      <c r="L575">
        <v>0</v>
      </c>
      <c r="M575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575" cm="1">
        <f t="array" ref="N575">MAX(IF((ProjectInfoTable[ProjectName]=ContinuousStatsTable[[#This Row],[ProjectName]]),(ProjectInfoTable[ProjectName]=ContinuousStatsTable[[#This Row],[ProjectName]])*ProjectInfoTable[NumberOfReplications]))</f>
        <v>10</v>
      </c>
      <c r="O575" cm="1">
        <f t="array" ref="O575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7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0</v>
      </c>
      <c r="Q57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5" cm="1">
        <f t="array" ref="S575">MIN(IF((ContinuousStatsTable[GroupByKey]=ContinuousStatsTable[[#This Row],[GroupByKey]]),(ContinuousStatsTable[GroupByKey]=ContinuousStatsTable[[#This Row],[GroupByKey]])*ContinuousStatsTable[Average]))</f>
        <v>0.476190476190476</v>
      </c>
      <c r="T575" cm="1">
        <f t="array" ref="T575">MAX(IF((ContinuousStatsTable[GroupByKey]=ContinuousStatsTable[[#This Row],[GroupByKey]]),(ContinuousStatsTable[GroupByKey]=ContinuousStatsTable[[#This Row],[GroupByKey]])*ContinuousStatsTable[Average]))</f>
        <v>0.476190476190476</v>
      </c>
      <c r="U575">
        <f>IF((ContinuousStatsTable[[#This Row],[RepsRequested]]&gt;1),ContinuousStatsTable[[#This Row],[HalfWidth]],ContinuousStatsTable[[#This Row],[BatchMeansHalfWidth]])</f>
        <v>0</v>
      </c>
    </row>
    <row r="576" spans="1:21" x14ac:dyDescent="0.25">
      <c r="A576" t="s">
        <v>67</v>
      </c>
      <c r="B576" t="s">
        <v>243</v>
      </c>
      <c r="C576">
        <v>7</v>
      </c>
      <c r="D576" t="s">
        <v>83</v>
      </c>
      <c r="E576" t="s">
        <v>116</v>
      </c>
      <c r="F576" t="s">
        <v>71</v>
      </c>
      <c r="G576">
        <v>2.51460755538617E-5</v>
      </c>
      <c r="H576">
        <v>2E+20</v>
      </c>
      <c r="I576">
        <v>0</v>
      </c>
      <c r="J576">
        <v>1</v>
      </c>
      <c r="K576">
        <v>0</v>
      </c>
      <c r="L576">
        <v>0</v>
      </c>
      <c r="M576" t="str">
        <f>ContinuousStatsTable[[#This Row],[ProjectName]]&amp;ContinuousStatsTable[[#This Row],[Name]]&amp;ContinuousStatsTable[[#This Row],[Type]]&amp;ContinuousStatsTable[[#This Row],[Source]]</f>
        <v>Unnamed ProjectMatch 1.Queue1Number WaitingQueue</v>
      </c>
      <c r="N576" cm="1">
        <f t="array" ref="N576">MAX(IF((ProjectInfoTable[ProjectName]=ContinuousStatsTable[[#This Row],[ProjectName]]),(ProjectInfoTable[ProjectName]=ContinuousStatsTable[[#This Row],[ProjectName]])*ProjectInfoTable[NumberOfReplications]))</f>
        <v>10</v>
      </c>
      <c r="O576" cm="1">
        <f t="array" ref="O576">IFERROR(AVERAGE(IF((ContinuousStatsTable[GroupByKey]=ContinuousStatsTable[[#This Row],[GroupByKey]]),(ContinuousStatsTable[GroupByKey]=ContinuousStatsTable[[#This Row],[GroupByKey]])*ContinuousStatsTable[Average])),0)</f>
        <v>2.9170315053456471E-5</v>
      </c>
      <c r="P576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7.7933109083950271E-6</v>
      </c>
      <c r="Q576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5.5749987786968959E-6</v>
      </c>
      <c r="S576" cm="1">
        <f t="array" ref="S576">MIN(IF((ContinuousStatsTable[GroupByKey]=ContinuousStatsTable[[#This Row],[GroupByKey]]),(ContinuousStatsTable[GroupByKey]=ContinuousStatsTable[[#This Row],[GroupByKey]])*ContinuousStatsTable[Average]))</f>
        <v>1.80144253291803E-5</v>
      </c>
      <c r="T576" cm="1">
        <f t="array" ref="T576">MAX(IF((ContinuousStatsTable[GroupByKey]=ContinuousStatsTable[[#This Row],[GroupByKey]]),(ContinuousStatsTable[GroupByKey]=ContinuousStatsTable[[#This Row],[GroupByKey]])*ContinuousStatsTable[Average]))</f>
        <v>4.21406992387485E-5</v>
      </c>
      <c r="U576">
        <f>IF((ContinuousStatsTable[[#This Row],[RepsRequested]]&gt;1),ContinuousStatsTable[[#This Row],[HalfWidth]],ContinuousStatsTable[[#This Row],[BatchMeansHalfWidth]])</f>
        <v>5.5749987786968959E-6</v>
      </c>
    </row>
    <row r="577" spans="1:21" x14ac:dyDescent="0.25">
      <c r="A577" t="s">
        <v>67</v>
      </c>
      <c r="B577" t="s">
        <v>243</v>
      </c>
      <c r="C577">
        <v>7</v>
      </c>
      <c r="D577" t="s">
        <v>84</v>
      </c>
      <c r="E577" t="s">
        <v>116</v>
      </c>
      <c r="F577" t="s">
        <v>71</v>
      </c>
      <c r="G577">
        <v>865.659874482644</v>
      </c>
      <c r="H577">
        <v>3E+20</v>
      </c>
      <c r="I577">
        <v>0</v>
      </c>
      <c r="J577">
        <v>1676</v>
      </c>
      <c r="K577">
        <v>1675</v>
      </c>
      <c r="L577">
        <v>0</v>
      </c>
      <c r="M577" t="str">
        <f>ContinuousStatsTable[[#This Row],[ProjectName]]&amp;ContinuousStatsTable[[#This Row],[Name]]&amp;ContinuousStatsTable[[#This Row],[Type]]&amp;ContinuousStatsTable[[#This Row],[Source]]</f>
        <v>Unnamed ProjectMatch 1.Queue2Number WaitingQueue</v>
      </c>
      <c r="N577" cm="1">
        <f t="array" ref="N577">MAX(IF((ProjectInfoTable[ProjectName]=ContinuousStatsTable[[#This Row],[ProjectName]]),(ProjectInfoTable[ProjectName]=ContinuousStatsTable[[#This Row],[ProjectName]])*ProjectInfoTable[NumberOfReplications]))</f>
        <v>10</v>
      </c>
      <c r="O577" cm="1">
        <f t="array" ref="O577">IFERROR(AVERAGE(IF((ContinuousStatsTable[GroupByKey]=ContinuousStatsTable[[#This Row],[GroupByKey]]),(ContinuousStatsTable[GroupByKey]=ContinuousStatsTable[[#This Row],[GroupByKey]])*ContinuousStatsTable[Average])),0)</f>
        <v>867.85098767897125</v>
      </c>
      <c r="P577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5.9823523640247513</v>
      </c>
      <c r="Q577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4.2795170775550373</v>
      </c>
      <c r="S577" cm="1">
        <f t="array" ref="S577">MIN(IF((ContinuousStatsTable[GroupByKey]=ContinuousStatsTable[[#This Row],[GroupByKey]]),(ContinuousStatsTable[GroupByKey]=ContinuousStatsTable[[#This Row],[GroupByKey]])*ContinuousStatsTable[Average]))</f>
        <v>858.49288388840398</v>
      </c>
      <c r="T577" cm="1">
        <f t="array" ref="T577">MAX(IF((ContinuousStatsTable[GroupByKey]=ContinuousStatsTable[[#This Row],[GroupByKey]]),(ContinuousStatsTable[GroupByKey]=ContinuousStatsTable[[#This Row],[GroupByKey]])*ContinuousStatsTable[Average]))</f>
        <v>875.80608811200398</v>
      </c>
      <c r="U577">
        <f>IF((ContinuousStatsTable[[#This Row],[RepsRequested]]&gt;1),ContinuousStatsTable[[#This Row],[HalfWidth]],ContinuousStatsTable[[#This Row],[BatchMeansHalfWidth]])</f>
        <v>4.2795170775550373</v>
      </c>
    </row>
    <row r="578" spans="1:21" x14ac:dyDescent="0.25">
      <c r="A578" t="s">
        <v>67</v>
      </c>
      <c r="B578" t="s">
        <v>243</v>
      </c>
      <c r="C578">
        <v>7</v>
      </c>
      <c r="D578" t="s">
        <v>85</v>
      </c>
      <c r="E578" t="s">
        <v>116</v>
      </c>
      <c r="F578" t="s">
        <v>71</v>
      </c>
      <c r="G578">
        <v>1364.6192213040899</v>
      </c>
      <c r="H578">
        <v>3E+20</v>
      </c>
      <c r="I578">
        <v>0</v>
      </c>
      <c r="J578">
        <v>2642</v>
      </c>
      <c r="K578">
        <v>2642</v>
      </c>
      <c r="L578">
        <v>0</v>
      </c>
      <c r="M578" t="str">
        <f>ContinuousStatsTable[[#This Row],[ProjectName]]&amp;ContinuousStatsTable[[#This Row],[Name]]&amp;ContinuousStatsTable[[#This Row],[Type]]&amp;ContinuousStatsTable[[#This Row],[Source]]</f>
        <v>Unnamed ProjectMatch 1.Queue3Number WaitingQueue</v>
      </c>
      <c r="N578" cm="1">
        <f t="array" ref="N578">MAX(IF((ProjectInfoTable[ProjectName]=ContinuousStatsTable[[#This Row],[ProjectName]]),(ProjectInfoTable[ProjectName]=ContinuousStatsTable[[#This Row],[ProjectName]])*ProjectInfoTable[NumberOfReplications]))</f>
        <v>10</v>
      </c>
      <c r="O578" cm="1">
        <f t="array" ref="O578">IFERROR(AVERAGE(IF((ContinuousStatsTable[GroupByKey]=ContinuousStatsTable[[#This Row],[GroupByKey]]),(ContinuousStatsTable[GroupByKey]=ContinuousStatsTable[[#This Row],[GroupByKey]])*ContinuousStatsTable[Average])),0)</f>
        <v>1368.6640709815952</v>
      </c>
      <c r="P578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5.3961917051273351</v>
      </c>
      <c r="Q578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3.860203002204456</v>
      </c>
      <c r="S578" cm="1">
        <f t="array" ref="S578">MIN(IF((ContinuousStatsTable[GroupByKey]=ContinuousStatsTable[[#This Row],[GroupByKey]]),(ContinuousStatsTable[GroupByKey]=ContinuousStatsTable[[#This Row],[GroupByKey]])*ContinuousStatsTable[Average]))</f>
        <v>1357.5761788714599</v>
      </c>
      <c r="T578" cm="1">
        <f t="array" ref="T578">MAX(IF((ContinuousStatsTable[GroupByKey]=ContinuousStatsTable[[#This Row],[GroupByKey]]),(ContinuousStatsTable[GroupByKey]=ContinuousStatsTable[[#This Row],[GroupByKey]])*ContinuousStatsTable[Average]))</f>
        <v>1375.17190829069</v>
      </c>
      <c r="U578">
        <f>IF((ContinuousStatsTable[[#This Row],[RepsRequested]]&gt;1),ContinuousStatsTable[[#This Row],[HalfWidth]],ContinuousStatsTable[[#This Row],[BatchMeansHalfWidth]])</f>
        <v>3.860203002204456</v>
      </c>
    </row>
    <row r="579" spans="1:21" x14ac:dyDescent="0.25">
      <c r="A579" t="s">
        <v>67</v>
      </c>
      <c r="B579" t="s">
        <v>243</v>
      </c>
      <c r="C579">
        <v>7</v>
      </c>
      <c r="D579" t="s">
        <v>139</v>
      </c>
      <c r="E579" t="s">
        <v>112</v>
      </c>
      <c r="F579" t="s">
        <v>113</v>
      </c>
      <c r="G579">
        <v>0</v>
      </c>
      <c r="H579">
        <v>2E+20</v>
      </c>
      <c r="I579">
        <v>0</v>
      </c>
      <c r="J579">
        <v>0</v>
      </c>
      <c r="K579">
        <v>0</v>
      </c>
      <c r="L579">
        <v>0</v>
      </c>
      <c r="M579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579" cm="1">
        <f t="array" ref="N579">MAX(IF((ProjectInfoTable[ProjectName]=ContinuousStatsTable[[#This Row],[ProjectName]]),(ProjectInfoTable[ProjectName]=ContinuousStatsTable[[#This Row],[ProjectName]])*ProjectInfoTable[NumberOfReplications]))</f>
        <v>10</v>
      </c>
      <c r="O579" cm="1">
        <f t="array" ref="O579">IFERROR(AVERAGE(IF((ContinuousStatsTable[GroupByKey]=ContinuousStatsTable[[#This Row],[GroupByKey]]),(ContinuousStatsTable[GroupByKey]=ContinuousStatsTable[[#This Row],[GroupByKey]])*ContinuousStatsTable[Average])),0)</f>
        <v>0</v>
      </c>
      <c r="P579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cm="1">
        <f t="array" ref="S579">MIN(IF((ContinuousStatsTable[GroupByKey]=ContinuousStatsTable[[#This Row],[GroupByKey]]),(ContinuousStatsTable[GroupByKey]=ContinuousStatsTable[[#This Row],[GroupByKey]])*ContinuousStatsTable[Average]))</f>
        <v>0</v>
      </c>
      <c r="T579" cm="1">
        <f t="array" ref="T579">MAX(IF((ContinuousStatsTable[GroupByKey]=ContinuousStatsTable[[#This Row],[GroupByKey]]),(ContinuousStatsTable[GroupByKey]=ContinuousStatsTable[[#This Row],[GroupByKey]])*ContinuousStatsTable[Average]))</f>
        <v>0</v>
      </c>
      <c r="U579">
        <f>IF((ContinuousStatsTable[[#This Row],[RepsRequested]]&gt;1),ContinuousStatsTable[[#This Row],[HalfWidth]],ContinuousStatsTable[[#This Row],[BatchMeansHalfWidth]])</f>
        <v>0</v>
      </c>
    </row>
    <row r="580" spans="1:21" x14ac:dyDescent="0.25">
      <c r="A580" t="s">
        <v>67</v>
      </c>
      <c r="B580" t="s">
        <v>243</v>
      </c>
      <c r="C580">
        <v>7</v>
      </c>
      <c r="D580" t="s">
        <v>139</v>
      </c>
      <c r="E580" t="s">
        <v>114</v>
      </c>
      <c r="F580" t="s">
        <v>113</v>
      </c>
      <c r="G580">
        <v>0</v>
      </c>
      <c r="H580">
        <v>2E+20</v>
      </c>
      <c r="I580">
        <v>0</v>
      </c>
      <c r="J580">
        <v>0</v>
      </c>
      <c r="K580">
        <v>0</v>
      </c>
      <c r="L580">
        <v>0</v>
      </c>
      <c r="M580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580" cm="1">
        <f t="array" ref="N580">MAX(IF((ProjectInfoTable[ProjectName]=ContinuousStatsTable[[#This Row],[ProjectName]]),(ProjectInfoTable[ProjectName]=ContinuousStatsTable[[#This Row],[ProjectName]])*ProjectInfoTable[NumberOfReplications]))</f>
        <v>10</v>
      </c>
      <c r="O580" cm="1">
        <f t="array" ref="O580">IFERROR(AVERAGE(IF((ContinuousStatsTable[GroupByKey]=ContinuousStatsTable[[#This Row],[GroupByKey]]),(ContinuousStatsTable[GroupByKey]=ContinuousStatsTable[[#This Row],[GroupByKey]])*ContinuousStatsTable[Average])),0)</f>
        <v>0</v>
      </c>
      <c r="P580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0</v>
      </c>
      <c r="Q580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0" cm="1">
        <f t="array" ref="S580">MIN(IF((ContinuousStatsTable[GroupByKey]=ContinuousStatsTable[[#This Row],[GroupByKey]]),(ContinuousStatsTable[GroupByKey]=ContinuousStatsTable[[#This Row],[GroupByKey]])*ContinuousStatsTable[Average]))</f>
        <v>0</v>
      </c>
      <c r="T580" cm="1">
        <f t="array" ref="T580">MAX(IF((ContinuousStatsTable[GroupByKey]=ContinuousStatsTable[[#This Row],[GroupByKey]]),(ContinuousStatsTable[GroupByKey]=ContinuousStatsTable[[#This Row],[GroupByKey]])*ContinuousStatsTable[Average]))</f>
        <v>0</v>
      </c>
      <c r="U580">
        <f>IF((ContinuousStatsTable[[#This Row],[RepsRequested]]&gt;1),ContinuousStatsTable[[#This Row],[HalfWidth]],ContinuousStatsTable[[#This Row],[BatchMeansHalfWidth]])</f>
        <v>0</v>
      </c>
    </row>
    <row r="581" spans="1:21" x14ac:dyDescent="0.25">
      <c r="A581" t="s">
        <v>67</v>
      </c>
      <c r="B581" t="s">
        <v>243</v>
      </c>
      <c r="C581">
        <v>7</v>
      </c>
      <c r="D581" t="s">
        <v>139</v>
      </c>
      <c r="E581" t="s">
        <v>115</v>
      </c>
      <c r="F581" t="s">
        <v>113</v>
      </c>
      <c r="G581">
        <v>0.26785714285714302</v>
      </c>
      <c r="H581">
        <v>2E+20</v>
      </c>
      <c r="I581">
        <v>0</v>
      </c>
      <c r="J581">
        <v>1</v>
      </c>
      <c r="K581">
        <v>1</v>
      </c>
      <c r="L581">
        <v>0</v>
      </c>
      <c r="M581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581" cm="1">
        <f t="array" ref="N581">MAX(IF((ProjectInfoTable[ProjectName]=ContinuousStatsTable[[#This Row],[ProjectName]]),(ProjectInfoTable[ProjectName]=ContinuousStatsTable[[#This Row],[ProjectName]])*ProjectInfoTable[NumberOfReplications]))</f>
        <v>10</v>
      </c>
      <c r="O581" cm="1">
        <f t="array" ref="O581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581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581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581" cm="1">
        <f t="array" ref="S581">MIN(IF((ContinuousStatsTable[GroupByKey]=ContinuousStatsTable[[#This Row],[GroupByKey]]),(ContinuousStatsTable[GroupByKey]=ContinuousStatsTable[[#This Row],[GroupByKey]])*ContinuousStatsTable[Average]))</f>
        <v>0.26785714285714302</v>
      </c>
      <c r="T581" cm="1">
        <f t="array" ref="T581">MAX(IF((ContinuousStatsTable[GroupByKey]=ContinuousStatsTable[[#This Row],[GroupByKey]]),(ContinuousStatsTable[GroupByKey]=ContinuousStatsTable[[#This Row],[GroupByKey]])*ContinuousStatsTable[Average]))</f>
        <v>0.26785714285714302</v>
      </c>
      <c r="U581">
        <f>IF((ContinuousStatsTable[[#This Row],[RepsRequested]]&gt;1),ContinuousStatsTable[[#This Row],[HalfWidth]],ContinuousStatsTable[[#This Row],[BatchMeansHalfWidth]])</f>
        <v>4.1858316124321422E-17</v>
      </c>
    </row>
    <row r="582" spans="1:21" x14ac:dyDescent="0.25">
      <c r="A582" t="s">
        <v>67</v>
      </c>
      <c r="B582" t="s">
        <v>243</v>
      </c>
      <c r="C582">
        <v>7</v>
      </c>
      <c r="D582" t="s">
        <v>140</v>
      </c>
      <c r="E582" t="s">
        <v>112</v>
      </c>
      <c r="F582" t="s">
        <v>113</v>
      </c>
      <c r="G582">
        <v>0.105326430117076</v>
      </c>
      <c r="H582">
        <v>2E+20</v>
      </c>
      <c r="I582">
        <v>0</v>
      </c>
      <c r="J582">
        <v>1</v>
      </c>
      <c r="K582">
        <v>0</v>
      </c>
      <c r="L582">
        <v>0</v>
      </c>
      <c r="M582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582" cm="1">
        <f t="array" ref="N582">MAX(IF((ProjectInfoTable[ProjectName]=ContinuousStatsTable[[#This Row],[ProjectName]]),(ProjectInfoTable[ProjectName]=ContinuousStatsTable[[#This Row],[ProjectName]])*ProjectInfoTable[NumberOfReplications]))</f>
        <v>10</v>
      </c>
      <c r="O582" cm="1">
        <f t="array" ref="O582">IFERROR(AVERAGE(IF((ContinuousStatsTable[GroupByKey]=ContinuousStatsTable[[#This Row],[GroupByKey]]),(ContinuousStatsTable[GroupByKey]=ContinuousStatsTable[[#This Row],[GroupByKey]])*ContinuousStatsTable[Average])),0)</f>
        <v>8.7684406282387828E-2</v>
      </c>
      <c r="P582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582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582" cm="1">
        <f t="array" ref="S582">MIN(IF((ContinuousStatsTable[GroupByKey]=ContinuousStatsTable[[#This Row],[GroupByKey]]),(ContinuousStatsTable[GroupByKey]=ContinuousStatsTable[[#This Row],[GroupByKey]])*ContinuousStatsTable[Average]))</f>
        <v>7.2143522330073706E-2</v>
      </c>
      <c r="T582" cm="1">
        <f t="array" ref="T582">MAX(IF((ContinuousStatsTable[GroupByKey]=ContinuousStatsTable[[#This Row],[GroupByKey]]),(ContinuousStatsTable[GroupByKey]=ContinuousStatsTable[[#This Row],[GroupByKey]])*ContinuousStatsTable[Average]))</f>
        <v>0.105326430117076</v>
      </c>
      <c r="U582">
        <f>IF((ContinuousStatsTable[[#This Row],[RepsRequested]]&gt;1),ContinuousStatsTable[[#This Row],[HalfWidth]],ContinuousStatsTable[[#This Row],[BatchMeansHalfWidth]])</f>
        <v>6.7395853500387742E-3</v>
      </c>
    </row>
    <row r="583" spans="1:21" x14ac:dyDescent="0.25">
      <c r="A583" t="s">
        <v>67</v>
      </c>
      <c r="B583" t="s">
        <v>243</v>
      </c>
      <c r="C583">
        <v>7</v>
      </c>
      <c r="D583" t="s">
        <v>140</v>
      </c>
      <c r="E583" t="s">
        <v>114</v>
      </c>
      <c r="F583" t="s">
        <v>113</v>
      </c>
      <c r="G583">
        <v>0.105326430117076</v>
      </c>
      <c r="H583">
        <v>2E+20</v>
      </c>
      <c r="I583">
        <v>0</v>
      </c>
      <c r="J583">
        <v>1</v>
      </c>
      <c r="K583">
        <v>0</v>
      </c>
      <c r="L583">
        <v>0</v>
      </c>
      <c r="M583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583" cm="1">
        <f t="array" ref="N583">MAX(IF((ProjectInfoTable[ProjectName]=ContinuousStatsTable[[#This Row],[ProjectName]]),(ProjectInfoTable[ProjectName]=ContinuousStatsTable[[#This Row],[ProjectName]])*ProjectInfoTable[NumberOfReplications]))</f>
        <v>10</v>
      </c>
      <c r="O583" cm="1">
        <f t="array" ref="O583">IFERROR(AVERAGE(IF((ContinuousStatsTable[GroupByKey]=ContinuousStatsTable[[#This Row],[GroupByKey]]),(ContinuousStatsTable[GroupByKey]=ContinuousStatsTable[[#This Row],[GroupByKey]])*ContinuousStatsTable[Average])),0)</f>
        <v>8.7684406282387842E-2</v>
      </c>
      <c r="P583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583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583" cm="1">
        <f t="array" ref="S583">MIN(IF((ContinuousStatsTable[GroupByKey]=ContinuousStatsTable[[#This Row],[GroupByKey]]),(ContinuousStatsTable[GroupByKey]=ContinuousStatsTable[[#This Row],[GroupByKey]])*ContinuousStatsTable[Average]))</f>
        <v>7.2143522330073706E-2</v>
      </c>
      <c r="T583" cm="1">
        <f t="array" ref="T583">MAX(IF((ContinuousStatsTable[GroupByKey]=ContinuousStatsTable[[#This Row],[GroupByKey]]),(ContinuousStatsTable[GroupByKey]=ContinuousStatsTable[[#This Row],[GroupByKey]])*ContinuousStatsTable[Average]))</f>
        <v>0.105326430117076</v>
      </c>
      <c r="U583">
        <f>IF((ContinuousStatsTable[[#This Row],[RepsRequested]]&gt;1),ContinuousStatsTable[[#This Row],[HalfWidth]],ContinuousStatsTable[[#This Row],[BatchMeansHalfWidth]])</f>
        <v>6.7395853500387742E-3</v>
      </c>
    </row>
    <row r="584" spans="1:21" x14ac:dyDescent="0.25">
      <c r="A584" t="s">
        <v>67</v>
      </c>
      <c r="B584" t="s">
        <v>243</v>
      </c>
      <c r="C584">
        <v>7</v>
      </c>
      <c r="D584" t="s">
        <v>140</v>
      </c>
      <c r="E584" t="s">
        <v>115</v>
      </c>
      <c r="F584" t="s">
        <v>113</v>
      </c>
      <c r="G584">
        <v>0.26785714285714302</v>
      </c>
      <c r="H584">
        <v>2E+20</v>
      </c>
      <c r="I584">
        <v>0</v>
      </c>
      <c r="J584">
        <v>1</v>
      </c>
      <c r="K584">
        <v>0</v>
      </c>
      <c r="L584">
        <v>0</v>
      </c>
      <c r="M584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584" cm="1">
        <f t="array" ref="N584">MAX(IF((ProjectInfoTable[ProjectName]=ContinuousStatsTable[[#This Row],[ProjectName]]),(ProjectInfoTable[ProjectName]=ContinuousStatsTable[[#This Row],[ProjectName]])*ProjectInfoTable[NumberOfReplications]))</f>
        <v>10</v>
      </c>
      <c r="O584" cm="1">
        <f t="array" ref="O584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584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584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584" cm="1">
        <f t="array" ref="S584">MIN(IF((ContinuousStatsTable[GroupByKey]=ContinuousStatsTable[[#This Row],[GroupByKey]]),(ContinuousStatsTable[GroupByKey]=ContinuousStatsTable[[#This Row],[GroupByKey]])*ContinuousStatsTable[Average]))</f>
        <v>0.26785714285714302</v>
      </c>
      <c r="T584" cm="1">
        <f t="array" ref="T584">MAX(IF((ContinuousStatsTable[GroupByKey]=ContinuousStatsTable[[#This Row],[GroupByKey]]),(ContinuousStatsTable[GroupByKey]=ContinuousStatsTable[[#This Row],[GroupByKey]])*ContinuousStatsTable[Average]))</f>
        <v>0.26785714285714302</v>
      </c>
      <c r="U584">
        <f>IF((ContinuousStatsTable[[#This Row],[RepsRequested]]&gt;1),ContinuousStatsTable[[#This Row],[HalfWidth]],ContinuousStatsTable[[#This Row],[BatchMeansHalfWidth]])</f>
        <v>4.1858316124321422E-17</v>
      </c>
    </row>
    <row r="585" spans="1:21" x14ac:dyDescent="0.25">
      <c r="A585" t="s">
        <v>67</v>
      </c>
      <c r="B585" t="s">
        <v>243</v>
      </c>
      <c r="C585">
        <v>7</v>
      </c>
      <c r="D585" t="s">
        <v>99</v>
      </c>
      <c r="E585" t="s">
        <v>116</v>
      </c>
      <c r="F585" t="s">
        <v>71</v>
      </c>
      <c r="G585">
        <v>78.144679445599493</v>
      </c>
      <c r="H585">
        <v>2E+20</v>
      </c>
      <c r="I585">
        <v>0</v>
      </c>
      <c r="J585">
        <v>167</v>
      </c>
      <c r="K585">
        <v>167</v>
      </c>
      <c r="L585">
        <v>0</v>
      </c>
      <c r="M585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585" cm="1">
        <f t="array" ref="N585">MAX(IF((ProjectInfoTable[ProjectName]=ContinuousStatsTable[[#This Row],[ProjectName]]),(ProjectInfoTable[ProjectName]=ContinuousStatsTable[[#This Row],[ProjectName]])*ProjectInfoTable[NumberOfReplications]))</f>
        <v>10</v>
      </c>
      <c r="O585" cm="1">
        <f t="array" ref="O585">IFERROR(AVERAGE(IF((ContinuousStatsTable[GroupByKey]=ContinuousStatsTable[[#This Row],[GroupByKey]]),(ContinuousStatsTable[GroupByKey]=ContinuousStatsTable[[#This Row],[GroupByKey]])*ContinuousStatsTable[Average])),0)</f>
        <v>83.474789654582125</v>
      </c>
      <c r="P58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6.0930686050573728</v>
      </c>
      <c r="Q58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4.358718705180836</v>
      </c>
      <c r="S585" cm="1">
        <f t="array" ref="S585">MIN(IF((ContinuousStatsTable[GroupByKey]=ContinuousStatsTable[[#This Row],[GroupByKey]]),(ContinuousStatsTable[GroupByKey]=ContinuousStatsTable[[#This Row],[GroupByKey]])*ContinuousStatsTable[Average]))</f>
        <v>72.152998246910798</v>
      </c>
      <c r="T585" cm="1">
        <f t="array" ref="T585">MAX(IF((ContinuousStatsTable[GroupByKey]=ContinuousStatsTable[[#This Row],[GroupByKey]]),(ContinuousStatsTable[GroupByKey]=ContinuousStatsTable[[#This Row],[GroupByKey]])*ContinuousStatsTable[Average]))</f>
        <v>91.653675793565498</v>
      </c>
      <c r="U585">
        <f>IF((ContinuousStatsTable[[#This Row],[RepsRequested]]&gt;1),ContinuousStatsTable[[#This Row],[HalfWidth]],ContinuousStatsTable[[#This Row],[BatchMeansHalfWidth]])</f>
        <v>4.358718705180836</v>
      </c>
    </row>
    <row r="586" spans="1:21" x14ac:dyDescent="0.25">
      <c r="A586" t="s">
        <v>67</v>
      </c>
      <c r="B586" t="s">
        <v>243</v>
      </c>
      <c r="C586">
        <v>7</v>
      </c>
      <c r="D586" t="s">
        <v>100</v>
      </c>
      <c r="E586" t="s">
        <v>116</v>
      </c>
      <c r="F586" t="s">
        <v>71</v>
      </c>
      <c r="G586">
        <v>0.74837455611097603</v>
      </c>
      <c r="H586">
        <v>2E+20</v>
      </c>
      <c r="I586">
        <v>0</v>
      </c>
      <c r="J586">
        <v>3</v>
      </c>
      <c r="K586">
        <v>2</v>
      </c>
      <c r="L586">
        <v>0</v>
      </c>
      <c r="M586" t="str">
        <f>ContinuousStatsTable[[#This Row],[ProjectName]]&amp;ContinuousStatsTable[[#This Row],[Name]]&amp;ContinuousStatsTable[[#This Row],[Type]]&amp;ContinuousStatsTable[[#This Row],[Source]]</f>
        <v>Unnamed ProjectSeize 10.QueueNumber WaitingQueue</v>
      </c>
      <c r="N586" cm="1">
        <f t="array" ref="N586">MAX(IF((ProjectInfoTable[ProjectName]=ContinuousStatsTable[[#This Row],[ProjectName]]),(ProjectInfoTable[ProjectName]=ContinuousStatsTable[[#This Row],[ProjectName]])*ProjectInfoTable[NumberOfReplications]))</f>
        <v>10</v>
      </c>
      <c r="O586" cm="1">
        <f t="array" ref="O586">IFERROR(AVERAGE(IF((ContinuousStatsTable[GroupByKey]=ContinuousStatsTable[[#This Row],[GroupByKey]]),(ContinuousStatsTable[GroupByKey]=ContinuousStatsTable[[#This Row],[GroupByKey]])*ContinuousStatsTable[Average])),0)</f>
        <v>0.77451739131190445</v>
      </c>
      <c r="P586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0.14034110421466847</v>
      </c>
      <c r="Q586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0.10039397809151185</v>
      </c>
      <c r="S586" cm="1">
        <f t="array" ref="S586">MIN(IF((ContinuousStatsTable[GroupByKey]=ContinuousStatsTable[[#This Row],[GroupByKey]]),(ContinuousStatsTable[GroupByKey]=ContinuousStatsTable[[#This Row],[GroupByKey]])*ContinuousStatsTable[Average]))</f>
        <v>0.57599630674201496</v>
      </c>
      <c r="T586" cm="1">
        <f t="array" ref="T586">MAX(IF((ContinuousStatsTable[GroupByKey]=ContinuousStatsTable[[#This Row],[GroupByKey]]),(ContinuousStatsTable[GroupByKey]=ContinuousStatsTable[[#This Row],[GroupByKey]])*ContinuousStatsTable[Average]))</f>
        <v>0.944128153448903</v>
      </c>
      <c r="U586">
        <f>IF((ContinuousStatsTable[[#This Row],[RepsRequested]]&gt;1),ContinuousStatsTable[[#This Row],[HalfWidth]],ContinuousStatsTable[[#This Row],[BatchMeansHalfWidth]])</f>
        <v>0.10039397809151185</v>
      </c>
    </row>
    <row r="587" spans="1:21" x14ac:dyDescent="0.25">
      <c r="A587" t="s">
        <v>67</v>
      </c>
      <c r="B587" t="s">
        <v>243</v>
      </c>
      <c r="C587">
        <v>7</v>
      </c>
      <c r="D587" t="s">
        <v>101</v>
      </c>
      <c r="E587" t="s">
        <v>116</v>
      </c>
      <c r="F587" t="s">
        <v>71</v>
      </c>
      <c r="G587">
        <v>25.764658423427701</v>
      </c>
      <c r="H587">
        <v>2E+20</v>
      </c>
      <c r="I587">
        <v>0</v>
      </c>
      <c r="J587">
        <v>139</v>
      </c>
      <c r="K587">
        <v>0</v>
      </c>
      <c r="L587">
        <v>0</v>
      </c>
      <c r="M587" t="str">
        <f>ContinuousStatsTable[[#This Row],[ProjectName]]&amp;ContinuousStatsTable[[#This Row],[Name]]&amp;ContinuousStatsTable[[#This Row],[Type]]&amp;ContinuousStatsTable[[#This Row],[Source]]</f>
        <v>Unnamed ProjectSeize 11.QueueNumber WaitingQueue</v>
      </c>
      <c r="N587" cm="1">
        <f t="array" ref="N587">MAX(IF((ProjectInfoTable[ProjectName]=ContinuousStatsTable[[#This Row],[ProjectName]]),(ProjectInfoTable[ProjectName]=ContinuousStatsTable[[#This Row],[ProjectName]])*ProjectInfoTable[NumberOfReplications]))</f>
        <v>10</v>
      </c>
      <c r="O587" cm="1">
        <f t="array" ref="O587">IFERROR(AVERAGE(IF((ContinuousStatsTable[GroupByKey]=ContinuousStatsTable[[#This Row],[GroupByKey]]),(ContinuousStatsTable[GroupByKey]=ContinuousStatsTable[[#This Row],[GroupByKey]])*ContinuousStatsTable[Average])),0)</f>
        <v>17.495844600024782</v>
      </c>
      <c r="P587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4.1567315260337745</v>
      </c>
      <c r="Q587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2.9735466034142406</v>
      </c>
      <c r="S587" cm="1">
        <f t="array" ref="S587">MIN(IF((ContinuousStatsTable[GroupByKey]=ContinuousStatsTable[[#This Row],[GroupByKey]]),(ContinuousStatsTable[GroupByKey]=ContinuousStatsTable[[#This Row],[GroupByKey]])*ContinuousStatsTable[Average]))</f>
        <v>10.770319236854199</v>
      </c>
      <c r="T587" cm="1">
        <f t="array" ref="T587">MAX(IF((ContinuousStatsTable[GroupByKey]=ContinuousStatsTable[[#This Row],[GroupByKey]]),(ContinuousStatsTable[GroupByKey]=ContinuousStatsTable[[#This Row],[GroupByKey]])*ContinuousStatsTable[Average]))</f>
        <v>25.764658423427701</v>
      </c>
      <c r="U587">
        <f>IF((ContinuousStatsTable[[#This Row],[RepsRequested]]&gt;1),ContinuousStatsTable[[#This Row],[HalfWidth]],ContinuousStatsTable[[#This Row],[BatchMeansHalfWidth]])</f>
        <v>2.9735466034142406</v>
      </c>
    </row>
    <row r="588" spans="1:21" x14ac:dyDescent="0.25">
      <c r="A588" t="s">
        <v>67</v>
      </c>
      <c r="B588" t="s">
        <v>243</v>
      </c>
      <c r="C588">
        <v>7</v>
      </c>
      <c r="D588" t="s">
        <v>102</v>
      </c>
      <c r="E588" t="s">
        <v>116</v>
      </c>
      <c r="F588" t="s">
        <v>71</v>
      </c>
      <c r="G588">
        <v>1.32014802926651</v>
      </c>
      <c r="H588">
        <v>3E+20</v>
      </c>
      <c r="I588">
        <v>0</v>
      </c>
      <c r="J588">
        <v>4</v>
      </c>
      <c r="K588">
        <v>4</v>
      </c>
      <c r="L588">
        <v>0</v>
      </c>
      <c r="M588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588" cm="1">
        <f t="array" ref="N588">MAX(IF((ProjectInfoTable[ProjectName]=ContinuousStatsTable[[#This Row],[ProjectName]]),(ProjectInfoTable[ProjectName]=ContinuousStatsTable[[#This Row],[ProjectName]])*ProjectInfoTable[NumberOfReplications]))</f>
        <v>10</v>
      </c>
      <c r="O588" cm="1">
        <f t="array" ref="O588">IFERROR(AVERAGE(IF((ContinuousStatsTable[GroupByKey]=ContinuousStatsTable[[#This Row],[GroupByKey]]),(ContinuousStatsTable[GroupByKey]=ContinuousStatsTable[[#This Row],[GroupByKey]])*ContinuousStatsTable[Average])),0)</f>
        <v>1.2334365850159306</v>
      </c>
      <c r="P588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0.34677877772765942</v>
      </c>
      <c r="Q588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0.24807059349154728</v>
      </c>
      <c r="S588" cm="1">
        <f t="array" ref="S588">MIN(IF((ContinuousStatsTable[GroupByKey]=ContinuousStatsTable[[#This Row],[GroupByKey]]),(ContinuousStatsTable[GroupByKey]=ContinuousStatsTable[[#This Row],[GroupByKey]])*ContinuousStatsTable[Average]))</f>
        <v>0.47601596605360202</v>
      </c>
      <c r="T588" cm="1">
        <f t="array" ref="T588">MAX(IF((ContinuousStatsTable[GroupByKey]=ContinuousStatsTable[[#This Row],[GroupByKey]]),(ContinuousStatsTable[GroupByKey]=ContinuousStatsTable[[#This Row],[GroupByKey]])*ContinuousStatsTable[Average]))</f>
        <v>1.5938052921300001</v>
      </c>
      <c r="U588">
        <f>IF((ContinuousStatsTable[[#This Row],[RepsRequested]]&gt;1),ContinuousStatsTable[[#This Row],[HalfWidth]],ContinuousStatsTable[[#This Row],[BatchMeansHalfWidth]])</f>
        <v>0.24807059349154728</v>
      </c>
    </row>
    <row r="589" spans="1:21" x14ac:dyDescent="0.25">
      <c r="A589" t="s">
        <v>67</v>
      </c>
      <c r="B589" t="s">
        <v>243</v>
      </c>
      <c r="C589">
        <v>7</v>
      </c>
      <c r="D589" t="s">
        <v>103</v>
      </c>
      <c r="E589" t="s">
        <v>116</v>
      </c>
      <c r="F589" t="s">
        <v>71</v>
      </c>
      <c r="G589">
        <v>0.443638473140476</v>
      </c>
      <c r="H589">
        <v>3E+20</v>
      </c>
      <c r="I589">
        <v>0</v>
      </c>
      <c r="J589">
        <v>2</v>
      </c>
      <c r="K589">
        <v>0</v>
      </c>
      <c r="L589">
        <v>0</v>
      </c>
      <c r="M589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589" cm="1">
        <f t="array" ref="N589">MAX(IF((ProjectInfoTable[ProjectName]=ContinuousStatsTable[[#This Row],[ProjectName]]),(ProjectInfoTable[ProjectName]=ContinuousStatsTable[[#This Row],[ProjectName]])*ProjectInfoTable[NumberOfReplications]))</f>
        <v>10</v>
      </c>
      <c r="O589" cm="1">
        <f t="array" ref="O589">IFERROR(AVERAGE(IF((ContinuousStatsTable[GroupByKey]=ContinuousStatsTable[[#This Row],[GroupByKey]]),(ContinuousStatsTable[GroupByKey]=ContinuousStatsTable[[#This Row],[GroupByKey]])*ContinuousStatsTable[Average])),0)</f>
        <v>0.19501309596936622</v>
      </c>
      <c r="P589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0.14771852643081365</v>
      </c>
      <c r="Q589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0.10567146802209269</v>
      </c>
      <c r="S589" cm="1">
        <f t="array" ref="S589">MIN(IF((ContinuousStatsTable[GroupByKey]=ContinuousStatsTable[[#This Row],[GroupByKey]]),(ContinuousStatsTable[GroupByKey]=ContinuousStatsTable[[#This Row],[GroupByKey]])*ContinuousStatsTable[Average]))</f>
        <v>5.2203254973614402E-2</v>
      </c>
      <c r="T589" cm="1">
        <f t="array" ref="T589">MAX(IF((ContinuousStatsTable[GroupByKey]=ContinuousStatsTable[[#This Row],[GroupByKey]]),(ContinuousStatsTable[GroupByKey]=ContinuousStatsTable[[#This Row],[GroupByKey]])*ContinuousStatsTable[Average]))</f>
        <v>0.443638473140476</v>
      </c>
      <c r="U589">
        <f>IF((ContinuousStatsTable[[#This Row],[RepsRequested]]&gt;1),ContinuousStatsTable[[#This Row],[HalfWidth]],ContinuousStatsTable[[#This Row],[BatchMeansHalfWidth]])</f>
        <v>0.10567146802209269</v>
      </c>
    </row>
    <row r="590" spans="1:21" x14ac:dyDescent="0.25">
      <c r="A590" t="s">
        <v>67</v>
      </c>
      <c r="B590" t="s">
        <v>243</v>
      </c>
      <c r="C590">
        <v>7</v>
      </c>
      <c r="D590" t="s">
        <v>104</v>
      </c>
      <c r="E590" t="s">
        <v>116</v>
      </c>
      <c r="F590" t="s">
        <v>71</v>
      </c>
      <c r="G590">
        <v>79.194756600303293</v>
      </c>
      <c r="H590">
        <v>3E+20</v>
      </c>
      <c r="I590">
        <v>0</v>
      </c>
      <c r="J590">
        <v>163</v>
      </c>
      <c r="K590">
        <v>163</v>
      </c>
      <c r="L590">
        <v>0</v>
      </c>
      <c r="M590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590" cm="1">
        <f t="array" ref="N590">MAX(IF((ProjectInfoTable[ProjectName]=ContinuousStatsTable[[#This Row],[ProjectName]]),(ProjectInfoTable[ProjectName]=ContinuousStatsTable[[#This Row],[ProjectName]])*ProjectInfoTable[NumberOfReplications]))</f>
        <v>10</v>
      </c>
      <c r="O590" cm="1">
        <f t="array" ref="O590">IFERROR(AVERAGE(IF((ContinuousStatsTable[GroupByKey]=ContinuousStatsTable[[#This Row],[GroupByKey]]),(ContinuousStatsTable[GroupByKey]=ContinuousStatsTable[[#This Row],[GroupByKey]])*ContinuousStatsTable[Average])),0)</f>
        <v>81.226274902651596</v>
      </c>
      <c r="P590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11.159336682409895</v>
      </c>
      <c r="Q590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7.9829085618136846</v>
      </c>
      <c r="S590" cm="1">
        <f t="array" ref="S590">MIN(IF((ContinuousStatsTable[GroupByKey]=ContinuousStatsTable[[#This Row],[GroupByKey]]),(ContinuousStatsTable[GroupByKey]=ContinuousStatsTable[[#This Row],[GroupByKey]])*ContinuousStatsTable[Average]))</f>
        <v>66.053444809788303</v>
      </c>
      <c r="T590" cm="1">
        <f t="array" ref="T590">MAX(IF((ContinuousStatsTable[GroupByKey]=ContinuousStatsTable[[#This Row],[GroupByKey]]),(ContinuousStatsTable[GroupByKey]=ContinuousStatsTable[[#This Row],[GroupByKey]])*ContinuousStatsTable[Average]))</f>
        <v>100.586340982454</v>
      </c>
      <c r="U590">
        <f>IF((ContinuousStatsTable[[#This Row],[RepsRequested]]&gt;1),ContinuousStatsTable[[#This Row],[HalfWidth]],ContinuousStatsTable[[#This Row],[BatchMeansHalfWidth]])</f>
        <v>7.9829085618136846</v>
      </c>
    </row>
    <row r="591" spans="1:21" x14ac:dyDescent="0.25">
      <c r="A591" t="s">
        <v>67</v>
      </c>
      <c r="B591" t="s">
        <v>243</v>
      </c>
      <c r="C591">
        <v>7</v>
      </c>
      <c r="D591" t="s">
        <v>105</v>
      </c>
      <c r="E591" t="s">
        <v>116</v>
      </c>
      <c r="F591" t="s">
        <v>71</v>
      </c>
      <c r="G591">
        <v>1.52445995070681</v>
      </c>
      <c r="H591">
        <v>3E+20</v>
      </c>
      <c r="I591">
        <v>0</v>
      </c>
      <c r="J591">
        <v>2</v>
      </c>
      <c r="K591">
        <v>2</v>
      </c>
      <c r="L591">
        <v>0</v>
      </c>
      <c r="M591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591" cm="1">
        <f t="array" ref="N591">MAX(IF((ProjectInfoTable[ProjectName]=ContinuousStatsTable[[#This Row],[ProjectName]]),(ProjectInfoTable[ProjectName]=ContinuousStatsTable[[#This Row],[ProjectName]])*ProjectInfoTable[NumberOfReplications]))</f>
        <v>10</v>
      </c>
      <c r="O591" cm="1">
        <f t="array" ref="O591">IFERROR(AVERAGE(IF((ContinuousStatsTable[GroupByKey]=ContinuousStatsTable[[#This Row],[GroupByKey]]),(ContinuousStatsTable[GroupByKey]=ContinuousStatsTable[[#This Row],[GroupByKey]])*ContinuousStatsTable[Average])),0)</f>
        <v>1.3234420699844864</v>
      </c>
      <c r="P591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0.23376145670955006</v>
      </c>
      <c r="Q591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0.1672228724069392</v>
      </c>
      <c r="S591" cm="1">
        <f t="array" ref="S591">MIN(IF((ContinuousStatsTable[GroupByKey]=ContinuousStatsTable[[#This Row],[GroupByKey]]),(ContinuousStatsTable[GroupByKey]=ContinuousStatsTable[[#This Row],[GroupByKey]])*ContinuousStatsTable[Average]))</f>
        <v>0.88257428434366503</v>
      </c>
      <c r="T591" cm="1">
        <f t="array" ref="T591">MAX(IF((ContinuousStatsTable[GroupByKey]=ContinuousStatsTable[[#This Row],[GroupByKey]]),(ContinuousStatsTable[GroupByKey]=ContinuousStatsTable[[#This Row],[GroupByKey]])*ContinuousStatsTable[Average]))</f>
        <v>1.5367801636504701</v>
      </c>
      <c r="U591">
        <f>IF((ContinuousStatsTable[[#This Row],[RepsRequested]]&gt;1),ContinuousStatsTable[[#This Row],[HalfWidth]],ContinuousStatsTable[[#This Row],[BatchMeansHalfWidth]])</f>
        <v>0.1672228724069392</v>
      </c>
    </row>
    <row r="592" spans="1:21" x14ac:dyDescent="0.25">
      <c r="A592" t="s">
        <v>67</v>
      </c>
      <c r="B592" t="s">
        <v>243</v>
      </c>
      <c r="C592">
        <v>7</v>
      </c>
      <c r="D592" t="s">
        <v>106</v>
      </c>
      <c r="E592" t="s">
        <v>116</v>
      </c>
      <c r="F592" t="s">
        <v>71</v>
      </c>
      <c r="G592">
        <v>3.6096118164178699</v>
      </c>
      <c r="H592">
        <v>3E+20</v>
      </c>
      <c r="I592">
        <v>0</v>
      </c>
      <c r="J592">
        <v>5</v>
      </c>
      <c r="K592">
        <v>2</v>
      </c>
      <c r="L592">
        <v>0</v>
      </c>
      <c r="M592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592" cm="1">
        <f t="array" ref="N592">MAX(IF((ProjectInfoTable[ProjectName]=ContinuousStatsTable[[#This Row],[ProjectName]]),(ProjectInfoTable[ProjectName]=ContinuousStatsTable[[#This Row],[ProjectName]])*ProjectInfoTable[NumberOfReplications]))</f>
        <v>10</v>
      </c>
      <c r="O592" cm="1">
        <f t="array" ref="O592">IFERROR(AVERAGE(IF((ContinuousStatsTable[GroupByKey]=ContinuousStatsTable[[#This Row],[GroupByKey]]),(ContinuousStatsTable[GroupByKey]=ContinuousStatsTable[[#This Row],[GroupByKey]])*ContinuousStatsTable[Average])),0)</f>
        <v>3.295350976306183</v>
      </c>
      <c r="P592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0.30652142094800816</v>
      </c>
      <c r="Q592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0.21927221530309879</v>
      </c>
      <c r="S592" cm="1">
        <f t="array" ref="S592">MIN(IF((ContinuousStatsTable[GroupByKey]=ContinuousStatsTable[[#This Row],[GroupByKey]]),(ContinuousStatsTable[GroupByKey]=ContinuousStatsTable[[#This Row],[GroupByKey]])*ContinuousStatsTable[Average]))</f>
        <v>2.9443042052265702</v>
      </c>
      <c r="T592" cm="1">
        <f t="array" ref="T592">MAX(IF((ContinuousStatsTable[GroupByKey]=ContinuousStatsTable[[#This Row],[GroupByKey]]),(ContinuousStatsTable[GroupByKey]=ContinuousStatsTable[[#This Row],[GroupByKey]])*ContinuousStatsTable[Average]))</f>
        <v>3.9785130958891202</v>
      </c>
      <c r="U592">
        <f>IF((ContinuousStatsTable[[#This Row],[RepsRequested]]&gt;1),ContinuousStatsTable[[#This Row],[HalfWidth]],ContinuousStatsTable[[#This Row],[BatchMeansHalfWidth]])</f>
        <v>0.21927221530309879</v>
      </c>
    </row>
    <row r="593" spans="1:21" x14ac:dyDescent="0.25">
      <c r="A593" t="s">
        <v>67</v>
      </c>
      <c r="B593" t="s">
        <v>243</v>
      </c>
      <c r="C593">
        <v>7</v>
      </c>
      <c r="D593" t="s">
        <v>107</v>
      </c>
      <c r="E593" t="s">
        <v>116</v>
      </c>
      <c r="F593" t="s">
        <v>71</v>
      </c>
      <c r="G593">
        <v>1.21792090436678</v>
      </c>
      <c r="H593">
        <v>2E+20</v>
      </c>
      <c r="I593">
        <v>0</v>
      </c>
      <c r="J593">
        <v>4</v>
      </c>
      <c r="K593">
        <v>4</v>
      </c>
      <c r="L593">
        <v>0</v>
      </c>
      <c r="M593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593" cm="1">
        <f t="array" ref="N593">MAX(IF((ProjectInfoTable[ProjectName]=ContinuousStatsTable[[#This Row],[ProjectName]]),(ProjectInfoTable[ProjectName]=ContinuousStatsTable[[#This Row],[ProjectName]])*ProjectInfoTable[NumberOfReplications]))</f>
        <v>10</v>
      </c>
      <c r="O593" cm="1">
        <f t="array" ref="O593">IFERROR(AVERAGE(IF((ContinuousStatsTable[GroupByKey]=ContinuousStatsTable[[#This Row],[GroupByKey]]),(ContinuousStatsTable[GroupByKey]=ContinuousStatsTable[[#This Row],[GroupByKey]])*ContinuousStatsTable[Average])),0)</f>
        <v>1.4832039737284362</v>
      </c>
      <c r="P593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0.28170250043427397</v>
      </c>
      <c r="Q593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0.20151782911486205</v>
      </c>
      <c r="S593" cm="1">
        <f t="array" ref="S593">MIN(IF((ContinuousStatsTable[GroupByKey]=ContinuousStatsTable[[#This Row],[GroupByKey]]),(ContinuousStatsTable[GroupByKey]=ContinuousStatsTable[[#This Row],[GroupByKey]])*ContinuousStatsTable[Average]))</f>
        <v>0.850065833369271</v>
      </c>
      <c r="T593" cm="1">
        <f t="array" ref="T593">MAX(IF((ContinuousStatsTable[GroupByKey]=ContinuousStatsTable[[#This Row],[GroupByKey]]),(ContinuousStatsTable[GroupByKey]=ContinuousStatsTable[[#This Row],[GroupByKey]])*ContinuousStatsTable[Average]))</f>
        <v>1.78320590856036</v>
      </c>
      <c r="U593">
        <f>IF((ContinuousStatsTable[[#This Row],[RepsRequested]]&gt;1),ContinuousStatsTable[[#This Row],[HalfWidth]],ContinuousStatsTable[[#This Row],[BatchMeansHalfWidth]])</f>
        <v>0.20151782911486205</v>
      </c>
    </row>
    <row r="594" spans="1:21" x14ac:dyDescent="0.25">
      <c r="A594" t="s">
        <v>67</v>
      </c>
      <c r="B594" t="s">
        <v>243</v>
      </c>
      <c r="C594">
        <v>7</v>
      </c>
      <c r="D594" t="s">
        <v>108</v>
      </c>
      <c r="E594" t="s">
        <v>116</v>
      </c>
      <c r="F594" t="s">
        <v>71</v>
      </c>
      <c r="G594">
        <v>91.456511607197399</v>
      </c>
      <c r="H594">
        <v>3E+20</v>
      </c>
      <c r="I594">
        <v>0</v>
      </c>
      <c r="J594">
        <v>178</v>
      </c>
      <c r="K594">
        <v>178</v>
      </c>
      <c r="L594">
        <v>0</v>
      </c>
      <c r="M594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594" cm="1">
        <f t="array" ref="N594">MAX(IF((ProjectInfoTable[ProjectName]=ContinuousStatsTable[[#This Row],[ProjectName]]),(ProjectInfoTable[ProjectName]=ContinuousStatsTable[[#This Row],[ProjectName]])*ProjectInfoTable[NumberOfReplications]))</f>
        <v>10</v>
      </c>
      <c r="O594" cm="1">
        <f t="array" ref="O594">IFERROR(AVERAGE(IF((ContinuousStatsTable[GroupByKey]=ContinuousStatsTable[[#This Row],[GroupByKey]]),(ContinuousStatsTable[GroupByKey]=ContinuousStatsTable[[#This Row],[GroupByKey]])*ContinuousStatsTable[Average])),0)</f>
        <v>84.673313986400757</v>
      </c>
      <c r="P594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6.3050274623130749</v>
      </c>
      <c r="Q594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4.5103449375003528</v>
      </c>
      <c r="S594" cm="1">
        <f t="array" ref="S594">MIN(IF((ContinuousStatsTable[GroupByKey]=ContinuousStatsTable[[#This Row],[GroupByKey]]),(ContinuousStatsTable[GroupByKey]=ContinuousStatsTable[[#This Row],[GroupByKey]])*ContinuousStatsTable[Average]))</f>
        <v>72.004631303705096</v>
      </c>
      <c r="T594" cm="1">
        <f t="array" ref="T594">MAX(IF((ContinuousStatsTable[GroupByKey]=ContinuousStatsTable[[#This Row],[GroupByKey]]),(ContinuousStatsTable[GroupByKey]=ContinuousStatsTable[[#This Row],[GroupByKey]])*ContinuousStatsTable[Average]))</f>
        <v>94.488584180465494</v>
      </c>
      <c r="U594">
        <f>IF((ContinuousStatsTable[[#This Row],[RepsRequested]]&gt;1),ContinuousStatsTable[[#This Row],[HalfWidth]],ContinuousStatsTable[[#This Row],[BatchMeansHalfWidth]])</f>
        <v>4.5103449375003528</v>
      </c>
    </row>
    <row r="595" spans="1:21" x14ac:dyDescent="0.25">
      <c r="A595" t="s">
        <v>67</v>
      </c>
      <c r="B595" t="s">
        <v>243</v>
      </c>
      <c r="C595">
        <v>7</v>
      </c>
      <c r="D595" t="s">
        <v>109</v>
      </c>
      <c r="E595" t="s">
        <v>116</v>
      </c>
      <c r="F595" t="s">
        <v>71</v>
      </c>
      <c r="G595">
        <v>3.7392889579775299</v>
      </c>
      <c r="H595">
        <v>3E+20</v>
      </c>
      <c r="I595">
        <v>0</v>
      </c>
      <c r="J595">
        <v>5</v>
      </c>
      <c r="K595">
        <v>4</v>
      </c>
      <c r="L595">
        <v>0</v>
      </c>
      <c r="M595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595" cm="1">
        <f t="array" ref="N595">MAX(IF((ProjectInfoTable[ProjectName]=ContinuousStatsTable[[#This Row],[ProjectName]]),(ProjectInfoTable[ProjectName]=ContinuousStatsTable[[#This Row],[ProjectName]])*ProjectInfoTable[NumberOfReplications]))</f>
        <v>10</v>
      </c>
      <c r="O595" cm="1">
        <f t="array" ref="O595">IFERROR(AVERAGE(IF((ContinuousStatsTable[GroupByKey]=ContinuousStatsTable[[#This Row],[GroupByKey]]),(ContinuousStatsTable[GroupByKey]=ContinuousStatsTable[[#This Row],[GroupByKey]])*ContinuousStatsTable[Average])),0)</f>
        <v>3.1643006447829118</v>
      </c>
      <c r="P59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0.56709805972033456</v>
      </c>
      <c r="Q59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0.40567751338350572</v>
      </c>
      <c r="S595" cm="1">
        <f t="array" ref="S595">MIN(IF((ContinuousStatsTable[GroupByKey]=ContinuousStatsTable[[#This Row],[GroupByKey]]),(ContinuousStatsTable[GroupByKey]=ContinuousStatsTable[[#This Row],[GroupByKey]])*ContinuousStatsTable[Average]))</f>
        <v>2.1571183231200299</v>
      </c>
      <c r="T595" cm="1">
        <f t="array" ref="T595">MAX(IF((ContinuousStatsTable[GroupByKey]=ContinuousStatsTable[[#This Row],[GroupByKey]]),(ContinuousStatsTable[GroupByKey]=ContinuousStatsTable[[#This Row],[GroupByKey]])*ContinuousStatsTable[Average]))</f>
        <v>3.7448575603137102</v>
      </c>
      <c r="U595">
        <f>IF((ContinuousStatsTable[[#This Row],[RepsRequested]]&gt;1),ContinuousStatsTable[[#This Row],[HalfWidth]],ContinuousStatsTable[[#This Row],[BatchMeansHalfWidth]])</f>
        <v>0.40567751338350572</v>
      </c>
    </row>
    <row r="596" spans="1:21" x14ac:dyDescent="0.25">
      <c r="A596" t="s">
        <v>67</v>
      </c>
      <c r="B596" t="s">
        <v>243</v>
      </c>
      <c r="C596">
        <v>7</v>
      </c>
      <c r="D596" t="s">
        <v>110</v>
      </c>
      <c r="E596" t="s">
        <v>117</v>
      </c>
      <c r="F596" t="s">
        <v>76</v>
      </c>
      <c r="G596">
        <v>3.1112676501780898</v>
      </c>
      <c r="H596">
        <v>3E+20</v>
      </c>
      <c r="I596">
        <v>0</v>
      </c>
      <c r="J596">
        <v>7</v>
      </c>
      <c r="K596">
        <v>6</v>
      </c>
      <c r="L596">
        <v>0</v>
      </c>
      <c r="M596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596" cm="1">
        <f t="array" ref="N596">MAX(IF((ProjectInfoTable[ProjectName]=ContinuousStatsTable[[#This Row],[ProjectName]]),(ProjectInfoTable[ProjectName]=ContinuousStatsTable[[#This Row],[ProjectName]])*ProjectInfoTable[NumberOfReplications]))</f>
        <v>10</v>
      </c>
      <c r="O596" cm="1">
        <f t="array" ref="O596">IFERROR(AVERAGE(IF((ContinuousStatsTable[GroupByKey]=ContinuousStatsTable[[#This Row],[GroupByKey]]),(ContinuousStatsTable[GroupByKey]=ContinuousStatsTable[[#This Row],[GroupByKey]])*ContinuousStatsTable[Average])),0)</f>
        <v>2.7938165767457108</v>
      </c>
      <c r="P596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0.37107770243484822</v>
      </c>
      <c r="Q596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0.26545299708849601</v>
      </c>
      <c r="S596" cm="1">
        <f t="array" ref="S596">MIN(IF((ContinuousStatsTable[GroupByKey]=ContinuousStatsTable[[#This Row],[GroupByKey]]),(ContinuousStatsTable[GroupByKey]=ContinuousStatsTable[[#This Row],[GroupByKey]])*ContinuousStatsTable[Average]))</f>
        <v>2.05988155680273</v>
      </c>
      <c r="T596" cm="1">
        <f t="array" ref="T596">MAX(IF((ContinuousStatsTable[GroupByKey]=ContinuousStatsTable[[#This Row],[GroupByKey]]),(ContinuousStatsTable[GroupByKey]=ContinuousStatsTable[[#This Row],[GroupByKey]])*ContinuousStatsTable[Average]))</f>
        <v>3.2132100714910901</v>
      </c>
      <c r="U596">
        <f>IF((ContinuousStatsTable[[#This Row],[RepsRequested]]&gt;1),ContinuousStatsTable[[#This Row],[HalfWidth]],ContinuousStatsTable[[#This Row],[BatchMeansHalfWidth]])</f>
        <v>0.26545299708849601</v>
      </c>
    </row>
    <row r="597" spans="1:21" x14ac:dyDescent="0.25">
      <c r="A597" t="s">
        <v>67</v>
      </c>
      <c r="B597" t="s">
        <v>243</v>
      </c>
      <c r="C597">
        <v>8</v>
      </c>
      <c r="D597" t="s">
        <v>111</v>
      </c>
      <c r="E597" t="s">
        <v>112</v>
      </c>
      <c r="F597" t="s">
        <v>113</v>
      </c>
      <c r="G597">
        <v>3.6103671471189598E-2</v>
      </c>
      <c r="H597">
        <v>3E+20</v>
      </c>
      <c r="I597">
        <v>0</v>
      </c>
      <c r="J597">
        <v>1</v>
      </c>
      <c r="K597">
        <v>1</v>
      </c>
      <c r="L597">
        <v>0</v>
      </c>
      <c r="M597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597" cm="1">
        <f t="array" ref="N597">MAX(IF((ProjectInfoTable[ProjectName]=ContinuousStatsTable[[#This Row],[ProjectName]]),(ProjectInfoTable[ProjectName]=ContinuousStatsTable[[#This Row],[ProjectName]])*ProjectInfoTable[NumberOfReplications]))</f>
        <v>10</v>
      </c>
      <c r="O597" cm="1">
        <f t="array" ref="O597">IFERROR(AVERAGE(IF((ContinuousStatsTable[GroupByKey]=ContinuousStatsTable[[#This Row],[GroupByKey]]),(ContinuousStatsTable[GroupByKey]=ContinuousStatsTable[[#This Row],[GroupByKey]])*ContinuousStatsTable[Average])),0)</f>
        <v>3.6074566243936998E-2</v>
      </c>
      <c r="P597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6.6761681626786623E-5</v>
      </c>
      <c r="Q597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4.7758430005936653E-5</v>
      </c>
      <c r="S597" cm="1">
        <f t="array" ref="S597">MIN(IF((ContinuousStatsTable[GroupByKey]=ContinuousStatsTable[[#This Row],[GroupByKey]]),(ContinuousStatsTable[GroupByKey]=ContinuousStatsTable[[#This Row],[GroupByKey]])*ContinuousStatsTable[Average]))</f>
        <v>3.5941735992799297E-2</v>
      </c>
      <c r="T597" cm="1">
        <f t="array" ref="T597">MAX(IF((ContinuousStatsTable[GroupByKey]=ContinuousStatsTable[[#This Row],[GroupByKey]]),(ContinuousStatsTable[GroupByKey]=ContinuousStatsTable[[#This Row],[GroupByKey]])*ContinuousStatsTable[Average]))</f>
        <v>3.6177689828441002E-2</v>
      </c>
      <c r="U597">
        <f>IF((ContinuousStatsTable[[#This Row],[RepsRequested]]&gt;1),ContinuousStatsTable[[#This Row],[HalfWidth]],ContinuousStatsTable[[#This Row],[BatchMeansHalfWidth]])</f>
        <v>4.7758430005936653E-5</v>
      </c>
    </row>
    <row r="598" spans="1:21" x14ac:dyDescent="0.25">
      <c r="A598" t="s">
        <v>67</v>
      </c>
      <c r="B598" t="s">
        <v>243</v>
      </c>
      <c r="C598">
        <v>8</v>
      </c>
      <c r="D598" t="s">
        <v>111</v>
      </c>
      <c r="E598" t="s">
        <v>114</v>
      </c>
      <c r="F598" t="s">
        <v>113</v>
      </c>
      <c r="G598">
        <v>3.6103671471189598E-2</v>
      </c>
      <c r="H598">
        <v>3E+20</v>
      </c>
      <c r="I598">
        <v>0</v>
      </c>
      <c r="J598">
        <v>1</v>
      </c>
      <c r="K598">
        <v>1</v>
      </c>
      <c r="L598">
        <v>0</v>
      </c>
      <c r="M598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598" cm="1">
        <f t="array" ref="N598">MAX(IF((ProjectInfoTable[ProjectName]=ContinuousStatsTable[[#This Row],[ProjectName]]),(ProjectInfoTable[ProjectName]=ContinuousStatsTable[[#This Row],[ProjectName]])*ProjectInfoTable[NumberOfReplications]))</f>
        <v>10</v>
      </c>
      <c r="O598" cm="1">
        <f t="array" ref="O598">IFERROR(AVERAGE(IF((ContinuousStatsTable[GroupByKey]=ContinuousStatsTable[[#This Row],[GroupByKey]]),(ContinuousStatsTable[GroupByKey]=ContinuousStatsTable[[#This Row],[GroupByKey]])*ContinuousStatsTable[Average])),0)</f>
        <v>3.6074566243937005E-2</v>
      </c>
      <c r="P598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6.6761681626785268E-5</v>
      </c>
      <c r="Q598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4.7758430005935684E-5</v>
      </c>
      <c r="S598" cm="1">
        <f t="array" ref="S598">MIN(IF((ContinuousStatsTable[GroupByKey]=ContinuousStatsTable[[#This Row],[GroupByKey]]),(ContinuousStatsTable[GroupByKey]=ContinuousStatsTable[[#This Row],[GroupByKey]])*ContinuousStatsTable[Average]))</f>
        <v>3.5941735992799297E-2</v>
      </c>
      <c r="T598" cm="1">
        <f t="array" ref="T598">MAX(IF((ContinuousStatsTable[GroupByKey]=ContinuousStatsTable[[#This Row],[GroupByKey]]),(ContinuousStatsTable[GroupByKey]=ContinuousStatsTable[[#This Row],[GroupByKey]])*ContinuousStatsTable[Average]))</f>
        <v>3.6177689828441002E-2</v>
      </c>
      <c r="U598">
        <f>IF((ContinuousStatsTable[[#This Row],[RepsRequested]]&gt;1),ContinuousStatsTable[[#This Row],[HalfWidth]],ContinuousStatsTable[[#This Row],[BatchMeansHalfWidth]])</f>
        <v>4.7758430005935684E-5</v>
      </c>
    </row>
    <row r="599" spans="1:21" x14ac:dyDescent="0.25">
      <c r="A599" t="s">
        <v>67</v>
      </c>
      <c r="B599" t="s">
        <v>243</v>
      </c>
      <c r="C599">
        <v>8</v>
      </c>
      <c r="D599" t="s">
        <v>111</v>
      </c>
      <c r="E599" t="s">
        <v>115</v>
      </c>
      <c r="F599" t="s">
        <v>113</v>
      </c>
      <c r="G599">
        <v>0.476190476190476</v>
      </c>
      <c r="H599">
        <v>2E+20</v>
      </c>
      <c r="I599">
        <v>0</v>
      </c>
      <c r="J599">
        <v>1</v>
      </c>
      <c r="K599">
        <v>1</v>
      </c>
      <c r="L599">
        <v>0</v>
      </c>
      <c r="M599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599" cm="1">
        <f t="array" ref="N599">MAX(IF((ProjectInfoTable[ProjectName]=ContinuousStatsTable[[#This Row],[ProjectName]]),(ProjectInfoTable[ProjectName]=ContinuousStatsTable[[#This Row],[ProjectName]])*ProjectInfoTable[NumberOfReplications]))</f>
        <v>10</v>
      </c>
      <c r="O599" cm="1">
        <f t="array" ref="O59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599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cm="1">
        <f t="array" ref="S599">MIN(IF((ContinuousStatsTable[GroupByKey]=ContinuousStatsTable[[#This Row],[GroupByKey]]),(ContinuousStatsTable[GroupByKey]=ContinuousStatsTable[[#This Row],[GroupByKey]])*ContinuousStatsTable[Average]))</f>
        <v>0.476190476190476</v>
      </c>
      <c r="T599" cm="1">
        <f t="array" ref="T599">MAX(IF((ContinuousStatsTable[GroupByKey]=ContinuousStatsTable[[#This Row],[GroupByKey]]),(ContinuousStatsTable[GroupByKey]=ContinuousStatsTable[[#This Row],[GroupByKey]])*ContinuousStatsTable[Average]))</f>
        <v>0.476190476190476</v>
      </c>
      <c r="U599">
        <f>IF((ContinuousStatsTable[[#This Row],[RepsRequested]]&gt;1),ContinuousStatsTable[[#This Row],[HalfWidth]],ContinuousStatsTable[[#This Row],[BatchMeansHalfWidth]])</f>
        <v>0</v>
      </c>
    </row>
    <row r="600" spans="1:21" x14ac:dyDescent="0.25">
      <c r="A600" t="s">
        <v>67</v>
      </c>
      <c r="B600" t="s">
        <v>243</v>
      </c>
      <c r="C600">
        <v>8</v>
      </c>
      <c r="D600" t="s">
        <v>70</v>
      </c>
      <c r="E600" t="s">
        <v>116</v>
      </c>
      <c r="F600" t="s">
        <v>71</v>
      </c>
      <c r="G600">
        <v>1.76845297870646</v>
      </c>
      <c r="H600">
        <v>3E+20</v>
      </c>
      <c r="I600">
        <v>0</v>
      </c>
      <c r="J600">
        <v>5</v>
      </c>
      <c r="K600">
        <v>1</v>
      </c>
      <c r="L600">
        <v>0</v>
      </c>
      <c r="M600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600" cm="1">
        <f t="array" ref="N600">MAX(IF((ProjectInfoTable[ProjectName]=ContinuousStatsTable[[#This Row],[ProjectName]]),(ProjectInfoTable[ProjectName]=ContinuousStatsTable[[#This Row],[ProjectName]])*ProjectInfoTable[NumberOfReplications]))</f>
        <v>10</v>
      </c>
      <c r="O600" cm="1">
        <f t="array" ref="O600">IFERROR(AVERAGE(IF((ContinuousStatsTable[GroupByKey]=ContinuousStatsTable[[#This Row],[GroupByKey]]),(ContinuousStatsTable[GroupByKey]=ContinuousStatsTable[[#This Row],[GroupByKey]])*ContinuousStatsTable[Average])),0)</f>
        <v>1.983224619189873</v>
      </c>
      <c r="P600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0.29990249131557767</v>
      </c>
      <c r="Q600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0.21453731828040576</v>
      </c>
      <c r="S600" cm="1">
        <f t="array" ref="S600">MIN(IF((ContinuousStatsTable[GroupByKey]=ContinuousStatsTable[[#This Row],[GroupByKey]]),(ContinuousStatsTable[GroupByKey]=ContinuousStatsTable[[#This Row],[GroupByKey]])*ContinuousStatsTable[Average]))</f>
        <v>1.4478959937017499</v>
      </c>
      <c r="T600" cm="1">
        <f t="array" ref="T600">MAX(IF((ContinuousStatsTable[GroupByKey]=ContinuousStatsTable[[#This Row],[GroupByKey]]),(ContinuousStatsTable[GroupByKey]=ContinuousStatsTable[[#This Row],[GroupByKey]])*ContinuousStatsTable[Average]))</f>
        <v>2.3267973127516899</v>
      </c>
      <c r="U600">
        <f>IF((ContinuousStatsTable[[#This Row],[RepsRequested]]&gt;1),ContinuousStatsTable[[#This Row],[HalfWidth]],ContinuousStatsTable[[#This Row],[BatchMeansHalfWidth]])</f>
        <v>0.21453731828040576</v>
      </c>
    </row>
    <row r="601" spans="1:21" x14ac:dyDescent="0.25">
      <c r="A601" t="s">
        <v>67</v>
      </c>
      <c r="B601" t="s">
        <v>243</v>
      </c>
      <c r="C601">
        <v>8</v>
      </c>
      <c r="D601" t="s">
        <v>73</v>
      </c>
      <c r="E601" t="s">
        <v>116</v>
      </c>
      <c r="F601" t="s">
        <v>71</v>
      </c>
      <c r="G601">
        <v>0.42282112856353499</v>
      </c>
      <c r="H601">
        <v>3E+20</v>
      </c>
      <c r="I601">
        <v>0</v>
      </c>
      <c r="J601">
        <v>2</v>
      </c>
      <c r="K601">
        <v>0</v>
      </c>
      <c r="L601">
        <v>0</v>
      </c>
      <c r="M601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601" cm="1">
        <f t="array" ref="N601">MAX(IF((ProjectInfoTable[ProjectName]=ContinuousStatsTable[[#This Row],[ProjectName]]),(ProjectInfoTable[ProjectName]=ContinuousStatsTable[[#This Row],[ProjectName]])*ProjectInfoTable[NumberOfReplications]))</f>
        <v>10</v>
      </c>
      <c r="O601" cm="1">
        <f t="array" ref="O601">IFERROR(AVERAGE(IF((ContinuousStatsTable[GroupByKey]=ContinuousStatsTable[[#This Row],[GroupByKey]]),(ContinuousStatsTable[GroupByKey]=ContinuousStatsTable[[#This Row],[GroupByKey]])*ContinuousStatsTable[Average])),0)</f>
        <v>0.47900820660242172</v>
      </c>
      <c r="P601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0.13717282935395095</v>
      </c>
      <c r="Q601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9.8127530789884315E-2</v>
      </c>
      <c r="S601" cm="1">
        <f t="array" ref="S601">MIN(IF((ContinuousStatsTable[GroupByKey]=ContinuousStatsTable[[#This Row],[GroupByKey]]),(ContinuousStatsTable[GroupByKey]=ContinuousStatsTable[[#This Row],[GroupByKey]])*ContinuousStatsTable[Average]))</f>
        <v>0.25584390949740998</v>
      </c>
      <c r="T601" cm="1">
        <f t="array" ref="T601">MAX(IF((ContinuousStatsTable[GroupByKey]=ContinuousStatsTable[[#This Row],[GroupByKey]]),(ContinuousStatsTable[GroupByKey]=ContinuousStatsTable[[#This Row],[GroupByKey]])*ContinuousStatsTable[Average]))</f>
        <v>0.66613303676888702</v>
      </c>
      <c r="U601">
        <f>IF((ContinuousStatsTable[[#This Row],[RepsRequested]]&gt;1),ContinuousStatsTable[[#This Row],[HalfWidth]],ContinuousStatsTable[[#This Row],[BatchMeansHalfWidth]])</f>
        <v>9.8127530789884315E-2</v>
      </c>
    </row>
    <row r="602" spans="1:21" x14ac:dyDescent="0.25">
      <c r="A602" t="s">
        <v>67</v>
      </c>
      <c r="B602" t="s">
        <v>243</v>
      </c>
      <c r="C602">
        <v>8</v>
      </c>
      <c r="D602" t="s">
        <v>74</v>
      </c>
      <c r="E602" t="s">
        <v>116</v>
      </c>
      <c r="F602" t="s">
        <v>71</v>
      </c>
      <c r="G602">
        <v>0.62485080908831503</v>
      </c>
      <c r="H602">
        <v>3E+20</v>
      </c>
      <c r="I602">
        <v>0</v>
      </c>
      <c r="J602">
        <v>2</v>
      </c>
      <c r="K602">
        <v>1</v>
      </c>
      <c r="L602">
        <v>0</v>
      </c>
      <c r="M602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602" cm="1">
        <f t="array" ref="N602">MAX(IF((ProjectInfoTable[ProjectName]=ContinuousStatsTable[[#This Row],[ProjectName]]),(ProjectInfoTable[ProjectName]=ContinuousStatsTable[[#This Row],[ProjectName]])*ProjectInfoTable[NumberOfReplications]))</f>
        <v>10</v>
      </c>
      <c r="O602" cm="1">
        <f t="array" ref="O602">IFERROR(AVERAGE(IF((ContinuousStatsTable[GroupByKey]=ContinuousStatsTable[[#This Row],[GroupByKey]]),(ContinuousStatsTable[GroupByKey]=ContinuousStatsTable[[#This Row],[GroupByKey]])*ContinuousStatsTable[Average])),0)</f>
        <v>0.41775820490048837</v>
      </c>
      <c r="P602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0.15099462697666188</v>
      </c>
      <c r="Q602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0.1080150491722195</v>
      </c>
      <c r="S602" cm="1">
        <f t="array" ref="S602">MIN(IF((ContinuousStatsTable[GroupByKey]=ContinuousStatsTable[[#This Row],[GroupByKey]]),(ContinuousStatsTable[GroupByKey]=ContinuousStatsTable[[#This Row],[GroupByKey]])*ContinuousStatsTable[Average]))</f>
        <v>0.25632285648643699</v>
      </c>
      <c r="T602" cm="1">
        <f t="array" ref="T602">MAX(IF((ContinuousStatsTable[GroupByKey]=ContinuousStatsTable[[#This Row],[GroupByKey]]),(ContinuousStatsTable[GroupByKey]=ContinuousStatsTable[[#This Row],[GroupByKey]])*ContinuousStatsTable[Average]))</f>
        <v>0.68422762922173497</v>
      </c>
      <c r="U602">
        <f>IF((ContinuousStatsTable[[#This Row],[RepsRequested]]&gt;1),ContinuousStatsTable[[#This Row],[HalfWidth]],ContinuousStatsTable[[#This Row],[BatchMeansHalfWidth]])</f>
        <v>0.1080150491722195</v>
      </c>
    </row>
    <row r="603" spans="1:21" x14ac:dyDescent="0.25">
      <c r="A603" t="s">
        <v>67</v>
      </c>
      <c r="B603" t="s">
        <v>243</v>
      </c>
      <c r="C603">
        <v>8</v>
      </c>
      <c r="D603" t="s">
        <v>75</v>
      </c>
      <c r="E603" t="s">
        <v>117</v>
      </c>
      <c r="F603" t="s">
        <v>76</v>
      </c>
      <c r="G603">
        <v>16.5233798367573</v>
      </c>
      <c r="H603">
        <v>2E+20</v>
      </c>
      <c r="I603">
        <v>0</v>
      </c>
      <c r="J603">
        <v>113</v>
      </c>
      <c r="K603">
        <v>0</v>
      </c>
      <c r="L603">
        <v>0</v>
      </c>
      <c r="M60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03" cm="1">
        <f t="array" ref="N603">MAX(IF((ProjectInfoTable[ProjectName]=ContinuousStatsTable[[#This Row],[ProjectName]]),(ProjectInfoTable[ProjectName]=ContinuousStatsTable[[#This Row],[ProjectName]])*ProjectInfoTable[NumberOfReplications]))</f>
        <v>10</v>
      </c>
      <c r="O603" cm="1">
        <f t="array" ref="O603">IFERROR(AVERAGE(IF((ContinuousStatsTable[GroupByKey]=ContinuousStatsTable[[#This Row],[GroupByKey]]),(ContinuousStatsTable[GroupByKey]=ContinuousStatsTable[[#This Row],[GroupByKey]])*ContinuousStatsTable[Average])),0)</f>
        <v>17.583529006307167</v>
      </c>
      <c r="P603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4.1660214616007023</v>
      </c>
      <c r="Q603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2.9801922229780646</v>
      </c>
      <c r="S603" cm="1">
        <f t="array" ref="S603">MIN(IF((ContinuousStatsTable[GroupByKey]=ContinuousStatsTable[[#This Row],[GroupByKey]]),(ContinuousStatsTable[GroupByKey]=ContinuousStatsTable[[#This Row],[GroupByKey]])*ContinuousStatsTable[Average]))</f>
        <v>10.842462759184199</v>
      </c>
      <c r="T603" cm="1">
        <f t="array" ref="T603">MAX(IF((ContinuousStatsTable[GroupByKey]=ContinuousStatsTable[[#This Row],[GroupByKey]]),(ContinuousStatsTable[GroupByKey]=ContinuousStatsTable[[#This Row],[GroupByKey]])*ContinuousStatsTable[Average]))</f>
        <v>25.8699848535447</v>
      </c>
      <c r="U603">
        <f>IF((ContinuousStatsTable[[#This Row],[RepsRequested]]&gt;1),ContinuousStatsTable[[#This Row],[HalfWidth]],ContinuousStatsTable[[#This Row],[BatchMeansHalfWidth]])</f>
        <v>2.9801922229780646</v>
      </c>
    </row>
    <row r="604" spans="1:21" x14ac:dyDescent="0.25">
      <c r="A604" t="s">
        <v>67</v>
      </c>
      <c r="B604" t="s">
        <v>243</v>
      </c>
      <c r="C604">
        <v>8</v>
      </c>
      <c r="D604" t="s">
        <v>118</v>
      </c>
      <c r="E604" t="s">
        <v>117</v>
      </c>
      <c r="F604" t="s">
        <v>76</v>
      </c>
      <c r="G604">
        <v>96.780564632427897</v>
      </c>
      <c r="H604">
        <v>3E+20</v>
      </c>
      <c r="I604">
        <v>0</v>
      </c>
      <c r="J604">
        <v>184</v>
      </c>
      <c r="K604">
        <v>184</v>
      </c>
      <c r="L604">
        <v>0</v>
      </c>
      <c r="M604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04" cm="1">
        <f t="array" ref="N604">MAX(IF((ProjectInfoTable[ProjectName]=ContinuousStatsTable[[#This Row],[ProjectName]]),(ProjectInfoTable[ProjectName]=ContinuousStatsTable[[#This Row],[ProjectName]])*ProjectInfoTable[NumberOfReplications]))</f>
        <v>10</v>
      </c>
      <c r="O604" cm="1">
        <f t="array" ref="O604">IFERROR(AVERAGE(IF((ContinuousStatsTable[GroupByKey]=ContinuousStatsTable[[#This Row],[GroupByKey]]),(ContinuousStatsTable[GroupByKey]=ContinuousStatsTable[[#This Row],[GroupByKey]])*ContinuousStatsTable[Average])),0)</f>
        <v>95.041511376368575</v>
      </c>
      <c r="P604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6.556289254191463</v>
      </c>
      <c r="Q604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4.6900867955271215</v>
      </c>
      <c r="S604" cm="1">
        <f t="array" ref="S604">MIN(IF((ContinuousStatsTable[GroupByKey]=ContinuousStatsTable[[#This Row],[GroupByKey]]),(ContinuousStatsTable[GroupByKey]=ContinuousStatsTable[[#This Row],[GroupByKey]])*ContinuousStatsTable[Average]))</f>
        <v>81.860988802888798</v>
      </c>
      <c r="T604" cm="1">
        <f t="array" ref="T604">MAX(IF((ContinuousStatsTable[GroupByKey]=ContinuousStatsTable[[#This Row],[GroupByKey]]),(ContinuousStatsTable[GroupByKey]=ContinuousStatsTable[[#This Row],[GroupByKey]])*ContinuousStatsTable[Average]))</f>
        <v>104.034812219697</v>
      </c>
      <c r="U604">
        <f>IF((ContinuousStatsTable[[#This Row],[RepsRequested]]&gt;1),ContinuousStatsTable[[#This Row],[HalfWidth]],ContinuousStatsTable[[#This Row],[BatchMeansHalfWidth]])</f>
        <v>4.6900867955271215</v>
      </c>
    </row>
    <row r="605" spans="1:21" x14ac:dyDescent="0.25">
      <c r="A605" t="s">
        <v>67</v>
      </c>
      <c r="B605" t="s">
        <v>243</v>
      </c>
      <c r="C605">
        <v>8</v>
      </c>
      <c r="D605" t="s">
        <v>119</v>
      </c>
      <c r="E605" t="s">
        <v>117</v>
      </c>
      <c r="F605" t="s">
        <v>76</v>
      </c>
      <c r="G605">
        <v>962.29251251572805</v>
      </c>
      <c r="H605">
        <v>3E+20</v>
      </c>
      <c r="I605">
        <v>0</v>
      </c>
      <c r="J605">
        <v>1858</v>
      </c>
      <c r="K605">
        <v>1858</v>
      </c>
      <c r="L605">
        <v>0</v>
      </c>
      <c r="M605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605" cm="1">
        <f t="array" ref="N605">MAX(IF((ProjectInfoTable[ProjectName]=ContinuousStatsTable[[#This Row],[ProjectName]]),(ProjectInfoTable[ProjectName]=ContinuousStatsTable[[#This Row],[ProjectName]])*ProjectInfoTable[NumberOfReplications]))</f>
        <v>10</v>
      </c>
      <c r="O605" cm="1">
        <f t="array" ref="O605">IFERROR(AVERAGE(IF((ContinuousStatsTable[GroupByKey]=ContinuousStatsTable[[#This Row],[GroupByKey]]),(ContinuousStatsTable[GroupByKey]=ContinuousStatsTable[[#This Row],[GroupByKey]])*ContinuousStatsTable[Average])),0)</f>
        <v>959.25249800465133</v>
      </c>
      <c r="P60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16.228386811509871</v>
      </c>
      <c r="Q60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11.609088578376843</v>
      </c>
      <c r="S605" cm="1">
        <f t="array" ref="S605">MIN(IF((ContinuousStatsTable[GroupByKey]=ContinuousStatsTable[[#This Row],[GroupByKey]]),(ContinuousStatsTable[GroupByKey]=ContinuousStatsTable[[#This Row],[GroupByKey]])*ContinuousStatsTable[Average]))</f>
        <v>935.21729677519602</v>
      </c>
      <c r="T605" cm="1">
        <f t="array" ref="T605">MAX(IF((ContinuousStatsTable[GroupByKey]=ContinuousStatsTable[[#This Row],[GroupByKey]]),(ContinuousStatsTable[GroupByKey]=ContinuousStatsTable[[#This Row],[GroupByKey]])*ContinuousStatsTable[Average]))</f>
        <v>986.61029939527498</v>
      </c>
      <c r="U605">
        <f>IF((ContinuousStatsTable[[#This Row],[RepsRequested]]&gt;1),ContinuousStatsTable[[#This Row],[HalfWidth]],ContinuousStatsTable[[#This Row],[BatchMeansHalfWidth]])</f>
        <v>11.609088578376843</v>
      </c>
    </row>
    <row r="606" spans="1:21" x14ac:dyDescent="0.25">
      <c r="A606" t="s">
        <v>67</v>
      </c>
      <c r="B606" t="s">
        <v>243</v>
      </c>
      <c r="C606">
        <v>8</v>
      </c>
      <c r="D606" t="s">
        <v>120</v>
      </c>
      <c r="E606" t="s">
        <v>117</v>
      </c>
      <c r="F606" t="s">
        <v>76</v>
      </c>
      <c r="G606">
        <v>4190.0129684685899</v>
      </c>
      <c r="H606">
        <v>3E+20</v>
      </c>
      <c r="I606">
        <v>0</v>
      </c>
      <c r="J606">
        <v>8102</v>
      </c>
      <c r="K606">
        <v>8102</v>
      </c>
      <c r="L606">
        <v>0</v>
      </c>
      <c r="M606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606" cm="1">
        <f t="array" ref="N606">MAX(IF((ProjectInfoTable[ProjectName]=ContinuousStatsTable[[#This Row],[ProjectName]]),(ProjectInfoTable[ProjectName]=ContinuousStatsTable[[#This Row],[ProjectName]])*ProjectInfoTable[NumberOfReplications]))</f>
        <v>10</v>
      </c>
      <c r="O606" cm="1">
        <f t="array" ref="O606">IFERROR(AVERAGE(IF((ContinuousStatsTable[GroupByKey]=ContinuousStatsTable[[#This Row],[GroupByKey]]),(ContinuousStatsTable[GroupByKey]=ContinuousStatsTable[[#This Row],[GroupByKey]])*ContinuousStatsTable[Average])),0)</f>
        <v>4203.5615331875215</v>
      </c>
      <c r="P606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17.695322227060075</v>
      </c>
      <c r="Q606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12.658470958503626</v>
      </c>
      <c r="S606" cm="1">
        <f t="array" ref="S606">MIN(IF((ContinuousStatsTable[GroupByKey]=ContinuousStatsTable[[#This Row],[GroupByKey]]),(ContinuousStatsTable[GroupByKey]=ContinuousStatsTable[[#This Row],[GroupByKey]])*ContinuousStatsTable[Average]))</f>
        <v>4170.1494074333395</v>
      </c>
      <c r="T606" cm="1">
        <f t="array" ref="T606">MAX(IF((ContinuousStatsTable[GroupByKey]=ContinuousStatsTable[[#This Row],[GroupByKey]]),(ContinuousStatsTable[GroupByKey]=ContinuousStatsTable[[#This Row],[GroupByKey]])*ContinuousStatsTable[Average]))</f>
        <v>4233.0569788620896</v>
      </c>
      <c r="U606">
        <f>IF((ContinuousStatsTable[[#This Row],[RepsRequested]]&gt;1),ContinuousStatsTable[[#This Row],[HalfWidth]],ContinuousStatsTable[[#This Row],[BatchMeansHalfWidth]])</f>
        <v>12.658470958503626</v>
      </c>
    </row>
    <row r="607" spans="1:21" x14ac:dyDescent="0.25">
      <c r="A607" t="s">
        <v>67</v>
      </c>
      <c r="B607" t="s">
        <v>243</v>
      </c>
      <c r="C607">
        <v>8</v>
      </c>
      <c r="D607" t="s">
        <v>121</v>
      </c>
      <c r="E607" t="s">
        <v>112</v>
      </c>
      <c r="F607" t="s">
        <v>113</v>
      </c>
      <c r="G607">
        <v>0.524046412289632</v>
      </c>
      <c r="H607">
        <v>3E+20</v>
      </c>
      <c r="I607">
        <v>0</v>
      </c>
      <c r="J607">
        <v>1</v>
      </c>
      <c r="K607">
        <v>1</v>
      </c>
      <c r="L607">
        <v>0</v>
      </c>
      <c r="M607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607" cm="1">
        <f t="array" ref="N607">MAX(IF((ProjectInfoTable[ProjectName]=ContinuousStatsTable[[#This Row],[ProjectName]]),(ProjectInfoTable[ProjectName]=ContinuousStatsTable[[#This Row],[ProjectName]])*ProjectInfoTable[NumberOfReplications]))</f>
        <v>10</v>
      </c>
      <c r="O607" cm="1">
        <f t="array" ref="O607">IFERROR(AVERAGE(IF((ContinuousStatsTable[GroupByKey]=ContinuousStatsTable[[#This Row],[GroupByKey]]),(ContinuousStatsTable[GroupByKey]=ContinuousStatsTable[[#This Row],[GroupByKey]])*ContinuousStatsTable[Average])),0)</f>
        <v>0.48160620907873086</v>
      </c>
      <c r="P607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8.6686321722355061E-2</v>
      </c>
      <c r="Q607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6.2011658897281531E-2</v>
      </c>
      <c r="S607" cm="1">
        <f t="array" ref="S607">MIN(IF((ContinuousStatsTable[GroupByKey]=ContinuousStatsTable[[#This Row],[GroupByKey]]),(ContinuousStatsTable[GroupByKey]=ContinuousStatsTable[[#This Row],[GroupByKey]])*ContinuousStatsTable[Average]))</f>
        <v>0.292184201252493</v>
      </c>
      <c r="T607" cm="1">
        <f t="array" ref="T607">MAX(IF((ContinuousStatsTable[GroupByKey]=ContinuousStatsTable[[#This Row],[GroupByKey]]),(ContinuousStatsTable[GroupByKey]=ContinuousStatsTable[[#This Row],[GroupByKey]])*ContinuousStatsTable[Average]))</f>
        <v>0.57167989674475905</v>
      </c>
      <c r="U607">
        <f>IF((ContinuousStatsTable[[#This Row],[RepsRequested]]&gt;1),ContinuousStatsTable[[#This Row],[HalfWidth]],ContinuousStatsTable[[#This Row],[BatchMeansHalfWidth]])</f>
        <v>6.2011658897281531E-2</v>
      </c>
    </row>
    <row r="608" spans="1:21" x14ac:dyDescent="0.25">
      <c r="A608" t="s">
        <v>67</v>
      </c>
      <c r="B608" t="s">
        <v>243</v>
      </c>
      <c r="C608">
        <v>8</v>
      </c>
      <c r="D608" t="s">
        <v>121</v>
      </c>
      <c r="E608" t="s">
        <v>114</v>
      </c>
      <c r="F608" t="s">
        <v>113</v>
      </c>
      <c r="G608">
        <v>2.0961856491585298</v>
      </c>
      <c r="H608">
        <v>3E+20</v>
      </c>
      <c r="I608">
        <v>0</v>
      </c>
      <c r="J608">
        <v>4</v>
      </c>
      <c r="K608">
        <v>4</v>
      </c>
      <c r="L608">
        <v>0</v>
      </c>
      <c r="M608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608" cm="1">
        <f t="array" ref="N608">MAX(IF((ProjectInfoTable[ProjectName]=ContinuousStatsTable[[#This Row],[ProjectName]]),(ProjectInfoTable[ProjectName]=ContinuousStatsTable[[#This Row],[ProjectName]])*ProjectInfoTable[NumberOfReplications]))</f>
        <v>10</v>
      </c>
      <c r="O608" cm="1">
        <f t="array" ref="O608">IFERROR(AVERAGE(IF((ContinuousStatsTable[GroupByKey]=ContinuousStatsTable[[#This Row],[GroupByKey]]),(ContinuousStatsTable[GroupByKey]=ContinuousStatsTable[[#This Row],[GroupByKey]])*ContinuousStatsTable[Average])),0)</f>
        <v>1.9264248363149217</v>
      </c>
      <c r="P608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0.34674528688941914</v>
      </c>
      <c r="Q608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0.24804663558912532</v>
      </c>
      <c r="S608" cm="1">
        <f t="array" ref="S608">MIN(IF((ContinuousStatsTable[GroupByKey]=ContinuousStatsTable[[#This Row],[GroupByKey]]),(ContinuousStatsTable[GroupByKey]=ContinuousStatsTable[[#This Row],[GroupByKey]])*ContinuousStatsTable[Average]))</f>
        <v>1.16873680500997</v>
      </c>
      <c r="T608" cm="1">
        <f t="array" ref="T608">MAX(IF((ContinuousStatsTable[GroupByKey]=ContinuousStatsTable[[#This Row],[GroupByKey]]),(ContinuousStatsTable[GroupByKey]=ContinuousStatsTable[[#This Row],[GroupByKey]])*ContinuousStatsTable[Average]))</f>
        <v>2.28671958697903</v>
      </c>
      <c r="U608">
        <f>IF((ContinuousStatsTable[[#This Row],[RepsRequested]]&gt;1),ContinuousStatsTable[[#This Row],[HalfWidth]],ContinuousStatsTable[[#This Row],[BatchMeansHalfWidth]])</f>
        <v>0.24804663558912532</v>
      </c>
    </row>
    <row r="609" spans="1:21" x14ac:dyDescent="0.25">
      <c r="A609" t="s">
        <v>67</v>
      </c>
      <c r="B609" t="s">
        <v>243</v>
      </c>
      <c r="C609">
        <v>8</v>
      </c>
      <c r="D609" t="s">
        <v>121</v>
      </c>
      <c r="E609" t="s">
        <v>115</v>
      </c>
      <c r="F609" t="s">
        <v>113</v>
      </c>
      <c r="G609">
        <v>4</v>
      </c>
      <c r="H609">
        <v>2E+20</v>
      </c>
      <c r="I609">
        <v>4</v>
      </c>
      <c r="J609">
        <v>4</v>
      </c>
      <c r="K609">
        <v>4</v>
      </c>
      <c r="L609">
        <v>0</v>
      </c>
      <c r="M609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609" cm="1">
        <f t="array" ref="N609">MAX(IF((ProjectInfoTable[ProjectName]=ContinuousStatsTable[[#This Row],[ProjectName]]),(ProjectInfoTable[ProjectName]=ContinuousStatsTable[[#This Row],[ProjectName]])*ProjectInfoTable[NumberOfReplications]))</f>
        <v>10</v>
      </c>
      <c r="O609" cm="1">
        <f t="array" ref="O609">IFERROR(AVERAGE(IF((ContinuousStatsTable[GroupByKey]=ContinuousStatsTable[[#This Row],[GroupByKey]]),(ContinuousStatsTable[GroupByKey]=ContinuousStatsTable[[#This Row],[GroupByKey]])*ContinuousStatsTable[Average])),0)</f>
        <v>4</v>
      </c>
      <c r="P609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0</v>
      </c>
      <c r="Q609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9" cm="1">
        <f t="array" ref="S609">MIN(IF((ContinuousStatsTable[GroupByKey]=ContinuousStatsTable[[#This Row],[GroupByKey]]),(ContinuousStatsTable[GroupByKey]=ContinuousStatsTable[[#This Row],[GroupByKey]])*ContinuousStatsTable[Average]))</f>
        <v>4</v>
      </c>
      <c r="T609" cm="1">
        <f t="array" ref="T609">MAX(IF((ContinuousStatsTable[GroupByKey]=ContinuousStatsTable[[#This Row],[GroupByKey]]),(ContinuousStatsTable[GroupByKey]=ContinuousStatsTable[[#This Row],[GroupByKey]])*ContinuousStatsTable[Average]))</f>
        <v>4</v>
      </c>
      <c r="U609">
        <f>IF((ContinuousStatsTable[[#This Row],[RepsRequested]]&gt;1),ContinuousStatsTable[[#This Row],[HalfWidth]],ContinuousStatsTable[[#This Row],[BatchMeansHalfWidth]])</f>
        <v>0</v>
      </c>
    </row>
    <row r="610" spans="1:21" x14ac:dyDescent="0.25">
      <c r="A610" t="s">
        <v>67</v>
      </c>
      <c r="B610" t="s">
        <v>243</v>
      </c>
      <c r="C610">
        <v>8</v>
      </c>
      <c r="D610" t="s">
        <v>122</v>
      </c>
      <c r="E610" t="s">
        <v>112</v>
      </c>
      <c r="F610" t="s">
        <v>113</v>
      </c>
      <c r="G610">
        <v>0.20807621157933301</v>
      </c>
      <c r="H610">
        <v>3E+20</v>
      </c>
      <c r="I610">
        <v>0</v>
      </c>
      <c r="J610">
        <v>1</v>
      </c>
      <c r="K610">
        <v>0</v>
      </c>
      <c r="L610">
        <v>0</v>
      </c>
      <c r="M610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610" cm="1">
        <f t="array" ref="N610">MAX(IF((ProjectInfoTable[ProjectName]=ContinuousStatsTable[[#This Row],[ProjectName]]),(ProjectInfoTable[ProjectName]=ContinuousStatsTable[[#This Row],[ProjectName]])*ProjectInfoTable[NumberOfReplications]))</f>
        <v>10</v>
      </c>
      <c r="O610" cm="1">
        <f t="array" ref="O610">IFERROR(AVERAGE(IF((ContinuousStatsTable[GroupByKey]=ContinuousStatsTable[[#This Row],[GroupByKey]]),(ContinuousStatsTable[GroupByKey]=ContinuousStatsTable[[#This Row],[GroupByKey]])*ContinuousStatsTable[Average])),0)</f>
        <v>0.25269289312392118</v>
      </c>
      <c r="P610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4.9214010083081669E-2</v>
      </c>
      <c r="Q610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3.5205581983442397E-2</v>
      </c>
      <c r="S610" cm="1">
        <f t="array" ref="S610">MIN(IF((ContinuousStatsTable[GroupByKey]=ContinuousStatsTable[[#This Row],[GroupByKey]]),(ContinuousStatsTable[GroupByKey]=ContinuousStatsTable[[#This Row],[GroupByKey]])*ContinuousStatsTable[Average]))</f>
        <v>0.20500025225945401</v>
      </c>
      <c r="T610" cm="1">
        <f t="array" ref="T610">MAX(IF((ContinuousStatsTable[GroupByKey]=ContinuousStatsTable[[#This Row],[GroupByKey]]),(ContinuousStatsTable[GroupByKey]=ContinuousStatsTable[[#This Row],[GroupByKey]])*ContinuousStatsTable[Average]))</f>
        <v>0.33570777662711199</v>
      </c>
      <c r="U610">
        <f>IF((ContinuousStatsTable[[#This Row],[RepsRequested]]&gt;1),ContinuousStatsTable[[#This Row],[HalfWidth]],ContinuousStatsTable[[#This Row],[BatchMeansHalfWidth]])</f>
        <v>3.5205581983442397E-2</v>
      </c>
    </row>
    <row r="611" spans="1:21" x14ac:dyDescent="0.25">
      <c r="A611" t="s">
        <v>67</v>
      </c>
      <c r="B611" t="s">
        <v>243</v>
      </c>
      <c r="C611">
        <v>8</v>
      </c>
      <c r="D611" t="s">
        <v>122</v>
      </c>
      <c r="E611" t="s">
        <v>114</v>
      </c>
      <c r="F611" t="s">
        <v>113</v>
      </c>
      <c r="G611">
        <v>0.62422863473799195</v>
      </c>
      <c r="H611">
        <v>3E+20</v>
      </c>
      <c r="I611">
        <v>0</v>
      </c>
      <c r="J611">
        <v>3</v>
      </c>
      <c r="K611">
        <v>0</v>
      </c>
      <c r="L611">
        <v>0</v>
      </c>
      <c r="M611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611" cm="1">
        <f t="array" ref="N611">MAX(IF((ProjectInfoTable[ProjectName]=ContinuousStatsTable[[#This Row],[ProjectName]]),(ProjectInfoTable[ProjectName]=ContinuousStatsTable[[#This Row],[ProjectName]])*ProjectInfoTable[NumberOfReplications]))</f>
        <v>10</v>
      </c>
      <c r="O611" cm="1">
        <f t="array" ref="O611">IFERROR(AVERAGE(IF((ContinuousStatsTable[GroupByKey]=ContinuousStatsTable[[#This Row],[GroupByKey]]),(ContinuousStatsTable[GroupByKey]=ContinuousStatsTable[[#This Row],[GroupByKey]])*ContinuousStatsTable[Average])),0)</f>
        <v>0.75807867937176476</v>
      </c>
      <c r="P611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0.14764203024924766</v>
      </c>
      <c r="Q611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0.10561674595032908</v>
      </c>
      <c r="S611" cm="1">
        <f t="array" ref="S611">MIN(IF((ContinuousStatsTable[GroupByKey]=ContinuousStatsTable[[#This Row],[GroupByKey]]),(ContinuousStatsTable[GroupByKey]=ContinuousStatsTable[[#This Row],[GroupByKey]])*ContinuousStatsTable[Average]))</f>
        <v>0.61500075677836796</v>
      </c>
      <c r="T611" cm="1">
        <f t="array" ref="T611">MAX(IF((ContinuousStatsTable[GroupByKey]=ContinuousStatsTable[[#This Row],[GroupByKey]]),(ContinuousStatsTable[GroupByKey]=ContinuousStatsTable[[#This Row],[GroupByKey]])*ContinuousStatsTable[Average]))</f>
        <v>1.00712332988134</v>
      </c>
      <c r="U611">
        <f>IF((ContinuousStatsTable[[#This Row],[RepsRequested]]&gt;1),ContinuousStatsTable[[#This Row],[HalfWidth]],ContinuousStatsTable[[#This Row],[BatchMeansHalfWidth]])</f>
        <v>0.10561674595032908</v>
      </c>
    </row>
    <row r="612" spans="1:21" x14ac:dyDescent="0.25">
      <c r="A612" t="s">
        <v>67</v>
      </c>
      <c r="B612" t="s">
        <v>243</v>
      </c>
      <c r="C612">
        <v>8</v>
      </c>
      <c r="D612" t="s">
        <v>122</v>
      </c>
      <c r="E612" t="s">
        <v>115</v>
      </c>
      <c r="F612" t="s">
        <v>113</v>
      </c>
      <c r="G612">
        <v>3</v>
      </c>
      <c r="H612">
        <v>2E+20</v>
      </c>
      <c r="I612">
        <v>3</v>
      </c>
      <c r="J612">
        <v>3</v>
      </c>
      <c r="K612">
        <v>3</v>
      </c>
      <c r="L612">
        <v>0</v>
      </c>
      <c r="M612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612" cm="1">
        <f t="array" ref="N612">MAX(IF((ProjectInfoTable[ProjectName]=ContinuousStatsTable[[#This Row],[ProjectName]]),(ProjectInfoTable[ProjectName]=ContinuousStatsTable[[#This Row],[ProjectName]])*ProjectInfoTable[NumberOfReplications]))</f>
        <v>10</v>
      </c>
      <c r="O612" cm="1">
        <f t="array" ref="O612">IFERROR(AVERAGE(IF((ContinuousStatsTable[GroupByKey]=ContinuousStatsTable[[#This Row],[GroupByKey]]),(ContinuousStatsTable[GroupByKey]=ContinuousStatsTable[[#This Row],[GroupByKey]])*ContinuousStatsTable[Average])),0)</f>
        <v>3</v>
      </c>
      <c r="P612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cm="1">
        <f t="array" ref="S612">MIN(IF((ContinuousStatsTable[GroupByKey]=ContinuousStatsTable[[#This Row],[GroupByKey]]),(ContinuousStatsTable[GroupByKey]=ContinuousStatsTable[[#This Row],[GroupByKey]])*ContinuousStatsTable[Average]))</f>
        <v>3</v>
      </c>
      <c r="T612" cm="1">
        <f t="array" ref="T612">MAX(IF((ContinuousStatsTable[GroupByKey]=ContinuousStatsTable[[#This Row],[GroupByKey]]),(ContinuousStatsTable[GroupByKey]=ContinuousStatsTable[[#This Row],[GroupByKey]])*ContinuousStatsTable[Average]))</f>
        <v>3</v>
      </c>
      <c r="U612">
        <f>IF((ContinuousStatsTable[[#This Row],[RepsRequested]]&gt;1),ContinuousStatsTable[[#This Row],[HalfWidth]],ContinuousStatsTable[[#This Row],[BatchMeansHalfWidth]])</f>
        <v>0</v>
      </c>
    </row>
    <row r="613" spans="1:21" x14ac:dyDescent="0.25">
      <c r="A613" t="s">
        <v>67</v>
      </c>
      <c r="B613" t="s">
        <v>243</v>
      </c>
      <c r="C613">
        <v>8</v>
      </c>
      <c r="D613" t="s">
        <v>123</v>
      </c>
      <c r="E613" t="s">
        <v>112</v>
      </c>
      <c r="F613" t="s">
        <v>113</v>
      </c>
      <c r="G613">
        <v>0.15142923347384701</v>
      </c>
      <c r="H613">
        <v>3E+20</v>
      </c>
      <c r="I613">
        <v>0</v>
      </c>
      <c r="J613">
        <v>0.66666666666666696</v>
      </c>
      <c r="K613">
        <v>0</v>
      </c>
      <c r="L613">
        <v>0</v>
      </c>
      <c r="M613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613" cm="1">
        <f t="array" ref="N613">MAX(IF((ProjectInfoTable[ProjectName]=ContinuousStatsTable[[#This Row],[ProjectName]]),(ProjectInfoTable[ProjectName]=ContinuousStatsTable[[#This Row],[ProjectName]])*ProjectInfoTable[NumberOfReplications]))</f>
        <v>10</v>
      </c>
      <c r="O613" cm="1">
        <f t="array" ref="O613">IFERROR(AVERAGE(IF((ContinuousStatsTable[GroupByKey]=ContinuousStatsTable[[#This Row],[GroupByKey]]),(ContinuousStatsTable[GroupByKey]=ContinuousStatsTable[[#This Row],[GroupByKey]])*ContinuousStatsTable[Average])),0)</f>
        <v>0.151561654865698</v>
      </c>
      <c r="P613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1.2198256688154243E-4</v>
      </c>
      <c r="Q613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8.7261071626739862E-5</v>
      </c>
      <c r="S613" cm="1">
        <f t="array" ref="S613">MIN(IF((ContinuousStatsTable[GroupByKey]=ContinuousStatsTable[[#This Row],[GroupByKey]]),(ContinuousStatsTable[GroupByKey]=ContinuousStatsTable[[#This Row],[GroupByKey]])*ContinuousStatsTable[Average]))</f>
        <v>0.15134711042770499</v>
      </c>
      <c r="T613" cm="1">
        <f t="array" ref="T613">MAX(IF((ContinuousStatsTable[GroupByKey]=ContinuousStatsTable[[#This Row],[GroupByKey]]),(ContinuousStatsTable[GroupByKey]=ContinuousStatsTable[[#This Row],[GroupByKey]])*ContinuousStatsTable[Average]))</f>
        <v>0.15172806047441101</v>
      </c>
      <c r="U613">
        <f>IF((ContinuousStatsTable[[#This Row],[RepsRequested]]&gt;1),ContinuousStatsTable[[#This Row],[HalfWidth]],ContinuousStatsTable[[#This Row],[BatchMeansHalfWidth]])</f>
        <v>8.7261071626739862E-5</v>
      </c>
    </row>
    <row r="614" spans="1:21" x14ac:dyDescent="0.25">
      <c r="A614" t="s">
        <v>67</v>
      </c>
      <c r="B614" t="s">
        <v>243</v>
      </c>
      <c r="C614">
        <v>8</v>
      </c>
      <c r="D614" t="s">
        <v>123</v>
      </c>
      <c r="E614" t="s">
        <v>114</v>
      </c>
      <c r="F614" t="s">
        <v>113</v>
      </c>
      <c r="G614">
        <v>0.45428770042153799</v>
      </c>
      <c r="H614">
        <v>3E+20</v>
      </c>
      <c r="I614">
        <v>0</v>
      </c>
      <c r="J614">
        <v>2</v>
      </c>
      <c r="K614">
        <v>0</v>
      </c>
      <c r="L614">
        <v>0</v>
      </c>
      <c r="M614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614" cm="1">
        <f t="array" ref="N614">MAX(IF((ProjectInfoTable[ProjectName]=ContinuousStatsTable[[#This Row],[ProjectName]]),(ProjectInfoTable[ProjectName]=ContinuousStatsTable[[#This Row],[ProjectName]])*ProjectInfoTable[NumberOfReplications]))</f>
        <v>10</v>
      </c>
      <c r="O614" cm="1">
        <f t="array" ref="O614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614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614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614" cm="1">
        <f t="array" ref="S614">MIN(IF((ContinuousStatsTable[GroupByKey]=ContinuousStatsTable[[#This Row],[GroupByKey]]),(ContinuousStatsTable[GroupByKey]=ContinuousStatsTable[[#This Row],[GroupByKey]])*ContinuousStatsTable[Average]))</f>
        <v>0.45404133128311103</v>
      </c>
      <c r="T614" cm="1">
        <f t="array" ref="T614">MAX(IF((ContinuousStatsTable[GroupByKey]=ContinuousStatsTable[[#This Row],[GroupByKey]]),(ContinuousStatsTable[GroupByKey]=ContinuousStatsTable[[#This Row],[GroupByKey]])*ContinuousStatsTable[Average]))</f>
        <v>0.45518418142323402</v>
      </c>
      <c r="U614">
        <f>IF((ContinuousStatsTable[[#This Row],[RepsRequested]]&gt;1),ContinuousStatsTable[[#This Row],[HalfWidth]],ContinuousStatsTable[[#This Row],[BatchMeansHalfWidth]])</f>
        <v>2.6178321488092363E-4</v>
      </c>
    </row>
    <row r="615" spans="1:21" x14ac:dyDescent="0.25">
      <c r="A615" t="s">
        <v>67</v>
      </c>
      <c r="B615" t="s">
        <v>243</v>
      </c>
      <c r="C615">
        <v>8</v>
      </c>
      <c r="D615" t="s">
        <v>123</v>
      </c>
      <c r="E615" t="s">
        <v>115</v>
      </c>
      <c r="F615" t="s">
        <v>113</v>
      </c>
      <c r="G615">
        <v>3</v>
      </c>
      <c r="H615">
        <v>2E+20</v>
      </c>
      <c r="I615">
        <v>3</v>
      </c>
      <c r="J615">
        <v>3</v>
      </c>
      <c r="K615">
        <v>3</v>
      </c>
      <c r="L615">
        <v>0</v>
      </c>
      <c r="M615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615" cm="1">
        <f t="array" ref="N615">MAX(IF((ProjectInfoTable[ProjectName]=ContinuousStatsTable[[#This Row],[ProjectName]]),(ProjectInfoTable[ProjectName]=ContinuousStatsTable[[#This Row],[ProjectName]])*ProjectInfoTable[NumberOfReplications]))</f>
        <v>10</v>
      </c>
      <c r="O615" cm="1">
        <f t="array" ref="O615">IFERROR(AVERAGE(IF((ContinuousStatsTable[GroupByKey]=ContinuousStatsTable[[#This Row],[GroupByKey]]),(ContinuousStatsTable[GroupByKey]=ContinuousStatsTable[[#This Row],[GroupByKey]])*ContinuousStatsTable[Average])),0)</f>
        <v>3</v>
      </c>
      <c r="P61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</v>
      </c>
      <c r="Q61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5" cm="1">
        <f t="array" ref="S615">MIN(IF((ContinuousStatsTable[GroupByKey]=ContinuousStatsTable[[#This Row],[GroupByKey]]),(ContinuousStatsTable[GroupByKey]=ContinuousStatsTable[[#This Row],[GroupByKey]])*ContinuousStatsTable[Average]))</f>
        <v>3</v>
      </c>
      <c r="T615" cm="1">
        <f t="array" ref="T615">MAX(IF((ContinuousStatsTable[GroupByKey]=ContinuousStatsTable[[#This Row],[GroupByKey]]),(ContinuousStatsTable[GroupByKey]=ContinuousStatsTable[[#This Row],[GroupByKey]])*ContinuousStatsTable[Average]))</f>
        <v>3</v>
      </c>
      <c r="U615">
        <f>IF((ContinuousStatsTable[[#This Row],[RepsRequested]]&gt;1),ContinuousStatsTable[[#This Row],[HalfWidth]],ContinuousStatsTable[[#This Row],[BatchMeansHalfWidth]])</f>
        <v>0</v>
      </c>
    </row>
    <row r="616" spans="1:21" x14ac:dyDescent="0.25">
      <c r="A616" t="s">
        <v>67</v>
      </c>
      <c r="B616" t="s">
        <v>243</v>
      </c>
      <c r="C616">
        <v>8</v>
      </c>
      <c r="D616" t="s">
        <v>124</v>
      </c>
      <c r="E616" t="s">
        <v>112</v>
      </c>
      <c r="F616" t="s">
        <v>113</v>
      </c>
      <c r="G616">
        <v>0.91068077194701702</v>
      </c>
      <c r="H616">
        <v>2E+20</v>
      </c>
      <c r="I616">
        <v>0</v>
      </c>
      <c r="J616">
        <v>1</v>
      </c>
      <c r="K616">
        <v>1</v>
      </c>
      <c r="L616">
        <v>0</v>
      </c>
      <c r="M616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616" cm="1">
        <f t="array" ref="N616">MAX(IF((ProjectInfoTable[ProjectName]=ContinuousStatsTable[[#This Row],[ProjectName]]),(ProjectInfoTable[ProjectName]=ContinuousStatsTable[[#This Row],[ProjectName]])*ProjectInfoTable[NumberOfReplications]))</f>
        <v>10</v>
      </c>
      <c r="O616" cm="1">
        <f t="array" ref="O616">IFERROR(AVERAGE(IF((ContinuousStatsTable[GroupByKey]=ContinuousStatsTable[[#This Row],[GroupByKey]]),(ContinuousStatsTable[GroupByKey]=ContinuousStatsTable[[#This Row],[GroupByKey]])*ContinuousStatsTable[Average])),0)</f>
        <v>0.84558522180863771</v>
      </c>
      <c r="P616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0.11694354024491282</v>
      </c>
      <c r="Q616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8.3656369122856733E-2</v>
      </c>
      <c r="S616" cm="1">
        <f t="array" ref="S616">MIN(IF((ContinuousStatsTable[GroupByKey]=ContinuousStatsTable[[#This Row],[GroupByKey]]),(ContinuousStatsTable[GroupByKey]=ContinuousStatsTable[[#This Row],[GroupByKey]])*ContinuousStatsTable[Average]))</f>
        <v>0.625269422960122</v>
      </c>
      <c r="T616" cm="1">
        <f t="array" ref="T616">MAX(IF((ContinuousStatsTable[GroupByKey]=ContinuousStatsTable[[#This Row],[GroupByKey]]),(ContinuousStatsTable[GroupByKey]=ContinuousStatsTable[[#This Row],[GroupByKey]])*ContinuousStatsTable[Average]))</f>
        <v>0.95234896906597499</v>
      </c>
      <c r="U616">
        <f>IF((ContinuousStatsTable[[#This Row],[RepsRequested]]&gt;1),ContinuousStatsTable[[#This Row],[HalfWidth]],ContinuousStatsTable[[#This Row],[BatchMeansHalfWidth]])</f>
        <v>8.3656369122856733E-2</v>
      </c>
    </row>
    <row r="617" spans="1:21" x14ac:dyDescent="0.25">
      <c r="A617" t="s">
        <v>67</v>
      </c>
      <c r="B617" t="s">
        <v>243</v>
      </c>
      <c r="C617">
        <v>8</v>
      </c>
      <c r="D617" t="s">
        <v>124</v>
      </c>
      <c r="E617" t="s">
        <v>114</v>
      </c>
      <c r="F617" t="s">
        <v>113</v>
      </c>
      <c r="G617">
        <v>1.82136154389404</v>
      </c>
      <c r="H617">
        <v>2E+20</v>
      </c>
      <c r="I617">
        <v>0</v>
      </c>
      <c r="J617">
        <v>2</v>
      </c>
      <c r="K617">
        <v>2</v>
      </c>
      <c r="L617">
        <v>0</v>
      </c>
      <c r="M617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617" cm="1">
        <f t="array" ref="N617">MAX(IF((ProjectInfoTable[ProjectName]=ContinuousStatsTable[[#This Row],[ProjectName]]),(ProjectInfoTable[ProjectName]=ContinuousStatsTable[[#This Row],[ProjectName]])*ProjectInfoTable[NumberOfReplications]))</f>
        <v>10</v>
      </c>
      <c r="O617" cm="1">
        <f t="array" ref="O617">IFERROR(AVERAGE(IF((ContinuousStatsTable[GroupByKey]=ContinuousStatsTable[[#This Row],[GroupByKey]]),(ContinuousStatsTable[GroupByKey]=ContinuousStatsTable[[#This Row],[GroupByKey]])*ContinuousStatsTable[Average])),0)</f>
        <v>1.6911704436172748</v>
      </c>
      <c r="P617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0.23388708048982901</v>
      </c>
      <c r="Q617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0.16731273824571591</v>
      </c>
      <c r="S617" cm="1">
        <f t="array" ref="S617">MIN(IF((ContinuousStatsTable[GroupByKey]=ContinuousStatsTable[[#This Row],[GroupByKey]]),(ContinuousStatsTable[GroupByKey]=ContinuousStatsTable[[#This Row],[GroupByKey]])*ContinuousStatsTable[Average]))</f>
        <v>1.25053884592024</v>
      </c>
      <c r="T617" cm="1">
        <f t="array" ref="T617">MAX(IF((ContinuousStatsTable[GroupByKey]=ContinuousStatsTable[[#This Row],[GroupByKey]]),(ContinuousStatsTable[GroupByKey]=ContinuousStatsTable[[#This Row],[GroupByKey]])*ContinuousStatsTable[Average]))</f>
        <v>1.90469793813195</v>
      </c>
      <c r="U617">
        <f>IF((ContinuousStatsTable[[#This Row],[RepsRequested]]&gt;1),ContinuousStatsTable[[#This Row],[HalfWidth]],ContinuousStatsTable[[#This Row],[BatchMeansHalfWidth]])</f>
        <v>0.16731273824571591</v>
      </c>
    </row>
    <row r="618" spans="1:21" x14ac:dyDescent="0.25">
      <c r="A618" t="s">
        <v>67</v>
      </c>
      <c r="B618" t="s">
        <v>243</v>
      </c>
      <c r="C618">
        <v>8</v>
      </c>
      <c r="D618" t="s">
        <v>124</v>
      </c>
      <c r="E618" t="s">
        <v>115</v>
      </c>
      <c r="F618" t="s">
        <v>113</v>
      </c>
      <c r="G618">
        <v>2</v>
      </c>
      <c r="H618">
        <v>2E+20</v>
      </c>
      <c r="I618">
        <v>2</v>
      </c>
      <c r="J618">
        <v>2</v>
      </c>
      <c r="K618">
        <v>2</v>
      </c>
      <c r="L618">
        <v>0</v>
      </c>
      <c r="M618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618" cm="1">
        <f t="array" ref="N618">MAX(IF((ProjectInfoTable[ProjectName]=ContinuousStatsTable[[#This Row],[ProjectName]]),(ProjectInfoTable[ProjectName]=ContinuousStatsTable[[#This Row],[ProjectName]])*ProjectInfoTable[NumberOfReplications]))</f>
        <v>10</v>
      </c>
      <c r="O618" cm="1">
        <f t="array" ref="O618">IFERROR(AVERAGE(IF((ContinuousStatsTable[GroupByKey]=ContinuousStatsTable[[#This Row],[GroupByKey]]),(ContinuousStatsTable[GroupByKey]=ContinuousStatsTable[[#This Row],[GroupByKey]])*ContinuousStatsTable[Average])),0)</f>
        <v>2</v>
      </c>
      <c r="P618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</v>
      </c>
      <c r="Q618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8" cm="1">
        <f t="array" ref="S618">MIN(IF((ContinuousStatsTable[GroupByKey]=ContinuousStatsTable[[#This Row],[GroupByKey]]),(ContinuousStatsTable[GroupByKey]=ContinuousStatsTable[[#This Row],[GroupByKey]])*ContinuousStatsTable[Average]))</f>
        <v>2</v>
      </c>
      <c r="T618" cm="1">
        <f t="array" ref="T618">MAX(IF((ContinuousStatsTable[GroupByKey]=ContinuousStatsTable[[#This Row],[GroupByKey]]),(ContinuousStatsTable[GroupByKey]=ContinuousStatsTable[[#This Row],[GroupByKey]])*ContinuousStatsTable[Average]))</f>
        <v>2</v>
      </c>
      <c r="U618">
        <f>IF((ContinuousStatsTable[[#This Row],[RepsRequested]]&gt;1),ContinuousStatsTable[[#This Row],[HalfWidth]],ContinuousStatsTable[[#This Row],[BatchMeansHalfWidth]])</f>
        <v>0</v>
      </c>
    </row>
    <row r="619" spans="1:21" x14ac:dyDescent="0.25">
      <c r="A619" t="s">
        <v>67</v>
      </c>
      <c r="B619" t="s">
        <v>243</v>
      </c>
      <c r="C619">
        <v>8</v>
      </c>
      <c r="D619" t="s">
        <v>125</v>
      </c>
      <c r="E619" t="s">
        <v>112</v>
      </c>
      <c r="F619" t="s">
        <v>113</v>
      </c>
      <c r="G619">
        <v>0.72873074612662603</v>
      </c>
      <c r="H619">
        <v>2E+20</v>
      </c>
      <c r="I619">
        <v>0</v>
      </c>
      <c r="J619">
        <v>1</v>
      </c>
      <c r="K619">
        <v>0.4</v>
      </c>
      <c r="L619">
        <v>0</v>
      </c>
      <c r="M619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619" cm="1">
        <f t="array" ref="N619">MAX(IF((ProjectInfoTable[ProjectName]=ContinuousStatsTable[[#This Row],[ProjectName]]),(ProjectInfoTable[ProjectName]=ContinuousStatsTable[[#This Row],[ProjectName]])*ProjectInfoTable[NumberOfReplications]))</f>
        <v>10</v>
      </c>
      <c r="O619" cm="1">
        <f t="array" ref="O619">IFERROR(AVERAGE(IF((ContinuousStatsTable[GroupByKey]=ContinuousStatsTable[[#This Row],[GroupByKey]]),(ContinuousStatsTable[GroupByKey]=ContinuousStatsTable[[#This Row],[GroupByKey]])*ContinuousStatsTable[Average])),0)</f>
        <v>0.74077431571180252</v>
      </c>
      <c r="P619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6.1280007141723249E-2</v>
      </c>
      <c r="Q619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4.3837076306763374E-2</v>
      </c>
      <c r="S619" cm="1">
        <f t="array" ref="S619">MIN(IF((ContinuousStatsTable[GroupByKey]=ContinuousStatsTable[[#This Row],[GroupByKey]]),(ContinuousStatsTable[GroupByKey]=ContinuousStatsTable[[#This Row],[GroupByKey]])*ContinuousStatsTable[Average]))</f>
        <v>0.67060354368791797</v>
      </c>
      <c r="T619" cm="1">
        <f t="array" ref="T619">MAX(IF((ContinuousStatsTable[GroupByKey]=ContinuousStatsTable[[#This Row],[GroupByKey]]),(ContinuousStatsTable[GroupByKey]=ContinuousStatsTable[[#This Row],[GroupByKey]])*ContinuousStatsTable[Average]))</f>
        <v>0.87728997349342996</v>
      </c>
      <c r="U619">
        <f>IF((ContinuousStatsTable[[#This Row],[RepsRequested]]&gt;1),ContinuousStatsTable[[#This Row],[HalfWidth]],ContinuousStatsTable[[#This Row],[BatchMeansHalfWidth]])</f>
        <v>4.3837076306763374E-2</v>
      </c>
    </row>
    <row r="620" spans="1:21" x14ac:dyDescent="0.25">
      <c r="A620" t="s">
        <v>67</v>
      </c>
      <c r="B620" t="s">
        <v>243</v>
      </c>
      <c r="C620">
        <v>8</v>
      </c>
      <c r="D620" t="s">
        <v>125</v>
      </c>
      <c r="E620" t="s">
        <v>114</v>
      </c>
      <c r="F620" t="s">
        <v>113</v>
      </c>
      <c r="G620">
        <v>3.64365373063313</v>
      </c>
      <c r="H620">
        <v>2E+20</v>
      </c>
      <c r="I620">
        <v>0</v>
      </c>
      <c r="J620">
        <v>5</v>
      </c>
      <c r="K620">
        <v>2</v>
      </c>
      <c r="L620">
        <v>0</v>
      </c>
      <c r="M620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620" cm="1">
        <f t="array" ref="N620">MAX(IF((ProjectInfoTable[ProjectName]=ContinuousStatsTable[[#This Row],[ProjectName]]),(ProjectInfoTable[ProjectName]=ContinuousStatsTable[[#This Row],[ProjectName]])*ProjectInfoTable[NumberOfReplications]))</f>
        <v>10</v>
      </c>
      <c r="O620" cm="1">
        <f t="array" ref="O620">IFERROR(AVERAGE(IF((ContinuousStatsTable[GroupByKey]=ContinuousStatsTable[[#This Row],[GroupByKey]]),(ContinuousStatsTable[GroupByKey]=ContinuousStatsTable[[#This Row],[GroupByKey]])*ContinuousStatsTable[Average])),0)</f>
        <v>3.7038715785590122</v>
      </c>
      <c r="P620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0.30640003570861163</v>
      </c>
      <c r="Q620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0.21918538153381359</v>
      </c>
      <c r="S620" cm="1">
        <f t="array" ref="S620">MIN(IF((ContinuousStatsTable[GroupByKey]=ContinuousStatsTable[[#This Row],[GroupByKey]]),(ContinuousStatsTable[GroupByKey]=ContinuousStatsTable[[#This Row],[GroupByKey]])*ContinuousStatsTable[Average]))</f>
        <v>3.35301771843959</v>
      </c>
      <c r="T620" cm="1">
        <f t="array" ref="T620">MAX(IF((ContinuousStatsTable[GroupByKey]=ContinuousStatsTable[[#This Row],[GroupByKey]]),(ContinuousStatsTable[GroupByKey]=ContinuousStatsTable[[#This Row],[GroupByKey]])*ContinuousStatsTable[Average]))</f>
        <v>4.3864498674671397</v>
      </c>
      <c r="U620">
        <f>IF((ContinuousStatsTable[[#This Row],[RepsRequested]]&gt;1),ContinuousStatsTable[[#This Row],[HalfWidth]],ContinuousStatsTable[[#This Row],[BatchMeansHalfWidth]])</f>
        <v>0.21918538153381359</v>
      </c>
    </row>
    <row r="621" spans="1:21" x14ac:dyDescent="0.25">
      <c r="A621" t="s">
        <v>67</v>
      </c>
      <c r="B621" t="s">
        <v>243</v>
      </c>
      <c r="C621">
        <v>8</v>
      </c>
      <c r="D621" t="s">
        <v>125</v>
      </c>
      <c r="E621" t="s">
        <v>115</v>
      </c>
      <c r="F621" t="s">
        <v>113</v>
      </c>
      <c r="G621">
        <v>5</v>
      </c>
      <c r="H621">
        <v>2E+20</v>
      </c>
      <c r="I621">
        <v>5</v>
      </c>
      <c r="J621">
        <v>5</v>
      </c>
      <c r="K621">
        <v>5</v>
      </c>
      <c r="L621">
        <v>0</v>
      </c>
      <c r="M621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621" cm="1">
        <f t="array" ref="N621">MAX(IF((ProjectInfoTable[ProjectName]=ContinuousStatsTable[[#This Row],[ProjectName]]),(ProjectInfoTable[ProjectName]=ContinuousStatsTable[[#This Row],[ProjectName]])*ProjectInfoTable[NumberOfReplications]))</f>
        <v>10</v>
      </c>
      <c r="O621" cm="1">
        <f t="array" ref="O621">IFERROR(AVERAGE(IF((ContinuousStatsTable[GroupByKey]=ContinuousStatsTable[[#This Row],[GroupByKey]]),(ContinuousStatsTable[GroupByKey]=ContinuousStatsTable[[#This Row],[GroupByKey]])*ContinuousStatsTable[Average])),0)</f>
        <v>5</v>
      </c>
      <c r="P621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cm="1">
        <f t="array" ref="S621">MIN(IF((ContinuousStatsTable[GroupByKey]=ContinuousStatsTable[[#This Row],[GroupByKey]]),(ContinuousStatsTable[GroupByKey]=ContinuousStatsTable[[#This Row],[GroupByKey]])*ContinuousStatsTable[Average]))</f>
        <v>5</v>
      </c>
      <c r="T621" cm="1">
        <f t="array" ref="T621">MAX(IF((ContinuousStatsTable[GroupByKey]=ContinuousStatsTable[[#This Row],[GroupByKey]]),(ContinuousStatsTable[GroupByKey]=ContinuousStatsTable[[#This Row],[GroupByKey]])*ContinuousStatsTable[Average]))</f>
        <v>5</v>
      </c>
      <c r="U621">
        <f>IF((ContinuousStatsTable[[#This Row],[RepsRequested]]&gt;1),ContinuousStatsTable[[#This Row],[HalfWidth]],ContinuousStatsTable[[#This Row],[BatchMeansHalfWidth]])</f>
        <v>0</v>
      </c>
    </row>
    <row r="622" spans="1:21" x14ac:dyDescent="0.25">
      <c r="A622" t="s">
        <v>67</v>
      </c>
      <c r="B622" t="s">
        <v>243</v>
      </c>
      <c r="C622">
        <v>8</v>
      </c>
      <c r="D622" t="s">
        <v>126</v>
      </c>
      <c r="E622" t="s">
        <v>112</v>
      </c>
      <c r="F622" t="s">
        <v>113</v>
      </c>
      <c r="G622">
        <v>0.57216816243045499</v>
      </c>
      <c r="H622">
        <v>3E+20</v>
      </c>
      <c r="I622">
        <v>0</v>
      </c>
      <c r="J622">
        <v>1</v>
      </c>
      <c r="K622">
        <v>1</v>
      </c>
      <c r="L622">
        <v>0</v>
      </c>
      <c r="M622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622" cm="1">
        <f t="array" ref="N622">MAX(IF((ProjectInfoTable[ProjectName]=ContinuousStatsTable[[#This Row],[ProjectName]]),(ProjectInfoTable[ProjectName]=ContinuousStatsTable[[#This Row],[ProjectName]])*ProjectInfoTable[NumberOfReplications]))</f>
        <v>10</v>
      </c>
      <c r="O622" cm="1">
        <f t="array" ref="O622">IFERROR(AVERAGE(IF((ContinuousStatsTable[GroupByKey]=ContinuousStatsTable[[#This Row],[GroupByKey]]),(ContinuousStatsTable[GroupByKey]=ContinuousStatsTable[[#This Row],[GroupByKey]])*ContinuousStatsTable[Average])),0)</f>
        <v>0.52391445815006699</v>
      </c>
      <c r="P622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7.0460308415606909E-2</v>
      </c>
      <c r="Q622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5.0404268221927347E-2</v>
      </c>
      <c r="S622" cm="1">
        <f t="array" ref="S622">MIN(IF((ContinuousStatsTable[GroupByKey]=ContinuousStatsTable[[#This Row],[GroupByKey]]),(ContinuousStatsTable[GroupByKey]=ContinuousStatsTable[[#This Row],[GroupByKey]])*ContinuousStatsTable[Average]))</f>
        <v>0.36555656561218303</v>
      </c>
      <c r="T622" cm="1">
        <f t="array" ref="T622">MAX(IF((ContinuousStatsTable[GroupByKey]=ContinuousStatsTable[[#This Row],[GroupByKey]]),(ContinuousStatsTable[GroupByKey]=ContinuousStatsTable[[#This Row],[GroupByKey]])*ContinuousStatsTable[Average]))</f>
        <v>0.59886206518967</v>
      </c>
      <c r="U622">
        <f>IF((ContinuousStatsTable[[#This Row],[RepsRequested]]&gt;1),ContinuousStatsTable[[#This Row],[HalfWidth]],ContinuousStatsTable[[#This Row],[BatchMeansHalfWidth]])</f>
        <v>5.0404268221927347E-2</v>
      </c>
    </row>
    <row r="623" spans="1:21" x14ac:dyDescent="0.25">
      <c r="A623" t="s">
        <v>67</v>
      </c>
      <c r="B623" t="s">
        <v>243</v>
      </c>
      <c r="C623">
        <v>8</v>
      </c>
      <c r="D623" t="s">
        <v>126</v>
      </c>
      <c r="E623" t="s">
        <v>114</v>
      </c>
      <c r="F623" t="s">
        <v>113</v>
      </c>
      <c r="G623">
        <v>2.2886726497218199</v>
      </c>
      <c r="H623">
        <v>3E+20</v>
      </c>
      <c r="I623">
        <v>0</v>
      </c>
      <c r="J623">
        <v>4</v>
      </c>
      <c r="K623">
        <v>4</v>
      </c>
      <c r="L623">
        <v>0</v>
      </c>
      <c r="M623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623" cm="1">
        <f t="array" ref="N623">MAX(IF((ProjectInfoTable[ProjectName]=ContinuousStatsTable[[#This Row],[ProjectName]]),(ProjectInfoTable[ProjectName]=ContinuousStatsTable[[#This Row],[ProjectName]])*ProjectInfoTable[NumberOfReplications]))</f>
        <v>10</v>
      </c>
      <c r="O623" cm="1">
        <f t="array" ref="O623">IFERROR(AVERAGE(IF((ContinuousStatsTable[GroupByKey]=ContinuousStatsTable[[#This Row],[GroupByKey]]),(ContinuousStatsTable[GroupByKey]=ContinuousStatsTable[[#This Row],[GroupByKey]])*ContinuousStatsTable[Average])),0)</f>
        <v>2.0956578326002671</v>
      </c>
      <c r="P623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0.28184123366242902</v>
      </c>
      <c r="Q623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0.20161707288771036</v>
      </c>
      <c r="S623" cm="1">
        <f t="array" ref="S623">MIN(IF((ContinuousStatsTable[GroupByKey]=ContinuousStatsTable[[#This Row],[GroupByKey]]),(ContinuousStatsTable[GroupByKey]=ContinuousStatsTable[[#This Row],[GroupByKey]])*ContinuousStatsTable[Average]))</f>
        <v>1.4622262624487301</v>
      </c>
      <c r="T623" cm="1">
        <f t="array" ref="T623">MAX(IF((ContinuousStatsTable[GroupByKey]=ContinuousStatsTable[[#This Row],[GroupByKey]]),(ContinuousStatsTable[GroupByKey]=ContinuousStatsTable[[#This Row],[GroupByKey]])*ContinuousStatsTable[Average]))</f>
        <v>2.39544826075868</v>
      </c>
      <c r="U623">
        <f>IF((ContinuousStatsTable[[#This Row],[RepsRequested]]&gt;1),ContinuousStatsTable[[#This Row],[HalfWidth]],ContinuousStatsTable[[#This Row],[BatchMeansHalfWidth]])</f>
        <v>0.20161707288771036</v>
      </c>
    </row>
    <row r="624" spans="1:21" x14ac:dyDescent="0.25">
      <c r="A624" t="s">
        <v>67</v>
      </c>
      <c r="B624" t="s">
        <v>243</v>
      </c>
      <c r="C624">
        <v>8</v>
      </c>
      <c r="D624" t="s">
        <v>126</v>
      </c>
      <c r="E624" t="s">
        <v>115</v>
      </c>
      <c r="F624" t="s">
        <v>113</v>
      </c>
      <c r="G624">
        <v>4</v>
      </c>
      <c r="H624">
        <v>2E+20</v>
      </c>
      <c r="I624">
        <v>4</v>
      </c>
      <c r="J624">
        <v>4</v>
      </c>
      <c r="K624">
        <v>4</v>
      </c>
      <c r="L624">
        <v>0</v>
      </c>
      <c r="M624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624" cm="1">
        <f t="array" ref="N624">MAX(IF((ProjectInfoTable[ProjectName]=ContinuousStatsTable[[#This Row],[ProjectName]]),(ProjectInfoTable[ProjectName]=ContinuousStatsTable[[#This Row],[ProjectName]])*ProjectInfoTable[NumberOfReplications]))</f>
        <v>10</v>
      </c>
      <c r="O624" cm="1">
        <f t="array" ref="O624">IFERROR(AVERAGE(IF((ContinuousStatsTable[GroupByKey]=ContinuousStatsTable[[#This Row],[GroupByKey]]),(ContinuousStatsTable[GroupByKey]=ContinuousStatsTable[[#This Row],[GroupByKey]])*ContinuousStatsTable[Average])),0)</f>
        <v>4</v>
      </c>
      <c r="P624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0</v>
      </c>
      <c r="Q624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4" cm="1">
        <f t="array" ref="S624">MIN(IF((ContinuousStatsTable[GroupByKey]=ContinuousStatsTable[[#This Row],[GroupByKey]]),(ContinuousStatsTable[GroupByKey]=ContinuousStatsTable[[#This Row],[GroupByKey]])*ContinuousStatsTable[Average]))</f>
        <v>4</v>
      </c>
      <c r="T624" cm="1">
        <f t="array" ref="T624">MAX(IF((ContinuousStatsTable[GroupByKey]=ContinuousStatsTable[[#This Row],[GroupByKey]]),(ContinuousStatsTable[GroupByKey]=ContinuousStatsTable[[#This Row],[GroupByKey]])*ContinuousStatsTable[Average]))</f>
        <v>4</v>
      </c>
      <c r="U624">
        <f>IF((ContinuousStatsTable[[#This Row],[RepsRequested]]&gt;1),ContinuousStatsTable[[#This Row],[HalfWidth]],ContinuousStatsTable[[#This Row],[BatchMeansHalfWidth]])</f>
        <v>0</v>
      </c>
    </row>
    <row r="625" spans="1:21" x14ac:dyDescent="0.25">
      <c r="A625" t="s">
        <v>67</v>
      </c>
      <c r="B625" t="s">
        <v>243</v>
      </c>
      <c r="C625">
        <v>8</v>
      </c>
      <c r="D625" t="s">
        <v>127</v>
      </c>
      <c r="E625" t="s">
        <v>112</v>
      </c>
      <c r="F625" t="s">
        <v>113</v>
      </c>
      <c r="G625">
        <v>0.149751253119838</v>
      </c>
      <c r="H625">
        <v>3E+20</v>
      </c>
      <c r="I625">
        <v>0</v>
      </c>
      <c r="J625">
        <v>1</v>
      </c>
      <c r="K625">
        <v>0</v>
      </c>
      <c r="L625">
        <v>0</v>
      </c>
      <c r="M625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625" cm="1">
        <f t="array" ref="N625">MAX(IF((ProjectInfoTable[ProjectName]=ContinuousStatsTable[[#This Row],[ProjectName]]),(ProjectInfoTable[ProjectName]=ContinuousStatsTable[[#This Row],[ProjectName]])*ProjectInfoTable[NumberOfReplications]))</f>
        <v>10</v>
      </c>
      <c r="O625" cm="1">
        <f t="array" ref="O625">IFERROR(AVERAGE(IF((ContinuousStatsTable[GroupByKey]=ContinuousStatsTable[[#This Row],[GroupByKey]]),(ContinuousStatsTable[GroupByKey]=ContinuousStatsTable[[#This Row],[GroupByKey]])*ContinuousStatsTable[Average])),0)</f>
        <v>0.14955853655775292</v>
      </c>
      <c r="P62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1.8487754554887928E-4</v>
      </c>
      <c r="Q62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1.3225342896729691E-4</v>
      </c>
      <c r="S625" cm="1">
        <f t="array" ref="S625">MIN(IF((ContinuousStatsTable[GroupByKey]=ContinuousStatsTable[[#This Row],[GroupByKey]]),(ContinuousStatsTable[GroupByKey]=ContinuousStatsTable[[#This Row],[GroupByKey]])*ContinuousStatsTable[Average]))</f>
        <v>0.14921189842985499</v>
      </c>
      <c r="T625" cm="1">
        <f t="array" ref="T625">MAX(IF((ContinuousStatsTable[GroupByKey]=ContinuousStatsTable[[#This Row],[GroupByKey]]),(ContinuousStatsTable[GroupByKey]=ContinuousStatsTable[[#This Row],[GroupByKey]])*ContinuousStatsTable[Average]))</f>
        <v>0.14985050053976801</v>
      </c>
      <c r="U625">
        <f>IF((ContinuousStatsTable[[#This Row],[RepsRequested]]&gt;1),ContinuousStatsTable[[#This Row],[HalfWidth]],ContinuousStatsTable[[#This Row],[BatchMeansHalfWidth]])</f>
        <v>1.3225342896729691E-4</v>
      </c>
    </row>
    <row r="626" spans="1:21" x14ac:dyDescent="0.25">
      <c r="A626" t="s">
        <v>67</v>
      </c>
      <c r="B626" t="s">
        <v>243</v>
      </c>
      <c r="C626">
        <v>8</v>
      </c>
      <c r="D626" t="s">
        <v>127</v>
      </c>
      <c r="E626" t="s">
        <v>114</v>
      </c>
      <c r="F626" t="s">
        <v>113</v>
      </c>
      <c r="G626">
        <v>0.299502506239677</v>
      </c>
      <c r="H626">
        <v>3E+20</v>
      </c>
      <c r="I626">
        <v>0</v>
      </c>
      <c r="J626">
        <v>2</v>
      </c>
      <c r="K626">
        <v>0</v>
      </c>
      <c r="L626">
        <v>0</v>
      </c>
      <c r="M626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626" cm="1">
        <f t="array" ref="N626">MAX(IF((ProjectInfoTable[ProjectName]=ContinuousStatsTable[[#This Row],[ProjectName]]),(ProjectInfoTable[ProjectName]=ContinuousStatsTable[[#This Row],[ProjectName]])*ProjectInfoTable[NumberOfReplications]))</f>
        <v>10</v>
      </c>
      <c r="O626" cm="1">
        <f t="array" ref="O626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626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626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626" cm="1">
        <f t="array" ref="S626">MIN(IF((ContinuousStatsTable[GroupByKey]=ContinuousStatsTable[[#This Row],[GroupByKey]]),(ContinuousStatsTable[GroupByKey]=ContinuousStatsTable[[#This Row],[GroupByKey]])*ContinuousStatsTable[Average]))</f>
        <v>0.29842379685970999</v>
      </c>
      <c r="T626" cm="1">
        <f t="array" ref="T626">MAX(IF((ContinuousStatsTable[GroupByKey]=ContinuousStatsTable[[#This Row],[GroupByKey]]),(ContinuousStatsTable[GroupByKey]=ContinuousStatsTable[[#This Row],[GroupByKey]])*ContinuousStatsTable[Average]))</f>
        <v>0.29970100107953501</v>
      </c>
      <c r="U626">
        <f>IF((ContinuousStatsTable[[#This Row],[RepsRequested]]&gt;1),ContinuousStatsTable[[#This Row],[HalfWidth]],ContinuousStatsTable[[#This Row],[BatchMeansHalfWidth]])</f>
        <v>2.6450685793468105E-4</v>
      </c>
    </row>
    <row r="627" spans="1:21" x14ac:dyDescent="0.25">
      <c r="A627" t="s">
        <v>67</v>
      </c>
      <c r="B627" t="s">
        <v>243</v>
      </c>
      <c r="C627">
        <v>8</v>
      </c>
      <c r="D627" t="s">
        <v>127</v>
      </c>
      <c r="E627" t="s">
        <v>115</v>
      </c>
      <c r="F627" t="s">
        <v>113</v>
      </c>
      <c r="G627">
        <v>2</v>
      </c>
      <c r="H627">
        <v>2E+20</v>
      </c>
      <c r="I627">
        <v>2</v>
      </c>
      <c r="J627">
        <v>2</v>
      </c>
      <c r="K627">
        <v>2</v>
      </c>
      <c r="L627">
        <v>0</v>
      </c>
      <c r="M627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627" cm="1">
        <f t="array" ref="N627">MAX(IF((ProjectInfoTable[ProjectName]=ContinuousStatsTable[[#This Row],[ProjectName]]),(ProjectInfoTable[ProjectName]=ContinuousStatsTable[[#This Row],[ProjectName]])*ProjectInfoTable[NumberOfReplications]))</f>
        <v>10</v>
      </c>
      <c r="O627" cm="1">
        <f t="array" ref="O627">IFERROR(AVERAGE(IF((ContinuousStatsTable[GroupByKey]=ContinuousStatsTable[[#This Row],[GroupByKey]]),(ContinuousStatsTable[GroupByKey]=ContinuousStatsTable[[#This Row],[GroupByKey]])*ContinuousStatsTable[Average])),0)</f>
        <v>2</v>
      </c>
      <c r="P627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0</v>
      </c>
      <c r="Q627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7" cm="1">
        <f t="array" ref="S627">MIN(IF((ContinuousStatsTable[GroupByKey]=ContinuousStatsTable[[#This Row],[GroupByKey]]),(ContinuousStatsTable[GroupByKey]=ContinuousStatsTable[[#This Row],[GroupByKey]])*ContinuousStatsTable[Average]))</f>
        <v>2</v>
      </c>
      <c r="T627" cm="1">
        <f t="array" ref="T627">MAX(IF((ContinuousStatsTable[GroupByKey]=ContinuousStatsTable[[#This Row],[GroupByKey]]),(ContinuousStatsTable[GroupByKey]=ContinuousStatsTable[[#This Row],[GroupByKey]])*ContinuousStatsTable[Average]))</f>
        <v>2</v>
      </c>
      <c r="U627">
        <f>IF((ContinuousStatsTable[[#This Row],[RepsRequested]]&gt;1),ContinuousStatsTable[[#This Row],[HalfWidth]],ContinuousStatsTable[[#This Row],[BatchMeansHalfWidth]])</f>
        <v>0</v>
      </c>
    </row>
    <row r="628" spans="1:21" x14ac:dyDescent="0.25">
      <c r="A628" t="s">
        <v>67</v>
      </c>
      <c r="B628" t="s">
        <v>243</v>
      </c>
      <c r="C628">
        <v>8</v>
      </c>
      <c r="D628" t="s">
        <v>128</v>
      </c>
      <c r="E628" t="s">
        <v>112</v>
      </c>
      <c r="F628" t="s">
        <v>113</v>
      </c>
      <c r="G628">
        <v>0.58338388917401696</v>
      </c>
      <c r="H628">
        <v>3E+20</v>
      </c>
      <c r="I628">
        <v>0</v>
      </c>
      <c r="J628">
        <v>1</v>
      </c>
      <c r="K628">
        <v>0</v>
      </c>
      <c r="L628">
        <v>0</v>
      </c>
      <c r="M628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628" cm="1">
        <f t="array" ref="N628">MAX(IF((ProjectInfoTable[ProjectName]=ContinuousStatsTable[[#This Row],[ProjectName]]),(ProjectInfoTable[ProjectName]=ContinuousStatsTable[[#This Row],[ProjectName]])*ProjectInfoTable[NumberOfReplications]))</f>
        <v>10</v>
      </c>
      <c r="O628" cm="1">
        <f t="array" ref="O628">IFERROR(AVERAGE(IF((ContinuousStatsTable[GroupByKey]=ContinuousStatsTable[[#This Row],[GroupByKey]]),(ContinuousStatsTable[GroupByKey]=ContinuousStatsTable[[#This Row],[GroupByKey]])*ContinuousStatsTable[Average])),0)</f>
        <v>0.78490250681152507</v>
      </c>
      <c r="P628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0.11345978752761832</v>
      </c>
      <c r="Q628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8.1164242557846045E-2</v>
      </c>
      <c r="S628" cm="1">
        <f t="array" ref="S628">MIN(IF((ContinuousStatsTable[GroupByKey]=ContinuousStatsTable[[#This Row],[GroupByKey]]),(ContinuousStatsTable[GroupByKey]=ContinuousStatsTable[[#This Row],[GroupByKey]])*ContinuousStatsTable[Average]))</f>
        <v>0.58338388917401696</v>
      </c>
      <c r="T628" cm="1">
        <f t="array" ref="T628">MAX(IF((ContinuousStatsTable[GroupByKey]=ContinuousStatsTable[[#This Row],[GroupByKey]]),(ContinuousStatsTable[GroupByKey]=ContinuousStatsTable[[#This Row],[GroupByKey]])*ContinuousStatsTable[Average]))</f>
        <v>0.90111632059041802</v>
      </c>
      <c r="U628">
        <f>IF((ContinuousStatsTable[[#This Row],[RepsRequested]]&gt;1),ContinuousStatsTable[[#This Row],[HalfWidth]],ContinuousStatsTable[[#This Row],[BatchMeansHalfWidth]])</f>
        <v>8.1164242557846045E-2</v>
      </c>
    </row>
    <row r="629" spans="1:21" x14ac:dyDescent="0.25">
      <c r="A629" t="s">
        <v>67</v>
      </c>
      <c r="B629" t="s">
        <v>243</v>
      </c>
      <c r="C629">
        <v>8</v>
      </c>
      <c r="D629" t="s">
        <v>128</v>
      </c>
      <c r="E629" t="s">
        <v>114</v>
      </c>
      <c r="F629" t="s">
        <v>113</v>
      </c>
      <c r="G629">
        <v>2.91691944587008</v>
      </c>
      <c r="H629">
        <v>3E+20</v>
      </c>
      <c r="I629">
        <v>0</v>
      </c>
      <c r="J629">
        <v>5</v>
      </c>
      <c r="K629">
        <v>0</v>
      </c>
      <c r="L629">
        <v>0</v>
      </c>
      <c r="M629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629" cm="1">
        <f t="array" ref="N629">MAX(IF((ProjectInfoTable[ProjectName]=ContinuousStatsTable[[#This Row],[ProjectName]]),(ProjectInfoTable[ProjectName]=ContinuousStatsTable[[#This Row],[ProjectName]])*ProjectInfoTable[NumberOfReplications]))</f>
        <v>10</v>
      </c>
      <c r="O629" cm="1">
        <f t="array" ref="O629">IFERROR(AVERAGE(IF((ContinuousStatsTable[GroupByKey]=ContinuousStatsTable[[#This Row],[GroupByKey]]),(ContinuousStatsTable[GroupByKey]=ContinuousStatsTable[[#This Row],[GroupByKey]])*ContinuousStatsTable[Average])),0)</f>
        <v>3.9245125340576221</v>
      </c>
      <c r="P629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0.56729893763807904</v>
      </c>
      <c r="Q629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0.40582121278922129</v>
      </c>
      <c r="S629" cm="1">
        <f t="array" ref="S629">MIN(IF((ContinuousStatsTable[GroupByKey]=ContinuousStatsTable[[#This Row],[GroupByKey]]),(ContinuousStatsTable[GroupByKey]=ContinuousStatsTable[[#This Row],[GroupByKey]])*ContinuousStatsTable[Average]))</f>
        <v>2.91691944587008</v>
      </c>
      <c r="T629" cm="1">
        <f t="array" ref="T629">MAX(IF((ContinuousStatsTable[GroupByKey]=ContinuousStatsTable[[#This Row],[GroupByKey]]),(ContinuousStatsTable[GroupByKey]=ContinuousStatsTable[[#This Row],[GroupByKey]])*ContinuousStatsTable[Average]))</f>
        <v>4.5055816029520903</v>
      </c>
      <c r="U629">
        <f>IF((ContinuousStatsTable[[#This Row],[RepsRequested]]&gt;1),ContinuousStatsTable[[#This Row],[HalfWidth]],ContinuousStatsTable[[#This Row],[BatchMeansHalfWidth]])</f>
        <v>0.40582121278922129</v>
      </c>
    </row>
    <row r="630" spans="1:21" x14ac:dyDescent="0.25">
      <c r="A630" t="s">
        <v>67</v>
      </c>
      <c r="B630" t="s">
        <v>243</v>
      </c>
      <c r="C630">
        <v>8</v>
      </c>
      <c r="D630" t="s">
        <v>128</v>
      </c>
      <c r="E630" t="s">
        <v>115</v>
      </c>
      <c r="F630" t="s">
        <v>113</v>
      </c>
      <c r="G630">
        <v>5</v>
      </c>
      <c r="H630">
        <v>2E+20</v>
      </c>
      <c r="I630">
        <v>5</v>
      </c>
      <c r="J630">
        <v>5</v>
      </c>
      <c r="K630">
        <v>5</v>
      </c>
      <c r="L630">
        <v>0</v>
      </c>
      <c r="M630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630" cm="1">
        <f t="array" ref="N630">MAX(IF((ProjectInfoTable[ProjectName]=ContinuousStatsTable[[#This Row],[ProjectName]]),(ProjectInfoTable[ProjectName]=ContinuousStatsTable[[#This Row],[ProjectName]])*ProjectInfoTable[NumberOfReplications]))</f>
        <v>10</v>
      </c>
      <c r="O630" cm="1">
        <f t="array" ref="O630">IFERROR(AVERAGE(IF((ContinuousStatsTable[GroupByKey]=ContinuousStatsTable[[#This Row],[GroupByKey]]),(ContinuousStatsTable[GroupByKey]=ContinuousStatsTable[[#This Row],[GroupByKey]])*ContinuousStatsTable[Average])),0)</f>
        <v>5</v>
      </c>
      <c r="P630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cm="1">
        <f t="array" ref="S630">MIN(IF((ContinuousStatsTable[GroupByKey]=ContinuousStatsTable[[#This Row],[GroupByKey]]),(ContinuousStatsTable[GroupByKey]=ContinuousStatsTable[[#This Row],[GroupByKey]])*ContinuousStatsTable[Average]))</f>
        <v>5</v>
      </c>
      <c r="T630" cm="1">
        <f t="array" ref="T630">MAX(IF((ContinuousStatsTable[GroupByKey]=ContinuousStatsTable[[#This Row],[GroupByKey]]),(ContinuousStatsTable[GroupByKey]=ContinuousStatsTable[[#This Row],[GroupByKey]])*ContinuousStatsTable[Average]))</f>
        <v>5</v>
      </c>
      <c r="U630">
        <f>IF((ContinuousStatsTable[[#This Row],[RepsRequested]]&gt;1),ContinuousStatsTable[[#This Row],[HalfWidth]],ContinuousStatsTable[[#This Row],[BatchMeansHalfWidth]])</f>
        <v>0</v>
      </c>
    </row>
    <row r="631" spans="1:21" x14ac:dyDescent="0.25">
      <c r="A631" t="s">
        <v>67</v>
      </c>
      <c r="B631" t="s">
        <v>243</v>
      </c>
      <c r="C631">
        <v>8</v>
      </c>
      <c r="D631" t="s">
        <v>129</v>
      </c>
      <c r="E631" t="s">
        <v>112</v>
      </c>
      <c r="F631" t="s">
        <v>113</v>
      </c>
      <c r="G631">
        <v>0.15880443244107401</v>
      </c>
      <c r="H631">
        <v>2E+20</v>
      </c>
      <c r="I631">
        <v>0</v>
      </c>
      <c r="J631">
        <v>0.66666666666666696</v>
      </c>
      <c r="K631">
        <v>0</v>
      </c>
      <c r="L631">
        <v>0</v>
      </c>
      <c r="M631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631" cm="1">
        <f t="array" ref="N631">MAX(IF((ProjectInfoTable[ProjectName]=ContinuousStatsTable[[#This Row],[ProjectName]]),(ProjectInfoTable[ProjectName]=ContinuousStatsTable[[#This Row],[ProjectName]])*ProjectInfoTable[NumberOfReplications]))</f>
        <v>10</v>
      </c>
      <c r="O631" cm="1">
        <f t="array" ref="O631">IFERROR(AVERAGE(IF((ContinuousStatsTable[GroupByKey]=ContinuousStatsTable[[#This Row],[GroupByKey]]),(ContinuousStatsTable[GroupByKey]=ContinuousStatsTable[[#This Row],[GroupByKey]])*ContinuousStatsTable[Average])),0)</f>
        <v>0.15879210791146137</v>
      </c>
      <c r="P631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8.8786593845171554E-6</v>
      </c>
      <c r="Q631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6.3514103064755986E-6</v>
      </c>
      <c r="S631" cm="1">
        <f t="array" ref="S631">MIN(IF((ContinuousStatsTable[GroupByKey]=ContinuousStatsTable[[#This Row],[GroupByKey]]),(ContinuousStatsTable[GroupByKey]=ContinuousStatsTable[[#This Row],[GroupByKey]])*ContinuousStatsTable[Average]))</f>
        <v>0.15877821852350199</v>
      </c>
      <c r="T631" cm="1">
        <f t="array" ref="T631">MAX(IF((ContinuousStatsTable[GroupByKey]=ContinuousStatsTable[[#This Row],[GroupByKey]]),(ContinuousStatsTable[GroupByKey]=ContinuousStatsTable[[#This Row],[GroupByKey]])*ContinuousStatsTable[Average]))</f>
        <v>0.15880443244107401</v>
      </c>
      <c r="U631">
        <f>IF((ContinuousStatsTable[[#This Row],[RepsRequested]]&gt;1),ContinuousStatsTable[[#This Row],[HalfWidth]],ContinuousStatsTable[[#This Row],[BatchMeansHalfWidth]])</f>
        <v>6.3514103064755986E-6</v>
      </c>
    </row>
    <row r="632" spans="1:21" x14ac:dyDescent="0.25">
      <c r="A632" t="s">
        <v>67</v>
      </c>
      <c r="B632" t="s">
        <v>243</v>
      </c>
      <c r="C632">
        <v>8</v>
      </c>
      <c r="D632" t="s">
        <v>129</v>
      </c>
      <c r="E632" t="s">
        <v>114</v>
      </c>
      <c r="F632" t="s">
        <v>113</v>
      </c>
      <c r="G632">
        <v>0.47641329732322302</v>
      </c>
      <c r="H632">
        <v>2E+20</v>
      </c>
      <c r="I632">
        <v>0</v>
      </c>
      <c r="J632">
        <v>2</v>
      </c>
      <c r="K632">
        <v>0</v>
      </c>
      <c r="L632">
        <v>0</v>
      </c>
      <c r="M632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632" cm="1">
        <f t="array" ref="N632">MAX(IF((ProjectInfoTable[ProjectName]=ContinuousStatsTable[[#This Row],[ProjectName]]),(ProjectInfoTable[ProjectName]=ContinuousStatsTable[[#This Row],[ProjectName]])*ProjectInfoTable[NumberOfReplications]))</f>
        <v>10</v>
      </c>
      <c r="O632" cm="1">
        <f t="array" ref="O632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632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632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632" cm="1">
        <f t="array" ref="S632">MIN(IF((ContinuousStatsTable[GroupByKey]=ContinuousStatsTable[[#This Row],[GroupByKey]]),(ContinuousStatsTable[GroupByKey]=ContinuousStatsTable[[#This Row],[GroupByKey]])*ContinuousStatsTable[Average]))</f>
        <v>0.47633465557050603</v>
      </c>
      <c r="T632" cm="1">
        <f t="array" ref="T632">MAX(IF((ContinuousStatsTable[GroupByKey]=ContinuousStatsTable[[#This Row],[GroupByKey]]),(ContinuousStatsTable[GroupByKey]=ContinuousStatsTable[[#This Row],[GroupByKey]])*ContinuousStatsTable[Average]))</f>
        <v>0.47641329732322302</v>
      </c>
      <c r="U632">
        <f>IF((ContinuousStatsTable[[#This Row],[RepsRequested]]&gt;1),ContinuousStatsTable[[#This Row],[HalfWidth]],ContinuousStatsTable[[#This Row],[BatchMeansHalfWidth]])</f>
        <v>1.9054230919217752E-5</v>
      </c>
    </row>
    <row r="633" spans="1:21" x14ac:dyDescent="0.25">
      <c r="A633" t="s">
        <v>67</v>
      </c>
      <c r="B633" t="s">
        <v>243</v>
      </c>
      <c r="C633">
        <v>8</v>
      </c>
      <c r="D633" t="s">
        <v>129</v>
      </c>
      <c r="E633" t="s">
        <v>115</v>
      </c>
      <c r="F633" t="s">
        <v>113</v>
      </c>
      <c r="G633">
        <v>3</v>
      </c>
      <c r="H633">
        <v>2E+20</v>
      </c>
      <c r="I633">
        <v>3</v>
      </c>
      <c r="J633">
        <v>3</v>
      </c>
      <c r="K633">
        <v>3</v>
      </c>
      <c r="L633">
        <v>0</v>
      </c>
      <c r="M633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633" cm="1">
        <f t="array" ref="N633">MAX(IF((ProjectInfoTable[ProjectName]=ContinuousStatsTable[[#This Row],[ProjectName]]),(ProjectInfoTable[ProjectName]=ContinuousStatsTable[[#This Row],[ProjectName]])*ProjectInfoTable[NumberOfReplications]))</f>
        <v>10</v>
      </c>
      <c r="O633" cm="1">
        <f t="array" ref="O633">IFERROR(AVERAGE(IF((ContinuousStatsTable[GroupByKey]=ContinuousStatsTable[[#This Row],[GroupByKey]]),(ContinuousStatsTable[GroupByKey]=ContinuousStatsTable[[#This Row],[GroupByKey]])*ContinuousStatsTable[Average])),0)</f>
        <v>3</v>
      </c>
      <c r="P633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0</v>
      </c>
      <c r="Q633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3" cm="1">
        <f t="array" ref="S633">MIN(IF((ContinuousStatsTable[GroupByKey]=ContinuousStatsTable[[#This Row],[GroupByKey]]),(ContinuousStatsTable[GroupByKey]=ContinuousStatsTable[[#This Row],[GroupByKey]])*ContinuousStatsTable[Average]))</f>
        <v>3</v>
      </c>
      <c r="T633" cm="1">
        <f t="array" ref="T633">MAX(IF((ContinuousStatsTable[GroupByKey]=ContinuousStatsTable[[#This Row],[GroupByKey]]),(ContinuousStatsTable[GroupByKey]=ContinuousStatsTable[[#This Row],[GroupByKey]])*ContinuousStatsTable[Average]))</f>
        <v>3</v>
      </c>
      <c r="U633">
        <f>IF((ContinuousStatsTable[[#This Row],[RepsRequested]]&gt;1),ContinuousStatsTable[[#This Row],[HalfWidth]],ContinuousStatsTable[[#This Row],[BatchMeansHalfWidth]])</f>
        <v>0</v>
      </c>
    </row>
    <row r="634" spans="1:21" x14ac:dyDescent="0.25">
      <c r="A634" t="s">
        <v>67</v>
      </c>
      <c r="B634" t="s">
        <v>243</v>
      </c>
      <c r="C634">
        <v>8</v>
      </c>
      <c r="D634" t="s">
        <v>130</v>
      </c>
      <c r="E634" t="s">
        <v>112</v>
      </c>
      <c r="F634" t="s">
        <v>113</v>
      </c>
      <c r="G634">
        <v>0.47647340349894202</v>
      </c>
      <c r="H634">
        <v>2E+20</v>
      </c>
      <c r="I634">
        <v>0</v>
      </c>
      <c r="J634">
        <v>1</v>
      </c>
      <c r="K634">
        <v>0</v>
      </c>
      <c r="L634">
        <v>0</v>
      </c>
      <c r="M634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634" cm="1">
        <f t="array" ref="N634">MAX(IF((ProjectInfoTable[ProjectName]=ContinuousStatsTable[[#This Row],[ProjectName]]),(ProjectInfoTable[ProjectName]=ContinuousStatsTable[[#This Row],[ProjectName]])*ProjectInfoTable[NumberOfReplications]))</f>
        <v>10</v>
      </c>
      <c r="O634" cm="1">
        <f t="array" ref="O634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634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634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634" cm="1">
        <f t="array" ref="S634">MIN(IF((ContinuousStatsTable[GroupByKey]=ContinuousStatsTable[[#This Row],[GroupByKey]]),(ContinuousStatsTable[GroupByKey]=ContinuousStatsTable[[#This Row],[GroupByKey]])*ContinuousStatsTable[Average]))</f>
        <v>0.47638046343127</v>
      </c>
      <c r="T634" cm="1">
        <f t="array" ref="T634">MAX(IF((ContinuousStatsTable[GroupByKey]=ContinuousStatsTable[[#This Row],[GroupByKey]]),(ContinuousStatsTable[GroupByKey]=ContinuousStatsTable[[#This Row],[GroupByKey]])*ContinuousStatsTable[Average]))</f>
        <v>0.47647340349894202</v>
      </c>
      <c r="U634">
        <f>IF((ContinuousStatsTable[[#This Row],[RepsRequested]]&gt;1),ContinuousStatsTable[[#This Row],[HalfWidth]],ContinuousStatsTable[[#This Row],[BatchMeansHalfWidth]])</f>
        <v>2.530338482140405E-5</v>
      </c>
    </row>
    <row r="635" spans="1:21" x14ac:dyDescent="0.25">
      <c r="A635" t="s">
        <v>67</v>
      </c>
      <c r="B635" t="s">
        <v>243</v>
      </c>
      <c r="C635">
        <v>8</v>
      </c>
      <c r="D635" t="s">
        <v>130</v>
      </c>
      <c r="E635" t="s">
        <v>114</v>
      </c>
      <c r="F635" t="s">
        <v>113</v>
      </c>
      <c r="G635">
        <v>0.47647340349894202</v>
      </c>
      <c r="H635">
        <v>2E+20</v>
      </c>
      <c r="I635">
        <v>0</v>
      </c>
      <c r="J635">
        <v>1</v>
      </c>
      <c r="K635">
        <v>0</v>
      </c>
      <c r="L635">
        <v>0</v>
      </c>
      <c r="M635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635" cm="1">
        <f t="array" ref="N635">MAX(IF((ProjectInfoTable[ProjectName]=ContinuousStatsTable[[#This Row],[ProjectName]]),(ProjectInfoTable[ProjectName]=ContinuousStatsTable[[#This Row],[ProjectName]])*ProjectInfoTable[NumberOfReplications]))</f>
        <v>10</v>
      </c>
      <c r="O635" cm="1">
        <f t="array" ref="O635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63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63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635" cm="1">
        <f t="array" ref="S635">MIN(IF((ContinuousStatsTable[GroupByKey]=ContinuousStatsTable[[#This Row],[GroupByKey]]),(ContinuousStatsTable[GroupByKey]=ContinuousStatsTable[[#This Row],[GroupByKey]])*ContinuousStatsTable[Average]))</f>
        <v>0.47638046343127</v>
      </c>
      <c r="T635" cm="1">
        <f t="array" ref="T635">MAX(IF((ContinuousStatsTable[GroupByKey]=ContinuousStatsTable[[#This Row],[GroupByKey]]),(ContinuousStatsTable[GroupByKey]=ContinuousStatsTable[[#This Row],[GroupByKey]])*ContinuousStatsTable[Average]))</f>
        <v>0.47647340349894202</v>
      </c>
      <c r="U635">
        <f>IF((ContinuousStatsTable[[#This Row],[RepsRequested]]&gt;1),ContinuousStatsTable[[#This Row],[HalfWidth]],ContinuousStatsTable[[#This Row],[BatchMeansHalfWidth]])</f>
        <v>2.530338482140405E-5</v>
      </c>
    </row>
    <row r="636" spans="1:21" x14ac:dyDescent="0.25">
      <c r="A636" t="s">
        <v>67</v>
      </c>
      <c r="B636" t="s">
        <v>243</v>
      </c>
      <c r="C636">
        <v>8</v>
      </c>
      <c r="D636" t="s">
        <v>130</v>
      </c>
      <c r="E636" t="s">
        <v>115</v>
      </c>
      <c r="F636" t="s">
        <v>113</v>
      </c>
      <c r="G636">
        <v>0.476190476190476</v>
      </c>
      <c r="H636">
        <v>2E+20</v>
      </c>
      <c r="I636">
        <v>0</v>
      </c>
      <c r="J636">
        <v>1</v>
      </c>
      <c r="K636">
        <v>0</v>
      </c>
      <c r="L636">
        <v>0</v>
      </c>
      <c r="M636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636" cm="1">
        <f t="array" ref="N636">MAX(IF((ProjectInfoTable[ProjectName]=ContinuousStatsTable[[#This Row],[ProjectName]]),(ProjectInfoTable[ProjectName]=ContinuousStatsTable[[#This Row],[ProjectName]])*ProjectInfoTable[NumberOfReplications]))</f>
        <v>10</v>
      </c>
      <c r="O636" cm="1">
        <f t="array" ref="O636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36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0</v>
      </c>
      <c r="Q636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6" cm="1">
        <f t="array" ref="S636">MIN(IF((ContinuousStatsTable[GroupByKey]=ContinuousStatsTable[[#This Row],[GroupByKey]]),(ContinuousStatsTable[GroupByKey]=ContinuousStatsTable[[#This Row],[GroupByKey]])*ContinuousStatsTable[Average]))</f>
        <v>0.476190476190476</v>
      </c>
      <c r="T636" cm="1">
        <f t="array" ref="T636">MAX(IF((ContinuousStatsTable[GroupByKey]=ContinuousStatsTable[[#This Row],[GroupByKey]]),(ContinuousStatsTable[GroupByKey]=ContinuousStatsTable[[#This Row],[GroupByKey]])*ContinuousStatsTable[Average]))</f>
        <v>0.476190476190476</v>
      </c>
      <c r="U636">
        <f>IF((ContinuousStatsTable[[#This Row],[RepsRequested]]&gt;1),ContinuousStatsTable[[#This Row],[HalfWidth]],ContinuousStatsTable[[#This Row],[BatchMeansHalfWidth]])</f>
        <v>0</v>
      </c>
    </row>
    <row r="637" spans="1:21" x14ac:dyDescent="0.25">
      <c r="A637" t="s">
        <v>67</v>
      </c>
      <c r="B637" t="s">
        <v>243</v>
      </c>
      <c r="C637">
        <v>8</v>
      </c>
      <c r="D637" t="s">
        <v>131</v>
      </c>
      <c r="E637" t="s">
        <v>112</v>
      </c>
      <c r="F637" t="s">
        <v>113</v>
      </c>
      <c r="G637">
        <v>0.34682690535744298</v>
      </c>
      <c r="H637">
        <v>3E+20</v>
      </c>
      <c r="I637">
        <v>0</v>
      </c>
      <c r="J637">
        <v>1</v>
      </c>
      <c r="K637">
        <v>0</v>
      </c>
      <c r="L637">
        <v>0</v>
      </c>
      <c r="M637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637" cm="1">
        <f t="array" ref="N637">MAX(IF((ProjectInfoTable[ProjectName]=ContinuousStatsTable[[#This Row],[ProjectName]]),(ProjectInfoTable[ProjectName]=ContinuousStatsTable[[#This Row],[ProjectName]])*ProjectInfoTable[NumberOfReplications]))</f>
        <v>10</v>
      </c>
      <c r="O637" cm="1">
        <f t="array" ref="O637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637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637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637" cm="1">
        <f t="array" ref="S637">MIN(IF((ContinuousStatsTable[GroupByKey]=ContinuousStatsTable[[#This Row],[GroupByKey]]),(ContinuousStatsTable[GroupByKey]=ContinuousStatsTable[[#This Row],[GroupByKey]])*ContinuousStatsTable[Average]))</f>
        <v>0.34602746258727701</v>
      </c>
      <c r="T637" cm="1">
        <f t="array" ref="T637">MAX(IF((ContinuousStatsTable[GroupByKey]=ContinuousStatsTable[[#This Row],[GroupByKey]]),(ContinuousStatsTable[GroupByKey]=ContinuousStatsTable[[#This Row],[GroupByKey]])*ContinuousStatsTable[Average]))</f>
        <v>0.34712505386175102</v>
      </c>
      <c r="U637">
        <f>IF((ContinuousStatsTable[[#This Row],[RepsRequested]]&gt;1),ContinuousStatsTable[[#This Row],[HalfWidth]],ContinuousStatsTable[[#This Row],[BatchMeansHalfWidth]])</f>
        <v>2.4134201748419608E-4</v>
      </c>
    </row>
    <row r="638" spans="1:21" x14ac:dyDescent="0.25">
      <c r="A638" t="s">
        <v>67</v>
      </c>
      <c r="B638" t="s">
        <v>243</v>
      </c>
      <c r="C638">
        <v>8</v>
      </c>
      <c r="D638" t="s">
        <v>131</v>
      </c>
      <c r="E638" t="s">
        <v>114</v>
      </c>
      <c r="F638" t="s">
        <v>113</v>
      </c>
      <c r="G638">
        <v>0.34682690535744298</v>
      </c>
      <c r="H638">
        <v>3E+20</v>
      </c>
      <c r="I638">
        <v>0</v>
      </c>
      <c r="J638">
        <v>1</v>
      </c>
      <c r="K638">
        <v>0</v>
      </c>
      <c r="L638">
        <v>0</v>
      </c>
      <c r="M638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638" cm="1">
        <f t="array" ref="N638">MAX(IF((ProjectInfoTable[ProjectName]=ContinuousStatsTable[[#This Row],[ProjectName]]),(ProjectInfoTable[ProjectName]=ContinuousStatsTable[[#This Row],[ProjectName]])*ProjectInfoTable[NumberOfReplications]))</f>
        <v>10</v>
      </c>
      <c r="O638" cm="1">
        <f t="array" ref="O638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638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638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638" cm="1">
        <f t="array" ref="S638">MIN(IF((ContinuousStatsTable[GroupByKey]=ContinuousStatsTable[[#This Row],[GroupByKey]]),(ContinuousStatsTable[GroupByKey]=ContinuousStatsTable[[#This Row],[GroupByKey]])*ContinuousStatsTable[Average]))</f>
        <v>0.34602746258727701</v>
      </c>
      <c r="T638" cm="1">
        <f t="array" ref="T638">MAX(IF((ContinuousStatsTable[GroupByKey]=ContinuousStatsTable[[#This Row],[GroupByKey]]),(ContinuousStatsTable[GroupByKey]=ContinuousStatsTable[[#This Row],[GroupByKey]])*ContinuousStatsTable[Average]))</f>
        <v>0.34712505386175102</v>
      </c>
      <c r="U638">
        <f>IF((ContinuousStatsTable[[#This Row],[RepsRequested]]&gt;1),ContinuousStatsTable[[#This Row],[HalfWidth]],ContinuousStatsTable[[#This Row],[BatchMeansHalfWidth]])</f>
        <v>2.4134201748419608E-4</v>
      </c>
    </row>
    <row r="639" spans="1:21" x14ac:dyDescent="0.25">
      <c r="A639" t="s">
        <v>67</v>
      </c>
      <c r="B639" t="s">
        <v>243</v>
      </c>
      <c r="C639">
        <v>8</v>
      </c>
      <c r="D639" t="s">
        <v>131</v>
      </c>
      <c r="E639" t="s">
        <v>115</v>
      </c>
      <c r="F639" t="s">
        <v>113</v>
      </c>
      <c r="G639">
        <v>0.476190476190476</v>
      </c>
      <c r="H639">
        <v>2E+20</v>
      </c>
      <c r="I639">
        <v>0</v>
      </c>
      <c r="J639">
        <v>1</v>
      </c>
      <c r="K639">
        <v>0</v>
      </c>
      <c r="L639">
        <v>0</v>
      </c>
      <c r="M639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639" cm="1">
        <f t="array" ref="N639">MAX(IF((ProjectInfoTable[ProjectName]=ContinuousStatsTable[[#This Row],[ProjectName]]),(ProjectInfoTable[ProjectName]=ContinuousStatsTable[[#This Row],[ProjectName]])*ProjectInfoTable[NumberOfReplications]))</f>
        <v>10</v>
      </c>
      <c r="O639" cm="1">
        <f t="array" ref="O63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39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0</v>
      </c>
      <c r="Q639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9" cm="1">
        <f t="array" ref="S639">MIN(IF((ContinuousStatsTable[GroupByKey]=ContinuousStatsTable[[#This Row],[GroupByKey]]),(ContinuousStatsTable[GroupByKey]=ContinuousStatsTable[[#This Row],[GroupByKey]])*ContinuousStatsTable[Average]))</f>
        <v>0.476190476190476</v>
      </c>
      <c r="T639" cm="1">
        <f t="array" ref="T639">MAX(IF((ContinuousStatsTable[GroupByKey]=ContinuousStatsTable[[#This Row],[GroupByKey]]),(ContinuousStatsTable[GroupByKey]=ContinuousStatsTable[[#This Row],[GroupByKey]])*ContinuousStatsTable[Average]))</f>
        <v>0.476190476190476</v>
      </c>
      <c r="U639">
        <f>IF((ContinuousStatsTable[[#This Row],[RepsRequested]]&gt;1),ContinuousStatsTable[[#This Row],[HalfWidth]],ContinuousStatsTable[[#This Row],[BatchMeansHalfWidth]])</f>
        <v>0</v>
      </c>
    </row>
    <row r="640" spans="1:21" x14ac:dyDescent="0.25">
      <c r="A640" t="s">
        <v>67</v>
      </c>
      <c r="B640" t="s">
        <v>243</v>
      </c>
      <c r="C640">
        <v>8</v>
      </c>
      <c r="D640" t="s">
        <v>132</v>
      </c>
      <c r="E640" t="s">
        <v>112</v>
      </c>
      <c r="F640" t="s">
        <v>113</v>
      </c>
      <c r="G640">
        <v>0.45428770042153799</v>
      </c>
      <c r="H640">
        <v>3E+20</v>
      </c>
      <c r="I640">
        <v>0</v>
      </c>
      <c r="J640">
        <v>1</v>
      </c>
      <c r="K640">
        <v>0</v>
      </c>
      <c r="L640">
        <v>0</v>
      </c>
      <c r="M640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640" cm="1">
        <f t="array" ref="N640">MAX(IF((ProjectInfoTable[ProjectName]=ContinuousStatsTable[[#This Row],[ProjectName]]),(ProjectInfoTable[ProjectName]=ContinuousStatsTable[[#This Row],[ProjectName]])*ProjectInfoTable[NumberOfReplications]))</f>
        <v>10</v>
      </c>
      <c r="O640" cm="1">
        <f t="array" ref="O640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640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640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640" cm="1">
        <f t="array" ref="S640">MIN(IF((ContinuousStatsTable[GroupByKey]=ContinuousStatsTable[[#This Row],[GroupByKey]]),(ContinuousStatsTable[GroupByKey]=ContinuousStatsTable[[#This Row],[GroupByKey]])*ContinuousStatsTable[Average]))</f>
        <v>0.45404133128311103</v>
      </c>
      <c r="T640" cm="1">
        <f t="array" ref="T640">MAX(IF((ContinuousStatsTable[GroupByKey]=ContinuousStatsTable[[#This Row],[GroupByKey]]),(ContinuousStatsTable[GroupByKey]=ContinuousStatsTable[[#This Row],[GroupByKey]])*ContinuousStatsTable[Average]))</f>
        <v>0.45518418142323402</v>
      </c>
      <c r="U640">
        <f>IF((ContinuousStatsTable[[#This Row],[RepsRequested]]&gt;1),ContinuousStatsTable[[#This Row],[HalfWidth]],ContinuousStatsTable[[#This Row],[BatchMeansHalfWidth]])</f>
        <v>2.6178321488092363E-4</v>
      </c>
    </row>
    <row r="641" spans="1:21" x14ac:dyDescent="0.25">
      <c r="A641" t="s">
        <v>67</v>
      </c>
      <c r="B641" t="s">
        <v>243</v>
      </c>
      <c r="C641">
        <v>8</v>
      </c>
      <c r="D641" t="s">
        <v>132</v>
      </c>
      <c r="E641" t="s">
        <v>114</v>
      </c>
      <c r="F641" t="s">
        <v>113</v>
      </c>
      <c r="G641">
        <v>0.45428770042153799</v>
      </c>
      <c r="H641">
        <v>3E+20</v>
      </c>
      <c r="I641">
        <v>0</v>
      </c>
      <c r="J641">
        <v>1</v>
      </c>
      <c r="K641">
        <v>0</v>
      </c>
      <c r="L641">
        <v>0</v>
      </c>
      <c r="M641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641" cm="1">
        <f t="array" ref="N641">MAX(IF((ProjectInfoTable[ProjectName]=ContinuousStatsTable[[#This Row],[ProjectName]]),(ProjectInfoTable[ProjectName]=ContinuousStatsTable[[#This Row],[ProjectName]])*ProjectInfoTable[NumberOfReplications]))</f>
        <v>10</v>
      </c>
      <c r="O641" cm="1">
        <f t="array" ref="O641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641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641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641" cm="1">
        <f t="array" ref="S641">MIN(IF((ContinuousStatsTable[GroupByKey]=ContinuousStatsTable[[#This Row],[GroupByKey]]),(ContinuousStatsTable[GroupByKey]=ContinuousStatsTable[[#This Row],[GroupByKey]])*ContinuousStatsTable[Average]))</f>
        <v>0.45404133128311103</v>
      </c>
      <c r="T641" cm="1">
        <f t="array" ref="T641">MAX(IF((ContinuousStatsTable[GroupByKey]=ContinuousStatsTable[[#This Row],[GroupByKey]]),(ContinuousStatsTable[GroupByKey]=ContinuousStatsTable[[#This Row],[GroupByKey]])*ContinuousStatsTable[Average]))</f>
        <v>0.45518418142323402</v>
      </c>
      <c r="U641">
        <f>IF((ContinuousStatsTable[[#This Row],[RepsRequested]]&gt;1),ContinuousStatsTable[[#This Row],[HalfWidth]],ContinuousStatsTable[[#This Row],[BatchMeansHalfWidth]])</f>
        <v>2.6178321488092363E-4</v>
      </c>
    </row>
    <row r="642" spans="1:21" x14ac:dyDescent="0.25">
      <c r="A642" t="s">
        <v>67</v>
      </c>
      <c r="B642" t="s">
        <v>243</v>
      </c>
      <c r="C642">
        <v>8</v>
      </c>
      <c r="D642" t="s">
        <v>132</v>
      </c>
      <c r="E642" t="s">
        <v>115</v>
      </c>
      <c r="F642" t="s">
        <v>113</v>
      </c>
      <c r="G642">
        <v>0.476190476190476</v>
      </c>
      <c r="H642">
        <v>2E+20</v>
      </c>
      <c r="I642">
        <v>0</v>
      </c>
      <c r="J642">
        <v>1</v>
      </c>
      <c r="K642">
        <v>0</v>
      </c>
      <c r="L642">
        <v>0</v>
      </c>
      <c r="M642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642" cm="1">
        <f t="array" ref="N642">MAX(IF((ProjectInfoTable[ProjectName]=ContinuousStatsTable[[#This Row],[ProjectName]]),(ProjectInfoTable[ProjectName]=ContinuousStatsTable[[#This Row],[ProjectName]])*ProjectInfoTable[NumberOfReplications]))</f>
        <v>10</v>
      </c>
      <c r="O642" cm="1">
        <f t="array" ref="O642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42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</v>
      </c>
      <c r="Q642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2" cm="1">
        <f t="array" ref="S642">MIN(IF((ContinuousStatsTable[GroupByKey]=ContinuousStatsTable[[#This Row],[GroupByKey]]),(ContinuousStatsTable[GroupByKey]=ContinuousStatsTable[[#This Row],[GroupByKey]])*ContinuousStatsTable[Average]))</f>
        <v>0.476190476190476</v>
      </c>
      <c r="T642" cm="1">
        <f t="array" ref="T642">MAX(IF((ContinuousStatsTable[GroupByKey]=ContinuousStatsTable[[#This Row],[GroupByKey]]),(ContinuousStatsTable[GroupByKey]=ContinuousStatsTable[[#This Row],[GroupByKey]])*ContinuousStatsTable[Average]))</f>
        <v>0.476190476190476</v>
      </c>
      <c r="U642">
        <f>IF((ContinuousStatsTable[[#This Row],[RepsRequested]]&gt;1),ContinuousStatsTable[[#This Row],[HalfWidth]],ContinuousStatsTable[[#This Row],[BatchMeansHalfWidth]])</f>
        <v>0</v>
      </c>
    </row>
    <row r="643" spans="1:21" x14ac:dyDescent="0.25">
      <c r="A643" t="s">
        <v>67</v>
      </c>
      <c r="B643" t="s">
        <v>243</v>
      </c>
      <c r="C643">
        <v>8</v>
      </c>
      <c r="D643" t="s">
        <v>133</v>
      </c>
      <c r="E643" t="s">
        <v>112</v>
      </c>
      <c r="F643" t="s">
        <v>113</v>
      </c>
      <c r="G643">
        <v>0.231613206661263</v>
      </c>
      <c r="H643">
        <v>3E+20</v>
      </c>
      <c r="I643">
        <v>0</v>
      </c>
      <c r="J643">
        <v>1</v>
      </c>
      <c r="K643">
        <v>0</v>
      </c>
      <c r="L643">
        <v>0</v>
      </c>
      <c r="M643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643" cm="1">
        <f t="array" ref="N643">MAX(IF((ProjectInfoTable[ProjectName]=ContinuousStatsTable[[#This Row],[ProjectName]]),(ProjectInfoTable[ProjectName]=ContinuousStatsTable[[#This Row],[ProjectName]])*ProjectInfoTable[NumberOfReplications]))</f>
        <v>10</v>
      </c>
      <c r="O643" cm="1">
        <f t="array" ref="O643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643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643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643" cm="1">
        <f t="array" ref="S643">MIN(IF((ContinuousStatsTable[GroupByKey]=ContinuousStatsTable[[#This Row],[GroupByKey]]),(ContinuousStatsTable[GroupByKey]=ContinuousStatsTable[[#This Row],[GroupByKey]])*ContinuousStatsTable[Average]))</f>
        <v>0.230969532572807</v>
      </c>
      <c r="T643" cm="1">
        <f t="array" ref="T643">MAX(IF((ContinuousStatsTable[GroupByKey]=ContinuousStatsTable[[#This Row],[GroupByKey]]),(ContinuousStatsTable[GroupByKey]=ContinuousStatsTable[[#This Row],[GroupByKey]])*ContinuousStatsTable[Average]))</f>
        <v>0.23202343200723599</v>
      </c>
      <c r="U643">
        <f>IF((ContinuousStatsTable[[#This Row],[RepsRequested]]&gt;1),ContinuousStatsTable[[#This Row],[HalfWidth]],ContinuousStatsTable[[#This Row],[BatchMeansHalfWidth]])</f>
        <v>2.4725912837525509E-4</v>
      </c>
    </row>
    <row r="644" spans="1:21" x14ac:dyDescent="0.25">
      <c r="A644" t="s">
        <v>67</v>
      </c>
      <c r="B644" t="s">
        <v>243</v>
      </c>
      <c r="C644">
        <v>8</v>
      </c>
      <c r="D644" t="s">
        <v>133</v>
      </c>
      <c r="E644" t="s">
        <v>114</v>
      </c>
      <c r="F644" t="s">
        <v>113</v>
      </c>
      <c r="G644">
        <v>0.231613206661263</v>
      </c>
      <c r="H644">
        <v>3E+20</v>
      </c>
      <c r="I644">
        <v>0</v>
      </c>
      <c r="J644">
        <v>1</v>
      </c>
      <c r="K644">
        <v>0</v>
      </c>
      <c r="L644">
        <v>0</v>
      </c>
      <c r="M644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644" cm="1">
        <f t="array" ref="N644">MAX(IF((ProjectInfoTable[ProjectName]=ContinuousStatsTable[[#This Row],[ProjectName]]),(ProjectInfoTable[ProjectName]=ContinuousStatsTable[[#This Row],[ProjectName]])*ProjectInfoTable[NumberOfReplications]))</f>
        <v>10</v>
      </c>
      <c r="O644" cm="1">
        <f t="array" ref="O644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644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644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644" cm="1">
        <f t="array" ref="S644">MIN(IF((ContinuousStatsTable[GroupByKey]=ContinuousStatsTable[[#This Row],[GroupByKey]]),(ContinuousStatsTable[GroupByKey]=ContinuousStatsTable[[#This Row],[GroupByKey]])*ContinuousStatsTable[Average]))</f>
        <v>0.230969532572807</v>
      </c>
      <c r="T644" cm="1">
        <f t="array" ref="T644">MAX(IF((ContinuousStatsTable[GroupByKey]=ContinuousStatsTable[[#This Row],[GroupByKey]]),(ContinuousStatsTable[GroupByKey]=ContinuousStatsTable[[#This Row],[GroupByKey]])*ContinuousStatsTable[Average]))</f>
        <v>0.23202343200723599</v>
      </c>
      <c r="U644">
        <f>IF((ContinuousStatsTable[[#This Row],[RepsRequested]]&gt;1),ContinuousStatsTable[[#This Row],[HalfWidth]],ContinuousStatsTable[[#This Row],[BatchMeansHalfWidth]])</f>
        <v>2.4725912837525509E-4</v>
      </c>
    </row>
    <row r="645" spans="1:21" x14ac:dyDescent="0.25">
      <c r="A645" t="s">
        <v>67</v>
      </c>
      <c r="B645" t="s">
        <v>243</v>
      </c>
      <c r="C645">
        <v>8</v>
      </c>
      <c r="D645" t="s">
        <v>133</v>
      </c>
      <c r="E645" t="s">
        <v>115</v>
      </c>
      <c r="F645" t="s">
        <v>113</v>
      </c>
      <c r="G645">
        <v>0.476190476190476</v>
      </c>
      <c r="H645">
        <v>2E+20</v>
      </c>
      <c r="I645">
        <v>0</v>
      </c>
      <c r="J645">
        <v>1</v>
      </c>
      <c r="K645">
        <v>0</v>
      </c>
      <c r="L645">
        <v>0</v>
      </c>
      <c r="M645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645" cm="1">
        <f t="array" ref="N645">MAX(IF((ProjectInfoTable[ProjectName]=ContinuousStatsTable[[#This Row],[ProjectName]]),(ProjectInfoTable[ProjectName]=ContinuousStatsTable[[#This Row],[ProjectName]])*ProjectInfoTable[NumberOfReplications]))</f>
        <v>10</v>
      </c>
      <c r="O645" cm="1">
        <f t="array" ref="O645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4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0</v>
      </c>
      <c r="Q64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5" cm="1">
        <f t="array" ref="S645">MIN(IF((ContinuousStatsTable[GroupByKey]=ContinuousStatsTable[[#This Row],[GroupByKey]]),(ContinuousStatsTable[GroupByKey]=ContinuousStatsTable[[#This Row],[GroupByKey]])*ContinuousStatsTable[Average]))</f>
        <v>0.476190476190476</v>
      </c>
      <c r="T645" cm="1">
        <f t="array" ref="T645">MAX(IF((ContinuousStatsTable[GroupByKey]=ContinuousStatsTable[[#This Row],[GroupByKey]]),(ContinuousStatsTable[GroupByKey]=ContinuousStatsTable[[#This Row],[GroupByKey]])*ContinuousStatsTable[Average]))</f>
        <v>0.476190476190476</v>
      </c>
      <c r="U645">
        <f>IF((ContinuousStatsTable[[#This Row],[RepsRequested]]&gt;1),ContinuousStatsTable[[#This Row],[HalfWidth]],ContinuousStatsTable[[#This Row],[BatchMeansHalfWidth]])</f>
        <v>0</v>
      </c>
    </row>
    <row r="646" spans="1:21" x14ac:dyDescent="0.25">
      <c r="A646" t="s">
        <v>67</v>
      </c>
      <c r="B646" t="s">
        <v>243</v>
      </c>
      <c r="C646">
        <v>8</v>
      </c>
      <c r="D646" t="s">
        <v>134</v>
      </c>
      <c r="E646" t="s">
        <v>112</v>
      </c>
      <c r="F646" t="s">
        <v>113</v>
      </c>
      <c r="G646">
        <v>0.27253308841214502</v>
      </c>
      <c r="H646">
        <v>3E+20</v>
      </c>
      <c r="I646">
        <v>0</v>
      </c>
      <c r="J646">
        <v>1</v>
      </c>
      <c r="K646">
        <v>0</v>
      </c>
      <c r="L646">
        <v>0</v>
      </c>
      <c r="M646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646" cm="1">
        <f t="array" ref="N646">MAX(IF((ProjectInfoTable[ProjectName]=ContinuousStatsTable[[#This Row],[ProjectName]]),(ProjectInfoTable[ProjectName]=ContinuousStatsTable[[#This Row],[ProjectName]])*ProjectInfoTable[NumberOfReplications]))</f>
        <v>10</v>
      </c>
      <c r="O646" cm="1">
        <f t="array" ref="O646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646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646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646" cm="1">
        <f t="array" ref="S646">MIN(IF((ContinuousStatsTable[GroupByKey]=ContinuousStatsTable[[#This Row],[GroupByKey]]),(ContinuousStatsTable[GroupByKey]=ContinuousStatsTable[[#This Row],[GroupByKey]])*ContinuousStatsTable[Average]))</f>
        <v>0.271979535431421</v>
      </c>
      <c r="T646" cm="1">
        <f t="array" ref="T646">MAX(IF((ContinuousStatsTable[GroupByKey]=ContinuousStatsTable[[#This Row],[GroupByKey]]),(ContinuousStatsTable[GroupByKey]=ContinuousStatsTable[[#This Row],[GroupByKey]])*ContinuousStatsTable[Average]))</f>
        <v>0.27283313106114998</v>
      </c>
      <c r="U646">
        <f>IF((ContinuousStatsTable[[#This Row],[RepsRequested]]&gt;1),ContinuousStatsTable[[#This Row],[HalfWidth]],ContinuousStatsTable[[#This Row],[BatchMeansHalfWidth]])</f>
        <v>1.7269361236560142E-4</v>
      </c>
    </row>
    <row r="647" spans="1:21" x14ac:dyDescent="0.25">
      <c r="A647" t="s">
        <v>67</v>
      </c>
      <c r="B647" t="s">
        <v>243</v>
      </c>
      <c r="C647">
        <v>8</v>
      </c>
      <c r="D647" t="s">
        <v>134</v>
      </c>
      <c r="E647" t="s">
        <v>114</v>
      </c>
      <c r="F647" t="s">
        <v>113</v>
      </c>
      <c r="G647">
        <v>0.27253308841214502</v>
      </c>
      <c r="H647">
        <v>3E+20</v>
      </c>
      <c r="I647">
        <v>0</v>
      </c>
      <c r="J647">
        <v>1</v>
      </c>
      <c r="K647">
        <v>0</v>
      </c>
      <c r="L647">
        <v>0</v>
      </c>
      <c r="M647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647" cm="1">
        <f t="array" ref="N647">MAX(IF((ProjectInfoTable[ProjectName]=ContinuousStatsTable[[#This Row],[ProjectName]]),(ProjectInfoTable[ProjectName]=ContinuousStatsTable[[#This Row],[ProjectName]])*ProjectInfoTable[NumberOfReplications]))</f>
        <v>10</v>
      </c>
      <c r="O647" cm="1">
        <f t="array" ref="O647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647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647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647" cm="1">
        <f t="array" ref="S647">MIN(IF((ContinuousStatsTable[GroupByKey]=ContinuousStatsTable[[#This Row],[GroupByKey]]),(ContinuousStatsTable[GroupByKey]=ContinuousStatsTable[[#This Row],[GroupByKey]])*ContinuousStatsTable[Average]))</f>
        <v>0.271979535431421</v>
      </c>
      <c r="T647" cm="1">
        <f t="array" ref="T647">MAX(IF((ContinuousStatsTable[GroupByKey]=ContinuousStatsTable[[#This Row],[GroupByKey]]),(ContinuousStatsTable[GroupByKey]=ContinuousStatsTable[[#This Row],[GroupByKey]])*ContinuousStatsTable[Average]))</f>
        <v>0.27283313106114998</v>
      </c>
      <c r="U647">
        <f>IF((ContinuousStatsTable[[#This Row],[RepsRequested]]&gt;1),ContinuousStatsTable[[#This Row],[HalfWidth]],ContinuousStatsTable[[#This Row],[BatchMeansHalfWidth]])</f>
        <v>1.7269361236560142E-4</v>
      </c>
    </row>
    <row r="648" spans="1:21" x14ac:dyDescent="0.25">
      <c r="A648" t="s">
        <v>67</v>
      </c>
      <c r="B648" t="s">
        <v>243</v>
      </c>
      <c r="C648">
        <v>8</v>
      </c>
      <c r="D648" t="s">
        <v>134</v>
      </c>
      <c r="E648" t="s">
        <v>115</v>
      </c>
      <c r="F648" t="s">
        <v>113</v>
      </c>
      <c r="G648">
        <v>0.476190476190476</v>
      </c>
      <c r="H648">
        <v>2E+20</v>
      </c>
      <c r="I648">
        <v>0</v>
      </c>
      <c r="J648">
        <v>1</v>
      </c>
      <c r="K648">
        <v>0</v>
      </c>
      <c r="L648">
        <v>0</v>
      </c>
      <c r="M648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648" cm="1">
        <f t="array" ref="N648">MAX(IF((ProjectInfoTable[ProjectName]=ContinuousStatsTable[[#This Row],[ProjectName]]),(ProjectInfoTable[ProjectName]=ContinuousStatsTable[[#This Row],[ProjectName]])*ProjectInfoTable[NumberOfReplications]))</f>
        <v>10</v>
      </c>
      <c r="O648" cm="1">
        <f t="array" ref="O648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48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0</v>
      </c>
      <c r="Q648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8" cm="1">
        <f t="array" ref="S648">MIN(IF((ContinuousStatsTable[GroupByKey]=ContinuousStatsTable[[#This Row],[GroupByKey]]),(ContinuousStatsTable[GroupByKey]=ContinuousStatsTable[[#This Row],[GroupByKey]])*ContinuousStatsTable[Average]))</f>
        <v>0.476190476190476</v>
      </c>
      <c r="T648" cm="1">
        <f t="array" ref="T648">MAX(IF((ContinuousStatsTable[GroupByKey]=ContinuousStatsTable[[#This Row],[GroupByKey]]),(ContinuousStatsTable[GroupByKey]=ContinuousStatsTable[[#This Row],[GroupByKey]])*ContinuousStatsTable[Average]))</f>
        <v>0.476190476190476</v>
      </c>
      <c r="U648">
        <f>IF((ContinuousStatsTable[[#This Row],[RepsRequested]]&gt;1),ContinuousStatsTable[[#This Row],[HalfWidth]],ContinuousStatsTable[[#This Row],[BatchMeansHalfWidth]])</f>
        <v>0</v>
      </c>
    </row>
    <row r="649" spans="1:21" x14ac:dyDescent="0.25">
      <c r="A649" t="s">
        <v>67</v>
      </c>
      <c r="B649" t="s">
        <v>243</v>
      </c>
      <c r="C649">
        <v>8</v>
      </c>
      <c r="D649" t="s">
        <v>135</v>
      </c>
      <c r="E649" t="s">
        <v>112</v>
      </c>
      <c r="F649" t="s">
        <v>113</v>
      </c>
      <c r="G649">
        <v>0.47636350473386602</v>
      </c>
      <c r="H649">
        <v>2E+20</v>
      </c>
      <c r="I649">
        <v>0</v>
      </c>
      <c r="J649">
        <v>1</v>
      </c>
      <c r="K649">
        <v>0</v>
      </c>
      <c r="L649">
        <v>0</v>
      </c>
      <c r="M649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649" cm="1">
        <f t="array" ref="N649">MAX(IF((ProjectInfoTable[ProjectName]=ContinuousStatsTable[[#This Row],[ProjectName]]),(ProjectInfoTable[ProjectName]=ContinuousStatsTable[[#This Row],[ProjectName]])*ProjectInfoTable[NumberOfReplications]))</f>
        <v>10</v>
      </c>
      <c r="O649" cm="1">
        <f t="array" ref="O649">IFERROR(AVERAGE(IF((ContinuousStatsTable[GroupByKey]=ContinuousStatsTable[[#This Row],[GroupByKey]]),(ContinuousStatsTable[GroupByKey]=ContinuousStatsTable[[#This Row],[GroupByKey]])*ContinuousStatsTable[Average])),0)</f>
        <v>0.47640752107427203</v>
      </c>
      <c r="P649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7.9809559904816854E-5</v>
      </c>
      <c r="Q649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5.7092319840390197E-5</v>
      </c>
      <c r="S649" cm="1">
        <f t="array" ref="S649">MIN(IF((ContinuousStatsTable[GroupByKey]=ContinuousStatsTable[[#This Row],[GroupByKey]]),(ContinuousStatsTable[GroupByKey]=ContinuousStatsTable[[#This Row],[GroupByKey]])*ContinuousStatsTable[Average]))</f>
        <v>0.47622171379262102</v>
      </c>
      <c r="T649" cm="1">
        <f t="array" ref="T649">MAX(IF((ContinuousStatsTable[GroupByKey]=ContinuousStatsTable[[#This Row],[GroupByKey]]),(ContinuousStatsTable[GroupByKey]=ContinuousStatsTable[[#This Row],[GroupByKey]])*ContinuousStatsTable[Average]))</f>
        <v>0.47651577494330499</v>
      </c>
      <c r="U649">
        <f>IF((ContinuousStatsTable[[#This Row],[RepsRequested]]&gt;1),ContinuousStatsTable[[#This Row],[HalfWidth]],ContinuousStatsTable[[#This Row],[BatchMeansHalfWidth]])</f>
        <v>5.7092319840390197E-5</v>
      </c>
    </row>
    <row r="650" spans="1:21" x14ac:dyDescent="0.25">
      <c r="A650" t="s">
        <v>67</v>
      </c>
      <c r="B650" t="s">
        <v>243</v>
      </c>
      <c r="C650">
        <v>8</v>
      </c>
      <c r="D650" t="s">
        <v>135</v>
      </c>
      <c r="E650" t="s">
        <v>114</v>
      </c>
      <c r="F650" t="s">
        <v>113</v>
      </c>
      <c r="G650">
        <v>0.47636350473386602</v>
      </c>
      <c r="H650">
        <v>2E+20</v>
      </c>
      <c r="I650">
        <v>0</v>
      </c>
      <c r="J650">
        <v>1</v>
      </c>
      <c r="K650">
        <v>0</v>
      </c>
      <c r="L650">
        <v>0</v>
      </c>
      <c r="M650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650" cm="1">
        <f t="array" ref="N650">MAX(IF((ProjectInfoTable[ProjectName]=ContinuousStatsTable[[#This Row],[ProjectName]]),(ProjectInfoTable[ProjectName]=ContinuousStatsTable[[#This Row],[ProjectName]])*ProjectInfoTable[NumberOfReplications]))</f>
        <v>10</v>
      </c>
      <c r="O650" cm="1">
        <f t="array" ref="O650">IFERROR(AVERAGE(IF((ContinuousStatsTable[GroupByKey]=ContinuousStatsTable[[#This Row],[GroupByKey]]),(ContinuousStatsTable[GroupByKey]=ContinuousStatsTable[[#This Row],[GroupByKey]])*ContinuousStatsTable[Average])),0)</f>
        <v>0.47640752107427209</v>
      </c>
      <c r="P650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7.980955990487845E-5</v>
      </c>
      <c r="Q650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5.7092319840434263E-5</v>
      </c>
      <c r="S650" cm="1">
        <f t="array" ref="S650">MIN(IF((ContinuousStatsTable[GroupByKey]=ContinuousStatsTable[[#This Row],[GroupByKey]]),(ContinuousStatsTable[GroupByKey]=ContinuousStatsTable[[#This Row],[GroupByKey]])*ContinuousStatsTable[Average]))</f>
        <v>0.47622171379262102</v>
      </c>
      <c r="T650" cm="1">
        <f t="array" ref="T650">MAX(IF((ContinuousStatsTable[GroupByKey]=ContinuousStatsTable[[#This Row],[GroupByKey]]),(ContinuousStatsTable[GroupByKey]=ContinuousStatsTable[[#This Row],[GroupByKey]])*ContinuousStatsTable[Average]))</f>
        <v>0.47651577494330499</v>
      </c>
      <c r="U650">
        <f>IF((ContinuousStatsTable[[#This Row],[RepsRequested]]&gt;1),ContinuousStatsTable[[#This Row],[HalfWidth]],ContinuousStatsTable[[#This Row],[BatchMeansHalfWidth]])</f>
        <v>5.7092319840434263E-5</v>
      </c>
    </row>
    <row r="651" spans="1:21" x14ac:dyDescent="0.25">
      <c r="A651" t="s">
        <v>67</v>
      </c>
      <c r="B651" t="s">
        <v>243</v>
      </c>
      <c r="C651">
        <v>8</v>
      </c>
      <c r="D651" t="s">
        <v>135</v>
      </c>
      <c r="E651" t="s">
        <v>115</v>
      </c>
      <c r="F651" t="s">
        <v>113</v>
      </c>
      <c r="G651">
        <v>0.476190476190476</v>
      </c>
      <c r="H651">
        <v>2E+20</v>
      </c>
      <c r="I651">
        <v>0</v>
      </c>
      <c r="J651">
        <v>1</v>
      </c>
      <c r="K651">
        <v>0</v>
      </c>
      <c r="L651">
        <v>0</v>
      </c>
      <c r="M651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651" cm="1">
        <f t="array" ref="N651">MAX(IF((ProjectInfoTable[ProjectName]=ContinuousStatsTable[[#This Row],[ProjectName]]),(ProjectInfoTable[ProjectName]=ContinuousStatsTable[[#This Row],[ProjectName]])*ProjectInfoTable[NumberOfReplications]))</f>
        <v>10</v>
      </c>
      <c r="O651" cm="1">
        <f t="array" ref="O651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51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cm="1">
        <f t="array" ref="S651">MIN(IF((ContinuousStatsTable[GroupByKey]=ContinuousStatsTable[[#This Row],[GroupByKey]]),(ContinuousStatsTable[GroupByKey]=ContinuousStatsTable[[#This Row],[GroupByKey]])*ContinuousStatsTable[Average]))</f>
        <v>0.476190476190476</v>
      </c>
      <c r="T651" cm="1">
        <f t="array" ref="T651">MAX(IF((ContinuousStatsTable[GroupByKey]=ContinuousStatsTable[[#This Row],[GroupByKey]]),(ContinuousStatsTable[GroupByKey]=ContinuousStatsTable[[#This Row],[GroupByKey]])*ContinuousStatsTable[Average]))</f>
        <v>0.476190476190476</v>
      </c>
      <c r="U651">
        <f>IF((ContinuousStatsTable[[#This Row],[RepsRequested]]&gt;1),ContinuousStatsTable[[#This Row],[HalfWidth]],ContinuousStatsTable[[#This Row],[BatchMeansHalfWidth]])</f>
        <v>0</v>
      </c>
    </row>
    <row r="652" spans="1:21" x14ac:dyDescent="0.25">
      <c r="A652" t="s">
        <v>67</v>
      </c>
      <c r="B652" t="s">
        <v>243</v>
      </c>
      <c r="C652">
        <v>8</v>
      </c>
      <c r="D652" t="s">
        <v>136</v>
      </c>
      <c r="E652" t="s">
        <v>112</v>
      </c>
      <c r="F652" t="s">
        <v>113</v>
      </c>
      <c r="G652">
        <v>0.299502506239677</v>
      </c>
      <c r="H652">
        <v>3E+20</v>
      </c>
      <c r="I652">
        <v>0</v>
      </c>
      <c r="J652">
        <v>1</v>
      </c>
      <c r="K652">
        <v>0</v>
      </c>
      <c r="L652">
        <v>0</v>
      </c>
      <c r="M652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652" cm="1">
        <f t="array" ref="N652">MAX(IF((ProjectInfoTable[ProjectName]=ContinuousStatsTable[[#This Row],[ProjectName]]),(ProjectInfoTable[ProjectName]=ContinuousStatsTable[[#This Row],[ProjectName]])*ProjectInfoTable[NumberOfReplications]))</f>
        <v>10</v>
      </c>
      <c r="O652" cm="1">
        <f t="array" ref="O652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652" cm="1">
        <f t="array" ref="P652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652" cm="1">
        <f t="array" ref="Q652">MAX(IF((ProjectInfoTable[ProjectName]=ContinuousStatsTable[[#This Row],[ProjectName]]),(ProjectInfoTable[ProjectName]=ContinuousStatsTable[[#This Row],[ProjectName]])*ProjectInfoTable[ConfidenceInterval]))</f>
        <v>0.95</v>
      </c>
      <c r="R6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652" cm="1">
        <f t="array" ref="S652">MIN(IF((ContinuousStatsTable[GroupByKey]=ContinuousStatsTable[[#This Row],[GroupByKey]]),(ContinuousStatsTable[GroupByKey]=ContinuousStatsTable[[#This Row],[GroupByKey]])*ContinuousStatsTable[Average]))</f>
        <v>0.29842379685970999</v>
      </c>
      <c r="T652" cm="1">
        <f t="array" ref="T652">MAX(IF((ContinuousStatsTable[GroupByKey]=ContinuousStatsTable[[#This Row],[GroupByKey]]),(ContinuousStatsTable[GroupByKey]=ContinuousStatsTable[[#This Row],[GroupByKey]])*ContinuousStatsTable[Average]))</f>
        <v>0.29970100107953501</v>
      </c>
      <c r="U652">
        <f>IF((ContinuousStatsTable[[#This Row],[RepsRequested]]&gt;1),ContinuousStatsTable[[#This Row],[HalfWidth]],ContinuousStatsTable[[#This Row],[BatchMeansHalfWidth]])</f>
        <v>2.6450685793468105E-4</v>
      </c>
    </row>
    <row r="653" spans="1:21" x14ac:dyDescent="0.25">
      <c r="A653" t="s">
        <v>67</v>
      </c>
      <c r="B653" t="s">
        <v>243</v>
      </c>
      <c r="C653">
        <v>8</v>
      </c>
      <c r="D653" t="s">
        <v>136</v>
      </c>
      <c r="E653" t="s">
        <v>114</v>
      </c>
      <c r="F653" t="s">
        <v>113</v>
      </c>
      <c r="G653">
        <v>0.299502506239677</v>
      </c>
      <c r="H653">
        <v>3E+20</v>
      </c>
      <c r="I653">
        <v>0</v>
      </c>
      <c r="J653">
        <v>1</v>
      </c>
      <c r="K653">
        <v>0</v>
      </c>
      <c r="L653">
        <v>0</v>
      </c>
      <c r="M653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653" cm="1">
        <f t="array" ref="N653">MAX(IF((ProjectInfoTable[ProjectName]=ContinuousStatsTable[[#This Row],[ProjectName]]),(ProjectInfoTable[ProjectName]=ContinuousStatsTable[[#This Row],[ProjectName]])*ProjectInfoTable[NumberOfReplications]))</f>
        <v>10</v>
      </c>
      <c r="O653" cm="1">
        <f t="array" ref="O653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653" cm="1">
        <f t="array" ref="P653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653" cm="1">
        <f t="array" ref="Q653">MAX(IF((ProjectInfoTable[ProjectName]=ContinuousStatsTable[[#This Row],[ProjectName]]),(ProjectInfoTable[ProjectName]=ContinuousStatsTable[[#This Row],[ProjectName]])*ProjectInfoTable[ConfidenceInterval]))</f>
        <v>0.95</v>
      </c>
      <c r="R6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653" cm="1">
        <f t="array" ref="S653">MIN(IF((ContinuousStatsTable[GroupByKey]=ContinuousStatsTable[[#This Row],[GroupByKey]]),(ContinuousStatsTable[GroupByKey]=ContinuousStatsTable[[#This Row],[GroupByKey]])*ContinuousStatsTable[Average]))</f>
        <v>0.29842379685970999</v>
      </c>
      <c r="T653" cm="1">
        <f t="array" ref="T653">MAX(IF((ContinuousStatsTable[GroupByKey]=ContinuousStatsTable[[#This Row],[GroupByKey]]),(ContinuousStatsTable[GroupByKey]=ContinuousStatsTable[[#This Row],[GroupByKey]])*ContinuousStatsTable[Average]))</f>
        <v>0.29970100107953501</v>
      </c>
      <c r="U653">
        <f>IF((ContinuousStatsTable[[#This Row],[RepsRequested]]&gt;1),ContinuousStatsTable[[#This Row],[HalfWidth]],ContinuousStatsTable[[#This Row],[BatchMeansHalfWidth]])</f>
        <v>2.6450685793468105E-4</v>
      </c>
    </row>
    <row r="654" spans="1:21" x14ac:dyDescent="0.25">
      <c r="A654" t="s">
        <v>67</v>
      </c>
      <c r="B654" t="s">
        <v>243</v>
      </c>
      <c r="C654">
        <v>8</v>
      </c>
      <c r="D654" t="s">
        <v>136</v>
      </c>
      <c r="E654" t="s">
        <v>115</v>
      </c>
      <c r="F654" t="s">
        <v>113</v>
      </c>
      <c r="G654">
        <v>0.476190476190476</v>
      </c>
      <c r="H654">
        <v>2E+20</v>
      </c>
      <c r="I654">
        <v>0</v>
      </c>
      <c r="J654">
        <v>1</v>
      </c>
      <c r="K654">
        <v>0</v>
      </c>
      <c r="L654">
        <v>0</v>
      </c>
      <c r="M654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654" cm="1">
        <f t="array" ref="N654">MAX(IF((ProjectInfoTable[ProjectName]=ContinuousStatsTable[[#This Row],[ProjectName]]),(ProjectInfoTable[ProjectName]=ContinuousStatsTable[[#This Row],[ProjectName]])*ProjectInfoTable[NumberOfReplications]))</f>
        <v>10</v>
      </c>
      <c r="O654" cm="1">
        <f t="array" ref="O65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54" cm="1">
        <f t="array" ref="P654">IFERROR(_xlfn.STDEV.S(IF((ContinuousStatsTable[GroupByKey]=ContinuousStatsTable[[#This Row],[GroupByKey]]),(ContinuousStatsTable[GroupByKey]=ContinuousStatsTable[[#This Row],[GroupByKey]])*ContinuousStatsTable[Average])),0)</f>
        <v>0</v>
      </c>
      <c r="Q654" cm="1">
        <f t="array" ref="Q654">MAX(IF((ProjectInfoTable[ProjectName]=ContinuousStatsTable[[#This Row],[ProjectName]]),(ProjectInfoTable[ProjectName]=ContinuousStatsTable[[#This Row],[ProjectName]])*ProjectInfoTable[ConfidenceInterval]))</f>
        <v>0.95</v>
      </c>
      <c r="R6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4" cm="1">
        <f t="array" ref="S654">MIN(IF((ContinuousStatsTable[GroupByKey]=ContinuousStatsTable[[#This Row],[GroupByKey]]),(ContinuousStatsTable[GroupByKey]=ContinuousStatsTable[[#This Row],[GroupByKey]])*ContinuousStatsTable[Average]))</f>
        <v>0.476190476190476</v>
      </c>
      <c r="T654" cm="1">
        <f t="array" ref="T654">MAX(IF((ContinuousStatsTable[GroupByKey]=ContinuousStatsTable[[#This Row],[GroupByKey]]),(ContinuousStatsTable[GroupByKey]=ContinuousStatsTable[[#This Row],[GroupByKey]])*ContinuousStatsTable[Average]))</f>
        <v>0.476190476190476</v>
      </c>
      <c r="U654">
        <f>IF((ContinuousStatsTable[[#This Row],[RepsRequested]]&gt;1),ContinuousStatsTable[[#This Row],[HalfWidth]],ContinuousStatsTable[[#This Row],[BatchMeansHalfWidth]])</f>
        <v>0</v>
      </c>
    </row>
    <row r="655" spans="1:21" x14ac:dyDescent="0.25">
      <c r="A655" t="s">
        <v>67</v>
      </c>
      <c r="B655" t="s">
        <v>243</v>
      </c>
      <c r="C655">
        <v>8</v>
      </c>
      <c r="D655" t="s">
        <v>137</v>
      </c>
      <c r="E655" t="s">
        <v>112</v>
      </c>
      <c r="F655" t="s">
        <v>113</v>
      </c>
      <c r="G655">
        <v>0.45555368189367501</v>
      </c>
      <c r="H655">
        <v>3E+20</v>
      </c>
      <c r="I655">
        <v>0</v>
      </c>
      <c r="J655">
        <v>1</v>
      </c>
      <c r="K655">
        <v>0</v>
      </c>
      <c r="L655">
        <v>0</v>
      </c>
      <c r="M655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655" cm="1">
        <f t="array" ref="N655">MAX(IF((ProjectInfoTable[ProjectName]=ContinuousStatsTable[[#This Row],[ProjectName]]),(ProjectInfoTable[ProjectName]=ContinuousStatsTable[[#This Row],[ProjectName]])*ProjectInfoTable[NumberOfReplications]))</f>
        <v>10</v>
      </c>
      <c r="O655" cm="1">
        <f t="array" ref="O655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655" cm="1">
        <f t="array" ref="P655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655" cm="1">
        <f t="array" ref="Q655">MAX(IF((ProjectInfoTable[ProjectName]=ContinuousStatsTable[[#This Row],[ProjectName]]),(ProjectInfoTable[ProjectName]=ContinuousStatsTable[[#This Row],[ProjectName]])*ProjectInfoTable[ConfidenceInterval]))</f>
        <v>0.95</v>
      </c>
      <c r="R6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655" cm="1">
        <f t="array" ref="S655">MIN(IF((ContinuousStatsTable[GroupByKey]=ContinuousStatsTable[[#This Row],[GroupByKey]]),(ContinuousStatsTable[GroupByKey]=ContinuousStatsTable[[#This Row],[GroupByKey]])*ContinuousStatsTable[Average]))</f>
        <v>0.45550004981449399</v>
      </c>
      <c r="T655" cm="1">
        <f t="array" ref="T655">MAX(IF((ContinuousStatsTable[GroupByKey]=ContinuousStatsTable[[#This Row],[GroupByKey]]),(ContinuousStatsTable[GroupByKey]=ContinuousStatsTable[[#This Row],[GroupByKey]])*ContinuousStatsTable[Average]))</f>
        <v>0.45652258337600798</v>
      </c>
      <c r="U655">
        <f>IF((ContinuousStatsTable[[#This Row],[RepsRequested]]&gt;1),ContinuousStatsTable[[#This Row],[HalfWidth]],ContinuousStatsTable[[#This Row],[BatchMeansHalfWidth]])</f>
        <v>2.4108493326261801E-4</v>
      </c>
    </row>
    <row r="656" spans="1:21" x14ac:dyDescent="0.25">
      <c r="A656" t="s">
        <v>67</v>
      </c>
      <c r="B656" t="s">
        <v>243</v>
      </c>
      <c r="C656">
        <v>8</v>
      </c>
      <c r="D656" t="s">
        <v>137</v>
      </c>
      <c r="E656" t="s">
        <v>114</v>
      </c>
      <c r="F656" t="s">
        <v>113</v>
      </c>
      <c r="G656">
        <v>0.45555368189367501</v>
      </c>
      <c r="H656">
        <v>3E+20</v>
      </c>
      <c r="I656">
        <v>0</v>
      </c>
      <c r="J656">
        <v>1</v>
      </c>
      <c r="K656">
        <v>0</v>
      </c>
      <c r="L656">
        <v>0</v>
      </c>
      <c r="M656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656" cm="1">
        <f t="array" ref="N656">MAX(IF((ProjectInfoTable[ProjectName]=ContinuousStatsTable[[#This Row],[ProjectName]]),(ProjectInfoTable[ProjectName]=ContinuousStatsTable[[#This Row],[ProjectName]])*ProjectInfoTable[NumberOfReplications]))</f>
        <v>10</v>
      </c>
      <c r="O656" cm="1">
        <f t="array" ref="O656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656" cm="1">
        <f t="array" ref="P656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656" cm="1">
        <f t="array" ref="Q656">MAX(IF((ProjectInfoTable[ProjectName]=ContinuousStatsTable[[#This Row],[ProjectName]]),(ProjectInfoTable[ProjectName]=ContinuousStatsTable[[#This Row],[ProjectName]])*ProjectInfoTable[ConfidenceInterval]))</f>
        <v>0.95</v>
      </c>
      <c r="R6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656" cm="1">
        <f t="array" ref="S656">MIN(IF((ContinuousStatsTable[GroupByKey]=ContinuousStatsTable[[#This Row],[GroupByKey]]),(ContinuousStatsTable[GroupByKey]=ContinuousStatsTable[[#This Row],[GroupByKey]])*ContinuousStatsTable[Average]))</f>
        <v>0.45550004981449399</v>
      </c>
      <c r="T656" cm="1">
        <f t="array" ref="T656">MAX(IF((ContinuousStatsTable[GroupByKey]=ContinuousStatsTable[[#This Row],[GroupByKey]]),(ContinuousStatsTable[GroupByKey]=ContinuousStatsTable[[#This Row],[GroupByKey]])*ContinuousStatsTable[Average]))</f>
        <v>0.45652258337600798</v>
      </c>
      <c r="U656">
        <f>IF((ContinuousStatsTable[[#This Row],[RepsRequested]]&gt;1),ContinuousStatsTable[[#This Row],[HalfWidth]],ContinuousStatsTable[[#This Row],[BatchMeansHalfWidth]])</f>
        <v>2.4108493326261801E-4</v>
      </c>
    </row>
    <row r="657" spans="1:21" x14ac:dyDescent="0.25">
      <c r="A657" t="s">
        <v>67</v>
      </c>
      <c r="B657" t="s">
        <v>243</v>
      </c>
      <c r="C657">
        <v>8</v>
      </c>
      <c r="D657" t="s">
        <v>137</v>
      </c>
      <c r="E657" t="s">
        <v>115</v>
      </c>
      <c r="F657" t="s">
        <v>113</v>
      </c>
      <c r="G657">
        <v>0.476190476190476</v>
      </c>
      <c r="H657">
        <v>2E+20</v>
      </c>
      <c r="I657">
        <v>0</v>
      </c>
      <c r="J657">
        <v>1</v>
      </c>
      <c r="K657">
        <v>0</v>
      </c>
      <c r="L657">
        <v>0</v>
      </c>
      <c r="M657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657" cm="1">
        <f t="array" ref="N657">MAX(IF((ProjectInfoTable[ProjectName]=ContinuousStatsTable[[#This Row],[ProjectName]]),(ProjectInfoTable[ProjectName]=ContinuousStatsTable[[#This Row],[ProjectName]])*ProjectInfoTable[NumberOfReplications]))</f>
        <v>10</v>
      </c>
      <c r="O657" cm="1">
        <f t="array" ref="O657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57" cm="1">
        <f t="array" ref="P657">IFERROR(_xlfn.STDEV.S(IF((ContinuousStatsTable[GroupByKey]=ContinuousStatsTable[[#This Row],[GroupByKey]]),(ContinuousStatsTable[GroupByKey]=ContinuousStatsTable[[#This Row],[GroupByKey]])*ContinuousStatsTable[Average])),0)</f>
        <v>0</v>
      </c>
      <c r="Q657" cm="1">
        <f t="array" ref="Q657">MAX(IF((ProjectInfoTable[ProjectName]=ContinuousStatsTable[[#This Row],[ProjectName]]),(ProjectInfoTable[ProjectName]=ContinuousStatsTable[[#This Row],[ProjectName]])*ProjectInfoTable[ConfidenceInterval]))</f>
        <v>0.95</v>
      </c>
      <c r="R6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7" cm="1">
        <f t="array" ref="S657">MIN(IF((ContinuousStatsTable[GroupByKey]=ContinuousStatsTable[[#This Row],[GroupByKey]]),(ContinuousStatsTable[GroupByKey]=ContinuousStatsTable[[#This Row],[GroupByKey]])*ContinuousStatsTable[Average]))</f>
        <v>0.476190476190476</v>
      </c>
      <c r="T657" cm="1">
        <f t="array" ref="T657">MAX(IF((ContinuousStatsTable[GroupByKey]=ContinuousStatsTable[[#This Row],[GroupByKey]]),(ContinuousStatsTable[GroupByKey]=ContinuousStatsTable[[#This Row],[GroupByKey]])*ContinuousStatsTable[Average]))</f>
        <v>0.476190476190476</v>
      </c>
      <c r="U657">
        <f>IF((ContinuousStatsTable[[#This Row],[RepsRequested]]&gt;1),ContinuousStatsTable[[#This Row],[HalfWidth]],ContinuousStatsTable[[#This Row],[BatchMeansHalfWidth]])</f>
        <v>0</v>
      </c>
    </row>
    <row r="658" spans="1:21" x14ac:dyDescent="0.25">
      <c r="A658" t="s">
        <v>67</v>
      </c>
      <c r="B658" t="s">
        <v>243</v>
      </c>
      <c r="C658">
        <v>8</v>
      </c>
      <c r="D658" t="s">
        <v>138</v>
      </c>
      <c r="E658" t="s">
        <v>112</v>
      </c>
      <c r="F658" t="s">
        <v>113</v>
      </c>
      <c r="G658">
        <v>0.47641329732322302</v>
      </c>
      <c r="H658">
        <v>2E+20</v>
      </c>
      <c r="I658">
        <v>0</v>
      </c>
      <c r="J658">
        <v>1</v>
      </c>
      <c r="K658">
        <v>0</v>
      </c>
      <c r="L658">
        <v>0</v>
      </c>
      <c r="M658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658" cm="1">
        <f t="array" ref="N658">MAX(IF((ProjectInfoTable[ProjectName]=ContinuousStatsTable[[#This Row],[ProjectName]]),(ProjectInfoTable[ProjectName]=ContinuousStatsTable[[#This Row],[ProjectName]])*ProjectInfoTable[NumberOfReplications]))</f>
        <v>10</v>
      </c>
      <c r="O658" cm="1">
        <f t="array" ref="O658">IFERROR(AVERAGE(IF((ContinuousStatsTable[GroupByKey]=ContinuousStatsTable[[#This Row],[GroupByKey]]),(ContinuousStatsTable[GroupByKey]=ContinuousStatsTable[[#This Row],[GroupByKey]])*ContinuousStatsTable[Average])),0)</f>
        <v>0.47637632373438449</v>
      </c>
      <c r="P658" cm="1">
        <f t="array" ref="P658">IFERROR(_xlfn.STDEV.S(IF((ContinuousStatsTable[GroupByKey]=ContinuousStatsTable[[#This Row],[GroupByKey]]),(ContinuousStatsTable[GroupByKey]=ContinuousStatsTable[[#This Row],[GroupByKey]])*ContinuousStatsTable[Average])),0)</f>
        <v>2.6635978153163645E-5</v>
      </c>
      <c r="Q658" cm="1">
        <f t="array" ref="Q658">MAX(IF((ProjectInfoTable[ProjectName]=ContinuousStatsTable[[#This Row],[ProjectName]]),(ProjectInfoTable[ProjectName]=ContinuousStatsTable[[#This Row],[ProjectName]])*ProjectInfoTable[ConfidenceInterval]))</f>
        <v>0.95</v>
      </c>
      <c r="R6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1.9054230919149366E-5</v>
      </c>
      <c r="S658" cm="1">
        <f t="array" ref="S658">MIN(IF((ContinuousStatsTable[GroupByKey]=ContinuousStatsTable[[#This Row],[GroupByKey]]),(ContinuousStatsTable[GroupByKey]=ContinuousStatsTable[[#This Row],[GroupByKey]])*ContinuousStatsTable[Average]))</f>
        <v>0.47633465557050603</v>
      </c>
      <c r="T658" cm="1">
        <f t="array" ref="T658">MAX(IF((ContinuousStatsTable[GroupByKey]=ContinuousStatsTable[[#This Row],[GroupByKey]]),(ContinuousStatsTable[GroupByKey]=ContinuousStatsTable[[#This Row],[GroupByKey]])*ContinuousStatsTable[Average]))</f>
        <v>0.47641329732322302</v>
      </c>
      <c r="U658">
        <f>IF((ContinuousStatsTable[[#This Row],[RepsRequested]]&gt;1),ContinuousStatsTable[[#This Row],[HalfWidth]],ContinuousStatsTable[[#This Row],[BatchMeansHalfWidth]])</f>
        <v>1.9054230919149366E-5</v>
      </c>
    </row>
    <row r="659" spans="1:21" x14ac:dyDescent="0.25">
      <c r="A659" t="s">
        <v>67</v>
      </c>
      <c r="B659" t="s">
        <v>243</v>
      </c>
      <c r="C659">
        <v>8</v>
      </c>
      <c r="D659" t="s">
        <v>138</v>
      </c>
      <c r="E659" t="s">
        <v>114</v>
      </c>
      <c r="F659" t="s">
        <v>113</v>
      </c>
      <c r="G659">
        <v>0.47641329732322302</v>
      </c>
      <c r="H659">
        <v>2E+20</v>
      </c>
      <c r="I659">
        <v>0</v>
      </c>
      <c r="J659">
        <v>1</v>
      </c>
      <c r="K659">
        <v>0</v>
      </c>
      <c r="L659">
        <v>0</v>
      </c>
      <c r="M659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659" cm="1">
        <f t="array" ref="N659">MAX(IF((ProjectInfoTable[ProjectName]=ContinuousStatsTable[[#This Row],[ProjectName]]),(ProjectInfoTable[ProjectName]=ContinuousStatsTable[[#This Row],[ProjectName]])*ProjectInfoTable[NumberOfReplications]))</f>
        <v>10</v>
      </c>
      <c r="O659" cm="1">
        <f t="array" ref="O659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659" cm="1">
        <f t="array" ref="P659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659" cm="1">
        <f t="array" ref="Q659">MAX(IF((ProjectInfoTable[ProjectName]=ContinuousStatsTable[[#This Row],[ProjectName]]),(ProjectInfoTable[ProjectName]=ContinuousStatsTable[[#This Row],[ProjectName]])*ProjectInfoTable[ConfidenceInterval]))</f>
        <v>0.95</v>
      </c>
      <c r="R6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659" cm="1">
        <f t="array" ref="S659">MIN(IF((ContinuousStatsTable[GroupByKey]=ContinuousStatsTable[[#This Row],[GroupByKey]]),(ContinuousStatsTable[GroupByKey]=ContinuousStatsTable[[#This Row],[GroupByKey]])*ContinuousStatsTable[Average]))</f>
        <v>0.47633465557050603</v>
      </c>
      <c r="T659" cm="1">
        <f t="array" ref="T659">MAX(IF((ContinuousStatsTable[GroupByKey]=ContinuousStatsTable[[#This Row],[GroupByKey]]),(ContinuousStatsTable[GroupByKey]=ContinuousStatsTable[[#This Row],[GroupByKey]])*ContinuousStatsTable[Average]))</f>
        <v>0.47641329732322302</v>
      </c>
      <c r="U659">
        <f>IF((ContinuousStatsTable[[#This Row],[RepsRequested]]&gt;1),ContinuousStatsTable[[#This Row],[HalfWidth]],ContinuousStatsTable[[#This Row],[BatchMeansHalfWidth]])</f>
        <v>1.9054230919217752E-5</v>
      </c>
    </row>
    <row r="660" spans="1:21" x14ac:dyDescent="0.25">
      <c r="A660" t="s">
        <v>67</v>
      </c>
      <c r="B660" t="s">
        <v>243</v>
      </c>
      <c r="C660">
        <v>8</v>
      </c>
      <c r="D660" t="s">
        <v>138</v>
      </c>
      <c r="E660" t="s">
        <v>115</v>
      </c>
      <c r="F660" t="s">
        <v>113</v>
      </c>
      <c r="G660">
        <v>0.476190476190476</v>
      </c>
      <c r="H660">
        <v>2E+20</v>
      </c>
      <c r="I660">
        <v>0</v>
      </c>
      <c r="J660">
        <v>1</v>
      </c>
      <c r="K660">
        <v>0</v>
      </c>
      <c r="L660">
        <v>0</v>
      </c>
      <c r="M660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660" cm="1">
        <f t="array" ref="N660">MAX(IF((ProjectInfoTable[ProjectName]=ContinuousStatsTable[[#This Row],[ProjectName]]),(ProjectInfoTable[ProjectName]=ContinuousStatsTable[[#This Row],[ProjectName]])*ProjectInfoTable[NumberOfReplications]))</f>
        <v>10</v>
      </c>
      <c r="O660" cm="1">
        <f t="array" ref="O660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60" cm="1">
        <f t="array" ref="P660">IFERROR(_xlfn.STDEV.S(IF((ContinuousStatsTable[GroupByKey]=ContinuousStatsTable[[#This Row],[GroupByKey]]),(ContinuousStatsTable[GroupByKey]=ContinuousStatsTable[[#This Row],[GroupByKey]])*ContinuousStatsTable[Average])),0)</f>
        <v>0</v>
      </c>
      <c r="Q660" cm="1">
        <f t="array" ref="Q660">MAX(IF((ProjectInfoTable[ProjectName]=ContinuousStatsTable[[#This Row],[ProjectName]]),(ProjectInfoTable[ProjectName]=ContinuousStatsTable[[#This Row],[ProjectName]])*ProjectInfoTable[ConfidenceInterval]))</f>
        <v>0.95</v>
      </c>
      <c r="R6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0" cm="1">
        <f t="array" ref="S660">MIN(IF((ContinuousStatsTable[GroupByKey]=ContinuousStatsTable[[#This Row],[GroupByKey]]),(ContinuousStatsTable[GroupByKey]=ContinuousStatsTable[[#This Row],[GroupByKey]])*ContinuousStatsTable[Average]))</f>
        <v>0.476190476190476</v>
      </c>
      <c r="T660" cm="1">
        <f t="array" ref="T660">MAX(IF((ContinuousStatsTable[GroupByKey]=ContinuousStatsTable[[#This Row],[GroupByKey]]),(ContinuousStatsTable[GroupByKey]=ContinuousStatsTable[[#This Row],[GroupByKey]])*ContinuousStatsTable[Average]))</f>
        <v>0.476190476190476</v>
      </c>
      <c r="U660">
        <f>IF((ContinuousStatsTable[[#This Row],[RepsRequested]]&gt;1),ContinuousStatsTable[[#This Row],[HalfWidth]],ContinuousStatsTable[[#This Row],[BatchMeansHalfWidth]])</f>
        <v>0</v>
      </c>
    </row>
    <row r="661" spans="1:21" x14ac:dyDescent="0.25">
      <c r="A661" t="s">
        <v>67</v>
      </c>
      <c r="B661" t="s">
        <v>243</v>
      </c>
      <c r="C661">
        <v>8</v>
      </c>
      <c r="D661" t="s">
        <v>83</v>
      </c>
      <c r="E661" t="s">
        <v>116</v>
      </c>
      <c r="F661" t="s">
        <v>71</v>
      </c>
      <c r="G661">
        <v>1.80144253291803E-5</v>
      </c>
      <c r="H661">
        <v>2E+20</v>
      </c>
      <c r="I661">
        <v>0</v>
      </c>
      <c r="J661">
        <v>1</v>
      </c>
      <c r="K661">
        <v>0</v>
      </c>
      <c r="L661">
        <v>0</v>
      </c>
      <c r="M661" t="str">
        <f>ContinuousStatsTable[[#This Row],[ProjectName]]&amp;ContinuousStatsTable[[#This Row],[Name]]&amp;ContinuousStatsTable[[#This Row],[Type]]&amp;ContinuousStatsTable[[#This Row],[Source]]</f>
        <v>Unnamed ProjectMatch 1.Queue1Number WaitingQueue</v>
      </c>
      <c r="N661" cm="1">
        <f t="array" ref="N661">MAX(IF((ProjectInfoTable[ProjectName]=ContinuousStatsTable[[#This Row],[ProjectName]]),(ProjectInfoTable[ProjectName]=ContinuousStatsTable[[#This Row],[ProjectName]])*ProjectInfoTable[NumberOfReplications]))</f>
        <v>10</v>
      </c>
      <c r="O661" cm="1">
        <f t="array" ref="O661">IFERROR(AVERAGE(IF((ContinuousStatsTable[GroupByKey]=ContinuousStatsTable[[#This Row],[GroupByKey]]),(ContinuousStatsTable[GroupByKey]=ContinuousStatsTable[[#This Row],[GroupByKey]])*ContinuousStatsTable[Average])),0)</f>
        <v>2.9170315053456471E-5</v>
      </c>
      <c r="P661" cm="1">
        <f t="array" ref="P661">IFERROR(_xlfn.STDEV.S(IF((ContinuousStatsTable[GroupByKey]=ContinuousStatsTable[[#This Row],[GroupByKey]]),(ContinuousStatsTable[GroupByKey]=ContinuousStatsTable[[#This Row],[GroupByKey]])*ContinuousStatsTable[Average])),0)</f>
        <v>7.7933109083950271E-6</v>
      </c>
      <c r="Q661" cm="1">
        <f t="array" ref="Q661">MAX(IF((ProjectInfoTable[ProjectName]=ContinuousStatsTable[[#This Row],[ProjectName]]),(ProjectInfoTable[ProjectName]=ContinuousStatsTable[[#This Row],[ProjectName]])*ProjectInfoTable[ConfidenceInterval]))</f>
        <v>0.95</v>
      </c>
      <c r="R6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5.5749987786968959E-6</v>
      </c>
      <c r="S661" cm="1">
        <f t="array" ref="S661">MIN(IF((ContinuousStatsTable[GroupByKey]=ContinuousStatsTable[[#This Row],[GroupByKey]]),(ContinuousStatsTable[GroupByKey]=ContinuousStatsTable[[#This Row],[GroupByKey]])*ContinuousStatsTable[Average]))</f>
        <v>1.80144253291803E-5</v>
      </c>
      <c r="T661" cm="1">
        <f t="array" ref="T661">MAX(IF((ContinuousStatsTable[GroupByKey]=ContinuousStatsTable[[#This Row],[GroupByKey]]),(ContinuousStatsTable[GroupByKey]=ContinuousStatsTable[[#This Row],[GroupByKey]])*ContinuousStatsTable[Average]))</f>
        <v>4.21406992387485E-5</v>
      </c>
      <c r="U661">
        <f>IF((ContinuousStatsTable[[#This Row],[RepsRequested]]&gt;1),ContinuousStatsTable[[#This Row],[HalfWidth]],ContinuousStatsTable[[#This Row],[BatchMeansHalfWidth]])</f>
        <v>5.5749987786968959E-6</v>
      </c>
    </row>
    <row r="662" spans="1:21" x14ac:dyDescent="0.25">
      <c r="A662" t="s">
        <v>67</v>
      </c>
      <c r="B662" t="s">
        <v>243</v>
      </c>
      <c r="C662">
        <v>8</v>
      </c>
      <c r="D662" t="s">
        <v>84</v>
      </c>
      <c r="E662" t="s">
        <v>116</v>
      </c>
      <c r="F662" t="s">
        <v>71</v>
      </c>
      <c r="G662">
        <v>866.85911831908595</v>
      </c>
      <c r="H662">
        <v>3E+20</v>
      </c>
      <c r="I662">
        <v>0</v>
      </c>
      <c r="J662">
        <v>1677</v>
      </c>
      <c r="K662">
        <v>1675</v>
      </c>
      <c r="L662">
        <v>0</v>
      </c>
      <c r="M662" t="str">
        <f>ContinuousStatsTable[[#This Row],[ProjectName]]&amp;ContinuousStatsTable[[#This Row],[Name]]&amp;ContinuousStatsTable[[#This Row],[Type]]&amp;ContinuousStatsTable[[#This Row],[Source]]</f>
        <v>Unnamed ProjectMatch 1.Queue2Number WaitingQueue</v>
      </c>
      <c r="N662" cm="1">
        <f t="array" ref="N662">MAX(IF((ProjectInfoTable[ProjectName]=ContinuousStatsTable[[#This Row],[ProjectName]]),(ProjectInfoTable[ProjectName]=ContinuousStatsTable[[#This Row],[ProjectName]])*ProjectInfoTable[NumberOfReplications]))</f>
        <v>10</v>
      </c>
      <c r="O662" cm="1">
        <f t="array" ref="O662">IFERROR(AVERAGE(IF((ContinuousStatsTable[GroupByKey]=ContinuousStatsTable[[#This Row],[GroupByKey]]),(ContinuousStatsTable[GroupByKey]=ContinuousStatsTable[[#This Row],[GroupByKey]])*ContinuousStatsTable[Average])),0)</f>
        <v>867.85098767897125</v>
      </c>
      <c r="P662" cm="1">
        <f t="array" ref="P662">IFERROR(_xlfn.STDEV.S(IF((ContinuousStatsTable[GroupByKey]=ContinuousStatsTable[[#This Row],[GroupByKey]]),(ContinuousStatsTable[GroupByKey]=ContinuousStatsTable[[#This Row],[GroupByKey]])*ContinuousStatsTable[Average])),0)</f>
        <v>5.9823523640247513</v>
      </c>
      <c r="Q662" cm="1">
        <f t="array" ref="Q662">MAX(IF((ProjectInfoTable[ProjectName]=ContinuousStatsTable[[#This Row],[ProjectName]]),(ProjectInfoTable[ProjectName]=ContinuousStatsTable[[#This Row],[ProjectName]])*ProjectInfoTable[ConfidenceInterval]))</f>
        <v>0.95</v>
      </c>
      <c r="R6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4.2795170775550373</v>
      </c>
      <c r="S662" cm="1">
        <f t="array" ref="S662">MIN(IF((ContinuousStatsTable[GroupByKey]=ContinuousStatsTable[[#This Row],[GroupByKey]]),(ContinuousStatsTable[GroupByKey]=ContinuousStatsTable[[#This Row],[GroupByKey]])*ContinuousStatsTable[Average]))</f>
        <v>858.49288388840398</v>
      </c>
      <c r="T662" cm="1">
        <f t="array" ref="T662">MAX(IF((ContinuousStatsTable[GroupByKey]=ContinuousStatsTable[[#This Row],[GroupByKey]]),(ContinuousStatsTable[GroupByKey]=ContinuousStatsTable[[#This Row],[GroupByKey]])*ContinuousStatsTable[Average]))</f>
        <v>875.80608811200398</v>
      </c>
      <c r="U662">
        <f>IF((ContinuousStatsTable[[#This Row],[RepsRequested]]&gt;1),ContinuousStatsTable[[#This Row],[HalfWidth]],ContinuousStatsTable[[#This Row],[BatchMeansHalfWidth]])</f>
        <v>4.2795170775550373</v>
      </c>
    </row>
    <row r="663" spans="1:21" x14ac:dyDescent="0.25">
      <c r="A663" t="s">
        <v>67</v>
      </c>
      <c r="B663" t="s">
        <v>243</v>
      </c>
      <c r="C663">
        <v>8</v>
      </c>
      <c r="D663" t="s">
        <v>85</v>
      </c>
      <c r="E663" t="s">
        <v>116</v>
      </c>
      <c r="F663" t="s">
        <v>71</v>
      </c>
      <c r="G663">
        <v>1365.6450909612499</v>
      </c>
      <c r="H663">
        <v>3E+20</v>
      </c>
      <c r="I663">
        <v>0</v>
      </c>
      <c r="J663">
        <v>2640</v>
      </c>
      <c r="K663">
        <v>2640</v>
      </c>
      <c r="L663">
        <v>0</v>
      </c>
      <c r="M663" t="str">
        <f>ContinuousStatsTable[[#This Row],[ProjectName]]&amp;ContinuousStatsTable[[#This Row],[Name]]&amp;ContinuousStatsTable[[#This Row],[Type]]&amp;ContinuousStatsTable[[#This Row],[Source]]</f>
        <v>Unnamed ProjectMatch 1.Queue3Number WaitingQueue</v>
      </c>
      <c r="N663" cm="1">
        <f t="array" ref="N663">MAX(IF((ProjectInfoTable[ProjectName]=ContinuousStatsTable[[#This Row],[ProjectName]]),(ProjectInfoTable[ProjectName]=ContinuousStatsTable[[#This Row],[ProjectName]])*ProjectInfoTable[NumberOfReplications]))</f>
        <v>10</v>
      </c>
      <c r="O663" cm="1">
        <f t="array" ref="O663">IFERROR(AVERAGE(IF((ContinuousStatsTable[GroupByKey]=ContinuousStatsTable[[#This Row],[GroupByKey]]),(ContinuousStatsTable[GroupByKey]=ContinuousStatsTable[[#This Row],[GroupByKey]])*ContinuousStatsTable[Average])),0)</f>
        <v>1368.6640709815952</v>
      </c>
      <c r="P663" cm="1">
        <f t="array" ref="P663">IFERROR(_xlfn.STDEV.S(IF((ContinuousStatsTable[GroupByKey]=ContinuousStatsTable[[#This Row],[GroupByKey]]),(ContinuousStatsTable[GroupByKey]=ContinuousStatsTable[[#This Row],[GroupByKey]])*ContinuousStatsTable[Average])),0)</f>
        <v>5.3961917051273351</v>
      </c>
      <c r="Q663" cm="1">
        <f t="array" ref="Q663">MAX(IF((ProjectInfoTable[ProjectName]=ContinuousStatsTable[[#This Row],[ProjectName]]),(ProjectInfoTable[ProjectName]=ContinuousStatsTable[[#This Row],[ProjectName]])*ProjectInfoTable[ConfidenceInterval]))</f>
        <v>0.95</v>
      </c>
      <c r="R6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3.860203002204456</v>
      </c>
      <c r="S663" cm="1">
        <f t="array" ref="S663">MIN(IF((ContinuousStatsTable[GroupByKey]=ContinuousStatsTable[[#This Row],[GroupByKey]]),(ContinuousStatsTable[GroupByKey]=ContinuousStatsTable[[#This Row],[GroupByKey]])*ContinuousStatsTable[Average]))</f>
        <v>1357.5761788714599</v>
      </c>
      <c r="T663" cm="1">
        <f t="array" ref="T663">MAX(IF((ContinuousStatsTable[GroupByKey]=ContinuousStatsTable[[#This Row],[GroupByKey]]),(ContinuousStatsTable[GroupByKey]=ContinuousStatsTable[[#This Row],[GroupByKey]])*ContinuousStatsTable[Average]))</f>
        <v>1375.17190829069</v>
      </c>
      <c r="U663">
        <f>IF((ContinuousStatsTable[[#This Row],[RepsRequested]]&gt;1),ContinuousStatsTable[[#This Row],[HalfWidth]],ContinuousStatsTable[[#This Row],[BatchMeansHalfWidth]])</f>
        <v>3.860203002204456</v>
      </c>
    </row>
    <row r="664" spans="1:21" x14ac:dyDescent="0.25">
      <c r="A664" t="s">
        <v>67</v>
      </c>
      <c r="B664" t="s">
        <v>243</v>
      </c>
      <c r="C664">
        <v>8</v>
      </c>
      <c r="D664" t="s">
        <v>139</v>
      </c>
      <c r="E664" t="s">
        <v>112</v>
      </c>
      <c r="F664" t="s">
        <v>113</v>
      </c>
      <c r="G664">
        <v>0</v>
      </c>
      <c r="H664">
        <v>2E+20</v>
      </c>
      <c r="I664">
        <v>0</v>
      </c>
      <c r="J664">
        <v>0</v>
      </c>
      <c r="K664">
        <v>0</v>
      </c>
      <c r="L664">
        <v>0</v>
      </c>
      <c r="M664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664" cm="1">
        <f t="array" ref="N664">MAX(IF((ProjectInfoTable[ProjectName]=ContinuousStatsTable[[#This Row],[ProjectName]]),(ProjectInfoTable[ProjectName]=ContinuousStatsTable[[#This Row],[ProjectName]])*ProjectInfoTable[NumberOfReplications]))</f>
        <v>10</v>
      </c>
      <c r="O664" cm="1">
        <f t="array" ref="O664">IFERROR(AVERAGE(IF((ContinuousStatsTable[GroupByKey]=ContinuousStatsTable[[#This Row],[GroupByKey]]),(ContinuousStatsTable[GroupByKey]=ContinuousStatsTable[[#This Row],[GroupByKey]])*ContinuousStatsTable[Average])),0)</f>
        <v>0</v>
      </c>
      <c r="P664" cm="1">
        <f t="array" ref="P664">IFERROR(_xlfn.STDEV.S(IF((ContinuousStatsTable[GroupByKey]=ContinuousStatsTable[[#This Row],[GroupByKey]]),(ContinuousStatsTable[GroupByKey]=ContinuousStatsTable[[#This Row],[GroupByKey]])*ContinuousStatsTable[Average])),0)</f>
        <v>0</v>
      </c>
      <c r="Q664" cm="1">
        <f t="array" ref="Q664">MAX(IF((ProjectInfoTable[ProjectName]=ContinuousStatsTable[[#This Row],[ProjectName]]),(ProjectInfoTable[ProjectName]=ContinuousStatsTable[[#This Row],[ProjectName]])*ProjectInfoTable[ConfidenceInterval]))</f>
        <v>0.95</v>
      </c>
      <c r="R6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4" cm="1">
        <f t="array" ref="S664">MIN(IF((ContinuousStatsTable[GroupByKey]=ContinuousStatsTable[[#This Row],[GroupByKey]]),(ContinuousStatsTable[GroupByKey]=ContinuousStatsTable[[#This Row],[GroupByKey]])*ContinuousStatsTable[Average]))</f>
        <v>0</v>
      </c>
      <c r="T664" cm="1">
        <f t="array" ref="T664">MAX(IF((ContinuousStatsTable[GroupByKey]=ContinuousStatsTable[[#This Row],[GroupByKey]]),(ContinuousStatsTable[GroupByKey]=ContinuousStatsTable[[#This Row],[GroupByKey]])*ContinuousStatsTable[Average]))</f>
        <v>0</v>
      </c>
      <c r="U664">
        <f>IF((ContinuousStatsTable[[#This Row],[RepsRequested]]&gt;1),ContinuousStatsTable[[#This Row],[HalfWidth]],ContinuousStatsTable[[#This Row],[BatchMeansHalfWidth]])</f>
        <v>0</v>
      </c>
    </row>
    <row r="665" spans="1:21" x14ac:dyDescent="0.25">
      <c r="A665" t="s">
        <v>67</v>
      </c>
      <c r="B665" t="s">
        <v>243</v>
      </c>
      <c r="C665">
        <v>8</v>
      </c>
      <c r="D665" t="s">
        <v>139</v>
      </c>
      <c r="E665" t="s">
        <v>114</v>
      </c>
      <c r="F665" t="s">
        <v>113</v>
      </c>
      <c r="G665">
        <v>0</v>
      </c>
      <c r="H665">
        <v>2E+20</v>
      </c>
      <c r="I665">
        <v>0</v>
      </c>
      <c r="J665">
        <v>0</v>
      </c>
      <c r="K665">
        <v>0</v>
      </c>
      <c r="L665">
        <v>0</v>
      </c>
      <c r="M665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665" cm="1">
        <f t="array" ref="N665">MAX(IF((ProjectInfoTable[ProjectName]=ContinuousStatsTable[[#This Row],[ProjectName]]),(ProjectInfoTable[ProjectName]=ContinuousStatsTable[[#This Row],[ProjectName]])*ProjectInfoTable[NumberOfReplications]))</f>
        <v>10</v>
      </c>
      <c r="O665" cm="1">
        <f t="array" ref="O665">IFERROR(AVERAGE(IF((ContinuousStatsTable[GroupByKey]=ContinuousStatsTable[[#This Row],[GroupByKey]]),(ContinuousStatsTable[GroupByKey]=ContinuousStatsTable[[#This Row],[GroupByKey]])*ContinuousStatsTable[Average])),0)</f>
        <v>0</v>
      </c>
      <c r="P665" cm="1">
        <f t="array" ref="P665">IFERROR(_xlfn.STDEV.S(IF((ContinuousStatsTable[GroupByKey]=ContinuousStatsTable[[#This Row],[GroupByKey]]),(ContinuousStatsTable[GroupByKey]=ContinuousStatsTable[[#This Row],[GroupByKey]])*ContinuousStatsTable[Average])),0)</f>
        <v>0</v>
      </c>
      <c r="Q665" cm="1">
        <f t="array" ref="Q665">MAX(IF((ProjectInfoTable[ProjectName]=ContinuousStatsTable[[#This Row],[ProjectName]]),(ProjectInfoTable[ProjectName]=ContinuousStatsTable[[#This Row],[ProjectName]])*ProjectInfoTable[ConfidenceInterval]))</f>
        <v>0.95</v>
      </c>
      <c r="R6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5" cm="1">
        <f t="array" ref="S665">MIN(IF((ContinuousStatsTable[GroupByKey]=ContinuousStatsTable[[#This Row],[GroupByKey]]),(ContinuousStatsTable[GroupByKey]=ContinuousStatsTable[[#This Row],[GroupByKey]])*ContinuousStatsTable[Average]))</f>
        <v>0</v>
      </c>
      <c r="T665" cm="1">
        <f t="array" ref="T665">MAX(IF((ContinuousStatsTable[GroupByKey]=ContinuousStatsTable[[#This Row],[GroupByKey]]),(ContinuousStatsTable[GroupByKey]=ContinuousStatsTable[[#This Row],[GroupByKey]])*ContinuousStatsTable[Average]))</f>
        <v>0</v>
      </c>
      <c r="U665">
        <f>IF((ContinuousStatsTable[[#This Row],[RepsRequested]]&gt;1),ContinuousStatsTable[[#This Row],[HalfWidth]],ContinuousStatsTable[[#This Row],[BatchMeansHalfWidth]])</f>
        <v>0</v>
      </c>
    </row>
    <row r="666" spans="1:21" x14ac:dyDescent="0.25">
      <c r="A666" t="s">
        <v>67</v>
      </c>
      <c r="B666" t="s">
        <v>243</v>
      </c>
      <c r="C666">
        <v>8</v>
      </c>
      <c r="D666" t="s">
        <v>139</v>
      </c>
      <c r="E666" t="s">
        <v>115</v>
      </c>
      <c r="F666" t="s">
        <v>113</v>
      </c>
      <c r="G666">
        <v>0.26785714285714302</v>
      </c>
      <c r="H666">
        <v>2E+20</v>
      </c>
      <c r="I666">
        <v>0</v>
      </c>
      <c r="J666">
        <v>1</v>
      </c>
      <c r="K666">
        <v>1</v>
      </c>
      <c r="L666">
        <v>0</v>
      </c>
      <c r="M666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666" cm="1">
        <f t="array" ref="N666">MAX(IF((ProjectInfoTable[ProjectName]=ContinuousStatsTable[[#This Row],[ProjectName]]),(ProjectInfoTable[ProjectName]=ContinuousStatsTable[[#This Row],[ProjectName]])*ProjectInfoTable[NumberOfReplications]))</f>
        <v>10</v>
      </c>
      <c r="O666" cm="1">
        <f t="array" ref="O666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666" cm="1">
        <f t="array" ref="P666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666" cm="1">
        <f t="array" ref="Q666">MAX(IF((ProjectInfoTable[ProjectName]=ContinuousStatsTable[[#This Row],[ProjectName]]),(ProjectInfoTable[ProjectName]=ContinuousStatsTable[[#This Row],[ProjectName]])*ProjectInfoTable[ConfidenceInterval]))</f>
        <v>0.95</v>
      </c>
      <c r="R6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666" cm="1">
        <f t="array" ref="S666">MIN(IF((ContinuousStatsTable[GroupByKey]=ContinuousStatsTable[[#This Row],[GroupByKey]]),(ContinuousStatsTable[GroupByKey]=ContinuousStatsTable[[#This Row],[GroupByKey]])*ContinuousStatsTable[Average]))</f>
        <v>0.26785714285714302</v>
      </c>
      <c r="T666" cm="1">
        <f t="array" ref="T666">MAX(IF((ContinuousStatsTable[GroupByKey]=ContinuousStatsTable[[#This Row],[GroupByKey]]),(ContinuousStatsTable[GroupByKey]=ContinuousStatsTable[[#This Row],[GroupByKey]])*ContinuousStatsTable[Average]))</f>
        <v>0.26785714285714302</v>
      </c>
      <c r="U666">
        <f>IF((ContinuousStatsTable[[#This Row],[RepsRequested]]&gt;1),ContinuousStatsTable[[#This Row],[HalfWidth]],ContinuousStatsTable[[#This Row],[BatchMeansHalfWidth]])</f>
        <v>4.1858316124321422E-17</v>
      </c>
    </row>
    <row r="667" spans="1:21" x14ac:dyDescent="0.25">
      <c r="A667" t="s">
        <v>67</v>
      </c>
      <c r="B667" t="s">
        <v>243</v>
      </c>
      <c r="C667">
        <v>8</v>
      </c>
      <c r="D667" t="s">
        <v>140</v>
      </c>
      <c r="E667" t="s">
        <v>112</v>
      </c>
      <c r="F667" t="s">
        <v>113</v>
      </c>
      <c r="G667">
        <v>8.6479875556697006E-2</v>
      </c>
      <c r="H667">
        <v>2E+20</v>
      </c>
      <c r="I667">
        <v>0</v>
      </c>
      <c r="J667">
        <v>1</v>
      </c>
      <c r="K667">
        <v>0</v>
      </c>
      <c r="L667">
        <v>0</v>
      </c>
      <c r="M667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667" cm="1">
        <f t="array" ref="N667">MAX(IF((ProjectInfoTable[ProjectName]=ContinuousStatsTable[[#This Row],[ProjectName]]),(ProjectInfoTable[ProjectName]=ContinuousStatsTable[[#This Row],[ProjectName]])*ProjectInfoTable[NumberOfReplications]))</f>
        <v>10</v>
      </c>
      <c r="O667" cm="1">
        <f t="array" ref="O667">IFERROR(AVERAGE(IF((ContinuousStatsTable[GroupByKey]=ContinuousStatsTable[[#This Row],[GroupByKey]]),(ContinuousStatsTable[GroupByKey]=ContinuousStatsTable[[#This Row],[GroupByKey]])*ContinuousStatsTable[Average])),0)</f>
        <v>8.7684406282387828E-2</v>
      </c>
      <c r="P667" cm="1">
        <f t="array" ref="P667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667" cm="1">
        <f t="array" ref="Q667">MAX(IF((ProjectInfoTable[ProjectName]=ContinuousStatsTable[[#This Row],[ProjectName]]),(ProjectInfoTable[ProjectName]=ContinuousStatsTable[[#This Row],[ProjectName]])*ProjectInfoTable[ConfidenceInterval]))</f>
        <v>0.95</v>
      </c>
      <c r="R6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667" cm="1">
        <f t="array" ref="S667">MIN(IF((ContinuousStatsTable[GroupByKey]=ContinuousStatsTable[[#This Row],[GroupByKey]]),(ContinuousStatsTable[GroupByKey]=ContinuousStatsTable[[#This Row],[GroupByKey]])*ContinuousStatsTable[Average]))</f>
        <v>7.2143522330073706E-2</v>
      </c>
      <c r="T667" cm="1">
        <f t="array" ref="T667">MAX(IF((ContinuousStatsTable[GroupByKey]=ContinuousStatsTable[[#This Row],[GroupByKey]]),(ContinuousStatsTable[GroupByKey]=ContinuousStatsTable[[#This Row],[GroupByKey]])*ContinuousStatsTable[Average]))</f>
        <v>0.105326430117076</v>
      </c>
      <c r="U667">
        <f>IF((ContinuousStatsTable[[#This Row],[RepsRequested]]&gt;1),ContinuousStatsTable[[#This Row],[HalfWidth]],ContinuousStatsTable[[#This Row],[BatchMeansHalfWidth]])</f>
        <v>6.7395853500387742E-3</v>
      </c>
    </row>
    <row r="668" spans="1:21" x14ac:dyDescent="0.25">
      <c r="A668" t="s">
        <v>67</v>
      </c>
      <c r="B668" t="s">
        <v>243</v>
      </c>
      <c r="C668">
        <v>8</v>
      </c>
      <c r="D668" t="s">
        <v>140</v>
      </c>
      <c r="E668" t="s">
        <v>114</v>
      </c>
      <c r="F668" t="s">
        <v>113</v>
      </c>
      <c r="G668">
        <v>8.6479875556697006E-2</v>
      </c>
      <c r="H668">
        <v>2E+20</v>
      </c>
      <c r="I668">
        <v>0</v>
      </c>
      <c r="J668">
        <v>1</v>
      </c>
      <c r="K668">
        <v>0</v>
      </c>
      <c r="L668">
        <v>0</v>
      </c>
      <c r="M668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668" cm="1">
        <f t="array" ref="N668">MAX(IF((ProjectInfoTable[ProjectName]=ContinuousStatsTable[[#This Row],[ProjectName]]),(ProjectInfoTable[ProjectName]=ContinuousStatsTable[[#This Row],[ProjectName]])*ProjectInfoTable[NumberOfReplications]))</f>
        <v>10</v>
      </c>
      <c r="O668" cm="1">
        <f t="array" ref="O668">IFERROR(AVERAGE(IF((ContinuousStatsTable[GroupByKey]=ContinuousStatsTable[[#This Row],[GroupByKey]]),(ContinuousStatsTable[GroupByKey]=ContinuousStatsTable[[#This Row],[GroupByKey]])*ContinuousStatsTable[Average])),0)</f>
        <v>8.7684406282387842E-2</v>
      </c>
      <c r="P668" cm="1">
        <f t="array" ref="P668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668" cm="1">
        <f t="array" ref="Q668">MAX(IF((ProjectInfoTable[ProjectName]=ContinuousStatsTable[[#This Row],[ProjectName]]),(ProjectInfoTable[ProjectName]=ContinuousStatsTable[[#This Row],[ProjectName]])*ProjectInfoTable[ConfidenceInterval]))</f>
        <v>0.95</v>
      </c>
      <c r="R6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668" cm="1">
        <f t="array" ref="S668">MIN(IF((ContinuousStatsTable[GroupByKey]=ContinuousStatsTable[[#This Row],[GroupByKey]]),(ContinuousStatsTable[GroupByKey]=ContinuousStatsTable[[#This Row],[GroupByKey]])*ContinuousStatsTable[Average]))</f>
        <v>7.2143522330073706E-2</v>
      </c>
      <c r="T668" cm="1">
        <f t="array" ref="T668">MAX(IF((ContinuousStatsTable[GroupByKey]=ContinuousStatsTable[[#This Row],[GroupByKey]]),(ContinuousStatsTable[GroupByKey]=ContinuousStatsTable[[#This Row],[GroupByKey]])*ContinuousStatsTable[Average]))</f>
        <v>0.105326430117076</v>
      </c>
      <c r="U668">
        <f>IF((ContinuousStatsTable[[#This Row],[RepsRequested]]&gt;1),ContinuousStatsTable[[#This Row],[HalfWidth]],ContinuousStatsTable[[#This Row],[BatchMeansHalfWidth]])</f>
        <v>6.7395853500387742E-3</v>
      </c>
    </row>
    <row r="669" spans="1:21" x14ac:dyDescent="0.25">
      <c r="A669" t="s">
        <v>67</v>
      </c>
      <c r="B669" t="s">
        <v>243</v>
      </c>
      <c r="C669">
        <v>8</v>
      </c>
      <c r="D669" t="s">
        <v>140</v>
      </c>
      <c r="E669" t="s">
        <v>115</v>
      </c>
      <c r="F669" t="s">
        <v>113</v>
      </c>
      <c r="G669">
        <v>0.26785714285714302</v>
      </c>
      <c r="H669">
        <v>2E+20</v>
      </c>
      <c r="I669">
        <v>0</v>
      </c>
      <c r="J669">
        <v>1</v>
      </c>
      <c r="K669">
        <v>0</v>
      </c>
      <c r="L669">
        <v>0</v>
      </c>
      <c r="M669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669" cm="1">
        <f t="array" ref="N669">MAX(IF((ProjectInfoTable[ProjectName]=ContinuousStatsTable[[#This Row],[ProjectName]]),(ProjectInfoTable[ProjectName]=ContinuousStatsTable[[#This Row],[ProjectName]])*ProjectInfoTable[NumberOfReplications]))</f>
        <v>10</v>
      </c>
      <c r="O669" cm="1">
        <f t="array" ref="O669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669" cm="1">
        <f t="array" ref="P669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669" cm="1">
        <f t="array" ref="Q669">MAX(IF((ProjectInfoTable[ProjectName]=ContinuousStatsTable[[#This Row],[ProjectName]]),(ProjectInfoTable[ProjectName]=ContinuousStatsTable[[#This Row],[ProjectName]])*ProjectInfoTable[ConfidenceInterval]))</f>
        <v>0.95</v>
      </c>
      <c r="R6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669" cm="1">
        <f t="array" ref="S669">MIN(IF((ContinuousStatsTable[GroupByKey]=ContinuousStatsTable[[#This Row],[GroupByKey]]),(ContinuousStatsTable[GroupByKey]=ContinuousStatsTable[[#This Row],[GroupByKey]])*ContinuousStatsTable[Average]))</f>
        <v>0.26785714285714302</v>
      </c>
      <c r="T669" cm="1">
        <f t="array" ref="T669">MAX(IF((ContinuousStatsTable[GroupByKey]=ContinuousStatsTable[[#This Row],[GroupByKey]]),(ContinuousStatsTable[GroupByKey]=ContinuousStatsTable[[#This Row],[GroupByKey]])*ContinuousStatsTable[Average]))</f>
        <v>0.26785714285714302</v>
      </c>
      <c r="U669">
        <f>IF((ContinuousStatsTable[[#This Row],[RepsRequested]]&gt;1),ContinuousStatsTable[[#This Row],[HalfWidth]],ContinuousStatsTable[[#This Row],[BatchMeansHalfWidth]])</f>
        <v>4.1858316124321422E-17</v>
      </c>
    </row>
    <row r="670" spans="1:21" x14ac:dyDescent="0.25">
      <c r="A670" t="s">
        <v>67</v>
      </c>
      <c r="B670" t="s">
        <v>243</v>
      </c>
      <c r="C670">
        <v>8</v>
      </c>
      <c r="D670" t="s">
        <v>99</v>
      </c>
      <c r="E670" t="s">
        <v>116</v>
      </c>
      <c r="F670" t="s">
        <v>71</v>
      </c>
      <c r="G670">
        <v>85.370407406770099</v>
      </c>
      <c r="H670">
        <v>2E+20</v>
      </c>
      <c r="I670">
        <v>0</v>
      </c>
      <c r="J670">
        <v>168</v>
      </c>
      <c r="K670">
        <v>168</v>
      </c>
      <c r="L670">
        <v>0</v>
      </c>
      <c r="M670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670" cm="1">
        <f t="array" ref="N670">MAX(IF((ProjectInfoTable[ProjectName]=ContinuousStatsTable[[#This Row],[ProjectName]]),(ProjectInfoTable[ProjectName]=ContinuousStatsTable[[#This Row],[ProjectName]])*ProjectInfoTable[NumberOfReplications]))</f>
        <v>10</v>
      </c>
      <c r="O670" cm="1">
        <f t="array" ref="O670">IFERROR(AVERAGE(IF((ContinuousStatsTable[GroupByKey]=ContinuousStatsTable[[#This Row],[GroupByKey]]),(ContinuousStatsTable[GroupByKey]=ContinuousStatsTable[[#This Row],[GroupByKey]])*ContinuousStatsTable[Average])),0)</f>
        <v>83.474789654582125</v>
      </c>
      <c r="P670" cm="1">
        <f t="array" ref="P670">IFERROR(_xlfn.STDEV.S(IF((ContinuousStatsTable[GroupByKey]=ContinuousStatsTable[[#This Row],[GroupByKey]]),(ContinuousStatsTable[GroupByKey]=ContinuousStatsTable[[#This Row],[GroupByKey]])*ContinuousStatsTable[Average])),0)</f>
        <v>6.0930686050573728</v>
      </c>
      <c r="Q670" cm="1">
        <f t="array" ref="Q670">MAX(IF((ProjectInfoTable[ProjectName]=ContinuousStatsTable[[#This Row],[ProjectName]]),(ProjectInfoTable[ProjectName]=ContinuousStatsTable[[#This Row],[ProjectName]])*ProjectInfoTable[ConfidenceInterval]))</f>
        <v>0.95</v>
      </c>
      <c r="R6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4.358718705180836</v>
      </c>
      <c r="S670" cm="1">
        <f t="array" ref="S670">MIN(IF((ContinuousStatsTable[GroupByKey]=ContinuousStatsTable[[#This Row],[GroupByKey]]),(ContinuousStatsTable[GroupByKey]=ContinuousStatsTable[[#This Row],[GroupByKey]])*ContinuousStatsTable[Average]))</f>
        <v>72.152998246910798</v>
      </c>
      <c r="T670" cm="1">
        <f t="array" ref="T670">MAX(IF((ContinuousStatsTable[GroupByKey]=ContinuousStatsTable[[#This Row],[GroupByKey]]),(ContinuousStatsTable[GroupByKey]=ContinuousStatsTable[[#This Row],[GroupByKey]])*ContinuousStatsTable[Average]))</f>
        <v>91.653675793565498</v>
      </c>
      <c r="U670">
        <f>IF((ContinuousStatsTable[[#This Row],[RepsRequested]]&gt;1),ContinuousStatsTable[[#This Row],[HalfWidth]],ContinuousStatsTable[[#This Row],[BatchMeansHalfWidth]])</f>
        <v>4.358718705180836</v>
      </c>
    </row>
    <row r="671" spans="1:21" x14ac:dyDescent="0.25">
      <c r="A671" t="s">
        <v>67</v>
      </c>
      <c r="B671" t="s">
        <v>243</v>
      </c>
      <c r="C671">
        <v>8</v>
      </c>
      <c r="D671" t="s">
        <v>100</v>
      </c>
      <c r="E671" t="s">
        <v>116</v>
      </c>
      <c r="F671" t="s">
        <v>71</v>
      </c>
      <c r="G671">
        <v>0.94384657394152105</v>
      </c>
      <c r="H671">
        <v>2E+20</v>
      </c>
      <c r="I671">
        <v>0</v>
      </c>
      <c r="J671">
        <v>3</v>
      </c>
      <c r="K671">
        <v>2</v>
      </c>
      <c r="L671">
        <v>0</v>
      </c>
      <c r="M671" t="str">
        <f>ContinuousStatsTable[[#This Row],[ProjectName]]&amp;ContinuousStatsTable[[#This Row],[Name]]&amp;ContinuousStatsTable[[#This Row],[Type]]&amp;ContinuousStatsTable[[#This Row],[Source]]</f>
        <v>Unnamed ProjectSeize 10.QueueNumber WaitingQueue</v>
      </c>
      <c r="N671" cm="1">
        <f t="array" ref="N671">MAX(IF((ProjectInfoTable[ProjectName]=ContinuousStatsTable[[#This Row],[ProjectName]]),(ProjectInfoTable[ProjectName]=ContinuousStatsTable[[#This Row],[ProjectName]])*ProjectInfoTable[NumberOfReplications]))</f>
        <v>10</v>
      </c>
      <c r="O671" cm="1">
        <f t="array" ref="O671">IFERROR(AVERAGE(IF((ContinuousStatsTable[GroupByKey]=ContinuousStatsTable[[#This Row],[GroupByKey]]),(ContinuousStatsTable[GroupByKey]=ContinuousStatsTable[[#This Row],[GroupByKey]])*ContinuousStatsTable[Average])),0)</f>
        <v>0.77451739131190445</v>
      </c>
      <c r="P671" cm="1">
        <f t="array" ref="P671">IFERROR(_xlfn.STDEV.S(IF((ContinuousStatsTable[GroupByKey]=ContinuousStatsTable[[#This Row],[GroupByKey]]),(ContinuousStatsTable[GroupByKey]=ContinuousStatsTable[[#This Row],[GroupByKey]])*ContinuousStatsTable[Average])),0)</f>
        <v>0.14034110421466847</v>
      </c>
      <c r="Q671" cm="1">
        <f t="array" ref="Q671">MAX(IF((ProjectInfoTable[ProjectName]=ContinuousStatsTable[[#This Row],[ProjectName]]),(ProjectInfoTable[ProjectName]=ContinuousStatsTable[[#This Row],[ProjectName]])*ProjectInfoTable[ConfidenceInterval]))</f>
        <v>0.95</v>
      </c>
      <c r="R6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0.10039397809151185</v>
      </c>
      <c r="S671" cm="1">
        <f t="array" ref="S671">MIN(IF((ContinuousStatsTable[GroupByKey]=ContinuousStatsTable[[#This Row],[GroupByKey]]),(ContinuousStatsTable[GroupByKey]=ContinuousStatsTable[[#This Row],[GroupByKey]])*ContinuousStatsTable[Average]))</f>
        <v>0.57599630674201496</v>
      </c>
      <c r="T671" cm="1">
        <f t="array" ref="T671">MAX(IF((ContinuousStatsTable[GroupByKey]=ContinuousStatsTable[[#This Row],[GroupByKey]]),(ContinuousStatsTable[GroupByKey]=ContinuousStatsTable[[#This Row],[GroupByKey]])*ContinuousStatsTable[Average]))</f>
        <v>0.944128153448903</v>
      </c>
      <c r="U671">
        <f>IF((ContinuousStatsTable[[#This Row],[RepsRequested]]&gt;1),ContinuousStatsTable[[#This Row],[HalfWidth]],ContinuousStatsTable[[#This Row],[BatchMeansHalfWidth]])</f>
        <v>0.10039397809151185</v>
      </c>
    </row>
    <row r="672" spans="1:21" x14ac:dyDescent="0.25">
      <c r="A672" t="s">
        <v>67</v>
      </c>
      <c r="B672" t="s">
        <v>243</v>
      </c>
      <c r="C672">
        <v>8</v>
      </c>
      <c r="D672" t="s">
        <v>101</v>
      </c>
      <c r="E672" t="s">
        <v>116</v>
      </c>
      <c r="F672" t="s">
        <v>71</v>
      </c>
      <c r="G672">
        <v>16.436899961200599</v>
      </c>
      <c r="H672">
        <v>2E+20</v>
      </c>
      <c r="I672">
        <v>0</v>
      </c>
      <c r="J672">
        <v>113</v>
      </c>
      <c r="K672">
        <v>0</v>
      </c>
      <c r="L672">
        <v>0</v>
      </c>
      <c r="M672" t="str">
        <f>ContinuousStatsTable[[#This Row],[ProjectName]]&amp;ContinuousStatsTable[[#This Row],[Name]]&amp;ContinuousStatsTable[[#This Row],[Type]]&amp;ContinuousStatsTable[[#This Row],[Source]]</f>
        <v>Unnamed ProjectSeize 11.QueueNumber WaitingQueue</v>
      </c>
      <c r="N672" cm="1">
        <f t="array" ref="N672">MAX(IF((ProjectInfoTable[ProjectName]=ContinuousStatsTable[[#This Row],[ProjectName]]),(ProjectInfoTable[ProjectName]=ContinuousStatsTable[[#This Row],[ProjectName]])*ProjectInfoTable[NumberOfReplications]))</f>
        <v>10</v>
      </c>
      <c r="O672" cm="1">
        <f t="array" ref="O672">IFERROR(AVERAGE(IF((ContinuousStatsTable[GroupByKey]=ContinuousStatsTable[[#This Row],[GroupByKey]]),(ContinuousStatsTable[GroupByKey]=ContinuousStatsTable[[#This Row],[GroupByKey]])*ContinuousStatsTable[Average])),0)</f>
        <v>17.495844600024782</v>
      </c>
      <c r="P672" cm="1">
        <f t="array" ref="P672">IFERROR(_xlfn.STDEV.S(IF((ContinuousStatsTable[GroupByKey]=ContinuousStatsTable[[#This Row],[GroupByKey]]),(ContinuousStatsTable[GroupByKey]=ContinuousStatsTable[[#This Row],[GroupByKey]])*ContinuousStatsTable[Average])),0)</f>
        <v>4.1567315260337745</v>
      </c>
      <c r="Q672" cm="1">
        <f t="array" ref="Q672">MAX(IF((ProjectInfoTable[ProjectName]=ContinuousStatsTable[[#This Row],[ProjectName]]),(ProjectInfoTable[ProjectName]=ContinuousStatsTable[[#This Row],[ProjectName]])*ProjectInfoTable[ConfidenceInterval]))</f>
        <v>0.95</v>
      </c>
      <c r="R6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2.9735466034142406</v>
      </c>
      <c r="S672" cm="1">
        <f t="array" ref="S672">MIN(IF((ContinuousStatsTable[GroupByKey]=ContinuousStatsTable[[#This Row],[GroupByKey]]),(ContinuousStatsTable[GroupByKey]=ContinuousStatsTable[[#This Row],[GroupByKey]])*ContinuousStatsTable[Average]))</f>
        <v>10.770319236854199</v>
      </c>
      <c r="T672" cm="1">
        <f t="array" ref="T672">MAX(IF((ContinuousStatsTable[GroupByKey]=ContinuousStatsTable[[#This Row],[GroupByKey]]),(ContinuousStatsTable[GroupByKey]=ContinuousStatsTable[[#This Row],[GroupByKey]])*ContinuousStatsTable[Average]))</f>
        <v>25.764658423427701</v>
      </c>
      <c r="U672">
        <f>IF((ContinuousStatsTable[[#This Row],[RepsRequested]]&gt;1),ContinuousStatsTable[[#This Row],[HalfWidth]],ContinuousStatsTable[[#This Row],[BatchMeansHalfWidth]])</f>
        <v>2.9735466034142406</v>
      </c>
    </row>
    <row r="673" spans="1:21" x14ac:dyDescent="0.25">
      <c r="A673" t="s">
        <v>67</v>
      </c>
      <c r="B673" t="s">
        <v>243</v>
      </c>
      <c r="C673">
        <v>8</v>
      </c>
      <c r="D673" t="s">
        <v>102</v>
      </c>
      <c r="E673" t="s">
        <v>116</v>
      </c>
      <c r="F673" t="s">
        <v>71</v>
      </c>
      <c r="G673">
        <v>1.4033070236270899</v>
      </c>
      <c r="H673">
        <v>2E+20</v>
      </c>
      <c r="I673">
        <v>0</v>
      </c>
      <c r="J673">
        <v>4</v>
      </c>
      <c r="K673">
        <v>4</v>
      </c>
      <c r="L673">
        <v>0</v>
      </c>
      <c r="M673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673" cm="1">
        <f t="array" ref="N673">MAX(IF((ProjectInfoTable[ProjectName]=ContinuousStatsTable[[#This Row],[ProjectName]]),(ProjectInfoTable[ProjectName]=ContinuousStatsTable[[#This Row],[ProjectName]])*ProjectInfoTable[NumberOfReplications]))</f>
        <v>10</v>
      </c>
      <c r="O673" cm="1">
        <f t="array" ref="O673">IFERROR(AVERAGE(IF((ContinuousStatsTable[GroupByKey]=ContinuousStatsTable[[#This Row],[GroupByKey]]),(ContinuousStatsTable[GroupByKey]=ContinuousStatsTable[[#This Row],[GroupByKey]])*ContinuousStatsTable[Average])),0)</f>
        <v>1.2334365850159306</v>
      </c>
      <c r="P673" cm="1">
        <f t="array" ref="P673">IFERROR(_xlfn.STDEV.S(IF((ContinuousStatsTable[GroupByKey]=ContinuousStatsTable[[#This Row],[GroupByKey]]),(ContinuousStatsTable[GroupByKey]=ContinuousStatsTable[[#This Row],[GroupByKey]])*ContinuousStatsTable[Average])),0)</f>
        <v>0.34677877772765942</v>
      </c>
      <c r="Q673" cm="1">
        <f t="array" ref="Q673">MAX(IF((ProjectInfoTable[ProjectName]=ContinuousStatsTable[[#This Row],[ProjectName]]),(ProjectInfoTable[ProjectName]=ContinuousStatsTable[[#This Row],[ProjectName]])*ProjectInfoTable[ConfidenceInterval]))</f>
        <v>0.95</v>
      </c>
      <c r="R6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0.24807059349154728</v>
      </c>
      <c r="S673" cm="1">
        <f t="array" ref="S673">MIN(IF((ContinuousStatsTable[GroupByKey]=ContinuousStatsTable[[#This Row],[GroupByKey]]),(ContinuousStatsTable[GroupByKey]=ContinuousStatsTable[[#This Row],[GroupByKey]])*ContinuousStatsTable[Average]))</f>
        <v>0.47601596605360202</v>
      </c>
      <c r="T673" cm="1">
        <f t="array" ref="T673">MAX(IF((ContinuousStatsTable[GroupByKey]=ContinuousStatsTable[[#This Row],[GroupByKey]]),(ContinuousStatsTable[GroupByKey]=ContinuousStatsTable[[#This Row],[GroupByKey]])*ContinuousStatsTable[Average]))</f>
        <v>1.5938052921300001</v>
      </c>
      <c r="U673">
        <f>IF((ContinuousStatsTable[[#This Row],[RepsRequested]]&gt;1),ContinuousStatsTable[[#This Row],[HalfWidth]],ContinuousStatsTable[[#This Row],[BatchMeansHalfWidth]])</f>
        <v>0.24807059349154728</v>
      </c>
    </row>
    <row r="674" spans="1:21" x14ac:dyDescent="0.25">
      <c r="A674" t="s">
        <v>67</v>
      </c>
      <c r="B674" t="s">
        <v>243</v>
      </c>
      <c r="C674">
        <v>8</v>
      </c>
      <c r="D674" t="s">
        <v>103</v>
      </c>
      <c r="E674" t="s">
        <v>116</v>
      </c>
      <c r="F674" t="s">
        <v>71</v>
      </c>
      <c r="G674">
        <v>6.11773485562149E-2</v>
      </c>
      <c r="H674">
        <v>2.48658222769624E-2</v>
      </c>
      <c r="I674">
        <v>0</v>
      </c>
      <c r="J674">
        <v>2</v>
      </c>
      <c r="K674">
        <v>0</v>
      </c>
      <c r="L674">
        <v>0</v>
      </c>
      <c r="M674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674" cm="1">
        <f t="array" ref="N674">MAX(IF((ProjectInfoTable[ProjectName]=ContinuousStatsTable[[#This Row],[ProjectName]]),(ProjectInfoTable[ProjectName]=ContinuousStatsTable[[#This Row],[ProjectName]])*ProjectInfoTable[NumberOfReplications]))</f>
        <v>10</v>
      </c>
      <c r="O674" cm="1">
        <f t="array" ref="O674">IFERROR(AVERAGE(IF((ContinuousStatsTable[GroupByKey]=ContinuousStatsTable[[#This Row],[GroupByKey]]),(ContinuousStatsTable[GroupByKey]=ContinuousStatsTable[[#This Row],[GroupByKey]])*ContinuousStatsTable[Average])),0)</f>
        <v>0.19501309596936622</v>
      </c>
      <c r="P674" cm="1">
        <f t="array" ref="P674">IFERROR(_xlfn.STDEV.S(IF((ContinuousStatsTable[GroupByKey]=ContinuousStatsTable[[#This Row],[GroupByKey]]),(ContinuousStatsTable[GroupByKey]=ContinuousStatsTable[[#This Row],[GroupByKey]])*ContinuousStatsTable[Average])),0)</f>
        <v>0.14771852643081365</v>
      </c>
      <c r="Q674" cm="1">
        <f t="array" ref="Q674">MAX(IF((ProjectInfoTable[ProjectName]=ContinuousStatsTable[[#This Row],[ProjectName]]),(ProjectInfoTable[ProjectName]=ContinuousStatsTable[[#This Row],[ProjectName]])*ProjectInfoTable[ConfidenceInterval]))</f>
        <v>0.95</v>
      </c>
      <c r="R6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0.10567146802209269</v>
      </c>
      <c r="S674" cm="1">
        <f t="array" ref="S674">MIN(IF((ContinuousStatsTable[GroupByKey]=ContinuousStatsTable[[#This Row],[GroupByKey]]),(ContinuousStatsTable[GroupByKey]=ContinuousStatsTable[[#This Row],[GroupByKey]])*ContinuousStatsTable[Average]))</f>
        <v>5.2203254973614402E-2</v>
      </c>
      <c r="T674" cm="1">
        <f t="array" ref="T674">MAX(IF((ContinuousStatsTable[GroupByKey]=ContinuousStatsTable[[#This Row],[GroupByKey]]),(ContinuousStatsTable[GroupByKey]=ContinuousStatsTable[[#This Row],[GroupByKey]])*ContinuousStatsTable[Average]))</f>
        <v>0.443638473140476</v>
      </c>
      <c r="U674">
        <f>IF((ContinuousStatsTable[[#This Row],[RepsRequested]]&gt;1),ContinuousStatsTable[[#This Row],[HalfWidth]],ContinuousStatsTable[[#This Row],[BatchMeansHalfWidth]])</f>
        <v>0.10567146802209269</v>
      </c>
    </row>
    <row r="675" spans="1:21" x14ac:dyDescent="0.25">
      <c r="A675" t="s">
        <v>67</v>
      </c>
      <c r="B675" t="s">
        <v>243</v>
      </c>
      <c r="C675">
        <v>8</v>
      </c>
      <c r="D675" t="s">
        <v>104</v>
      </c>
      <c r="E675" t="s">
        <v>116</v>
      </c>
      <c r="F675" t="s">
        <v>71</v>
      </c>
      <c r="G675">
        <v>85.041047020992707</v>
      </c>
      <c r="H675">
        <v>3E+20</v>
      </c>
      <c r="I675">
        <v>0</v>
      </c>
      <c r="J675">
        <v>171</v>
      </c>
      <c r="K675">
        <v>171</v>
      </c>
      <c r="L675">
        <v>0</v>
      </c>
      <c r="M675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675" cm="1">
        <f t="array" ref="N675">MAX(IF((ProjectInfoTable[ProjectName]=ContinuousStatsTable[[#This Row],[ProjectName]]),(ProjectInfoTable[ProjectName]=ContinuousStatsTable[[#This Row],[ProjectName]])*ProjectInfoTable[NumberOfReplications]))</f>
        <v>10</v>
      </c>
      <c r="O675" cm="1">
        <f t="array" ref="O675">IFERROR(AVERAGE(IF((ContinuousStatsTable[GroupByKey]=ContinuousStatsTable[[#This Row],[GroupByKey]]),(ContinuousStatsTable[GroupByKey]=ContinuousStatsTable[[#This Row],[GroupByKey]])*ContinuousStatsTable[Average])),0)</f>
        <v>81.226274902651596</v>
      </c>
      <c r="P675" cm="1">
        <f t="array" ref="P675">IFERROR(_xlfn.STDEV.S(IF((ContinuousStatsTable[GroupByKey]=ContinuousStatsTable[[#This Row],[GroupByKey]]),(ContinuousStatsTable[GroupByKey]=ContinuousStatsTable[[#This Row],[GroupByKey]])*ContinuousStatsTable[Average])),0)</f>
        <v>11.159336682409895</v>
      </c>
      <c r="Q675" cm="1">
        <f t="array" ref="Q675">MAX(IF((ProjectInfoTable[ProjectName]=ContinuousStatsTable[[#This Row],[ProjectName]]),(ProjectInfoTable[ProjectName]=ContinuousStatsTable[[#This Row],[ProjectName]])*ProjectInfoTable[ConfidenceInterval]))</f>
        <v>0.95</v>
      </c>
      <c r="R6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7.9829085618136846</v>
      </c>
      <c r="S675" cm="1">
        <f t="array" ref="S675">MIN(IF((ContinuousStatsTable[GroupByKey]=ContinuousStatsTable[[#This Row],[GroupByKey]]),(ContinuousStatsTable[GroupByKey]=ContinuousStatsTable[[#This Row],[GroupByKey]])*ContinuousStatsTable[Average]))</f>
        <v>66.053444809788303</v>
      </c>
      <c r="T675" cm="1">
        <f t="array" ref="T675">MAX(IF((ContinuousStatsTable[GroupByKey]=ContinuousStatsTable[[#This Row],[GroupByKey]]),(ContinuousStatsTable[GroupByKey]=ContinuousStatsTable[[#This Row],[GroupByKey]])*ContinuousStatsTable[Average]))</f>
        <v>100.586340982454</v>
      </c>
      <c r="U675">
        <f>IF((ContinuousStatsTable[[#This Row],[RepsRequested]]&gt;1),ContinuousStatsTable[[#This Row],[HalfWidth]],ContinuousStatsTable[[#This Row],[BatchMeansHalfWidth]])</f>
        <v>7.9829085618136846</v>
      </c>
    </row>
    <row r="676" spans="1:21" x14ac:dyDescent="0.25">
      <c r="A676" t="s">
        <v>67</v>
      </c>
      <c r="B676" t="s">
        <v>243</v>
      </c>
      <c r="C676">
        <v>8</v>
      </c>
      <c r="D676" t="s">
        <v>105</v>
      </c>
      <c r="E676" t="s">
        <v>116</v>
      </c>
      <c r="F676" t="s">
        <v>71</v>
      </c>
      <c r="G676">
        <v>1.45331937731382</v>
      </c>
      <c r="H676">
        <v>3E+20</v>
      </c>
      <c r="I676">
        <v>0</v>
      </c>
      <c r="J676">
        <v>2</v>
      </c>
      <c r="K676">
        <v>2</v>
      </c>
      <c r="L676">
        <v>0</v>
      </c>
      <c r="M676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676" cm="1">
        <f t="array" ref="N676">MAX(IF((ProjectInfoTable[ProjectName]=ContinuousStatsTable[[#This Row],[ProjectName]]),(ProjectInfoTable[ProjectName]=ContinuousStatsTable[[#This Row],[ProjectName]])*ProjectInfoTable[NumberOfReplications]))</f>
        <v>10</v>
      </c>
      <c r="O676" cm="1">
        <f t="array" ref="O676">IFERROR(AVERAGE(IF((ContinuousStatsTable[GroupByKey]=ContinuousStatsTable[[#This Row],[GroupByKey]]),(ContinuousStatsTable[GroupByKey]=ContinuousStatsTable[[#This Row],[GroupByKey]])*ContinuousStatsTable[Average])),0)</f>
        <v>1.3234420699844864</v>
      </c>
      <c r="P676" cm="1">
        <f t="array" ref="P676">IFERROR(_xlfn.STDEV.S(IF((ContinuousStatsTable[GroupByKey]=ContinuousStatsTable[[#This Row],[GroupByKey]]),(ContinuousStatsTable[GroupByKey]=ContinuousStatsTable[[#This Row],[GroupByKey]])*ContinuousStatsTable[Average])),0)</f>
        <v>0.23376145670955006</v>
      </c>
      <c r="Q676" cm="1">
        <f t="array" ref="Q676">MAX(IF((ProjectInfoTable[ProjectName]=ContinuousStatsTable[[#This Row],[ProjectName]]),(ProjectInfoTable[ProjectName]=ContinuousStatsTable[[#This Row],[ProjectName]])*ProjectInfoTable[ConfidenceInterval]))</f>
        <v>0.95</v>
      </c>
      <c r="R6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0.1672228724069392</v>
      </c>
      <c r="S676" cm="1">
        <f t="array" ref="S676">MIN(IF((ContinuousStatsTable[GroupByKey]=ContinuousStatsTable[[#This Row],[GroupByKey]]),(ContinuousStatsTable[GroupByKey]=ContinuousStatsTable[[#This Row],[GroupByKey]])*ContinuousStatsTable[Average]))</f>
        <v>0.88257428434366503</v>
      </c>
      <c r="T676" cm="1">
        <f t="array" ref="T676">MAX(IF((ContinuousStatsTable[GroupByKey]=ContinuousStatsTable[[#This Row],[GroupByKey]]),(ContinuousStatsTable[GroupByKey]=ContinuousStatsTable[[#This Row],[GroupByKey]])*ContinuousStatsTable[Average]))</f>
        <v>1.5367801636504701</v>
      </c>
      <c r="U676">
        <f>IF((ContinuousStatsTable[[#This Row],[RepsRequested]]&gt;1),ContinuousStatsTable[[#This Row],[HalfWidth]],ContinuousStatsTable[[#This Row],[BatchMeansHalfWidth]])</f>
        <v>0.1672228724069392</v>
      </c>
    </row>
    <row r="677" spans="1:21" x14ac:dyDescent="0.25">
      <c r="A677" t="s">
        <v>67</v>
      </c>
      <c r="B677" t="s">
        <v>243</v>
      </c>
      <c r="C677">
        <v>8</v>
      </c>
      <c r="D677" t="s">
        <v>106</v>
      </c>
      <c r="E677" t="s">
        <v>116</v>
      </c>
      <c r="F677" t="s">
        <v>71</v>
      </c>
      <c r="G677">
        <v>3.2347471894369302</v>
      </c>
      <c r="H677">
        <v>3E+20</v>
      </c>
      <c r="I677">
        <v>0</v>
      </c>
      <c r="J677">
        <v>5</v>
      </c>
      <c r="K677">
        <v>2</v>
      </c>
      <c r="L677">
        <v>0</v>
      </c>
      <c r="M677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677" cm="1">
        <f t="array" ref="N677">MAX(IF((ProjectInfoTable[ProjectName]=ContinuousStatsTable[[#This Row],[ProjectName]]),(ProjectInfoTable[ProjectName]=ContinuousStatsTable[[#This Row],[ProjectName]])*ProjectInfoTable[NumberOfReplications]))</f>
        <v>10</v>
      </c>
      <c r="O677" cm="1">
        <f t="array" ref="O677">IFERROR(AVERAGE(IF((ContinuousStatsTable[GroupByKey]=ContinuousStatsTable[[#This Row],[GroupByKey]]),(ContinuousStatsTable[GroupByKey]=ContinuousStatsTable[[#This Row],[GroupByKey]])*ContinuousStatsTable[Average])),0)</f>
        <v>3.295350976306183</v>
      </c>
      <c r="P677" cm="1">
        <f t="array" ref="P677">IFERROR(_xlfn.STDEV.S(IF((ContinuousStatsTable[GroupByKey]=ContinuousStatsTable[[#This Row],[GroupByKey]]),(ContinuousStatsTable[GroupByKey]=ContinuousStatsTable[[#This Row],[GroupByKey]])*ContinuousStatsTable[Average])),0)</f>
        <v>0.30652142094800816</v>
      </c>
      <c r="Q677" cm="1">
        <f t="array" ref="Q677">MAX(IF((ProjectInfoTable[ProjectName]=ContinuousStatsTable[[#This Row],[ProjectName]]),(ProjectInfoTable[ProjectName]=ContinuousStatsTable[[#This Row],[ProjectName]])*ProjectInfoTable[ConfidenceInterval]))</f>
        <v>0.95</v>
      </c>
      <c r="R6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0.21927221530309879</v>
      </c>
      <c r="S677" cm="1">
        <f t="array" ref="S677">MIN(IF((ContinuousStatsTable[GroupByKey]=ContinuousStatsTable[[#This Row],[GroupByKey]]),(ContinuousStatsTable[GroupByKey]=ContinuousStatsTable[[#This Row],[GroupByKey]])*ContinuousStatsTable[Average]))</f>
        <v>2.9443042052265702</v>
      </c>
      <c r="T677" cm="1">
        <f t="array" ref="T677">MAX(IF((ContinuousStatsTable[GroupByKey]=ContinuousStatsTable[[#This Row],[GroupByKey]]),(ContinuousStatsTable[GroupByKey]=ContinuousStatsTable[[#This Row],[GroupByKey]])*ContinuousStatsTable[Average]))</f>
        <v>3.9785130958891202</v>
      </c>
      <c r="U677">
        <f>IF((ContinuousStatsTable[[#This Row],[RepsRequested]]&gt;1),ContinuousStatsTable[[#This Row],[HalfWidth]],ContinuousStatsTable[[#This Row],[BatchMeansHalfWidth]])</f>
        <v>0.21927221530309879</v>
      </c>
    </row>
    <row r="678" spans="1:21" x14ac:dyDescent="0.25">
      <c r="A678" t="s">
        <v>67</v>
      </c>
      <c r="B678" t="s">
        <v>243</v>
      </c>
      <c r="C678">
        <v>8</v>
      </c>
      <c r="D678" t="s">
        <v>107</v>
      </c>
      <c r="E678" t="s">
        <v>116</v>
      </c>
      <c r="F678" t="s">
        <v>71</v>
      </c>
      <c r="G678">
        <v>1.6758650787309599</v>
      </c>
      <c r="H678">
        <v>2E+20</v>
      </c>
      <c r="I678">
        <v>0</v>
      </c>
      <c r="J678">
        <v>4</v>
      </c>
      <c r="K678">
        <v>4</v>
      </c>
      <c r="L678">
        <v>0</v>
      </c>
      <c r="M678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678" cm="1">
        <f t="array" ref="N678">MAX(IF((ProjectInfoTable[ProjectName]=ContinuousStatsTable[[#This Row],[ProjectName]]),(ProjectInfoTable[ProjectName]=ContinuousStatsTable[[#This Row],[ProjectName]])*ProjectInfoTable[NumberOfReplications]))</f>
        <v>10</v>
      </c>
      <c r="O678" cm="1">
        <f t="array" ref="O678">IFERROR(AVERAGE(IF((ContinuousStatsTable[GroupByKey]=ContinuousStatsTable[[#This Row],[GroupByKey]]),(ContinuousStatsTable[GroupByKey]=ContinuousStatsTable[[#This Row],[GroupByKey]])*ContinuousStatsTable[Average])),0)</f>
        <v>1.4832039737284362</v>
      </c>
      <c r="P678" cm="1">
        <f t="array" ref="P678">IFERROR(_xlfn.STDEV.S(IF((ContinuousStatsTable[GroupByKey]=ContinuousStatsTable[[#This Row],[GroupByKey]]),(ContinuousStatsTable[GroupByKey]=ContinuousStatsTable[[#This Row],[GroupByKey]])*ContinuousStatsTable[Average])),0)</f>
        <v>0.28170250043427397</v>
      </c>
      <c r="Q678" cm="1">
        <f t="array" ref="Q678">MAX(IF((ProjectInfoTable[ProjectName]=ContinuousStatsTable[[#This Row],[ProjectName]]),(ProjectInfoTable[ProjectName]=ContinuousStatsTable[[#This Row],[ProjectName]])*ProjectInfoTable[ConfidenceInterval]))</f>
        <v>0.95</v>
      </c>
      <c r="R6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0.20151782911486205</v>
      </c>
      <c r="S678" cm="1">
        <f t="array" ref="S678">MIN(IF((ContinuousStatsTable[GroupByKey]=ContinuousStatsTable[[#This Row],[GroupByKey]]),(ContinuousStatsTable[GroupByKey]=ContinuousStatsTable[[#This Row],[GroupByKey]])*ContinuousStatsTable[Average]))</f>
        <v>0.850065833369271</v>
      </c>
      <c r="T678" cm="1">
        <f t="array" ref="T678">MAX(IF((ContinuousStatsTable[GroupByKey]=ContinuousStatsTable[[#This Row],[GroupByKey]]),(ContinuousStatsTable[GroupByKey]=ContinuousStatsTable[[#This Row],[GroupByKey]])*ContinuousStatsTable[Average]))</f>
        <v>1.78320590856036</v>
      </c>
      <c r="U678">
        <f>IF((ContinuousStatsTable[[#This Row],[RepsRequested]]&gt;1),ContinuousStatsTable[[#This Row],[HalfWidth]],ContinuousStatsTable[[#This Row],[BatchMeansHalfWidth]])</f>
        <v>0.20151782911486205</v>
      </c>
    </row>
    <row r="679" spans="1:21" x14ac:dyDescent="0.25">
      <c r="A679" t="s">
        <v>67</v>
      </c>
      <c r="B679" t="s">
        <v>243</v>
      </c>
      <c r="C679">
        <v>8</v>
      </c>
      <c r="D679" t="s">
        <v>108</v>
      </c>
      <c r="E679" t="s">
        <v>116</v>
      </c>
      <c r="F679" t="s">
        <v>71</v>
      </c>
      <c r="G679">
        <v>81.118549801089799</v>
      </c>
      <c r="H679">
        <v>3E+20</v>
      </c>
      <c r="I679">
        <v>0</v>
      </c>
      <c r="J679">
        <v>169</v>
      </c>
      <c r="K679">
        <v>169</v>
      </c>
      <c r="L679">
        <v>0</v>
      </c>
      <c r="M679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679" cm="1">
        <f t="array" ref="N679">MAX(IF((ProjectInfoTable[ProjectName]=ContinuousStatsTable[[#This Row],[ProjectName]]),(ProjectInfoTable[ProjectName]=ContinuousStatsTable[[#This Row],[ProjectName]])*ProjectInfoTable[NumberOfReplications]))</f>
        <v>10</v>
      </c>
      <c r="O679" cm="1">
        <f t="array" ref="O679">IFERROR(AVERAGE(IF((ContinuousStatsTable[GroupByKey]=ContinuousStatsTable[[#This Row],[GroupByKey]]),(ContinuousStatsTable[GroupByKey]=ContinuousStatsTable[[#This Row],[GroupByKey]])*ContinuousStatsTable[Average])),0)</f>
        <v>84.673313986400757</v>
      </c>
      <c r="P679" cm="1">
        <f t="array" ref="P679">IFERROR(_xlfn.STDEV.S(IF((ContinuousStatsTable[GroupByKey]=ContinuousStatsTable[[#This Row],[GroupByKey]]),(ContinuousStatsTable[GroupByKey]=ContinuousStatsTable[[#This Row],[GroupByKey]])*ContinuousStatsTable[Average])),0)</f>
        <v>6.3050274623130749</v>
      </c>
      <c r="Q679" cm="1">
        <f t="array" ref="Q679">MAX(IF((ProjectInfoTable[ProjectName]=ContinuousStatsTable[[#This Row],[ProjectName]]),(ProjectInfoTable[ProjectName]=ContinuousStatsTable[[#This Row],[ProjectName]])*ProjectInfoTable[ConfidenceInterval]))</f>
        <v>0.95</v>
      </c>
      <c r="R6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4.5103449375003528</v>
      </c>
      <c r="S679" cm="1">
        <f t="array" ref="S679">MIN(IF((ContinuousStatsTable[GroupByKey]=ContinuousStatsTable[[#This Row],[GroupByKey]]),(ContinuousStatsTable[GroupByKey]=ContinuousStatsTable[[#This Row],[GroupByKey]])*ContinuousStatsTable[Average]))</f>
        <v>72.004631303705096</v>
      </c>
      <c r="T679" cm="1">
        <f t="array" ref="T679">MAX(IF((ContinuousStatsTable[GroupByKey]=ContinuousStatsTable[[#This Row],[GroupByKey]]),(ContinuousStatsTable[GroupByKey]=ContinuousStatsTable[[#This Row],[GroupByKey]])*ContinuousStatsTable[Average]))</f>
        <v>94.488584180465494</v>
      </c>
      <c r="U679">
        <f>IF((ContinuousStatsTable[[#This Row],[RepsRequested]]&gt;1),ContinuousStatsTable[[#This Row],[HalfWidth]],ContinuousStatsTable[[#This Row],[BatchMeansHalfWidth]])</f>
        <v>4.5103449375003528</v>
      </c>
    </row>
    <row r="680" spans="1:21" x14ac:dyDescent="0.25">
      <c r="A680" t="s">
        <v>67</v>
      </c>
      <c r="B680" t="s">
        <v>243</v>
      </c>
      <c r="C680">
        <v>8</v>
      </c>
      <c r="D680" t="s">
        <v>109</v>
      </c>
      <c r="E680" t="s">
        <v>116</v>
      </c>
      <c r="F680" t="s">
        <v>71</v>
      </c>
      <c r="G680">
        <v>2.1571183231200299</v>
      </c>
      <c r="H680">
        <v>3E+20</v>
      </c>
      <c r="I680">
        <v>0</v>
      </c>
      <c r="J680">
        <v>4</v>
      </c>
      <c r="K680">
        <v>0</v>
      </c>
      <c r="L680">
        <v>0</v>
      </c>
      <c r="M680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680" cm="1">
        <f t="array" ref="N680">MAX(IF((ProjectInfoTable[ProjectName]=ContinuousStatsTable[[#This Row],[ProjectName]]),(ProjectInfoTable[ProjectName]=ContinuousStatsTable[[#This Row],[ProjectName]])*ProjectInfoTable[NumberOfReplications]))</f>
        <v>10</v>
      </c>
      <c r="O680" cm="1">
        <f t="array" ref="O680">IFERROR(AVERAGE(IF((ContinuousStatsTable[GroupByKey]=ContinuousStatsTable[[#This Row],[GroupByKey]]),(ContinuousStatsTable[GroupByKey]=ContinuousStatsTable[[#This Row],[GroupByKey]])*ContinuousStatsTable[Average])),0)</f>
        <v>3.1643006447829118</v>
      </c>
      <c r="P680" cm="1">
        <f t="array" ref="P680">IFERROR(_xlfn.STDEV.S(IF((ContinuousStatsTable[GroupByKey]=ContinuousStatsTable[[#This Row],[GroupByKey]]),(ContinuousStatsTable[GroupByKey]=ContinuousStatsTable[[#This Row],[GroupByKey]])*ContinuousStatsTable[Average])),0)</f>
        <v>0.56709805972033456</v>
      </c>
      <c r="Q680" cm="1">
        <f t="array" ref="Q680">MAX(IF((ProjectInfoTable[ProjectName]=ContinuousStatsTable[[#This Row],[ProjectName]]),(ProjectInfoTable[ProjectName]=ContinuousStatsTable[[#This Row],[ProjectName]])*ProjectInfoTable[ConfidenceInterval]))</f>
        <v>0.95</v>
      </c>
      <c r="R6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0.40567751338350572</v>
      </c>
      <c r="S680" cm="1">
        <f t="array" ref="S680">MIN(IF((ContinuousStatsTable[GroupByKey]=ContinuousStatsTable[[#This Row],[GroupByKey]]),(ContinuousStatsTable[GroupByKey]=ContinuousStatsTable[[#This Row],[GroupByKey]])*ContinuousStatsTable[Average]))</f>
        <v>2.1571183231200299</v>
      </c>
      <c r="T680" cm="1">
        <f t="array" ref="T680">MAX(IF((ContinuousStatsTable[GroupByKey]=ContinuousStatsTable[[#This Row],[GroupByKey]]),(ContinuousStatsTable[GroupByKey]=ContinuousStatsTable[[#This Row],[GroupByKey]])*ContinuousStatsTable[Average]))</f>
        <v>3.7448575603137102</v>
      </c>
      <c r="U680">
        <f>IF((ContinuousStatsTable[[#This Row],[RepsRequested]]&gt;1),ContinuousStatsTable[[#This Row],[HalfWidth]],ContinuousStatsTable[[#This Row],[BatchMeansHalfWidth]])</f>
        <v>0.40567751338350572</v>
      </c>
    </row>
    <row r="681" spans="1:21" x14ac:dyDescent="0.25">
      <c r="A681" t="s">
        <v>67</v>
      </c>
      <c r="B681" t="s">
        <v>243</v>
      </c>
      <c r="C681">
        <v>8</v>
      </c>
      <c r="D681" t="s">
        <v>110</v>
      </c>
      <c r="E681" t="s">
        <v>117</v>
      </c>
      <c r="F681" t="s">
        <v>76</v>
      </c>
      <c r="G681">
        <v>2.74840322411917</v>
      </c>
      <c r="H681">
        <v>3E+20</v>
      </c>
      <c r="I681">
        <v>0</v>
      </c>
      <c r="J681">
        <v>8</v>
      </c>
      <c r="K681">
        <v>4</v>
      </c>
      <c r="L681">
        <v>0</v>
      </c>
      <c r="M681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681" cm="1">
        <f t="array" ref="N681">MAX(IF((ProjectInfoTable[ProjectName]=ContinuousStatsTable[[#This Row],[ProjectName]]),(ProjectInfoTable[ProjectName]=ContinuousStatsTable[[#This Row],[ProjectName]])*ProjectInfoTable[NumberOfReplications]))</f>
        <v>10</v>
      </c>
      <c r="O681" cm="1">
        <f t="array" ref="O681">IFERROR(AVERAGE(IF((ContinuousStatsTable[GroupByKey]=ContinuousStatsTable[[#This Row],[GroupByKey]]),(ContinuousStatsTable[GroupByKey]=ContinuousStatsTable[[#This Row],[GroupByKey]])*ContinuousStatsTable[Average])),0)</f>
        <v>2.7938165767457108</v>
      </c>
      <c r="P681" cm="1">
        <f t="array" ref="P681">IFERROR(_xlfn.STDEV.S(IF((ContinuousStatsTable[GroupByKey]=ContinuousStatsTable[[#This Row],[GroupByKey]]),(ContinuousStatsTable[GroupByKey]=ContinuousStatsTable[[#This Row],[GroupByKey]])*ContinuousStatsTable[Average])),0)</f>
        <v>0.37107770243484822</v>
      </c>
      <c r="Q681" cm="1">
        <f t="array" ref="Q681">MAX(IF((ProjectInfoTable[ProjectName]=ContinuousStatsTable[[#This Row],[ProjectName]]),(ProjectInfoTable[ProjectName]=ContinuousStatsTable[[#This Row],[ProjectName]])*ProjectInfoTable[ConfidenceInterval]))</f>
        <v>0.95</v>
      </c>
      <c r="R6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0.26545299708849601</v>
      </c>
      <c r="S681" cm="1">
        <f t="array" ref="S681">MIN(IF((ContinuousStatsTable[GroupByKey]=ContinuousStatsTable[[#This Row],[GroupByKey]]),(ContinuousStatsTable[GroupByKey]=ContinuousStatsTable[[#This Row],[GroupByKey]])*ContinuousStatsTable[Average]))</f>
        <v>2.05988155680273</v>
      </c>
      <c r="T681" cm="1">
        <f t="array" ref="T681">MAX(IF((ContinuousStatsTable[GroupByKey]=ContinuousStatsTable[[#This Row],[GroupByKey]]),(ContinuousStatsTable[GroupByKey]=ContinuousStatsTable[[#This Row],[GroupByKey]])*ContinuousStatsTable[Average]))</f>
        <v>3.2132100714910901</v>
      </c>
      <c r="U681">
        <f>IF((ContinuousStatsTable[[#This Row],[RepsRequested]]&gt;1),ContinuousStatsTable[[#This Row],[HalfWidth]],ContinuousStatsTable[[#This Row],[BatchMeansHalfWidth]])</f>
        <v>0.26545299708849601</v>
      </c>
    </row>
    <row r="682" spans="1:21" x14ac:dyDescent="0.25">
      <c r="A682" t="s">
        <v>67</v>
      </c>
      <c r="B682" t="s">
        <v>243</v>
      </c>
      <c r="C682">
        <v>9</v>
      </c>
      <c r="D682" t="s">
        <v>111</v>
      </c>
      <c r="E682" t="s">
        <v>112</v>
      </c>
      <c r="F682" t="s">
        <v>113</v>
      </c>
      <c r="G682">
        <v>3.6082775413950101E-2</v>
      </c>
      <c r="H682">
        <v>3E+20</v>
      </c>
      <c r="I682">
        <v>0</v>
      </c>
      <c r="J682">
        <v>1</v>
      </c>
      <c r="K682">
        <v>0</v>
      </c>
      <c r="L682">
        <v>0</v>
      </c>
      <c r="M682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682" cm="1">
        <f t="array" ref="N682">MAX(IF((ProjectInfoTable[ProjectName]=ContinuousStatsTable[[#This Row],[ProjectName]]),(ProjectInfoTable[ProjectName]=ContinuousStatsTable[[#This Row],[ProjectName]])*ProjectInfoTable[NumberOfReplications]))</f>
        <v>10</v>
      </c>
      <c r="O682" cm="1">
        <f t="array" ref="O682">IFERROR(AVERAGE(IF((ContinuousStatsTable[GroupByKey]=ContinuousStatsTable[[#This Row],[GroupByKey]]),(ContinuousStatsTable[GroupByKey]=ContinuousStatsTable[[#This Row],[GroupByKey]])*ContinuousStatsTable[Average])),0)</f>
        <v>3.6074566243936998E-2</v>
      </c>
      <c r="P682" cm="1">
        <f t="array" ref="P682">IFERROR(_xlfn.STDEV.S(IF((ContinuousStatsTable[GroupByKey]=ContinuousStatsTable[[#This Row],[GroupByKey]]),(ContinuousStatsTable[GroupByKey]=ContinuousStatsTable[[#This Row],[GroupByKey]])*ContinuousStatsTable[Average])),0)</f>
        <v>6.6761681626786623E-5</v>
      </c>
      <c r="Q682" cm="1">
        <f t="array" ref="Q682">MAX(IF((ProjectInfoTable[ProjectName]=ContinuousStatsTable[[#This Row],[ProjectName]]),(ProjectInfoTable[ProjectName]=ContinuousStatsTable[[#This Row],[ProjectName]])*ProjectInfoTable[ConfidenceInterval]))</f>
        <v>0.95</v>
      </c>
      <c r="R6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4.7758430005936653E-5</v>
      </c>
      <c r="S682" cm="1">
        <f t="array" ref="S682">MIN(IF((ContinuousStatsTable[GroupByKey]=ContinuousStatsTable[[#This Row],[GroupByKey]]),(ContinuousStatsTable[GroupByKey]=ContinuousStatsTable[[#This Row],[GroupByKey]])*ContinuousStatsTable[Average]))</f>
        <v>3.5941735992799297E-2</v>
      </c>
      <c r="T682" cm="1">
        <f t="array" ref="T682">MAX(IF((ContinuousStatsTable[GroupByKey]=ContinuousStatsTable[[#This Row],[GroupByKey]]),(ContinuousStatsTable[GroupByKey]=ContinuousStatsTable[[#This Row],[GroupByKey]])*ContinuousStatsTable[Average]))</f>
        <v>3.6177689828441002E-2</v>
      </c>
      <c r="U682">
        <f>IF((ContinuousStatsTable[[#This Row],[RepsRequested]]&gt;1),ContinuousStatsTable[[#This Row],[HalfWidth]],ContinuousStatsTable[[#This Row],[BatchMeansHalfWidth]])</f>
        <v>4.7758430005936653E-5</v>
      </c>
    </row>
    <row r="683" spans="1:21" x14ac:dyDescent="0.25">
      <c r="A683" t="s">
        <v>67</v>
      </c>
      <c r="B683" t="s">
        <v>243</v>
      </c>
      <c r="C683">
        <v>9</v>
      </c>
      <c r="D683" t="s">
        <v>111</v>
      </c>
      <c r="E683" t="s">
        <v>114</v>
      </c>
      <c r="F683" t="s">
        <v>113</v>
      </c>
      <c r="G683">
        <v>3.6082775413950101E-2</v>
      </c>
      <c r="H683">
        <v>3E+20</v>
      </c>
      <c r="I683">
        <v>0</v>
      </c>
      <c r="J683">
        <v>1</v>
      </c>
      <c r="K683">
        <v>0</v>
      </c>
      <c r="L683">
        <v>0</v>
      </c>
      <c r="M683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683" cm="1">
        <f t="array" ref="N683">MAX(IF((ProjectInfoTable[ProjectName]=ContinuousStatsTable[[#This Row],[ProjectName]]),(ProjectInfoTable[ProjectName]=ContinuousStatsTable[[#This Row],[ProjectName]])*ProjectInfoTable[NumberOfReplications]))</f>
        <v>10</v>
      </c>
      <c r="O683" cm="1">
        <f t="array" ref="O683">IFERROR(AVERAGE(IF((ContinuousStatsTable[GroupByKey]=ContinuousStatsTable[[#This Row],[GroupByKey]]),(ContinuousStatsTable[GroupByKey]=ContinuousStatsTable[[#This Row],[GroupByKey]])*ContinuousStatsTable[Average])),0)</f>
        <v>3.6074566243937005E-2</v>
      </c>
      <c r="P683" cm="1">
        <f t="array" ref="P683">IFERROR(_xlfn.STDEV.S(IF((ContinuousStatsTable[GroupByKey]=ContinuousStatsTable[[#This Row],[GroupByKey]]),(ContinuousStatsTable[GroupByKey]=ContinuousStatsTable[[#This Row],[GroupByKey]])*ContinuousStatsTable[Average])),0)</f>
        <v>6.6761681626785268E-5</v>
      </c>
      <c r="Q683" cm="1">
        <f t="array" ref="Q683">MAX(IF((ProjectInfoTable[ProjectName]=ContinuousStatsTable[[#This Row],[ProjectName]]),(ProjectInfoTable[ProjectName]=ContinuousStatsTable[[#This Row],[ProjectName]])*ProjectInfoTable[ConfidenceInterval]))</f>
        <v>0.95</v>
      </c>
      <c r="R6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4.7758430005935684E-5</v>
      </c>
      <c r="S683" cm="1">
        <f t="array" ref="S683">MIN(IF((ContinuousStatsTable[GroupByKey]=ContinuousStatsTable[[#This Row],[GroupByKey]]),(ContinuousStatsTable[GroupByKey]=ContinuousStatsTable[[#This Row],[GroupByKey]])*ContinuousStatsTable[Average]))</f>
        <v>3.5941735992799297E-2</v>
      </c>
      <c r="T683" cm="1">
        <f t="array" ref="T683">MAX(IF((ContinuousStatsTable[GroupByKey]=ContinuousStatsTable[[#This Row],[GroupByKey]]),(ContinuousStatsTable[GroupByKey]=ContinuousStatsTable[[#This Row],[GroupByKey]])*ContinuousStatsTable[Average]))</f>
        <v>3.6177689828441002E-2</v>
      </c>
      <c r="U683">
        <f>IF((ContinuousStatsTable[[#This Row],[RepsRequested]]&gt;1),ContinuousStatsTable[[#This Row],[HalfWidth]],ContinuousStatsTable[[#This Row],[BatchMeansHalfWidth]])</f>
        <v>4.7758430005935684E-5</v>
      </c>
    </row>
    <row r="684" spans="1:21" x14ac:dyDescent="0.25">
      <c r="A684" t="s">
        <v>67</v>
      </c>
      <c r="B684" t="s">
        <v>243</v>
      </c>
      <c r="C684">
        <v>9</v>
      </c>
      <c r="D684" t="s">
        <v>111</v>
      </c>
      <c r="E684" t="s">
        <v>115</v>
      </c>
      <c r="F684" t="s">
        <v>113</v>
      </c>
      <c r="G684">
        <v>0.476190476190476</v>
      </c>
      <c r="H684">
        <v>2E+20</v>
      </c>
      <c r="I684">
        <v>0</v>
      </c>
      <c r="J684">
        <v>1</v>
      </c>
      <c r="K684">
        <v>0</v>
      </c>
      <c r="L684">
        <v>0</v>
      </c>
      <c r="M684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684" cm="1">
        <f t="array" ref="N684">MAX(IF((ProjectInfoTable[ProjectName]=ContinuousStatsTable[[#This Row],[ProjectName]]),(ProjectInfoTable[ProjectName]=ContinuousStatsTable[[#This Row],[ProjectName]])*ProjectInfoTable[NumberOfReplications]))</f>
        <v>10</v>
      </c>
      <c r="O684" cm="1">
        <f t="array" ref="O68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684" cm="1">
        <f t="array" ref="P684">IFERROR(_xlfn.STDEV.S(IF((ContinuousStatsTable[GroupByKey]=ContinuousStatsTable[[#This Row],[GroupByKey]]),(ContinuousStatsTable[GroupByKey]=ContinuousStatsTable[[#This Row],[GroupByKey]])*ContinuousStatsTable[Average])),0)</f>
        <v>0</v>
      </c>
      <c r="Q684" cm="1">
        <f t="array" ref="Q684">MAX(IF((ProjectInfoTable[ProjectName]=ContinuousStatsTable[[#This Row],[ProjectName]]),(ProjectInfoTable[ProjectName]=ContinuousStatsTable[[#This Row],[ProjectName]])*ProjectInfoTable[ConfidenceInterval]))</f>
        <v>0.95</v>
      </c>
      <c r="R6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4" cm="1">
        <f t="array" ref="S684">MIN(IF((ContinuousStatsTable[GroupByKey]=ContinuousStatsTable[[#This Row],[GroupByKey]]),(ContinuousStatsTable[GroupByKey]=ContinuousStatsTable[[#This Row],[GroupByKey]])*ContinuousStatsTable[Average]))</f>
        <v>0.476190476190476</v>
      </c>
      <c r="T684" cm="1">
        <f t="array" ref="T684">MAX(IF((ContinuousStatsTable[GroupByKey]=ContinuousStatsTable[[#This Row],[GroupByKey]]),(ContinuousStatsTable[GroupByKey]=ContinuousStatsTable[[#This Row],[GroupByKey]])*ContinuousStatsTable[Average]))</f>
        <v>0.476190476190476</v>
      </c>
      <c r="U684">
        <f>IF((ContinuousStatsTable[[#This Row],[RepsRequested]]&gt;1),ContinuousStatsTable[[#This Row],[HalfWidth]],ContinuousStatsTable[[#This Row],[BatchMeansHalfWidth]])</f>
        <v>0</v>
      </c>
    </row>
    <row r="685" spans="1:21" x14ac:dyDescent="0.25">
      <c r="A685" t="s">
        <v>67</v>
      </c>
      <c r="B685" t="s">
        <v>243</v>
      </c>
      <c r="C685">
        <v>9</v>
      </c>
      <c r="D685" t="s">
        <v>70</v>
      </c>
      <c r="E685" t="s">
        <v>116</v>
      </c>
      <c r="F685" t="s">
        <v>71</v>
      </c>
      <c r="G685">
        <v>2.0728031179306501</v>
      </c>
      <c r="H685">
        <v>3E+20</v>
      </c>
      <c r="I685">
        <v>0</v>
      </c>
      <c r="J685">
        <v>5</v>
      </c>
      <c r="K685">
        <v>2</v>
      </c>
      <c r="L685">
        <v>0</v>
      </c>
      <c r="M685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685" cm="1">
        <f t="array" ref="N685">MAX(IF((ProjectInfoTable[ProjectName]=ContinuousStatsTable[[#This Row],[ProjectName]]),(ProjectInfoTable[ProjectName]=ContinuousStatsTable[[#This Row],[ProjectName]])*ProjectInfoTable[NumberOfReplications]))</f>
        <v>10</v>
      </c>
      <c r="O685" cm="1">
        <f t="array" ref="O685">IFERROR(AVERAGE(IF((ContinuousStatsTable[GroupByKey]=ContinuousStatsTable[[#This Row],[GroupByKey]]),(ContinuousStatsTable[GroupByKey]=ContinuousStatsTable[[#This Row],[GroupByKey]])*ContinuousStatsTable[Average])),0)</f>
        <v>1.983224619189873</v>
      </c>
      <c r="P685" cm="1">
        <f t="array" ref="P685">IFERROR(_xlfn.STDEV.S(IF((ContinuousStatsTable[GroupByKey]=ContinuousStatsTable[[#This Row],[GroupByKey]]),(ContinuousStatsTable[GroupByKey]=ContinuousStatsTable[[#This Row],[GroupByKey]])*ContinuousStatsTable[Average])),0)</f>
        <v>0.29990249131557767</v>
      </c>
      <c r="Q685" cm="1">
        <f t="array" ref="Q685">MAX(IF((ProjectInfoTable[ProjectName]=ContinuousStatsTable[[#This Row],[ProjectName]]),(ProjectInfoTable[ProjectName]=ContinuousStatsTable[[#This Row],[ProjectName]])*ProjectInfoTable[ConfidenceInterval]))</f>
        <v>0.95</v>
      </c>
      <c r="R6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0.21453731828040576</v>
      </c>
      <c r="S685" cm="1">
        <f t="array" ref="S685">MIN(IF((ContinuousStatsTable[GroupByKey]=ContinuousStatsTable[[#This Row],[GroupByKey]]),(ContinuousStatsTable[GroupByKey]=ContinuousStatsTable[[#This Row],[GroupByKey]])*ContinuousStatsTable[Average]))</f>
        <v>1.4478959937017499</v>
      </c>
      <c r="T685" cm="1">
        <f t="array" ref="T685">MAX(IF((ContinuousStatsTable[GroupByKey]=ContinuousStatsTable[[#This Row],[GroupByKey]]),(ContinuousStatsTable[GroupByKey]=ContinuousStatsTable[[#This Row],[GroupByKey]])*ContinuousStatsTable[Average]))</f>
        <v>2.3267973127516899</v>
      </c>
      <c r="U685">
        <f>IF((ContinuousStatsTable[[#This Row],[RepsRequested]]&gt;1),ContinuousStatsTable[[#This Row],[HalfWidth]],ContinuousStatsTable[[#This Row],[BatchMeansHalfWidth]])</f>
        <v>0.21453731828040576</v>
      </c>
    </row>
    <row r="686" spans="1:21" x14ac:dyDescent="0.25">
      <c r="A686" t="s">
        <v>67</v>
      </c>
      <c r="B686" t="s">
        <v>243</v>
      </c>
      <c r="C686">
        <v>9</v>
      </c>
      <c r="D686" t="s">
        <v>73</v>
      </c>
      <c r="E686" t="s">
        <v>116</v>
      </c>
      <c r="F686" t="s">
        <v>71</v>
      </c>
      <c r="G686">
        <v>0.61272400857548104</v>
      </c>
      <c r="H686">
        <v>3E+20</v>
      </c>
      <c r="I686">
        <v>0</v>
      </c>
      <c r="J686">
        <v>2</v>
      </c>
      <c r="K686">
        <v>1</v>
      </c>
      <c r="L686">
        <v>0</v>
      </c>
      <c r="M686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686" cm="1">
        <f t="array" ref="N686">MAX(IF((ProjectInfoTable[ProjectName]=ContinuousStatsTable[[#This Row],[ProjectName]]),(ProjectInfoTable[ProjectName]=ContinuousStatsTable[[#This Row],[ProjectName]])*ProjectInfoTable[NumberOfReplications]))</f>
        <v>10</v>
      </c>
      <c r="O686" cm="1">
        <f t="array" ref="O686">IFERROR(AVERAGE(IF((ContinuousStatsTable[GroupByKey]=ContinuousStatsTable[[#This Row],[GroupByKey]]),(ContinuousStatsTable[GroupByKey]=ContinuousStatsTable[[#This Row],[GroupByKey]])*ContinuousStatsTable[Average])),0)</f>
        <v>0.47900820660242172</v>
      </c>
      <c r="P686" cm="1">
        <f t="array" ref="P686">IFERROR(_xlfn.STDEV.S(IF((ContinuousStatsTable[GroupByKey]=ContinuousStatsTable[[#This Row],[GroupByKey]]),(ContinuousStatsTable[GroupByKey]=ContinuousStatsTable[[#This Row],[GroupByKey]])*ContinuousStatsTable[Average])),0)</f>
        <v>0.13717282935395095</v>
      </c>
      <c r="Q686" cm="1">
        <f t="array" ref="Q686">MAX(IF((ProjectInfoTable[ProjectName]=ContinuousStatsTable[[#This Row],[ProjectName]]),(ProjectInfoTable[ProjectName]=ContinuousStatsTable[[#This Row],[ProjectName]])*ProjectInfoTable[ConfidenceInterval]))</f>
        <v>0.95</v>
      </c>
      <c r="R6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9.8127530789884315E-2</v>
      </c>
      <c r="S686" cm="1">
        <f t="array" ref="S686">MIN(IF((ContinuousStatsTable[GroupByKey]=ContinuousStatsTable[[#This Row],[GroupByKey]]),(ContinuousStatsTable[GroupByKey]=ContinuousStatsTable[[#This Row],[GroupByKey]])*ContinuousStatsTable[Average]))</f>
        <v>0.25584390949740998</v>
      </c>
      <c r="T686" cm="1">
        <f t="array" ref="T686">MAX(IF((ContinuousStatsTable[GroupByKey]=ContinuousStatsTable[[#This Row],[GroupByKey]]),(ContinuousStatsTable[GroupByKey]=ContinuousStatsTable[[#This Row],[GroupByKey]])*ContinuousStatsTable[Average]))</f>
        <v>0.66613303676888702</v>
      </c>
      <c r="U686">
        <f>IF((ContinuousStatsTable[[#This Row],[RepsRequested]]&gt;1),ContinuousStatsTable[[#This Row],[HalfWidth]],ContinuousStatsTable[[#This Row],[BatchMeansHalfWidth]])</f>
        <v>9.8127530789884315E-2</v>
      </c>
    </row>
    <row r="687" spans="1:21" x14ac:dyDescent="0.25">
      <c r="A687" t="s">
        <v>67</v>
      </c>
      <c r="B687" t="s">
        <v>243</v>
      </c>
      <c r="C687">
        <v>9</v>
      </c>
      <c r="D687" t="s">
        <v>74</v>
      </c>
      <c r="E687" t="s">
        <v>116</v>
      </c>
      <c r="F687" t="s">
        <v>71</v>
      </c>
      <c r="G687">
        <v>0.42853428087867601</v>
      </c>
      <c r="H687">
        <v>3E+20</v>
      </c>
      <c r="I687">
        <v>0</v>
      </c>
      <c r="J687">
        <v>2</v>
      </c>
      <c r="K687">
        <v>1</v>
      </c>
      <c r="L687">
        <v>0</v>
      </c>
      <c r="M687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687" cm="1">
        <f t="array" ref="N687">MAX(IF((ProjectInfoTable[ProjectName]=ContinuousStatsTable[[#This Row],[ProjectName]]),(ProjectInfoTable[ProjectName]=ContinuousStatsTable[[#This Row],[ProjectName]])*ProjectInfoTable[NumberOfReplications]))</f>
        <v>10</v>
      </c>
      <c r="O687" cm="1">
        <f t="array" ref="O687">IFERROR(AVERAGE(IF((ContinuousStatsTable[GroupByKey]=ContinuousStatsTable[[#This Row],[GroupByKey]]),(ContinuousStatsTable[GroupByKey]=ContinuousStatsTable[[#This Row],[GroupByKey]])*ContinuousStatsTable[Average])),0)</f>
        <v>0.41775820490048837</v>
      </c>
      <c r="P687" cm="1">
        <f t="array" ref="P687">IFERROR(_xlfn.STDEV.S(IF((ContinuousStatsTable[GroupByKey]=ContinuousStatsTable[[#This Row],[GroupByKey]]),(ContinuousStatsTable[GroupByKey]=ContinuousStatsTable[[#This Row],[GroupByKey]])*ContinuousStatsTable[Average])),0)</f>
        <v>0.15099462697666188</v>
      </c>
      <c r="Q687" cm="1">
        <f t="array" ref="Q687">MAX(IF((ProjectInfoTable[ProjectName]=ContinuousStatsTable[[#This Row],[ProjectName]]),(ProjectInfoTable[ProjectName]=ContinuousStatsTable[[#This Row],[ProjectName]])*ProjectInfoTable[ConfidenceInterval]))</f>
        <v>0.95</v>
      </c>
      <c r="R6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0.1080150491722195</v>
      </c>
      <c r="S687" cm="1">
        <f t="array" ref="S687">MIN(IF((ContinuousStatsTable[GroupByKey]=ContinuousStatsTable[[#This Row],[GroupByKey]]),(ContinuousStatsTable[GroupByKey]=ContinuousStatsTable[[#This Row],[GroupByKey]])*ContinuousStatsTable[Average]))</f>
        <v>0.25632285648643699</v>
      </c>
      <c r="T687" cm="1">
        <f t="array" ref="T687">MAX(IF((ContinuousStatsTable[GroupByKey]=ContinuousStatsTable[[#This Row],[GroupByKey]]),(ContinuousStatsTable[GroupByKey]=ContinuousStatsTable[[#This Row],[GroupByKey]])*ContinuousStatsTable[Average]))</f>
        <v>0.68422762922173497</v>
      </c>
      <c r="U687">
        <f>IF((ContinuousStatsTable[[#This Row],[RepsRequested]]&gt;1),ContinuousStatsTable[[#This Row],[HalfWidth]],ContinuousStatsTable[[#This Row],[BatchMeansHalfWidth]])</f>
        <v>0.1080150491722195</v>
      </c>
    </row>
    <row r="688" spans="1:21" x14ac:dyDescent="0.25">
      <c r="A688" t="s">
        <v>67</v>
      </c>
      <c r="B688" t="s">
        <v>243</v>
      </c>
      <c r="C688">
        <v>9</v>
      </c>
      <c r="D688" t="s">
        <v>75</v>
      </c>
      <c r="E688" t="s">
        <v>117</v>
      </c>
      <c r="F688" t="s">
        <v>76</v>
      </c>
      <c r="G688">
        <v>16.5366408237728</v>
      </c>
      <c r="H688">
        <v>2E+20</v>
      </c>
      <c r="I688">
        <v>0</v>
      </c>
      <c r="J688">
        <v>114</v>
      </c>
      <c r="K688">
        <v>0</v>
      </c>
      <c r="L688">
        <v>0</v>
      </c>
      <c r="M688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88" cm="1">
        <f t="array" ref="N688">MAX(IF((ProjectInfoTable[ProjectName]=ContinuousStatsTable[[#This Row],[ProjectName]]),(ProjectInfoTable[ProjectName]=ContinuousStatsTable[[#This Row],[ProjectName]])*ProjectInfoTable[NumberOfReplications]))</f>
        <v>10</v>
      </c>
      <c r="O688" cm="1">
        <f t="array" ref="O688">IFERROR(AVERAGE(IF((ContinuousStatsTable[GroupByKey]=ContinuousStatsTable[[#This Row],[GroupByKey]]),(ContinuousStatsTable[GroupByKey]=ContinuousStatsTable[[#This Row],[GroupByKey]])*ContinuousStatsTable[Average])),0)</f>
        <v>17.583529006307167</v>
      </c>
      <c r="P688" cm="1">
        <f t="array" ref="P688">IFERROR(_xlfn.STDEV.S(IF((ContinuousStatsTable[GroupByKey]=ContinuousStatsTable[[#This Row],[GroupByKey]]),(ContinuousStatsTable[GroupByKey]=ContinuousStatsTable[[#This Row],[GroupByKey]])*ContinuousStatsTable[Average])),0)</f>
        <v>4.1660214616007023</v>
      </c>
      <c r="Q688" cm="1">
        <f t="array" ref="Q688">MAX(IF((ProjectInfoTable[ProjectName]=ContinuousStatsTable[[#This Row],[ProjectName]]),(ProjectInfoTable[ProjectName]=ContinuousStatsTable[[#This Row],[ProjectName]])*ProjectInfoTable[ConfidenceInterval]))</f>
        <v>0.95</v>
      </c>
      <c r="R6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2.9801922229780646</v>
      </c>
      <c r="S688" cm="1">
        <f t="array" ref="S688">MIN(IF((ContinuousStatsTable[GroupByKey]=ContinuousStatsTable[[#This Row],[GroupByKey]]),(ContinuousStatsTable[GroupByKey]=ContinuousStatsTable[[#This Row],[GroupByKey]])*ContinuousStatsTable[Average]))</f>
        <v>10.842462759184199</v>
      </c>
      <c r="T688" cm="1">
        <f t="array" ref="T688">MAX(IF((ContinuousStatsTable[GroupByKey]=ContinuousStatsTable[[#This Row],[GroupByKey]]),(ContinuousStatsTable[GroupByKey]=ContinuousStatsTable[[#This Row],[GroupByKey]])*ContinuousStatsTable[Average]))</f>
        <v>25.8699848535447</v>
      </c>
      <c r="U688">
        <f>IF((ContinuousStatsTable[[#This Row],[RepsRequested]]&gt;1),ContinuousStatsTable[[#This Row],[HalfWidth]],ContinuousStatsTable[[#This Row],[BatchMeansHalfWidth]])</f>
        <v>2.9801922229780646</v>
      </c>
    </row>
    <row r="689" spans="1:21" x14ac:dyDescent="0.25">
      <c r="A689" t="s">
        <v>67</v>
      </c>
      <c r="B689" t="s">
        <v>243</v>
      </c>
      <c r="C689">
        <v>9</v>
      </c>
      <c r="D689" t="s">
        <v>118</v>
      </c>
      <c r="E689" t="s">
        <v>117</v>
      </c>
      <c r="F689" t="s">
        <v>76</v>
      </c>
      <c r="G689">
        <v>104.034812219697</v>
      </c>
      <c r="H689">
        <v>3E+20</v>
      </c>
      <c r="I689">
        <v>0</v>
      </c>
      <c r="J689">
        <v>211</v>
      </c>
      <c r="K689">
        <v>211</v>
      </c>
      <c r="L689">
        <v>0</v>
      </c>
      <c r="M689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89" cm="1">
        <f t="array" ref="N689">MAX(IF((ProjectInfoTable[ProjectName]=ContinuousStatsTable[[#This Row],[ProjectName]]),(ProjectInfoTable[ProjectName]=ContinuousStatsTable[[#This Row],[ProjectName]])*ProjectInfoTable[NumberOfReplications]))</f>
        <v>10</v>
      </c>
      <c r="O689" cm="1">
        <f t="array" ref="O689">IFERROR(AVERAGE(IF((ContinuousStatsTable[GroupByKey]=ContinuousStatsTable[[#This Row],[GroupByKey]]),(ContinuousStatsTable[GroupByKey]=ContinuousStatsTable[[#This Row],[GroupByKey]])*ContinuousStatsTable[Average])),0)</f>
        <v>95.041511376368575</v>
      </c>
      <c r="P689" cm="1">
        <f t="array" ref="P689">IFERROR(_xlfn.STDEV.S(IF((ContinuousStatsTable[GroupByKey]=ContinuousStatsTable[[#This Row],[GroupByKey]]),(ContinuousStatsTable[GroupByKey]=ContinuousStatsTable[[#This Row],[GroupByKey]])*ContinuousStatsTable[Average])),0)</f>
        <v>6.556289254191463</v>
      </c>
      <c r="Q689" cm="1">
        <f t="array" ref="Q689">MAX(IF((ProjectInfoTable[ProjectName]=ContinuousStatsTable[[#This Row],[ProjectName]]),(ProjectInfoTable[ProjectName]=ContinuousStatsTable[[#This Row],[ProjectName]])*ProjectInfoTable[ConfidenceInterval]))</f>
        <v>0.95</v>
      </c>
      <c r="R6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4.6900867955271215</v>
      </c>
      <c r="S689" cm="1">
        <f t="array" ref="S689">MIN(IF((ContinuousStatsTable[GroupByKey]=ContinuousStatsTable[[#This Row],[GroupByKey]]),(ContinuousStatsTable[GroupByKey]=ContinuousStatsTable[[#This Row],[GroupByKey]])*ContinuousStatsTable[Average]))</f>
        <v>81.860988802888798</v>
      </c>
      <c r="T689" cm="1">
        <f t="array" ref="T689">MAX(IF((ContinuousStatsTable[GroupByKey]=ContinuousStatsTable[[#This Row],[GroupByKey]]),(ContinuousStatsTable[GroupByKey]=ContinuousStatsTable[[#This Row],[GroupByKey]])*ContinuousStatsTable[Average]))</f>
        <v>104.034812219697</v>
      </c>
      <c r="U689">
        <f>IF((ContinuousStatsTable[[#This Row],[RepsRequested]]&gt;1),ContinuousStatsTable[[#This Row],[HalfWidth]],ContinuousStatsTable[[#This Row],[BatchMeansHalfWidth]])</f>
        <v>4.6900867955271215</v>
      </c>
    </row>
    <row r="690" spans="1:21" x14ac:dyDescent="0.25">
      <c r="A690" t="s">
        <v>67</v>
      </c>
      <c r="B690" t="s">
        <v>243</v>
      </c>
      <c r="C690">
        <v>9</v>
      </c>
      <c r="D690" t="s">
        <v>119</v>
      </c>
      <c r="E690" t="s">
        <v>117</v>
      </c>
      <c r="F690" t="s">
        <v>76</v>
      </c>
      <c r="G690">
        <v>945.12553703569597</v>
      </c>
      <c r="H690">
        <v>3E+20</v>
      </c>
      <c r="I690">
        <v>0</v>
      </c>
      <c r="J690">
        <v>1834</v>
      </c>
      <c r="K690">
        <v>1834</v>
      </c>
      <c r="L690">
        <v>0</v>
      </c>
      <c r="M690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690" cm="1">
        <f t="array" ref="N690">MAX(IF((ProjectInfoTable[ProjectName]=ContinuousStatsTable[[#This Row],[ProjectName]]),(ProjectInfoTable[ProjectName]=ContinuousStatsTable[[#This Row],[ProjectName]])*ProjectInfoTable[NumberOfReplications]))</f>
        <v>10</v>
      </c>
      <c r="O690" cm="1">
        <f t="array" ref="O690">IFERROR(AVERAGE(IF((ContinuousStatsTable[GroupByKey]=ContinuousStatsTable[[#This Row],[GroupByKey]]),(ContinuousStatsTable[GroupByKey]=ContinuousStatsTable[[#This Row],[GroupByKey]])*ContinuousStatsTable[Average])),0)</f>
        <v>959.25249800465133</v>
      </c>
      <c r="P690" cm="1">
        <f t="array" ref="P690">IFERROR(_xlfn.STDEV.S(IF((ContinuousStatsTable[GroupByKey]=ContinuousStatsTable[[#This Row],[GroupByKey]]),(ContinuousStatsTable[GroupByKey]=ContinuousStatsTable[[#This Row],[GroupByKey]])*ContinuousStatsTable[Average])),0)</f>
        <v>16.228386811509871</v>
      </c>
      <c r="Q690" cm="1">
        <f t="array" ref="Q690">MAX(IF((ProjectInfoTable[ProjectName]=ContinuousStatsTable[[#This Row],[ProjectName]]),(ProjectInfoTable[ProjectName]=ContinuousStatsTable[[#This Row],[ProjectName]])*ProjectInfoTable[ConfidenceInterval]))</f>
        <v>0.95</v>
      </c>
      <c r="R6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11.609088578376843</v>
      </c>
      <c r="S690" cm="1">
        <f t="array" ref="S690">MIN(IF((ContinuousStatsTable[GroupByKey]=ContinuousStatsTable[[#This Row],[GroupByKey]]),(ContinuousStatsTable[GroupByKey]=ContinuousStatsTable[[#This Row],[GroupByKey]])*ContinuousStatsTable[Average]))</f>
        <v>935.21729677519602</v>
      </c>
      <c r="T690" cm="1">
        <f t="array" ref="T690">MAX(IF((ContinuousStatsTable[GroupByKey]=ContinuousStatsTable[[#This Row],[GroupByKey]]),(ContinuousStatsTable[GroupByKey]=ContinuousStatsTable[[#This Row],[GroupByKey]])*ContinuousStatsTable[Average]))</f>
        <v>986.61029939527498</v>
      </c>
      <c r="U690">
        <f>IF((ContinuousStatsTable[[#This Row],[RepsRequested]]&gt;1),ContinuousStatsTable[[#This Row],[HalfWidth]],ContinuousStatsTable[[#This Row],[BatchMeansHalfWidth]])</f>
        <v>11.609088578376843</v>
      </c>
    </row>
    <row r="691" spans="1:21" x14ac:dyDescent="0.25">
      <c r="A691" t="s">
        <v>67</v>
      </c>
      <c r="B691" t="s">
        <v>243</v>
      </c>
      <c r="C691">
        <v>9</v>
      </c>
      <c r="D691" t="s">
        <v>120</v>
      </c>
      <c r="E691" t="s">
        <v>117</v>
      </c>
      <c r="F691" t="s">
        <v>76</v>
      </c>
      <c r="G691">
        <v>4217.8451853000497</v>
      </c>
      <c r="H691">
        <v>3E+20</v>
      </c>
      <c r="I691">
        <v>0</v>
      </c>
      <c r="J691">
        <v>8146</v>
      </c>
      <c r="K691">
        <v>8146</v>
      </c>
      <c r="L691">
        <v>0</v>
      </c>
      <c r="M691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691" cm="1">
        <f t="array" ref="N691">MAX(IF((ProjectInfoTable[ProjectName]=ContinuousStatsTable[[#This Row],[ProjectName]]),(ProjectInfoTable[ProjectName]=ContinuousStatsTable[[#This Row],[ProjectName]])*ProjectInfoTable[NumberOfReplications]))</f>
        <v>10</v>
      </c>
      <c r="O691" cm="1">
        <f t="array" ref="O691">IFERROR(AVERAGE(IF((ContinuousStatsTable[GroupByKey]=ContinuousStatsTable[[#This Row],[GroupByKey]]),(ContinuousStatsTable[GroupByKey]=ContinuousStatsTable[[#This Row],[GroupByKey]])*ContinuousStatsTable[Average])),0)</f>
        <v>4203.5615331875215</v>
      </c>
      <c r="P691" cm="1">
        <f t="array" ref="P691">IFERROR(_xlfn.STDEV.S(IF((ContinuousStatsTable[GroupByKey]=ContinuousStatsTable[[#This Row],[GroupByKey]]),(ContinuousStatsTable[GroupByKey]=ContinuousStatsTable[[#This Row],[GroupByKey]])*ContinuousStatsTable[Average])),0)</f>
        <v>17.695322227060075</v>
      </c>
      <c r="Q691" cm="1">
        <f t="array" ref="Q691">MAX(IF((ProjectInfoTable[ProjectName]=ContinuousStatsTable[[#This Row],[ProjectName]]),(ProjectInfoTable[ProjectName]=ContinuousStatsTable[[#This Row],[ProjectName]])*ProjectInfoTable[ConfidenceInterval]))</f>
        <v>0.95</v>
      </c>
      <c r="R6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12.658470958503626</v>
      </c>
      <c r="S691" cm="1">
        <f t="array" ref="S691">MIN(IF((ContinuousStatsTable[GroupByKey]=ContinuousStatsTable[[#This Row],[GroupByKey]]),(ContinuousStatsTable[GroupByKey]=ContinuousStatsTable[[#This Row],[GroupByKey]])*ContinuousStatsTable[Average]))</f>
        <v>4170.1494074333395</v>
      </c>
      <c r="T691" cm="1">
        <f t="array" ref="T691">MAX(IF((ContinuousStatsTable[GroupByKey]=ContinuousStatsTable[[#This Row],[GroupByKey]]),(ContinuousStatsTable[GroupByKey]=ContinuousStatsTable[[#This Row],[GroupByKey]])*ContinuousStatsTable[Average]))</f>
        <v>4233.0569788620896</v>
      </c>
      <c r="U691">
        <f>IF((ContinuousStatsTable[[#This Row],[RepsRequested]]&gt;1),ContinuousStatsTable[[#This Row],[HalfWidth]],ContinuousStatsTable[[#This Row],[BatchMeansHalfWidth]])</f>
        <v>12.658470958503626</v>
      </c>
    </row>
    <row r="692" spans="1:21" x14ac:dyDescent="0.25">
      <c r="A692" t="s">
        <v>67</v>
      </c>
      <c r="B692" t="s">
        <v>243</v>
      </c>
      <c r="C692">
        <v>9</v>
      </c>
      <c r="D692" t="s">
        <v>121</v>
      </c>
      <c r="E692" t="s">
        <v>112</v>
      </c>
      <c r="F692" t="s">
        <v>113</v>
      </c>
      <c r="G692">
        <v>0.50180782276445501</v>
      </c>
      <c r="H692">
        <v>3E+20</v>
      </c>
      <c r="I692">
        <v>0</v>
      </c>
      <c r="J692">
        <v>1</v>
      </c>
      <c r="K692">
        <v>1</v>
      </c>
      <c r="L692">
        <v>0</v>
      </c>
      <c r="M692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692" cm="1">
        <f t="array" ref="N692">MAX(IF((ProjectInfoTable[ProjectName]=ContinuousStatsTable[[#This Row],[ProjectName]]),(ProjectInfoTable[ProjectName]=ContinuousStatsTable[[#This Row],[ProjectName]])*ProjectInfoTable[NumberOfReplications]))</f>
        <v>10</v>
      </c>
      <c r="O692" cm="1">
        <f t="array" ref="O692">IFERROR(AVERAGE(IF((ContinuousStatsTable[GroupByKey]=ContinuousStatsTable[[#This Row],[GroupByKey]]),(ContinuousStatsTable[GroupByKey]=ContinuousStatsTable[[#This Row],[GroupByKey]])*ContinuousStatsTable[Average])),0)</f>
        <v>0.48160620907873086</v>
      </c>
      <c r="P692" cm="1">
        <f t="array" ref="P692">IFERROR(_xlfn.STDEV.S(IF((ContinuousStatsTable[GroupByKey]=ContinuousStatsTable[[#This Row],[GroupByKey]]),(ContinuousStatsTable[GroupByKey]=ContinuousStatsTable[[#This Row],[GroupByKey]])*ContinuousStatsTable[Average])),0)</f>
        <v>8.6686321722355061E-2</v>
      </c>
      <c r="Q692" cm="1">
        <f t="array" ref="Q692">MAX(IF((ProjectInfoTable[ProjectName]=ContinuousStatsTable[[#This Row],[ProjectName]]),(ProjectInfoTable[ProjectName]=ContinuousStatsTable[[#This Row],[ProjectName]])*ProjectInfoTable[ConfidenceInterval]))</f>
        <v>0.95</v>
      </c>
      <c r="R6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6.2011658897281531E-2</v>
      </c>
      <c r="S692" cm="1">
        <f t="array" ref="S692">MIN(IF((ContinuousStatsTable[GroupByKey]=ContinuousStatsTable[[#This Row],[GroupByKey]]),(ContinuousStatsTable[GroupByKey]=ContinuousStatsTable[[#This Row],[GroupByKey]])*ContinuousStatsTable[Average]))</f>
        <v>0.292184201252493</v>
      </c>
      <c r="T692" cm="1">
        <f t="array" ref="T692">MAX(IF((ContinuousStatsTable[GroupByKey]=ContinuousStatsTable[[#This Row],[GroupByKey]]),(ContinuousStatsTable[GroupByKey]=ContinuousStatsTable[[#This Row],[GroupByKey]])*ContinuousStatsTable[Average]))</f>
        <v>0.57167989674475905</v>
      </c>
      <c r="U692">
        <f>IF((ContinuousStatsTable[[#This Row],[RepsRequested]]&gt;1),ContinuousStatsTable[[#This Row],[HalfWidth]],ContinuousStatsTable[[#This Row],[BatchMeansHalfWidth]])</f>
        <v>6.2011658897281531E-2</v>
      </c>
    </row>
    <row r="693" spans="1:21" x14ac:dyDescent="0.25">
      <c r="A693" t="s">
        <v>67</v>
      </c>
      <c r="B693" t="s">
        <v>243</v>
      </c>
      <c r="C693">
        <v>9</v>
      </c>
      <c r="D693" t="s">
        <v>121</v>
      </c>
      <c r="E693" t="s">
        <v>114</v>
      </c>
      <c r="F693" t="s">
        <v>113</v>
      </c>
      <c r="G693">
        <v>2.0072312910578201</v>
      </c>
      <c r="H693">
        <v>3E+20</v>
      </c>
      <c r="I693">
        <v>0</v>
      </c>
      <c r="J693">
        <v>4</v>
      </c>
      <c r="K693">
        <v>4</v>
      </c>
      <c r="L693">
        <v>0</v>
      </c>
      <c r="M693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693" cm="1">
        <f t="array" ref="N693">MAX(IF((ProjectInfoTable[ProjectName]=ContinuousStatsTable[[#This Row],[ProjectName]]),(ProjectInfoTable[ProjectName]=ContinuousStatsTable[[#This Row],[ProjectName]])*ProjectInfoTable[NumberOfReplications]))</f>
        <v>10</v>
      </c>
      <c r="O693" cm="1">
        <f t="array" ref="O693">IFERROR(AVERAGE(IF((ContinuousStatsTable[GroupByKey]=ContinuousStatsTable[[#This Row],[GroupByKey]]),(ContinuousStatsTable[GroupByKey]=ContinuousStatsTable[[#This Row],[GroupByKey]])*ContinuousStatsTable[Average])),0)</f>
        <v>1.9264248363149217</v>
      </c>
      <c r="P693" cm="1">
        <f t="array" ref="P693">IFERROR(_xlfn.STDEV.S(IF((ContinuousStatsTable[GroupByKey]=ContinuousStatsTable[[#This Row],[GroupByKey]]),(ContinuousStatsTable[GroupByKey]=ContinuousStatsTable[[#This Row],[GroupByKey]])*ContinuousStatsTable[Average])),0)</f>
        <v>0.34674528688941914</v>
      </c>
      <c r="Q693" cm="1">
        <f t="array" ref="Q693">MAX(IF((ProjectInfoTable[ProjectName]=ContinuousStatsTable[[#This Row],[ProjectName]]),(ProjectInfoTable[ProjectName]=ContinuousStatsTable[[#This Row],[ProjectName]])*ProjectInfoTable[ConfidenceInterval]))</f>
        <v>0.95</v>
      </c>
      <c r="R6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0.24804663558912532</v>
      </c>
      <c r="S693" cm="1">
        <f t="array" ref="S693">MIN(IF((ContinuousStatsTable[GroupByKey]=ContinuousStatsTable[[#This Row],[GroupByKey]]),(ContinuousStatsTable[GroupByKey]=ContinuousStatsTable[[#This Row],[GroupByKey]])*ContinuousStatsTable[Average]))</f>
        <v>1.16873680500997</v>
      </c>
      <c r="T693" cm="1">
        <f t="array" ref="T693">MAX(IF((ContinuousStatsTable[GroupByKey]=ContinuousStatsTable[[#This Row],[GroupByKey]]),(ContinuousStatsTable[GroupByKey]=ContinuousStatsTable[[#This Row],[GroupByKey]])*ContinuousStatsTable[Average]))</f>
        <v>2.28671958697903</v>
      </c>
      <c r="U693">
        <f>IF((ContinuousStatsTable[[#This Row],[RepsRequested]]&gt;1),ContinuousStatsTable[[#This Row],[HalfWidth]],ContinuousStatsTable[[#This Row],[BatchMeansHalfWidth]])</f>
        <v>0.24804663558912532</v>
      </c>
    </row>
    <row r="694" spans="1:21" x14ac:dyDescent="0.25">
      <c r="A694" t="s">
        <v>67</v>
      </c>
      <c r="B694" t="s">
        <v>243</v>
      </c>
      <c r="C694">
        <v>9</v>
      </c>
      <c r="D694" t="s">
        <v>121</v>
      </c>
      <c r="E694" t="s">
        <v>115</v>
      </c>
      <c r="F694" t="s">
        <v>113</v>
      </c>
      <c r="G694">
        <v>4</v>
      </c>
      <c r="H694">
        <v>2E+20</v>
      </c>
      <c r="I694">
        <v>4</v>
      </c>
      <c r="J694">
        <v>4</v>
      </c>
      <c r="K694">
        <v>4</v>
      </c>
      <c r="L694">
        <v>0</v>
      </c>
      <c r="M694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694" cm="1">
        <f t="array" ref="N694">MAX(IF((ProjectInfoTable[ProjectName]=ContinuousStatsTable[[#This Row],[ProjectName]]),(ProjectInfoTable[ProjectName]=ContinuousStatsTable[[#This Row],[ProjectName]])*ProjectInfoTable[NumberOfReplications]))</f>
        <v>10</v>
      </c>
      <c r="O694" cm="1">
        <f t="array" ref="O694">IFERROR(AVERAGE(IF((ContinuousStatsTable[GroupByKey]=ContinuousStatsTable[[#This Row],[GroupByKey]]),(ContinuousStatsTable[GroupByKey]=ContinuousStatsTable[[#This Row],[GroupByKey]])*ContinuousStatsTable[Average])),0)</f>
        <v>4</v>
      </c>
      <c r="P694" cm="1">
        <f t="array" ref="P694">IFERROR(_xlfn.STDEV.S(IF((ContinuousStatsTable[GroupByKey]=ContinuousStatsTable[[#This Row],[GroupByKey]]),(ContinuousStatsTable[GroupByKey]=ContinuousStatsTable[[#This Row],[GroupByKey]])*ContinuousStatsTable[Average])),0)</f>
        <v>0</v>
      </c>
      <c r="Q694" cm="1">
        <f t="array" ref="Q694">MAX(IF((ProjectInfoTable[ProjectName]=ContinuousStatsTable[[#This Row],[ProjectName]]),(ProjectInfoTable[ProjectName]=ContinuousStatsTable[[#This Row],[ProjectName]])*ProjectInfoTable[ConfidenceInterval]))</f>
        <v>0.95</v>
      </c>
      <c r="R6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4" cm="1">
        <f t="array" ref="S694">MIN(IF((ContinuousStatsTable[GroupByKey]=ContinuousStatsTable[[#This Row],[GroupByKey]]),(ContinuousStatsTable[GroupByKey]=ContinuousStatsTable[[#This Row],[GroupByKey]])*ContinuousStatsTable[Average]))</f>
        <v>4</v>
      </c>
      <c r="T694" cm="1">
        <f t="array" ref="T694">MAX(IF((ContinuousStatsTable[GroupByKey]=ContinuousStatsTable[[#This Row],[GroupByKey]]),(ContinuousStatsTable[GroupByKey]=ContinuousStatsTable[[#This Row],[GroupByKey]])*ContinuousStatsTable[Average]))</f>
        <v>4</v>
      </c>
      <c r="U694">
        <f>IF((ContinuousStatsTable[[#This Row],[RepsRequested]]&gt;1),ContinuousStatsTable[[#This Row],[HalfWidth]],ContinuousStatsTable[[#This Row],[BatchMeansHalfWidth]])</f>
        <v>0</v>
      </c>
    </row>
    <row r="695" spans="1:21" x14ac:dyDescent="0.25">
      <c r="A695" t="s">
        <v>67</v>
      </c>
      <c r="B695" t="s">
        <v>243</v>
      </c>
      <c r="C695">
        <v>9</v>
      </c>
      <c r="D695" t="s">
        <v>122</v>
      </c>
      <c r="E695" t="s">
        <v>112</v>
      </c>
      <c r="F695" t="s">
        <v>113</v>
      </c>
      <c r="G695">
        <v>0.20500025225945401</v>
      </c>
      <c r="H695">
        <v>3E+20</v>
      </c>
      <c r="I695">
        <v>0</v>
      </c>
      <c r="J695">
        <v>1</v>
      </c>
      <c r="K695">
        <v>0</v>
      </c>
      <c r="L695">
        <v>0</v>
      </c>
      <c r="M695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695" cm="1">
        <f t="array" ref="N695">MAX(IF((ProjectInfoTable[ProjectName]=ContinuousStatsTable[[#This Row],[ProjectName]]),(ProjectInfoTable[ProjectName]=ContinuousStatsTable[[#This Row],[ProjectName]])*ProjectInfoTable[NumberOfReplications]))</f>
        <v>10</v>
      </c>
      <c r="O695" cm="1">
        <f t="array" ref="O695">IFERROR(AVERAGE(IF((ContinuousStatsTable[GroupByKey]=ContinuousStatsTable[[#This Row],[GroupByKey]]),(ContinuousStatsTable[GroupByKey]=ContinuousStatsTable[[#This Row],[GroupByKey]])*ContinuousStatsTable[Average])),0)</f>
        <v>0.25269289312392118</v>
      </c>
      <c r="P695" cm="1">
        <f t="array" ref="P695">IFERROR(_xlfn.STDEV.S(IF((ContinuousStatsTable[GroupByKey]=ContinuousStatsTable[[#This Row],[GroupByKey]]),(ContinuousStatsTable[GroupByKey]=ContinuousStatsTable[[#This Row],[GroupByKey]])*ContinuousStatsTable[Average])),0)</f>
        <v>4.9214010083081669E-2</v>
      </c>
      <c r="Q695" cm="1">
        <f t="array" ref="Q695">MAX(IF((ProjectInfoTable[ProjectName]=ContinuousStatsTable[[#This Row],[ProjectName]]),(ProjectInfoTable[ProjectName]=ContinuousStatsTable[[#This Row],[ProjectName]])*ProjectInfoTable[ConfidenceInterval]))</f>
        <v>0.95</v>
      </c>
      <c r="R6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3.5205581983442397E-2</v>
      </c>
      <c r="S695" cm="1">
        <f t="array" ref="S695">MIN(IF((ContinuousStatsTable[GroupByKey]=ContinuousStatsTable[[#This Row],[GroupByKey]]),(ContinuousStatsTable[GroupByKey]=ContinuousStatsTable[[#This Row],[GroupByKey]])*ContinuousStatsTable[Average]))</f>
        <v>0.20500025225945401</v>
      </c>
      <c r="T695" cm="1">
        <f t="array" ref="T695">MAX(IF((ContinuousStatsTable[GroupByKey]=ContinuousStatsTable[[#This Row],[GroupByKey]]),(ContinuousStatsTable[GroupByKey]=ContinuousStatsTable[[#This Row],[GroupByKey]])*ContinuousStatsTable[Average]))</f>
        <v>0.33570777662711199</v>
      </c>
      <c r="U695">
        <f>IF((ContinuousStatsTable[[#This Row],[RepsRequested]]&gt;1),ContinuousStatsTable[[#This Row],[HalfWidth]],ContinuousStatsTable[[#This Row],[BatchMeansHalfWidth]])</f>
        <v>3.5205581983442397E-2</v>
      </c>
    </row>
    <row r="696" spans="1:21" x14ac:dyDescent="0.25">
      <c r="A696" t="s">
        <v>67</v>
      </c>
      <c r="B696" t="s">
        <v>243</v>
      </c>
      <c r="C696">
        <v>9</v>
      </c>
      <c r="D696" t="s">
        <v>122</v>
      </c>
      <c r="E696" t="s">
        <v>114</v>
      </c>
      <c r="F696" t="s">
        <v>113</v>
      </c>
      <c r="G696">
        <v>0.61500075677836796</v>
      </c>
      <c r="H696">
        <v>3E+20</v>
      </c>
      <c r="I696">
        <v>0</v>
      </c>
      <c r="J696">
        <v>3</v>
      </c>
      <c r="K696">
        <v>0</v>
      </c>
      <c r="L696">
        <v>0</v>
      </c>
      <c r="M696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696" cm="1">
        <f t="array" ref="N696">MAX(IF((ProjectInfoTable[ProjectName]=ContinuousStatsTable[[#This Row],[ProjectName]]),(ProjectInfoTable[ProjectName]=ContinuousStatsTable[[#This Row],[ProjectName]])*ProjectInfoTable[NumberOfReplications]))</f>
        <v>10</v>
      </c>
      <c r="O696" cm="1">
        <f t="array" ref="O696">IFERROR(AVERAGE(IF((ContinuousStatsTable[GroupByKey]=ContinuousStatsTable[[#This Row],[GroupByKey]]),(ContinuousStatsTable[GroupByKey]=ContinuousStatsTable[[#This Row],[GroupByKey]])*ContinuousStatsTable[Average])),0)</f>
        <v>0.75807867937176476</v>
      </c>
      <c r="P696" cm="1">
        <f t="array" ref="P696">IFERROR(_xlfn.STDEV.S(IF((ContinuousStatsTable[GroupByKey]=ContinuousStatsTable[[#This Row],[GroupByKey]]),(ContinuousStatsTable[GroupByKey]=ContinuousStatsTable[[#This Row],[GroupByKey]])*ContinuousStatsTable[Average])),0)</f>
        <v>0.14764203024924766</v>
      </c>
      <c r="Q696" cm="1">
        <f t="array" ref="Q696">MAX(IF((ProjectInfoTable[ProjectName]=ContinuousStatsTable[[#This Row],[ProjectName]]),(ProjectInfoTable[ProjectName]=ContinuousStatsTable[[#This Row],[ProjectName]])*ProjectInfoTable[ConfidenceInterval]))</f>
        <v>0.95</v>
      </c>
      <c r="R6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0.10561674595032908</v>
      </c>
      <c r="S696" cm="1">
        <f t="array" ref="S696">MIN(IF((ContinuousStatsTable[GroupByKey]=ContinuousStatsTable[[#This Row],[GroupByKey]]),(ContinuousStatsTable[GroupByKey]=ContinuousStatsTable[[#This Row],[GroupByKey]])*ContinuousStatsTable[Average]))</f>
        <v>0.61500075677836796</v>
      </c>
      <c r="T696" cm="1">
        <f t="array" ref="T696">MAX(IF((ContinuousStatsTable[GroupByKey]=ContinuousStatsTable[[#This Row],[GroupByKey]]),(ContinuousStatsTable[GroupByKey]=ContinuousStatsTable[[#This Row],[GroupByKey]])*ContinuousStatsTable[Average]))</f>
        <v>1.00712332988134</v>
      </c>
      <c r="U696">
        <f>IF((ContinuousStatsTable[[#This Row],[RepsRequested]]&gt;1),ContinuousStatsTable[[#This Row],[HalfWidth]],ContinuousStatsTable[[#This Row],[BatchMeansHalfWidth]])</f>
        <v>0.10561674595032908</v>
      </c>
    </row>
    <row r="697" spans="1:21" x14ac:dyDescent="0.25">
      <c r="A697" t="s">
        <v>67</v>
      </c>
      <c r="B697" t="s">
        <v>243</v>
      </c>
      <c r="C697">
        <v>9</v>
      </c>
      <c r="D697" t="s">
        <v>122</v>
      </c>
      <c r="E697" t="s">
        <v>115</v>
      </c>
      <c r="F697" t="s">
        <v>113</v>
      </c>
      <c r="G697">
        <v>3</v>
      </c>
      <c r="H697">
        <v>2E+20</v>
      </c>
      <c r="I697">
        <v>3</v>
      </c>
      <c r="J697">
        <v>3</v>
      </c>
      <c r="K697">
        <v>3</v>
      </c>
      <c r="L697">
        <v>0</v>
      </c>
      <c r="M697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697" cm="1">
        <f t="array" ref="N697">MAX(IF((ProjectInfoTable[ProjectName]=ContinuousStatsTable[[#This Row],[ProjectName]]),(ProjectInfoTable[ProjectName]=ContinuousStatsTable[[#This Row],[ProjectName]])*ProjectInfoTable[NumberOfReplications]))</f>
        <v>10</v>
      </c>
      <c r="O697" cm="1">
        <f t="array" ref="O697">IFERROR(AVERAGE(IF((ContinuousStatsTable[GroupByKey]=ContinuousStatsTable[[#This Row],[GroupByKey]]),(ContinuousStatsTable[GroupByKey]=ContinuousStatsTable[[#This Row],[GroupByKey]])*ContinuousStatsTable[Average])),0)</f>
        <v>3</v>
      </c>
      <c r="P697" cm="1">
        <f t="array" ref="P697">IFERROR(_xlfn.STDEV.S(IF((ContinuousStatsTable[GroupByKey]=ContinuousStatsTable[[#This Row],[GroupByKey]]),(ContinuousStatsTable[GroupByKey]=ContinuousStatsTable[[#This Row],[GroupByKey]])*ContinuousStatsTable[Average])),0)</f>
        <v>0</v>
      </c>
      <c r="Q697" cm="1">
        <f t="array" ref="Q697">MAX(IF((ProjectInfoTable[ProjectName]=ContinuousStatsTable[[#This Row],[ProjectName]]),(ProjectInfoTable[ProjectName]=ContinuousStatsTable[[#This Row],[ProjectName]])*ProjectInfoTable[ConfidenceInterval]))</f>
        <v>0.95</v>
      </c>
      <c r="R6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7" cm="1">
        <f t="array" ref="S697">MIN(IF((ContinuousStatsTable[GroupByKey]=ContinuousStatsTable[[#This Row],[GroupByKey]]),(ContinuousStatsTable[GroupByKey]=ContinuousStatsTable[[#This Row],[GroupByKey]])*ContinuousStatsTable[Average]))</f>
        <v>3</v>
      </c>
      <c r="T697" cm="1">
        <f t="array" ref="T697">MAX(IF((ContinuousStatsTable[GroupByKey]=ContinuousStatsTable[[#This Row],[GroupByKey]]),(ContinuousStatsTable[GroupByKey]=ContinuousStatsTable[[#This Row],[GroupByKey]])*ContinuousStatsTable[Average]))</f>
        <v>3</v>
      </c>
      <c r="U697">
        <f>IF((ContinuousStatsTable[[#This Row],[RepsRequested]]&gt;1),ContinuousStatsTable[[#This Row],[HalfWidth]],ContinuousStatsTable[[#This Row],[BatchMeansHalfWidth]])</f>
        <v>0</v>
      </c>
    </row>
    <row r="698" spans="1:21" x14ac:dyDescent="0.25">
      <c r="A698" t="s">
        <v>67</v>
      </c>
      <c r="B698" t="s">
        <v>243</v>
      </c>
      <c r="C698">
        <v>9</v>
      </c>
      <c r="D698" t="s">
        <v>123</v>
      </c>
      <c r="E698" t="s">
        <v>112</v>
      </c>
      <c r="F698" t="s">
        <v>113</v>
      </c>
      <c r="G698">
        <v>0.15161344276824401</v>
      </c>
      <c r="H698">
        <v>3E+20</v>
      </c>
      <c r="I698">
        <v>0</v>
      </c>
      <c r="J698">
        <v>0.66666666666666696</v>
      </c>
      <c r="K698">
        <v>0</v>
      </c>
      <c r="L698">
        <v>0</v>
      </c>
      <c r="M698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698" cm="1">
        <f t="array" ref="N698">MAX(IF((ProjectInfoTable[ProjectName]=ContinuousStatsTable[[#This Row],[ProjectName]]),(ProjectInfoTable[ProjectName]=ContinuousStatsTable[[#This Row],[ProjectName]])*ProjectInfoTable[NumberOfReplications]))</f>
        <v>10</v>
      </c>
      <c r="O698" cm="1">
        <f t="array" ref="O698">IFERROR(AVERAGE(IF((ContinuousStatsTable[GroupByKey]=ContinuousStatsTable[[#This Row],[GroupByKey]]),(ContinuousStatsTable[GroupByKey]=ContinuousStatsTable[[#This Row],[GroupByKey]])*ContinuousStatsTable[Average])),0)</f>
        <v>0.151561654865698</v>
      </c>
      <c r="P698" cm="1">
        <f t="array" ref="P698">IFERROR(_xlfn.STDEV.S(IF((ContinuousStatsTable[GroupByKey]=ContinuousStatsTable[[#This Row],[GroupByKey]]),(ContinuousStatsTable[GroupByKey]=ContinuousStatsTable[[#This Row],[GroupByKey]])*ContinuousStatsTable[Average])),0)</f>
        <v>1.2198256688154243E-4</v>
      </c>
      <c r="Q698" cm="1">
        <f t="array" ref="Q698">MAX(IF((ProjectInfoTable[ProjectName]=ContinuousStatsTable[[#This Row],[ProjectName]]),(ProjectInfoTable[ProjectName]=ContinuousStatsTable[[#This Row],[ProjectName]])*ProjectInfoTable[ConfidenceInterval]))</f>
        <v>0.95</v>
      </c>
      <c r="R6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8.7261071626739862E-5</v>
      </c>
      <c r="S698" cm="1">
        <f t="array" ref="S698">MIN(IF((ContinuousStatsTable[GroupByKey]=ContinuousStatsTable[[#This Row],[GroupByKey]]),(ContinuousStatsTable[GroupByKey]=ContinuousStatsTable[[#This Row],[GroupByKey]])*ContinuousStatsTable[Average]))</f>
        <v>0.15134711042770499</v>
      </c>
      <c r="T698" cm="1">
        <f t="array" ref="T698">MAX(IF((ContinuousStatsTable[GroupByKey]=ContinuousStatsTable[[#This Row],[GroupByKey]]),(ContinuousStatsTable[GroupByKey]=ContinuousStatsTable[[#This Row],[GroupByKey]])*ContinuousStatsTable[Average]))</f>
        <v>0.15172806047441101</v>
      </c>
      <c r="U698">
        <f>IF((ContinuousStatsTable[[#This Row],[RepsRequested]]&gt;1),ContinuousStatsTable[[#This Row],[HalfWidth]],ContinuousStatsTable[[#This Row],[BatchMeansHalfWidth]])</f>
        <v>8.7261071626739862E-5</v>
      </c>
    </row>
    <row r="699" spans="1:21" x14ac:dyDescent="0.25">
      <c r="A699" t="s">
        <v>67</v>
      </c>
      <c r="B699" t="s">
        <v>243</v>
      </c>
      <c r="C699">
        <v>9</v>
      </c>
      <c r="D699" t="s">
        <v>123</v>
      </c>
      <c r="E699" t="s">
        <v>114</v>
      </c>
      <c r="F699" t="s">
        <v>113</v>
      </c>
      <c r="G699">
        <v>0.45484032830472998</v>
      </c>
      <c r="H699">
        <v>3E+20</v>
      </c>
      <c r="I699">
        <v>0</v>
      </c>
      <c r="J699">
        <v>2</v>
      </c>
      <c r="K699">
        <v>0</v>
      </c>
      <c r="L699">
        <v>0</v>
      </c>
      <c r="M699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699" cm="1">
        <f t="array" ref="N699">MAX(IF((ProjectInfoTable[ProjectName]=ContinuousStatsTable[[#This Row],[ProjectName]]),(ProjectInfoTable[ProjectName]=ContinuousStatsTable[[#This Row],[ProjectName]])*ProjectInfoTable[NumberOfReplications]))</f>
        <v>10</v>
      </c>
      <c r="O699" cm="1">
        <f t="array" ref="O699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699" cm="1">
        <f t="array" ref="P699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699" cm="1">
        <f t="array" ref="Q699">MAX(IF((ProjectInfoTable[ProjectName]=ContinuousStatsTable[[#This Row],[ProjectName]]),(ProjectInfoTable[ProjectName]=ContinuousStatsTable[[#This Row],[ProjectName]])*ProjectInfoTable[ConfidenceInterval]))</f>
        <v>0.95</v>
      </c>
      <c r="R6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699" cm="1">
        <f t="array" ref="S699">MIN(IF((ContinuousStatsTable[GroupByKey]=ContinuousStatsTable[[#This Row],[GroupByKey]]),(ContinuousStatsTable[GroupByKey]=ContinuousStatsTable[[#This Row],[GroupByKey]])*ContinuousStatsTable[Average]))</f>
        <v>0.45404133128311103</v>
      </c>
      <c r="T699" cm="1">
        <f t="array" ref="T699">MAX(IF((ContinuousStatsTable[GroupByKey]=ContinuousStatsTable[[#This Row],[GroupByKey]]),(ContinuousStatsTable[GroupByKey]=ContinuousStatsTable[[#This Row],[GroupByKey]])*ContinuousStatsTable[Average]))</f>
        <v>0.45518418142323402</v>
      </c>
      <c r="U699">
        <f>IF((ContinuousStatsTable[[#This Row],[RepsRequested]]&gt;1),ContinuousStatsTable[[#This Row],[HalfWidth]],ContinuousStatsTable[[#This Row],[BatchMeansHalfWidth]])</f>
        <v>2.6178321488092363E-4</v>
      </c>
    </row>
    <row r="700" spans="1:21" x14ac:dyDescent="0.25">
      <c r="A700" t="s">
        <v>67</v>
      </c>
      <c r="B700" t="s">
        <v>243</v>
      </c>
      <c r="C700">
        <v>9</v>
      </c>
      <c r="D700" t="s">
        <v>123</v>
      </c>
      <c r="E700" t="s">
        <v>115</v>
      </c>
      <c r="F700" t="s">
        <v>113</v>
      </c>
      <c r="G700">
        <v>3</v>
      </c>
      <c r="H700">
        <v>2E+20</v>
      </c>
      <c r="I700">
        <v>3</v>
      </c>
      <c r="J700">
        <v>3</v>
      </c>
      <c r="K700">
        <v>3</v>
      </c>
      <c r="L700">
        <v>0</v>
      </c>
      <c r="M700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700" cm="1">
        <f t="array" ref="N700">MAX(IF((ProjectInfoTable[ProjectName]=ContinuousStatsTable[[#This Row],[ProjectName]]),(ProjectInfoTable[ProjectName]=ContinuousStatsTable[[#This Row],[ProjectName]])*ProjectInfoTable[NumberOfReplications]))</f>
        <v>10</v>
      </c>
      <c r="O700" cm="1">
        <f t="array" ref="O700">IFERROR(AVERAGE(IF((ContinuousStatsTable[GroupByKey]=ContinuousStatsTable[[#This Row],[GroupByKey]]),(ContinuousStatsTable[GroupByKey]=ContinuousStatsTable[[#This Row],[GroupByKey]])*ContinuousStatsTable[Average])),0)</f>
        <v>3</v>
      </c>
      <c r="P700" cm="1">
        <f t="array" ref="P700">IFERROR(_xlfn.STDEV.S(IF((ContinuousStatsTable[GroupByKey]=ContinuousStatsTable[[#This Row],[GroupByKey]]),(ContinuousStatsTable[GroupByKey]=ContinuousStatsTable[[#This Row],[GroupByKey]])*ContinuousStatsTable[Average])),0)</f>
        <v>0</v>
      </c>
      <c r="Q700" cm="1">
        <f t="array" ref="Q700">MAX(IF((ProjectInfoTable[ProjectName]=ContinuousStatsTable[[#This Row],[ProjectName]]),(ProjectInfoTable[ProjectName]=ContinuousStatsTable[[#This Row],[ProjectName]])*ProjectInfoTable[ConfidenceInterval]))</f>
        <v>0.95</v>
      </c>
      <c r="R7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0" cm="1">
        <f t="array" ref="S700">MIN(IF((ContinuousStatsTable[GroupByKey]=ContinuousStatsTable[[#This Row],[GroupByKey]]),(ContinuousStatsTable[GroupByKey]=ContinuousStatsTable[[#This Row],[GroupByKey]])*ContinuousStatsTable[Average]))</f>
        <v>3</v>
      </c>
      <c r="T700" cm="1">
        <f t="array" ref="T700">MAX(IF((ContinuousStatsTable[GroupByKey]=ContinuousStatsTable[[#This Row],[GroupByKey]]),(ContinuousStatsTable[GroupByKey]=ContinuousStatsTable[[#This Row],[GroupByKey]])*ContinuousStatsTable[Average]))</f>
        <v>3</v>
      </c>
      <c r="U700">
        <f>IF((ContinuousStatsTable[[#This Row],[RepsRequested]]&gt;1),ContinuousStatsTable[[#This Row],[HalfWidth]],ContinuousStatsTable[[#This Row],[BatchMeansHalfWidth]])</f>
        <v>0</v>
      </c>
    </row>
    <row r="701" spans="1:21" x14ac:dyDescent="0.25">
      <c r="A701" t="s">
        <v>67</v>
      </c>
      <c r="B701" t="s">
        <v>243</v>
      </c>
      <c r="C701">
        <v>9</v>
      </c>
      <c r="D701" t="s">
        <v>124</v>
      </c>
      <c r="E701" t="s">
        <v>112</v>
      </c>
      <c r="F701" t="s">
        <v>113</v>
      </c>
      <c r="G701">
        <v>0.76791739835693196</v>
      </c>
      <c r="H701">
        <v>2E+20</v>
      </c>
      <c r="I701">
        <v>0</v>
      </c>
      <c r="J701">
        <v>1</v>
      </c>
      <c r="K701">
        <v>0.5</v>
      </c>
      <c r="L701">
        <v>0</v>
      </c>
      <c r="M701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701" cm="1">
        <f t="array" ref="N701">MAX(IF((ProjectInfoTable[ProjectName]=ContinuousStatsTable[[#This Row],[ProjectName]]),(ProjectInfoTable[ProjectName]=ContinuousStatsTable[[#This Row],[ProjectName]])*ProjectInfoTable[NumberOfReplications]))</f>
        <v>10</v>
      </c>
      <c r="O701" cm="1">
        <f t="array" ref="O701">IFERROR(AVERAGE(IF((ContinuousStatsTable[GroupByKey]=ContinuousStatsTable[[#This Row],[GroupByKey]]),(ContinuousStatsTable[GroupByKey]=ContinuousStatsTable[[#This Row],[GroupByKey]])*ContinuousStatsTable[Average])),0)</f>
        <v>0.84558522180863771</v>
      </c>
      <c r="P701" cm="1">
        <f t="array" ref="P701">IFERROR(_xlfn.STDEV.S(IF((ContinuousStatsTable[GroupByKey]=ContinuousStatsTable[[#This Row],[GroupByKey]]),(ContinuousStatsTable[GroupByKey]=ContinuousStatsTable[[#This Row],[GroupByKey]])*ContinuousStatsTable[Average])),0)</f>
        <v>0.11694354024491282</v>
      </c>
      <c r="Q701" cm="1">
        <f t="array" ref="Q701">MAX(IF((ProjectInfoTable[ProjectName]=ContinuousStatsTable[[#This Row],[ProjectName]]),(ProjectInfoTable[ProjectName]=ContinuousStatsTable[[#This Row],[ProjectName]])*ProjectInfoTable[ConfidenceInterval]))</f>
        <v>0.95</v>
      </c>
      <c r="R7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8.3656369122856733E-2</v>
      </c>
      <c r="S701" cm="1">
        <f t="array" ref="S701">MIN(IF((ContinuousStatsTable[GroupByKey]=ContinuousStatsTable[[#This Row],[GroupByKey]]),(ContinuousStatsTable[GroupByKey]=ContinuousStatsTable[[#This Row],[GroupByKey]])*ContinuousStatsTable[Average]))</f>
        <v>0.625269422960122</v>
      </c>
      <c r="T701" cm="1">
        <f t="array" ref="T701">MAX(IF((ContinuousStatsTable[GroupByKey]=ContinuousStatsTable[[#This Row],[GroupByKey]]),(ContinuousStatsTable[GroupByKey]=ContinuousStatsTable[[#This Row],[GroupByKey]])*ContinuousStatsTable[Average]))</f>
        <v>0.95234896906597499</v>
      </c>
      <c r="U701">
        <f>IF((ContinuousStatsTable[[#This Row],[RepsRequested]]&gt;1),ContinuousStatsTable[[#This Row],[HalfWidth]],ContinuousStatsTable[[#This Row],[BatchMeansHalfWidth]])</f>
        <v>8.3656369122856733E-2</v>
      </c>
    </row>
    <row r="702" spans="1:21" x14ac:dyDescent="0.25">
      <c r="A702" t="s">
        <v>67</v>
      </c>
      <c r="B702" t="s">
        <v>243</v>
      </c>
      <c r="C702">
        <v>9</v>
      </c>
      <c r="D702" t="s">
        <v>124</v>
      </c>
      <c r="E702" t="s">
        <v>114</v>
      </c>
      <c r="F702" t="s">
        <v>113</v>
      </c>
      <c r="G702">
        <v>1.5358347967138599</v>
      </c>
      <c r="H702">
        <v>2E+20</v>
      </c>
      <c r="I702">
        <v>0</v>
      </c>
      <c r="J702">
        <v>2</v>
      </c>
      <c r="K702">
        <v>1</v>
      </c>
      <c r="L702">
        <v>0</v>
      </c>
      <c r="M702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702" cm="1">
        <f t="array" ref="N702">MAX(IF((ProjectInfoTable[ProjectName]=ContinuousStatsTable[[#This Row],[ProjectName]]),(ProjectInfoTable[ProjectName]=ContinuousStatsTable[[#This Row],[ProjectName]])*ProjectInfoTable[NumberOfReplications]))</f>
        <v>10</v>
      </c>
      <c r="O702" cm="1">
        <f t="array" ref="O702">IFERROR(AVERAGE(IF((ContinuousStatsTable[GroupByKey]=ContinuousStatsTable[[#This Row],[GroupByKey]]),(ContinuousStatsTable[GroupByKey]=ContinuousStatsTable[[#This Row],[GroupByKey]])*ContinuousStatsTable[Average])),0)</f>
        <v>1.6911704436172748</v>
      </c>
      <c r="P702" cm="1">
        <f t="array" ref="P702">IFERROR(_xlfn.STDEV.S(IF((ContinuousStatsTable[GroupByKey]=ContinuousStatsTable[[#This Row],[GroupByKey]]),(ContinuousStatsTable[GroupByKey]=ContinuousStatsTable[[#This Row],[GroupByKey]])*ContinuousStatsTable[Average])),0)</f>
        <v>0.23388708048982901</v>
      </c>
      <c r="Q702" cm="1">
        <f t="array" ref="Q702">MAX(IF((ProjectInfoTable[ProjectName]=ContinuousStatsTable[[#This Row],[ProjectName]]),(ProjectInfoTable[ProjectName]=ContinuousStatsTable[[#This Row],[ProjectName]])*ProjectInfoTable[ConfidenceInterval]))</f>
        <v>0.95</v>
      </c>
      <c r="R7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0.16731273824571591</v>
      </c>
      <c r="S702" cm="1">
        <f t="array" ref="S702">MIN(IF((ContinuousStatsTable[GroupByKey]=ContinuousStatsTable[[#This Row],[GroupByKey]]),(ContinuousStatsTable[GroupByKey]=ContinuousStatsTable[[#This Row],[GroupByKey]])*ContinuousStatsTable[Average]))</f>
        <v>1.25053884592024</v>
      </c>
      <c r="T702" cm="1">
        <f t="array" ref="T702">MAX(IF((ContinuousStatsTable[GroupByKey]=ContinuousStatsTable[[#This Row],[GroupByKey]]),(ContinuousStatsTable[GroupByKey]=ContinuousStatsTable[[#This Row],[GroupByKey]])*ContinuousStatsTable[Average]))</f>
        <v>1.90469793813195</v>
      </c>
      <c r="U702">
        <f>IF((ContinuousStatsTable[[#This Row],[RepsRequested]]&gt;1),ContinuousStatsTable[[#This Row],[HalfWidth]],ContinuousStatsTable[[#This Row],[BatchMeansHalfWidth]])</f>
        <v>0.16731273824571591</v>
      </c>
    </row>
    <row r="703" spans="1:21" x14ac:dyDescent="0.25">
      <c r="A703" t="s">
        <v>67</v>
      </c>
      <c r="B703" t="s">
        <v>243</v>
      </c>
      <c r="C703">
        <v>9</v>
      </c>
      <c r="D703" t="s">
        <v>124</v>
      </c>
      <c r="E703" t="s">
        <v>115</v>
      </c>
      <c r="F703" t="s">
        <v>113</v>
      </c>
      <c r="G703">
        <v>2</v>
      </c>
      <c r="H703">
        <v>2E+20</v>
      </c>
      <c r="I703">
        <v>2</v>
      </c>
      <c r="J703">
        <v>2</v>
      </c>
      <c r="K703">
        <v>2</v>
      </c>
      <c r="L703">
        <v>0</v>
      </c>
      <c r="M703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703" cm="1">
        <f t="array" ref="N703">MAX(IF((ProjectInfoTable[ProjectName]=ContinuousStatsTable[[#This Row],[ProjectName]]),(ProjectInfoTable[ProjectName]=ContinuousStatsTable[[#This Row],[ProjectName]])*ProjectInfoTable[NumberOfReplications]))</f>
        <v>10</v>
      </c>
      <c r="O703" cm="1">
        <f t="array" ref="O703">IFERROR(AVERAGE(IF((ContinuousStatsTable[GroupByKey]=ContinuousStatsTable[[#This Row],[GroupByKey]]),(ContinuousStatsTable[GroupByKey]=ContinuousStatsTable[[#This Row],[GroupByKey]])*ContinuousStatsTable[Average])),0)</f>
        <v>2</v>
      </c>
      <c r="P703" cm="1">
        <f t="array" ref="P703">IFERROR(_xlfn.STDEV.S(IF((ContinuousStatsTable[GroupByKey]=ContinuousStatsTable[[#This Row],[GroupByKey]]),(ContinuousStatsTable[GroupByKey]=ContinuousStatsTable[[#This Row],[GroupByKey]])*ContinuousStatsTable[Average])),0)</f>
        <v>0</v>
      </c>
      <c r="Q703" cm="1">
        <f t="array" ref="Q703">MAX(IF((ProjectInfoTable[ProjectName]=ContinuousStatsTable[[#This Row],[ProjectName]]),(ProjectInfoTable[ProjectName]=ContinuousStatsTable[[#This Row],[ProjectName]])*ProjectInfoTable[ConfidenceInterval]))</f>
        <v>0.95</v>
      </c>
      <c r="R7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3" cm="1">
        <f t="array" ref="S703">MIN(IF((ContinuousStatsTable[GroupByKey]=ContinuousStatsTable[[#This Row],[GroupByKey]]),(ContinuousStatsTable[GroupByKey]=ContinuousStatsTable[[#This Row],[GroupByKey]])*ContinuousStatsTable[Average]))</f>
        <v>2</v>
      </c>
      <c r="T703" cm="1">
        <f t="array" ref="T703">MAX(IF((ContinuousStatsTable[GroupByKey]=ContinuousStatsTable[[#This Row],[GroupByKey]]),(ContinuousStatsTable[GroupByKey]=ContinuousStatsTable[[#This Row],[GroupByKey]])*ContinuousStatsTable[Average]))</f>
        <v>2</v>
      </c>
      <c r="U703">
        <f>IF((ContinuousStatsTable[[#This Row],[RepsRequested]]&gt;1),ContinuousStatsTable[[#This Row],[HalfWidth]],ContinuousStatsTable[[#This Row],[BatchMeansHalfWidth]])</f>
        <v>0</v>
      </c>
    </row>
    <row r="704" spans="1:21" x14ac:dyDescent="0.25">
      <c r="A704" t="s">
        <v>67</v>
      </c>
      <c r="B704" t="s">
        <v>243</v>
      </c>
      <c r="C704">
        <v>9</v>
      </c>
      <c r="D704" t="s">
        <v>125</v>
      </c>
      <c r="E704" t="s">
        <v>112</v>
      </c>
      <c r="F704" t="s">
        <v>113</v>
      </c>
      <c r="G704">
        <v>0.67060354368791797</v>
      </c>
      <c r="H704">
        <v>2E+20</v>
      </c>
      <c r="I704">
        <v>0</v>
      </c>
      <c r="J704">
        <v>1</v>
      </c>
      <c r="K704">
        <v>0.2</v>
      </c>
      <c r="L704">
        <v>0</v>
      </c>
      <c r="M704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704" cm="1">
        <f t="array" ref="N704">MAX(IF((ProjectInfoTable[ProjectName]=ContinuousStatsTable[[#This Row],[ProjectName]]),(ProjectInfoTable[ProjectName]=ContinuousStatsTable[[#This Row],[ProjectName]])*ProjectInfoTable[NumberOfReplications]))</f>
        <v>10</v>
      </c>
      <c r="O704" cm="1">
        <f t="array" ref="O704">IFERROR(AVERAGE(IF((ContinuousStatsTable[GroupByKey]=ContinuousStatsTable[[#This Row],[GroupByKey]]),(ContinuousStatsTable[GroupByKey]=ContinuousStatsTable[[#This Row],[GroupByKey]])*ContinuousStatsTable[Average])),0)</f>
        <v>0.74077431571180252</v>
      </c>
      <c r="P704" cm="1">
        <f t="array" ref="P704">IFERROR(_xlfn.STDEV.S(IF((ContinuousStatsTable[GroupByKey]=ContinuousStatsTable[[#This Row],[GroupByKey]]),(ContinuousStatsTable[GroupByKey]=ContinuousStatsTable[[#This Row],[GroupByKey]])*ContinuousStatsTable[Average])),0)</f>
        <v>6.1280007141723249E-2</v>
      </c>
      <c r="Q704" cm="1">
        <f t="array" ref="Q704">MAX(IF((ProjectInfoTable[ProjectName]=ContinuousStatsTable[[#This Row],[ProjectName]]),(ProjectInfoTable[ProjectName]=ContinuousStatsTable[[#This Row],[ProjectName]])*ProjectInfoTable[ConfidenceInterval]))</f>
        <v>0.95</v>
      </c>
      <c r="R7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4.3837076306763374E-2</v>
      </c>
      <c r="S704" cm="1">
        <f t="array" ref="S704">MIN(IF((ContinuousStatsTable[GroupByKey]=ContinuousStatsTable[[#This Row],[GroupByKey]]),(ContinuousStatsTable[GroupByKey]=ContinuousStatsTable[[#This Row],[GroupByKey]])*ContinuousStatsTable[Average]))</f>
        <v>0.67060354368791797</v>
      </c>
      <c r="T704" cm="1">
        <f t="array" ref="T704">MAX(IF((ContinuousStatsTable[GroupByKey]=ContinuousStatsTable[[#This Row],[GroupByKey]]),(ContinuousStatsTable[GroupByKey]=ContinuousStatsTable[[#This Row],[GroupByKey]])*ContinuousStatsTable[Average]))</f>
        <v>0.87728997349342996</v>
      </c>
      <c r="U704">
        <f>IF((ContinuousStatsTable[[#This Row],[RepsRequested]]&gt;1),ContinuousStatsTable[[#This Row],[HalfWidth]],ContinuousStatsTable[[#This Row],[BatchMeansHalfWidth]])</f>
        <v>4.3837076306763374E-2</v>
      </c>
    </row>
    <row r="705" spans="1:21" x14ac:dyDescent="0.25">
      <c r="A705" t="s">
        <v>67</v>
      </c>
      <c r="B705" t="s">
        <v>243</v>
      </c>
      <c r="C705">
        <v>9</v>
      </c>
      <c r="D705" t="s">
        <v>125</v>
      </c>
      <c r="E705" t="s">
        <v>114</v>
      </c>
      <c r="F705" t="s">
        <v>113</v>
      </c>
      <c r="G705">
        <v>3.35301771843959</v>
      </c>
      <c r="H705">
        <v>2E+20</v>
      </c>
      <c r="I705">
        <v>0</v>
      </c>
      <c r="J705">
        <v>5</v>
      </c>
      <c r="K705">
        <v>1</v>
      </c>
      <c r="L705">
        <v>0</v>
      </c>
      <c r="M705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705" cm="1">
        <f t="array" ref="N705">MAX(IF((ProjectInfoTable[ProjectName]=ContinuousStatsTable[[#This Row],[ProjectName]]),(ProjectInfoTable[ProjectName]=ContinuousStatsTable[[#This Row],[ProjectName]])*ProjectInfoTable[NumberOfReplications]))</f>
        <v>10</v>
      </c>
      <c r="O705" cm="1">
        <f t="array" ref="O705">IFERROR(AVERAGE(IF((ContinuousStatsTable[GroupByKey]=ContinuousStatsTable[[#This Row],[GroupByKey]]),(ContinuousStatsTable[GroupByKey]=ContinuousStatsTable[[#This Row],[GroupByKey]])*ContinuousStatsTable[Average])),0)</f>
        <v>3.7038715785590122</v>
      </c>
      <c r="P705" cm="1">
        <f t="array" ref="P705">IFERROR(_xlfn.STDEV.S(IF((ContinuousStatsTable[GroupByKey]=ContinuousStatsTable[[#This Row],[GroupByKey]]),(ContinuousStatsTable[GroupByKey]=ContinuousStatsTable[[#This Row],[GroupByKey]])*ContinuousStatsTable[Average])),0)</f>
        <v>0.30640003570861163</v>
      </c>
      <c r="Q705" cm="1">
        <f t="array" ref="Q705">MAX(IF((ProjectInfoTable[ProjectName]=ContinuousStatsTable[[#This Row],[ProjectName]]),(ProjectInfoTable[ProjectName]=ContinuousStatsTable[[#This Row],[ProjectName]])*ProjectInfoTable[ConfidenceInterval]))</f>
        <v>0.95</v>
      </c>
      <c r="R7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0.21918538153381359</v>
      </c>
      <c r="S705" cm="1">
        <f t="array" ref="S705">MIN(IF((ContinuousStatsTable[GroupByKey]=ContinuousStatsTable[[#This Row],[GroupByKey]]),(ContinuousStatsTable[GroupByKey]=ContinuousStatsTable[[#This Row],[GroupByKey]])*ContinuousStatsTable[Average]))</f>
        <v>3.35301771843959</v>
      </c>
      <c r="T705" cm="1">
        <f t="array" ref="T705">MAX(IF((ContinuousStatsTable[GroupByKey]=ContinuousStatsTable[[#This Row],[GroupByKey]]),(ContinuousStatsTable[GroupByKey]=ContinuousStatsTable[[#This Row],[GroupByKey]])*ContinuousStatsTable[Average]))</f>
        <v>4.3864498674671397</v>
      </c>
      <c r="U705">
        <f>IF((ContinuousStatsTable[[#This Row],[RepsRequested]]&gt;1),ContinuousStatsTable[[#This Row],[HalfWidth]],ContinuousStatsTable[[#This Row],[BatchMeansHalfWidth]])</f>
        <v>0.21918538153381359</v>
      </c>
    </row>
    <row r="706" spans="1:21" x14ac:dyDescent="0.25">
      <c r="A706" t="s">
        <v>67</v>
      </c>
      <c r="B706" t="s">
        <v>243</v>
      </c>
      <c r="C706">
        <v>9</v>
      </c>
      <c r="D706" t="s">
        <v>125</v>
      </c>
      <c r="E706" t="s">
        <v>115</v>
      </c>
      <c r="F706" t="s">
        <v>113</v>
      </c>
      <c r="G706">
        <v>5</v>
      </c>
      <c r="H706">
        <v>2E+20</v>
      </c>
      <c r="I706">
        <v>5</v>
      </c>
      <c r="J706">
        <v>5</v>
      </c>
      <c r="K706">
        <v>5</v>
      </c>
      <c r="L706">
        <v>0</v>
      </c>
      <c r="M706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706" cm="1">
        <f t="array" ref="N706">MAX(IF((ProjectInfoTable[ProjectName]=ContinuousStatsTable[[#This Row],[ProjectName]]),(ProjectInfoTable[ProjectName]=ContinuousStatsTable[[#This Row],[ProjectName]])*ProjectInfoTable[NumberOfReplications]))</f>
        <v>10</v>
      </c>
      <c r="O706" cm="1">
        <f t="array" ref="O706">IFERROR(AVERAGE(IF((ContinuousStatsTable[GroupByKey]=ContinuousStatsTable[[#This Row],[GroupByKey]]),(ContinuousStatsTable[GroupByKey]=ContinuousStatsTable[[#This Row],[GroupByKey]])*ContinuousStatsTable[Average])),0)</f>
        <v>5</v>
      </c>
      <c r="P706" cm="1">
        <f t="array" ref="P706">IFERROR(_xlfn.STDEV.S(IF((ContinuousStatsTable[GroupByKey]=ContinuousStatsTable[[#This Row],[GroupByKey]]),(ContinuousStatsTable[GroupByKey]=ContinuousStatsTable[[#This Row],[GroupByKey]])*ContinuousStatsTable[Average])),0)</f>
        <v>0</v>
      </c>
      <c r="Q706" cm="1">
        <f t="array" ref="Q706">MAX(IF((ProjectInfoTable[ProjectName]=ContinuousStatsTable[[#This Row],[ProjectName]]),(ProjectInfoTable[ProjectName]=ContinuousStatsTable[[#This Row],[ProjectName]])*ProjectInfoTable[ConfidenceInterval]))</f>
        <v>0.95</v>
      </c>
      <c r="R7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6" cm="1">
        <f t="array" ref="S706">MIN(IF((ContinuousStatsTable[GroupByKey]=ContinuousStatsTable[[#This Row],[GroupByKey]]),(ContinuousStatsTable[GroupByKey]=ContinuousStatsTable[[#This Row],[GroupByKey]])*ContinuousStatsTable[Average]))</f>
        <v>5</v>
      </c>
      <c r="T706" cm="1">
        <f t="array" ref="T706">MAX(IF((ContinuousStatsTable[GroupByKey]=ContinuousStatsTable[[#This Row],[GroupByKey]]),(ContinuousStatsTable[GroupByKey]=ContinuousStatsTable[[#This Row],[GroupByKey]])*ContinuousStatsTable[Average]))</f>
        <v>5</v>
      </c>
      <c r="U706">
        <f>IF((ContinuousStatsTable[[#This Row],[RepsRequested]]&gt;1),ContinuousStatsTable[[#This Row],[HalfWidth]],ContinuousStatsTable[[#This Row],[BatchMeansHalfWidth]])</f>
        <v>0</v>
      </c>
    </row>
    <row r="707" spans="1:21" x14ac:dyDescent="0.25">
      <c r="A707" t="s">
        <v>67</v>
      </c>
      <c r="B707" t="s">
        <v>243</v>
      </c>
      <c r="C707">
        <v>9</v>
      </c>
      <c r="D707" t="s">
        <v>126</v>
      </c>
      <c r="E707" t="s">
        <v>112</v>
      </c>
      <c r="F707" t="s">
        <v>113</v>
      </c>
      <c r="G707">
        <v>0.576472905152423</v>
      </c>
      <c r="H707">
        <v>3E+20</v>
      </c>
      <c r="I707">
        <v>0</v>
      </c>
      <c r="J707">
        <v>1</v>
      </c>
      <c r="K707">
        <v>1</v>
      </c>
      <c r="L707">
        <v>0</v>
      </c>
      <c r="M707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707" cm="1">
        <f t="array" ref="N707">MAX(IF((ProjectInfoTable[ProjectName]=ContinuousStatsTable[[#This Row],[ProjectName]]),(ProjectInfoTable[ProjectName]=ContinuousStatsTable[[#This Row],[ProjectName]])*ProjectInfoTable[NumberOfReplications]))</f>
        <v>10</v>
      </c>
      <c r="O707" cm="1">
        <f t="array" ref="O707">IFERROR(AVERAGE(IF((ContinuousStatsTable[GroupByKey]=ContinuousStatsTable[[#This Row],[GroupByKey]]),(ContinuousStatsTable[GroupByKey]=ContinuousStatsTable[[#This Row],[GroupByKey]])*ContinuousStatsTable[Average])),0)</f>
        <v>0.52391445815006699</v>
      </c>
      <c r="P707" cm="1">
        <f t="array" ref="P707">IFERROR(_xlfn.STDEV.S(IF((ContinuousStatsTable[GroupByKey]=ContinuousStatsTable[[#This Row],[GroupByKey]]),(ContinuousStatsTable[GroupByKey]=ContinuousStatsTable[[#This Row],[GroupByKey]])*ContinuousStatsTable[Average])),0)</f>
        <v>7.0460308415606909E-2</v>
      </c>
      <c r="Q707" cm="1">
        <f t="array" ref="Q707">MAX(IF((ProjectInfoTable[ProjectName]=ContinuousStatsTable[[#This Row],[ProjectName]]),(ProjectInfoTable[ProjectName]=ContinuousStatsTable[[#This Row],[ProjectName]])*ProjectInfoTable[ConfidenceInterval]))</f>
        <v>0.95</v>
      </c>
      <c r="R7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5.0404268221927347E-2</v>
      </c>
      <c r="S707" cm="1">
        <f t="array" ref="S707">MIN(IF((ContinuousStatsTable[GroupByKey]=ContinuousStatsTable[[#This Row],[GroupByKey]]),(ContinuousStatsTable[GroupByKey]=ContinuousStatsTable[[#This Row],[GroupByKey]])*ContinuousStatsTable[Average]))</f>
        <v>0.36555656561218303</v>
      </c>
      <c r="T707" cm="1">
        <f t="array" ref="T707">MAX(IF((ContinuousStatsTable[GroupByKey]=ContinuousStatsTable[[#This Row],[GroupByKey]]),(ContinuousStatsTable[GroupByKey]=ContinuousStatsTable[[#This Row],[GroupByKey]])*ContinuousStatsTable[Average]))</f>
        <v>0.59886206518967</v>
      </c>
      <c r="U707">
        <f>IF((ContinuousStatsTable[[#This Row],[RepsRequested]]&gt;1),ContinuousStatsTable[[#This Row],[HalfWidth]],ContinuousStatsTable[[#This Row],[BatchMeansHalfWidth]])</f>
        <v>5.0404268221927347E-2</v>
      </c>
    </row>
    <row r="708" spans="1:21" x14ac:dyDescent="0.25">
      <c r="A708" t="s">
        <v>67</v>
      </c>
      <c r="B708" t="s">
        <v>243</v>
      </c>
      <c r="C708">
        <v>9</v>
      </c>
      <c r="D708" t="s">
        <v>126</v>
      </c>
      <c r="E708" t="s">
        <v>114</v>
      </c>
      <c r="F708" t="s">
        <v>113</v>
      </c>
      <c r="G708">
        <v>2.3058916206096902</v>
      </c>
      <c r="H708">
        <v>3E+20</v>
      </c>
      <c r="I708">
        <v>0</v>
      </c>
      <c r="J708">
        <v>4</v>
      </c>
      <c r="K708">
        <v>4</v>
      </c>
      <c r="L708">
        <v>0</v>
      </c>
      <c r="M708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708" cm="1">
        <f t="array" ref="N708">MAX(IF((ProjectInfoTable[ProjectName]=ContinuousStatsTable[[#This Row],[ProjectName]]),(ProjectInfoTable[ProjectName]=ContinuousStatsTable[[#This Row],[ProjectName]])*ProjectInfoTable[NumberOfReplications]))</f>
        <v>10</v>
      </c>
      <c r="O708" cm="1">
        <f t="array" ref="O708">IFERROR(AVERAGE(IF((ContinuousStatsTable[GroupByKey]=ContinuousStatsTable[[#This Row],[GroupByKey]]),(ContinuousStatsTable[GroupByKey]=ContinuousStatsTable[[#This Row],[GroupByKey]])*ContinuousStatsTable[Average])),0)</f>
        <v>2.0956578326002671</v>
      </c>
      <c r="P708" cm="1">
        <f t="array" ref="P708">IFERROR(_xlfn.STDEV.S(IF((ContinuousStatsTable[GroupByKey]=ContinuousStatsTable[[#This Row],[GroupByKey]]),(ContinuousStatsTable[GroupByKey]=ContinuousStatsTable[[#This Row],[GroupByKey]])*ContinuousStatsTable[Average])),0)</f>
        <v>0.28184123366242902</v>
      </c>
      <c r="Q708" cm="1">
        <f t="array" ref="Q708">MAX(IF((ProjectInfoTable[ProjectName]=ContinuousStatsTable[[#This Row],[ProjectName]]),(ProjectInfoTable[ProjectName]=ContinuousStatsTable[[#This Row],[ProjectName]])*ProjectInfoTable[ConfidenceInterval]))</f>
        <v>0.95</v>
      </c>
      <c r="R7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0.20161707288771036</v>
      </c>
      <c r="S708" cm="1">
        <f t="array" ref="S708">MIN(IF((ContinuousStatsTable[GroupByKey]=ContinuousStatsTable[[#This Row],[GroupByKey]]),(ContinuousStatsTable[GroupByKey]=ContinuousStatsTable[[#This Row],[GroupByKey]])*ContinuousStatsTable[Average]))</f>
        <v>1.4622262624487301</v>
      </c>
      <c r="T708" cm="1">
        <f t="array" ref="T708">MAX(IF((ContinuousStatsTable[GroupByKey]=ContinuousStatsTable[[#This Row],[GroupByKey]]),(ContinuousStatsTable[GroupByKey]=ContinuousStatsTable[[#This Row],[GroupByKey]])*ContinuousStatsTable[Average]))</f>
        <v>2.39544826075868</v>
      </c>
      <c r="U708">
        <f>IF((ContinuousStatsTable[[#This Row],[RepsRequested]]&gt;1),ContinuousStatsTable[[#This Row],[HalfWidth]],ContinuousStatsTable[[#This Row],[BatchMeansHalfWidth]])</f>
        <v>0.20161707288771036</v>
      </c>
    </row>
    <row r="709" spans="1:21" x14ac:dyDescent="0.25">
      <c r="A709" t="s">
        <v>67</v>
      </c>
      <c r="B709" t="s">
        <v>243</v>
      </c>
      <c r="C709">
        <v>9</v>
      </c>
      <c r="D709" t="s">
        <v>126</v>
      </c>
      <c r="E709" t="s">
        <v>115</v>
      </c>
      <c r="F709" t="s">
        <v>113</v>
      </c>
      <c r="G709">
        <v>4</v>
      </c>
      <c r="H709">
        <v>2E+20</v>
      </c>
      <c r="I709">
        <v>4</v>
      </c>
      <c r="J709">
        <v>4</v>
      </c>
      <c r="K709">
        <v>4</v>
      </c>
      <c r="L709">
        <v>0</v>
      </c>
      <c r="M709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709" cm="1">
        <f t="array" ref="N709">MAX(IF((ProjectInfoTable[ProjectName]=ContinuousStatsTable[[#This Row],[ProjectName]]),(ProjectInfoTable[ProjectName]=ContinuousStatsTable[[#This Row],[ProjectName]])*ProjectInfoTable[NumberOfReplications]))</f>
        <v>10</v>
      </c>
      <c r="O709" cm="1">
        <f t="array" ref="O709">IFERROR(AVERAGE(IF((ContinuousStatsTable[GroupByKey]=ContinuousStatsTable[[#This Row],[GroupByKey]]),(ContinuousStatsTable[GroupByKey]=ContinuousStatsTable[[#This Row],[GroupByKey]])*ContinuousStatsTable[Average])),0)</f>
        <v>4</v>
      </c>
      <c r="P709" cm="1">
        <f t="array" ref="P709">IFERROR(_xlfn.STDEV.S(IF((ContinuousStatsTable[GroupByKey]=ContinuousStatsTable[[#This Row],[GroupByKey]]),(ContinuousStatsTable[GroupByKey]=ContinuousStatsTable[[#This Row],[GroupByKey]])*ContinuousStatsTable[Average])),0)</f>
        <v>0</v>
      </c>
      <c r="Q709" cm="1">
        <f t="array" ref="Q709">MAX(IF((ProjectInfoTable[ProjectName]=ContinuousStatsTable[[#This Row],[ProjectName]]),(ProjectInfoTable[ProjectName]=ContinuousStatsTable[[#This Row],[ProjectName]])*ProjectInfoTable[ConfidenceInterval]))</f>
        <v>0.95</v>
      </c>
      <c r="R7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9" cm="1">
        <f t="array" ref="S709">MIN(IF((ContinuousStatsTable[GroupByKey]=ContinuousStatsTable[[#This Row],[GroupByKey]]),(ContinuousStatsTable[GroupByKey]=ContinuousStatsTable[[#This Row],[GroupByKey]])*ContinuousStatsTable[Average]))</f>
        <v>4</v>
      </c>
      <c r="T709" cm="1">
        <f t="array" ref="T709">MAX(IF((ContinuousStatsTable[GroupByKey]=ContinuousStatsTable[[#This Row],[GroupByKey]]),(ContinuousStatsTable[GroupByKey]=ContinuousStatsTable[[#This Row],[GroupByKey]])*ContinuousStatsTable[Average]))</f>
        <v>4</v>
      </c>
      <c r="U709">
        <f>IF((ContinuousStatsTable[[#This Row],[RepsRequested]]&gt;1),ContinuousStatsTable[[#This Row],[HalfWidth]],ContinuousStatsTable[[#This Row],[BatchMeansHalfWidth]])</f>
        <v>0</v>
      </c>
    </row>
    <row r="710" spans="1:21" x14ac:dyDescent="0.25">
      <c r="A710" t="s">
        <v>67</v>
      </c>
      <c r="B710" t="s">
        <v>243</v>
      </c>
      <c r="C710">
        <v>9</v>
      </c>
      <c r="D710" t="s">
        <v>127</v>
      </c>
      <c r="E710" t="s">
        <v>112</v>
      </c>
      <c r="F710" t="s">
        <v>113</v>
      </c>
      <c r="G710">
        <v>0.14963690394859999</v>
      </c>
      <c r="H710">
        <v>3E+20</v>
      </c>
      <c r="I710">
        <v>0</v>
      </c>
      <c r="J710">
        <v>1</v>
      </c>
      <c r="K710">
        <v>0</v>
      </c>
      <c r="L710">
        <v>0</v>
      </c>
      <c r="M710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710" cm="1">
        <f t="array" ref="N710">MAX(IF((ProjectInfoTable[ProjectName]=ContinuousStatsTable[[#This Row],[ProjectName]]),(ProjectInfoTable[ProjectName]=ContinuousStatsTable[[#This Row],[ProjectName]])*ProjectInfoTable[NumberOfReplications]))</f>
        <v>10</v>
      </c>
      <c r="O710" cm="1">
        <f t="array" ref="O710">IFERROR(AVERAGE(IF((ContinuousStatsTable[GroupByKey]=ContinuousStatsTable[[#This Row],[GroupByKey]]),(ContinuousStatsTable[GroupByKey]=ContinuousStatsTable[[#This Row],[GroupByKey]])*ContinuousStatsTable[Average])),0)</f>
        <v>0.14955853655775292</v>
      </c>
      <c r="P710" cm="1">
        <f t="array" ref="P710">IFERROR(_xlfn.STDEV.S(IF((ContinuousStatsTable[GroupByKey]=ContinuousStatsTable[[#This Row],[GroupByKey]]),(ContinuousStatsTable[GroupByKey]=ContinuousStatsTable[[#This Row],[GroupByKey]])*ContinuousStatsTable[Average])),0)</f>
        <v>1.8487754554887928E-4</v>
      </c>
      <c r="Q710" cm="1">
        <f t="array" ref="Q710">MAX(IF((ProjectInfoTable[ProjectName]=ContinuousStatsTable[[#This Row],[ProjectName]]),(ProjectInfoTable[ProjectName]=ContinuousStatsTable[[#This Row],[ProjectName]])*ProjectInfoTable[ConfidenceInterval]))</f>
        <v>0.95</v>
      </c>
      <c r="R7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1.3225342896729691E-4</v>
      </c>
      <c r="S710" cm="1">
        <f t="array" ref="S710">MIN(IF((ContinuousStatsTable[GroupByKey]=ContinuousStatsTable[[#This Row],[GroupByKey]]),(ContinuousStatsTable[GroupByKey]=ContinuousStatsTable[[#This Row],[GroupByKey]])*ContinuousStatsTable[Average]))</f>
        <v>0.14921189842985499</v>
      </c>
      <c r="T710" cm="1">
        <f t="array" ref="T710">MAX(IF((ContinuousStatsTable[GroupByKey]=ContinuousStatsTable[[#This Row],[GroupByKey]]),(ContinuousStatsTable[GroupByKey]=ContinuousStatsTable[[#This Row],[GroupByKey]])*ContinuousStatsTable[Average]))</f>
        <v>0.14985050053976801</v>
      </c>
      <c r="U710">
        <f>IF((ContinuousStatsTable[[#This Row],[RepsRequested]]&gt;1),ContinuousStatsTable[[#This Row],[HalfWidth]],ContinuousStatsTable[[#This Row],[BatchMeansHalfWidth]])</f>
        <v>1.3225342896729691E-4</v>
      </c>
    </row>
    <row r="711" spans="1:21" x14ac:dyDescent="0.25">
      <c r="A711" t="s">
        <v>67</v>
      </c>
      <c r="B711" t="s">
        <v>243</v>
      </c>
      <c r="C711">
        <v>9</v>
      </c>
      <c r="D711" t="s">
        <v>127</v>
      </c>
      <c r="E711" t="s">
        <v>114</v>
      </c>
      <c r="F711" t="s">
        <v>113</v>
      </c>
      <c r="G711">
        <v>0.29927380789720098</v>
      </c>
      <c r="H711">
        <v>3E+20</v>
      </c>
      <c r="I711">
        <v>0</v>
      </c>
      <c r="J711">
        <v>2</v>
      </c>
      <c r="K711">
        <v>0</v>
      </c>
      <c r="L711">
        <v>0</v>
      </c>
      <c r="M711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711" cm="1">
        <f t="array" ref="N711">MAX(IF((ProjectInfoTable[ProjectName]=ContinuousStatsTable[[#This Row],[ProjectName]]),(ProjectInfoTable[ProjectName]=ContinuousStatsTable[[#This Row],[ProjectName]])*ProjectInfoTable[NumberOfReplications]))</f>
        <v>10</v>
      </c>
      <c r="O711" cm="1">
        <f t="array" ref="O711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711" cm="1">
        <f t="array" ref="P711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711" cm="1">
        <f t="array" ref="Q711">MAX(IF((ProjectInfoTable[ProjectName]=ContinuousStatsTable[[#This Row],[ProjectName]]),(ProjectInfoTable[ProjectName]=ContinuousStatsTable[[#This Row],[ProjectName]])*ProjectInfoTable[ConfidenceInterval]))</f>
        <v>0.95</v>
      </c>
      <c r="R7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711" cm="1">
        <f t="array" ref="S711">MIN(IF((ContinuousStatsTable[GroupByKey]=ContinuousStatsTable[[#This Row],[GroupByKey]]),(ContinuousStatsTable[GroupByKey]=ContinuousStatsTable[[#This Row],[GroupByKey]])*ContinuousStatsTable[Average]))</f>
        <v>0.29842379685970999</v>
      </c>
      <c r="T711" cm="1">
        <f t="array" ref="T711">MAX(IF((ContinuousStatsTable[GroupByKey]=ContinuousStatsTable[[#This Row],[GroupByKey]]),(ContinuousStatsTable[GroupByKey]=ContinuousStatsTable[[#This Row],[GroupByKey]])*ContinuousStatsTable[Average]))</f>
        <v>0.29970100107953501</v>
      </c>
      <c r="U711">
        <f>IF((ContinuousStatsTable[[#This Row],[RepsRequested]]&gt;1),ContinuousStatsTable[[#This Row],[HalfWidth]],ContinuousStatsTable[[#This Row],[BatchMeansHalfWidth]])</f>
        <v>2.6450685793468105E-4</v>
      </c>
    </row>
    <row r="712" spans="1:21" x14ac:dyDescent="0.25">
      <c r="A712" t="s">
        <v>67</v>
      </c>
      <c r="B712" t="s">
        <v>243</v>
      </c>
      <c r="C712">
        <v>9</v>
      </c>
      <c r="D712" t="s">
        <v>127</v>
      </c>
      <c r="E712" t="s">
        <v>115</v>
      </c>
      <c r="F712" t="s">
        <v>113</v>
      </c>
      <c r="G712">
        <v>2</v>
      </c>
      <c r="H712">
        <v>2E+20</v>
      </c>
      <c r="I712">
        <v>2</v>
      </c>
      <c r="J712">
        <v>2</v>
      </c>
      <c r="K712">
        <v>2</v>
      </c>
      <c r="L712">
        <v>0</v>
      </c>
      <c r="M712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712" cm="1">
        <f t="array" ref="N712">MAX(IF((ProjectInfoTable[ProjectName]=ContinuousStatsTable[[#This Row],[ProjectName]]),(ProjectInfoTable[ProjectName]=ContinuousStatsTable[[#This Row],[ProjectName]])*ProjectInfoTable[NumberOfReplications]))</f>
        <v>10</v>
      </c>
      <c r="O712" cm="1">
        <f t="array" ref="O712">IFERROR(AVERAGE(IF((ContinuousStatsTable[GroupByKey]=ContinuousStatsTable[[#This Row],[GroupByKey]]),(ContinuousStatsTable[GroupByKey]=ContinuousStatsTable[[#This Row],[GroupByKey]])*ContinuousStatsTable[Average])),0)</f>
        <v>2</v>
      </c>
      <c r="P712" cm="1">
        <f t="array" ref="P712">IFERROR(_xlfn.STDEV.S(IF((ContinuousStatsTable[GroupByKey]=ContinuousStatsTable[[#This Row],[GroupByKey]]),(ContinuousStatsTable[GroupByKey]=ContinuousStatsTable[[#This Row],[GroupByKey]])*ContinuousStatsTable[Average])),0)</f>
        <v>0</v>
      </c>
      <c r="Q712" cm="1">
        <f t="array" ref="Q712">MAX(IF((ProjectInfoTable[ProjectName]=ContinuousStatsTable[[#This Row],[ProjectName]]),(ProjectInfoTable[ProjectName]=ContinuousStatsTable[[#This Row],[ProjectName]])*ProjectInfoTable[ConfidenceInterval]))</f>
        <v>0.95</v>
      </c>
      <c r="R7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2" cm="1">
        <f t="array" ref="S712">MIN(IF((ContinuousStatsTable[GroupByKey]=ContinuousStatsTable[[#This Row],[GroupByKey]]),(ContinuousStatsTable[GroupByKey]=ContinuousStatsTable[[#This Row],[GroupByKey]])*ContinuousStatsTable[Average]))</f>
        <v>2</v>
      </c>
      <c r="T712" cm="1">
        <f t="array" ref="T712">MAX(IF((ContinuousStatsTable[GroupByKey]=ContinuousStatsTable[[#This Row],[GroupByKey]]),(ContinuousStatsTable[GroupByKey]=ContinuousStatsTable[[#This Row],[GroupByKey]])*ContinuousStatsTable[Average]))</f>
        <v>2</v>
      </c>
      <c r="U712">
        <f>IF((ContinuousStatsTable[[#This Row],[RepsRequested]]&gt;1),ContinuousStatsTable[[#This Row],[HalfWidth]],ContinuousStatsTable[[#This Row],[BatchMeansHalfWidth]])</f>
        <v>0</v>
      </c>
    </row>
    <row r="713" spans="1:21" x14ac:dyDescent="0.25">
      <c r="A713" t="s">
        <v>67</v>
      </c>
      <c r="B713" t="s">
        <v>243</v>
      </c>
      <c r="C713">
        <v>9</v>
      </c>
      <c r="D713" t="s">
        <v>128</v>
      </c>
      <c r="E713" t="s">
        <v>112</v>
      </c>
      <c r="F713" t="s">
        <v>113</v>
      </c>
      <c r="G713">
        <v>0.71327089804469901</v>
      </c>
      <c r="H713">
        <v>3E+20</v>
      </c>
      <c r="I713">
        <v>0</v>
      </c>
      <c r="J713">
        <v>1</v>
      </c>
      <c r="K713">
        <v>0.4</v>
      </c>
      <c r="L713">
        <v>0</v>
      </c>
      <c r="M713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713" cm="1">
        <f t="array" ref="N713">MAX(IF((ProjectInfoTable[ProjectName]=ContinuousStatsTable[[#This Row],[ProjectName]]),(ProjectInfoTable[ProjectName]=ContinuousStatsTable[[#This Row],[ProjectName]])*ProjectInfoTable[NumberOfReplications]))</f>
        <v>10</v>
      </c>
      <c r="O713" cm="1">
        <f t="array" ref="O713">IFERROR(AVERAGE(IF((ContinuousStatsTable[GroupByKey]=ContinuousStatsTable[[#This Row],[GroupByKey]]),(ContinuousStatsTable[GroupByKey]=ContinuousStatsTable[[#This Row],[GroupByKey]])*ContinuousStatsTable[Average])),0)</f>
        <v>0.78490250681152507</v>
      </c>
      <c r="P713" cm="1">
        <f t="array" ref="P713">IFERROR(_xlfn.STDEV.S(IF((ContinuousStatsTable[GroupByKey]=ContinuousStatsTable[[#This Row],[GroupByKey]]),(ContinuousStatsTable[GroupByKey]=ContinuousStatsTable[[#This Row],[GroupByKey]])*ContinuousStatsTable[Average])),0)</f>
        <v>0.11345978752761832</v>
      </c>
      <c r="Q713" cm="1">
        <f t="array" ref="Q713">MAX(IF((ProjectInfoTable[ProjectName]=ContinuousStatsTable[[#This Row],[ProjectName]]),(ProjectInfoTable[ProjectName]=ContinuousStatsTable[[#This Row],[ProjectName]])*ProjectInfoTable[ConfidenceInterval]))</f>
        <v>0.95</v>
      </c>
      <c r="R7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8.1164242557846045E-2</v>
      </c>
      <c r="S713" cm="1">
        <f t="array" ref="S713">MIN(IF((ContinuousStatsTable[GroupByKey]=ContinuousStatsTable[[#This Row],[GroupByKey]]),(ContinuousStatsTable[GroupByKey]=ContinuousStatsTable[[#This Row],[GroupByKey]])*ContinuousStatsTable[Average]))</f>
        <v>0.58338388917401696</v>
      </c>
      <c r="T713" cm="1">
        <f t="array" ref="T713">MAX(IF((ContinuousStatsTable[GroupByKey]=ContinuousStatsTable[[#This Row],[GroupByKey]]),(ContinuousStatsTable[GroupByKey]=ContinuousStatsTable[[#This Row],[GroupByKey]])*ContinuousStatsTable[Average]))</f>
        <v>0.90111632059041802</v>
      </c>
      <c r="U713">
        <f>IF((ContinuousStatsTable[[#This Row],[RepsRequested]]&gt;1),ContinuousStatsTable[[#This Row],[HalfWidth]],ContinuousStatsTable[[#This Row],[BatchMeansHalfWidth]])</f>
        <v>8.1164242557846045E-2</v>
      </c>
    </row>
    <row r="714" spans="1:21" x14ac:dyDescent="0.25">
      <c r="A714" t="s">
        <v>67</v>
      </c>
      <c r="B714" t="s">
        <v>243</v>
      </c>
      <c r="C714">
        <v>9</v>
      </c>
      <c r="D714" t="s">
        <v>128</v>
      </c>
      <c r="E714" t="s">
        <v>114</v>
      </c>
      <c r="F714" t="s">
        <v>113</v>
      </c>
      <c r="G714">
        <v>3.5663544902235</v>
      </c>
      <c r="H714">
        <v>3E+20</v>
      </c>
      <c r="I714">
        <v>0</v>
      </c>
      <c r="J714">
        <v>5</v>
      </c>
      <c r="K714">
        <v>2</v>
      </c>
      <c r="L714">
        <v>0</v>
      </c>
      <c r="M714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714" cm="1">
        <f t="array" ref="N714">MAX(IF((ProjectInfoTable[ProjectName]=ContinuousStatsTable[[#This Row],[ProjectName]]),(ProjectInfoTable[ProjectName]=ContinuousStatsTable[[#This Row],[ProjectName]])*ProjectInfoTable[NumberOfReplications]))</f>
        <v>10</v>
      </c>
      <c r="O714" cm="1">
        <f t="array" ref="O714">IFERROR(AVERAGE(IF((ContinuousStatsTable[GroupByKey]=ContinuousStatsTable[[#This Row],[GroupByKey]]),(ContinuousStatsTable[GroupByKey]=ContinuousStatsTable[[#This Row],[GroupByKey]])*ContinuousStatsTable[Average])),0)</f>
        <v>3.9245125340576221</v>
      </c>
      <c r="P714" cm="1">
        <f t="array" ref="P714">IFERROR(_xlfn.STDEV.S(IF((ContinuousStatsTable[GroupByKey]=ContinuousStatsTable[[#This Row],[GroupByKey]]),(ContinuousStatsTable[GroupByKey]=ContinuousStatsTable[[#This Row],[GroupByKey]])*ContinuousStatsTable[Average])),0)</f>
        <v>0.56729893763807904</v>
      </c>
      <c r="Q714" cm="1">
        <f t="array" ref="Q714">MAX(IF((ProjectInfoTable[ProjectName]=ContinuousStatsTable[[#This Row],[ProjectName]]),(ProjectInfoTable[ProjectName]=ContinuousStatsTable[[#This Row],[ProjectName]])*ProjectInfoTable[ConfidenceInterval]))</f>
        <v>0.95</v>
      </c>
      <c r="R7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0.40582121278922129</v>
      </c>
      <c r="S714" cm="1">
        <f t="array" ref="S714">MIN(IF((ContinuousStatsTable[GroupByKey]=ContinuousStatsTable[[#This Row],[GroupByKey]]),(ContinuousStatsTable[GroupByKey]=ContinuousStatsTable[[#This Row],[GroupByKey]])*ContinuousStatsTable[Average]))</f>
        <v>2.91691944587008</v>
      </c>
      <c r="T714" cm="1">
        <f t="array" ref="T714">MAX(IF((ContinuousStatsTable[GroupByKey]=ContinuousStatsTable[[#This Row],[GroupByKey]]),(ContinuousStatsTable[GroupByKey]=ContinuousStatsTable[[#This Row],[GroupByKey]])*ContinuousStatsTable[Average]))</f>
        <v>4.5055816029520903</v>
      </c>
      <c r="U714">
        <f>IF((ContinuousStatsTable[[#This Row],[RepsRequested]]&gt;1),ContinuousStatsTable[[#This Row],[HalfWidth]],ContinuousStatsTable[[#This Row],[BatchMeansHalfWidth]])</f>
        <v>0.40582121278922129</v>
      </c>
    </row>
    <row r="715" spans="1:21" x14ac:dyDescent="0.25">
      <c r="A715" t="s">
        <v>67</v>
      </c>
      <c r="B715" t="s">
        <v>243</v>
      </c>
      <c r="C715">
        <v>9</v>
      </c>
      <c r="D715" t="s">
        <v>128</v>
      </c>
      <c r="E715" t="s">
        <v>115</v>
      </c>
      <c r="F715" t="s">
        <v>113</v>
      </c>
      <c r="G715">
        <v>5</v>
      </c>
      <c r="H715">
        <v>2E+20</v>
      </c>
      <c r="I715">
        <v>5</v>
      </c>
      <c r="J715">
        <v>5</v>
      </c>
      <c r="K715">
        <v>5</v>
      </c>
      <c r="L715">
        <v>0</v>
      </c>
      <c r="M715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715" cm="1">
        <f t="array" ref="N715">MAX(IF((ProjectInfoTable[ProjectName]=ContinuousStatsTable[[#This Row],[ProjectName]]),(ProjectInfoTable[ProjectName]=ContinuousStatsTable[[#This Row],[ProjectName]])*ProjectInfoTable[NumberOfReplications]))</f>
        <v>10</v>
      </c>
      <c r="O715" cm="1">
        <f t="array" ref="O715">IFERROR(AVERAGE(IF((ContinuousStatsTable[GroupByKey]=ContinuousStatsTable[[#This Row],[GroupByKey]]),(ContinuousStatsTable[GroupByKey]=ContinuousStatsTable[[#This Row],[GroupByKey]])*ContinuousStatsTable[Average])),0)</f>
        <v>5</v>
      </c>
      <c r="P715" cm="1">
        <f t="array" ref="P715">IFERROR(_xlfn.STDEV.S(IF((ContinuousStatsTable[GroupByKey]=ContinuousStatsTable[[#This Row],[GroupByKey]]),(ContinuousStatsTable[GroupByKey]=ContinuousStatsTable[[#This Row],[GroupByKey]])*ContinuousStatsTable[Average])),0)</f>
        <v>0</v>
      </c>
      <c r="Q715" cm="1">
        <f t="array" ref="Q715">MAX(IF((ProjectInfoTable[ProjectName]=ContinuousStatsTable[[#This Row],[ProjectName]]),(ProjectInfoTable[ProjectName]=ContinuousStatsTable[[#This Row],[ProjectName]])*ProjectInfoTable[ConfidenceInterval]))</f>
        <v>0.95</v>
      </c>
      <c r="R7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5" cm="1">
        <f t="array" ref="S715">MIN(IF((ContinuousStatsTable[GroupByKey]=ContinuousStatsTable[[#This Row],[GroupByKey]]),(ContinuousStatsTable[GroupByKey]=ContinuousStatsTable[[#This Row],[GroupByKey]])*ContinuousStatsTable[Average]))</f>
        <v>5</v>
      </c>
      <c r="T715" cm="1">
        <f t="array" ref="T715">MAX(IF((ContinuousStatsTable[GroupByKey]=ContinuousStatsTable[[#This Row],[GroupByKey]]),(ContinuousStatsTable[GroupByKey]=ContinuousStatsTable[[#This Row],[GroupByKey]])*ContinuousStatsTable[Average]))</f>
        <v>5</v>
      </c>
      <c r="U715">
        <f>IF((ContinuousStatsTable[[#This Row],[RepsRequested]]&gt;1),ContinuousStatsTable[[#This Row],[HalfWidth]],ContinuousStatsTable[[#This Row],[BatchMeansHalfWidth]])</f>
        <v>0</v>
      </c>
    </row>
    <row r="716" spans="1:21" x14ac:dyDescent="0.25">
      <c r="A716" t="s">
        <v>67</v>
      </c>
      <c r="B716" t="s">
        <v>243</v>
      </c>
      <c r="C716">
        <v>9</v>
      </c>
      <c r="D716" t="s">
        <v>129</v>
      </c>
      <c r="E716" t="s">
        <v>112</v>
      </c>
      <c r="F716" t="s">
        <v>113</v>
      </c>
      <c r="G716">
        <v>0.15879190591848</v>
      </c>
      <c r="H716">
        <v>2E+20</v>
      </c>
      <c r="I716">
        <v>0</v>
      </c>
      <c r="J716">
        <v>0.66666666666666696</v>
      </c>
      <c r="K716">
        <v>0</v>
      </c>
      <c r="L716">
        <v>0</v>
      </c>
      <c r="M716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716" cm="1">
        <f t="array" ref="N716">MAX(IF((ProjectInfoTable[ProjectName]=ContinuousStatsTable[[#This Row],[ProjectName]]),(ProjectInfoTable[ProjectName]=ContinuousStatsTable[[#This Row],[ProjectName]])*ProjectInfoTable[NumberOfReplications]))</f>
        <v>10</v>
      </c>
      <c r="O716" cm="1">
        <f t="array" ref="O716">IFERROR(AVERAGE(IF((ContinuousStatsTable[GroupByKey]=ContinuousStatsTable[[#This Row],[GroupByKey]]),(ContinuousStatsTable[GroupByKey]=ContinuousStatsTable[[#This Row],[GroupByKey]])*ContinuousStatsTable[Average])),0)</f>
        <v>0.15879210791146137</v>
      </c>
      <c r="P716" cm="1">
        <f t="array" ref="P716">IFERROR(_xlfn.STDEV.S(IF((ContinuousStatsTable[GroupByKey]=ContinuousStatsTable[[#This Row],[GroupByKey]]),(ContinuousStatsTable[GroupByKey]=ContinuousStatsTable[[#This Row],[GroupByKey]])*ContinuousStatsTable[Average])),0)</f>
        <v>8.8786593845171554E-6</v>
      </c>
      <c r="Q716" cm="1">
        <f t="array" ref="Q716">MAX(IF((ProjectInfoTable[ProjectName]=ContinuousStatsTable[[#This Row],[ProjectName]]),(ProjectInfoTable[ProjectName]=ContinuousStatsTable[[#This Row],[ProjectName]])*ProjectInfoTable[ConfidenceInterval]))</f>
        <v>0.95</v>
      </c>
      <c r="R7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6.3514103064755986E-6</v>
      </c>
      <c r="S716" cm="1">
        <f t="array" ref="S716">MIN(IF((ContinuousStatsTable[GroupByKey]=ContinuousStatsTable[[#This Row],[GroupByKey]]),(ContinuousStatsTable[GroupByKey]=ContinuousStatsTable[[#This Row],[GroupByKey]])*ContinuousStatsTable[Average]))</f>
        <v>0.15877821852350199</v>
      </c>
      <c r="T716" cm="1">
        <f t="array" ref="T716">MAX(IF((ContinuousStatsTable[GroupByKey]=ContinuousStatsTable[[#This Row],[GroupByKey]]),(ContinuousStatsTable[GroupByKey]=ContinuousStatsTable[[#This Row],[GroupByKey]])*ContinuousStatsTable[Average]))</f>
        <v>0.15880443244107401</v>
      </c>
      <c r="U716">
        <f>IF((ContinuousStatsTable[[#This Row],[RepsRequested]]&gt;1),ContinuousStatsTable[[#This Row],[HalfWidth]],ContinuousStatsTable[[#This Row],[BatchMeansHalfWidth]])</f>
        <v>6.3514103064755986E-6</v>
      </c>
    </row>
    <row r="717" spans="1:21" x14ac:dyDescent="0.25">
      <c r="A717" t="s">
        <v>67</v>
      </c>
      <c r="B717" t="s">
        <v>243</v>
      </c>
      <c r="C717">
        <v>9</v>
      </c>
      <c r="D717" t="s">
        <v>129</v>
      </c>
      <c r="E717" t="s">
        <v>114</v>
      </c>
      <c r="F717" t="s">
        <v>113</v>
      </c>
      <c r="G717">
        <v>0.47637571775543702</v>
      </c>
      <c r="H717">
        <v>2E+20</v>
      </c>
      <c r="I717">
        <v>0</v>
      </c>
      <c r="J717">
        <v>2</v>
      </c>
      <c r="K717">
        <v>0</v>
      </c>
      <c r="L717">
        <v>0</v>
      </c>
      <c r="M717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717" cm="1">
        <f t="array" ref="N717">MAX(IF((ProjectInfoTable[ProjectName]=ContinuousStatsTable[[#This Row],[ProjectName]]),(ProjectInfoTable[ProjectName]=ContinuousStatsTable[[#This Row],[ProjectName]])*ProjectInfoTable[NumberOfReplications]))</f>
        <v>10</v>
      </c>
      <c r="O717" cm="1">
        <f t="array" ref="O717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717" cm="1">
        <f t="array" ref="P717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717" cm="1">
        <f t="array" ref="Q717">MAX(IF((ProjectInfoTable[ProjectName]=ContinuousStatsTable[[#This Row],[ProjectName]]),(ProjectInfoTable[ProjectName]=ContinuousStatsTable[[#This Row],[ProjectName]])*ProjectInfoTable[ConfidenceInterval]))</f>
        <v>0.95</v>
      </c>
      <c r="R7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717" cm="1">
        <f t="array" ref="S717">MIN(IF((ContinuousStatsTable[GroupByKey]=ContinuousStatsTable[[#This Row],[GroupByKey]]),(ContinuousStatsTable[GroupByKey]=ContinuousStatsTable[[#This Row],[GroupByKey]])*ContinuousStatsTable[Average]))</f>
        <v>0.47633465557050603</v>
      </c>
      <c r="T717" cm="1">
        <f t="array" ref="T717">MAX(IF((ContinuousStatsTable[GroupByKey]=ContinuousStatsTable[[#This Row],[GroupByKey]]),(ContinuousStatsTable[GroupByKey]=ContinuousStatsTable[[#This Row],[GroupByKey]])*ContinuousStatsTable[Average]))</f>
        <v>0.47641329732322302</v>
      </c>
      <c r="U717">
        <f>IF((ContinuousStatsTable[[#This Row],[RepsRequested]]&gt;1),ContinuousStatsTable[[#This Row],[HalfWidth]],ContinuousStatsTable[[#This Row],[BatchMeansHalfWidth]])</f>
        <v>1.9054230919217752E-5</v>
      </c>
    </row>
    <row r="718" spans="1:21" x14ac:dyDescent="0.25">
      <c r="A718" t="s">
        <v>67</v>
      </c>
      <c r="B718" t="s">
        <v>243</v>
      </c>
      <c r="C718">
        <v>9</v>
      </c>
      <c r="D718" t="s">
        <v>129</v>
      </c>
      <c r="E718" t="s">
        <v>115</v>
      </c>
      <c r="F718" t="s">
        <v>113</v>
      </c>
      <c r="G718">
        <v>3</v>
      </c>
      <c r="H718">
        <v>2E+20</v>
      </c>
      <c r="I718">
        <v>3</v>
      </c>
      <c r="J718">
        <v>3</v>
      </c>
      <c r="K718">
        <v>3</v>
      </c>
      <c r="L718">
        <v>0</v>
      </c>
      <c r="M718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718" cm="1">
        <f t="array" ref="N718">MAX(IF((ProjectInfoTable[ProjectName]=ContinuousStatsTable[[#This Row],[ProjectName]]),(ProjectInfoTable[ProjectName]=ContinuousStatsTable[[#This Row],[ProjectName]])*ProjectInfoTable[NumberOfReplications]))</f>
        <v>10</v>
      </c>
      <c r="O718" cm="1">
        <f t="array" ref="O718">IFERROR(AVERAGE(IF((ContinuousStatsTable[GroupByKey]=ContinuousStatsTable[[#This Row],[GroupByKey]]),(ContinuousStatsTable[GroupByKey]=ContinuousStatsTable[[#This Row],[GroupByKey]])*ContinuousStatsTable[Average])),0)</f>
        <v>3</v>
      </c>
      <c r="P718" cm="1">
        <f t="array" ref="P718">IFERROR(_xlfn.STDEV.S(IF((ContinuousStatsTable[GroupByKey]=ContinuousStatsTable[[#This Row],[GroupByKey]]),(ContinuousStatsTable[GroupByKey]=ContinuousStatsTable[[#This Row],[GroupByKey]])*ContinuousStatsTable[Average])),0)</f>
        <v>0</v>
      </c>
      <c r="Q718" cm="1">
        <f t="array" ref="Q718">MAX(IF((ProjectInfoTable[ProjectName]=ContinuousStatsTable[[#This Row],[ProjectName]]),(ProjectInfoTable[ProjectName]=ContinuousStatsTable[[#This Row],[ProjectName]])*ProjectInfoTable[ConfidenceInterval]))</f>
        <v>0.95</v>
      </c>
      <c r="R7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8" cm="1">
        <f t="array" ref="S718">MIN(IF((ContinuousStatsTable[GroupByKey]=ContinuousStatsTable[[#This Row],[GroupByKey]]),(ContinuousStatsTable[GroupByKey]=ContinuousStatsTable[[#This Row],[GroupByKey]])*ContinuousStatsTable[Average]))</f>
        <v>3</v>
      </c>
      <c r="T718" cm="1">
        <f t="array" ref="T718">MAX(IF((ContinuousStatsTable[GroupByKey]=ContinuousStatsTable[[#This Row],[GroupByKey]]),(ContinuousStatsTable[GroupByKey]=ContinuousStatsTable[[#This Row],[GroupByKey]])*ContinuousStatsTable[Average]))</f>
        <v>3</v>
      </c>
      <c r="U718">
        <f>IF((ContinuousStatsTable[[#This Row],[RepsRequested]]&gt;1),ContinuousStatsTable[[#This Row],[HalfWidth]],ContinuousStatsTable[[#This Row],[BatchMeansHalfWidth]])</f>
        <v>0</v>
      </c>
    </row>
    <row r="719" spans="1:21" x14ac:dyDescent="0.25">
      <c r="A719" t="s">
        <v>67</v>
      </c>
      <c r="B719" t="s">
        <v>243</v>
      </c>
      <c r="C719">
        <v>9</v>
      </c>
      <c r="D719" t="s">
        <v>130</v>
      </c>
      <c r="E719" t="s">
        <v>112</v>
      </c>
      <c r="F719" t="s">
        <v>113</v>
      </c>
      <c r="G719">
        <v>0.47646153800173802</v>
      </c>
      <c r="H719">
        <v>2E+20</v>
      </c>
      <c r="I719">
        <v>0</v>
      </c>
      <c r="J719">
        <v>1</v>
      </c>
      <c r="K719">
        <v>0</v>
      </c>
      <c r="L719">
        <v>0</v>
      </c>
      <c r="M719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719" cm="1">
        <f t="array" ref="N719">MAX(IF((ProjectInfoTable[ProjectName]=ContinuousStatsTable[[#This Row],[ProjectName]]),(ProjectInfoTable[ProjectName]=ContinuousStatsTable[[#This Row],[ProjectName]])*ProjectInfoTable[NumberOfReplications]))</f>
        <v>10</v>
      </c>
      <c r="O719" cm="1">
        <f t="array" ref="O719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719" cm="1">
        <f t="array" ref="P719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719" cm="1">
        <f t="array" ref="Q719">MAX(IF((ProjectInfoTable[ProjectName]=ContinuousStatsTable[[#This Row],[ProjectName]]),(ProjectInfoTable[ProjectName]=ContinuousStatsTable[[#This Row],[ProjectName]])*ProjectInfoTable[ConfidenceInterval]))</f>
        <v>0.95</v>
      </c>
      <c r="R7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719" cm="1">
        <f t="array" ref="S719">MIN(IF((ContinuousStatsTable[GroupByKey]=ContinuousStatsTable[[#This Row],[GroupByKey]]),(ContinuousStatsTable[GroupByKey]=ContinuousStatsTable[[#This Row],[GroupByKey]])*ContinuousStatsTable[Average]))</f>
        <v>0.47638046343127</v>
      </c>
      <c r="T719" cm="1">
        <f t="array" ref="T719">MAX(IF((ContinuousStatsTable[GroupByKey]=ContinuousStatsTable[[#This Row],[GroupByKey]]),(ContinuousStatsTable[GroupByKey]=ContinuousStatsTable[[#This Row],[GroupByKey]])*ContinuousStatsTable[Average]))</f>
        <v>0.47647340349894202</v>
      </c>
      <c r="U719">
        <f>IF((ContinuousStatsTable[[#This Row],[RepsRequested]]&gt;1),ContinuousStatsTable[[#This Row],[HalfWidth]],ContinuousStatsTable[[#This Row],[BatchMeansHalfWidth]])</f>
        <v>2.530338482140405E-5</v>
      </c>
    </row>
    <row r="720" spans="1:21" x14ac:dyDescent="0.25">
      <c r="A720" t="s">
        <v>67</v>
      </c>
      <c r="B720" t="s">
        <v>243</v>
      </c>
      <c r="C720">
        <v>9</v>
      </c>
      <c r="D720" t="s">
        <v>130</v>
      </c>
      <c r="E720" t="s">
        <v>114</v>
      </c>
      <c r="F720" t="s">
        <v>113</v>
      </c>
      <c r="G720">
        <v>0.47646153800173802</v>
      </c>
      <c r="H720">
        <v>2E+20</v>
      </c>
      <c r="I720">
        <v>0</v>
      </c>
      <c r="J720">
        <v>1</v>
      </c>
      <c r="K720">
        <v>0</v>
      </c>
      <c r="L720">
        <v>0</v>
      </c>
      <c r="M720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720" cm="1">
        <f t="array" ref="N720">MAX(IF((ProjectInfoTable[ProjectName]=ContinuousStatsTable[[#This Row],[ProjectName]]),(ProjectInfoTable[ProjectName]=ContinuousStatsTable[[#This Row],[ProjectName]])*ProjectInfoTable[NumberOfReplications]))</f>
        <v>10</v>
      </c>
      <c r="O720" cm="1">
        <f t="array" ref="O720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720" cm="1">
        <f t="array" ref="P720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720" cm="1">
        <f t="array" ref="Q720">MAX(IF((ProjectInfoTable[ProjectName]=ContinuousStatsTable[[#This Row],[ProjectName]]),(ProjectInfoTable[ProjectName]=ContinuousStatsTable[[#This Row],[ProjectName]])*ProjectInfoTable[ConfidenceInterval]))</f>
        <v>0.95</v>
      </c>
      <c r="R7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720" cm="1">
        <f t="array" ref="S720">MIN(IF((ContinuousStatsTable[GroupByKey]=ContinuousStatsTable[[#This Row],[GroupByKey]]),(ContinuousStatsTable[GroupByKey]=ContinuousStatsTable[[#This Row],[GroupByKey]])*ContinuousStatsTable[Average]))</f>
        <v>0.47638046343127</v>
      </c>
      <c r="T720" cm="1">
        <f t="array" ref="T720">MAX(IF((ContinuousStatsTable[GroupByKey]=ContinuousStatsTable[[#This Row],[GroupByKey]]),(ContinuousStatsTable[GroupByKey]=ContinuousStatsTable[[#This Row],[GroupByKey]])*ContinuousStatsTable[Average]))</f>
        <v>0.47647340349894202</v>
      </c>
      <c r="U720">
        <f>IF((ContinuousStatsTable[[#This Row],[RepsRequested]]&gt;1),ContinuousStatsTable[[#This Row],[HalfWidth]],ContinuousStatsTable[[#This Row],[BatchMeansHalfWidth]])</f>
        <v>2.530338482140405E-5</v>
      </c>
    </row>
    <row r="721" spans="1:21" x14ac:dyDescent="0.25">
      <c r="A721" t="s">
        <v>67</v>
      </c>
      <c r="B721" t="s">
        <v>243</v>
      </c>
      <c r="C721">
        <v>9</v>
      </c>
      <c r="D721" t="s">
        <v>130</v>
      </c>
      <c r="E721" t="s">
        <v>115</v>
      </c>
      <c r="F721" t="s">
        <v>113</v>
      </c>
      <c r="G721">
        <v>0.476190476190476</v>
      </c>
      <c r="H721">
        <v>2E+20</v>
      </c>
      <c r="I721">
        <v>0</v>
      </c>
      <c r="J721">
        <v>1</v>
      </c>
      <c r="K721">
        <v>0</v>
      </c>
      <c r="L721">
        <v>0</v>
      </c>
      <c r="M721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721" cm="1">
        <f t="array" ref="N721">MAX(IF((ProjectInfoTable[ProjectName]=ContinuousStatsTable[[#This Row],[ProjectName]]),(ProjectInfoTable[ProjectName]=ContinuousStatsTable[[#This Row],[ProjectName]])*ProjectInfoTable[NumberOfReplications]))</f>
        <v>10</v>
      </c>
      <c r="O721" cm="1">
        <f t="array" ref="O721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721" cm="1">
        <f t="array" ref="P721">IFERROR(_xlfn.STDEV.S(IF((ContinuousStatsTable[GroupByKey]=ContinuousStatsTable[[#This Row],[GroupByKey]]),(ContinuousStatsTable[GroupByKey]=ContinuousStatsTable[[#This Row],[GroupByKey]])*ContinuousStatsTable[Average])),0)</f>
        <v>0</v>
      </c>
      <c r="Q721" cm="1">
        <f t="array" ref="Q721">MAX(IF((ProjectInfoTable[ProjectName]=ContinuousStatsTable[[#This Row],[ProjectName]]),(ProjectInfoTable[ProjectName]=ContinuousStatsTable[[#This Row],[ProjectName]])*ProjectInfoTable[ConfidenceInterval]))</f>
        <v>0.95</v>
      </c>
      <c r="R7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1" cm="1">
        <f t="array" ref="S721">MIN(IF((ContinuousStatsTable[GroupByKey]=ContinuousStatsTable[[#This Row],[GroupByKey]]),(ContinuousStatsTable[GroupByKey]=ContinuousStatsTable[[#This Row],[GroupByKey]])*ContinuousStatsTable[Average]))</f>
        <v>0.476190476190476</v>
      </c>
      <c r="T721" cm="1">
        <f t="array" ref="T721">MAX(IF((ContinuousStatsTable[GroupByKey]=ContinuousStatsTable[[#This Row],[GroupByKey]]),(ContinuousStatsTable[GroupByKey]=ContinuousStatsTable[[#This Row],[GroupByKey]])*ContinuousStatsTable[Average]))</f>
        <v>0.476190476190476</v>
      </c>
      <c r="U721">
        <f>IF((ContinuousStatsTable[[#This Row],[RepsRequested]]&gt;1),ContinuousStatsTable[[#This Row],[HalfWidth]],ContinuousStatsTable[[#This Row],[BatchMeansHalfWidth]])</f>
        <v>0</v>
      </c>
    </row>
    <row r="722" spans="1:21" x14ac:dyDescent="0.25">
      <c r="A722" t="s">
        <v>67</v>
      </c>
      <c r="B722" t="s">
        <v>243</v>
      </c>
      <c r="C722">
        <v>9</v>
      </c>
      <c r="D722" t="s">
        <v>131</v>
      </c>
      <c r="E722" t="s">
        <v>112</v>
      </c>
      <c r="F722" t="s">
        <v>113</v>
      </c>
      <c r="G722">
        <v>0.34640382960455401</v>
      </c>
      <c r="H722">
        <v>3E+20</v>
      </c>
      <c r="I722">
        <v>0</v>
      </c>
      <c r="J722">
        <v>1</v>
      </c>
      <c r="K722">
        <v>0</v>
      </c>
      <c r="L722">
        <v>0</v>
      </c>
      <c r="M722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722" cm="1">
        <f t="array" ref="N722">MAX(IF((ProjectInfoTable[ProjectName]=ContinuousStatsTable[[#This Row],[ProjectName]]),(ProjectInfoTable[ProjectName]=ContinuousStatsTable[[#This Row],[ProjectName]])*ProjectInfoTable[NumberOfReplications]))</f>
        <v>10</v>
      </c>
      <c r="O722" cm="1">
        <f t="array" ref="O722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722" cm="1">
        <f t="array" ref="P722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722" cm="1">
        <f t="array" ref="Q722">MAX(IF((ProjectInfoTable[ProjectName]=ContinuousStatsTable[[#This Row],[ProjectName]]),(ProjectInfoTable[ProjectName]=ContinuousStatsTable[[#This Row],[ProjectName]])*ProjectInfoTable[ConfidenceInterval]))</f>
        <v>0.95</v>
      </c>
      <c r="R7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722" cm="1">
        <f t="array" ref="S722">MIN(IF((ContinuousStatsTable[GroupByKey]=ContinuousStatsTable[[#This Row],[GroupByKey]]),(ContinuousStatsTable[GroupByKey]=ContinuousStatsTable[[#This Row],[GroupByKey]])*ContinuousStatsTable[Average]))</f>
        <v>0.34602746258727701</v>
      </c>
      <c r="T722" cm="1">
        <f t="array" ref="T722">MAX(IF((ContinuousStatsTable[GroupByKey]=ContinuousStatsTable[[#This Row],[GroupByKey]]),(ContinuousStatsTable[GroupByKey]=ContinuousStatsTable[[#This Row],[GroupByKey]])*ContinuousStatsTable[Average]))</f>
        <v>0.34712505386175102</v>
      </c>
      <c r="U722">
        <f>IF((ContinuousStatsTable[[#This Row],[RepsRequested]]&gt;1),ContinuousStatsTable[[#This Row],[HalfWidth]],ContinuousStatsTable[[#This Row],[BatchMeansHalfWidth]])</f>
        <v>2.4134201748419608E-4</v>
      </c>
    </row>
    <row r="723" spans="1:21" x14ac:dyDescent="0.25">
      <c r="A723" t="s">
        <v>67</v>
      </c>
      <c r="B723" t="s">
        <v>243</v>
      </c>
      <c r="C723">
        <v>9</v>
      </c>
      <c r="D723" t="s">
        <v>131</v>
      </c>
      <c r="E723" t="s">
        <v>114</v>
      </c>
      <c r="F723" t="s">
        <v>113</v>
      </c>
      <c r="G723">
        <v>0.34640382960455401</v>
      </c>
      <c r="H723">
        <v>3E+20</v>
      </c>
      <c r="I723">
        <v>0</v>
      </c>
      <c r="J723">
        <v>1</v>
      </c>
      <c r="K723">
        <v>0</v>
      </c>
      <c r="L723">
        <v>0</v>
      </c>
      <c r="M723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723" cm="1">
        <f t="array" ref="N723">MAX(IF((ProjectInfoTable[ProjectName]=ContinuousStatsTable[[#This Row],[ProjectName]]),(ProjectInfoTable[ProjectName]=ContinuousStatsTable[[#This Row],[ProjectName]])*ProjectInfoTable[NumberOfReplications]))</f>
        <v>10</v>
      </c>
      <c r="O723" cm="1">
        <f t="array" ref="O723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723" cm="1">
        <f t="array" ref="P723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723" cm="1">
        <f t="array" ref="Q723">MAX(IF((ProjectInfoTable[ProjectName]=ContinuousStatsTable[[#This Row],[ProjectName]]),(ProjectInfoTable[ProjectName]=ContinuousStatsTable[[#This Row],[ProjectName]])*ProjectInfoTable[ConfidenceInterval]))</f>
        <v>0.95</v>
      </c>
      <c r="R7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723" cm="1">
        <f t="array" ref="S723">MIN(IF((ContinuousStatsTable[GroupByKey]=ContinuousStatsTable[[#This Row],[GroupByKey]]),(ContinuousStatsTable[GroupByKey]=ContinuousStatsTable[[#This Row],[GroupByKey]])*ContinuousStatsTable[Average]))</f>
        <v>0.34602746258727701</v>
      </c>
      <c r="T723" cm="1">
        <f t="array" ref="T723">MAX(IF((ContinuousStatsTable[GroupByKey]=ContinuousStatsTable[[#This Row],[GroupByKey]]),(ContinuousStatsTable[GroupByKey]=ContinuousStatsTable[[#This Row],[GroupByKey]])*ContinuousStatsTable[Average]))</f>
        <v>0.34712505386175102</v>
      </c>
      <c r="U723">
        <f>IF((ContinuousStatsTable[[#This Row],[RepsRequested]]&gt;1),ContinuousStatsTable[[#This Row],[HalfWidth]],ContinuousStatsTable[[#This Row],[BatchMeansHalfWidth]])</f>
        <v>2.4134201748419608E-4</v>
      </c>
    </row>
    <row r="724" spans="1:21" x14ac:dyDescent="0.25">
      <c r="A724" t="s">
        <v>67</v>
      </c>
      <c r="B724" t="s">
        <v>243</v>
      </c>
      <c r="C724">
        <v>9</v>
      </c>
      <c r="D724" t="s">
        <v>131</v>
      </c>
      <c r="E724" t="s">
        <v>115</v>
      </c>
      <c r="F724" t="s">
        <v>113</v>
      </c>
      <c r="G724">
        <v>0.476190476190476</v>
      </c>
      <c r="H724">
        <v>2E+20</v>
      </c>
      <c r="I724">
        <v>0</v>
      </c>
      <c r="J724">
        <v>1</v>
      </c>
      <c r="K724">
        <v>0</v>
      </c>
      <c r="L724">
        <v>0</v>
      </c>
      <c r="M724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724" cm="1">
        <f t="array" ref="N724">MAX(IF((ProjectInfoTable[ProjectName]=ContinuousStatsTable[[#This Row],[ProjectName]]),(ProjectInfoTable[ProjectName]=ContinuousStatsTable[[#This Row],[ProjectName]])*ProjectInfoTable[NumberOfReplications]))</f>
        <v>10</v>
      </c>
      <c r="O724" cm="1">
        <f t="array" ref="O72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724" cm="1">
        <f t="array" ref="P724">IFERROR(_xlfn.STDEV.S(IF((ContinuousStatsTable[GroupByKey]=ContinuousStatsTable[[#This Row],[GroupByKey]]),(ContinuousStatsTable[GroupByKey]=ContinuousStatsTable[[#This Row],[GroupByKey]])*ContinuousStatsTable[Average])),0)</f>
        <v>0</v>
      </c>
      <c r="Q724" cm="1">
        <f t="array" ref="Q724">MAX(IF((ProjectInfoTable[ProjectName]=ContinuousStatsTable[[#This Row],[ProjectName]]),(ProjectInfoTable[ProjectName]=ContinuousStatsTable[[#This Row],[ProjectName]])*ProjectInfoTable[ConfidenceInterval]))</f>
        <v>0.95</v>
      </c>
      <c r="R7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4" cm="1">
        <f t="array" ref="S724">MIN(IF((ContinuousStatsTable[GroupByKey]=ContinuousStatsTable[[#This Row],[GroupByKey]]),(ContinuousStatsTable[GroupByKey]=ContinuousStatsTable[[#This Row],[GroupByKey]])*ContinuousStatsTable[Average]))</f>
        <v>0.476190476190476</v>
      </c>
      <c r="T724" cm="1">
        <f t="array" ref="T724">MAX(IF((ContinuousStatsTable[GroupByKey]=ContinuousStatsTable[[#This Row],[GroupByKey]]),(ContinuousStatsTable[GroupByKey]=ContinuousStatsTable[[#This Row],[GroupByKey]])*ContinuousStatsTable[Average]))</f>
        <v>0.476190476190476</v>
      </c>
      <c r="U724">
        <f>IF((ContinuousStatsTable[[#This Row],[RepsRequested]]&gt;1),ContinuousStatsTable[[#This Row],[HalfWidth]],ContinuousStatsTable[[#This Row],[BatchMeansHalfWidth]])</f>
        <v>0</v>
      </c>
    </row>
    <row r="725" spans="1:21" x14ac:dyDescent="0.25">
      <c r="A725" t="s">
        <v>67</v>
      </c>
      <c r="B725" t="s">
        <v>243</v>
      </c>
      <c r="C725">
        <v>9</v>
      </c>
      <c r="D725" t="s">
        <v>132</v>
      </c>
      <c r="E725" t="s">
        <v>112</v>
      </c>
      <c r="F725" t="s">
        <v>113</v>
      </c>
      <c r="G725">
        <v>0.45484032830472998</v>
      </c>
      <c r="H725">
        <v>3E+20</v>
      </c>
      <c r="I725">
        <v>0</v>
      </c>
      <c r="J725">
        <v>1</v>
      </c>
      <c r="K725">
        <v>0</v>
      </c>
      <c r="L725">
        <v>0</v>
      </c>
      <c r="M725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725" cm="1">
        <f t="array" ref="N725">MAX(IF((ProjectInfoTable[ProjectName]=ContinuousStatsTable[[#This Row],[ProjectName]]),(ProjectInfoTable[ProjectName]=ContinuousStatsTable[[#This Row],[ProjectName]])*ProjectInfoTable[NumberOfReplications]))</f>
        <v>10</v>
      </c>
      <c r="O725" cm="1">
        <f t="array" ref="O725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725" cm="1">
        <f t="array" ref="P725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725" cm="1">
        <f t="array" ref="Q725">MAX(IF((ProjectInfoTable[ProjectName]=ContinuousStatsTable[[#This Row],[ProjectName]]),(ProjectInfoTable[ProjectName]=ContinuousStatsTable[[#This Row],[ProjectName]])*ProjectInfoTable[ConfidenceInterval]))</f>
        <v>0.95</v>
      </c>
      <c r="R7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725" cm="1">
        <f t="array" ref="S725">MIN(IF((ContinuousStatsTable[GroupByKey]=ContinuousStatsTable[[#This Row],[GroupByKey]]),(ContinuousStatsTable[GroupByKey]=ContinuousStatsTable[[#This Row],[GroupByKey]])*ContinuousStatsTable[Average]))</f>
        <v>0.45404133128311103</v>
      </c>
      <c r="T725" cm="1">
        <f t="array" ref="T725">MAX(IF((ContinuousStatsTable[GroupByKey]=ContinuousStatsTable[[#This Row],[GroupByKey]]),(ContinuousStatsTable[GroupByKey]=ContinuousStatsTable[[#This Row],[GroupByKey]])*ContinuousStatsTable[Average]))</f>
        <v>0.45518418142323402</v>
      </c>
      <c r="U725">
        <f>IF((ContinuousStatsTable[[#This Row],[RepsRequested]]&gt;1),ContinuousStatsTable[[#This Row],[HalfWidth]],ContinuousStatsTable[[#This Row],[BatchMeansHalfWidth]])</f>
        <v>2.6178321488092363E-4</v>
      </c>
    </row>
    <row r="726" spans="1:21" x14ac:dyDescent="0.25">
      <c r="A726" t="s">
        <v>67</v>
      </c>
      <c r="B726" t="s">
        <v>243</v>
      </c>
      <c r="C726">
        <v>9</v>
      </c>
      <c r="D726" t="s">
        <v>132</v>
      </c>
      <c r="E726" t="s">
        <v>114</v>
      </c>
      <c r="F726" t="s">
        <v>113</v>
      </c>
      <c r="G726">
        <v>0.45484032830472998</v>
      </c>
      <c r="H726">
        <v>3E+20</v>
      </c>
      <c r="I726">
        <v>0</v>
      </c>
      <c r="J726">
        <v>1</v>
      </c>
      <c r="K726">
        <v>0</v>
      </c>
      <c r="L726">
        <v>0</v>
      </c>
      <c r="M726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726" cm="1">
        <f t="array" ref="N726">MAX(IF((ProjectInfoTable[ProjectName]=ContinuousStatsTable[[#This Row],[ProjectName]]),(ProjectInfoTable[ProjectName]=ContinuousStatsTable[[#This Row],[ProjectName]])*ProjectInfoTable[NumberOfReplications]))</f>
        <v>10</v>
      </c>
      <c r="O726" cm="1">
        <f t="array" ref="O726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726" cm="1">
        <f t="array" ref="P726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726" cm="1">
        <f t="array" ref="Q726">MAX(IF((ProjectInfoTable[ProjectName]=ContinuousStatsTable[[#This Row],[ProjectName]]),(ProjectInfoTable[ProjectName]=ContinuousStatsTable[[#This Row],[ProjectName]])*ProjectInfoTable[ConfidenceInterval]))</f>
        <v>0.95</v>
      </c>
      <c r="R7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726" cm="1">
        <f t="array" ref="S726">MIN(IF((ContinuousStatsTable[GroupByKey]=ContinuousStatsTable[[#This Row],[GroupByKey]]),(ContinuousStatsTable[GroupByKey]=ContinuousStatsTable[[#This Row],[GroupByKey]])*ContinuousStatsTable[Average]))</f>
        <v>0.45404133128311103</v>
      </c>
      <c r="T726" cm="1">
        <f t="array" ref="T726">MAX(IF((ContinuousStatsTable[GroupByKey]=ContinuousStatsTable[[#This Row],[GroupByKey]]),(ContinuousStatsTable[GroupByKey]=ContinuousStatsTable[[#This Row],[GroupByKey]])*ContinuousStatsTable[Average]))</f>
        <v>0.45518418142323402</v>
      </c>
      <c r="U726">
        <f>IF((ContinuousStatsTable[[#This Row],[RepsRequested]]&gt;1),ContinuousStatsTable[[#This Row],[HalfWidth]],ContinuousStatsTable[[#This Row],[BatchMeansHalfWidth]])</f>
        <v>2.6178321488092363E-4</v>
      </c>
    </row>
    <row r="727" spans="1:21" x14ac:dyDescent="0.25">
      <c r="A727" t="s">
        <v>67</v>
      </c>
      <c r="B727" t="s">
        <v>243</v>
      </c>
      <c r="C727">
        <v>9</v>
      </c>
      <c r="D727" t="s">
        <v>132</v>
      </c>
      <c r="E727" t="s">
        <v>115</v>
      </c>
      <c r="F727" t="s">
        <v>113</v>
      </c>
      <c r="G727">
        <v>0.476190476190476</v>
      </c>
      <c r="H727">
        <v>2E+20</v>
      </c>
      <c r="I727">
        <v>0</v>
      </c>
      <c r="J727">
        <v>1</v>
      </c>
      <c r="K727">
        <v>0</v>
      </c>
      <c r="L727">
        <v>0</v>
      </c>
      <c r="M727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727" cm="1">
        <f t="array" ref="N727">MAX(IF((ProjectInfoTable[ProjectName]=ContinuousStatsTable[[#This Row],[ProjectName]]),(ProjectInfoTable[ProjectName]=ContinuousStatsTable[[#This Row],[ProjectName]])*ProjectInfoTable[NumberOfReplications]))</f>
        <v>10</v>
      </c>
      <c r="O727" cm="1">
        <f t="array" ref="O727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727" cm="1">
        <f t="array" ref="P727">IFERROR(_xlfn.STDEV.S(IF((ContinuousStatsTable[GroupByKey]=ContinuousStatsTable[[#This Row],[GroupByKey]]),(ContinuousStatsTable[GroupByKey]=ContinuousStatsTable[[#This Row],[GroupByKey]])*ContinuousStatsTable[Average])),0)</f>
        <v>0</v>
      </c>
      <c r="Q727" cm="1">
        <f t="array" ref="Q727">MAX(IF((ProjectInfoTable[ProjectName]=ContinuousStatsTable[[#This Row],[ProjectName]]),(ProjectInfoTable[ProjectName]=ContinuousStatsTable[[#This Row],[ProjectName]])*ProjectInfoTable[ConfidenceInterval]))</f>
        <v>0.95</v>
      </c>
      <c r="R7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7" cm="1">
        <f t="array" ref="S727">MIN(IF((ContinuousStatsTable[GroupByKey]=ContinuousStatsTable[[#This Row],[GroupByKey]]),(ContinuousStatsTable[GroupByKey]=ContinuousStatsTable[[#This Row],[GroupByKey]])*ContinuousStatsTable[Average]))</f>
        <v>0.476190476190476</v>
      </c>
      <c r="T727" cm="1">
        <f t="array" ref="T727">MAX(IF((ContinuousStatsTable[GroupByKey]=ContinuousStatsTable[[#This Row],[GroupByKey]]),(ContinuousStatsTable[GroupByKey]=ContinuousStatsTable[[#This Row],[GroupByKey]])*ContinuousStatsTable[Average]))</f>
        <v>0.476190476190476</v>
      </c>
      <c r="U727">
        <f>IF((ContinuousStatsTable[[#This Row],[RepsRequested]]&gt;1),ContinuousStatsTable[[#This Row],[HalfWidth]],ContinuousStatsTable[[#This Row],[BatchMeansHalfWidth]])</f>
        <v>0</v>
      </c>
    </row>
    <row r="728" spans="1:21" x14ac:dyDescent="0.25">
      <c r="A728" t="s">
        <v>67</v>
      </c>
      <c r="B728" t="s">
        <v>243</v>
      </c>
      <c r="C728">
        <v>9</v>
      </c>
      <c r="D728" t="s">
        <v>133</v>
      </c>
      <c r="E728" t="s">
        <v>112</v>
      </c>
      <c r="F728" t="s">
        <v>113</v>
      </c>
      <c r="G728">
        <v>0.23124113793477999</v>
      </c>
      <c r="H728">
        <v>3E+20</v>
      </c>
      <c r="I728">
        <v>0</v>
      </c>
      <c r="J728">
        <v>1</v>
      </c>
      <c r="K728">
        <v>0</v>
      </c>
      <c r="L728">
        <v>0</v>
      </c>
      <c r="M728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728" cm="1">
        <f t="array" ref="N728">MAX(IF((ProjectInfoTable[ProjectName]=ContinuousStatsTable[[#This Row],[ProjectName]]),(ProjectInfoTable[ProjectName]=ContinuousStatsTable[[#This Row],[ProjectName]])*ProjectInfoTable[NumberOfReplications]))</f>
        <v>10</v>
      </c>
      <c r="O728" cm="1">
        <f t="array" ref="O728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728" cm="1">
        <f t="array" ref="P728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728" cm="1">
        <f t="array" ref="Q728">MAX(IF((ProjectInfoTable[ProjectName]=ContinuousStatsTable[[#This Row],[ProjectName]]),(ProjectInfoTable[ProjectName]=ContinuousStatsTable[[#This Row],[ProjectName]])*ProjectInfoTable[ConfidenceInterval]))</f>
        <v>0.95</v>
      </c>
      <c r="R7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728" cm="1">
        <f t="array" ref="S728">MIN(IF((ContinuousStatsTable[GroupByKey]=ContinuousStatsTable[[#This Row],[GroupByKey]]),(ContinuousStatsTable[GroupByKey]=ContinuousStatsTable[[#This Row],[GroupByKey]])*ContinuousStatsTable[Average]))</f>
        <v>0.230969532572807</v>
      </c>
      <c r="T728" cm="1">
        <f t="array" ref="T728">MAX(IF((ContinuousStatsTable[GroupByKey]=ContinuousStatsTable[[#This Row],[GroupByKey]]),(ContinuousStatsTable[GroupByKey]=ContinuousStatsTable[[#This Row],[GroupByKey]])*ContinuousStatsTable[Average]))</f>
        <v>0.23202343200723599</v>
      </c>
      <c r="U728">
        <f>IF((ContinuousStatsTable[[#This Row],[RepsRequested]]&gt;1),ContinuousStatsTable[[#This Row],[HalfWidth]],ContinuousStatsTable[[#This Row],[BatchMeansHalfWidth]])</f>
        <v>2.4725912837525509E-4</v>
      </c>
    </row>
    <row r="729" spans="1:21" x14ac:dyDescent="0.25">
      <c r="A729" t="s">
        <v>67</v>
      </c>
      <c r="B729" t="s">
        <v>243</v>
      </c>
      <c r="C729">
        <v>9</v>
      </c>
      <c r="D729" t="s">
        <v>133</v>
      </c>
      <c r="E729" t="s">
        <v>114</v>
      </c>
      <c r="F729" t="s">
        <v>113</v>
      </c>
      <c r="G729">
        <v>0.23124113793477999</v>
      </c>
      <c r="H729">
        <v>3E+20</v>
      </c>
      <c r="I729">
        <v>0</v>
      </c>
      <c r="J729">
        <v>1</v>
      </c>
      <c r="K729">
        <v>0</v>
      </c>
      <c r="L729">
        <v>0</v>
      </c>
      <c r="M729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729" cm="1">
        <f t="array" ref="N729">MAX(IF((ProjectInfoTable[ProjectName]=ContinuousStatsTable[[#This Row],[ProjectName]]),(ProjectInfoTable[ProjectName]=ContinuousStatsTable[[#This Row],[ProjectName]])*ProjectInfoTable[NumberOfReplications]))</f>
        <v>10</v>
      </c>
      <c r="O729" cm="1">
        <f t="array" ref="O729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729" cm="1">
        <f t="array" ref="P729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729" cm="1">
        <f t="array" ref="Q729">MAX(IF((ProjectInfoTable[ProjectName]=ContinuousStatsTable[[#This Row],[ProjectName]]),(ProjectInfoTable[ProjectName]=ContinuousStatsTable[[#This Row],[ProjectName]])*ProjectInfoTable[ConfidenceInterval]))</f>
        <v>0.95</v>
      </c>
      <c r="R7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729" cm="1">
        <f t="array" ref="S729">MIN(IF((ContinuousStatsTable[GroupByKey]=ContinuousStatsTable[[#This Row],[GroupByKey]]),(ContinuousStatsTable[GroupByKey]=ContinuousStatsTable[[#This Row],[GroupByKey]])*ContinuousStatsTable[Average]))</f>
        <v>0.230969532572807</v>
      </c>
      <c r="T729" cm="1">
        <f t="array" ref="T729">MAX(IF((ContinuousStatsTable[GroupByKey]=ContinuousStatsTable[[#This Row],[GroupByKey]]),(ContinuousStatsTable[GroupByKey]=ContinuousStatsTable[[#This Row],[GroupByKey]])*ContinuousStatsTable[Average]))</f>
        <v>0.23202343200723599</v>
      </c>
      <c r="U729">
        <f>IF((ContinuousStatsTable[[#This Row],[RepsRequested]]&gt;1),ContinuousStatsTable[[#This Row],[HalfWidth]],ContinuousStatsTable[[#This Row],[BatchMeansHalfWidth]])</f>
        <v>2.4725912837525509E-4</v>
      </c>
    </row>
    <row r="730" spans="1:21" x14ac:dyDescent="0.25">
      <c r="A730" t="s">
        <v>67</v>
      </c>
      <c r="B730" t="s">
        <v>243</v>
      </c>
      <c r="C730">
        <v>9</v>
      </c>
      <c r="D730" t="s">
        <v>133</v>
      </c>
      <c r="E730" t="s">
        <v>115</v>
      </c>
      <c r="F730" t="s">
        <v>113</v>
      </c>
      <c r="G730">
        <v>0.476190476190476</v>
      </c>
      <c r="H730">
        <v>2E+20</v>
      </c>
      <c r="I730">
        <v>0</v>
      </c>
      <c r="J730">
        <v>1</v>
      </c>
      <c r="K730">
        <v>0</v>
      </c>
      <c r="L730">
        <v>0</v>
      </c>
      <c r="M730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730" cm="1">
        <f t="array" ref="N730">MAX(IF((ProjectInfoTable[ProjectName]=ContinuousStatsTable[[#This Row],[ProjectName]]),(ProjectInfoTable[ProjectName]=ContinuousStatsTable[[#This Row],[ProjectName]])*ProjectInfoTable[NumberOfReplications]))</f>
        <v>10</v>
      </c>
      <c r="O730" cm="1">
        <f t="array" ref="O730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730" cm="1">
        <f t="array" ref="P730">IFERROR(_xlfn.STDEV.S(IF((ContinuousStatsTable[GroupByKey]=ContinuousStatsTable[[#This Row],[GroupByKey]]),(ContinuousStatsTable[GroupByKey]=ContinuousStatsTable[[#This Row],[GroupByKey]])*ContinuousStatsTable[Average])),0)</f>
        <v>0</v>
      </c>
      <c r="Q730" cm="1">
        <f t="array" ref="Q730">MAX(IF((ProjectInfoTable[ProjectName]=ContinuousStatsTable[[#This Row],[ProjectName]]),(ProjectInfoTable[ProjectName]=ContinuousStatsTable[[#This Row],[ProjectName]])*ProjectInfoTable[ConfidenceInterval]))</f>
        <v>0.95</v>
      </c>
      <c r="R7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0" cm="1">
        <f t="array" ref="S730">MIN(IF((ContinuousStatsTable[GroupByKey]=ContinuousStatsTable[[#This Row],[GroupByKey]]),(ContinuousStatsTable[GroupByKey]=ContinuousStatsTable[[#This Row],[GroupByKey]])*ContinuousStatsTable[Average]))</f>
        <v>0.476190476190476</v>
      </c>
      <c r="T730" cm="1">
        <f t="array" ref="T730">MAX(IF((ContinuousStatsTable[GroupByKey]=ContinuousStatsTable[[#This Row],[GroupByKey]]),(ContinuousStatsTable[GroupByKey]=ContinuousStatsTable[[#This Row],[GroupByKey]])*ContinuousStatsTable[Average]))</f>
        <v>0.476190476190476</v>
      </c>
      <c r="U730">
        <f>IF((ContinuousStatsTable[[#This Row],[RepsRequested]]&gt;1),ContinuousStatsTable[[#This Row],[HalfWidth]],ContinuousStatsTable[[#This Row],[BatchMeansHalfWidth]])</f>
        <v>0</v>
      </c>
    </row>
    <row r="731" spans="1:21" x14ac:dyDescent="0.25">
      <c r="A731" t="s">
        <v>67</v>
      </c>
      <c r="B731" t="s">
        <v>243</v>
      </c>
      <c r="C731">
        <v>9</v>
      </c>
      <c r="D731" t="s">
        <v>134</v>
      </c>
      <c r="E731" t="s">
        <v>112</v>
      </c>
      <c r="F731" t="s">
        <v>113</v>
      </c>
      <c r="G731">
        <v>0.272343155202242</v>
      </c>
      <c r="H731">
        <v>3E+20</v>
      </c>
      <c r="I731">
        <v>0</v>
      </c>
      <c r="J731">
        <v>1</v>
      </c>
      <c r="K731">
        <v>0</v>
      </c>
      <c r="L731">
        <v>0</v>
      </c>
      <c r="M731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731" cm="1">
        <f t="array" ref="N731">MAX(IF((ProjectInfoTable[ProjectName]=ContinuousStatsTable[[#This Row],[ProjectName]]),(ProjectInfoTable[ProjectName]=ContinuousStatsTable[[#This Row],[ProjectName]])*ProjectInfoTable[NumberOfReplications]))</f>
        <v>10</v>
      </c>
      <c r="O731" cm="1">
        <f t="array" ref="O731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731" cm="1">
        <f t="array" ref="P731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731" cm="1">
        <f t="array" ref="Q731">MAX(IF((ProjectInfoTable[ProjectName]=ContinuousStatsTable[[#This Row],[ProjectName]]),(ProjectInfoTable[ProjectName]=ContinuousStatsTable[[#This Row],[ProjectName]])*ProjectInfoTable[ConfidenceInterval]))</f>
        <v>0.95</v>
      </c>
      <c r="R7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731" cm="1">
        <f t="array" ref="S731">MIN(IF((ContinuousStatsTable[GroupByKey]=ContinuousStatsTable[[#This Row],[GroupByKey]]),(ContinuousStatsTable[GroupByKey]=ContinuousStatsTable[[#This Row],[GroupByKey]])*ContinuousStatsTable[Average]))</f>
        <v>0.271979535431421</v>
      </c>
      <c r="T731" cm="1">
        <f t="array" ref="T731">MAX(IF((ContinuousStatsTable[GroupByKey]=ContinuousStatsTable[[#This Row],[GroupByKey]]),(ContinuousStatsTable[GroupByKey]=ContinuousStatsTable[[#This Row],[GroupByKey]])*ContinuousStatsTable[Average]))</f>
        <v>0.27283313106114998</v>
      </c>
      <c r="U731">
        <f>IF((ContinuousStatsTable[[#This Row],[RepsRequested]]&gt;1),ContinuousStatsTable[[#This Row],[HalfWidth]],ContinuousStatsTable[[#This Row],[BatchMeansHalfWidth]])</f>
        <v>1.7269361236560142E-4</v>
      </c>
    </row>
    <row r="732" spans="1:21" x14ac:dyDescent="0.25">
      <c r="A732" t="s">
        <v>67</v>
      </c>
      <c r="B732" t="s">
        <v>243</v>
      </c>
      <c r="C732">
        <v>9</v>
      </c>
      <c r="D732" t="s">
        <v>134</v>
      </c>
      <c r="E732" t="s">
        <v>114</v>
      </c>
      <c r="F732" t="s">
        <v>113</v>
      </c>
      <c r="G732">
        <v>0.272343155202242</v>
      </c>
      <c r="H732">
        <v>3E+20</v>
      </c>
      <c r="I732">
        <v>0</v>
      </c>
      <c r="J732">
        <v>1</v>
      </c>
      <c r="K732">
        <v>0</v>
      </c>
      <c r="L732">
        <v>0</v>
      </c>
      <c r="M732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732" cm="1">
        <f t="array" ref="N732">MAX(IF((ProjectInfoTable[ProjectName]=ContinuousStatsTable[[#This Row],[ProjectName]]),(ProjectInfoTable[ProjectName]=ContinuousStatsTable[[#This Row],[ProjectName]])*ProjectInfoTable[NumberOfReplications]))</f>
        <v>10</v>
      </c>
      <c r="O732" cm="1">
        <f t="array" ref="O732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732" cm="1">
        <f t="array" ref="P732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732" cm="1">
        <f t="array" ref="Q732">MAX(IF((ProjectInfoTable[ProjectName]=ContinuousStatsTable[[#This Row],[ProjectName]]),(ProjectInfoTable[ProjectName]=ContinuousStatsTable[[#This Row],[ProjectName]])*ProjectInfoTable[ConfidenceInterval]))</f>
        <v>0.95</v>
      </c>
      <c r="R7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732" cm="1">
        <f t="array" ref="S732">MIN(IF((ContinuousStatsTable[GroupByKey]=ContinuousStatsTable[[#This Row],[GroupByKey]]),(ContinuousStatsTable[GroupByKey]=ContinuousStatsTable[[#This Row],[GroupByKey]])*ContinuousStatsTable[Average]))</f>
        <v>0.271979535431421</v>
      </c>
      <c r="T732" cm="1">
        <f t="array" ref="T732">MAX(IF((ContinuousStatsTable[GroupByKey]=ContinuousStatsTable[[#This Row],[GroupByKey]]),(ContinuousStatsTable[GroupByKey]=ContinuousStatsTable[[#This Row],[GroupByKey]])*ContinuousStatsTable[Average]))</f>
        <v>0.27283313106114998</v>
      </c>
      <c r="U732">
        <f>IF((ContinuousStatsTable[[#This Row],[RepsRequested]]&gt;1),ContinuousStatsTable[[#This Row],[HalfWidth]],ContinuousStatsTable[[#This Row],[BatchMeansHalfWidth]])</f>
        <v>1.7269361236560142E-4</v>
      </c>
    </row>
    <row r="733" spans="1:21" x14ac:dyDescent="0.25">
      <c r="A733" t="s">
        <v>67</v>
      </c>
      <c r="B733" t="s">
        <v>243</v>
      </c>
      <c r="C733">
        <v>9</v>
      </c>
      <c r="D733" t="s">
        <v>134</v>
      </c>
      <c r="E733" t="s">
        <v>115</v>
      </c>
      <c r="F733" t="s">
        <v>113</v>
      </c>
      <c r="G733">
        <v>0.476190476190476</v>
      </c>
      <c r="H733">
        <v>2E+20</v>
      </c>
      <c r="I733">
        <v>0</v>
      </c>
      <c r="J733">
        <v>1</v>
      </c>
      <c r="K733">
        <v>0</v>
      </c>
      <c r="L733">
        <v>0</v>
      </c>
      <c r="M733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733" cm="1">
        <f t="array" ref="N733">MAX(IF((ProjectInfoTable[ProjectName]=ContinuousStatsTable[[#This Row],[ProjectName]]),(ProjectInfoTable[ProjectName]=ContinuousStatsTable[[#This Row],[ProjectName]])*ProjectInfoTable[NumberOfReplications]))</f>
        <v>10</v>
      </c>
      <c r="O733" cm="1">
        <f t="array" ref="O733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733" cm="1">
        <f t="array" ref="P733">IFERROR(_xlfn.STDEV.S(IF((ContinuousStatsTable[GroupByKey]=ContinuousStatsTable[[#This Row],[GroupByKey]]),(ContinuousStatsTable[GroupByKey]=ContinuousStatsTable[[#This Row],[GroupByKey]])*ContinuousStatsTable[Average])),0)</f>
        <v>0</v>
      </c>
      <c r="Q733" cm="1">
        <f t="array" ref="Q733">MAX(IF((ProjectInfoTable[ProjectName]=ContinuousStatsTable[[#This Row],[ProjectName]]),(ProjectInfoTable[ProjectName]=ContinuousStatsTable[[#This Row],[ProjectName]])*ProjectInfoTable[ConfidenceInterval]))</f>
        <v>0.95</v>
      </c>
      <c r="R7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3" cm="1">
        <f t="array" ref="S733">MIN(IF((ContinuousStatsTable[GroupByKey]=ContinuousStatsTable[[#This Row],[GroupByKey]]),(ContinuousStatsTable[GroupByKey]=ContinuousStatsTable[[#This Row],[GroupByKey]])*ContinuousStatsTable[Average]))</f>
        <v>0.476190476190476</v>
      </c>
      <c r="T733" cm="1">
        <f t="array" ref="T733">MAX(IF((ContinuousStatsTable[GroupByKey]=ContinuousStatsTable[[#This Row],[GroupByKey]]),(ContinuousStatsTable[GroupByKey]=ContinuousStatsTable[[#This Row],[GroupByKey]])*ContinuousStatsTable[Average]))</f>
        <v>0.476190476190476</v>
      </c>
      <c r="U733">
        <f>IF((ContinuousStatsTable[[#This Row],[RepsRequested]]&gt;1),ContinuousStatsTable[[#This Row],[HalfWidth]],ContinuousStatsTable[[#This Row],[BatchMeansHalfWidth]])</f>
        <v>0</v>
      </c>
    </row>
    <row r="734" spans="1:21" x14ac:dyDescent="0.25">
      <c r="A734" t="s">
        <v>67</v>
      </c>
      <c r="B734" t="s">
        <v>243</v>
      </c>
      <c r="C734">
        <v>9</v>
      </c>
      <c r="D734" t="s">
        <v>135</v>
      </c>
      <c r="E734" t="s">
        <v>112</v>
      </c>
      <c r="F734" t="s">
        <v>113</v>
      </c>
      <c r="G734">
        <v>0.47646106450742798</v>
      </c>
      <c r="H734">
        <v>2E+20</v>
      </c>
      <c r="I734">
        <v>0</v>
      </c>
      <c r="J734">
        <v>1</v>
      </c>
      <c r="K734">
        <v>0</v>
      </c>
      <c r="L734">
        <v>0</v>
      </c>
      <c r="M734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734" cm="1">
        <f t="array" ref="N734">MAX(IF((ProjectInfoTable[ProjectName]=ContinuousStatsTable[[#This Row],[ProjectName]]),(ProjectInfoTable[ProjectName]=ContinuousStatsTable[[#This Row],[ProjectName]])*ProjectInfoTable[NumberOfReplications]))</f>
        <v>10</v>
      </c>
      <c r="O734" cm="1">
        <f t="array" ref="O734">IFERROR(AVERAGE(IF((ContinuousStatsTable[GroupByKey]=ContinuousStatsTable[[#This Row],[GroupByKey]]),(ContinuousStatsTable[GroupByKey]=ContinuousStatsTable[[#This Row],[GroupByKey]])*ContinuousStatsTable[Average])),0)</f>
        <v>0.47640752107427203</v>
      </c>
      <c r="P734" cm="1">
        <f t="array" ref="P734">IFERROR(_xlfn.STDEV.S(IF((ContinuousStatsTable[GroupByKey]=ContinuousStatsTable[[#This Row],[GroupByKey]]),(ContinuousStatsTable[GroupByKey]=ContinuousStatsTable[[#This Row],[GroupByKey]])*ContinuousStatsTable[Average])),0)</f>
        <v>7.9809559904816854E-5</v>
      </c>
      <c r="Q734" cm="1">
        <f t="array" ref="Q734">MAX(IF((ProjectInfoTable[ProjectName]=ContinuousStatsTable[[#This Row],[ProjectName]]),(ProjectInfoTable[ProjectName]=ContinuousStatsTable[[#This Row],[ProjectName]])*ProjectInfoTable[ConfidenceInterval]))</f>
        <v>0.95</v>
      </c>
      <c r="R7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5.7092319840390197E-5</v>
      </c>
      <c r="S734" cm="1">
        <f t="array" ref="S734">MIN(IF((ContinuousStatsTable[GroupByKey]=ContinuousStatsTable[[#This Row],[GroupByKey]]),(ContinuousStatsTable[GroupByKey]=ContinuousStatsTable[[#This Row],[GroupByKey]])*ContinuousStatsTable[Average]))</f>
        <v>0.47622171379262102</v>
      </c>
      <c r="T734" cm="1">
        <f t="array" ref="T734">MAX(IF((ContinuousStatsTable[GroupByKey]=ContinuousStatsTable[[#This Row],[GroupByKey]]),(ContinuousStatsTable[GroupByKey]=ContinuousStatsTable[[#This Row],[GroupByKey]])*ContinuousStatsTable[Average]))</f>
        <v>0.47651577494330499</v>
      </c>
      <c r="U734">
        <f>IF((ContinuousStatsTable[[#This Row],[RepsRequested]]&gt;1),ContinuousStatsTable[[#This Row],[HalfWidth]],ContinuousStatsTable[[#This Row],[BatchMeansHalfWidth]])</f>
        <v>5.7092319840390197E-5</v>
      </c>
    </row>
    <row r="735" spans="1:21" x14ac:dyDescent="0.25">
      <c r="A735" t="s">
        <v>67</v>
      </c>
      <c r="B735" t="s">
        <v>243</v>
      </c>
      <c r="C735">
        <v>9</v>
      </c>
      <c r="D735" t="s">
        <v>135</v>
      </c>
      <c r="E735" t="s">
        <v>114</v>
      </c>
      <c r="F735" t="s">
        <v>113</v>
      </c>
      <c r="G735">
        <v>0.47646106450742798</v>
      </c>
      <c r="H735">
        <v>2E+20</v>
      </c>
      <c r="I735">
        <v>0</v>
      </c>
      <c r="J735">
        <v>1</v>
      </c>
      <c r="K735">
        <v>0</v>
      </c>
      <c r="L735">
        <v>0</v>
      </c>
      <c r="M735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735" cm="1">
        <f t="array" ref="N735">MAX(IF((ProjectInfoTable[ProjectName]=ContinuousStatsTable[[#This Row],[ProjectName]]),(ProjectInfoTable[ProjectName]=ContinuousStatsTable[[#This Row],[ProjectName]])*ProjectInfoTable[NumberOfReplications]))</f>
        <v>10</v>
      </c>
      <c r="O735" cm="1">
        <f t="array" ref="O735">IFERROR(AVERAGE(IF((ContinuousStatsTable[GroupByKey]=ContinuousStatsTable[[#This Row],[GroupByKey]]),(ContinuousStatsTable[GroupByKey]=ContinuousStatsTable[[#This Row],[GroupByKey]])*ContinuousStatsTable[Average])),0)</f>
        <v>0.47640752107427209</v>
      </c>
      <c r="P735" cm="1">
        <f t="array" ref="P735">IFERROR(_xlfn.STDEV.S(IF((ContinuousStatsTable[GroupByKey]=ContinuousStatsTable[[#This Row],[GroupByKey]]),(ContinuousStatsTable[GroupByKey]=ContinuousStatsTable[[#This Row],[GroupByKey]])*ContinuousStatsTable[Average])),0)</f>
        <v>7.980955990487845E-5</v>
      </c>
      <c r="Q735" cm="1">
        <f t="array" ref="Q735">MAX(IF((ProjectInfoTable[ProjectName]=ContinuousStatsTable[[#This Row],[ProjectName]]),(ProjectInfoTable[ProjectName]=ContinuousStatsTable[[#This Row],[ProjectName]])*ProjectInfoTable[ConfidenceInterval]))</f>
        <v>0.95</v>
      </c>
      <c r="R7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5.7092319840434263E-5</v>
      </c>
      <c r="S735" cm="1">
        <f t="array" ref="S735">MIN(IF((ContinuousStatsTable[GroupByKey]=ContinuousStatsTable[[#This Row],[GroupByKey]]),(ContinuousStatsTable[GroupByKey]=ContinuousStatsTable[[#This Row],[GroupByKey]])*ContinuousStatsTable[Average]))</f>
        <v>0.47622171379262102</v>
      </c>
      <c r="T735" cm="1">
        <f t="array" ref="T735">MAX(IF((ContinuousStatsTable[GroupByKey]=ContinuousStatsTable[[#This Row],[GroupByKey]]),(ContinuousStatsTable[GroupByKey]=ContinuousStatsTable[[#This Row],[GroupByKey]])*ContinuousStatsTable[Average]))</f>
        <v>0.47651577494330499</v>
      </c>
      <c r="U735">
        <f>IF((ContinuousStatsTable[[#This Row],[RepsRequested]]&gt;1),ContinuousStatsTable[[#This Row],[HalfWidth]],ContinuousStatsTable[[#This Row],[BatchMeansHalfWidth]])</f>
        <v>5.7092319840434263E-5</v>
      </c>
    </row>
    <row r="736" spans="1:21" x14ac:dyDescent="0.25">
      <c r="A736" t="s">
        <v>67</v>
      </c>
      <c r="B736" t="s">
        <v>243</v>
      </c>
      <c r="C736">
        <v>9</v>
      </c>
      <c r="D736" t="s">
        <v>135</v>
      </c>
      <c r="E736" t="s">
        <v>115</v>
      </c>
      <c r="F736" t="s">
        <v>113</v>
      </c>
      <c r="G736">
        <v>0.476190476190476</v>
      </c>
      <c r="H736">
        <v>2E+20</v>
      </c>
      <c r="I736">
        <v>0</v>
      </c>
      <c r="J736">
        <v>1</v>
      </c>
      <c r="K736">
        <v>0</v>
      </c>
      <c r="L736">
        <v>0</v>
      </c>
      <c r="M736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736" cm="1">
        <f t="array" ref="N736">MAX(IF((ProjectInfoTable[ProjectName]=ContinuousStatsTable[[#This Row],[ProjectName]]),(ProjectInfoTable[ProjectName]=ContinuousStatsTable[[#This Row],[ProjectName]])*ProjectInfoTable[NumberOfReplications]))</f>
        <v>10</v>
      </c>
      <c r="O736" cm="1">
        <f t="array" ref="O736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736" cm="1">
        <f t="array" ref="P736">IFERROR(_xlfn.STDEV.S(IF((ContinuousStatsTable[GroupByKey]=ContinuousStatsTable[[#This Row],[GroupByKey]]),(ContinuousStatsTable[GroupByKey]=ContinuousStatsTable[[#This Row],[GroupByKey]])*ContinuousStatsTable[Average])),0)</f>
        <v>0</v>
      </c>
      <c r="Q736" cm="1">
        <f t="array" ref="Q736">MAX(IF((ProjectInfoTable[ProjectName]=ContinuousStatsTable[[#This Row],[ProjectName]]),(ProjectInfoTable[ProjectName]=ContinuousStatsTable[[#This Row],[ProjectName]])*ProjectInfoTable[ConfidenceInterval]))</f>
        <v>0.95</v>
      </c>
      <c r="R7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6" cm="1">
        <f t="array" ref="S736">MIN(IF((ContinuousStatsTable[GroupByKey]=ContinuousStatsTable[[#This Row],[GroupByKey]]),(ContinuousStatsTable[GroupByKey]=ContinuousStatsTable[[#This Row],[GroupByKey]])*ContinuousStatsTable[Average]))</f>
        <v>0.476190476190476</v>
      </c>
      <c r="T736" cm="1">
        <f t="array" ref="T736">MAX(IF((ContinuousStatsTable[GroupByKey]=ContinuousStatsTable[[#This Row],[GroupByKey]]),(ContinuousStatsTable[GroupByKey]=ContinuousStatsTable[[#This Row],[GroupByKey]])*ContinuousStatsTable[Average]))</f>
        <v>0.476190476190476</v>
      </c>
      <c r="U736">
        <f>IF((ContinuousStatsTable[[#This Row],[RepsRequested]]&gt;1),ContinuousStatsTable[[#This Row],[HalfWidth]],ContinuousStatsTable[[#This Row],[BatchMeansHalfWidth]])</f>
        <v>0</v>
      </c>
    </row>
    <row r="737" spans="1:21" x14ac:dyDescent="0.25">
      <c r="A737" t="s">
        <v>67</v>
      </c>
      <c r="B737" t="s">
        <v>243</v>
      </c>
      <c r="C737">
        <v>9</v>
      </c>
      <c r="D737" t="s">
        <v>136</v>
      </c>
      <c r="E737" t="s">
        <v>112</v>
      </c>
      <c r="F737" t="s">
        <v>113</v>
      </c>
      <c r="G737">
        <v>0.29927380789720098</v>
      </c>
      <c r="H737">
        <v>3E+20</v>
      </c>
      <c r="I737">
        <v>0</v>
      </c>
      <c r="J737">
        <v>1</v>
      </c>
      <c r="K737">
        <v>0</v>
      </c>
      <c r="L737">
        <v>0</v>
      </c>
      <c r="M737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737" cm="1">
        <f t="array" ref="N737">MAX(IF((ProjectInfoTable[ProjectName]=ContinuousStatsTable[[#This Row],[ProjectName]]),(ProjectInfoTable[ProjectName]=ContinuousStatsTable[[#This Row],[ProjectName]])*ProjectInfoTable[NumberOfReplications]))</f>
        <v>10</v>
      </c>
      <c r="O737" cm="1">
        <f t="array" ref="O737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737" cm="1">
        <f t="array" ref="P737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737" cm="1">
        <f t="array" ref="Q737">MAX(IF((ProjectInfoTable[ProjectName]=ContinuousStatsTable[[#This Row],[ProjectName]]),(ProjectInfoTable[ProjectName]=ContinuousStatsTable[[#This Row],[ProjectName]])*ProjectInfoTable[ConfidenceInterval]))</f>
        <v>0.95</v>
      </c>
      <c r="R7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737" cm="1">
        <f t="array" ref="S737">MIN(IF((ContinuousStatsTable[GroupByKey]=ContinuousStatsTable[[#This Row],[GroupByKey]]),(ContinuousStatsTable[GroupByKey]=ContinuousStatsTable[[#This Row],[GroupByKey]])*ContinuousStatsTable[Average]))</f>
        <v>0.29842379685970999</v>
      </c>
      <c r="T737" cm="1">
        <f t="array" ref="T737">MAX(IF((ContinuousStatsTable[GroupByKey]=ContinuousStatsTable[[#This Row],[GroupByKey]]),(ContinuousStatsTable[GroupByKey]=ContinuousStatsTable[[#This Row],[GroupByKey]])*ContinuousStatsTable[Average]))</f>
        <v>0.29970100107953501</v>
      </c>
      <c r="U737">
        <f>IF((ContinuousStatsTable[[#This Row],[RepsRequested]]&gt;1),ContinuousStatsTable[[#This Row],[HalfWidth]],ContinuousStatsTable[[#This Row],[BatchMeansHalfWidth]])</f>
        <v>2.6450685793468105E-4</v>
      </c>
    </row>
    <row r="738" spans="1:21" x14ac:dyDescent="0.25">
      <c r="A738" t="s">
        <v>67</v>
      </c>
      <c r="B738" t="s">
        <v>243</v>
      </c>
      <c r="C738">
        <v>9</v>
      </c>
      <c r="D738" t="s">
        <v>136</v>
      </c>
      <c r="E738" t="s">
        <v>114</v>
      </c>
      <c r="F738" t="s">
        <v>113</v>
      </c>
      <c r="G738">
        <v>0.29927380789720098</v>
      </c>
      <c r="H738">
        <v>3E+20</v>
      </c>
      <c r="I738">
        <v>0</v>
      </c>
      <c r="J738">
        <v>1</v>
      </c>
      <c r="K738">
        <v>0</v>
      </c>
      <c r="L738">
        <v>0</v>
      </c>
      <c r="M738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738" cm="1">
        <f t="array" ref="N738">MAX(IF((ProjectInfoTable[ProjectName]=ContinuousStatsTable[[#This Row],[ProjectName]]),(ProjectInfoTable[ProjectName]=ContinuousStatsTable[[#This Row],[ProjectName]])*ProjectInfoTable[NumberOfReplications]))</f>
        <v>10</v>
      </c>
      <c r="O738" cm="1">
        <f t="array" ref="O738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738" cm="1">
        <f t="array" ref="P738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738" cm="1">
        <f t="array" ref="Q738">MAX(IF((ProjectInfoTable[ProjectName]=ContinuousStatsTable[[#This Row],[ProjectName]]),(ProjectInfoTable[ProjectName]=ContinuousStatsTable[[#This Row],[ProjectName]])*ProjectInfoTable[ConfidenceInterval]))</f>
        <v>0.95</v>
      </c>
      <c r="R7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738" cm="1">
        <f t="array" ref="S738">MIN(IF((ContinuousStatsTable[GroupByKey]=ContinuousStatsTable[[#This Row],[GroupByKey]]),(ContinuousStatsTable[GroupByKey]=ContinuousStatsTable[[#This Row],[GroupByKey]])*ContinuousStatsTable[Average]))</f>
        <v>0.29842379685970999</v>
      </c>
      <c r="T738" cm="1">
        <f t="array" ref="T738">MAX(IF((ContinuousStatsTable[GroupByKey]=ContinuousStatsTable[[#This Row],[GroupByKey]]),(ContinuousStatsTable[GroupByKey]=ContinuousStatsTable[[#This Row],[GroupByKey]])*ContinuousStatsTable[Average]))</f>
        <v>0.29970100107953501</v>
      </c>
      <c r="U738">
        <f>IF((ContinuousStatsTable[[#This Row],[RepsRequested]]&gt;1),ContinuousStatsTable[[#This Row],[HalfWidth]],ContinuousStatsTable[[#This Row],[BatchMeansHalfWidth]])</f>
        <v>2.6450685793468105E-4</v>
      </c>
    </row>
    <row r="739" spans="1:21" x14ac:dyDescent="0.25">
      <c r="A739" t="s">
        <v>67</v>
      </c>
      <c r="B739" t="s">
        <v>243</v>
      </c>
      <c r="C739">
        <v>9</v>
      </c>
      <c r="D739" t="s">
        <v>136</v>
      </c>
      <c r="E739" t="s">
        <v>115</v>
      </c>
      <c r="F739" t="s">
        <v>113</v>
      </c>
      <c r="G739">
        <v>0.476190476190476</v>
      </c>
      <c r="H739">
        <v>2E+20</v>
      </c>
      <c r="I739">
        <v>0</v>
      </c>
      <c r="J739">
        <v>1</v>
      </c>
      <c r="K739">
        <v>0</v>
      </c>
      <c r="L739">
        <v>0</v>
      </c>
      <c r="M739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739" cm="1">
        <f t="array" ref="N739">MAX(IF((ProjectInfoTable[ProjectName]=ContinuousStatsTable[[#This Row],[ProjectName]]),(ProjectInfoTable[ProjectName]=ContinuousStatsTable[[#This Row],[ProjectName]])*ProjectInfoTable[NumberOfReplications]))</f>
        <v>10</v>
      </c>
      <c r="O739" cm="1">
        <f t="array" ref="O73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739" cm="1">
        <f t="array" ref="P739">IFERROR(_xlfn.STDEV.S(IF((ContinuousStatsTable[GroupByKey]=ContinuousStatsTable[[#This Row],[GroupByKey]]),(ContinuousStatsTable[GroupByKey]=ContinuousStatsTable[[#This Row],[GroupByKey]])*ContinuousStatsTable[Average])),0)</f>
        <v>0</v>
      </c>
      <c r="Q739" cm="1">
        <f t="array" ref="Q739">MAX(IF((ProjectInfoTable[ProjectName]=ContinuousStatsTable[[#This Row],[ProjectName]]),(ProjectInfoTable[ProjectName]=ContinuousStatsTable[[#This Row],[ProjectName]])*ProjectInfoTable[ConfidenceInterval]))</f>
        <v>0.95</v>
      </c>
      <c r="R7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9" cm="1">
        <f t="array" ref="S739">MIN(IF((ContinuousStatsTable[GroupByKey]=ContinuousStatsTable[[#This Row],[GroupByKey]]),(ContinuousStatsTable[GroupByKey]=ContinuousStatsTable[[#This Row],[GroupByKey]])*ContinuousStatsTable[Average]))</f>
        <v>0.476190476190476</v>
      </c>
      <c r="T739" cm="1">
        <f t="array" ref="T739">MAX(IF((ContinuousStatsTable[GroupByKey]=ContinuousStatsTable[[#This Row],[GroupByKey]]),(ContinuousStatsTable[GroupByKey]=ContinuousStatsTable[[#This Row],[GroupByKey]])*ContinuousStatsTable[Average]))</f>
        <v>0.476190476190476</v>
      </c>
      <c r="U739">
        <f>IF((ContinuousStatsTable[[#This Row],[RepsRequested]]&gt;1),ContinuousStatsTable[[#This Row],[HalfWidth]],ContinuousStatsTable[[#This Row],[BatchMeansHalfWidth]])</f>
        <v>0</v>
      </c>
    </row>
    <row r="740" spans="1:21" x14ac:dyDescent="0.25">
      <c r="A740" t="s">
        <v>67</v>
      </c>
      <c r="B740" t="s">
        <v>243</v>
      </c>
      <c r="C740">
        <v>9</v>
      </c>
      <c r="D740" t="s">
        <v>137</v>
      </c>
      <c r="E740" t="s">
        <v>112</v>
      </c>
      <c r="F740" t="s">
        <v>113</v>
      </c>
      <c r="G740">
        <v>0.45625657552360399</v>
      </c>
      <c r="H740">
        <v>3E+20</v>
      </c>
      <c r="I740">
        <v>0</v>
      </c>
      <c r="J740">
        <v>1</v>
      </c>
      <c r="K740">
        <v>0</v>
      </c>
      <c r="L740">
        <v>0</v>
      </c>
      <c r="M740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740" cm="1">
        <f t="array" ref="N740">MAX(IF((ProjectInfoTable[ProjectName]=ContinuousStatsTable[[#This Row],[ProjectName]]),(ProjectInfoTable[ProjectName]=ContinuousStatsTable[[#This Row],[ProjectName]])*ProjectInfoTable[NumberOfReplications]))</f>
        <v>10</v>
      </c>
      <c r="O740" cm="1">
        <f t="array" ref="O740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740" cm="1">
        <f t="array" ref="P740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740" cm="1">
        <f t="array" ref="Q740">MAX(IF((ProjectInfoTable[ProjectName]=ContinuousStatsTable[[#This Row],[ProjectName]]),(ProjectInfoTable[ProjectName]=ContinuousStatsTable[[#This Row],[ProjectName]])*ProjectInfoTable[ConfidenceInterval]))</f>
        <v>0.95</v>
      </c>
      <c r="R7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740" cm="1">
        <f t="array" ref="S740">MIN(IF((ContinuousStatsTable[GroupByKey]=ContinuousStatsTable[[#This Row],[GroupByKey]]),(ContinuousStatsTable[GroupByKey]=ContinuousStatsTable[[#This Row],[GroupByKey]])*ContinuousStatsTable[Average]))</f>
        <v>0.45550004981449399</v>
      </c>
      <c r="T740" cm="1">
        <f t="array" ref="T740">MAX(IF((ContinuousStatsTable[GroupByKey]=ContinuousStatsTable[[#This Row],[GroupByKey]]),(ContinuousStatsTable[GroupByKey]=ContinuousStatsTable[[#This Row],[GroupByKey]])*ContinuousStatsTable[Average]))</f>
        <v>0.45652258337600798</v>
      </c>
      <c r="U740">
        <f>IF((ContinuousStatsTable[[#This Row],[RepsRequested]]&gt;1),ContinuousStatsTable[[#This Row],[HalfWidth]],ContinuousStatsTable[[#This Row],[BatchMeansHalfWidth]])</f>
        <v>2.4108493326261801E-4</v>
      </c>
    </row>
    <row r="741" spans="1:21" x14ac:dyDescent="0.25">
      <c r="A741" t="s">
        <v>67</v>
      </c>
      <c r="B741" t="s">
        <v>243</v>
      </c>
      <c r="C741">
        <v>9</v>
      </c>
      <c r="D741" t="s">
        <v>137</v>
      </c>
      <c r="E741" t="s">
        <v>114</v>
      </c>
      <c r="F741" t="s">
        <v>113</v>
      </c>
      <c r="G741">
        <v>0.45625657552360399</v>
      </c>
      <c r="H741">
        <v>3E+20</v>
      </c>
      <c r="I741">
        <v>0</v>
      </c>
      <c r="J741">
        <v>1</v>
      </c>
      <c r="K741">
        <v>0</v>
      </c>
      <c r="L741">
        <v>0</v>
      </c>
      <c r="M741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741" cm="1">
        <f t="array" ref="N741">MAX(IF((ProjectInfoTable[ProjectName]=ContinuousStatsTable[[#This Row],[ProjectName]]),(ProjectInfoTable[ProjectName]=ContinuousStatsTable[[#This Row],[ProjectName]])*ProjectInfoTable[NumberOfReplications]))</f>
        <v>10</v>
      </c>
      <c r="O741" cm="1">
        <f t="array" ref="O741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741" cm="1">
        <f t="array" ref="P741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741" cm="1">
        <f t="array" ref="Q741">MAX(IF((ProjectInfoTable[ProjectName]=ContinuousStatsTable[[#This Row],[ProjectName]]),(ProjectInfoTable[ProjectName]=ContinuousStatsTable[[#This Row],[ProjectName]])*ProjectInfoTable[ConfidenceInterval]))</f>
        <v>0.95</v>
      </c>
      <c r="R7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741" cm="1">
        <f t="array" ref="S741">MIN(IF((ContinuousStatsTable[GroupByKey]=ContinuousStatsTable[[#This Row],[GroupByKey]]),(ContinuousStatsTable[GroupByKey]=ContinuousStatsTable[[#This Row],[GroupByKey]])*ContinuousStatsTable[Average]))</f>
        <v>0.45550004981449399</v>
      </c>
      <c r="T741" cm="1">
        <f t="array" ref="T741">MAX(IF((ContinuousStatsTable[GroupByKey]=ContinuousStatsTable[[#This Row],[GroupByKey]]),(ContinuousStatsTable[GroupByKey]=ContinuousStatsTable[[#This Row],[GroupByKey]])*ContinuousStatsTable[Average]))</f>
        <v>0.45652258337600798</v>
      </c>
      <c r="U741">
        <f>IF((ContinuousStatsTable[[#This Row],[RepsRequested]]&gt;1),ContinuousStatsTable[[#This Row],[HalfWidth]],ContinuousStatsTable[[#This Row],[BatchMeansHalfWidth]])</f>
        <v>2.4108493326261801E-4</v>
      </c>
    </row>
    <row r="742" spans="1:21" x14ac:dyDescent="0.25">
      <c r="A742" t="s">
        <v>67</v>
      </c>
      <c r="B742" t="s">
        <v>243</v>
      </c>
      <c r="C742">
        <v>9</v>
      </c>
      <c r="D742" t="s">
        <v>137</v>
      </c>
      <c r="E742" t="s">
        <v>115</v>
      </c>
      <c r="F742" t="s">
        <v>113</v>
      </c>
      <c r="G742">
        <v>0.476190476190476</v>
      </c>
      <c r="H742">
        <v>2E+20</v>
      </c>
      <c r="I742">
        <v>0</v>
      </c>
      <c r="J742">
        <v>1</v>
      </c>
      <c r="K742">
        <v>0</v>
      </c>
      <c r="L742">
        <v>0</v>
      </c>
      <c r="M742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742" cm="1">
        <f t="array" ref="N742">MAX(IF((ProjectInfoTable[ProjectName]=ContinuousStatsTable[[#This Row],[ProjectName]]),(ProjectInfoTable[ProjectName]=ContinuousStatsTable[[#This Row],[ProjectName]])*ProjectInfoTable[NumberOfReplications]))</f>
        <v>10</v>
      </c>
      <c r="O742" cm="1">
        <f t="array" ref="O742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742" cm="1">
        <f t="array" ref="P742">IFERROR(_xlfn.STDEV.S(IF((ContinuousStatsTable[GroupByKey]=ContinuousStatsTable[[#This Row],[GroupByKey]]),(ContinuousStatsTable[GroupByKey]=ContinuousStatsTable[[#This Row],[GroupByKey]])*ContinuousStatsTable[Average])),0)</f>
        <v>0</v>
      </c>
      <c r="Q742" cm="1">
        <f t="array" ref="Q742">MAX(IF((ProjectInfoTable[ProjectName]=ContinuousStatsTable[[#This Row],[ProjectName]]),(ProjectInfoTable[ProjectName]=ContinuousStatsTable[[#This Row],[ProjectName]])*ProjectInfoTable[ConfidenceInterval]))</f>
        <v>0.95</v>
      </c>
      <c r="R7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2" cm="1">
        <f t="array" ref="S742">MIN(IF((ContinuousStatsTable[GroupByKey]=ContinuousStatsTable[[#This Row],[GroupByKey]]),(ContinuousStatsTable[GroupByKey]=ContinuousStatsTable[[#This Row],[GroupByKey]])*ContinuousStatsTable[Average]))</f>
        <v>0.476190476190476</v>
      </c>
      <c r="T742" cm="1">
        <f t="array" ref="T742">MAX(IF((ContinuousStatsTable[GroupByKey]=ContinuousStatsTable[[#This Row],[GroupByKey]]),(ContinuousStatsTable[GroupByKey]=ContinuousStatsTable[[#This Row],[GroupByKey]])*ContinuousStatsTable[Average]))</f>
        <v>0.476190476190476</v>
      </c>
      <c r="U742">
        <f>IF((ContinuousStatsTable[[#This Row],[RepsRequested]]&gt;1),ContinuousStatsTable[[#This Row],[HalfWidth]],ContinuousStatsTable[[#This Row],[BatchMeansHalfWidth]])</f>
        <v>0</v>
      </c>
    </row>
    <row r="743" spans="1:21" x14ac:dyDescent="0.25">
      <c r="A743" t="s">
        <v>67</v>
      </c>
      <c r="B743" t="s">
        <v>243</v>
      </c>
      <c r="C743">
        <v>9</v>
      </c>
      <c r="D743" t="s">
        <v>138</v>
      </c>
      <c r="E743" t="s">
        <v>112</v>
      </c>
      <c r="F743" t="s">
        <v>113</v>
      </c>
      <c r="G743">
        <v>0.47637571775543702</v>
      </c>
      <c r="H743">
        <v>2E+20</v>
      </c>
      <c r="I743">
        <v>0</v>
      </c>
      <c r="J743">
        <v>1</v>
      </c>
      <c r="K743">
        <v>0</v>
      </c>
      <c r="L743">
        <v>0</v>
      </c>
      <c r="M743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743" cm="1">
        <f t="array" ref="N743">MAX(IF((ProjectInfoTable[ProjectName]=ContinuousStatsTable[[#This Row],[ProjectName]]),(ProjectInfoTable[ProjectName]=ContinuousStatsTable[[#This Row],[ProjectName]])*ProjectInfoTable[NumberOfReplications]))</f>
        <v>10</v>
      </c>
      <c r="O743" cm="1">
        <f t="array" ref="O743">IFERROR(AVERAGE(IF((ContinuousStatsTable[GroupByKey]=ContinuousStatsTable[[#This Row],[GroupByKey]]),(ContinuousStatsTable[GroupByKey]=ContinuousStatsTable[[#This Row],[GroupByKey]])*ContinuousStatsTable[Average])),0)</f>
        <v>0.47637632373438449</v>
      </c>
      <c r="P743" cm="1">
        <f t="array" ref="P743">IFERROR(_xlfn.STDEV.S(IF((ContinuousStatsTable[GroupByKey]=ContinuousStatsTable[[#This Row],[GroupByKey]]),(ContinuousStatsTable[GroupByKey]=ContinuousStatsTable[[#This Row],[GroupByKey]])*ContinuousStatsTable[Average])),0)</f>
        <v>2.6635978153163645E-5</v>
      </c>
      <c r="Q743" cm="1">
        <f t="array" ref="Q743">MAX(IF((ProjectInfoTable[ProjectName]=ContinuousStatsTable[[#This Row],[ProjectName]]),(ProjectInfoTable[ProjectName]=ContinuousStatsTable[[#This Row],[ProjectName]])*ProjectInfoTable[ConfidenceInterval]))</f>
        <v>0.95</v>
      </c>
      <c r="R7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1.9054230919149366E-5</v>
      </c>
      <c r="S743" cm="1">
        <f t="array" ref="S743">MIN(IF((ContinuousStatsTable[GroupByKey]=ContinuousStatsTable[[#This Row],[GroupByKey]]),(ContinuousStatsTable[GroupByKey]=ContinuousStatsTable[[#This Row],[GroupByKey]])*ContinuousStatsTable[Average]))</f>
        <v>0.47633465557050603</v>
      </c>
      <c r="T743" cm="1">
        <f t="array" ref="T743">MAX(IF((ContinuousStatsTable[GroupByKey]=ContinuousStatsTable[[#This Row],[GroupByKey]]),(ContinuousStatsTable[GroupByKey]=ContinuousStatsTable[[#This Row],[GroupByKey]])*ContinuousStatsTable[Average]))</f>
        <v>0.47641329732322302</v>
      </c>
      <c r="U743">
        <f>IF((ContinuousStatsTable[[#This Row],[RepsRequested]]&gt;1),ContinuousStatsTable[[#This Row],[HalfWidth]],ContinuousStatsTable[[#This Row],[BatchMeansHalfWidth]])</f>
        <v>1.9054230919149366E-5</v>
      </c>
    </row>
    <row r="744" spans="1:21" x14ac:dyDescent="0.25">
      <c r="A744" t="s">
        <v>67</v>
      </c>
      <c r="B744" t="s">
        <v>243</v>
      </c>
      <c r="C744">
        <v>9</v>
      </c>
      <c r="D744" t="s">
        <v>138</v>
      </c>
      <c r="E744" t="s">
        <v>114</v>
      </c>
      <c r="F744" t="s">
        <v>113</v>
      </c>
      <c r="G744">
        <v>0.47637571775543702</v>
      </c>
      <c r="H744">
        <v>2E+20</v>
      </c>
      <c r="I744">
        <v>0</v>
      </c>
      <c r="J744">
        <v>1</v>
      </c>
      <c r="K744">
        <v>0</v>
      </c>
      <c r="L744">
        <v>0</v>
      </c>
      <c r="M744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744" cm="1">
        <f t="array" ref="N744">MAX(IF((ProjectInfoTable[ProjectName]=ContinuousStatsTable[[#This Row],[ProjectName]]),(ProjectInfoTable[ProjectName]=ContinuousStatsTable[[#This Row],[ProjectName]])*ProjectInfoTable[NumberOfReplications]))</f>
        <v>10</v>
      </c>
      <c r="O744" cm="1">
        <f t="array" ref="O744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744" cm="1">
        <f t="array" ref="P744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744" cm="1">
        <f t="array" ref="Q744">MAX(IF((ProjectInfoTable[ProjectName]=ContinuousStatsTable[[#This Row],[ProjectName]]),(ProjectInfoTable[ProjectName]=ContinuousStatsTable[[#This Row],[ProjectName]])*ProjectInfoTable[ConfidenceInterval]))</f>
        <v>0.95</v>
      </c>
      <c r="R7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744" cm="1">
        <f t="array" ref="S744">MIN(IF((ContinuousStatsTable[GroupByKey]=ContinuousStatsTable[[#This Row],[GroupByKey]]),(ContinuousStatsTable[GroupByKey]=ContinuousStatsTable[[#This Row],[GroupByKey]])*ContinuousStatsTable[Average]))</f>
        <v>0.47633465557050603</v>
      </c>
      <c r="T744" cm="1">
        <f t="array" ref="T744">MAX(IF((ContinuousStatsTable[GroupByKey]=ContinuousStatsTable[[#This Row],[GroupByKey]]),(ContinuousStatsTable[GroupByKey]=ContinuousStatsTable[[#This Row],[GroupByKey]])*ContinuousStatsTable[Average]))</f>
        <v>0.47641329732322302</v>
      </c>
      <c r="U744">
        <f>IF((ContinuousStatsTable[[#This Row],[RepsRequested]]&gt;1),ContinuousStatsTable[[#This Row],[HalfWidth]],ContinuousStatsTable[[#This Row],[BatchMeansHalfWidth]])</f>
        <v>1.9054230919217752E-5</v>
      </c>
    </row>
    <row r="745" spans="1:21" x14ac:dyDescent="0.25">
      <c r="A745" t="s">
        <v>67</v>
      </c>
      <c r="B745" t="s">
        <v>243</v>
      </c>
      <c r="C745">
        <v>9</v>
      </c>
      <c r="D745" t="s">
        <v>138</v>
      </c>
      <c r="E745" t="s">
        <v>115</v>
      </c>
      <c r="F745" t="s">
        <v>113</v>
      </c>
      <c r="G745">
        <v>0.476190476190476</v>
      </c>
      <c r="H745">
        <v>2E+20</v>
      </c>
      <c r="I745">
        <v>0</v>
      </c>
      <c r="J745">
        <v>1</v>
      </c>
      <c r="K745">
        <v>0</v>
      </c>
      <c r="L745">
        <v>0</v>
      </c>
      <c r="M745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745" cm="1">
        <f t="array" ref="N745">MAX(IF((ProjectInfoTable[ProjectName]=ContinuousStatsTable[[#This Row],[ProjectName]]),(ProjectInfoTable[ProjectName]=ContinuousStatsTable[[#This Row],[ProjectName]])*ProjectInfoTable[NumberOfReplications]))</f>
        <v>10</v>
      </c>
      <c r="O745" cm="1">
        <f t="array" ref="O745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745" cm="1">
        <f t="array" ref="P745">IFERROR(_xlfn.STDEV.S(IF((ContinuousStatsTable[GroupByKey]=ContinuousStatsTable[[#This Row],[GroupByKey]]),(ContinuousStatsTable[GroupByKey]=ContinuousStatsTable[[#This Row],[GroupByKey]])*ContinuousStatsTable[Average])),0)</f>
        <v>0</v>
      </c>
      <c r="Q745" cm="1">
        <f t="array" ref="Q745">MAX(IF((ProjectInfoTable[ProjectName]=ContinuousStatsTable[[#This Row],[ProjectName]]),(ProjectInfoTable[ProjectName]=ContinuousStatsTable[[#This Row],[ProjectName]])*ProjectInfoTable[ConfidenceInterval]))</f>
        <v>0.95</v>
      </c>
      <c r="R7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5" cm="1">
        <f t="array" ref="S745">MIN(IF((ContinuousStatsTable[GroupByKey]=ContinuousStatsTable[[#This Row],[GroupByKey]]),(ContinuousStatsTable[GroupByKey]=ContinuousStatsTable[[#This Row],[GroupByKey]])*ContinuousStatsTable[Average]))</f>
        <v>0.476190476190476</v>
      </c>
      <c r="T745" cm="1">
        <f t="array" ref="T745">MAX(IF((ContinuousStatsTable[GroupByKey]=ContinuousStatsTable[[#This Row],[GroupByKey]]),(ContinuousStatsTable[GroupByKey]=ContinuousStatsTable[[#This Row],[GroupByKey]])*ContinuousStatsTable[Average]))</f>
        <v>0.476190476190476</v>
      </c>
      <c r="U745">
        <f>IF((ContinuousStatsTable[[#This Row],[RepsRequested]]&gt;1),ContinuousStatsTable[[#This Row],[HalfWidth]],ContinuousStatsTable[[#This Row],[BatchMeansHalfWidth]])</f>
        <v>0</v>
      </c>
    </row>
    <row r="746" spans="1:21" x14ac:dyDescent="0.25">
      <c r="A746" t="s">
        <v>67</v>
      </c>
      <c r="B746" t="s">
        <v>243</v>
      </c>
      <c r="C746">
        <v>9</v>
      </c>
      <c r="D746" t="s">
        <v>83</v>
      </c>
      <c r="E746" t="s">
        <v>116</v>
      </c>
      <c r="F746" t="s">
        <v>71</v>
      </c>
      <c r="G746">
        <v>2.94842542901642E-5</v>
      </c>
      <c r="H746">
        <v>2E+20</v>
      </c>
      <c r="I746">
        <v>0</v>
      </c>
      <c r="J746">
        <v>1</v>
      </c>
      <c r="K746">
        <v>0</v>
      </c>
      <c r="L746">
        <v>0</v>
      </c>
      <c r="M746" t="str">
        <f>ContinuousStatsTable[[#This Row],[ProjectName]]&amp;ContinuousStatsTable[[#This Row],[Name]]&amp;ContinuousStatsTable[[#This Row],[Type]]&amp;ContinuousStatsTable[[#This Row],[Source]]</f>
        <v>Unnamed ProjectMatch 1.Queue1Number WaitingQueue</v>
      </c>
      <c r="N746" cm="1">
        <f t="array" ref="N746">MAX(IF((ProjectInfoTable[ProjectName]=ContinuousStatsTable[[#This Row],[ProjectName]]),(ProjectInfoTable[ProjectName]=ContinuousStatsTable[[#This Row],[ProjectName]])*ProjectInfoTable[NumberOfReplications]))</f>
        <v>10</v>
      </c>
      <c r="O746" cm="1">
        <f t="array" ref="O746">IFERROR(AVERAGE(IF((ContinuousStatsTable[GroupByKey]=ContinuousStatsTable[[#This Row],[GroupByKey]]),(ContinuousStatsTable[GroupByKey]=ContinuousStatsTable[[#This Row],[GroupByKey]])*ContinuousStatsTable[Average])),0)</f>
        <v>2.9170315053456471E-5</v>
      </c>
      <c r="P746" cm="1">
        <f t="array" ref="P746">IFERROR(_xlfn.STDEV.S(IF((ContinuousStatsTable[GroupByKey]=ContinuousStatsTable[[#This Row],[GroupByKey]]),(ContinuousStatsTable[GroupByKey]=ContinuousStatsTable[[#This Row],[GroupByKey]])*ContinuousStatsTable[Average])),0)</f>
        <v>7.7933109083950271E-6</v>
      </c>
      <c r="Q746" cm="1">
        <f t="array" ref="Q746">MAX(IF((ProjectInfoTable[ProjectName]=ContinuousStatsTable[[#This Row],[ProjectName]]),(ProjectInfoTable[ProjectName]=ContinuousStatsTable[[#This Row],[ProjectName]])*ProjectInfoTable[ConfidenceInterval]))</f>
        <v>0.95</v>
      </c>
      <c r="R7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5.5749987786968959E-6</v>
      </c>
      <c r="S746" cm="1">
        <f t="array" ref="S746">MIN(IF((ContinuousStatsTable[GroupByKey]=ContinuousStatsTable[[#This Row],[GroupByKey]]),(ContinuousStatsTable[GroupByKey]=ContinuousStatsTable[[#This Row],[GroupByKey]])*ContinuousStatsTable[Average]))</f>
        <v>1.80144253291803E-5</v>
      </c>
      <c r="T746" cm="1">
        <f t="array" ref="T746">MAX(IF((ContinuousStatsTable[GroupByKey]=ContinuousStatsTable[[#This Row],[GroupByKey]]),(ContinuousStatsTable[GroupByKey]=ContinuousStatsTable[[#This Row],[GroupByKey]])*ContinuousStatsTable[Average]))</f>
        <v>4.21406992387485E-5</v>
      </c>
      <c r="U746">
        <f>IF((ContinuousStatsTable[[#This Row],[RepsRequested]]&gt;1),ContinuousStatsTable[[#This Row],[HalfWidth]],ContinuousStatsTable[[#This Row],[BatchMeansHalfWidth]])</f>
        <v>5.5749987786968959E-6</v>
      </c>
    </row>
    <row r="747" spans="1:21" x14ac:dyDescent="0.25">
      <c r="A747" t="s">
        <v>67</v>
      </c>
      <c r="B747" t="s">
        <v>243</v>
      </c>
      <c r="C747">
        <v>9</v>
      </c>
      <c r="D747" t="s">
        <v>84</v>
      </c>
      <c r="E747" t="s">
        <v>116</v>
      </c>
      <c r="F747" t="s">
        <v>71</v>
      </c>
      <c r="G747">
        <v>864.86685423169001</v>
      </c>
      <c r="H747">
        <v>3E+20</v>
      </c>
      <c r="I747">
        <v>0</v>
      </c>
      <c r="J747">
        <v>1677</v>
      </c>
      <c r="K747">
        <v>1676</v>
      </c>
      <c r="L747">
        <v>0</v>
      </c>
      <c r="M747" t="str">
        <f>ContinuousStatsTable[[#This Row],[ProjectName]]&amp;ContinuousStatsTable[[#This Row],[Name]]&amp;ContinuousStatsTable[[#This Row],[Type]]&amp;ContinuousStatsTable[[#This Row],[Source]]</f>
        <v>Unnamed ProjectMatch 1.Queue2Number WaitingQueue</v>
      </c>
      <c r="N747" cm="1">
        <f t="array" ref="N747">MAX(IF((ProjectInfoTable[ProjectName]=ContinuousStatsTable[[#This Row],[ProjectName]]),(ProjectInfoTable[ProjectName]=ContinuousStatsTable[[#This Row],[ProjectName]])*ProjectInfoTable[NumberOfReplications]))</f>
        <v>10</v>
      </c>
      <c r="O747" cm="1">
        <f t="array" ref="O747">IFERROR(AVERAGE(IF((ContinuousStatsTable[GroupByKey]=ContinuousStatsTable[[#This Row],[GroupByKey]]),(ContinuousStatsTable[GroupByKey]=ContinuousStatsTable[[#This Row],[GroupByKey]])*ContinuousStatsTable[Average])),0)</f>
        <v>867.85098767897125</v>
      </c>
      <c r="P747" cm="1">
        <f t="array" ref="P747">IFERROR(_xlfn.STDEV.S(IF((ContinuousStatsTable[GroupByKey]=ContinuousStatsTable[[#This Row],[GroupByKey]]),(ContinuousStatsTable[GroupByKey]=ContinuousStatsTable[[#This Row],[GroupByKey]])*ContinuousStatsTable[Average])),0)</f>
        <v>5.9823523640247513</v>
      </c>
      <c r="Q747" cm="1">
        <f t="array" ref="Q747">MAX(IF((ProjectInfoTable[ProjectName]=ContinuousStatsTable[[#This Row],[ProjectName]]),(ProjectInfoTable[ProjectName]=ContinuousStatsTable[[#This Row],[ProjectName]])*ProjectInfoTable[ConfidenceInterval]))</f>
        <v>0.95</v>
      </c>
      <c r="R7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4.2795170775550373</v>
      </c>
      <c r="S747" cm="1">
        <f t="array" ref="S747">MIN(IF((ContinuousStatsTable[GroupByKey]=ContinuousStatsTable[[#This Row],[GroupByKey]]),(ContinuousStatsTable[GroupByKey]=ContinuousStatsTable[[#This Row],[GroupByKey]])*ContinuousStatsTable[Average]))</f>
        <v>858.49288388840398</v>
      </c>
      <c r="T747" cm="1">
        <f t="array" ref="T747">MAX(IF((ContinuousStatsTable[GroupByKey]=ContinuousStatsTable[[#This Row],[GroupByKey]]),(ContinuousStatsTable[GroupByKey]=ContinuousStatsTable[[#This Row],[GroupByKey]])*ContinuousStatsTable[Average]))</f>
        <v>875.80608811200398</v>
      </c>
      <c r="U747">
        <f>IF((ContinuousStatsTable[[#This Row],[RepsRequested]]&gt;1),ContinuousStatsTable[[#This Row],[HalfWidth]],ContinuousStatsTable[[#This Row],[BatchMeansHalfWidth]])</f>
        <v>4.2795170775550373</v>
      </c>
    </row>
    <row r="748" spans="1:21" x14ac:dyDescent="0.25">
      <c r="A748" t="s">
        <v>67</v>
      </c>
      <c r="B748" t="s">
        <v>243</v>
      </c>
      <c r="C748">
        <v>9</v>
      </c>
      <c r="D748" t="s">
        <v>85</v>
      </c>
      <c r="E748" t="s">
        <v>116</v>
      </c>
      <c r="F748" t="s">
        <v>71</v>
      </c>
      <c r="G748">
        <v>1371.85582419261</v>
      </c>
      <c r="H748">
        <v>3E+20</v>
      </c>
      <c r="I748">
        <v>0</v>
      </c>
      <c r="J748">
        <v>2649</v>
      </c>
      <c r="K748">
        <v>2649</v>
      </c>
      <c r="L748">
        <v>0</v>
      </c>
      <c r="M748" t="str">
        <f>ContinuousStatsTable[[#This Row],[ProjectName]]&amp;ContinuousStatsTable[[#This Row],[Name]]&amp;ContinuousStatsTable[[#This Row],[Type]]&amp;ContinuousStatsTable[[#This Row],[Source]]</f>
        <v>Unnamed ProjectMatch 1.Queue3Number WaitingQueue</v>
      </c>
      <c r="N748" cm="1">
        <f t="array" ref="N748">MAX(IF((ProjectInfoTable[ProjectName]=ContinuousStatsTable[[#This Row],[ProjectName]]),(ProjectInfoTable[ProjectName]=ContinuousStatsTable[[#This Row],[ProjectName]])*ProjectInfoTable[NumberOfReplications]))</f>
        <v>10</v>
      </c>
      <c r="O748" cm="1">
        <f t="array" ref="O748">IFERROR(AVERAGE(IF((ContinuousStatsTable[GroupByKey]=ContinuousStatsTable[[#This Row],[GroupByKey]]),(ContinuousStatsTable[GroupByKey]=ContinuousStatsTable[[#This Row],[GroupByKey]])*ContinuousStatsTable[Average])),0)</f>
        <v>1368.6640709815952</v>
      </c>
      <c r="P748" cm="1">
        <f t="array" ref="P748">IFERROR(_xlfn.STDEV.S(IF((ContinuousStatsTable[GroupByKey]=ContinuousStatsTable[[#This Row],[GroupByKey]]),(ContinuousStatsTable[GroupByKey]=ContinuousStatsTable[[#This Row],[GroupByKey]])*ContinuousStatsTable[Average])),0)</f>
        <v>5.3961917051273351</v>
      </c>
      <c r="Q748" cm="1">
        <f t="array" ref="Q748">MAX(IF((ProjectInfoTable[ProjectName]=ContinuousStatsTable[[#This Row],[ProjectName]]),(ProjectInfoTable[ProjectName]=ContinuousStatsTable[[#This Row],[ProjectName]])*ProjectInfoTable[ConfidenceInterval]))</f>
        <v>0.95</v>
      </c>
      <c r="R7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3.860203002204456</v>
      </c>
      <c r="S748" cm="1">
        <f t="array" ref="S748">MIN(IF((ContinuousStatsTable[GroupByKey]=ContinuousStatsTable[[#This Row],[GroupByKey]]),(ContinuousStatsTable[GroupByKey]=ContinuousStatsTable[[#This Row],[GroupByKey]])*ContinuousStatsTable[Average]))</f>
        <v>1357.5761788714599</v>
      </c>
      <c r="T748" cm="1">
        <f t="array" ref="T748">MAX(IF((ContinuousStatsTable[GroupByKey]=ContinuousStatsTable[[#This Row],[GroupByKey]]),(ContinuousStatsTable[GroupByKey]=ContinuousStatsTable[[#This Row],[GroupByKey]])*ContinuousStatsTable[Average]))</f>
        <v>1375.17190829069</v>
      </c>
      <c r="U748">
        <f>IF((ContinuousStatsTable[[#This Row],[RepsRequested]]&gt;1),ContinuousStatsTable[[#This Row],[HalfWidth]],ContinuousStatsTable[[#This Row],[BatchMeansHalfWidth]])</f>
        <v>3.860203002204456</v>
      </c>
    </row>
    <row r="749" spans="1:21" x14ac:dyDescent="0.25">
      <c r="A749" t="s">
        <v>67</v>
      </c>
      <c r="B749" t="s">
        <v>243</v>
      </c>
      <c r="C749">
        <v>9</v>
      </c>
      <c r="D749" t="s">
        <v>139</v>
      </c>
      <c r="E749" t="s">
        <v>112</v>
      </c>
      <c r="F749" t="s">
        <v>113</v>
      </c>
      <c r="G749">
        <v>0</v>
      </c>
      <c r="H749">
        <v>2E+20</v>
      </c>
      <c r="I749">
        <v>0</v>
      </c>
      <c r="J749">
        <v>0</v>
      </c>
      <c r="K749">
        <v>0</v>
      </c>
      <c r="L749">
        <v>0</v>
      </c>
      <c r="M749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749" cm="1">
        <f t="array" ref="N749">MAX(IF((ProjectInfoTable[ProjectName]=ContinuousStatsTable[[#This Row],[ProjectName]]),(ProjectInfoTable[ProjectName]=ContinuousStatsTable[[#This Row],[ProjectName]])*ProjectInfoTable[NumberOfReplications]))</f>
        <v>10</v>
      </c>
      <c r="O749" cm="1">
        <f t="array" ref="O749">IFERROR(AVERAGE(IF((ContinuousStatsTable[GroupByKey]=ContinuousStatsTable[[#This Row],[GroupByKey]]),(ContinuousStatsTable[GroupByKey]=ContinuousStatsTable[[#This Row],[GroupByKey]])*ContinuousStatsTable[Average])),0)</f>
        <v>0</v>
      </c>
      <c r="P749" cm="1">
        <f t="array" ref="P749">IFERROR(_xlfn.STDEV.S(IF((ContinuousStatsTable[GroupByKey]=ContinuousStatsTable[[#This Row],[GroupByKey]]),(ContinuousStatsTable[GroupByKey]=ContinuousStatsTable[[#This Row],[GroupByKey]])*ContinuousStatsTable[Average])),0)</f>
        <v>0</v>
      </c>
      <c r="Q749" cm="1">
        <f t="array" ref="Q749">MAX(IF((ProjectInfoTable[ProjectName]=ContinuousStatsTable[[#This Row],[ProjectName]]),(ProjectInfoTable[ProjectName]=ContinuousStatsTable[[#This Row],[ProjectName]])*ProjectInfoTable[ConfidenceInterval]))</f>
        <v>0.95</v>
      </c>
      <c r="R7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9" cm="1">
        <f t="array" ref="S749">MIN(IF((ContinuousStatsTable[GroupByKey]=ContinuousStatsTable[[#This Row],[GroupByKey]]),(ContinuousStatsTable[GroupByKey]=ContinuousStatsTable[[#This Row],[GroupByKey]])*ContinuousStatsTable[Average]))</f>
        <v>0</v>
      </c>
      <c r="T749" cm="1">
        <f t="array" ref="T749">MAX(IF((ContinuousStatsTable[GroupByKey]=ContinuousStatsTable[[#This Row],[GroupByKey]]),(ContinuousStatsTable[GroupByKey]=ContinuousStatsTable[[#This Row],[GroupByKey]])*ContinuousStatsTable[Average]))</f>
        <v>0</v>
      </c>
      <c r="U749">
        <f>IF((ContinuousStatsTable[[#This Row],[RepsRequested]]&gt;1),ContinuousStatsTable[[#This Row],[HalfWidth]],ContinuousStatsTable[[#This Row],[BatchMeansHalfWidth]])</f>
        <v>0</v>
      </c>
    </row>
    <row r="750" spans="1:21" x14ac:dyDescent="0.25">
      <c r="A750" t="s">
        <v>67</v>
      </c>
      <c r="B750" t="s">
        <v>243</v>
      </c>
      <c r="C750">
        <v>9</v>
      </c>
      <c r="D750" t="s">
        <v>139</v>
      </c>
      <c r="E750" t="s">
        <v>114</v>
      </c>
      <c r="F750" t="s">
        <v>113</v>
      </c>
      <c r="G750">
        <v>0</v>
      </c>
      <c r="H750">
        <v>2E+20</v>
      </c>
      <c r="I750">
        <v>0</v>
      </c>
      <c r="J750">
        <v>0</v>
      </c>
      <c r="K750">
        <v>0</v>
      </c>
      <c r="L750">
        <v>0</v>
      </c>
      <c r="M750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750" cm="1">
        <f t="array" ref="N750">MAX(IF((ProjectInfoTable[ProjectName]=ContinuousStatsTable[[#This Row],[ProjectName]]),(ProjectInfoTable[ProjectName]=ContinuousStatsTable[[#This Row],[ProjectName]])*ProjectInfoTable[NumberOfReplications]))</f>
        <v>10</v>
      </c>
      <c r="O750" cm="1">
        <f t="array" ref="O750">IFERROR(AVERAGE(IF((ContinuousStatsTable[GroupByKey]=ContinuousStatsTable[[#This Row],[GroupByKey]]),(ContinuousStatsTable[GroupByKey]=ContinuousStatsTable[[#This Row],[GroupByKey]])*ContinuousStatsTable[Average])),0)</f>
        <v>0</v>
      </c>
      <c r="P750" cm="1">
        <f t="array" ref="P750">IFERROR(_xlfn.STDEV.S(IF((ContinuousStatsTable[GroupByKey]=ContinuousStatsTable[[#This Row],[GroupByKey]]),(ContinuousStatsTable[GroupByKey]=ContinuousStatsTable[[#This Row],[GroupByKey]])*ContinuousStatsTable[Average])),0)</f>
        <v>0</v>
      </c>
      <c r="Q750" cm="1">
        <f t="array" ref="Q750">MAX(IF((ProjectInfoTable[ProjectName]=ContinuousStatsTable[[#This Row],[ProjectName]]),(ProjectInfoTable[ProjectName]=ContinuousStatsTable[[#This Row],[ProjectName]])*ProjectInfoTable[ConfidenceInterval]))</f>
        <v>0.95</v>
      </c>
      <c r="R7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0" cm="1">
        <f t="array" ref="S750">MIN(IF((ContinuousStatsTable[GroupByKey]=ContinuousStatsTable[[#This Row],[GroupByKey]]),(ContinuousStatsTable[GroupByKey]=ContinuousStatsTable[[#This Row],[GroupByKey]])*ContinuousStatsTable[Average]))</f>
        <v>0</v>
      </c>
      <c r="T750" cm="1">
        <f t="array" ref="T750">MAX(IF((ContinuousStatsTable[GroupByKey]=ContinuousStatsTable[[#This Row],[GroupByKey]]),(ContinuousStatsTable[GroupByKey]=ContinuousStatsTable[[#This Row],[GroupByKey]])*ContinuousStatsTable[Average]))</f>
        <v>0</v>
      </c>
      <c r="U750">
        <f>IF((ContinuousStatsTable[[#This Row],[RepsRequested]]&gt;1),ContinuousStatsTable[[#This Row],[HalfWidth]],ContinuousStatsTable[[#This Row],[BatchMeansHalfWidth]])</f>
        <v>0</v>
      </c>
    </row>
    <row r="751" spans="1:21" x14ac:dyDescent="0.25">
      <c r="A751" t="s">
        <v>67</v>
      </c>
      <c r="B751" t="s">
        <v>243</v>
      </c>
      <c r="C751">
        <v>9</v>
      </c>
      <c r="D751" t="s">
        <v>139</v>
      </c>
      <c r="E751" t="s">
        <v>115</v>
      </c>
      <c r="F751" t="s">
        <v>113</v>
      </c>
      <c r="G751">
        <v>0.26785714285714302</v>
      </c>
      <c r="H751">
        <v>2E+20</v>
      </c>
      <c r="I751">
        <v>0</v>
      </c>
      <c r="J751">
        <v>1</v>
      </c>
      <c r="K751">
        <v>1</v>
      </c>
      <c r="L751">
        <v>0</v>
      </c>
      <c r="M751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751" cm="1">
        <f t="array" ref="N751">MAX(IF((ProjectInfoTable[ProjectName]=ContinuousStatsTable[[#This Row],[ProjectName]]),(ProjectInfoTable[ProjectName]=ContinuousStatsTable[[#This Row],[ProjectName]])*ProjectInfoTable[NumberOfReplications]))</f>
        <v>10</v>
      </c>
      <c r="O751" cm="1">
        <f t="array" ref="O751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751" cm="1">
        <f t="array" ref="P751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751" cm="1">
        <f t="array" ref="Q751">MAX(IF((ProjectInfoTable[ProjectName]=ContinuousStatsTable[[#This Row],[ProjectName]]),(ProjectInfoTable[ProjectName]=ContinuousStatsTable[[#This Row],[ProjectName]])*ProjectInfoTable[ConfidenceInterval]))</f>
        <v>0.95</v>
      </c>
      <c r="R7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751" cm="1">
        <f t="array" ref="S751">MIN(IF((ContinuousStatsTable[GroupByKey]=ContinuousStatsTable[[#This Row],[GroupByKey]]),(ContinuousStatsTable[GroupByKey]=ContinuousStatsTable[[#This Row],[GroupByKey]])*ContinuousStatsTable[Average]))</f>
        <v>0.26785714285714302</v>
      </c>
      <c r="T751" cm="1">
        <f t="array" ref="T751">MAX(IF((ContinuousStatsTable[GroupByKey]=ContinuousStatsTable[[#This Row],[GroupByKey]]),(ContinuousStatsTable[GroupByKey]=ContinuousStatsTable[[#This Row],[GroupByKey]])*ContinuousStatsTable[Average]))</f>
        <v>0.26785714285714302</v>
      </c>
      <c r="U751">
        <f>IF((ContinuousStatsTable[[#This Row],[RepsRequested]]&gt;1),ContinuousStatsTable[[#This Row],[HalfWidth]],ContinuousStatsTable[[#This Row],[BatchMeansHalfWidth]])</f>
        <v>4.1858316124321422E-17</v>
      </c>
    </row>
    <row r="752" spans="1:21" x14ac:dyDescent="0.25">
      <c r="A752" t="s">
        <v>67</v>
      </c>
      <c r="B752" t="s">
        <v>243</v>
      </c>
      <c r="C752">
        <v>9</v>
      </c>
      <c r="D752" t="s">
        <v>140</v>
      </c>
      <c r="E752" t="s">
        <v>112</v>
      </c>
      <c r="F752" t="s">
        <v>113</v>
      </c>
      <c r="G752">
        <v>8.3991171440152099E-2</v>
      </c>
      <c r="H752">
        <v>2E+20</v>
      </c>
      <c r="I752">
        <v>0</v>
      </c>
      <c r="J752">
        <v>1</v>
      </c>
      <c r="K752">
        <v>0</v>
      </c>
      <c r="L752">
        <v>0</v>
      </c>
      <c r="M752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752" cm="1">
        <f t="array" ref="N752">MAX(IF((ProjectInfoTable[ProjectName]=ContinuousStatsTable[[#This Row],[ProjectName]]),(ProjectInfoTable[ProjectName]=ContinuousStatsTable[[#This Row],[ProjectName]])*ProjectInfoTable[NumberOfReplications]))</f>
        <v>10</v>
      </c>
      <c r="O752" cm="1">
        <f t="array" ref="O752">IFERROR(AVERAGE(IF((ContinuousStatsTable[GroupByKey]=ContinuousStatsTable[[#This Row],[GroupByKey]]),(ContinuousStatsTable[GroupByKey]=ContinuousStatsTable[[#This Row],[GroupByKey]])*ContinuousStatsTable[Average])),0)</f>
        <v>8.7684406282387828E-2</v>
      </c>
      <c r="P752" cm="1">
        <f t="array" ref="P752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752" cm="1">
        <f t="array" ref="Q752">MAX(IF((ProjectInfoTable[ProjectName]=ContinuousStatsTable[[#This Row],[ProjectName]]),(ProjectInfoTable[ProjectName]=ContinuousStatsTable[[#This Row],[ProjectName]])*ProjectInfoTable[ConfidenceInterval]))</f>
        <v>0.95</v>
      </c>
      <c r="R7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752" cm="1">
        <f t="array" ref="S752">MIN(IF((ContinuousStatsTable[GroupByKey]=ContinuousStatsTable[[#This Row],[GroupByKey]]),(ContinuousStatsTable[GroupByKey]=ContinuousStatsTable[[#This Row],[GroupByKey]])*ContinuousStatsTable[Average]))</f>
        <v>7.2143522330073706E-2</v>
      </c>
      <c r="T752" cm="1">
        <f t="array" ref="T752">MAX(IF((ContinuousStatsTable[GroupByKey]=ContinuousStatsTable[[#This Row],[GroupByKey]]),(ContinuousStatsTable[GroupByKey]=ContinuousStatsTable[[#This Row],[GroupByKey]])*ContinuousStatsTable[Average]))</f>
        <v>0.105326430117076</v>
      </c>
      <c r="U752">
        <f>IF((ContinuousStatsTable[[#This Row],[RepsRequested]]&gt;1),ContinuousStatsTable[[#This Row],[HalfWidth]],ContinuousStatsTable[[#This Row],[BatchMeansHalfWidth]])</f>
        <v>6.7395853500387742E-3</v>
      </c>
    </row>
    <row r="753" spans="1:21" x14ac:dyDescent="0.25">
      <c r="A753" t="s">
        <v>67</v>
      </c>
      <c r="B753" t="s">
        <v>243</v>
      </c>
      <c r="C753">
        <v>9</v>
      </c>
      <c r="D753" t="s">
        <v>140</v>
      </c>
      <c r="E753" t="s">
        <v>114</v>
      </c>
      <c r="F753" t="s">
        <v>113</v>
      </c>
      <c r="G753">
        <v>8.3991171440152099E-2</v>
      </c>
      <c r="H753">
        <v>2E+20</v>
      </c>
      <c r="I753">
        <v>0</v>
      </c>
      <c r="J753">
        <v>1</v>
      </c>
      <c r="K753">
        <v>0</v>
      </c>
      <c r="L753">
        <v>0</v>
      </c>
      <c r="M753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753" cm="1">
        <f t="array" ref="N753">MAX(IF((ProjectInfoTable[ProjectName]=ContinuousStatsTable[[#This Row],[ProjectName]]),(ProjectInfoTable[ProjectName]=ContinuousStatsTable[[#This Row],[ProjectName]])*ProjectInfoTable[NumberOfReplications]))</f>
        <v>10</v>
      </c>
      <c r="O753" cm="1">
        <f t="array" ref="O753">IFERROR(AVERAGE(IF((ContinuousStatsTable[GroupByKey]=ContinuousStatsTable[[#This Row],[GroupByKey]]),(ContinuousStatsTable[GroupByKey]=ContinuousStatsTable[[#This Row],[GroupByKey]])*ContinuousStatsTable[Average])),0)</f>
        <v>8.7684406282387842E-2</v>
      </c>
      <c r="P753" cm="1">
        <f t="array" ref="P753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753" cm="1">
        <f t="array" ref="Q753">MAX(IF((ProjectInfoTable[ProjectName]=ContinuousStatsTable[[#This Row],[ProjectName]]),(ProjectInfoTable[ProjectName]=ContinuousStatsTable[[#This Row],[ProjectName]])*ProjectInfoTable[ConfidenceInterval]))</f>
        <v>0.95</v>
      </c>
      <c r="R7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753" cm="1">
        <f t="array" ref="S753">MIN(IF((ContinuousStatsTable[GroupByKey]=ContinuousStatsTable[[#This Row],[GroupByKey]]),(ContinuousStatsTable[GroupByKey]=ContinuousStatsTable[[#This Row],[GroupByKey]])*ContinuousStatsTable[Average]))</f>
        <v>7.2143522330073706E-2</v>
      </c>
      <c r="T753" cm="1">
        <f t="array" ref="T753">MAX(IF((ContinuousStatsTable[GroupByKey]=ContinuousStatsTable[[#This Row],[GroupByKey]]),(ContinuousStatsTable[GroupByKey]=ContinuousStatsTable[[#This Row],[GroupByKey]])*ContinuousStatsTable[Average]))</f>
        <v>0.105326430117076</v>
      </c>
      <c r="U753">
        <f>IF((ContinuousStatsTable[[#This Row],[RepsRequested]]&gt;1),ContinuousStatsTable[[#This Row],[HalfWidth]],ContinuousStatsTable[[#This Row],[BatchMeansHalfWidth]])</f>
        <v>6.7395853500387742E-3</v>
      </c>
    </row>
    <row r="754" spans="1:21" x14ac:dyDescent="0.25">
      <c r="A754" t="s">
        <v>67</v>
      </c>
      <c r="B754" t="s">
        <v>243</v>
      </c>
      <c r="C754">
        <v>9</v>
      </c>
      <c r="D754" t="s">
        <v>140</v>
      </c>
      <c r="E754" t="s">
        <v>115</v>
      </c>
      <c r="F754" t="s">
        <v>113</v>
      </c>
      <c r="G754">
        <v>0.26785714285714302</v>
      </c>
      <c r="H754">
        <v>2E+20</v>
      </c>
      <c r="I754">
        <v>0</v>
      </c>
      <c r="J754">
        <v>1</v>
      </c>
      <c r="K754">
        <v>0</v>
      </c>
      <c r="L754">
        <v>0</v>
      </c>
      <c r="M754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754" cm="1">
        <f t="array" ref="N754">MAX(IF((ProjectInfoTable[ProjectName]=ContinuousStatsTable[[#This Row],[ProjectName]]),(ProjectInfoTable[ProjectName]=ContinuousStatsTable[[#This Row],[ProjectName]])*ProjectInfoTable[NumberOfReplications]))</f>
        <v>10</v>
      </c>
      <c r="O754" cm="1">
        <f t="array" ref="O754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754" cm="1">
        <f t="array" ref="P754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754" cm="1">
        <f t="array" ref="Q754">MAX(IF((ProjectInfoTable[ProjectName]=ContinuousStatsTable[[#This Row],[ProjectName]]),(ProjectInfoTable[ProjectName]=ContinuousStatsTable[[#This Row],[ProjectName]])*ProjectInfoTable[ConfidenceInterval]))</f>
        <v>0.95</v>
      </c>
      <c r="R7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754" cm="1">
        <f t="array" ref="S754">MIN(IF((ContinuousStatsTable[GroupByKey]=ContinuousStatsTable[[#This Row],[GroupByKey]]),(ContinuousStatsTable[GroupByKey]=ContinuousStatsTable[[#This Row],[GroupByKey]])*ContinuousStatsTable[Average]))</f>
        <v>0.26785714285714302</v>
      </c>
      <c r="T754" cm="1">
        <f t="array" ref="T754">MAX(IF((ContinuousStatsTable[GroupByKey]=ContinuousStatsTable[[#This Row],[GroupByKey]]),(ContinuousStatsTable[GroupByKey]=ContinuousStatsTable[[#This Row],[GroupByKey]])*ContinuousStatsTable[Average]))</f>
        <v>0.26785714285714302</v>
      </c>
      <c r="U754">
        <f>IF((ContinuousStatsTable[[#This Row],[RepsRequested]]&gt;1),ContinuousStatsTable[[#This Row],[HalfWidth]],ContinuousStatsTable[[#This Row],[BatchMeansHalfWidth]])</f>
        <v>4.1858316124321422E-17</v>
      </c>
    </row>
    <row r="755" spans="1:21" x14ac:dyDescent="0.25">
      <c r="A755" t="s">
        <v>67</v>
      </c>
      <c r="B755" t="s">
        <v>243</v>
      </c>
      <c r="C755">
        <v>9</v>
      </c>
      <c r="D755" t="s">
        <v>99</v>
      </c>
      <c r="E755" t="s">
        <v>116</v>
      </c>
      <c r="F755" t="s">
        <v>71</v>
      </c>
      <c r="G755">
        <v>91.653675793565498</v>
      </c>
      <c r="H755">
        <v>2E+20</v>
      </c>
      <c r="I755">
        <v>0</v>
      </c>
      <c r="J755">
        <v>191</v>
      </c>
      <c r="K755">
        <v>191</v>
      </c>
      <c r="L755">
        <v>0</v>
      </c>
      <c r="M755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755" cm="1">
        <f t="array" ref="N755">MAX(IF((ProjectInfoTable[ProjectName]=ContinuousStatsTable[[#This Row],[ProjectName]]),(ProjectInfoTable[ProjectName]=ContinuousStatsTable[[#This Row],[ProjectName]])*ProjectInfoTable[NumberOfReplications]))</f>
        <v>10</v>
      </c>
      <c r="O755" cm="1">
        <f t="array" ref="O755">IFERROR(AVERAGE(IF((ContinuousStatsTable[GroupByKey]=ContinuousStatsTable[[#This Row],[GroupByKey]]),(ContinuousStatsTable[GroupByKey]=ContinuousStatsTable[[#This Row],[GroupByKey]])*ContinuousStatsTable[Average])),0)</f>
        <v>83.474789654582125</v>
      </c>
      <c r="P755" cm="1">
        <f t="array" ref="P755">IFERROR(_xlfn.STDEV.S(IF((ContinuousStatsTable[GroupByKey]=ContinuousStatsTable[[#This Row],[GroupByKey]]),(ContinuousStatsTable[GroupByKey]=ContinuousStatsTable[[#This Row],[GroupByKey]])*ContinuousStatsTable[Average])),0)</f>
        <v>6.0930686050573728</v>
      </c>
      <c r="Q755" cm="1">
        <f t="array" ref="Q755">MAX(IF((ProjectInfoTable[ProjectName]=ContinuousStatsTable[[#This Row],[ProjectName]]),(ProjectInfoTable[ProjectName]=ContinuousStatsTable[[#This Row],[ProjectName]])*ProjectInfoTable[ConfidenceInterval]))</f>
        <v>0.95</v>
      </c>
      <c r="R7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4.358718705180836</v>
      </c>
      <c r="S755" cm="1">
        <f t="array" ref="S755">MIN(IF((ContinuousStatsTable[GroupByKey]=ContinuousStatsTable[[#This Row],[GroupByKey]]),(ContinuousStatsTable[GroupByKey]=ContinuousStatsTable[[#This Row],[GroupByKey]])*ContinuousStatsTable[Average]))</f>
        <v>72.152998246910798</v>
      </c>
      <c r="T755" cm="1">
        <f t="array" ref="T755">MAX(IF((ContinuousStatsTable[GroupByKey]=ContinuousStatsTable[[#This Row],[GroupByKey]]),(ContinuousStatsTable[GroupByKey]=ContinuousStatsTable[[#This Row],[GroupByKey]])*ContinuousStatsTable[Average]))</f>
        <v>91.653675793565498</v>
      </c>
      <c r="U755">
        <f>IF((ContinuousStatsTable[[#This Row],[RepsRequested]]&gt;1),ContinuousStatsTable[[#This Row],[HalfWidth]],ContinuousStatsTable[[#This Row],[BatchMeansHalfWidth]])</f>
        <v>4.358718705180836</v>
      </c>
    </row>
    <row r="756" spans="1:21" x14ac:dyDescent="0.25">
      <c r="A756" t="s">
        <v>67</v>
      </c>
      <c r="B756" t="s">
        <v>243</v>
      </c>
      <c r="C756">
        <v>9</v>
      </c>
      <c r="D756" t="s">
        <v>100</v>
      </c>
      <c r="E756" t="s">
        <v>116</v>
      </c>
      <c r="F756" t="s">
        <v>71</v>
      </c>
      <c r="G756">
        <v>0.93250591464578603</v>
      </c>
      <c r="H756">
        <v>2E+20</v>
      </c>
      <c r="I756">
        <v>0</v>
      </c>
      <c r="J756">
        <v>3</v>
      </c>
      <c r="K756">
        <v>3</v>
      </c>
      <c r="L756">
        <v>0</v>
      </c>
      <c r="M756" t="str">
        <f>ContinuousStatsTable[[#This Row],[ProjectName]]&amp;ContinuousStatsTable[[#This Row],[Name]]&amp;ContinuousStatsTable[[#This Row],[Type]]&amp;ContinuousStatsTable[[#This Row],[Source]]</f>
        <v>Unnamed ProjectSeize 10.QueueNumber WaitingQueue</v>
      </c>
      <c r="N756" cm="1">
        <f t="array" ref="N756">MAX(IF((ProjectInfoTable[ProjectName]=ContinuousStatsTable[[#This Row],[ProjectName]]),(ProjectInfoTable[ProjectName]=ContinuousStatsTable[[#This Row],[ProjectName]])*ProjectInfoTable[NumberOfReplications]))</f>
        <v>10</v>
      </c>
      <c r="O756" cm="1">
        <f t="array" ref="O756">IFERROR(AVERAGE(IF((ContinuousStatsTable[GroupByKey]=ContinuousStatsTable[[#This Row],[GroupByKey]]),(ContinuousStatsTable[GroupByKey]=ContinuousStatsTable[[#This Row],[GroupByKey]])*ContinuousStatsTable[Average])),0)</f>
        <v>0.77451739131190445</v>
      </c>
      <c r="P756" cm="1">
        <f t="array" ref="P756">IFERROR(_xlfn.STDEV.S(IF((ContinuousStatsTable[GroupByKey]=ContinuousStatsTable[[#This Row],[GroupByKey]]),(ContinuousStatsTable[GroupByKey]=ContinuousStatsTable[[#This Row],[GroupByKey]])*ContinuousStatsTable[Average])),0)</f>
        <v>0.14034110421466847</v>
      </c>
      <c r="Q756" cm="1">
        <f t="array" ref="Q756">MAX(IF((ProjectInfoTable[ProjectName]=ContinuousStatsTable[[#This Row],[ProjectName]]),(ProjectInfoTable[ProjectName]=ContinuousStatsTable[[#This Row],[ProjectName]])*ProjectInfoTable[ConfidenceInterval]))</f>
        <v>0.95</v>
      </c>
      <c r="R7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0.10039397809151185</v>
      </c>
      <c r="S756" cm="1">
        <f t="array" ref="S756">MIN(IF((ContinuousStatsTable[GroupByKey]=ContinuousStatsTable[[#This Row],[GroupByKey]]),(ContinuousStatsTable[GroupByKey]=ContinuousStatsTable[[#This Row],[GroupByKey]])*ContinuousStatsTable[Average]))</f>
        <v>0.57599630674201496</v>
      </c>
      <c r="T756" cm="1">
        <f t="array" ref="T756">MAX(IF((ContinuousStatsTable[GroupByKey]=ContinuousStatsTable[[#This Row],[GroupByKey]]),(ContinuousStatsTable[GroupByKey]=ContinuousStatsTable[[#This Row],[GroupByKey]])*ContinuousStatsTable[Average]))</f>
        <v>0.944128153448903</v>
      </c>
      <c r="U756">
        <f>IF((ContinuousStatsTable[[#This Row],[RepsRequested]]&gt;1),ContinuousStatsTable[[#This Row],[HalfWidth]],ContinuousStatsTable[[#This Row],[BatchMeansHalfWidth]])</f>
        <v>0.10039397809151185</v>
      </c>
    </row>
    <row r="757" spans="1:21" x14ac:dyDescent="0.25">
      <c r="A757" t="s">
        <v>67</v>
      </c>
      <c r="B757" t="s">
        <v>243</v>
      </c>
      <c r="C757">
        <v>9</v>
      </c>
      <c r="D757" t="s">
        <v>101</v>
      </c>
      <c r="E757" t="s">
        <v>116</v>
      </c>
      <c r="F757" t="s">
        <v>71</v>
      </c>
      <c r="G757">
        <v>16.4526496523326</v>
      </c>
      <c r="H757">
        <v>2E+20</v>
      </c>
      <c r="I757">
        <v>0</v>
      </c>
      <c r="J757">
        <v>113</v>
      </c>
      <c r="K757">
        <v>0</v>
      </c>
      <c r="L757">
        <v>0</v>
      </c>
      <c r="M757" t="str">
        <f>ContinuousStatsTable[[#This Row],[ProjectName]]&amp;ContinuousStatsTable[[#This Row],[Name]]&amp;ContinuousStatsTable[[#This Row],[Type]]&amp;ContinuousStatsTable[[#This Row],[Source]]</f>
        <v>Unnamed ProjectSeize 11.QueueNumber WaitingQueue</v>
      </c>
      <c r="N757" cm="1">
        <f t="array" ref="N757">MAX(IF((ProjectInfoTable[ProjectName]=ContinuousStatsTable[[#This Row],[ProjectName]]),(ProjectInfoTable[ProjectName]=ContinuousStatsTable[[#This Row],[ProjectName]])*ProjectInfoTable[NumberOfReplications]))</f>
        <v>10</v>
      </c>
      <c r="O757" cm="1">
        <f t="array" ref="O757">IFERROR(AVERAGE(IF((ContinuousStatsTable[GroupByKey]=ContinuousStatsTable[[#This Row],[GroupByKey]]),(ContinuousStatsTable[GroupByKey]=ContinuousStatsTable[[#This Row],[GroupByKey]])*ContinuousStatsTable[Average])),0)</f>
        <v>17.495844600024782</v>
      </c>
      <c r="P757" cm="1">
        <f t="array" ref="P757">IFERROR(_xlfn.STDEV.S(IF((ContinuousStatsTable[GroupByKey]=ContinuousStatsTable[[#This Row],[GroupByKey]]),(ContinuousStatsTable[GroupByKey]=ContinuousStatsTable[[#This Row],[GroupByKey]])*ContinuousStatsTable[Average])),0)</f>
        <v>4.1567315260337745</v>
      </c>
      <c r="Q757" cm="1">
        <f t="array" ref="Q757">MAX(IF((ProjectInfoTable[ProjectName]=ContinuousStatsTable[[#This Row],[ProjectName]]),(ProjectInfoTable[ProjectName]=ContinuousStatsTable[[#This Row],[ProjectName]])*ProjectInfoTable[ConfidenceInterval]))</f>
        <v>0.95</v>
      </c>
      <c r="R7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2.9735466034142406</v>
      </c>
      <c r="S757" cm="1">
        <f t="array" ref="S757">MIN(IF((ContinuousStatsTable[GroupByKey]=ContinuousStatsTable[[#This Row],[GroupByKey]]),(ContinuousStatsTable[GroupByKey]=ContinuousStatsTable[[#This Row],[GroupByKey]])*ContinuousStatsTable[Average]))</f>
        <v>10.770319236854199</v>
      </c>
      <c r="T757" cm="1">
        <f t="array" ref="T757">MAX(IF((ContinuousStatsTable[GroupByKey]=ContinuousStatsTable[[#This Row],[GroupByKey]]),(ContinuousStatsTable[GroupByKey]=ContinuousStatsTable[[#This Row],[GroupByKey]])*ContinuousStatsTable[Average]))</f>
        <v>25.764658423427701</v>
      </c>
      <c r="U757">
        <f>IF((ContinuousStatsTable[[#This Row],[RepsRequested]]&gt;1),ContinuousStatsTable[[#This Row],[HalfWidth]],ContinuousStatsTable[[#This Row],[BatchMeansHalfWidth]])</f>
        <v>2.9735466034142406</v>
      </c>
    </row>
    <row r="758" spans="1:21" x14ac:dyDescent="0.25">
      <c r="A758" t="s">
        <v>67</v>
      </c>
      <c r="B758" t="s">
        <v>243</v>
      </c>
      <c r="C758">
        <v>9</v>
      </c>
      <c r="D758" t="s">
        <v>102</v>
      </c>
      <c r="E758" t="s">
        <v>116</v>
      </c>
      <c r="F758" t="s">
        <v>71</v>
      </c>
      <c r="G758">
        <v>1.3142395899380199</v>
      </c>
      <c r="H758">
        <v>3E+20</v>
      </c>
      <c r="I758">
        <v>0</v>
      </c>
      <c r="J758">
        <v>4</v>
      </c>
      <c r="K758">
        <v>4</v>
      </c>
      <c r="L758">
        <v>0</v>
      </c>
      <c r="M758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758" cm="1">
        <f t="array" ref="N758">MAX(IF((ProjectInfoTable[ProjectName]=ContinuousStatsTable[[#This Row],[ProjectName]]),(ProjectInfoTable[ProjectName]=ContinuousStatsTable[[#This Row],[ProjectName]])*ProjectInfoTable[NumberOfReplications]))</f>
        <v>10</v>
      </c>
      <c r="O758" cm="1">
        <f t="array" ref="O758">IFERROR(AVERAGE(IF((ContinuousStatsTable[GroupByKey]=ContinuousStatsTable[[#This Row],[GroupByKey]]),(ContinuousStatsTable[GroupByKey]=ContinuousStatsTable[[#This Row],[GroupByKey]])*ContinuousStatsTable[Average])),0)</f>
        <v>1.2334365850159306</v>
      </c>
      <c r="P758" cm="1">
        <f t="array" ref="P758">IFERROR(_xlfn.STDEV.S(IF((ContinuousStatsTable[GroupByKey]=ContinuousStatsTable[[#This Row],[GroupByKey]]),(ContinuousStatsTable[GroupByKey]=ContinuousStatsTable[[#This Row],[GroupByKey]])*ContinuousStatsTable[Average])),0)</f>
        <v>0.34677877772765942</v>
      </c>
      <c r="Q758" cm="1">
        <f t="array" ref="Q758">MAX(IF((ProjectInfoTable[ProjectName]=ContinuousStatsTable[[#This Row],[ProjectName]]),(ProjectInfoTable[ProjectName]=ContinuousStatsTable[[#This Row],[ProjectName]])*ProjectInfoTable[ConfidenceInterval]))</f>
        <v>0.95</v>
      </c>
      <c r="R7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0.24807059349154728</v>
      </c>
      <c r="S758" cm="1">
        <f t="array" ref="S758">MIN(IF((ContinuousStatsTable[GroupByKey]=ContinuousStatsTable[[#This Row],[GroupByKey]]),(ContinuousStatsTable[GroupByKey]=ContinuousStatsTable[[#This Row],[GroupByKey]])*ContinuousStatsTable[Average]))</f>
        <v>0.47601596605360202</v>
      </c>
      <c r="T758" cm="1">
        <f t="array" ref="T758">MAX(IF((ContinuousStatsTable[GroupByKey]=ContinuousStatsTable[[#This Row],[GroupByKey]]),(ContinuousStatsTable[GroupByKey]=ContinuousStatsTable[[#This Row],[GroupByKey]])*ContinuousStatsTable[Average]))</f>
        <v>1.5938052921300001</v>
      </c>
      <c r="U758">
        <f>IF((ContinuousStatsTable[[#This Row],[RepsRequested]]&gt;1),ContinuousStatsTable[[#This Row],[HalfWidth]],ContinuousStatsTable[[#This Row],[BatchMeansHalfWidth]])</f>
        <v>0.24807059349154728</v>
      </c>
    </row>
    <row r="759" spans="1:21" x14ac:dyDescent="0.25">
      <c r="A759" t="s">
        <v>67</v>
      </c>
      <c r="B759" t="s">
        <v>243</v>
      </c>
      <c r="C759">
        <v>9</v>
      </c>
      <c r="D759" t="s">
        <v>103</v>
      </c>
      <c r="E759" t="s">
        <v>116</v>
      </c>
      <c r="F759" t="s">
        <v>71</v>
      </c>
      <c r="G759">
        <v>5.2203254973614402E-2</v>
      </c>
      <c r="H759">
        <v>3E+20</v>
      </c>
      <c r="I759">
        <v>0</v>
      </c>
      <c r="J759">
        <v>2</v>
      </c>
      <c r="K759">
        <v>0</v>
      </c>
      <c r="L759">
        <v>0</v>
      </c>
      <c r="M759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759" cm="1">
        <f t="array" ref="N759">MAX(IF((ProjectInfoTable[ProjectName]=ContinuousStatsTable[[#This Row],[ProjectName]]),(ProjectInfoTable[ProjectName]=ContinuousStatsTable[[#This Row],[ProjectName]])*ProjectInfoTable[NumberOfReplications]))</f>
        <v>10</v>
      </c>
      <c r="O759" cm="1">
        <f t="array" ref="O759">IFERROR(AVERAGE(IF((ContinuousStatsTable[GroupByKey]=ContinuousStatsTable[[#This Row],[GroupByKey]]),(ContinuousStatsTable[GroupByKey]=ContinuousStatsTable[[#This Row],[GroupByKey]])*ContinuousStatsTable[Average])),0)</f>
        <v>0.19501309596936622</v>
      </c>
      <c r="P759" cm="1">
        <f t="array" ref="P759">IFERROR(_xlfn.STDEV.S(IF((ContinuousStatsTable[GroupByKey]=ContinuousStatsTable[[#This Row],[GroupByKey]]),(ContinuousStatsTable[GroupByKey]=ContinuousStatsTable[[#This Row],[GroupByKey]])*ContinuousStatsTable[Average])),0)</f>
        <v>0.14771852643081365</v>
      </c>
      <c r="Q759" cm="1">
        <f t="array" ref="Q759">MAX(IF((ProjectInfoTable[ProjectName]=ContinuousStatsTable[[#This Row],[ProjectName]]),(ProjectInfoTable[ProjectName]=ContinuousStatsTable[[#This Row],[ProjectName]])*ProjectInfoTable[ConfidenceInterval]))</f>
        <v>0.95</v>
      </c>
      <c r="R7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0.10567146802209269</v>
      </c>
      <c r="S759" cm="1">
        <f t="array" ref="S759">MIN(IF((ContinuousStatsTable[GroupByKey]=ContinuousStatsTable[[#This Row],[GroupByKey]]),(ContinuousStatsTable[GroupByKey]=ContinuousStatsTable[[#This Row],[GroupByKey]])*ContinuousStatsTable[Average]))</f>
        <v>5.2203254973614402E-2</v>
      </c>
      <c r="T759" cm="1">
        <f t="array" ref="T759">MAX(IF((ContinuousStatsTable[GroupByKey]=ContinuousStatsTable[[#This Row],[GroupByKey]]),(ContinuousStatsTable[GroupByKey]=ContinuousStatsTable[[#This Row],[GroupByKey]])*ContinuousStatsTable[Average]))</f>
        <v>0.443638473140476</v>
      </c>
      <c r="U759">
        <f>IF((ContinuousStatsTable[[#This Row],[RepsRequested]]&gt;1),ContinuousStatsTable[[#This Row],[HalfWidth]],ContinuousStatsTable[[#This Row],[BatchMeansHalfWidth]])</f>
        <v>0.10567146802209269</v>
      </c>
    </row>
    <row r="760" spans="1:21" x14ac:dyDescent="0.25">
      <c r="A760" t="s">
        <v>67</v>
      </c>
      <c r="B760" t="s">
        <v>243</v>
      </c>
      <c r="C760">
        <v>9</v>
      </c>
      <c r="D760" t="s">
        <v>104</v>
      </c>
      <c r="E760" t="s">
        <v>116</v>
      </c>
      <c r="F760" t="s">
        <v>71</v>
      </c>
      <c r="G760">
        <v>70.132096626319594</v>
      </c>
      <c r="H760">
        <v>3E+20</v>
      </c>
      <c r="I760">
        <v>0</v>
      </c>
      <c r="J760">
        <v>147</v>
      </c>
      <c r="K760">
        <v>147</v>
      </c>
      <c r="L760">
        <v>0</v>
      </c>
      <c r="M760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760" cm="1">
        <f t="array" ref="N760">MAX(IF((ProjectInfoTable[ProjectName]=ContinuousStatsTable[[#This Row],[ProjectName]]),(ProjectInfoTable[ProjectName]=ContinuousStatsTable[[#This Row],[ProjectName]])*ProjectInfoTable[NumberOfReplications]))</f>
        <v>10</v>
      </c>
      <c r="O760" cm="1">
        <f t="array" ref="O760">IFERROR(AVERAGE(IF((ContinuousStatsTable[GroupByKey]=ContinuousStatsTable[[#This Row],[GroupByKey]]),(ContinuousStatsTable[GroupByKey]=ContinuousStatsTable[[#This Row],[GroupByKey]])*ContinuousStatsTable[Average])),0)</f>
        <v>81.226274902651596</v>
      </c>
      <c r="P760" cm="1">
        <f t="array" ref="P760">IFERROR(_xlfn.STDEV.S(IF((ContinuousStatsTable[GroupByKey]=ContinuousStatsTable[[#This Row],[GroupByKey]]),(ContinuousStatsTable[GroupByKey]=ContinuousStatsTable[[#This Row],[GroupByKey]])*ContinuousStatsTable[Average])),0)</f>
        <v>11.159336682409895</v>
      </c>
      <c r="Q760" cm="1">
        <f t="array" ref="Q760">MAX(IF((ProjectInfoTable[ProjectName]=ContinuousStatsTable[[#This Row],[ProjectName]]),(ProjectInfoTable[ProjectName]=ContinuousStatsTable[[#This Row],[ProjectName]])*ProjectInfoTable[ConfidenceInterval]))</f>
        <v>0.95</v>
      </c>
      <c r="R7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7.9829085618136846</v>
      </c>
      <c r="S760" cm="1">
        <f t="array" ref="S760">MIN(IF((ContinuousStatsTable[GroupByKey]=ContinuousStatsTable[[#This Row],[GroupByKey]]),(ContinuousStatsTable[GroupByKey]=ContinuousStatsTable[[#This Row],[GroupByKey]])*ContinuousStatsTable[Average]))</f>
        <v>66.053444809788303</v>
      </c>
      <c r="T760" cm="1">
        <f t="array" ref="T760">MAX(IF((ContinuousStatsTable[GroupByKey]=ContinuousStatsTable[[#This Row],[GroupByKey]]),(ContinuousStatsTable[GroupByKey]=ContinuousStatsTable[[#This Row],[GroupByKey]])*ContinuousStatsTable[Average]))</f>
        <v>100.586340982454</v>
      </c>
      <c r="U760">
        <f>IF((ContinuousStatsTable[[#This Row],[RepsRequested]]&gt;1),ContinuousStatsTable[[#This Row],[HalfWidth]],ContinuousStatsTable[[#This Row],[BatchMeansHalfWidth]])</f>
        <v>7.9829085618136846</v>
      </c>
    </row>
    <row r="761" spans="1:21" x14ac:dyDescent="0.25">
      <c r="A761" t="s">
        <v>67</v>
      </c>
      <c r="B761" t="s">
        <v>243</v>
      </c>
      <c r="C761">
        <v>9</v>
      </c>
      <c r="D761" t="s">
        <v>105</v>
      </c>
      <c r="E761" t="s">
        <v>116</v>
      </c>
      <c r="F761" t="s">
        <v>71</v>
      </c>
      <c r="G761">
        <v>1.1684264841896199</v>
      </c>
      <c r="H761">
        <v>3E+20</v>
      </c>
      <c r="I761">
        <v>0</v>
      </c>
      <c r="J761">
        <v>2</v>
      </c>
      <c r="K761">
        <v>1</v>
      </c>
      <c r="L761">
        <v>0</v>
      </c>
      <c r="M761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761" cm="1">
        <f t="array" ref="N761">MAX(IF((ProjectInfoTable[ProjectName]=ContinuousStatsTable[[#This Row],[ProjectName]]),(ProjectInfoTable[ProjectName]=ContinuousStatsTable[[#This Row],[ProjectName]])*ProjectInfoTable[NumberOfReplications]))</f>
        <v>10</v>
      </c>
      <c r="O761" cm="1">
        <f t="array" ref="O761">IFERROR(AVERAGE(IF((ContinuousStatsTable[GroupByKey]=ContinuousStatsTable[[#This Row],[GroupByKey]]),(ContinuousStatsTable[GroupByKey]=ContinuousStatsTable[[#This Row],[GroupByKey]])*ContinuousStatsTable[Average])),0)</f>
        <v>1.3234420699844864</v>
      </c>
      <c r="P761" cm="1">
        <f t="array" ref="P761">IFERROR(_xlfn.STDEV.S(IF((ContinuousStatsTable[GroupByKey]=ContinuousStatsTable[[#This Row],[GroupByKey]]),(ContinuousStatsTable[GroupByKey]=ContinuousStatsTable[[#This Row],[GroupByKey]])*ContinuousStatsTable[Average])),0)</f>
        <v>0.23376145670955006</v>
      </c>
      <c r="Q761" cm="1">
        <f t="array" ref="Q761">MAX(IF((ProjectInfoTable[ProjectName]=ContinuousStatsTable[[#This Row],[ProjectName]]),(ProjectInfoTable[ProjectName]=ContinuousStatsTable[[#This Row],[ProjectName]])*ProjectInfoTable[ConfidenceInterval]))</f>
        <v>0.95</v>
      </c>
      <c r="R7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0.1672228724069392</v>
      </c>
      <c r="S761" cm="1">
        <f t="array" ref="S761">MIN(IF((ContinuousStatsTable[GroupByKey]=ContinuousStatsTable[[#This Row],[GroupByKey]]),(ContinuousStatsTable[GroupByKey]=ContinuousStatsTable[[#This Row],[GroupByKey]])*ContinuousStatsTable[Average]))</f>
        <v>0.88257428434366503</v>
      </c>
      <c r="T761" cm="1">
        <f t="array" ref="T761">MAX(IF((ContinuousStatsTable[GroupByKey]=ContinuousStatsTable[[#This Row],[GroupByKey]]),(ContinuousStatsTable[GroupByKey]=ContinuousStatsTable[[#This Row],[GroupByKey]])*ContinuousStatsTable[Average]))</f>
        <v>1.5367801636504701</v>
      </c>
      <c r="U761">
        <f>IF((ContinuousStatsTable[[#This Row],[RepsRequested]]&gt;1),ContinuousStatsTable[[#This Row],[HalfWidth]],ContinuousStatsTable[[#This Row],[BatchMeansHalfWidth]])</f>
        <v>0.1672228724069392</v>
      </c>
    </row>
    <row r="762" spans="1:21" x14ac:dyDescent="0.25">
      <c r="A762" t="s">
        <v>67</v>
      </c>
      <c r="B762" t="s">
        <v>243</v>
      </c>
      <c r="C762">
        <v>9</v>
      </c>
      <c r="D762" t="s">
        <v>106</v>
      </c>
      <c r="E762" t="s">
        <v>116</v>
      </c>
      <c r="F762" t="s">
        <v>71</v>
      </c>
      <c r="G762">
        <v>2.9443042052265702</v>
      </c>
      <c r="H762">
        <v>3E+20</v>
      </c>
      <c r="I762">
        <v>0</v>
      </c>
      <c r="J762">
        <v>5</v>
      </c>
      <c r="K762">
        <v>1</v>
      </c>
      <c r="L762">
        <v>0</v>
      </c>
      <c r="M762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762" cm="1">
        <f t="array" ref="N762">MAX(IF((ProjectInfoTable[ProjectName]=ContinuousStatsTable[[#This Row],[ProjectName]]),(ProjectInfoTable[ProjectName]=ContinuousStatsTable[[#This Row],[ProjectName]])*ProjectInfoTable[NumberOfReplications]))</f>
        <v>10</v>
      </c>
      <c r="O762" cm="1">
        <f t="array" ref="O762">IFERROR(AVERAGE(IF((ContinuousStatsTable[GroupByKey]=ContinuousStatsTable[[#This Row],[GroupByKey]]),(ContinuousStatsTable[GroupByKey]=ContinuousStatsTable[[#This Row],[GroupByKey]])*ContinuousStatsTable[Average])),0)</f>
        <v>3.295350976306183</v>
      </c>
      <c r="P762" cm="1">
        <f t="array" ref="P762">IFERROR(_xlfn.STDEV.S(IF((ContinuousStatsTable[GroupByKey]=ContinuousStatsTable[[#This Row],[GroupByKey]]),(ContinuousStatsTable[GroupByKey]=ContinuousStatsTable[[#This Row],[GroupByKey]])*ContinuousStatsTable[Average])),0)</f>
        <v>0.30652142094800816</v>
      </c>
      <c r="Q762" cm="1">
        <f t="array" ref="Q762">MAX(IF((ProjectInfoTable[ProjectName]=ContinuousStatsTable[[#This Row],[ProjectName]]),(ProjectInfoTable[ProjectName]=ContinuousStatsTable[[#This Row],[ProjectName]])*ProjectInfoTable[ConfidenceInterval]))</f>
        <v>0.95</v>
      </c>
      <c r="R7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0.21927221530309879</v>
      </c>
      <c r="S762" cm="1">
        <f t="array" ref="S762">MIN(IF((ContinuousStatsTable[GroupByKey]=ContinuousStatsTable[[#This Row],[GroupByKey]]),(ContinuousStatsTable[GroupByKey]=ContinuousStatsTable[[#This Row],[GroupByKey]])*ContinuousStatsTable[Average]))</f>
        <v>2.9443042052265702</v>
      </c>
      <c r="T762" cm="1">
        <f t="array" ref="T762">MAX(IF((ContinuousStatsTable[GroupByKey]=ContinuousStatsTable[[#This Row],[GroupByKey]]),(ContinuousStatsTable[GroupByKey]=ContinuousStatsTable[[#This Row],[GroupByKey]])*ContinuousStatsTable[Average]))</f>
        <v>3.9785130958891202</v>
      </c>
      <c r="U762">
        <f>IF((ContinuousStatsTable[[#This Row],[RepsRequested]]&gt;1),ContinuousStatsTable[[#This Row],[HalfWidth]],ContinuousStatsTable[[#This Row],[BatchMeansHalfWidth]])</f>
        <v>0.21927221530309879</v>
      </c>
    </row>
    <row r="763" spans="1:21" x14ac:dyDescent="0.25">
      <c r="A763" t="s">
        <v>67</v>
      </c>
      <c r="B763" t="s">
        <v>243</v>
      </c>
      <c r="C763">
        <v>9</v>
      </c>
      <c r="D763" t="s">
        <v>107</v>
      </c>
      <c r="E763" t="s">
        <v>116</v>
      </c>
      <c r="F763" t="s">
        <v>71</v>
      </c>
      <c r="G763">
        <v>1.69314451474018</v>
      </c>
      <c r="H763">
        <v>2E+20</v>
      </c>
      <c r="I763">
        <v>0</v>
      </c>
      <c r="J763">
        <v>4</v>
      </c>
      <c r="K763">
        <v>4</v>
      </c>
      <c r="L763">
        <v>0</v>
      </c>
      <c r="M763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763" cm="1">
        <f t="array" ref="N763">MAX(IF((ProjectInfoTable[ProjectName]=ContinuousStatsTable[[#This Row],[ProjectName]]),(ProjectInfoTable[ProjectName]=ContinuousStatsTable[[#This Row],[ProjectName]])*ProjectInfoTable[NumberOfReplications]))</f>
        <v>10</v>
      </c>
      <c r="O763" cm="1">
        <f t="array" ref="O763">IFERROR(AVERAGE(IF((ContinuousStatsTable[GroupByKey]=ContinuousStatsTable[[#This Row],[GroupByKey]]),(ContinuousStatsTable[GroupByKey]=ContinuousStatsTable[[#This Row],[GroupByKey]])*ContinuousStatsTable[Average])),0)</f>
        <v>1.4832039737284362</v>
      </c>
      <c r="P763" cm="1">
        <f t="array" ref="P763">IFERROR(_xlfn.STDEV.S(IF((ContinuousStatsTable[GroupByKey]=ContinuousStatsTable[[#This Row],[GroupByKey]]),(ContinuousStatsTable[GroupByKey]=ContinuousStatsTable[[#This Row],[GroupByKey]])*ContinuousStatsTable[Average])),0)</f>
        <v>0.28170250043427397</v>
      </c>
      <c r="Q763" cm="1">
        <f t="array" ref="Q763">MAX(IF((ProjectInfoTable[ProjectName]=ContinuousStatsTable[[#This Row],[ProjectName]]),(ProjectInfoTable[ProjectName]=ContinuousStatsTable[[#This Row],[ProjectName]])*ProjectInfoTable[ConfidenceInterval]))</f>
        <v>0.95</v>
      </c>
      <c r="R7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0.20151782911486205</v>
      </c>
      <c r="S763" cm="1">
        <f t="array" ref="S763">MIN(IF((ContinuousStatsTable[GroupByKey]=ContinuousStatsTable[[#This Row],[GroupByKey]]),(ContinuousStatsTable[GroupByKey]=ContinuousStatsTable[[#This Row],[GroupByKey]])*ContinuousStatsTable[Average]))</f>
        <v>0.850065833369271</v>
      </c>
      <c r="T763" cm="1">
        <f t="array" ref="T763">MAX(IF((ContinuousStatsTable[GroupByKey]=ContinuousStatsTable[[#This Row],[GroupByKey]]),(ContinuousStatsTable[GroupByKey]=ContinuousStatsTable[[#This Row],[GroupByKey]])*ContinuousStatsTable[Average]))</f>
        <v>1.78320590856036</v>
      </c>
      <c r="U763">
        <f>IF((ContinuousStatsTable[[#This Row],[RepsRequested]]&gt;1),ContinuousStatsTable[[#This Row],[HalfWidth]],ContinuousStatsTable[[#This Row],[BatchMeansHalfWidth]])</f>
        <v>0.20151782911486205</v>
      </c>
    </row>
    <row r="764" spans="1:21" x14ac:dyDescent="0.25">
      <c r="A764" t="s">
        <v>67</v>
      </c>
      <c r="B764" t="s">
        <v>243</v>
      </c>
      <c r="C764">
        <v>9</v>
      </c>
      <c r="D764" t="s">
        <v>108</v>
      </c>
      <c r="E764" t="s">
        <v>116</v>
      </c>
      <c r="F764" t="s">
        <v>71</v>
      </c>
      <c r="G764">
        <v>88.986335517634799</v>
      </c>
      <c r="H764">
        <v>3E+20</v>
      </c>
      <c r="I764">
        <v>0</v>
      </c>
      <c r="J764">
        <v>181</v>
      </c>
      <c r="K764">
        <v>181</v>
      </c>
      <c r="L764">
        <v>0</v>
      </c>
      <c r="M764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764" cm="1">
        <f t="array" ref="N764">MAX(IF((ProjectInfoTable[ProjectName]=ContinuousStatsTable[[#This Row],[ProjectName]]),(ProjectInfoTable[ProjectName]=ContinuousStatsTable[[#This Row],[ProjectName]])*ProjectInfoTable[NumberOfReplications]))</f>
        <v>10</v>
      </c>
      <c r="O764" cm="1">
        <f t="array" ref="O764">IFERROR(AVERAGE(IF((ContinuousStatsTable[GroupByKey]=ContinuousStatsTable[[#This Row],[GroupByKey]]),(ContinuousStatsTable[GroupByKey]=ContinuousStatsTable[[#This Row],[GroupByKey]])*ContinuousStatsTable[Average])),0)</f>
        <v>84.673313986400757</v>
      </c>
      <c r="P764" cm="1">
        <f t="array" ref="P764">IFERROR(_xlfn.STDEV.S(IF((ContinuousStatsTable[GroupByKey]=ContinuousStatsTable[[#This Row],[GroupByKey]]),(ContinuousStatsTable[GroupByKey]=ContinuousStatsTable[[#This Row],[GroupByKey]])*ContinuousStatsTable[Average])),0)</f>
        <v>6.3050274623130749</v>
      </c>
      <c r="Q764" cm="1">
        <f t="array" ref="Q764">MAX(IF((ProjectInfoTable[ProjectName]=ContinuousStatsTable[[#This Row],[ProjectName]]),(ProjectInfoTable[ProjectName]=ContinuousStatsTable[[#This Row],[ProjectName]])*ProjectInfoTable[ConfidenceInterval]))</f>
        <v>0.95</v>
      </c>
      <c r="R7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4.5103449375003528</v>
      </c>
      <c r="S764" cm="1">
        <f t="array" ref="S764">MIN(IF((ContinuousStatsTable[GroupByKey]=ContinuousStatsTable[[#This Row],[GroupByKey]]),(ContinuousStatsTable[GroupByKey]=ContinuousStatsTable[[#This Row],[GroupByKey]])*ContinuousStatsTable[Average]))</f>
        <v>72.004631303705096</v>
      </c>
      <c r="T764" cm="1">
        <f t="array" ref="T764">MAX(IF((ContinuousStatsTable[GroupByKey]=ContinuousStatsTable[[#This Row],[GroupByKey]]),(ContinuousStatsTable[GroupByKey]=ContinuousStatsTable[[#This Row],[GroupByKey]])*ContinuousStatsTable[Average]))</f>
        <v>94.488584180465494</v>
      </c>
      <c r="U764">
        <f>IF((ContinuousStatsTable[[#This Row],[RepsRequested]]&gt;1),ContinuousStatsTable[[#This Row],[HalfWidth]],ContinuousStatsTable[[#This Row],[BatchMeansHalfWidth]])</f>
        <v>4.5103449375003528</v>
      </c>
    </row>
    <row r="765" spans="1:21" x14ac:dyDescent="0.25">
      <c r="A765" t="s">
        <v>67</v>
      </c>
      <c r="B765" t="s">
        <v>243</v>
      </c>
      <c r="C765">
        <v>9</v>
      </c>
      <c r="D765" t="s">
        <v>109</v>
      </c>
      <c r="E765" t="s">
        <v>116</v>
      </c>
      <c r="F765" t="s">
        <v>71</v>
      </c>
      <c r="G765">
        <v>2.80603520641223</v>
      </c>
      <c r="H765">
        <v>3E+20</v>
      </c>
      <c r="I765">
        <v>0</v>
      </c>
      <c r="J765">
        <v>4</v>
      </c>
      <c r="K765">
        <v>2</v>
      </c>
      <c r="L765">
        <v>0</v>
      </c>
      <c r="M765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765" cm="1">
        <f t="array" ref="N765">MAX(IF((ProjectInfoTable[ProjectName]=ContinuousStatsTable[[#This Row],[ProjectName]]),(ProjectInfoTable[ProjectName]=ContinuousStatsTable[[#This Row],[ProjectName]])*ProjectInfoTable[NumberOfReplications]))</f>
        <v>10</v>
      </c>
      <c r="O765" cm="1">
        <f t="array" ref="O765">IFERROR(AVERAGE(IF((ContinuousStatsTable[GroupByKey]=ContinuousStatsTable[[#This Row],[GroupByKey]]),(ContinuousStatsTable[GroupByKey]=ContinuousStatsTable[[#This Row],[GroupByKey]])*ContinuousStatsTable[Average])),0)</f>
        <v>3.1643006447829118</v>
      </c>
      <c r="P765" cm="1">
        <f t="array" ref="P765">IFERROR(_xlfn.STDEV.S(IF((ContinuousStatsTable[GroupByKey]=ContinuousStatsTable[[#This Row],[GroupByKey]]),(ContinuousStatsTable[GroupByKey]=ContinuousStatsTable[[#This Row],[GroupByKey]])*ContinuousStatsTable[Average])),0)</f>
        <v>0.56709805972033456</v>
      </c>
      <c r="Q765" cm="1">
        <f t="array" ref="Q765">MAX(IF((ProjectInfoTable[ProjectName]=ContinuousStatsTable[[#This Row],[ProjectName]]),(ProjectInfoTable[ProjectName]=ContinuousStatsTable[[#This Row],[ProjectName]])*ProjectInfoTable[ConfidenceInterval]))</f>
        <v>0.95</v>
      </c>
      <c r="R7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0.40567751338350572</v>
      </c>
      <c r="S765" cm="1">
        <f t="array" ref="S765">MIN(IF((ContinuousStatsTable[GroupByKey]=ContinuousStatsTable[[#This Row],[GroupByKey]]),(ContinuousStatsTable[GroupByKey]=ContinuousStatsTable[[#This Row],[GroupByKey]])*ContinuousStatsTable[Average]))</f>
        <v>2.1571183231200299</v>
      </c>
      <c r="T765" cm="1">
        <f t="array" ref="T765">MAX(IF((ContinuousStatsTable[GroupByKey]=ContinuousStatsTable[[#This Row],[GroupByKey]]),(ContinuousStatsTable[GroupByKey]=ContinuousStatsTable[[#This Row],[GroupByKey]])*ContinuousStatsTable[Average]))</f>
        <v>3.7448575603137102</v>
      </c>
      <c r="U765">
        <f>IF((ContinuousStatsTable[[#This Row],[RepsRequested]]&gt;1),ContinuousStatsTable[[#This Row],[HalfWidth]],ContinuousStatsTable[[#This Row],[BatchMeansHalfWidth]])</f>
        <v>0.40567751338350572</v>
      </c>
    </row>
    <row r="766" spans="1:21" x14ac:dyDescent="0.25">
      <c r="A766" t="s">
        <v>67</v>
      </c>
      <c r="B766" t="s">
        <v>243</v>
      </c>
      <c r="C766">
        <v>9</v>
      </c>
      <c r="D766" t="s">
        <v>110</v>
      </c>
      <c r="E766" t="s">
        <v>117</v>
      </c>
      <c r="F766" t="s">
        <v>76</v>
      </c>
      <c r="G766">
        <v>3.0413918079903701</v>
      </c>
      <c r="H766">
        <v>3E+20</v>
      </c>
      <c r="I766">
        <v>0</v>
      </c>
      <c r="J766">
        <v>8</v>
      </c>
      <c r="K766">
        <v>5</v>
      </c>
      <c r="L766">
        <v>0</v>
      </c>
      <c r="M766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766" cm="1">
        <f t="array" ref="N766">MAX(IF((ProjectInfoTable[ProjectName]=ContinuousStatsTable[[#This Row],[ProjectName]]),(ProjectInfoTable[ProjectName]=ContinuousStatsTable[[#This Row],[ProjectName]])*ProjectInfoTable[NumberOfReplications]))</f>
        <v>10</v>
      </c>
      <c r="O766" cm="1">
        <f t="array" ref="O766">IFERROR(AVERAGE(IF((ContinuousStatsTable[GroupByKey]=ContinuousStatsTable[[#This Row],[GroupByKey]]),(ContinuousStatsTable[GroupByKey]=ContinuousStatsTable[[#This Row],[GroupByKey]])*ContinuousStatsTable[Average])),0)</f>
        <v>2.7938165767457108</v>
      </c>
      <c r="P766" cm="1">
        <f t="array" ref="P766">IFERROR(_xlfn.STDEV.S(IF((ContinuousStatsTable[GroupByKey]=ContinuousStatsTable[[#This Row],[GroupByKey]]),(ContinuousStatsTable[GroupByKey]=ContinuousStatsTable[[#This Row],[GroupByKey]])*ContinuousStatsTable[Average])),0)</f>
        <v>0.37107770243484822</v>
      </c>
      <c r="Q766" cm="1">
        <f t="array" ref="Q766">MAX(IF((ProjectInfoTable[ProjectName]=ContinuousStatsTable[[#This Row],[ProjectName]]),(ProjectInfoTable[ProjectName]=ContinuousStatsTable[[#This Row],[ProjectName]])*ProjectInfoTable[ConfidenceInterval]))</f>
        <v>0.95</v>
      </c>
      <c r="R7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0.26545299708849601</v>
      </c>
      <c r="S766" cm="1">
        <f t="array" ref="S766">MIN(IF((ContinuousStatsTable[GroupByKey]=ContinuousStatsTable[[#This Row],[GroupByKey]]),(ContinuousStatsTable[GroupByKey]=ContinuousStatsTable[[#This Row],[GroupByKey]])*ContinuousStatsTable[Average]))</f>
        <v>2.05988155680273</v>
      </c>
      <c r="T766" cm="1">
        <f t="array" ref="T766">MAX(IF((ContinuousStatsTable[GroupByKey]=ContinuousStatsTable[[#This Row],[GroupByKey]]),(ContinuousStatsTable[GroupByKey]=ContinuousStatsTable[[#This Row],[GroupByKey]])*ContinuousStatsTable[Average]))</f>
        <v>3.2132100714910901</v>
      </c>
      <c r="U766">
        <f>IF((ContinuousStatsTable[[#This Row],[RepsRequested]]&gt;1),ContinuousStatsTable[[#This Row],[HalfWidth]],ContinuousStatsTable[[#This Row],[BatchMeansHalfWidth]])</f>
        <v>0.26545299708849601</v>
      </c>
    </row>
    <row r="767" spans="1:21" x14ac:dyDescent="0.25">
      <c r="A767" t="s">
        <v>67</v>
      </c>
      <c r="B767" t="s">
        <v>243</v>
      </c>
      <c r="C767">
        <v>10</v>
      </c>
      <c r="D767" t="s">
        <v>111</v>
      </c>
      <c r="E767" t="s">
        <v>112</v>
      </c>
      <c r="F767" t="s">
        <v>113</v>
      </c>
      <c r="G767">
        <v>3.6177689828441002E-2</v>
      </c>
      <c r="H767">
        <v>3E+20</v>
      </c>
      <c r="I767">
        <v>0</v>
      </c>
      <c r="J767">
        <v>1</v>
      </c>
      <c r="K767">
        <v>1</v>
      </c>
      <c r="L767">
        <v>0</v>
      </c>
      <c r="M767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767" cm="1">
        <f t="array" ref="N767">MAX(IF((ProjectInfoTable[ProjectName]=ContinuousStatsTable[[#This Row],[ProjectName]]),(ProjectInfoTable[ProjectName]=ContinuousStatsTable[[#This Row],[ProjectName]])*ProjectInfoTable[NumberOfReplications]))</f>
        <v>10</v>
      </c>
      <c r="O767" cm="1">
        <f t="array" ref="O767">IFERROR(AVERAGE(IF((ContinuousStatsTable[GroupByKey]=ContinuousStatsTable[[#This Row],[GroupByKey]]),(ContinuousStatsTable[GroupByKey]=ContinuousStatsTable[[#This Row],[GroupByKey]])*ContinuousStatsTable[Average])),0)</f>
        <v>3.6074566243936998E-2</v>
      </c>
      <c r="P767" cm="1">
        <f t="array" ref="P767">IFERROR(_xlfn.STDEV.S(IF((ContinuousStatsTable[GroupByKey]=ContinuousStatsTable[[#This Row],[GroupByKey]]),(ContinuousStatsTable[GroupByKey]=ContinuousStatsTable[[#This Row],[GroupByKey]])*ContinuousStatsTable[Average])),0)</f>
        <v>6.6761681626786623E-5</v>
      </c>
      <c r="Q767" cm="1">
        <f t="array" ref="Q767">MAX(IF((ProjectInfoTable[ProjectName]=ContinuousStatsTable[[#This Row],[ProjectName]]),(ProjectInfoTable[ProjectName]=ContinuousStatsTable[[#This Row],[ProjectName]])*ProjectInfoTable[ConfidenceInterval]))</f>
        <v>0.95</v>
      </c>
      <c r="R7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4.7758430005936653E-5</v>
      </c>
      <c r="S767" cm="1">
        <f t="array" ref="S767">MIN(IF((ContinuousStatsTable[GroupByKey]=ContinuousStatsTable[[#This Row],[GroupByKey]]),(ContinuousStatsTable[GroupByKey]=ContinuousStatsTable[[#This Row],[GroupByKey]])*ContinuousStatsTable[Average]))</f>
        <v>3.5941735992799297E-2</v>
      </c>
      <c r="T767" cm="1">
        <f t="array" ref="T767">MAX(IF((ContinuousStatsTable[GroupByKey]=ContinuousStatsTable[[#This Row],[GroupByKey]]),(ContinuousStatsTable[GroupByKey]=ContinuousStatsTable[[#This Row],[GroupByKey]])*ContinuousStatsTable[Average]))</f>
        <v>3.6177689828441002E-2</v>
      </c>
      <c r="U767">
        <f>IF((ContinuousStatsTable[[#This Row],[RepsRequested]]&gt;1),ContinuousStatsTable[[#This Row],[HalfWidth]],ContinuousStatsTable[[#This Row],[BatchMeansHalfWidth]])</f>
        <v>4.7758430005936653E-5</v>
      </c>
    </row>
    <row r="768" spans="1:21" x14ac:dyDescent="0.25">
      <c r="A768" t="s">
        <v>67</v>
      </c>
      <c r="B768" t="s">
        <v>243</v>
      </c>
      <c r="C768">
        <v>10</v>
      </c>
      <c r="D768" t="s">
        <v>111</v>
      </c>
      <c r="E768" t="s">
        <v>114</v>
      </c>
      <c r="F768" t="s">
        <v>113</v>
      </c>
      <c r="G768">
        <v>3.6177689828441002E-2</v>
      </c>
      <c r="H768">
        <v>3E+20</v>
      </c>
      <c r="I768">
        <v>0</v>
      </c>
      <c r="J768">
        <v>1</v>
      </c>
      <c r="K768">
        <v>1</v>
      </c>
      <c r="L768">
        <v>0</v>
      </c>
      <c r="M768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768" cm="1">
        <f t="array" ref="N768">MAX(IF((ProjectInfoTable[ProjectName]=ContinuousStatsTable[[#This Row],[ProjectName]]),(ProjectInfoTable[ProjectName]=ContinuousStatsTable[[#This Row],[ProjectName]])*ProjectInfoTable[NumberOfReplications]))</f>
        <v>10</v>
      </c>
      <c r="O768" cm="1">
        <f t="array" ref="O768">IFERROR(AVERAGE(IF((ContinuousStatsTable[GroupByKey]=ContinuousStatsTable[[#This Row],[GroupByKey]]),(ContinuousStatsTable[GroupByKey]=ContinuousStatsTable[[#This Row],[GroupByKey]])*ContinuousStatsTable[Average])),0)</f>
        <v>3.6074566243937005E-2</v>
      </c>
      <c r="P768" cm="1">
        <f t="array" ref="P768">IFERROR(_xlfn.STDEV.S(IF((ContinuousStatsTable[GroupByKey]=ContinuousStatsTable[[#This Row],[GroupByKey]]),(ContinuousStatsTable[GroupByKey]=ContinuousStatsTable[[#This Row],[GroupByKey]])*ContinuousStatsTable[Average])),0)</f>
        <v>6.6761681626785268E-5</v>
      </c>
      <c r="Q768" cm="1">
        <f t="array" ref="Q768">MAX(IF((ProjectInfoTable[ProjectName]=ContinuousStatsTable[[#This Row],[ProjectName]]),(ProjectInfoTable[ProjectName]=ContinuousStatsTable[[#This Row],[ProjectName]])*ProjectInfoTable[ConfidenceInterval]))</f>
        <v>0.95</v>
      </c>
      <c r="R7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4.7758430005935684E-5</v>
      </c>
      <c r="S768" cm="1">
        <f t="array" ref="S768">MIN(IF((ContinuousStatsTable[GroupByKey]=ContinuousStatsTable[[#This Row],[GroupByKey]]),(ContinuousStatsTable[GroupByKey]=ContinuousStatsTable[[#This Row],[GroupByKey]])*ContinuousStatsTable[Average]))</f>
        <v>3.5941735992799297E-2</v>
      </c>
      <c r="T768" cm="1">
        <f t="array" ref="T768">MAX(IF((ContinuousStatsTable[GroupByKey]=ContinuousStatsTable[[#This Row],[GroupByKey]]),(ContinuousStatsTable[GroupByKey]=ContinuousStatsTable[[#This Row],[GroupByKey]])*ContinuousStatsTable[Average]))</f>
        <v>3.6177689828441002E-2</v>
      </c>
      <c r="U768">
        <f>IF((ContinuousStatsTable[[#This Row],[RepsRequested]]&gt;1),ContinuousStatsTable[[#This Row],[HalfWidth]],ContinuousStatsTable[[#This Row],[BatchMeansHalfWidth]])</f>
        <v>4.7758430005935684E-5</v>
      </c>
    </row>
    <row r="769" spans="1:21" x14ac:dyDescent="0.25">
      <c r="A769" t="s">
        <v>67</v>
      </c>
      <c r="B769" t="s">
        <v>243</v>
      </c>
      <c r="C769">
        <v>10</v>
      </c>
      <c r="D769" t="s">
        <v>111</v>
      </c>
      <c r="E769" t="s">
        <v>115</v>
      </c>
      <c r="F769" t="s">
        <v>113</v>
      </c>
      <c r="G769">
        <v>0.476190476190476</v>
      </c>
      <c r="H769">
        <v>2E+20</v>
      </c>
      <c r="I769">
        <v>0</v>
      </c>
      <c r="J769">
        <v>1</v>
      </c>
      <c r="K769">
        <v>1</v>
      </c>
      <c r="L769">
        <v>0</v>
      </c>
      <c r="M769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769" cm="1">
        <f t="array" ref="N769">MAX(IF((ProjectInfoTable[ProjectName]=ContinuousStatsTable[[#This Row],[ProjectName]]),(ProjectInfoTable[ProjectName]=ContinuousStatsTable[[#This Row],[ProjectName]])*ProjectInfoTable[NumberOfReplications]))</f>
        <v>10</v>
      </c>
      <c r="O769" cm="1">
        <f t="array" ref="O76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769" cm="1">
        <f t="array" ref="P769">IFERROR(_xlfn.STDEV.S(IF((ContinuousStatsTable[GroupByKey]=ContinuousStatsTable[[#This Row],[GroupByKey]]),(ContinuousStatsTable[GroupByKey]=ContinuousStatsTable[[#This Row],[GroupByKey]])*ContinuousStatsTable[Average])),0)</f>
        <v>0</v>
      </c>
      <c r="Q769" cm="1">
        <f t="array" ref="Q769">MAX(IF((ProjectInfoTable[ProjectName]=ContinuousStatsTable[[#This Row],[ProjectName]]),(ProjectInfoTable[ProjectName]=ContinuousStatsTable[[#This Row],[ProjectName]])*ProjectInfoTable[ConfidenceInterval]))</f>
        <v>0.95</v>
      </c>
      <c r="R7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9" cm="1">
        <f t="array" ref="S769">MIN(IF((ContinuousStatsTable[GroupByKey]=ContinuousStatsTable[[#This Row],[GroupByKey]]),(ContinuousStatsTable[GroupByKey]=ContinuousStatsTable[[#This Row],[GroupByKey]])*ContinuousStatsTable[Average]))</f>
        <v>0.476190476190476</v>
      </c>
      <c r="T769" cm="1">
        <f t="array" ref="T769">MAX(IF((ContinuousStatsTable[GroupByKey]=ContinuousStatsTable[[#This Row],[GroupByKey]]),(ContinuousStatsTable[GroupByKey]=ContinuousStatsTable[[#This Row],[GroupByKey]])*ContinuousStatsTable[Average]))</f>
        <v>0.476190476190476</v>
      </c>
      <c r="U769">
        <f>IF((ContinuousStatsTable[[#This Row],[RepsRequested]]&gt;1),ContinuousStatsTable[[#This Row],[HalfWidth]],ContinuousStatsTable[[#This Row],[BatchMeansHalfWidth]])</f>
        <v>0</v>
      </c>
    </row>
    <row r="770" spans="1:21" x14ac:dyDescent="0.25">
      <c r="A770" t="s">
        <v>67</v>
      </c>
      <c r="B770" t="s">
        <v>243</v>
      </c>
      <c r="C770">
        <v>10</v>
      </c>
      <c r="D770" t="s">
        <v>70</v>
      </c>
      <c r="E770" t="s">
        <v>116</v>
      </c>
      <c r="F770" t="s">
        <v>71</v>
      </c>
      <c r="G770">
        <v>1.84322970756967</v>
      </c>
      <c r="H770">
        <v>3E+20</v>
      </c>
      <c r="I770">
        <v>0</v>
      </c>
      <c r="J770">
        <v>5</v>
      </c>
      <c r="K770">
        <v>1</v>
      </c>
      <c r="L770">
        <v>0</v>
      </c>
      <c r="M770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770" cm="1">
        <f t="array" ref="N770">MAX(IF((ProjectInfoTable[ProjectName]=ContinuousStatsTable[[#This Row],[ProjectName]]),(ProjectInfoTable[ProjectName]=ContinuousStatsTable[[#This Row],[ProjectName]])*ProjectInfoTable[NumberOfReplications]))</f>
        <v>10</v>
      </c>
      <c r="O770" cm="1">
        <f t="array" ref="O770">IFERROR(AVERAGE(IF((ContinuousStatsTable[GroupByKey]=ContinuousStatsTable[[#This Row],[GroupByKey]]),(ContinuousStatsTable[GroupByKey]=ContinuousStatsTable[[#This Row],[GroupByKey]])*ContinuousStatsTable[Average])),0)</f>
        <v>1.983224619189873</v>
      </c>
      <c r="P770" cm="1">
        <f t="array" ref="P770">IFERROR(_xlfn.STDEV.S(IF((ContinuousStatsTable[GroupByKey]=ContinuousStatsTable[[#This Row],[GroupByKey]]),(ContinuousStatsTable[GroupByKey]=ContinuousStatsTable[[#This Row],[GroupByKey]])*ContinuousStatsTable[Average])),0)</f>
        <v>0.29990249131557767</v>
      </c>
      <c r="Q770" cm="1">
        <f t="array" ref="Q770">MAX(IF((ProjectInfoTable[ProjectName]=ContinuousStatsTable[[#This Row],[ProjectName]]),(ProjectInfoTable[ProjectName]=ContinuousStatsTable[[#This Row],[ProjectName]])*ProjectInfoTable[ConfidenceInterval]))</f>
        <v>0.95</v>
      </c>
      <c r="R7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0.21453731828040576</v>
      </c>
      <c r="S770" cm="1">
        <f t="array" ref="S770">MIN(IF((ContinuousStatsTable[GroupByKey]=ContinuousStatsTable[[#This Row],[GroupByKey]]),(ContinuousStatsTable[GroupByKey]=ContinuousStatsTable[[#This Row],[GroupByKey]])*ContinuousStatsTable[Average]))</f>
        <v>1.4478959937017499</v>
      </c>
      <c r="T770" cm="1">
        <f t="array" ref="T770">MAX(IF((ContinuousStatsTable[GroupByKey]=ContinuousStatsTable[[#This Row],[GroupByKey]]),(ContinuousStatsTable[GroupByKey]=ContinuousStatsTable[[#This Row],[GroupByKey]])*ContinuousStatsTable[Average]))</f>
        <v>2.3267973127516899</v>
      </c>
      <c r="U770">
        <f>IF((ContinuousStatsTable[[#This Row],[RepsRequested]]&gt;1),ContinuousStatsTable[[#This Row],[HalfWidth]],ContinuousStatsTable[[#This Row],[BatchMeansHalfWidth]])</f>
        <v>0.21453731828040576</v>
      </c>
    </row>
    <row r="771" spans="1:21" x14ac:dyDescent="0.25">
      <c r="A771" t="s">
        <v>67</v>
      </c>
      <c r="B771" t="s">
        <v>243</v>
      </c>
      <c r="C771">
        <v>10</v>
      </c>
      <c r="D771" t="s">
        <v>73</v>
      </c>
      <c r="E771" t="s">
        <v>116</v>
      </c>
      <c r="F771" t="s">
        <v>71</v>
      </c>
      <c r="G771">
        <v>0.33897923092590798</v>
      </c>
      <c r="H771">
        <v>3E+20</v>
      </c>
      <c r="I771">
        <v>0</v>
      </c>
      <c r="J771">
        <v>2</v>
      </c>
      <c r="K771">
        <v>0</v>
      </c>
      <c r="L771">
        <v>0</v>
      </c>
      <c r="M771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771" cm="1">
        <f t="array" ref="N771">MAX(IF((ProjectInfoTable[ProjectName]=ContinuousStatsTable[[#This Row],[ProjectName]]),(ProjectInfoTable[ProjectName]=ContinuousStatsTable[[#This Row],[ProjectName]])*ProjectInfoTable[NumberOfReplications]))</f>
        <v>10</v>
      </c>
      <c r="O771" cm="1">
        <f t="array" ref="O771">IFERROR(AVERAGE(IF((ContinuousStatsTable[GroupByKey]=ContinuousStatsTable[[#This Row],[GroupByKey]]),(ContinuousStatsTable[GroupByKey]=ContinuousStatsTable[[#This Row],[GroupByKey]])*ContinuousStatsTable[Average])),0)</f>
        <v>0.47900820660242172</v>
      </c>
      <c r="P771" cm="1">
        <f t="array" ref="P771">IFERROR(_xlfn.STDEV.S(IF((ContinuousStatsTable[GroupByKey]=ContinuousStatsTable[[#This Row],[GroupByKey]]),(ContinuousStatsTable[GroupByKey]=ContinuousStatsTable[[#This Row],[GroupByKey]])*ContinuousStatsTable[Average])),0)</f>
        <v>0.13717282935395095</v>
      </c>
      <c r="Q771" cm="1">
        <f t="array" ref="Q771">MAX(IF((ProjectInfoTable[ProjectName]=ContinuousStatsTable[[#This Row],[ProjectName]]),(ProjectInfoTable[ProjectName]=ContinuousStatsTable[[#This Row],[ProjectName]])*ProjectInfoTable[ConfidenceInterval]))</f>
        <v>0.95</v>
      </c>
      <c r="R7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9.8127530789884315E-2</v>
      </c>
      <c r="S771" cm="1">
        <f t="array" ref="S771">MIN(IF((ContinuousStatsTable[GroupByKey]=ContinuousStatsTable[[#This Row],[GroupByKey]]),(ContinuousStatsTable[GroupByKey]=ContinuousStatsTable[[#This Row],[GroupByKey]])*ContinuousStatsTable[Average]))</f>
        <v>0.25584390949740998</v>
      </c>
      <c r="T771" cm="1">
        <f t="array" ref="T771">MAX(IF((ContinuousStatsTable[GroupByKey]=ContinuousStatsTable[[#This Row],[GroupByKey]]),(ContinuousStatsTable[GroupByKey]=ContinuousStatsTable[[#This Row],[GroupByKey]])*ContinuousStatsTable[Average]))</f>
        <v>0.66613303676888702</v>
      </c>
      <c r="U771">
        <f>IF((ContinuousStatsTable[[#This Row],[RepsRequested]]&gt;1),ContinuousStatsTable[[#This Row],[HalfWidth]],ContinuousStatsTable[[#This Row],[BatchMeansHalfWidth]])</f>
        <v>9.8127530789884315E-2</v>
      </c>
    </row>
    <row r="772" spans="1:21" x14ac:dyDescent="0.25">
      <c r="A772" t="s">
        <v>67</v>
      </c>
      <c r="B772" t="s">
        <v>243</v>
      </c>
      <c r="C772">
        <v>10</v>
      </c>
      <c r="D772" t="s">
        <v>74</v>
      </c>
      <c r="E772" t="s">
        <v>116</v>
      </c>
      <c r="F772" t="s">
        <v>71</v>
      </c>
      <c r="G772">
        <v>0.344960112655189</v>
      </c>
      <c r="H772">
        <v>3E+20</v>
      </c>
      <c r="I772">
        <v>0</v>
      </c>
      <c r="J772">
        <v>2</v>
      </c>
      <c r="K772">
        <v>1</v>
      </c>
      <c r="L772">
        <v>0</v>
      </c>
      <c r="M772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772" cm="1">
        <f t="array" ref="N772">MAX(IF((ProjectInfoTable[ProjectName]=ContinuousStatsTable[[#This Row],[ProjectName]]),(ProjectInfoTable[ProjectName]=ContinuousStatsTable[[#This Row],[ProjectName]])*ProjectInfoTable[NumberOfReplications]))</f>
        <v>10</v>
      </c>
      <c r="O772" cm="1">
        <f t="array" ref="O772">IFERROR(AVERAGE(IF((ContinuousStatsTable[GroupByKey]=ContinuousStatsTable[[#This Row],[GroupByKey]]),(ContinuousStatsTable[GroupByKey]=ContinuousStatsTable[[#This Row],[GroupByKey]])*ContinuousStatsTable[Average])),0)</f>
        <v>0.41775820490048837</v>
      </c>
      <c r="P772" cm="1">
        <f t="array" ref="P772">IFERROR(_xlfn.STDEV.S(IF((ContinuousStatsTable[GroupByKey]=ContinuousStatsTable[[#This Row],[GroupByKey]]),(ContinuousStatsTable[GroupByKey]=ContinuousStatsTable[[#This Row],[GroupByKey]])*ContinuousStatsTable[Average])),0)</f>
        <v>0.15099462697666188</v>
      </c>
      <c r="Q772" cm="1">
        <f t="array" ref="Q772">MAX(IF((ProjectInfoTable[ProjectName]=ContinuousStatsTable[[#This Row],[ProjectName]]),(ProjectInfoTable[ProjectName]=ContinuousStatsTable[[#This Row],[ProjectName]])*ProjectInfoTable[ConfidenceInterval]))</f>
        <v>0.95</v>
      </c>
      <c r="R7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0.1080150491722195</v>
      </c>
      <c r="S772" cm="1">
        <f t="array" ref="S772">MIN(IF((ContinuousStatsTable[GroupByKey]=ContinuousStatsTable[[#This Row],[GroupByKey]]),(ContinuousStatsTable[GroupByKey]=ContinuousStatsTable[[#This Row],[GroupByKey]])*ContinuousStatsTable[Average]))</f>
        <v>0.25632285648643699</v>
      </c>
      <c r="T772" cm="1">
        <f t="array" ref="T772">MAX(IF((ContinuousStatsTable[GroupByKey]=ContinuousStatsTable[[#This Row],[GroupByKey]]),(ContinuousStatsTable[GroupByKey]=ContinuousStatsTable[[#This Row],[GroupByKey]])*ContinuousStatsTable[Average]))</f>
        <v>0.68422762922173497</v>
      </c>
      <c r="U772">
        <f>IF((ContinuousStatsTable[[#This Row],[RepsRequested]]&gt;1),ContinuousStatsTable[[#This Row],[HalfWidth]],ContinuousStatsTable[[#This Row],[BatchMeansHalfWidth]])</f>
        <v>0.1080150491722195</v>
      </c>
    </row>
    <row r="773" spans="1:21" x14ac:dyDescent="0.25">
      <c r="A773" t="s">
        <v>67</v>
      </c>
      <c r="B773" t="s">
        <v>243</v>
      </c>
      <c r="C773">
        <v>10</v>
      </c>
      <c r="D773" t="s">
        <v>75</v>
      </c>
      <c r="E773" t="s">
        <v>117</v>
      </c>
      <c r="F773" t="s">
        <v>76</v>
      </c>
      <c r="G773">
        <v>17.735004160111099</v>
      </c>
      <c r="H773">
        <v>2E+20</v>
      </c>
      <c r="I773">
        <v>0</v>
      </c>
      <c r="J773">
        <v>116</v>
      </c>
      <c r="K773">
        <v>0</v>
      </c>
      <c r="L773">
        <v>0</v>
      </c>
      <c r="M77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3" cm="1">
        <f t="array" ref="N773">MAX(IF((ProjectInfoTable[ProjectName]=ContinuousStatsTable[[#This Row],[ProjectName]]),(ProjectInfoTable[ProjectName]=ContinuousStatsTable[[#This Row],[ProjectName]])*ProjectInfoTable[NumberOfReplications]))</f>
        <v>10</v>
      </c>
      <c r="O773" cm="1">
        <f t="array" ref="O773">IFERROR(AVERAGE(IF((ContinuousStatsTable[GroupByKey]=ContinuousStatsTable[[#This Row],[GroupByKey]]),(ContinuousStatsTable[GroupByKey]=ContinuousStatsTable[[#This Row],[GroupByKey]])*ContinuousStatsTable[Average])),0)</f>
        <v>17.583529006307167</v>
      </c>
      <c r="P773" cm="1">
        <f t="array" ref="P773">IFERROR(_xlfn.STDEV.S(IF((ContinuousStatsTable[GroupByKey]=ContinuousStatsTable[[#This Row],[GroupByKey]]),(ContinuousStatsTable[GroupByKey]=ContinuousStatsTable[[#This Row],[GroupByKey]])*ContinuousStatsTable[Average])),0)</f>
        <v>4.1660214616007023</v>
      </c>
      <c r="Q773" cm="1">
        <f t="array" ref="Q773">MAX(IF((ProjectInfoTable[ProjectName]=ContinuousStatsTable[[#This Row],[ProjectName]]),(ProjectInfoTable[ProjectName]=ContinuousStatsTable[[#This Row],[ProjectName]])*ProjectInfoTable[ConfidenceInterval]))</f>
        <v>0.95</v>
      </c>
      <c r="R7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2.9801922229780646</v>
      </c>
      <c r="S773" cm="1">
        <f t="array" ref="S773">MIN(IF((ContinuousStatsTable[GroupByKey]=ContinuousStatsTable[[#This Row],[GroupByKey]]),(ContinuousStatsTable[GroupByKey]=ContinuousStatsTable[[#This Row],[GroupByKey]])*ContinuousStatsTable[Average]))</f>
        <v>10.842462759184199</v>
      </c>
      <c r="T773" cm="1">
        <f t="array" ref="T773">MAX(IF((ContinuousStatsTable[GroupByKey]=ContinuousStatsTable[[#This Row],[GroupByKey]]),(ContinuousStatsTable[GroupByKey]=ContinuousStatsTable[[#This Row],[GroupByKey]])*ContinuousStatsTable[Average]))</f>
        <v>25.8699848535447</v>
      </c>
      <c r="U773">
        <f>IF((ContinuousStatsTable[[#This Row],[RepsRequested]]&gt;1),ContinuousStatsTable[[#This Row],[HalfWidth]],ContinuousStatsTable[[#This Row],[BatchMeansHalfWidth]])</f>
        <v>2.9801922229780646</v>
      </c>
    </row>
    <row r="774" spans="1:21" x14ac:dyDescent="0.25">
      <c r="A774" t="s">
        <v>67</v>
      </c>
      <c r="B774" t="s">
        <v>243</v>
      </c>
      <c r="C774">
        <v>10</v>
      </c>
      <c r="D774" t="s">
        <v>118</v>
      </c>
      <c r="E774" t="s">
        <v>117</v>
      </c>
      <c r="F774" t="s">
        <v>76</v>
      </c>
      <c r="G774">
        <v>101.740009668282</v>
      </c>
      <c r="H774">
        <v>3E+20</v>
      </c>
      <c r="I774">
        <v>0</v>
      </c>
      <c r="J774">
        <v>193</v>
      </c>
      <c r="K774">
        <v>193</v>
      </c>
      <c r="L774">
        <v>0</v>
      </c>
      <c r="M774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774" cm="1">
        <f t="array" ref="N774">MAX(IF((ProjectInfoTable[ProjectName]=ContinuousStatsTable[[#This Row],[ProjectName]]),(ProjectInfoTable[ProjectName]=ContinuousStatsTable[[#This Row],[ProjectName]])*ProjectInfoTable[NumberOfReplications]))</f>
        <v>10</v>
      </c>
      <c r="O774" cm="1">
        <f t="array" ref="O774">IFERROR(AVERAGE(IF((ContinuousStatsTable[GroupByKey]=ContinuousStatsTable[[#This Row],[GroupByKey]]),(ContinuousStatsTable[GroupByKey]=ContinuousStatsTable[[#This Row],[GroupByKey]])*ContinuousStatsTable[Average])),0)</f>
        <v>95.041511376368575</v>
      </c>
      <c r="P774" cm="1">
        <f t="array" ref="P774">IFERROR(_xlfn.STDEV.S(IF((ContinuousStatsTable[GroupByKey]=ContinuousStatsTable[[#This Row],[GroupByKey]]),(ContinuousStatsTable[GroupByKey]=ContinuousStatsTable[[#This Row],[GroupByKey]])*ContinuousStatsTable[Average])),0)</f>
        <v>6.556289254191463</v>
      </c>
      <c r="Q774" cm="1">
        <f t="array" ref="Q774">MAX(IF((ProjectInfoTable[ProjectName]=ContinuousStatsTable[[#This Row],[ProjectName]]),(ProjectInfoTable[ProjectName]=ContinuousStatsTable[[#This Row],[ProjectName]])*ProjectInfoTable[ConfidenceInterval]))</f>
        <v>0.95</v>
      </c>
      <c r="R7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4.6900867955271215</v>
      </c>
      <c r="S774" cm="1">
        <f t="array" ref="S774">MIN(IF((ContinuousStatsTable[GroupByKey]=ContinuousStatsTable[[#This Row],[GroupByKey]]),(ContinuousStatsTable[GroupByKey]=ContinuousStatsTable[[#This Row],[GroupByKey]])*ContinuousStatsTable[Average]))</f>
        <v>81.860988802888798</v>
      </c>
      <c r="T774" cm="1">
        <f t="array" ref="T774">MAX(IF((ContinuousStatsTable[GroupByKey]=ContinuousStatsTable[[#This Row],[GroupByKey]]),(ContinuousStatsTable[GroupByKey]=ContinuousStatsTable[[#This Row],[GroupByKey]])*ContinuousStatsTable[Average]))</f>
        <v>104.034812219697</v>
      </c>
      <c r="U774">
        <f>IF((ContinuousStatsTable[[#This Row],[RepsRequested]]&gt;1),ContinuousStatsTable[[#This Row],[HalfWidth]],ContinuousStatsTable[[#This Row],[BatchMeansHalfWidth]])</f>
        <v>4.6900867955271215</v>
      </c>
    </row>
    <row r="775" spans="1:21" x14ac:dyDescent="0.25">
      <c r="A775" t="s">
        <v>67</v>
      </c>
      <c r="B775" t="s">
        <v>243</v>
      </c>
      <c r="C775">
        <v>10</v>
      </c>
      <c r="D775" t="s">
        <v>119</v>
      </c>
      <c r="E775" t="s">
        <v>117</v>
      </c>
      <c r="F775" t="s">
        <v>76</v>
      </c>
      <c r="G775">
        <v>958.91659787825904</v>
      </c>
      <c r="H775">
        <v>3E+20</v>
      </c>
      <c r="I775">
        <v>0</v>
      </c>
      <c r="J775">
        <v>1853</v>
      </c>
      <c r="K775">
        <v>1853</v>
      </c>
      <c r="L775">
        <v>0</v>
      </c>
      <c r="M775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775" cm="1">
        <f t="array" ref="N775">MAX(IF((ProjectInfoTable[ProjectName]=ContinuousStatsTable[[#This Row],[ProjectName]]),(ProjectInfoTable[ProjectName]=ContinuousStatsTable[[#This Row],[ProjectName]])*ProjectInfoTable[NumberOfReplications]))</f>
        <v>10</v>
      </c>
      <c r="O775" cm="1">
        <f t="array" ref="O775">IFERROR(AVERAGE(IF((ContinuousStatsTable[GroupByKey]=ContinuousStatsTable[[#This Row],[GroupByKey]]),(ContinuousStatsTable[GroupByKey]=ContinuousStatsTable[[#This Row],[GroupByKey]])*ContinuousStatsTable[Average])),0)</f>
        <v>959.25249800465133</v>
      </c>
      <c r="P775" cm="1">
        <f t="array" ref="P775">IFERROR(_xlfn.STDEV.S(IF((ContinuousStatsTable[GroupByKey]=ContinuousStatsTable[[#This Row],[GroupByKey]]),(ContinuousStatsTable[GroupByKey]=ContinuousStatsTable[[#This Row],[GroupByKey]])*ContinuousStatsTable[Average])),0)</f>
        <v>16.228386811509871</v>
      </c>
      <c r="Q775" cm="1">
        <f t="array" ref="Q775">MAX(IF((ProjectInfoTable[ProjectName]=ContinuousStatsTable[[#This Row],[ProjectName]]),(ProjectInfoTable[ProjectName]=ContinuousStatsTable[[#This Row],[ProjectName]])*ProjectInfoTable[ConfidenceInterval]))</f>
        <v>0.95</v>
      </c>
      <c r="R7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11.609088578376843</v>
      </c>
      <c r="S775" cm="1">
        <f t="array" ref="S775">MIN(IF((ContinuousStatsTable[GroupByKey]=ContinuousStatsTable[[#This Row],[GroupByKey]]),(ContinuousStatsTable[GroupByKey]=ContinuousStatsTable[[#This Row],[GroupByKey]])*ContinuousStatsTable[Average]))</f>
        <v>935.21729677519602</v>
      </c>
      <c r="T775" cm="1">
        <f t="array" ref="T775">MAX(IF((ContinuousStatsTable[GroupByKey]=ContinuousStatsTable[[#This Row],[GroupByKey]]),(ContinuousStatsTable[GroupByKey]=ContinuousStatsTable[[#This Row],[GroupByKey]])*ContinuousStatsTable[Average]))</f>
        <v>986.61029939527498</v>
      </c>
      <c r="U775">
        <f>IF((ContinuousStatsTable[[#This Row],[RepsRequested]]&gt;1),ContinuousStatsTable[[#This Row],[HalfWidth]],ContinuousStatsTable[[#This Row],[BatchMeansHalfWidth]])</f>
        <v>11.609088578376843</v>
      </c>
    </row>
    <row r="776" spans="1:21" x14ac:dyDescent="0.25">
      <c r="A776" t="s">
        <v>67</v>
      </c>
      <c r="B776" t="s">
        <v>243</v>
      </c>
      <c r="C776">
        <v>10</v>
      </c>
      <c r="D776" t="s">
        <v>120</v>
      </c>
      <c r="E776" t="s">
        <v>117</v>
      </c>
      <c r="F776" t="s">
        <v>76</v>
      </c>
      <c r="G776">
        <v>4207.2753748662199</v>
      </c>
      <c r="H776">
        <v>3E+20</v>
      </c>
      <c r="I776">
        <v>0</v>
      </c>
      <c r="J776">
        <v>8121</v>
      </c>
      <c r="K776">
        <v>8121</v>
      </c>
      <c r="L776">
        <v>0</v>
      </c>
      <c r="M776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776" cm="1">
        <f t="array" ref="N776">MAX(IF((ProjectInfoTable[ProjectName]=ContinuousStatsTable[[#This Row],[ProjectName]]),(ProjectInfoTable[ProjectName]=ContinuousStatsTable[[#This Row],[ProjectName]])*ProjectInfoTable[NumberOfReplications]))</f>
        <v>10</v>
      </c>
      <c r="O776" cm="1">
        <f t="array" ref="O776">IFERROR(AVERAGE(IF((ContinuousStatsTable[GroupByKey]=ContinuousStatsTable[[#This Row],[GroupByKey]]),(ContinuousStatsTable[GroupByKey]=ContinuousStatsTable[[#This Row],[GroupByKey]])*ContinuousStatsTable[Average])),0)</f>
        <v>4203.5615331875215</v>
      </c>
      <c r="P776" cm="1">
        <f t="array" ref="P776">IFERROR(_xlfn.STDEV.S(IF((ContinuousStatsTable[GroupByKey]=ContinuousStatsTable[[#This Row],[GroupByKey]]),(ContinuousStatsTable[GroupByKey]=ContinuousStatsTable[[#This Row],[GroupByKey]])*ContinuousStatsTable[Average])),0)</f>
        <v>17.695322227060075</v>
      </c>
      <c r="Q776" cm="1">
        <f t="array" ref="Q776">MAX(IF((ProjectInfoTable[ProjectName]=ContinuousStatsTable[[#This Row],[ProjectName]]),(ProjectInfoTable[ProjectName]=ContinuousStatsTable[[#This Row],[ProjectName]])*ProjectInfoTable[ConfidenceInterval]))</f>
        <v>0.95</v>
      </c>
      <c r="R7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12.658470958503626</v>
      </c>
      <c r="S776" cm="1">
        <f t="array" ref="S776">MIN(IF((ContinuousStatsTable[GroupByKey]=ContinuousStatsTable[[#This Row],[GroupByKey]]),(ContinuousStatsTable[GroupByKey]=ContinuousStatsTable[[#This Row],[GroupByKey]])*ContinuousStatsTable[Average]))</f>
        <v>4170.1494074333395</v>
      </c>
      <c r="T776" cm="1">
        <f t="array" ref="T776">MAX(IF((ContinuousStatsTable[GroupByKey]=ContinuousStatsTable[[#This Row],[GroupByKey]]),(ContinuousStatsTable[GroupByKey]=ContinuousStatsTable[[#This Row],[GroupByKey]])*ContinuousStatsTable[Average]))</f>
        <v>4233.0569788620896</v>
      </c>
      <c r="U776">
        <f>IF((ContinuousStatsTable[[#This Row],[RepsRequested]]&gt;1),ContinuousStatsTable[[#This Row],[HalfWidth]],ContinuousStatsTable[[#This Row],[BatchMeansHalfWidth]])</f>
        <v>12.658470958503626</v>
      </c>
    </row>
    <row r="777" spans="1:21" x14ac:dyDescent="0.25">
      <c r="A777" t="s">
        <v>67</v>
      </c>
      <c r="B777" t="s">
        <v>243</v>
      </c>
      <c r="C777">
        <v>10</v>
      </c>
      <c r="D777" t="s">
        <v>121</v>
      </c>
      <c r="E777" t="s">
        <v>112</v>
      </c>
      <c r="F777" t="s">
        <v>113</v>
      </c>
      <c r="G777">
        <v>0.550753639344426</v>
      </c>
      <c r="H777">
        <v>3E+20</v>
      </c>
      <c r="I777">
        <v>0</v>
      </c>
      <c r="J777">
        <v>1</v>
      </c>
      <c r="K777">
        <v>1</v>
      </c>
      <c r="L777">
        <v>0</v>
      </c>
      <c r="M777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777" cm="1">
        <f t="array" ref="N777">MAX(IF((ProjectInfoTable[ProjectName]=ContinuousStatsTable[[#This Row],[ProjectName]]),(ProjectInfoTable[ProjectName]=ContinuousStatsTable[[#This Row],[ProjectName]])*ProjectInfoTable[NumberOfReplications]))</f>
        <v>10</v>
      </c>
      <c r="O777" cm="1">
        <f t="array" ref="O777">IFERROR(AVERAGE(IF((ContinuousStatsTable[GroupByKey]=ContinuousStatsTable[[#This Row],[GroupByKey]]),(ContinuousStatsTable[GroupByKey]=ContinuousStatsTable[[#This Row],[GroupByKey]])*ContinuousStatsTable[Average])),0)</f>
        <v>0.48160620907873086</v>
      </c>
      <c r="P777" cm="1">
        <f t="array" ref="P777">IFERROR(_xlfn.STDEV.S(IF((ContinuousStatsTable[GroupByKey]=ContinuousStatsTable[[#This Row],[GroupByKey]]),(ContinuousStatsTable[GroupByKey]=ContinuousStatsTable[[#This Row],[GroupByKey]])*ContinuousStatsTable[Average])),0)</f>
        <v>8.6686321722355061E-2</v>
      </c>
      <c r="Q777" cm="1">
        <f t="array" ref="Q777">MAX(IF((ProjectInfoTable[ProjectName]=ContinuousStatsTable[[#This Row],[ProjectName]]),(ProjectInfoTable[ProjectName]=ContinuousStatsTable[[#This Row],[ProjectName]])*ProjectInfoTable[ConfidenceInterval]))</f>
        <v>0.95</v>
      </c>
      <c r="R7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6.2011658897281531E-2</v>
      </c>
      <c r="S777" cm="1">
        <f t="array" ref="S777">MIN(IF((ContinuousStatsTable[GroupByKey]=ContinuousStatsTable[[#This Row],[GroupByKey]]),(ContinuousStatsTable[GroupByKey]=ContinuousStatsTable[[#This Row],[GroupByKey]])*ContinuousStatsTable[Average]))</f>
        <v>0.292184201252493</v>
      </c>
      <c r="T777" cm="1">
        <f t="array" ref="T777">MAX(IF((ContinuousStatsTable[GroupByKey]=ContinuousStatsTable[[#This Row],[GroupByKey]]),(ContinuousStatsTable[GroupByKey]=ContinuousStatsTable[[#This Row],[GroupByKey]])*ContinuousStatsTable[Average]))</f>
        <v>0.57167989674475905</v>
      </c>
      <c r="U777">
        <f>IF((ContinuousStatsTable[[#This Row],[RepsRequested]]&gt;1),ContinuousStatsTable[[#This Row],[HalfWidth]],ContinuousStatsTable[[#This Row],[BatchMeansHalfWidth]])</f>
        <v>6.2011658897281531E-2</v>
      </c>
    </row>
    <row r="778" spans="1:21" x14ac:dyDescent="0.25">
      <c r="A778" t="s">
        <v>67</v>
      </c>
      <c r="B778" t="s">
        <v>243</v>
      </c>
      <c r="C778">
        <v>10</v>
      </c>
      <c r="D778" t="s">
        <v>121</v>
      </c>
      <c r="E778" t="s">
        <v>114</v>
      </c>
      <c r="F778" t="s">
        <v>113</v>
      </c>
      <c r="G778">
        <v>2.2030145573777</v>
      </c>
      <c r="H778">
        <v>3E+20</v>
      </c>
      <c r="I778">
        <v>0</v>
      </c>
      <c r="J778">
        <v>4</v>
      </c>
      <c r="K778">
        <v>4</v>
      </c>
      <c r="L778">
        <v>0</v>
      </c>
      <c r="M778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778" cm="1">
        <f t="array" ref="N778">MAX(IF((ProjectInfoTable[ProjectName]=ContinuousStatsTable[[#This Row],[ProjectName]]),(ProjectInfoTable[ProjectName]=ContinuousStatsTable[[#This Row],[ProjectName]])*ProjectInfoTable[NumberOfReplications]))</f>
        <v>10</v>
      </c>
      <c r="O778" cm="1">
        <f t="array" ref="O778">IFERROR(AVERAGE(IF((ContinuousStatsTable[GroupByKey]=ContinuousStatsTable[[#This Row],[GroupByKey]]),(ContinuousStatsTable[GroupByKey]=ContinuousStatsTable[[#This Row],[GroupByKey]])*ContinuousStatsTable[Average])),0)</f>
        <v>1.9264248363149217</v>
      </c>
      <c r="P778" cm="1">
        <f t="array" ref="P778">IFERROR(_xlfn.STDEV.S(IF((ContinuousStatsTable[GroupByKey]=ContinuousStatsTable[[#This Row],[GroupByKey]]),(ContinuousStatsTable[GroupByKey]=ContinuousStatsTable[[#This Row],[GroupByKey]])*ContinuousStatsTable[Average])),0)</f>
        <v>0.34674528688941914</v>
      </c>
      <c r="Q778" cm="1">
        <f t="array" ref="Q778">MAX(IF((ProjectInfoTable[ProjectName]=ContinuousStatsTable[[#This Row],[ProjectName]]),(ProjectInfoTable[ProjectName]=ContinuousStatsTable[[#This Row],[ProjectName]])*ProjectInfoTable[ConfidenceInterval]))</f>
        <v>0.95</v>
      </c>
      <c r="R7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0.24804663558912532</v>
      </c>
      <c r="S778" cm="1">
        <f t="array" ref="S778">MIN(IF((ContinuousStatsTable[GroupByKey]=ContinuousStatsTable[[#This Row],[GroupByKey]]),(ContinuousStatsTable[GroupByKey]=ContinuousStatsTable[[#This Row],[GroupByKey]])*ContinuousStatsTable[Average]))</f>
        <v>1.16873680500997</v>
      </c>
      <c r="T778" cm="1">
        <f t="array" ref="T778">MAX(IF((ContinuousStatsTable[GroupByKey]=ContinuousStatsTable[[#This Row],[GroupByKey]]),(ContinuousStatsTable[GroupByKey]=ContinuousStatsTable[[#This Row],[GroupByKey]])*ContinuousStatsTable[Average]))</f>
        <v>2.28671958697903</v>
      </c>
      <c r="U778">
        <f>IF((ContinuousStatsTable[[#This Row],[RepsRequested]]&gt;1),ContinuousStatsTable[[#This Row],[HalfWidth]],ContinuousStatsTable[[#This Row],[BatchMeansHalfWidth]])</f>
        <v>0.24804663558912532</v>
      </c>
    </row>
    <row r="779" spans="1:21" x14ac:dyDescent="0.25">
      <c r="A779" t="s">
        <v>67</v>
      </c>
      <c r="B779" t="s">
        <v>243</v>
      </c>
      <c r="C779">
        <v>10</v>
      </c>
      <c r="D779" t="s">
        <v>121</v>
      </c>
      <c r="E779" t="s">
        <v>115</v>
      </c>
      <c r="F779" t="s">
        <v>113</v>
      </c>
      <c r="G779">
        <v>4</v>
      </c>
      <c r="H779">
        <v>2E+20</v>
      </c>
      <c r="I779">
        <v>4</v>
      </c>
      <c r="J779">
        <v>4</v>
      </c>
      <c r="K779">
        <v>4</v>
      </c>
      <c r="L779">
        <v>0</v>
      </c>
      <c r="M779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779" cm="1">
        <f t="array" ref="N779">MAX(IF((ProjectInfoTable[ProjectName]=ContinuousStatsTable[[#This Row],[ProjectName]]),(ProjectInfoTable[ProjectName]=ContinuousStatsTable[[#This Row],[ProjectName]])*ProjectInfoTable[NumberOfReplications]))</f>
        <v>10</v>
      </c>
      <c r="O779" cm="1">
        <f t="array" ref="O779">IFERROR(AVERAGE(IF((ContinuousStatsTable[GroupByKey]=ContinuousStatsTable[[#This Row],[GroupByKey]]),(ContinuousStatsTable[GroupByKey]=ContinuousStatsTable[[#This Row],[GroupByKey]])*ContinuousStatsTable[Average])),0)</f>
        <v>4</v>
      </c>
      <c r="P779" cm="1">
        <f t="array" ref="P779">IFERROR(_xlfn.STDEV.S(IF((ContinuousStatsTable[GroupByKey]=ContinuousStatsTable[[#This Row],[GroupByKey]]),(ContinuousStatsTable[GroupByKey]=ContinuousStatsTable[[#This Row],[GroupByKey]])*ContinuousStatsTable[Average])),0)</f>
        <v>0</v>
      </c>
      <c r="Q779" cm="1">
        <f t="array" ref="Q779">MAX(IF((ProjectInfoTable[ProjectName]=ContinuousStatsTable[[#This Row],[ProjectName]]),(ProjectInfoTable[ProjectName]=ContinuousStatsTable[[#This Row],[ProjectName]])*ProjectInfoTable[ConfidenceInterval]))</f>
        <v>0.95</v>
      </c>
      <c r="R7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9" cm="1">
        <f t="array" ref="S779">MIN(IF((ContinuousStatsTable[GroupByKey]=ContinuousStatsTable[[#This Row],[GroupByKey]]),(ContinuousStatsTable[GroupByKey]=ContinuousStatsTable[[#This Row],[GroupByKey]])*ContinuousStatsTable[Average]))</f>
        <v>4</v>
      </c>
      <c r="T779" cm="1">
        <f t="array" ref="T779">MAX(IF((ContinuousStatsTable[GroupByKey]=ContinuousStatsTable[[#This Row],[GroupByKey]]),(ContinuousStatsTable[GroupByKey]=ContinuousStatsTable[[#This Row],[GroupByKey]])*ContinuousStatsTable[Average]))</f>
        <v>4</v>
      </c>
      <c r="U779">
        <f>IF((ContinuousStatsTable[[#This Row],[RepsRequested]]&gt;1),ContinuousStatsTable[[#This Row],[HalfWidth]],ContinuousStatsTable[[#This Row],[BatchMeansHalfWidth]])</f>
        <v>0</v>
      </c>
    </row>
    <row r="780" spans="1:21" x14ac:dyDescent="0.25">
      <c r="A780" t="s">
        <v>67</v>
      </c>
      <c r="B780" t="s">
        <v>243</v>
      </c>
      <c r="C780">
        <v>10</v>
      </c>
      <c r="D780" t="s">
        <v>122</v>
      </c>
      <c r="E780" t="s">
        <v>112</v>
      </c>
      <c r="F780" t="s">
        <v>113</v>
      </c>
      <c r="G780">
        <v>0.29666542624047698</v>
      </c>
      <c r="H780">
        <v>3E+20</v>
      </c>
      <c r="I780">
        <v>0</v>
      </c>
      <c r="J780">
        <v>1</v>
      </c>
      <c r="K780">
        <v>0.33333333333333298</v>
      </c>
      <c r="L780">
        <v>0</v>
      </c>
      <c r="M780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780" cm="1">
        <f t="array" ref="N780">MAX(IF((ProjectInfoTable[ProjectName]=ContinuousStatsTable[[#This Row],[ProjectName]]),(ProjectInfoTable[ProjectName]=ContinuousStatsTable[[#This Row],[ProjectName]])*ProjectInfoTable[NumberOfReplications]))</f>
        <v>10</v>
      </c>
      <c r="O780" cm="1">
        <f t="array" ref="O780">IFERROR(AVERAGE(IF((ContinuousStatsTable[GroupByKey]=ContinuousStatsTable[[#This Row],[GroupByKey]]),(ContinuousStatsTable[GroupByKey]=ContinuousStatsTable[[#This Row],[GroupByKey]])*ContinuousStatsTable[Average])),0)</f>
        <v>0.25269289312392118</v>
      </c>
      <c r="P780" cm="1">
        <f t="array" ref="P780">IFERROR(_xlfn.STDEV.S(IF((ContinuousStatsTable[GroupByKey]=ContinuousStatsTable[[#This Row],[GroupByKey]]),(ContinuousStatsTable[GroupByKey]=ContinuousStatsTable[[#This Row],[GroupByKey]])*ContinuousStatsTable[Average])),0)</f>
        <v>4.9214010083081669E-2</v>
      </c>
      <c r="Q780" cm="1">
        <f t="array" ref="Q780">MAX(IF((ProjectInfoTable[ProjectName]=ContinuousStatsTable[[#This Row],[ProjectName]]),(ProjectInfoTable[ProjectName]=ContinuousStatsTable[[#This Row],[ProjectName]])*ProjectInfoTable[ConfidenceInterval]))</f>
        <v>0.95</v>
      </c>
      <c r="R7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3.5205581983442397E-2</v>
      </c>
      <c r="S780" cm="1">
        <f t="array" ref="S780">MIN(IF((ContinuousStatsTable[GroupByKey]=ContinuousStatsTable[[#This Row],[GroupByKey]]),(ContinuousStatsTable[GroupByKey]=ContinuousStatsTable[[#This Row],[GroupByKey]])*ContinuousStatsTable[Average]))</f>
        <v>0.20500025225945401</v>
      </c>
      <c r="T780" cm="1">
        <f t="array" ref="T780">MAX(IF((ContinuousStatsTable[GroupByKey]=ContinuousStatsTable[[#This Row],[GroupByKey]]),(ContinuousStatsTable[GroupByKey]=ContinuousStatsTable[[#This Row],[GroupByKey]])*ContinuousStatsTable[Average]))</f>
        <v>0.33570777662711199</v>
      </c>
      <c r="U780">
        <f>IF((ContinuousStatsTable[[#This Row],[RepsRequested]]&gt;1),ContinuousStatsTable[[#This Row],[HalfWidth]],ContinuousStatsTable[[#This Row],[BatchMeansHalfWidth]])</f>
        <v>3.5205581983442397E-2</v>
      </c>
    </row>
    <row r="781" spans="1:21" x14ac:dyDescent="0.25">
      <c r="A781" t="s">
        <v>67</v>
      </c>
      <c r="B781" t="s">
        <v>243</v>
      </c>
      <c r="C781">
        <v>10</v>
      </c>
      <c r="D781" t="s">
        <v>122</v>
      </c>
      <c r="E781" t="s">
        <v>114</v>
      </c>
      <c r="F781" t="s">
        <v>113</v>
      </c>
      <c r="G781">
        <v>0.88999627872143505</v>
      </c>
      <c r="H781">
        <v>3E+20</v>
      </c>
      <c r="I781">
        <v>0</v>
      </c>
      <c r="J781">
        <v>3</v>
      </c>
      <c r="K781">
        <v>1</v>
      </c>
      <c r="L781">
        <v>0</v>
      </c>
      <c r="M781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781" cm="1">
        <f t="array" ref="N781">MAX(IF((ProjectInfoTable[ProjectName]=ContinuousStatsTable[[#This Row],[ProjectName]]),(ProjectInfoTable[ProjectName]=ContinuousStatsTable[[#This Row],[ProjectName]])*ProjectInfoTable[NumberOfReplications]))</f>
        <v>10</v>
      </c>
      <c r="O781" cm="1">
        <f t="array" ref="O781">IFERROR(AVERAGE(IF((ContinuousStatsTable[GroupByKey]=ContinuousStatsTable[[#This Row],[GroupByKey]]),(ContinuousStatsTable[GroupByKey]=ContinuousStatsTable[[#This Row],[GroupByKey]])*ContinuousStatsTable[Average])),0)</f>
        <v>0.75807867937176476</v>
      </c>
      <c r="P781" cm="1">
        <f t="array" ref="P781">IFERROR(_xlfn.STDEV.S(IF((ContinuousStatsTable[GroupByKey]=ContinuousStatsTable[[#This Row],[GroupByKey]]),(ContinuousStatsTable[GroupByKey]=ContinuousStatsTable[[#This Row],[GroupByKey]])*ContinuousStatsTable[Average])),0)</f>
        <v>0.14764203024924766</v>
      </c>
      <c r="Q781" cm="1">
        <f t="array" ref="Q781">MAX(IF((ProjectInfoTable[ProjectName]=ContinuousStatsTable[[#This Row],[ProjectName]]),(ProjectInfoTable[ProjectName]=ContinuousStatsTable[[#This Row],[ProjectName]])*ProjectInfoTable[ConfidenceInterval]))</f>
        <v>0.95</v>
      </c>
      <c r="R7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0.10561674595032908</v>
      </c>
      <c r="S781" cm="1">
        <f t="array" ref="S781">MIN(IF((ContinuousStatsTable[GroupByKey]=ContinuousStatsTable[[#This Row],[GroupByKey]]),(ContinuousStatsTable[GroupByKey]=ContinuousStatsTable[[#This Row],[GroupByKey]])*ContinuousStatsTable[Average]))</f>
        <v>0.61500075677836796</v>
      </c>
      <c r="T781" cm="1">
        <f t="array" ref="T781">MAX(IF((ContinuousStatsTable[GroupByKey]=ContinuousStatsTable[[#This Row],[GroupByKey]]),(ContinuousStatsTable[GroupByKey]=ContinuousStatsTable[[#This Row],[GroupByKey]])*ContinuousStatsTable[Average]))</f>
        <v>1.00712332988134</v>
      </c>
      <c r="U781">
        <f>IF((ContinuousStatsTable[[#This Row],[RepsRequested]]&gt;1),ContinuousStatsTable[[#This Row],[HalfWidth]],ContinuousStatsTable[[#This Row],[BatchMeansHalfWidth]])</f>
        <v>0.10561674595032908</v>
      </c>
    </row>
    <row r="782" spans="1:21" x14ac:dyDescent="0.25">
      <c r="A782" t="s">
        <v>67</v>
      </c>
      <c r="B782" t="s">
        <v>243</v>
      </c>
      <c r="C782">
        <v>10</v>
      </c>
      <c r="D782" t="s">
        <v>122</v>
      </c>
      <c r="E782" t="s">
        <v>115</v>
      </c>
      <c r="F782" t="s">
        <v>113</v>
      </c>
      <c r="G782">
        <v>3</v>
      </c>
      <c r="H782">
        <v>2E+20</v>
      </c>
      <c r="I782">
        <v>3</v>
      </c>
      <c r="J782">
        <v>3</v>
      </c>
      <c r="K782">
        <v>3</v>
      </c>
      <c r="L782">
        <v>0</v>
      </c>
      <c r="M782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782" cm="1">
        <f t="array" ref="N782">MAX(IF((ProjectInfoTable[ProjectName]=ContinuousStatsTable[[#This Row],[ProjectName]]),(ProjectInfoTable[ProjectName]=ContinuousStatsTable[[#This Row],[ProjectName]])*ProjectInfoTable[NumberOfReplications]))</f>
        <v>10</v>
      </c>
      <c r="O782" cm="1">
        <f t="array" ref="O782">IFERROR(AVERAGE(IF((ContinuousStatsTable[GroupByKey]=ContinuousStatsTable[[#This Row],[GroupByKey]]),(ContinuousStatsTable[GroupByKey]=ContinuousStatsTable[[#This Row],[GroupByKey]])*ContinuousStatsTable[Average])),0)</f>
        <v>3</v>
      </c>
      <c r="P782" cm="1">
        <f t="array" ref="P782">IFERROR(_xlfn.STDEV.S(IF((ContinuousStatsTable[GroupByKey]=ContinuousStatsTable[[#This Row],[GroupByKey]]),(ContinuousStatsTable[GroupByKey]=ContinuousStatsTable[[#This Row],[GroupByKey]])*ContinuousStatsTable[Average])),0)</f>
        <v>0</v>
      </c>
      <c r="Q782" cm="1">
        <f t="array" ref="Q782">MAX(IF((ProjectInfoTable[ProjectName]=ContinuousStatsTable[[#This Row],[ProjectName]]),(ProjectInfoTable[ProjectName]=ContinuousStatsTable[[#This Row],[ProjectName]])*ProjectInfoTable[ConfidenceInterval]))</f>
        <v>0.95</v>
      </c>
      <c r="R7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2" cm="1">
        <f t="array" ref="S782">MIN(IF((ContinuousStatsTable[GroupByKey]=ContinuousStatsTable[[#This Row],[GroupByKey]]),(ContinuousStatsTable[GroupByKey]=ContinuousStatsTable[[#This Row],[GroupByKey]])*ContinuousStatsTable[Average]))</f>
        <v>3</v>
      </c>
      <c r="T782" cm="1">
        <f t="array" ref="T782">MAX(IF((ContinuousStatsTable[GroupByKey]=ContinuousStatsTable[[#This Row],[GroupByKey]]),(ContinuousStatsTable[GroupByKey]=ContinuousStatsTable[[#This Row],[GroupByKey]])*ContinuousStatsTable[Average]))</f>
        <v>3</v>
      </c>
      <c r="U782">
        <f>IF((ContinuousStatsTable[[#This Row],[RepsRequested]]&gt;1),ContinuousStatsTable[[#This Row],[HalfWidth]],ContinuousStatsTable[[#This Row],[BatchMeansHalfWidth]])</f>
        <v>0</v>
      </c>
    </row>
    <row r="783" spans="1:21" x14ac:dyDescent="0.25">
      <c r="A783" t="s">
        <v>67</v>
      </c>
      <c r="B783" t="s">
        <v>243</v>
      </c>
      <c r="C783">
        <v>10</v>
      </c>
      <c r="D783" t="s">
        <v>123</v>
      </c>
      <c r="E783" t="s">
        <v>112</v>
      </c>
      <c r="F783" t="s">
        <v>113</v>
      </c>
      <c r="G783">
        <v>0.15134711042770499</v>
      </c>
      <c r="H783">
        <v>3E+20</v>
      </c>
      <c r="I783">
        <v>0</v>
      </c>
      <c r="J783">
        <v>0.66666666666666696</v>
      </c>
      <c r="K783">
        <v>0</v>
      </c>
      <c r="L783">
        <v>0</v>
      </c>
      <c r="M783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783" cm="1">
        <f t="array" ref="N783">MAX(IF((ProjectInfoTable[ProjectName]=ContinuousStatsTable[[#This Row],[ProjectName]]),(ProjectInfoTable[ProjectName]=ContinuousStatsTable[[#This Row],[ProjectName]])*ProjectInfoTable[NumberOfReplications]))</f>
        <v>10</v>
      </c>
      <c r="O783" cm="1">
        <f t="array" ref="O783">IFERROR(AVERAGE(IF((ContinuousStatsTable[GroupByKey]=ContinuousStatsTable[[#This Row],[GroupByKey]]),(ContinuousStatsTable[GroupByKey]=ContinuousStatsTable[[#This Row],[GroupByKey]])*ContinuousStatsTable[Average])),0)</f>
        <v>0.151561654865698</v>
      </c>
      <c r="P783" cm="1">
        <f t="array" ref="P783">IFERROR(_xlfn.STDEV.S(IF((ContinuousStatsTable[GroupByKey]=ContinuousStatsTable[[#This Row],[GroupByKey]]),(ContinuousStatsTable[GroupByKey]=ContinuousStatsTable[[#This Row],[GroupByKey]])*ContinuousStatsTable[Average])),0)</f>
        <v>1.2198256688154243E-4</v>
      </c>
      <c r="Q783" cm="1">
        <f t="array" ref="Q783">MAX(IF((ProjectInfoTable[ProjectName]=ContinuousStatsTable[[#This Row],[ProjectName]]),(ProjectInfoTable[ProjectName]=ContinuousStatsTable[[#This Row],[ProjectName]])*ProjectInfoTable[ConfidenceInterval]))</f>
        <v>0.95</v>
      </c>
      <c r="R7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8.7261071626739862E-5</v>
      </c>
      <c r="S783" cm="1">
        <f t="array" ref="S783">MIN(IF((ContinuousStatsTable[GroupByKey]=ContinuousStatsTable[[#This Row],[GroupByKey]]),(ContinuousStatsTable[GroupByKey]=ContinuousStatsTable[[#This Row],[GroupByKey]])*ContinuousStatsTable[Average]))</f>
        <v>0.15134711042770499</v>
      </c>
      <c r="T783" cm="1">
        <f t="array" ref="T783">MAX(IF((ContinuousStatsTable[GroupByKey]=ContinuousStatsTable[[#This Row],[GroupByKey]]),(ContinuousStatsTable[GroupByKey]=ContinuousStatsTable[[#This Row],[GroupByKey]])*ContinuousStatsTable[Average]))</f>
        <v>0.15172806047441101</v>
      </c>
      <c r="U783">
        <f>IF((ContinuousStatsTable[[#This Row],[RepsRequested]]&gt;1),ContinuousStatsTable[[#This Row],[HalfWidth]],ContinuousStatsTable[[#This Row],[BatchMeansHalfWidth]])</f>
        <v>8.7261071626739862E-5</v>
      </c>
    </row>
    <row r="784" spans="1:21" x14ac:dyDescent="0.25">
      <c r="A784" t="s">
        <v>67</v>
      </c>
      <c r="B784" t="s">
        <v>243</v>
      </c>
      <c r="C784">
        <v>10</v>
      </c>
      <c r="D784" t="s">
        <v>123</v>
      </c>
      <c r="E784" t="s">
        <v>114</v>
      </c>
      <c r="F784" t="s">
        <v>113</v>
      </c>
      <c r="G784">
        <v>0.45404133128311103</v>
      </c>
      <c r="H784">
        <v>3E+20</v>
      </c>
      <c r="I784">
        <v>0</v>
      </c>
      <c r="J784">
        <v>2</v>
      </c>
      <c r="K784">
        <v>0</v>
      </c>
      <c r="L784">
        <v>0</v>
      </c>
      <c r="M784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784" cm="1">
        <f t="array" ref="N784">MAX(IF((ProjectInfoTable[ProjectName]=ContinuousStatsTable[[#This Row],[ProjectName]]),(ProjectInfoTable[ProjectName]=ContinuousStatsTable[[#This Row],[ProjectName]])*ProjectInfoTable[NumberOfReplications]))</f>
        <v>10</v>
      </c>
      <c r="O784" cm="1">
        <f t="array" ref="O784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784" cm="1">
        <f t="array" ref="P784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784" cm="1">
        <f t="array" ref="Q784">MAX(IF((ProjectInfoTable[ProjectName]=ContinuousStatsTable[[#This Row],[ProjectName]]),(ProjectInfoTable[ProjectName]=ContinuousStatsTable[[#This Row],[ProjectName]])*ProjectInfoTable[ConfidenceInterval]))</f>
        <v>0.95</v>
      </c>
      <c r="R7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784" cm="1">
        <f t="array" ref="S784">MIN(IF((ContinuousStatsTable[GroupByKey]=ContinuousStatsTable[[#This Row],[GroupByKey]]),(ContinuousStatsTable[GroupByKey]=ContinuousStatsTable[[#This Row],[GroupByKey]])*ContinuousStatsTable[Average]))</f>
        <v>0.45404133128311103</v>
      </c>
      <c r="T784" cm="1">
        <f t="array" ref="T784">MAX(IF((ContinuousStatsTable[GroupByKey]=ContinuousStatsTable[[#This Row],[GroupByKey]]),(ContinuousStatsTable[GroupByKey]=ContinuousStatsTable[[#This Row],[GroupByKey]])*ContinuousStatsTable[Average]))</f>
        <v>0.45518418142323402</v>
      </c>
      <c r="U784">
        <f>IF((ContinuousStatsTable[[#This Row],[RepsRequested]]&gt;1),ContinuousStatsTable[[#This Row],[HalfWidth]],ContinuousStatsTable[[#This Row],[BatchMeansHalfWidth]])</f>
        <v>2.6178321488092363E-4</v>
      </c>
    </row>
    <row r="785" spans="1:21" x14ac:dyDescent="0.25">
      <c r="A785" t="s">
        <v>67</v>
      </c>
      <c r="B785" t="s">
        <v>243</v>
      </c>
      <c r="C785">
        <v>10</v>
      </c>
      <c r="D785" t="s">
        <v>123</v>
      </c>
      <c r="E785" t="s">
        <v>115</v>
      </c>
      <c r="F785" t="s">
        <v>113</v>
      </c>
      <c r="G785">
        <v>3</v>
      </c>
      <c r="H785">
        <v>2E+20</v>
      </c>
      <c r="I785">
        <v>3</v>
      </c>
      <c r="J785">
        <v>3</v>
      </c>
      <c r="K785">
        <v>3</v>
      </c>
      <c r="L785">
        <v>0</v>
      </c>
      <c r="M785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785" cm="1">
        <f t="array" ref="N785">MAX(IF((ProjectInfoTable[ProjectName]=ContinuousStatsTable[[#This Row],[ProjectName]]),(ProjectInfoTable[ProjectName]=ContinuousStatsTable[[#This Row],[ProjectName]])*ProjectInfoTable[NumberOfReplications]))</f>
        <v>10</v>
      </c>
      <c r="O785" cm="1">
        <f t="array" ref="O785">IFERROR(AVERAGE(IF((ContinuousStatsTable[GroupByKey]=ContinuousStatsTable[[#This Row],[GroupByKey]]),(ContinuousStatsTable[GroupByKey]=ContinuousStatsTable[[#This Row],[GroupByKey]])*ContinuousStatsTable[Average])),0)</f>
        <v>3</v>
      </c>
      <c r="P785" cm="1">
        <f t="array" ref="P785">IFERROR(_xlfn.STDEV.S(IF((ContinuousStatsTable[GroupByKey]=ContinuousStatsTable[[#This Row],[GroupByKey]]),(ContinuousStatsTable[GroupByKey]=ContinuousStatsTable[[#This Row],[GroupByKey]])*ContinuousStatsTable[Average])),0)</f>
        <v>0</v>
      </c>
      <c r="Q785" cm="1">
        <f t="array" ref="Q785">MAX(IF((ProjectInfoTable[ProjectName]=ContinuousStatsTable[[#This Row],[ProjectName]]),(ProjectInfoTable[ProjectName]=ContinuousStatsTable[[#This Row],[ProjectName]])*ProjectInfoTable[ConfidenceInterval]))</f>
        <v>0.95</v>
      </c>
      <c r="R7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5" cm="1">
        <f t="array" ref="S785">MIN(IF((ContinuousStatsTable[GroupByKey]=ContinuousStatsTable[[#This Row],[GroupByKey]]),(ContinuousStatsTable[GroupByKey]=ContinuousStatsTable[[#This Row],[GroupByKey]])*ContinuousStatsTable[Average]))</f>
        <v>3</v>
      </c>
      <c r="T785" cm="1">
        <f t="array" ref="T785">MAX(IF((ContinuousStatsTable[GroupByKey]=ContinuousStatsTable[[#This Row],[GroupByKey]]),(ContinuousStatsTable[GroupByKey]=ContinuousStatsTable[[#This Row],[GroupByKey]])*ContinuousStatsTable[Average]))</f>
        <v>3</v>
      </c>
      <c r="U785">
        <f>IF((ContinuousStatsTable[[#This Row],[RepsRequested]]&gt;1),ContinuousStatsTable[[#This Row],[HalfWidth]],ContinuousStatsTable[[#This Row],[BatchMeansHalfWidth]])</f>
        <v>0</v>
      </c>
    </row>
    <row r="786" spans="1:21" x14ac:dyDescent="0.25">
      <c r="A786" t="s">
        <v>67</v>
      </c>
      <c r="B786" t="s">
        <v>243</v>
      </c>
      <c r="C786">
        <v>10</v>
      </c>
      <c r="D786" t="s">
        <v>124</v>
      </c>
      <c r="E786" t="s">
        <v>112</v>
      </c>
      <c r="F786" t="s">
        <v>113</v>
      </c>
      <c r="G786">
        <v>0.76800145485650095</v>
      </c>
      <c r="H786">
        <v>2E+20</v>
      </c>
      <c r="I786">
        <v>0</v>
      </c>
      <c r="J786">
        <v>1</v>
      </c>
      <c r="K786">
        <v>0.5</v>
      </c>
      <c r="L786">
        <v>0</v>
      </c>
      <c r="M786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786" cm="1">
        <f t="array" ref="N786">MAX(IF((ProjectInfoTable[ProjectName]=ContinuousStatsTable[[#This Row],[ProjectName]]),(ProjectInfoTable[ProjectName]=ContinuousStatsTable[[#This Row],[ProjectName]])*ProjectInfoTable[NumberOfReplications]))</f>
        <v>10</v>
      </c>
      <c r="O786" cm="1">
        <f t="array" ref="O786">IFERROR(AVERAGE(IF((ContinuousStatsTable[GroupByKey]=ContinuousStatsTable[[#This Row],[GroupByKey]]),(ContinuousStatsTable[GroupByKey]=ContinuousStatsTable[[#This Row],[GroupByKey]])*ContinuousStatsTable[Average])),0)</f>
        <v>0.84558522180863771</v>
      </c>
      <c r="P786" cm="1">
        <f t="array" ref="P786">IFERROR(_xlfn.STDEV.S(IF((ContinuousStatsTable[GroupByKey]=ContinuousStatsTable[[#This Row],[GroupByKey]]),(ContinuousStatsTable[GroupByKey]=ContinuousStatsTable[[#This Row],[GroupByKey]])*ContinuousStatsTable[Average])),0)</f>
        <v>0.11694354024491282</v>
      </c>
      <c r="Q786" cm="1">
        <f t="array" ref="Q786">MAX(IF((ProjectInfoTable[ProjectName]=ContinuousStatsTable[[#This Row],[ProjectName]]),(ProjectInfoTable[ProjectName]=ContinuousStatsTable[[#This Row],[ProjectName]])*ProjectInfoTable[ConfidenceInterval]))</f>
        <v>0.95</v>
      </c>
      <c r="R7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8.3656369122856733E-2</v>
      </c>
      <c r="S786" cm="1">
        <f t="array" ref="S786">MIN(IF((ContinuousStatsTable[GroupByKey]=ContinuousStatsTable[[#This Row],[GroupByKey]]),(ContinuousStatsTable[GroupByKey]=ContinuousStatsTable[[#This Row],[GroupByKey]])*ContinuousStatsTable[Average]))</f>
        <v>0.625269422960122</v>
      </c>
      <c r="T786" cm="1">
        <f t="array" ref="T786">MAX(IF((ContinuousStatsTable[GroupByKey]=ContinuousStatsTable[[#This Row],[GroupByKey]]),(ContinuousStatsTable[GroupByKey]=ContinuousStatsTable[[#This Row],[GroupByKey]])*ContinuousStatsTable[Average]))</f>
        <v>0.95234896906597499</v>
      </c>
      <c r="U786">
        <f>IF((ContinuousStatsTable[[#This Row],[RepsRequested]]&gt;1),ContinuousStatsTable[[#This Row],[HalfWidth]],ContinuousStatsTable[[#This Row],[BatchMeansHalfWidth]])</f>
        <v>8.3656369122856733E-2</v>
      </c>
    </row>
    <row r="787" spans="1:21" x14ac:dyDescent="0.25">
      <c r="A787" t="s">
        <v>67</v>
      </c>
      <c r="B787" t="s">
        <v>243</v>
      </c>
      <c r="C787">
        <v>10</v>
      </c>
      <c r="D787" t="s">
        <v>124</v>
      </c>
      <c r="E787" t="s">
        <v>114</v>
      </c>
      <c r="F787" t="s">
        <v>113</v>
      </c>
      <c r="G787">
        <v>1.5360029097129999</v>
      </c>
      <c r="H787">
        <v>2E+20</v>
      </c>
      <c r="I787">
        <v>0</v>
      </c>
      <c r="J787">
        <v>2</v>
      </c>
      <c r="K787">
        <v>1</v>
      </c>
      <c r="L787">
        <v>0</v>
      </c>
      <c r="M787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787" cm="1">
        <f t="array" ref="N787">MAX(IF((ProjectInfoTable[ProjectName]=ContinuousStatsTable[[#This Row],[ProjectName]]),(ProjectInfoTable[ProjectName]=ContinuousStatsTable[[#This Row],[ProjectName]])*ProjectInfoTable[NumberOfReplications]))</f>
        <v>10</v>
      </c>
      <c r="O787" cm="1">
        <f t="array" ref="O787">IFERROR(AVERAGE(IF((ContinuousStatsTable[GroupByKey]=ContinuousStatsTable[[#This Row],[GroupByKey]]),(ContinuousStatsTable[GroupByKey]=ContinuousStatsTable[[#This Row],[GroupByKey]])*ContinuousStatsTable[Average])),0)</f>
        <v>1.6911704436172748</v>
      </c>
      <c r="P787" cm="1">
        <f t="array" ref="P787">IFERROR(_xlfn.STDEV.S(IF((ContinuousStatsTable[GroupByKey]=ContinuousStatsTable[[#This Row],[GroupByKey]]),(ContinuousStatsTable[GroupByKey]=ContinuousStatsTable[[#This Row],[GroupByKey]])*ContinuousStatsTable[Average])),0)</f>
        <v>0.23388708048982901</v>
      </c>
      <c r="Q787" cm="1">
        <f t="array" ref="Q787">MAX(IF((ProjectInfoTable[ProjectName]=ContinuousStatsTable[[#This Row],[ProjectName]]),(ProjectInfoTable[ProjectName]=ContinuousStatsTable[[#This Row],[ProjectName]])*ProjectInfoTable[ConfidenceInterval]))</f>
        <v>0.95</v>
      </c>
      <c r="R7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0.16731273824571591</v>
      </c>
      <c r="S787" cm="1">
        <f t="array" ref="S787">MIN(IF((ContinuousStatsTable[GroupByKey]=ContinuousStatsTable[[#This Row],[GroupByKey]]),(ContinuousStatsTable[GroupByKey]=ContinuousStatsTable[[#This Row],[GroupByKey]])*ContinuousStatsTable[Average]))</f>
        <v>1.25053884592024</v>
      </c>
      <c r="T787" cm="1">
        <f t="array" ref="T787">MAX(IF((ContinuousStatsTable[GroupByKey]=ContinuousStatsTable[[#This Row],[GroupByKey]]),(ContinuousStatsTable[GroupByKey]=ContinuousStatsTable[[#This Row],[GroupByKey]])*ContinuousStatsTable[Average]))</f>
        <v>1.90469793813195</v>
      </c>
      <c r="U787">
        <f>IF((ContinuousStatsTable[[#This Row],[RepsRequested]]&gt;1),ContinuousStatsTable[[#This Row],[HalfWidth]],ContinuousStatsTable[[#This Row],[BatchMeansHalfWidth]])</f>
        <v>0.16731273824571591</v>
      </c>
    </row>
    <row r="788" spans="1:21" x14ac:dyDescent="0.25">
      <c r="A788" t="s">
        <v>67</v>
      </c>
      <c r="B788" t="s">
        <v>243</v>
      </c>
      <c r="C788">
        <v>10</v>
      </c>
      <c r="D788" t="s">
        <v>124</v>
      </c>
      <c r="E788" t="s">
        <v>115</v>
      </c>
      <c r="F788" t="s">
        <v>113</v>
      </c>
      <c r="G788">
        <v>2</v>
      </c>
      <c r="H788">
        <v>2E+20</v>
      </c>
      <c r="I788">
        <v>2</v>
      </c>
      <c r="J788">
        <v>2</v>
      </c>
      <c r="K788">
        <v>2</v>
      </c>
      <c r="L788">
        <v>0</v>
      </c>
      <c r="M788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788" cm="1">
        <f t="array" ref="N788">MAX(IF((ProjectInfoTable[ProjectName]=ContinuousStatsTable[[#This Row],[ProjectName]]),(ProjectInfoTable[ProjectName]=ContinuousStatsTable[[#This Row],[ProjectName]])*ProjectInfoTable[NumberOfReplications]))</f>
        <v>10</v>
      </c>
      <c r="O788" cm="1">
        <f t="array" ref="O788">IFERROR(AVERAGE(IF((ContinuousStatsTable[GroupByKey]=ContinuousStatsTable[[#This Row],[GroupByKey]]),(ContinuousStatsTable[GroupByKey]=ContinuousStatsTable[[#This Row],[GroupByKey]])*ContinuousStatsTable[Average])),0)</f>
        <v>2</v>
      </c>
      <c r="P788" cm="1">
        <f t="array" ref="P788">IFERROR(_xlfn.STDEV.S(IF((ContinuousStatsTable[GroupByKey]=ContinuousStatsTable[[#This Row],[GroupByKey]]),(ContinuousStatsTable[GroupByKey]=ContinuousStatsTable[[#This Row],[GroupByKey]])*ContinuousStatsTable[Average])),0)</f>
        <v>0</v>
      </c>
      <c r="Q788" cm="1">
        <f t="array" ref="Q788">MAX(IF((ProjectInfoTable[ProjectName]=ContinuousStatsTable[[#This Row],[ProjectName]]),(ProjectInfoTable[ProjectName]=ContinuousStatsTable[[#This Row],[ProjectName]])*ProjectInfoTable[ConfidenceInterval]))</f>
        <v>0.95</v>
      </c>
      <c r="R7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8" cm="1">
        <f t="array" ref="S788">MIN(IF((ContinuousStatsTable[GroupByKey]=ContinuousStatsTable[[#This Row],[GroupByKey]]),(ContinuousStatsTable[GroupByKey]=ContinuousStatsTable[[#This Row],[GroupByKey]])*ContinuousStatsTable[Average]))</f>
        <v>2</v>
      </c>
      <c r="T788" cm="1">
        <f t="array" ref="T788">MAX(IF((ContinuousStatsTable[GroupByKey]=ContinuousStatsTable[[#This Row],[GroupByKey]]),(ContinuousStatsTable[GroupByKey]=ContinuousStatsTable[[#This Row],[GroupByKey]])*ContinuousStatsTable[Average]))</f>
        <v>2</v>
      </c>
      <c r="U788">
        <f>IF((ContinuousStatsTable[[#This Row],[RepsRequested]]&gt;1),ContinuousStatsTable[[#This Row],[HalfWidth]],ContinuousStatsTable[[#This Row],[BatchMeansHalfWidth]])</f>
        <v>0</v>
      </c>
    </row>
    <row r="789" spans="1:21" x14ac:dyDescent="0.25">
      <c r="A789" t="s">
        <v>67</v>
      </c>
      <c r="B789" t="s">
        <v>243</v>
      </c>
      <c r="C789">
        <v>10</v>
      </c>
      <c r="D789" t="s">
        <v>125</v>
      </c>
      <c r="E789" t="s">
        <v>112</v>
      </c>
      <c r="F789" t="s">
        <v>113</v>
      </c>
      <c r="G789">
        <v>0.87728997349342996</v>
      </c>
      <c r="H789">
        <v>2E+20</v>
      </c>
      <c r="I789">
        <v>0</v>
      </c>
      <c r="J789">
        <v>1</v>
      </c>
      <c r="K789">
        <v>0.8</v>
      </c>
      <c r="L789">
        <v>0</v>
      </c>
      <c r="M789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789" cm="1">
        <f t="array" ref="N789">MAX(IF((ProjectInfoTable[ProjectName]=ContinuousStatsTable[[#This Row],[ProjectName]]),(ProjectInfoTable[ProjectName]=ContinuousStatsTable[[#This Row],[ProjectName]])*ProjectInfoTable[NumberOfReplications]))</f>
        <v>10</v>
      </c>
      <c r="O789" cm="1">
        <f t="array" ref="O789">IFERROR(AVERAGE(IF((ContinuousStatsTable[GroupByKey]=ContinuousStatsTable[[#This Row],[GroupByKey]]),(ContinuousStatsTable[GroupByKey]=ContinuousStatsTable[[#This Row],[GroupByKey]])*ContinuousStatsTable[Average])),0)</f>
        <v>0.74077431571180252</v>
      </c>
      <c r="P789" cm="1">
        <f t="array" ref="P789">IFERROR(_xlfn.STDEV.S(IF((ContinuousStatsTable[GroupByKey]=ContinuousStatsTable[[#This Row],[GroupByKey]]),(ContinuousStatsTable[GroupByKey]=ContinuousStatsTable[[#This Row],[GroupByKey]])*ContinuousStatsTable[Average])),0)</f>
        <v>6.1280007141723249E-2</v>
      </c>
      <c r="Q789" cm="1">
        <f t="array" ref="Q789">MAX(IF((ProjectInfoTable[ProjectName]=ContinuousStatsTable[[#This Row],[ProjectName]]),(ProjectInfoTable[ProjectName]=ContinuousStatsTable[[#This Row],[ProjectName]])*ProjectInfoTable[ConfidenceInterval]))</f>
        <v>0.95</v>
      </c>
      <c r="R7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4.3837076306763374E-2</v>
      </c>
      <c r="S789" cm="1">
        <f t="array" ref="S789">MIN(IF((ContinuousStatsTable[GroupByKey]=ContinuousStatsTable[[#This Row],[GroupByKey]]),(ContinuousStatsTable[GroupByKey]=ContinuousStatsTable[[#This Row],[GroupByKey]])*ContinuousStatsTable[Average]))</f>
        <v>0.67060354368791797</v>
      </c>
      <c r="T789" cm="1">
        <f t="array" ref="T789">MAX(IF((ContinuousStatsTable[GroupByKey]=ContinuousStatsTable[[#This Row],[GroupByKey]]),(ContinuousStatsTable[GroupByKey]=ContinuousStatsTable[[#This Row],[GroupByKey]])*ContinuousStatsTable[Average]))</f>
        <v>0.87728997349342996</v>
      </c>
      <c r="U789">
        <f>IF((ContinuousStatsTable[[#This Row],[RepsRequested]]&gt;1),ContinuousStatsTable[[#This Row],[HalfWidth]],ContinuousStatsTable[[#This Row],[BatchMeansHalfWidth]])</f>
        <v>4.3837076306763374E-2</v>
      </c>
    </row>
    <row r="790" spans="1:21" x14ac:dyDescent="0.25">
      <c r="A790" t="s">
        <v>67</v>
      </c>
      <c r="B790" t="s">
        <v>243</v>
      </c>
      <c r="C790">
        <v>10</v>
      </c>
      <c r="D790" t="s">
        <v>125</v>
      </c>
      <c r="E790" t="s">
        <v>114</v>
      </c>
      <c r="F790" t="s">
        <v>113</v>
      </c>
      <c r="G790">
        <v>4.3864498674671397</v>
      </c>
      <c r="H790">
        <v>2E+20</v>
      </c>
      <c r="I790">
        <v>0</v>
      </c>
      <c r="J790">
        <v>5</v>
      </c>
      <c r="K790">
        <v>4</v>
      </c>
      <c r="L790">
        <v>0</v>
      </c>
      <c r="M790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790" cm="1">
        <f t="array" ref="N790">MAX(IF((ProjectInfoTable[ProjectName]=ContinuousStatsTable[[#This Row],[ProjectName]]),(ProjectInfoTable[ProjectName]=ContinuousStatsTable[[#This Row],[ProjectName]])*ProjectInfoTable[NumberOfReplications]))</f>
        <v>10</v>
      </c>
      <c r="O790" cm="1">
        <f t="array" ref="O790">IFERROR(AVERAGE(IF((ContinuousStatsTable[GroupByKey]=ContinuousStatsTable[[#This Row],[GroupByKey]]),(ContinuousStatsTable[GroupByKey]=ContinuousStatsTable[[#This Row],[GroupByKey]])*ContinuousStatsTable[Average])),0)</f>
        <v>3.7038715785590122</v>
      </c>
      <c r="P790" cm="1">
        <f t="array" ref="P790">IFERROR(_xlfn.STDEV.S(IF((ContinuousStatsTable[GroupByKey]=ContinuousStatsTable[[#This Row],[GroupByKey]]),(ContinuousStatsTable[GroupByKey]=ContinuousStatsTable[[#This Row],[GroupByKey]])*ContinuousStatsTable[Average])),0)</f>
        <v>0.30640003570861163</v>
      </c>
      <c r="Q790" cm="1">
        <f t="array" ref="Q790">MAX(IF((ProjectInfoTable[ProjectName]=ContinuousStatsTable[[#This Row],[ProjectName]]),(ProjectInfoTable[ProjectName]=ContinuousStatsTable[[#This Row],[ProjectName]])*ProjectInfoTable[ConfidenceInterval]))</f>
        <v>0.95</v>
      </c>
      <c r="R7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0.21918538153381359</v>
      </c>
      <c r="S790" cm="1">
        <f t="array" ref="S790">MIN(IF((ContinuousStatsTable[GroupByKey]=ContinuousStatsTable[[#This Row],[GroupByKey]]),(ContinuousStatsTable[GroupByKey]=ContinuousStatsTable[[#This Row],[GroupByKey]])*ContinuousStatsTable[Average]))</f>
        <v>3.35301771843959</v>
      </c>
      <c r="T790" cm="1">
        <f t="array" ref="T790">MAX(IF((ContinuousStatsTable[GroupByKey]=ContinuousStatsTable[[#This Row],[GroupByKey]]),(ContinuousStatsTable[GroupByKey]=ContinuousStatsTable[[#This Row],[GroupByKey]])*ContinuousStatsTable[Average]))</f>
        <v>4.3864498674671397</v>
      </c>
      <c r="U790">
        <f>IF((ContinuousStatsTable[[#This Row],[RepsRequested]]&gt;1),ContinuousStatsTable[[#This Row],[HalfWidth]],ContinuousStatsTable[[#This Row],[BatchMeansHalfWidth]])</f>
        <v>0.21918538153381359</v>
      </c>
    </row>
    <row r="791" spans="1:21" x14ac:dyDescent="0.25">
      <c r="A791" t="s">
        <v>67</v>
      </c>
      <c r="B791" t="s">
        <v>243</v>
      </c>
      <c r="C791">
        <v>10</v>
      </c>
      <c r="D791" t="s">
        <v>125</v>
      </c>
      <c r="E791" t="s">
        <v>115</v>
      </c>
      <c r="F791" t="s">
        <v>113</v>
      </c>
      <c r="G791">
        <v>5</v>
      </c>
      <c r="H791">
        <v>2E+20</v>
      </c>
      <c r="I791">
        <v>5</v>
      </c>
      <c r="J791">
        <v>5</v>
      </c>
      <c r="K791">
        <v>5</v>
      </c>
      <c r="L791">
        <v>0</v>
      </c>
      <c r="M791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791" cm="1">
        <f t="array" ref="N791">MAX(IF((ProjectInfoTable[ProjectName]=ContinuousStatsTable[[#This Row],[ProjectName]]),(ProjectInfoTable[ProjectName]=ContinuousStatsTable[[#This Row],[ProjectName]])*ProjectInfoTable[NumberOfReplications]))</f>
        <v>10</v>
      </c>
      <c r="O791" cm="1">
        <f t="array" ref="O791">IFERROR(AVERAGE(IF((ContinuousStatsTable[GroupByKey]=ContinuousStatsTable[[#This Row],[GroupByKey]]),(ContinuousStatsTable[GroupByKey]=ContinuousStatsTable[[#This Row],[GroupByKey]])*ContinuousStatsTable[Average])),0)</f>
        <v>5</v>
      </c>
      <c r="P791" cm="1">
        <f t="array" ref="P791">IFERROR(_xlfn.STDEV.S(IF((ContinuousStatsTable[GroupByKey]=ContinuousStatsTable[[#This Row],[GroupByKey]]),(ContinuousStatsTable[GroupByKey]=ContinuousStatsTable[[#This Row],[GroupByKey]])*ContinuousStatsTable[Average])),0)</f>
        <v>0</v>
      </c>
      <c r="Q791" cm="1">
        <f t="array" ref="Q791">MAX(IF((ProjectInfoTable[ProjectName]=ContinuousStatsTable[[#This Row],[ProjectName]]),(ProjectInfoTable[ProjectName]=ContinuousStatsTable[[#This Row],[ProjectName]])*ProjectInfoTable[ConfidenceInterval]))</f>
        <v>0.95</v>
      </c>
      <c r="R7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1" cm="1">
        <f t="array" ref="S791">MIN(IF((ContinuousStatsTable[GroupByKey]=ContinuousStatsTable[[#This Row],[GroupByKey]]),(ContinuousStatsTable[GroupByKey]=ContinuousStatsTable[[#This Row],[GroupByKey]])*ContinuousStatsTable[Average]))</f>
        <v>5</v>
      </c>
      <c r="T791" cm="1">
        <f t="array" ref="T791">MAX(IF((ContinuousStatsTable[GroupByKey]=ContinuousStatsTable[[#This Row],[GroupByKey]]),(ContinuousStatsTable[GroupByKey]=ContinuousStatsTable[[#This Row],[GroupByKey]])*ContinuousStatsTable[Average]))</f>
        <v>5</v>
      </c>
      <c r="U791">
        <f>IF((ContinuousStatsTable[[#This Row],[RepsRequested]]&gt;1),ContinuousStatsTable[[#This Row],[HalfWidth]],ContinuousStatsTable[[#This Row],[BatchMeansHalfWidth]])</f>
        <v>0</v>
      </c>
    </row>
    <row r="792" spans="1:21" x14ac:dyDescent="0.25">
      <c r="A792" t="s">
        <v>67</v>
      </c>
      <c r="B792" t="s">
        <v>243</v>
      </c>
      <c r="C792">
        <v>10</v>
      </c>
      <c r="D792" t="s">
        <v>126</v>
      </c>
      <c r="E792" t="s">
        <v>112</v>
      </c>
      <c r="F792" t="s">
        <v>113</v>
      </c>
      <c r="G792">
        <v>0.36555656561218303</v>
      </c>
      <c r="H792">
        <v>3E+20</v>
      </c>
      <c r="I792">
        <v>0</v>
      </c>
      <c r="J792">
        <v>0.5</v>
      </c>
      <c r="K792">
        <v>0.5</v>
      </c>
      <c r="L792">
        <v>0</v>
      </c>
      <c r="M792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792" cm="1">
        <f t="array" ref="N792">MAX(IF((ProjectInfoTable[ProjectName]=ContinuousStatsTable[[#This Row],[ProjectName]]),(ProjectInfoTable[ProjectName]=ContinuousStatsTable[[#This Row],[ProjectName]])*ProjectInfoTable[NumberOfReplications]))</f>
        <v>10</v>
      </c>
      <c r="O792" cm="1">
        <f t="array" ref="O792">IFERROR(AVERAGE(IF((ContinuousStatsTable[GroupByKey]=ContinuousStatsTable[[#This Row],[GroupByKey]]),(ContinuousStatsTable[GroupByKey]=ContinuousStatsTable[[#This Row],[GroupByKey]])*ContinuousStatsTable[Average])),0)</f>
        <v>0.52391445815006699</v>
      </c>
      <c r="P792" cm="1">
        <f t="array" ref="P792">IFERROR(_xlfn.STDEV.S(IF((ContinuousStatsTable[GroupByKey]=ContinuousStatsTable[[#This Row],[GroupByKey]]),(ContinuousStatsTable[GroupByKey]=ContinuousStatsTable[[#This Row],[GroupByKey]])*ContinuousStatsTable[Average])),0)</f>
        <v>7.0460308415606909E-2</v>
      </c>
      <c r="Q792" cm="1">
        <f t="array" ref="Q792">MAX(IF((ProjectInfoTable[ProjectName]=ContinuousStatsTable[[#This Row],[ProjectName]]),(ProjectInfoTable[ProjectName]=ContinuousStatsTable[[#This Row],[ProjectName]])*ProjectInfoTable[ConfidenceInterval]))</f>
        <v>0.95</v>
      </c>
      <c r="R7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5.0404268221927347E-2</v>
      </c>
      <c r="S792" cm="1">
        <f t="array" ref="S792">MIN(IF((ContinuousStatsTable[GroupByKey]=ContinuousStatsTable[[#This Row],[GroupByKey]]),(ContinuousStatsTable[GroupByKey]=ContinuousStatsTable[[#This Row],[GroupByKey]])*ContinuousStatsTable[Average]))</f>
        <v>0.36555656561218303</v>
      </c>
      <c r="T792" cm="1">
        <f t="array" ref="T792">MAX(IF((ContinuousStatsTable[GroupByKey]=ContinuousStatsTable[[#This Row],[GroupByKey]]),(ContinuousStatsTable[GroupByKey]=ContinuousStatsTable[[#This Row],[GroupByKey]])*ContinuousStatsTable[Average]))</f>
        <v>0.59886206518967</v>
      </c>
      <c r="U792">
        <f>IF((ContinuousStatsTable[[#This Row],[RepsRequested]]&gt;1),ContinuousStatsTable[[#This Row],[HalfWidth]],ContinuousStatsTable[[#This Row],[BatchMeansHalfWidth]])</f>
        <v>5.0404268221927347E-2</v>
      </c>
    </row>
    <row r="793" spans="1:21" x14ac:dyDescent="0.25">
      <c r="A793" t="s">
        <v>67</v>
      </c>
      <c r="B793" t="s">
        <v>243</v>
      </c>
      <c r="C793">
        <v>10</v>
      </c>
      <c r="D793" t="s">
        <v>126</v>
      </c>
      <c r="E793" t="s">
        <v>114</v>
      </c>
      <c r="F793" t="s">
        <v>113</v>
      </c>
      <c r="G793">
        <v>1.4622262624487301</v>
      </c>
      <c r="H793">
        <v>3E+20</v>
      </c>
      <c r="I793">
        <v>0</v>
      </c>
      <c r="J793">
        <v>2</v>
      </c>
      <c r="K793">
        <v>2</v>
      </c>
      <c r="L793">
        <v>0</v>
      </c>
      <c r="M793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793" cm="1">
        <f t="array" ref="N793">MAX(IF((ProjectInfoTable[ProjectName]=ContinuousStatsTable[[#This Row],[ProjectName]]),(ProjectInfoTable[ProjectName]=ContinuousStatsTable[[#This Row],[ProjectName]])*ProjectInfoTable[NumberOfReplications]))</f>
        <v>10</v>
      </c>
      <c r="O793" cm="1">
        <f t="array" ref="O793">IFERROR(AVERAGE(IF((ContinuousStatsTable[GroupByKey]=ContinuousStatsTable[[#This Row],[GroupByKey]]),(ContinuousStatsTable[GroupByKey]=ContinuousStatsTable[[#This Row],[GroupByKey]])*ContinuousStatsTable[Average])),0)</f>
        <v>2.0956578326002671</v>
      </c>
      <c r="P793" cm="1">
        <f t="array" ref="P793">IFERROR(_xlfn.STDEV.S(IF((ContinuousStatsTable[GroupByKey]=ContinuousStatsTable[[#This Row],[GroupByKey]]),(ContinuousStatsTable[GroupByKey]=ContinuousStatsTable[[#This Row],[GroupByKey]])*ContinuousStatsTable[Average])),0)</f>
        <v>0.28184123366242902</v>
      </c>
      <c r="Q793" cm="1">
        <f t="array" ref="Q793">MAX(IF((ProjectInfoTable[ProjectName]=ContinuousStatsTable[[#This Row],[ProjectName]]),(ProjectInfoTable[ProjectName]=ContinuousStatsTable[[#This Row],[ProjectName]])*ProjectInfoTable[ConfidenceInterval]))</f>
        <v>0.95</v>
      </c>
      <c r="R7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0.20161707288771036</v>
      </c>
      <c r="S793" cm="1">
        <f t="array" ref="S793">MIN(IF((ContinuousStatsTable[GroupByKey]=ContinuousStatsTable[[#This Row],[GroupByKey]]),(ContinuousStatsTable[GroupByKey]=ContinuousStatsTable[[#This Row],[GroupByKey]])*ContinuousStatsTable[Average]))</f>
        <v>1.4622262624487301</v>
      </c>
      <c r="T793" cm="1">
        <f t="array" ref="T793">MAX(IF((ContinuousStatsTable[GroupByKey]=ContinuousStatsTable[[#This Row],[GroupByKey]]),(ContinuousStatsTable[GroupByKey]=ContinuousStatsTable[[#This Row],[GroupByKey]])*ContinuousStatsTable[Average]))</f>
        <v>2.39544826075868</v>
      </c>
      <c r="U793">
        <f>IF((ContinuousStatsTable[[#This Row],[RepsRequested]]&gt;1),ContinuousStatsTable[[#This Row],[HalfWidth]],ContinuousStatsTable[[#This Row],[BatchMeansHalfWidth]])</f>
        <v>0.20161707288771036</v>
      </c>
    </row>
    <row r="794" spans="1:21" x14ac:dyDescent="0.25">
      <c r="A794" t="s">
        <v>67</v>
      </c>
      <c r="B794" t="s">
        <v>243</v>
      </c>
      <c r="C794">
        <v>10</v>
      </c>
      <c r="D794" t="s">
        <v>126</v>
      </c>
      <c r="E794" t="s">
        <v>115</v>
      </c>
      <c r="F794" t="s">
        <v>113</v>
      </c>
      <c r="G794">
        <v>4</v>
      </c>
      <c r="H794">
        <v>2E+20</v>
      </c>
      <c r="I794">
        <v>4</v>
      </c>
      <c r="J794">
        <v>4</v>
      </c>
      <c r="K794">
        <v>4</v>
      </c>
      <c r="L794">
        <v>0</v>
      </c>
      <c r="M794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794" cm="1">
        <f t="array" ref="N794">MAX(IF((ProjectInfoTable[ProjectName]=ContinuousStatsTable[[#This Row],[ProjectName]]),(ProjectInfoTable[ProjectName]=ContinuousStatsTable[[#This Row],[ProjectName]])*ProjectInfoTable[NumberOfReplications]))</f>
        <v>10</v>
      </c>
      <c r="O794" cm="1">
        <f t="array" ref="O794">IFERROR(AVERAGE(IF((ContinuousStatsTable[GroupByKey]=ContinuousStatsTable[[#This Row],[GroupByKey]]),(ContinuousStatsTable[GroupByKey]=ContinuousStatsTable[[#This Row],[GroupByKey]])*ContinuousStatsTable[Average])),0)</f>
        <v>4</v>
      </c>
      <c r="P794" cm="1">
        <f t="array" ref="P794">IFERROR(_xlfn.STDEV.S(IF((ContinuousStatsTable[GroupByKey]=ContinuousStatsTable[[#This Row],[GroupByKey]]),(ContinuousStatsTable[GroupByKey]=ContinuousStatsTable[[#This Row],[GroupByKey]])*ContinuousStatsTable[Average])),0)</f>
        <v>0</v>
      </c>
      <c r="Q794" cm="1">
        <f t="array" ref="Q794">MAX(IF((ProjectInfoTable[ProjectName]=ContinuousStatsTable[[#This Row],[ProjectName]]),(ProjectInfoTable[ProjectName]=ContinuousStatsTable[[#This Row],[ProjectName]])*ProjectInfoTable[ConfidenceInterval]))</f>
        <v>0.95</v>
      </c>
      <c r="R7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4" cm="1">
        <f t="array" ref="S794">MIN(IF((ContinuousStatsTable[GroupByKey]=ContinuousStatsTable[[#This Row],[GroupByKey]]),(ContinuousStatsTable[GroupByKey]=ContinuousStatsTable[[#This Row],[GroupByKey]])*ContinuousStatsTable[Average]))</f>
        <v>4</v>
      </c>
      <c r="T794" cm="1">
        <f t="array" ref="T794">MAX(IF((ContinuousStatsTable[GroupByKey]=ContinuousStatsTable[[#This Row],[GroupByKey]]),(ContinuousStatsTable[GroupByKey]=ContinuousStatsTable[[#This Row],[GroupByKey]])*ContinuousStatsTable[Average]))</f>
        <v>4</v>
      </c>
      <c r="U794">
        <f>IF((ContinuousStatsTable[[#This Row],[RepsRequested]]&gt;1),ContinuousStatsTable[[#This Row],[HalfWidth]],ContinuousStatsTable[[#This Row],[BatchMeansHalfWidth]])</f>
        <v>0</v>
      </c>
    </row>
    <row r="795" spans="1:21" x14ac:dyDescent="0.25">
      <c r="A795" t="s">
        <v>67</v>
      </c>
      <c r="B795" t="s">
        <v>243</v>
      </c>
      <c r="C795">
        <v>10</v>
      </c>
      <c r="D795" t="s">
        <v>127</v>
      </c>
      <c r="E795" t="s">
        <v>112</v>
      </c>
      <c r="F795" t="s">
        <v>113</v>
      </c>
      <c r="G795">
        <v>0.149575791309499</v>
      </c>
      <c r="H795">
        <v>3E+20</v>
      </c>
      <c r="I795">
        <v>0</v>
      </c>
      <c r="J795">
        <v>1</v>
      </c>
      <c r="K795">
        <v>0</v>
      </c>
      <c r="L795">
        <v>0</v>
      </c>
      <c r="M795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795" cm="1">
        <f t="array" ref="N795">MAX(IF((ProjectInfoTable[ProjectName]=ContinuousStatsTable[[#This Row],[ProjectName]]),(ProjectInfoTable[ProjectName]=ContinuousStatsTable[[#This Row],[ProjectName]])*ProjectInfoTable[NumberOfReplications]))</f>
        <v>10</v>
      </c>
      <c r="O795" cm="1">
        <f t="array" ref="O795">IFERROR(AVERAGE(IF((ContinuousStatsTable[GroupByKey]=ContinuousStatsTable[[#This Row],[GroupByKey]]),(ContinuousStatsTable[GroupByKey]=ContinuousStatsTable[[#This Row],[GroupByKey]])*ContinuousStatsTable[Average])),0)</f>
        <v>0.14955853655775292</v>
      </c>
      <c r="P795" cm="1">
        <f t="array" ref="P795">IFERROR(_xlfn.STDEV.S(IF((ContinuousStatsTable[GroupByKey]=ContinuousStatsTable[[#This Row],[GroupByKey]]),(ContinuousStatsTable[GroupByKey]=ContinuousStatsTable[[#This Row],[GroupByKey]])*ContinuousStatsTable[Average])),0)</f>
        <v>1.8487754554887928E-4</v>
      </c>
      <c r="Q795" cm="1">
        <f t="array" ref="Q795">MAX(IF((ProjectInfoTable[ProjectName]=ContinuousStatsTable[[#This Row],[ProjectName]]),(ProjectInfoTable[ProjectName]=ContinuousStatsTable[[#This Row],[ProjectName]])*ProjectInfoTable[ConfidenceInterval]))</f>
        <v>0.95</v>
      </c>
      <c r="R7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1.3225342896729691E-4</v>
      </c>
      <c r="S795" cm="1">
        <f t="array" ref="S795">MIN(IF((ContinuousStatsTable[GroupByKey]=ContinuousStatsTable[[#This Row],[GroupByKey]]),(ContinuousStatsTable[GroupByKey]=ContinuousStatsTable[[#This Row],[GroupByKey]])*ContinuousStatsTable[Average]))</f>
        <v>0.14921189842985499</v>
      </c>
      <c r="T795" cm="1">
        <f t="array" ref="T795">MAX(IF((ContinuousStatsTable[GroupByKey]=ContinuousStatsTable[[#This Row],[GroupByKey]]),(ContinuousStatsTable[GroupByKey]=ContinuousStatsTable[[#This Row],[GroupByKey]])*ContinuousStatsTable[Average]))</f>
        <v>0.14985050053976801</v>
      </c>
      <c r="U795">
        <f>IF((ContinuousStatsTable[[#This Row],[RepsRequested]]&gt;1),ContinuousStatsTable[[#This Row],[HalfWidth]],ContinuousStatsTable[[#This Row],[BatchMeansHalfWidth]])</f>
        <v>1.3225342896729691E-4</v>
      </c>
    </row>
    <row r="796" spans="1:21" x14ac:dyDescent="0.25">
      <c r="A796" t="s">
        <v>67</v>
      </c>
      <c r="B796" t="s">
        <v>243</v>
      </c>
      <c r="C796">
        <v>10</v>
      </c>
      <c r="D796" t="s">
        <v>127</v>
      </c>
      <c r="E796" t="s">
        <v>114</v>
      </c>
      <c r="F796" t="s">
        <v>113</v>
      </c>
      <c r="G796">
        <v>0.29915158261899799</v>
      </c>
      <c r="H796">
        <v>3E+20</v>
      </c>
      <c r="I796">
        <v>0</v>
      </c>
      <c r="J796">
        <v>2</v>
      </c>
      <c r="K796">
        <v>0</v>
      </c>
      <c r="L796">
        <v>0</v>
      </c>
      <c r="M796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796" cm="1">
        <f t="array" ref="N796">MAX(IF((ProjectInfoTable[ProjectName]=ContinuousStatsTable[[#This Row],[ProjectName]]),(ProjectInfoTable[ProjectName]=ContinuousStatsTable[[#This Row],[ProjectName]])*ProjectInfoTable[NumberOfReplications]))</f>
        <v>10</v>
      </c>
      <c r="O796" cm="1">
        <f t="array" ref="O796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796" cm="1">
        <f t="array" ref="P796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796" cm="1">
        <f t="array" ref="Q796">MAX(IF((ProjectInfoTable[ProjectName]=ContinuousStatsTable[[#This Row],[ProjectName]]),(ProjectInfoTable[ProjectName]=ContinuousStatsTable[[#This Row],[ProjectName]])*ProjectInfoTable[ConfidenceInterval]))</f>
        <v>0.95</v>
      </c>
      <c r="R7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796" cm="1">
        <f t="array" ref="S796">MIN(IF((ContinuousStatsTable[GroupByKey]=ContinuousStatsTable[[#This Row],[GroupByKey]]),(ContinuousStatsTable[GroupByKey]=ContinuousStatsTable[[#This Row],[GroupByKey]])*ContinuousStatsTable[Average]))</f>
        <v>0.29842379685970999</v>
      </c>
      <c r="T796" cm="1">
        <f t="array" ref="T796">MAX(IF((ContinuousStatsTable[GroupByKey]=ContinuousStatsTable[[#This Row],[GroupByKey]]),(ContinuousStatsTable[GroupByKey]=ContinuousStatsTable[[#This Row],[GroupByKey]])*ContinuousStatsTable[Average]))</f>
        <v>0.29970100107953501</v>
      </c>
      <c r="U796">
        <f>IF((ContinuousStatsTable[[#This Row],[RepsRequested]]&gt;1),ContinuousStatsTable[[#This Row],[HalfWidth]],ContinuousStatsTable[[#This Row],[BatchMeansHalfWidth]])</f>
        <v>2.6450685793468105E-4</v>
      </c>
    </row>
    <row r="797" spans="1:21" x14ac:dyDescent="0.25">
      <c r="A797" t="s">
        <v>67</v>
      </c>
      <c r="B797" t="s">
        <v>243</v>
      </c>
      <c r="C797">
        <v>10</v>
      </c>
      <c r="D797" t="s">
        <v>127</v>
      </c>
      <c r="E797" t="s">
        <v>115</v>
      </c>
      <c r="F797" t="s">
        <v>113</v>
      </c>
      <c r="G797">
        <v>2</v>
      </c>
      <c r="H797">
        <v>2E+20</v>
      </c>
      <c r="I797">
        <v>2</v>
      </c>
      <c r="J797">
        <v>2</v>
      </c>
      <c r="K797">
        <v>2</v>
      </c>
      <c r="L797">
        <v>0</v>
      </c>
      <c r="M797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797" cm="1">
        <f t="array" ref="N797">MAX(IF((ProjectInfoTable[ProjectName]=ContinuousStatsTable[[#This Row],[ProjectName]]),(ProjectInfoTable[ProjectName]=ContinuousStatsTable[[#This Row],[ProjectName]])*ProjectInfoTable[NumberOfReplications]))</f>
        <v>10</v>
      </c>
      <c r="O797" cm="1">
        <f t="array" ref="O797">IFERROR(AVERAGE(IF((ContinuousStatsTable[GroupByKey]=ContinuousStatsTable[[#This Row],[GroupByKey]]),(ContinuousStatsTable[GroupByKey]=ContinuousStatsTable[[#This Row],[GroupByKey]])*ContinuousStatsTable[Average])),0)</f>
        <v>2</v>
      </c>
      <c r="P797" cm="1">
        <f t="array" ref="P797">IFERROR(_xlfn.STDEV.S(IF((ContinuousStatsTable[GroupByKey]=ContinuousStatsTable[[#This Row],[GroupByKey]]),(ContinuousStatsTable[GroupByKey]=ContinuousStatsTable[[#This Row],[GroupByKey]])*ContinuousStatsTable[Average])),0)</f>
        <v>0</v>
      </c>
      <c r="Q797" cm="1">
        <f t="array" ref="Q797">MAX(IF((ProjectInfoTable[ProjectName]=ContinuousStatsTable[[#This Row],[ProjectName]]),(ProjectInfoTable[ProjectName]=ContinuousStatsTable[[#This Row],[ProjectName]])*ProjectInfoTable[ConfidenceInterval]))</f>
        <v>0.95</v>
      </c>
      <c r="R7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7" cm="1">
        <f t="array" ref="S797">MIN(IF((ContinuousStatsTable[GroupByKey]=ContinuousStatsTable[[#This Row],[GroupByKey]]),(ContinuousStatsTable[GroupByKey]=ContinuousStatsTable[[#This Row],[GroupByKey]])*ContinuousStatsTable[Average]))</f>
        <v>2</v>
      </c>
      <c r="T797" cm="1">
        <f t="array" ref="T797">MAX(IF((ContinuousStatsTable[GroupByKey]=ContinuousStatsTable[[#This Row],[GroupByKey]]),(ContinuousStatsTable[GroupByKey]=ContinuousStatsTable[[#This Row],[GroupByKey]])*ContinuousStatsTable[Average]))</f>
        <v>2</v>
      </c>
      <c r="U797">
        <f>IF((ContinuousStatsTable[[#This Row],[RepsRequested]]&gt;1),ContinuousStatsTable[[#This Row],[HalfWidth]],ContinuousStatsTable[[#This Row],[BatchMeansHalfWidth]])</f>
        <v>0</v>
      </c>
    </row>
    <row r="798" spans="1:21" x14ac:dyDescent="0.25">
      <c r="A798" t="s">
        <v>67</v>
      </c>
      <c r="B798" t="s">
        <v>243</v>
      </c>
      <c r="C798">
        <v>10</v>
      </c>
      <c r="D798" t="s">
        <v>128</v>
      </c>
      <c r="E798" t="s">
        <v>112</v>
      </c>
      <c r="F798" t="s">
        <v>113</v>
      </c>
      <c r="G798">
        <v>0.80781939617604404</v>
      </c>
      <c r="H798">
        <v>3E+20</v>
      </c>
      <c r="I798">
        <v>0</v>
      </c>
      <c r="J798">
        <v>1</v>
      </c>
      <c r="K798">
        <v>0.6</v>
      </c>
      <c r="L798">
        <v>0</v>
      </c>
      <c r="M798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798" cm="1">
        <f t="array" ref="N798">MAX(IF((ProjectInfoTable[ProjectName]=ContinuousStatsTable[[#This Row],[ProjectName]]),(ProjectInfoTable[ProjectName]=ContinuousStatsTable[[#This Row],[ProjectName]])*ProjectInfoTable[NumberOfReplications]))</f>
        <v>10</v>
      </c>
      <c r="O798" cm="1">
        <f t="array" ref="O798">IFERROR(AVERAGE(IF((ContinuousStatsTable[GroupByKey]=ContinuousStatsTable[[#This Row],[GroupByKey]]),(ContinuousStatsTable[GroupByKey]=ContinuousStatsTable[[#This Row],[GroupByKey]])*ContinuousStatsTable[Average])),0)</f>
        <v>0.78490250681152507</v>
      </c>
      <c r="P798" cm="1">
        <f t="array" ref="P798">IFERROR(_xlfn.STDEV.S(IF((ContinuousStatsTable[GroupByKey]=ContinuousStatsTable[[#This Row],[GroupByKey]]),(ContinuousStatsTable[GroupByKey]=ContinuousStatsTable[[#This Row],[GroupByKey]])*ContinuousStatsTable[Average])),0)</f>
        <v>0.11345978752761832</v>
      </c>
      <c r="Q798" cm="1">
        <f t="array" ref="Q798">MAX(IF((ProjectInfoTable[ProjectName]=ContinuousStatsTable[[#This Row],[ProjectName]]),(ProjectInfoTable[ProjectName]=ContinuousStatsTable[[#This Row],[ProjectName]])*ProjectInfoTable[ConfidenceInterval]))</f>
        <v>0.95</v>
      </c>
      <c r="R7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8.1164242557846045E-2</v>
      </c>
      <c r="S798" cm="1">
        <f t="array" ref="S798">MIN(IF((ContinuousStatsTable[GroupByKey]=ContinuousStatsTable[[#This Row],[GroupByKey]]),(ContinuousStatsTable[GroupByKey]=ContinuousStatsTable[[#This Row],[GroupByKey]])*ContinuousStatsTable[Average]))</f>
        <v>0.58338388917401696</v>
      </c>
      <c r="T798" cm="1">
        <f t="array" ref="T798">MAX(IF((ContinuousStatsTable[GroupByKey]=ContinuousStatsTable[[#This Row],[GroupByKey]]),(ContinuousStatsTable[GroupByKey]=ContinuousStatsTable[[#This Row],[GroupByKey]])*ContinuousStatsTable[Average]))</f>
        <v>0.90111632059041802</v>
      </c>
      <c r="U798">
        <f>IF((ContinuousStatsTable[[#This Row],[RepsRequested]]&gt;1),ContinuousStatsTable[[#This Row],[HalfWidth]],ContinuousStatsTable[[#This Row],[BatchMeansHalfWidth]])</f>
        <v>8.1164242557846045E-2</v>
      </c>
    </row>
    <row r="799" spans="1:21" x14ac:dyDescent="0.25">
      <c r="A799" t="s">
        <v>67</v>
      </c>
      <c r="B799" t="s">
        <v>243</v>
      </c>
      <c r="C799">
        <v>10</v>
      </c>
      <c r="D799" t="s">
        <v>128</v>
      </c>
      <c r="E799" t="s">
        <v>114</v>
      </c>
      <c r="F799" t="s">
        <v>113</v>
      </c>
      <c r="G799">
        <v>4.0390969808802497</v>
      </c>
      <c r="H799">
        <v>3E+20</v>
      </c>
      <c r="I799">
        <v>0</v>
      </c>
      <c r="J799">
        <v>5</v>
      </c>
      <c r="K799">
        <v>3</v>
      </c>
      <c r="L799">
        <v>0</v>
      </c>
      <c r="M799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799" cm="1">
        <f t="array" ref="N799">MAX(IF((ProjectInfoTable[ProjectName]=ContinuousStatsTable[[#This Row],[ProjectName]]),(ProjectInfoTable[ProjectName]=ContinuousStatsTable[[#This Row],[ProjectName]])*ProjectInfoTable[NumberOfReplications]))</f>
        <v>10</v>
      </c>
      <c r="O799" cm="1">
        <f t="array" ref="O799">IFERROR(AVERAGE(IF((ContinuousStatsTable[GroupByKey]=ContinuousStatsTable[[#This Row],[GroupByKey]]),(ContinuousStatsTable[GroupByKey]=ContinuousStatsTable[[#This Row],[GroupByKey]])*ContinuousStatsTable[Average])),0)</f>
        <v>3.9245125340576221</v>
      </c>
      <c r="P799" cm="1">
        <f t="array" ref="P799">IFERROR(_xlfn.STDEV.S(IF((ContinuousStatsTable[GroupByKey]=ContinuousStatsTable[[#This Row],[GroupByKey]]),(ContinuousStatsTable[GroupByKey]=ContinuousStatsTable[[#This Row],[GroupByKey]])*ContinuousStatsTable[Average])),0)</f>
        <v>0.56729893763807904</v>
      </c>
      <c r="Q799" cm="1">
        <f t="array" ref="Q799">MAX(IF((ProjectInfoTable[ProjectName]=ContinuousStatsTable[[#This Row],[ProjectName]]),(ProjectInfoTable[ProjectName]=ContinuousStatsTable[[#This Row],[ProjectName]])*ProjectInfoTable[ConfidenceInterval]))</f>
        <v>0.95</v>
      </c>
      <c r="R7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0.40582121278922129</v>
      </c>
      <c r="S799" cm="1">
        <f t="array" ref="S799">MIN(IF((ContinuousStatsTable[GroupByKey]=ContinuousStatsTable[[#This Row],[GroupByKey]]),(ContinuousStatsTable[GroupByKey]=ContinuousStatsTable[[#This Row],[GroupByKey]])*ContinuousStatsTable[Average]))</f>
        <v>2.91691944587008</v>
      </c>
      <c r="T799" cm="1">
        <f t="array" ref="T799">MAX(IF((ContinuousStatsTable[GroupByKey]=ContinuousStatsTable[[#This Row],[GroupByKey]]),(ContinuousStatsTable[GroupByKey]=ContinuousStatsTable[[#This Row],[GroupByKey]])*ContinuousStatsTable[Average]))</f>
        <v>4.5055816029520903</v>
      </c>
      <c r="U799">
        <f>IF((ContinuousStatsTable[[#This Row],[RepsRequested]]&gt;1),ContinuousStatsTable[[#This Row],[HalfWidth]],ContinuousStatsTable[[#This Row],[BatchMeansHalfWidth]])</f>
        <v>0.40582121278922129</v>
      </c>
    </row>
    <row r="800" spans="1:21" x14ac:dyDescent="0.25">
      <c r="A800" t="s">
        <v>67</v>
      </c>
      <c r="B800" t="s">
        <v>243</v>
      </c>
      <c r="C800">
        <v>10</v>
      </c>
      <c r="D800" t="s">
        <v>128</v>
      </c>
      <c r="E800" t="s">
        <v>115</v>
      </c>
      <c r="F800" t="s">
        <v>113</v>
      </c>
      <c r="G800">
        <v>5</v>
      </c>
      <c r="H800">
        <v>2E+20</v>
      </c>
      <c r="I800">
        <v>5</v>
      </c>
      <c r="J800">
        <v>5</v>
      </c>
      <c r="K800">
        <v>5</v>
      </c>
      <c r="L800">
        <v>0</v>
      </c>
      <c r="M800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800" cm="1">
        <f t="array" ref="N800">MAX(IF((ProjectInfoTable[ProjectName]=ContinuousStatsTable[[#This Row],[ProjectName]]),(ProjectInfoTable[ProjectName]=ContinuousStatsTable[[#This Row],[ProjectName]])*ProjectInfoTable[NumberOfReplications]))</f>
        <v>10</v>
      </c>
      <c r="O800" cm="1">
        <f t="array" ref="O800">IFERROR(AVERAGE(IF((ContinuousStatsTable[GroupByKey]=ContinuousStatsTable[[#This Row],[GroupByKey]]),(ContinuousStatsTable[GroupByKey]=ContinuousStatsTable[[#This Row],[GroupByKey]])*ContinuousStatsTable[Average])),0)</f>
        <v>5</v>
      </c>
      <c r="P800" cm="1">
        <f t="array" ref="P800">IFERROR(_xlfn.STDEV.S(IF((ContinuousStatsTable[GroupByKey]=ContinuousStatsTable[[#This Row],[GroupByKey]]),(ContinuousStatsTable[GroupByKey]=ContinuousStatsTable[[#This Row],[GroupByKey]])*ContinuousStatsTable[Average])),0)</f>
        <v>0</v>
      </c>
      <c r="Q800" cm="1">
        <f t="array" ref="Q800">MAX(IF((ProjectInfoTable[ProjectName]=ContinuousStatsTable[[#This Row],[ProjectName]]),(ProjectInfoTable[ProjectName]=ContinuousStatsTable[[#This Row],[ProjectName]])*ProjectInfoTable[ConfidenceInterval]))</f>
        <v>0.95</v>
      </c>
      <c r="R8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0" cm="1">
        <f t="array" ref="S800">MIN(IF((ContinuousStatsTable[GroupByKey]=ContinuousStatsTable[[#This Row],[GroupByKey]]),(ContinuousStatsTable[GroupByKey]=ContinuousStatsTable[[#This Row],[GroupByKey]])*ContinuousStatsTable[Average]))</f>
        <v>5</v>
      </c>
      <c r="T800" cm="1">
        <f t="array" ref="T800">MAX(IF((ContinuousStatsTable[GroupByKey]=ContinuousStatsTable[[#This Row],[GroupByKey]]),(ContinuousStatsTable[GroupByKey]=ContinuousStatsTable[[#This Row],[GroupByKey]])*ContinuousStatsTable[Average]))</f>
        <v>5</v>
      </c>
      <c r="U800">
        <f>IF((ContinuousStatsTable[[#This Row],[RepsRequested]]&gt;1),ContinuousStatsTable[[#This Row],[HalfWidth]],ContinuousStatsTable[[#This Row],[BatchMeansHalfWidth]])</f>
        <v>0</v>
      </c>
    </row>
    <row r="801" spans="1:21" x14ac:dyDescent="0.25">
      <c r="A801" t="s">
        <v>67</v>
      </c>
      <c r="B801" t="s">
        <v>243</v>
      </c>
      <c r="C801">
        <v>10</v>
      </c>
      <c r="D801" t="s">
        <v>129</v>
      </c>
      <c r="E801" t="s">
        <v>112</v>
      </c>
      <c r="F801" t="s">
        <v>113</v>
      </c>
      <c r="G801">
        <v>0.15879494389172899</v>
      </c>
      <c r="H801">
        <v>2E+20</v>
      </c>
      <c r="I801">
        <v>0</v>
      </c>
      <c r="J801">
        <v>0.66666666666666696</v>
      </c>
      <c r="K801">
        <v>0</v>
      </c>
      <c r="L801">
        <v>0</v>
      </c>
      <c r="M801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801" cm="1">
        <f t="array" ref="N801">MAX(IF((ProjectInfoTable[ProjectName]=ContinuousStatsTable[[#This Row],[ProjectName]]),(ProjectInfoTable[ProjectName]=ContinuousStatsTable[[#This Row],[ProjectName]])*ProjectInfoTable[NumberOfReplications]))</f>
        <v>10</v>
      </c>
      <c r="O801" cm="1">
        <f t="array" ref="O801">IFERROR(AVERAGE(IF((ContinuousStatsTable[GroupByKey]=ContinuousStatsTable[[#This Row],[GroupByKey]]),(ContinuousStatsTable[GroupByKey]=ContinuousStatsTable[[#This Row],[GroupByKey]])*ContinuousStatsTable[Average])),0)</f>
        <v>0.15879210791146137</v>
      </c>
      <c r="P801" cm="1">
        <f t="array" ref="P801">IFERROR(_xlfn.STDEV.S(IF((ContinuousStatsTable[GroupByKey]=ContinuousStatsTable[[#This Row],[GroupByKey]]),(ContinuousStatsTable[GroupByKey]=ContinuousStatsTable[[#This Row],[GroupByKey]])*ContinuousStatsTable[Average])),0)</f>
        <v>8.8786593845171554E-6</v>
      </c>
      <c r="Q801" cm="1">
        <f t="array" ref="Q801">MAX(IF((ProjectInfoTable[ProjectName]=ContinuousStatsTable[[#This Row],[ProjectName]]),(ProjectInfoTable[ProjectName]=ContinuousStatsTable[[#This Row],[ProjectName]])*ProjectInfoTable[ConfidenceInterval]))</f>
        <v>0.95</v>
      </c>
      <c r="R8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6.3514103064755986E-6</v>
      </c>
      <c r="S801" cm="1">
        <f t="array" ref="S801">MIN(IF((ContinuousStatsTable[GroupByKey]=ContinuousStatsTable[[#This Row],[GroupByKey]]),(ContinuousStatsTable[GroupByKey]=ContinuousStatsTable[[#This Row],[GroupByKey]])*ContinuousStatsTable[Average]))</f>
        <v>0.15877821852350199</v>
      </c>
      <c r="T801" cm="1">
        <f t="array" ref="T801">MAX(IF((ContinuousStatsTable[GroupByKey]=ContinuousStatsTable[[#This Row],[GroupByKey]]),(ContinuousStatsTable[GroupByKey]=ContinuousStatsTable[[#This Row],[GroupByKey]])*ContinuousStatsTable[Average]))</f>
        <v>0.15880443244107401</v>
      </c>
      <c r="U801">
        <f>IF((ContinuousStatsTable[[#This Row],[RepsRequested]]&gt;1),ContinuousStatsTable[[#This Row],[HalfWidth]],ContinuousStatsTable[[#This Row],[BatchMeansHalfWidth]])</f>
        <v>6.3514103064755986E-6</v>
      </c>
    </row>
    <row r="802" spans="1:21" x14ac:dyDescent="0.25">
      <c r="A802" t="s">
        <v>67</v>
      </c>
      <c r="B802" t="s">
        <v>243</v>
      </c>
      <c r="C802">
        <v>10</v>
      </c>
      <c r="D802" t="s">
        <v>129</v>
      </c>
      <c r="E802" t="s">
        <v>114</v>
      </c>
      <c r="F802" t="s">
        <v>113</v>
      </c>
      <c r="G802">
        <v>0.47638483167518703</v>
      </c>
      <c r="H802">
        <v>2E+20</v>
      </c>
      <c r="I802">
        <v>0</v>
      </c>
      <c r="J802">
        <v>2</v>
      </c>
      <c r="K802">
        <v>0</v>
      </c>
      <c r="L802">
        <v>0</v>
      </c>
      <c r="M802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802" cm="1">
        <f t="array" ref="N802">MAX(IF((ProjectInfoTable[ProjectName]=ContinuousStatsTable[[#This Row],[ProjectName]]),(ProjectInfoTable[ProjectName]=ContinuousStatsTable[[#This Row],[ProjectName]])*ProjectInfoTable[NumberOfReplications]))</f>
        <v>10</v>
      </c>
      <c r="O802" cm="1">
        <f t="array" ref="O802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802" cm="1">
        <f t="array" ref="P802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802" cm="1">
        <f t="array" ref="Q802">MAX(IF((ProjectInfoTable[ProjectName]=ContinuousStatsTable[[#This Row],[ProjectName]]),(ProjectInfoTable[ProjectName]=ContinuousStatsTable[[#This Row],[ProjectName]])*ProjectInfoTable[ConfidenceInterval]))</f>
        <v>0.95</v>
      </c>
      <c r="R8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802" cm="1">
        <f t="array" ref="S802">MIN(IF((ContinuousStatsTable[GroupByKey]=ContinuousStatsTable[[#This Row],[GroupByKey]]),(ContinuousStatsTable[GroupByKey]=ContinuousStatsTable[[#This Row],[GroupByKey]])*ContinuousStatsTable[Average]))</f>
        <v>0.47633465557050603</v>
      </c>
      <c r="T802" cm="1">
        <f t="array" ref="T802">MAX(IF((ContinuousStatsTable[GroupByKey]=ContinuousStatsTable[[#This Row],[GroupByKey]]),(ContinuousStatsTable[GroupByKey]=ContinuousStatsTable[[#This Row],[GroupByKey]])*ContinuousStatsTable[Average]))</f>
        <v>0.47641329732322302</v>
      </c>
      <c r="U802">
        <f>IF((ContinuousStatsTable[[#This Row],[RepsRequested]]&gt;1),ContinuousStatsTable[[#This Row],[HalfWidth]],ContinuousStatsTable[[#This Row],[BatchMeansHalfWidth]])</f>
        <v>1.9054230919217752E-5</v>
      </c>
    </row>
    <row r="803" spans="1:21" x14ac:dyDescent="0.25">
      <c r="A803" t="s">
        <v>67</v>
      </c>
      <c r="B803" t="s">
        <v>243</v>
      </c>
      <c r="C803">
        <v>10</v>
      </c>
      <c r="D803" t="s">
        <v>129</v>
      </c>
      <c r="E803" t="s">
        <v>115</v>
      </c>
      <c r="F803" t="s">
        <v>113</v>
      </c>
      <c r="G803">
        <v>3</v>
      </c>
      <c r="H803">
        <v>2E+20</v>
      </c>
      <c r="I803">
        <v>3</v>
      </c>
      <c r="J803">
        <v>3</v>
      </c>
      <c r="K803">
        <v>3</v>
      </c>
      <c r="L803">
        <v>0</v>
      </c>
      <c r="M803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803" cm="1">
        <f t="array" ref="N803">MAX(IF((ProjectInfoTable[ProjectName]=ContinuousStatsTable[[#This Row],[ProjectName]]),(ProjectInfoTable[ProjectName]=ContinuousStatsTable[[#This Row],[ProjectName]])*ProjectInfoTable[NumberOfReplications]))</f>
        <v>10</v>
      </c>
      <c r="O803" cm="1">
        <f t="array" ref="O803">IFERROR(AVERAGE(IF((ContinuousStatsTable[GroupByKey]=ContinuousStatsTable[[#This Row],[GroupByKey]]),(ContinuousStatsTable[GroupByKey]=ContinuousStatsTable[[#This Row],[GroupByKey]])*ContinuousStatsTable[Average])),0)</f>
        <v>3</v>
      </c>
      <c r="P803" cm="1">
        <f t="array" ref="P803">IFERROR(_xlfn.STDEV.S(IF((ContinuousStatsTable[GroupByKey]=ContinuousStatsTable[[#This Row],[GroupByKey]]),(ContinuousStatsTable[GroupByKey]=ContinuousStatsTable[[#This Row],[GroupByKey]])*ContinuousStatsTable[Average])),0)</f>
        <v>0</v>
      </c>
      <c r="Q803" cm="1">
        <f t="array" ref="Q803">MAX(IF((ProjectInfoTable[ProjectName]=ContinuousStatsTable[[#This Row],[ProjectName]]),(ProjectInfoTable[ProjectName]=ContinuousStatsTable[[#This Row],[ProjectName]])*ProjectInfoTable[ConfidenceInterval]))</f>
        <v>0.95</v>
      </c>
      <c r="R8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3" cm="1">
        <f t="array" ref="S803">MIN(IF((ContinuousStatsTable[GroupByKey]=ContinuousStatsTable[[#This Row],[GroupByKey]]),(ContinuousStatsTable[GroupByKey]=ContinuousStatsTable[[#This Row],[GroupByKey]])*ContinuousStatsTable[Average]))</f>
        <v>3</v>
      </c>
      <c r="T803" cm="1">
        <f t="array" ref="T803">MAX(IF((ContinuousStatsTable[GroupByKey]=ContinuousStatsTable[[#This Row],[GroupByKey]]),(ContinuousStatsTable[GroupByKey]=ContinuousStatsTable[[#This Row],[GroupByKey]])*ContinuousStatsTable[Average]))</f>
        <v>3</v>
      </c>
      <c r="U803">
        <f>IF((ContinuousStatsTable[[#This Row],[RepsRequested]]&gt;1),ContinuousStatsTable[[#This Row],[HalfWidth]],ContinuousStatsTable[[#This Row],[BatchMeansHalfWidth]])</f>
        <v>0</v>
      </c>
    </row>
    <row r="804" spans="1:21" x14ac:dyDescent="0.25">
      <c r="A804" t="s">
        <v>67</v>
      </c>
      <c r="B804" t="s">
        <v>243</v>
      </c>
      <c r="C804">
        <v>10</v>
      </c>
      <c r="D804" t="s">
        <v>130</v>
      </c>
      <c r="E804" t="s">
        <v>112</v>
      </c>
      <c r="F804" t="s">
        <v>113</v>
      </c>
      <c r="G804">
        <v>0.47641475473779799</v>
      </c>
      <c r="H804">
        <v>2E+20</v>
      </c>
      <c r="I804">
        <v>0</v>
      </c>
      <c r="J804">
        <v>1</v>
      </c>
      <c r="K804">
        <v>0</v>
      </c>
      <c r="L804">
        <v>0</v>
      </c>
      <c r="M804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804" cm="1">
        <f t="array" ref="N804">MAX(IF((ProjectInfoTable[ProjectName]=ContinuousStatsTable[[#This Row],[ProjectName]]),(ProjectInfoTable[ProjectName]=ContinuousStatsTable[[#This Row],[ProjectName]])*ProjectInfoTable[NumberOfReplications]))</f>
        <v>10</v>
      </c>
      <c r="O804" cm="1">
        <f t="array" ref="O804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804" cm="1">
        <f t="array" ref="P804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804" cm="1">
        <f t="array" ref="Q804">MAX(IF((ProjectInfoTable[ProjectName]=ContinuousStatsTable[[#This Row],[ProjectName]]),(ProjectInfoTable[ProjectName]=ContinuousStatsTable[[#This Row],[ProjectName]])*ProjectInfoTable[ConfidenceInterval]))</f>
        <v>0.95</v>
      </c>
      <c r="R8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804" cm="1">
        <f t="array" ref="S804">MIN(IF((ContinuousStatsTable[GroupByKey]=ContinuousStatsTable[[#This Row],[GroupByKey]]),(ContinuousStatsTable[GroupByKey]=ContinuousStatsTable[[#This Row],[GroupByKey]])*ContinuousStatsTable[Average]))</f>
        <v>0.47638046343127</v>
      </c>
      <c r="T804" cm="1">
        <f t="array" ref="T804">MAX(IF((ContinuousStatsTable[GroupByKey]=ContinuousStatsTable[[#This Row],[GroupByKey]]),(ContinuousStatsTable[GroupByKey]=ContinuousStatsTable[[#This Row],[GroupByKey]])*ContinuousStatsTable[Average]))</f>
        <v>0.47647340349894202</v>
      </c>
      <c r="U804">
        <f>IF((ContinuousStatsTable[[#This Row],[RepsRequested]]&gt;1),ContinuousStatsTable[[#This Row],[HalfWidth]],ContinuousStatsTable[[#This Row],[BatchMeansHalfWidth]])</f>
        <v>2.530338482140405E-5</v>
      </c>
    </row>
    <row r="805" spans="1:21" x14ac:dyDescent="0.25">
      <c r="A805" t="s">
        <v>67</v>
      </c>
      <c r="B805" t="s">
        <v>243</v>
      </c>
      <c r="C805">
        <v>10</v>
      </c>
      <c r="D805" t="s">
        <v>130</v>
      </c>
      <c r="E805" t="s">
        <v>114</v>
      </c>
      <c r="F805" t="s">
        <v>113</v>
      </c>
      <c r="G805">
        <v>0.47641475473779799</v>
      </c>
      <c r="H805">
        <v>2E+20</v>
      </c>
      <c r="I805">
        <v>0</v>
      </c>
      <c r="J805">
        <v>1</v>
      </c>
      <c r="K805">
        <v>0</v>
      </c>
      <c r="L805">
        <v>0</v>
      </c>
      <c r="M805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805" cm="1">
        <f t="array" ref="N805">MAX(IF((ProjectInfoTable[ProjectName]=ContinuousStatsTable[[#This Row],[ProjectName]]),(ProjectInfoTable[ProjectName]=ContinuousStatsTable[[#This Row],[ProjectName]])*ProjectInfoTable[NumberOfReplications]))</f>
        <v>10</v>
      </c>
      <c r="O805" cm="1">
        <f t="array" ref="O805">IFERROR(AVERAGE(IF((ContinuousStatsTable[GroupByKey]=ContinuousStatsTable[[#This Row],[GroupByKey]]),(ContinuousStatsTable[GroupByKey]=ContinuousStatsTable[[#This Row],[GroupByKey]])*ContinuousStatsTable[Average])),0)</f>
        <v>0.4764197469396344</v>
      </c>
      <c r="P805" cm="1">
        <f t="array" ref="P805">IFERROR(_xlfn.STDEV.S(IF((ContinuousStatsTable[GroupByKey]=ContinuousStatsTable[[#This Row],[GroupByKey]]),(ContinuousStatsTable[GroupByKey]=ContinuousStatsTable[[#This Row],[GroupByKey]])*ContinuousStatsTable[Average])),0)</f>
        <v>3.5371692941259857E-5</v>
      </c>
      <c r="Q805" cm="1">
        <f t="array" ref="Q805">MAX(IF((ProjectInfoTable[ProjectName]=ContinuousStatsTable[[#This Row],[ProjectName]]),(ProjectInfoTable[ProjectName]=ContinuousStatsTable[[#This Row],[ProjectName]])*ProjectInfoTable[ConfidenceInterval]))</f>
        <v>0.95</v>
      </c>
      <c r="R8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2.530338482140405E-5</v>
      </c>
      <c r="S805" cm="1">
        <f t="array" ref="S805">MIN(IF((ContinuousStatsTable[GroupByKey]=ContinuousStatsTable[[#This Row],[GroupByKey]]),(ContinuousStatsTable[GroupByKey]=ContinuousStatsTable[[#This Row],[GroupByKey]])*ContinuousStatsTable[Average]))</f>
        <v>0.47638046343127</v>
      </c>
      <c r="T805" cm="1">
        <f t="array" ref="T805">MAX(IF((ContinuousStatsTable[GroupByKey]=ContinuousStatsTable[[#This Row],[GroupByKey]]),(ContinuousStatsTable[GroupByKey]=ContinuousStatsTable[[#This Row],[GroupByKey]])*ContinuousStatsTable[Average]))</f>
        <v>0.47647340349894202</v>
      </c>
      <c r="U805">
        <f>IF((ContinuousStatsTable[[#This Row],[RepsRequested]]&gt;1),ContinuousStatsTable[[#This Row],[HalfWidth]],ContinuousStatsTable[[#This Row],[BatchMeansHalfWidth]])</f>
        <v>2.530338482140405E-5</v>
      </c>
    </row>
    <row r="806" spans="1:21" x14ac:dyDescent="0.25">
      <c r="A806" t="s">
        <v>67</v>
      </c>
      <c r="B806" t="s">
        <v>243</v>
      </c>
      <c r="C806">
        <v>10</v>
      </c>
      <c r="D806" t="s">
        <v>130</v>
      </c>
      <c r="E806" t="s">
        <v>115</v>
      </c>
      <c r="F806" t="s">
        <v>113</v>
      </c>
      <c r="G806">
        <v>0.476190476190476</v>
      </c>
      <c r="H806">
        <v>2E+20</v>
      </c>
      <c r="I806">
        <v>0</v>
      </c>
      <c r="J806">
        <v>1</v>
      </c>
      <c r="K806">
        <v>0</v>
      </c>
      <c r="L806">
        <v>0</v>
      </c>
      <c r="M806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806" cm="1">
        <f t="array" ref="N806">MAX(IF((ProjectInfoTable[ProjectName]=ContinuousStatsTable[[#This Row],[ProjectName]]),(ProjectInfoTable[ProjectName]=ContinuousStatsTable[[#This Row],[ProjectName]])*ProjectInfoTable[NumberOfReplications]))</f>
        <v>10</v>
      </c>
      <c r="O806" cm="1">
        <f t="array" ref="O806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806" cm="1">
        <f t="array" ref="P806">IFERROR(_xlfn.STDEV.S(IF((ContinuousStatsTable[GroupByKey]=ContinuousStatsTable[[#This Row],[GroupByKey]]),(ContinuousStatsTable[GroupByKey]=ContinuousStatsTable[[#This Row],[GroupByKey]])*ContinuousStatsTable[Average])),0)</f>
        <v>0</v>
      </c>
      <c r="Q806" cm="1">
        <f t="array" ref="Q806">MAX(IF((ProjectInfoTable[ProjectName]=ContinuousStatsTable[[#This Row],[ProjectName]]),(ProjectInfoTable[ProjectName]=ContinuousStatsTable[[#This Row],[ProjectName]])*ProjectInfoTable[ConfidenceInterval]))</f>
        <v>0.95</v>
      </c>
      <c r="R8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6" cm="1">
        <f t="array" ref="S806">MIN(IF((ContinuousStatsTable[GroupByKey]=ContinuousStatsTable[[#This Row],[GroupByKey]]),(ContinuousStatsTable[GroupByKey]=ContinuousStatsTable[[#This Row],[GroupByKey]])*ContinuousStatsTable[Average]))</f>
        <v>0.476190476190476</v>
      </c>
      <c r="T806" cm="1">
        <f t="array" ref="T806">MAX(IF((ContinuousStatsTable[GroupByKey]=ContinuousStatsTable[[#This Row],[GroupByKey]]),(ContinuousStatsTable[GroupByKey]=ContinuousStatsTable[[#This Row],[GroupByKey]])*ContinuousStatsTable[Average]))</f>
        <v>0.476190476190476</v>
      </c>
      <c r="U806">
        <f>IF((ContinuousStatsTable[[#This Row],[RepsRequested]]&gt;1),ContinuousStatsTable[[#This Row],[HalfWidth]],ContinuousStatsTable[[#This Row],[BatchMeansHalfWidth]])</f>
        <v>0</v>
      </c>
    </row>
    <row r="807" spans="1:21" x14ac:dyDescent="0.25">
      <c r="A807" t="s">
        <v>67</v>
      </c>
      <c r="B807" t="s">
        <v>243</v>
      </c>
      <c r="C807">
        <v>10</v>
      </c>
      <c r="D807" t="s">
        <v>131</v>
      </c>
      <c r="E807" t="s">
        <v>112</v>
      </c>
      <c r="F807" t="s">
        <v>113</v>
      </c>
      <c r="G807">
        <v>0.346277691470808</v>
      </c>
      <c r="H807">
        <v>3E+20</v>
      </c>
      <c r="I807">
        <v>0</v>
      </c>
      <c r="J807">
        <v>1</v>
      </c>
      <c r="K807">
        <v>0</v>
      </c>
      <c r="L807">
        <v>0</v>
      </c>
      <c r="M807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807" cm="1">
        <f t="array" ref="N807">MAX(IF((ProjectInfoTable[ProjectName]=ContinuousStatsTable[[#This Row],[ProjectName]]),(ProjectInfoTable[ProjectName]=ContinuousStatsTable[[#This Row],[ProjectName]])*ProjectInfoTable[NumberOfReplications]))</f>
        <v>10</v>
      </c>
      <c r="O807" cm="1">
        <f t="array" ref="O807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807" cm="1">
        <f t="array" ref="P807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807" cm="1">
        <f t="array" ref="Q807">MAX(IF((ProjectInfoTable[ProjectName]=ContinuousStatsTable[[#This Row],[ProjectName]]),(ProjectInfoTable[ProjectName]=ContinuousStatsTable[[#This Row],[ProjectName]])*ProjectInfoTable[ConfidenceInterval]))</f>
        <v>0.95</v>
      </c>
      <c r="R8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807" cm="1">
        <f t="array" ref="S807">MIN(IF((ContinuousStatsTable[GroupByKey]=ContinuousStatsTable[[#This Row],[GroupByKey]]),(ContinuousStatsTable[GroupByKey]=ContinuousStatsTable[[#This Row],[GroupByKey]])*ContinuousStatsTable[Average]))</f>
        <v>0.34602746258727701</v>
      </c>
      <c r="T807" cm="1">
        <f t="array" ref="T807">MAX(IF((ContinuousStatsTable[GroupByKey]=ContinuousStatsTable[[#This Row],[GroupByKey]]),(ContinuousStatsTable[GroupByKey]=ContinuousStatsTable[[#This Row],[GroupByKey]])*ContinuousStatsTable[Average]))</f>
        <v>0.34712505386175102</v>
      </c>
      <c r="U807">
        <f>IF((ContinuousStatsTable[[#This Row],[RepsRequested]]&gt;1),ContinuousStatsTable[[#This Row],[HalfWidth]],ContinuousStatsTable[[#This Row],[BatchMeansHalfWidth]])</f>
        <v>2.4134201748419608E-4</v>
      </c>
    </row>
    <row r="808" spans="1:21" x14ac:dyDescent="0.25">
      <c r="A808" t="s">
        <v>67</v>
      </c>
      <c r="B808" t="s">
        <v>243</v>
      </c>
      <c r="C808">
        <v>10</v>
      </c>
      <c r="D808" t="s">
        <v>131</v>
      </c>
      <c r="E808" t="s">
        <v>114</v>
      </c>
      <c r="F808" t="s">
        <v>113</v>
      </c>
      <c r="G808">
        <v>0.346277691470808</v>
      </c>
      <c r="H808">
        <v>3E+20</v>
      </c>
      <c r="I808">
        <v>0</v>
      </c>
      <c r="J808">
        <v>1</v>
      </c>
      <c r="K808">
        <v>0</v>
      </c>
      <c r="L808">
        <v>0</v>
      </c>
      <c r="M808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808" cm="1">
        <f t="array" ref="N808">MAX(IF((ProjectInfoTable[ProjectName]=ContinuousStatsTable[[#This Row],[ProjectName]]),(ProjectInfoTable[ProjectName]=ContinuousStatsTable[[#This Row],[ProjectName]])*ProjectInfoTable[NumberOfReplications]))</f>
        <v>10</v>
      </c>
      <c r="O808" cm="1">
        <f t="array" ref="O808">IFERROR(AVERAGE(IF((ContinuousStatsTable[GroupByKey]=ContinuousStatsTable[[#This Row],[GroupByKey]]),(ContinuousStatsTable[GroupByKey]=ContinuousStatsTable[[#This Row],[GroupByKey]])*ContinuousStatsTable[Average])),0)</f>
        <v>0.34662188147997436</v>
      </c>
      <c r="P808" cm="1">
        <f t="array" ref="P808">IFERROR(_xlfn.STDEV.S(IF((ContinuousStatsTable[GroupByKey]=ContinuousStatsTable[[#This Row],[GroupByKey]]),(ContinuousStatsTable[GroupByKey]=ContinuousStatsTable[[#This Row],[GroupByKey]])*ContinuousStatsTable[Average])),0)</f>
        <v>3.3737287704900277E-4</v>
      </c>
      <c r="Q808" cm="1">
        <f t="array" ref="Q808">MAX(IF((ProjectInfoTable[ProjectName]=ContinuousStatsTable[[#This Row],[ProjectName]]),(ProjectInfoTable[ProjectName]=ContinuousStatsTable[[#This Row],[ProjectName]])*ProjectInfoTable[ConfidenceInterval]))</f>
        <v>0.95</v>
      </c>
      <c r="R8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2.4134201748419608E-4</v>
      </c>
      <c r="S808" cm="1">
        <f t="array" ref="S808">MIN(IF((ContinuousStatsTable[GroupByKey]=ContinuousStatsTable[[#This Row],[GroupByKey]]),(ContinuousStatsTable[GroupByKey]=ContinuousStatsTable[[#This Row],[GroupByKey]])*ContinuousStatsTable[Average]))</f>
        <v>0.34602746258727701</v>
      </c>
      <c r="T808" cm="1">
        <f t="array" ref="T808">MAX(IF((ContinuousStatsTable[GroupByKey]=ContinuousStatsTable[[#This Row],[GroupByKey]]),(ContinuousStatsTable[GroupByKey]=ContinuousStatsTable[[#This Row],[GroupByKey]])*ContinuousStatsTable[Average]))</f>
        <v>0.34712505386175102</v>
      </c>
      <c r="U808">
        <f>IF((ContinuousStatsTable[[#This Row],[RepsRequested]]&gt;1),ContinuousStatsTable[[#This Row],[HalfWidth]],ContinuousStatsTable[[#This Row],[BatchMeansHalfWidth]])</f>
        <v>2.4134201748419608E-4</v>
      </c>
    </row>
    <row r="809" spans="1:21" x14ac:dyDescent="0.25">
      <c r="A809" t="s">
        <v>67</v>
      </c>
      <c r="B809" t="s">
        <v>243</v>
      </c>
      <c r="C809">
        <v>10</v>
      </c>
      <c r="D809" t="s">
        <v>131</v>
      </c>
      <c r="E809" t="s">
        <v>115</v>
      </c>
      <c r="F809" t="s">
        <v>113</v>
      </c>
      <c r="G809">
        <v>0.476190476190476</v>
      </c>
      <c r="H809">
        <v>2E+20</v>
      </c>
      <c r="I809">
        <v>0</v>
      </c>
      <c r="J809">
        <v>1</v>
      </c>
      <c r="K809">
        <v>0</v>
      </c>
      <c r="L809">
        <v>0</v>
      </c>
      <c r="M809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809" cm="1">
        <f t="array" ref="N809">MAX(IF((ProjectInfoTable[ProjectName]=ContinuousStatsTable[[#This Row],[ProjectName]]),(ProjectInfoTable[ProjectName]=ContinuousStatsTable[[#This Row],[ProjectName]])*ProjectInfoTable[NumberOfReplications]))</f>
        <v>10</v>
      </c>
      <c r="O809" cm="1">
        <f t="array" ref="O809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809" cm="1">
        <f t="array" ref="P809">IFERROR(_xlfn.STDEV.S(IF((ContinuousStatsTable[GroupByKey]=ContinuousStatsTable[[#This Row],[GroupByKey]]),(ContinuousStatsTable[GroupByKey]=ContinuousStatsTable[[#This Row],[GroupByKey]])*ContinuousStatsTable[Average])),0)</f>
        <v>0</v>
      </c>
      <c r="Q809" cm="1">
        <f t="array" ref="Q809">MAX(IF((ProjectInfoTable[ProjectName]=ContinuousStatsTable[[#This Row],[ProjectName]]),(ProjectInfoTable[ProjectName]=ContinuousStatsTable[[#This Row],[ProjectName]])*ProjectInfoTable[ConfidenceInterval]))</f>
        <v>0.95</v>
      </c>
      <c r="R8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9" cm="1">
        <f t="array" ref="S809">MIN(IF((ContinuousStatsTable[GroupByKey]=ContinuousStatsTable[[#This Row],[GroupByKey]]),(ContinuousStatsTable[GroupByKey]=ContinuousStatsTable[[#This Row],[GroupByKey]])*ContinuousStatsTable[Average]))</f>
        <v>0.476190476190476</v>
      </c>
      <c r="T809" cm="1">
        <f t="array" ref="T809">MAX(IF((ContinuousStatsTable[GroupByKey]=ContinuousStatsTable[[#This Row],[GroupByKey]]),(ContinuousStatsTable[GroupByKey]=ContinuousStatsTable[[#This Row],[GroupByKey]])*ContinuousStatsTable[Average]))</f>
        <v>0.476190476190476</v>
      </c>
      <c r="U809">
        <f>IF((ContinuousStatsTable[[#This Row],[RepsRequested]]&gt;1),ContinuousStatsTable[[#This Row],[HalfWidth]],ContinuousStatsTable[[#This Row],[BatchMeansHalfWidth]])</f>
        <v>0</v>
      </c>
    </row>
    <row r="810" spans="1:21" x14ac:dyDescent="0.25">
      <c r="A810" t="s">
        <v>67</v>
      </c>
      <c r="B810" t="s">
        <v>243</v>
      </c>
      <c r="C810">
        <v>10</v>
      </c>
      <c r="D810" t="s">
        <v>132</v>
      </c>
      <c r="E810" t="s">
        <v>112</v>
      </c>
      <c r="F810" t="s">
        <v>113</v>
      </c>
      <c r="G810">
        <v>0.45404133128311103</v>
      </c>
      <c r="H810">
        <v>3E+20</v>
      </c>
      <c r="I810">
        <v>0</v>
      </c>
      <c r="J810">
        <v>1</v>
      </c>
      <c r="K810">
        <v>0</v>
      </c>
      <c r="L810">
        <v>0</v>
      </c>
      <c r="M810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810" cm="1">
        <f t="array" ref="N810">MAX(IF((ProjectInfoTable[ProjectName]=ContinuousStatsTable[[#This Row],[ProjectName]]),(ProjectInfoTable[ProjectName]=ContinuousStatsTable[[#This Row],[ProjectName]])*ProjectInfoTable[NumberOfReplications]))</f>
        <v>10</v>
      </c>
      <c r="O810" cm="1">
        <f t="array" ref="O810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810" cm="1">
        <f t="array" ref="P810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810" cm="1">
        <f t="array" ref="Q810">MAX(IF((ProjectInfoTable[ProjectName]=ContinuousStatsTable[[#This Row],[ProjectName]]),(ProjectInfoTable[ProjectName]=ContinuousStatsTable[[#This Row],[ProjectName]])*ProjectInfoTable[ConfidenceInterval]))</f>
        <v>0.95</v>
      </c>
      <c r="R8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810" cm="1">
        <f t="array" ref="S810">MIN(IF((ContinuousStatsTable[GroupByKey]=ContinuousStatsTable[[#This Row],[GroupByKey]]),(ContinuousStatsTable[GroupByKey]=ContinuousStatsTable[[#This Row],[GroupByKey]])*ContinuousStatsTable[Average]))</f>
        <v>0.45404133128311103</v>
      </c>
      <c r="T810" cm="1">
        <f t="array" ref="T810">MAX(IF((ContinuousStatsTable[GroupByKey]=ContinuousStatsTable[[#This Row],[GroupByKey]]),(ContinuousStatsTable[GroupByKey]=ContinuousStatsTable[[#This Row],[GroupByKey]])*ContinuousStatsTable[Average]))</f>
        <v>0.45518418142323402</v>
      </c>
      <c r="U810">
        <f>IF((ContinuousStatsTable[[#This Row],[RepsRequested]]&gt;1),ContinuousStatsTable[[#This Row],[HalfWidth]],ContinuousStatsTable[[#This Row],[BatchMeansHalfWidth]])</f>
        <v>2.6178321488092363E-4</v>
      </c>
    </row>
    <row r="811" spans="1:21" x14ac:dyDescent="0.25">
      <c r="A811" t="s">
        <v>67</v>
      </c>
      <c r="B811" t="s">
        <v>243</v>
      </c>
      <c r="C811">
        <v>10</v>
      </c>
      <c r="D811" t="s">
        <v>132</v>
      </c>
      <c r="E811" t="s">
        <v>114</v>
      </c>
      <c r="F811" t="s">
        <v>113</v>
      </c>
      <c r="G811">
        <v>0.45404133128311103</v>
      </c>
      <c r="H811">
        <v>3E+20</v>
      </c>
      <c r="I811">
        <v>0</v>
      </c>
      <c r="J811">
        <v>1</v>
      </c>
      <c r="K811">
        <v>0</v>
      </c>
      <c r="L811">
        <v>0</v>
      </c>
      <c r="M811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811" cm="1">
        <f t="array" ref="N811">MAX(IF((ProjectInfoTable[ProjectName]=ContinuousStatsTable[[#This Row],[ProjectName]]),(ProjectInfoTable[ProjectName]=ContinuousStatsTable[[#This Row],[ProjectName]])*ProjectInfoTable[NumberOfReplications]))</f>
        <v>10</v>
      </c>
      <c r="O811" cm="1">
        <f t="array" ref="O811">IFERROR(AVERAGE(IF((ContinuousStatsTable[GroupByKey]=ContinuousStatsTable[[#This Row],[GroupByKey]]),(ContinuousStatsTable[GroupByKey]=ContinuousStatsTable[[#This Row],[GroupByKey]])*ContinuousStatsTable[Average])),0)</f>
        <v>0.45468496459709407</v>
      </c>
      <c r="P811" cm="1">
        <f t="array" ref="P811">IFERROR(_xlfn.STDEV.S(IF((ContinuousStatsTable[GroupByKey]=ContinuousStatsTable[[#This Row],[GroupByKey]]),(ContinuousStatsTable[GroupByKey]=ContinuousStatsTable[[#This Row],[GroupByKey]])*ContinuousStatsTable[Average])),0)</f>
        <v>3.659477006456115E-4</v>
      </c>
      <c r="Q811" cm="1">
        <f t="array" ref="Q811">MAX(IF((ProjectInfoTable[ProjectName]=ContinuousStatsTable[[#This Row],[ProjectName]]),(ProjectInfoTable[ProjectName]=ContinuousStatsTable[[#This Row],[ProjectName]])*ProjectInfoTable[ConfidenceInterval]))</f>
        <v>0.95</v>
      </c>
      <c r="R8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2.6178321488092363E-4</v>
      </c>
      <c r="S811" cm="1">
        <f t="array" ref="S811">MIN(IF((ContinuousStatsTable[GroupByKey]=ContinuousStatsTable[[#This Row],[GroupByKey]]),(ContinuousStatsTable[GroupByKey]=ContinuousStatsTable[[#This Row],[GroupByKey]])*ContinuousStatsTable[Average]))</f>
        <v>0.45404133128311103</v>
      </c>
      <c r="T811" cm="1">
        <f t="array" ref="T811">MAX(IF((ContinuousStatsTable[GroupByKey]=ContinuousStatsTable[[#This Row],[GroupByKey]]),(ContinuousStatsTable[GroupByKey]=ContinuousStatsTable[[#This Row],[GroupByKey]])*ContinuousStatsTable[Average]))</f>
        <v>0.45518418142323402</v>
      </c>
      <c r="U811">
        <f>IF((ContinuousStatsTable[[#This Row],[RepsRequested]]&gt;1),ContinuousStatsTable[[#This Row],[HalfWidth]],ContinuousStatsTable[[#This Row],[BatchMeansHalfWidth]])</f>
        <v>2.6178321488092363E-4</v>
      </c>
    </row>
    <row r="812" spans="1:21" x14ac:dyDescent="0.25">
      <c r="A812" t="s">
        <v>67</v>
      </c>
      <c r="B812" t="s">
        <v>243</v>
      </c>
      <c r="C812">
        <v>10</v>
      </c>
      <c r="D812" t="s">
        <v>132</v>
      </c>
      <c r="E812" t="s">
        <v>115</v>
      </c>
      <c r="F812" t="s">
        <v>113</v>
      </c>
      <c r="G812">
        <v>0.476190476190476</v>
      </c>
      <c r="H812">
        <v>2E+20</v>
      </c>
      <c r="I812">
        <v>0</v>
      </c>
      <c r="J812">
        <v>1</v>
      </c>
      <c r="K812">
        <v>0</v>
      </c>
      <c r="L812">
        <v>0</v>
      </c>
      <c r="M812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812" cm="1">
        <f t="array" ref="N812">MAX(IF((ProjectInfoTable[ProjectName]=ContinuousStatsTable[[#This Row],[ProjectName]]),(ProjectInfoTable[ProjectName]=ContinuousStatsTable[[#This Row],[ProjectName]])*ProjectInfoTable[NumberOfReplications]))</f>
        <v>10</v>
      </c>
      <c r="O812" cm="1">
        <f t="array" ref="O812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812" cm="1">
        <f t="array" ref="P812">IFERROR(_xlfn.STDEV.S(IF((ContinuousStatsTable[GroupByKey]=ContinuousStatsTable[[#This Row],[GroupByKey]]),(ContinuousStatsTable[GroupByKey]=ContinuousStatsTable[[#This Row],[GroupByKey]])*ContinuousStatsTable[Average])),0)</f>
        <v>0</v>
      </c>
      <c r="Q812" cm="1">
        <f t="array" ref="Q812">MAX(IF((ProjectInfoTable[ProjectName]=ContinuousStatsTable[[#This Row],[ProjectName]]),(ProjectInfoTable[ProjectName]=ContinuousStatsTable[[#This Row],[ProjectName]])*ProjectInfoTable[ConfidenceInterval]))</f>
        <v>0.95</v>
      </c>
      <c r="R8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2" cm="1">
        <f t="array" ref="S812">MIN(IF((ContinuousStatsTable[GroupByKey]=ContinuousStatsTable[[#This Row],[GroupByKey]]),(ContinuousStatsTable[GroupByKey]=ContinuousStatsTable[[#This Row],[GroupByKey]])*ContinuousStatsTable[Average]))</f>
        <v>0.476190476190476</v>
      </c>
      <c r="T812" cm="1">
        <f t="array" ref="T812">MAX(IF((ContinuousStatsTable[GroupByKey]=ContinuousStatsTable[[#This Row],[GroupByKey]]),(ContinuousStatsTable[GroupByKey]=ContinuousStatsTable[[#This Row],[GroupByKey]])*ContinuousStatsTable[Average]))</f>
        <v>0.476190476190476</v>
      </c>
      <c r="U812">
        <f>IF((ContinuousStatsTable[[#This Row],[RepsRequested]]&gt;1),ContinuousStatsTable[[#This Row],[HalfWidth]],ContinuousStatsTable[[#This Row],[BatchMeansHalfWidth]])</f>
        <v>0</v>
      </c>
    </row>
    <row r="813" spans="1:21" x14ac:dyDescent="0.25">
      <c r="A813" t="s">
        <v>67</v>
      </c>
      <c r="B813" t="s">
        <v>243</v>
      </c>
      <c r="C813">
        <v>10</v>
      </c>
      <c r="D813" t="s">
        <v>133</v>
      </c>
      <c r="E813" t="s">
        <v>112</v>
      </c>
      <c r="F813" t="s">
        <v>113</v>
      </c>
      <c r="G813">
        <v>0.231263971105094</v>
      </c>
      <c r="H813">
        <v>3E+20</v>
      </c>
      <c r="I813">
        <v>0</v>
      </c>
      <c r="J813">
        <v>1</v>
      </c>
      <c r="K813">
        <v>0</v>
      </c>
      <c r="L813">
        <v>0</v>
      </c>
      <c r="M813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813" cm="1">
        <f t="array" ref="N813">MAX(IF((ProjectInfoTable[ProjectName]=ContinuousStatsTable[[#This Row],[ProjectName]]),(ProjectInfoTable[ProjectName]=ContinuousStatsTable[[#This Row],[ProjectName]])*ProjectInfoTable[NumberOfReplications]))</f>
        <v>10</v>
      </c>
      <c r="O813" cm="1">
        <f t="array" ref="O813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813" cm="1">
        <f t="array" ref="P813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813" cm="1">
        <f t="array" ref="Q813">MAX(IF((ProjectInfoTable[ProjectName]=ContinuousStatsTable[[#This Row],[ProjectName]]),(ProjectInfoTable[ProjectName]=ContinuousStatsTable[[#This Row],[ProjectName]])*ProjectInfoTable[ConfidenceInterval]))</f>
        <v>0.95</v>
      </c>
      <c r="R8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813" cm="1">
        <f t="array" ref="S813">MIN(IF((ContinuousStatsTable[GroupByKey]=ContinuousStatsTable[[#This Row],[GroupByKey]]),(ContinuousStatsTable[GroupByKey]=ContinuousStatsTable[[#This Row],[GroupByKey]])*ContinuousStatsTable[Average]))</f>
        <v>0.230969532572807</v>
      </c>
      <c r="T813" cm="1">
        <f t="array" ref="T813">MAX(IF((ContinuousStatsTable[GroupByKey]=ContinuousStatsTable[[#This Row],[GroupByKey]]),(ContinuousStatsTable[GroupByKey]=ContinuousStatsTable[[#This Row],[GroupByKey]])*ContinuousStatsTable[Average]))</f>
        <v>0.23202343200723599</v>
      </c>
      <c r="U813">
        <f>IF((ContinuousStatsTable[[#This Row],[RepsRequested]]&gt;1),ContinuousStatsTable[[#This Row],[HalfWidth]],ContinuousStatsTable[[#This Row],[BatchMeansHalfWidth]])</f>
        <v>2.4725912837525509E-4</v>
      </c>
    </row>
    <row r="814" spans="1:21" x14ac:dyDescent="0.25">
      <c r="A814" t="s">
        <v>67</v>
      </c>
      <c r="B814" t="s">
        <v>243</v>
      </c>
      <c r="C814">
        <v>10</v>
      </c>
      <c r="D814" t="s">
        <v>133</v>
      </c>
      <c r="E814" t="s">
        <v>114</v>
      </c>
      <c r="F814" t="s">
        <v>113</v>
      </c>
      <c r="G814">
        <v>0.231263971105094</v>
      </c>
      <c r="H814">
        <v>3E+20</v>
      </c>
      <c r="I814">
        <v>0</v>
      </c>
      <c r="J814">
        <v>1</v>
      </c>
      <c r="K814">
        <v>0</v>
      </c>
      <c r="L814">
        <v>0</v>
      </c>
      <c r="M814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814" cm="1">
        <f t="array" ref="N814">MAX(IF((ProjectInfoTable[ProjectName]=ContinuousStatsTable[[#This Row],[ProjectName]]),(ProjectInfoTable[ProjectName]=ContinuousStatsTable[[#This Row],[ProjectName]])*ProjectInfoTable[NumberOfReplications]))</f>
        <v>10</v>
      </c>
      <c r="O814" cm="1">
        <f t="array" ref="O814">IFERROR(AVERAGE(IF((ContinuousStatsTable[GroupByKey]=ContinuousStatsTable[[#This Row],[GroupByKey]]),(ContinuousStatsTable[GroupByKey]=ContinuousStatsTable[[#This Row],[GroupByKey]])*ContinuousStatsTable[Average])),0)</f>
        <v>0.2315355197220621</v>
      </c>
      <c r="P814" cm="1">
        <f t="array" ref="P814">IFERROR(_xlfn.STDEV.S(IF((ContinuousStatsTable[GroupByKey]=ContinuousStatsTable[[#This Row],[GroupByKey]]),(ContinuousStatsTable[GroupByKey]=ContinuousStatsTable[[#This Row],[GroupByKey]])*ContinuousStatsTable[Average])),0)</f>
        <v>3.4564442771367425E-4</v>
      </c>
      <c r="Q814" cm="1">
        <f t="array" ref="Q814">MAX(IF((ProjectInfoTable[ProjectName]=ContinuousStatsTable[[#This Row],[ProjectName]]),(ProjectInfoTable[ProjectName]=ContinuousStatsTable[[#This Row],[ProjectName]])*ProjectInfoTable[ConfidenceInterval]))</f>
        <v>0.95</v>
      </c>
      <c r="R8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2.4725912837525509E-4</v>
      </c>
      <c r="S814" cm="1">
        <f t="array" ref="S814">MIN(IF((ContinuousStatsTable[GroupByKey]=ContinuousStatsTable[[#This Row],[GroupByKey]]),(ContinuousStatsTable[GroupByKey]=ContinuousStatsTable[[#This Row],[GroupByKey]])*ContinuousStatsTable[Average]))</f>
        <v>0.230969532572807</v>
      </c>
      <c r="T814" cm="1">
        <f t="array" ref="T814">MAX(IF((ContinuousStatsTable[GroupByKey]=ContinuousStatsTable[[#This Row],[GroupByKey]]),(ContinuousStatsTable[GroupByKey]=ContinuousStatsTable[[#This Row],[GroupByKey]])*ContinuousStatsTable[Average]))</f>
        <v>0.23202343200723599</v>
      </c>
      <c r="U814">
        <f>IF((ContinuousStatsTable[[#This Row],[RepsRequested]]&gt;1),ContinuousStatsTable[[#This Row],[HalfWidth]],ContinuousStatsTable[[#This Row],[BatchMeansHalfWidth]])</f>
        <v>2.4725912837525509E-4</v>
      </c>
    </row>
    <row r="815" spans="1:21" x14ac:dyDescent="0.25">
      <c r="A815" t="s">
        <v>67</v>
      </c>
      <c r="B815" t="s">
        <v>243</v>
      </c>
      <c r="C815">
        <v>10</v>
      </c>
      <c r="D815" t="s">
        <v>133</v>
      </c>
      <c r="E815" t="s">
        <v>115</v>
      </c>
      <c r="F815" t="s">
        <v>113</v>
      </c>
      <c r="G815">
        <v>0.476190476190476</v>
      </c>
      <c r="H815">
        <v>2E+20</v>
      </c>
      <c r="I815">
        <v>0</v>
      </c>
      <c r="J815">
        <v>1</v>
      </c>
      <c r="K815">
        <v>0</v>
      </c>
      <c r="L815">
        <v>0</v>
      </c>
      <c r="M815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815" cm="1">
        <f t="array" ref="N815">MAX(IF((ProjectInfoTable[ProjectName]=ContinuousStatsTable[[#This Row],[ProjectName]]),(ProjectInfoTable[ProjectName]=ContinuousStatsTable[[#This Row],[ProjectName]])*ProjectInfoTable[NumberOfReplications]))</f>
        <v>10</v>
      </c>
      <c r="O815" cm="1">
        <f t="array" ref="O815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815" cm="1">
        <f t="array" ref="P815">IFERROR(_xlfn.STDEV.S(IF((ContinuousStatsTable[GroupByKey]=ContinuousStatsTable[[#This Row],[GroupByKey]]),(ContinuousStatsTable[GroupByKey]=ContinuousStatsTable[[#This Row],[GroupByKey]])*ContinuousStatsTable[Average])),0)</f>
        <v>0</v>
      </c>
      <c r="Q815" cm="1">
        <f t="array" ref="Q815">MAX(IF((ProjectInfoTable[ProjectName]=ContinuousStatsTable[[#This Row],[ProjectName]]),(ProjectInfoTable[ProjectName]=ContinuousStatsTable[[#This Row],[ProjectName]])*ProjectInfoTable[ConfidenceInterval]))</f>
        <v>0.95</v>
      </c>
      <c r="R8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5" cm="1">
        <f t="array" ref="S815">MIN(IF((ContinuousStatsTable[GroupByKey]=ContinuousStatsTable[[#This Row],[GroupByKey]]),(ContinuousStatsTable[GroupByKey]=ContinuousStatsTable[[#This Row],[GroupByKey]])*ContinuousStatsTable[Average]))</f>
        <v>0.476190476190476</v>
      </c>
      <c r="T815" cm="1">
        <f t="array" ref="T815">MAX(IF((ContinuousStatsTable[GroupByKey]=ContinuousStatsTable[[#This Row],[GroupByKey]]),(ContinuousStatsTable[GroupByKey]=ContinuousStatsTable[[#This Row],[GroupByKey]])*ContinuousStatsTable[Average]))</f>
        <v>0.476190476190476</v>
      </c>
      <c r="U815">
        <f>IF((ContinuousStatsTable[[#This Row],[RepsRequested]]&gt;1),ContinuousStatsTable[[#This Row],[HalfWidth]],ContinuousStatsTable[[#This Row],[BatchMeansHalfWidth]])</f>
        <v>0</v>
      </c>
    </row>
    <row r="816" spans="1:21" x14ac:dyDescent="0.25">
      <c r="A816" t="s">
        <v>67</v>
      </c>
      <c r="B816" t="s">
        <v>243</v>
      </c>
      <c r="C816">
        <v>10</v>
      </c>
      <c r="D816" t="s">
        <v>134</v>
      </c>
      <c r="E816" t="s">
        <v>112</v>
      </c>
      <c r="F816" t="s">
        <v>113</v>
      </c>
      <c r="G816">
        <v>0.271979535431421</v>
      </c>
      <c r="H816">
        <v>3E+20</v>
      </c>
      <c r="I816">
        <v>0</v>
      </c>
      <c r="J816">
        <v>1</v>
      </c>
      <c r="K816">
        <v>0</v>
      </c>
      <c r="L816">
        <v>0</v>
      </c>
      <c r="M816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816" cm="1">
        <f t="array" ref="N816">MAX(IF((ProjectInfoTable[ProjectName]=ContinuousStatsTable[[#This Row],[ProjectName]]),(ProjectInfoTable[ProjectName]=ContinuousStatsTable[[#This Row],[ProjectName]])*ProjectInfoTable[NumberOfReplications]))</f>
        <v>10</v>
      </c>
      <c r="O816" cm="1">
        <f t="array" ref="O816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816" cm="1">
        <f t="array" ref="P816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816" cm="1">
        <f t="array" ref="Q816">MAX(IF((ProjectInfoTable[ProjectName]=ContinuousStatsTable[[#This Row],[ProjectName]]),(ProjectInfoTable[ProjectName]=ContinuousStatsTable[[#This Row],[ProjectName]])*ProjectInfoTable[ConfidenceInterval]))</f>
        <v>0.95</v>
      </c>
      <c r="R8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816" cm="1">
        <f t="array" ref="S816">MIN(IF((ContinuousStatsTable[GroupByKey]=ContinuousStatsTable[[#This Row],[GroupByKey]]),(ContinuousStatsTable[GroupByKey]=ContinuousStatsTable[[#This Row],[GroupByKey]])*ContinuousStatsTable[Average]))</f>
        <v>0.271979535431421</v>
      </c>
      <c r="T816" cm="1">
        <f t="array" ref="T816">MAX(IF((ContinuousStatsTable[GroupByKey]=ContinuousStatsTable[[#This Row],[GroupByKey]]),(ContinuousStatsTable[GroupByKey]=ContinuousStatsTable[[#This Row],[GroupByKey]])*ContinuousStatsTable[Average]))</f>
        <v>0.27283313106114998</v>
      </c>
      <c r="U816">
        <f>IF((ContinuousStatsTable[[#This Row],[RepsRequested]]&gt;1),ContinuousStatsTable[[#This Row],[HalfWidth]],ContinuousStatsTable[[#This Row],[BatchMeansHalfWidth]])</f>
        <v>1.7269361236560142E-4</v>
      </c>
    </row>
    <row r="817" spans="1:21" x14ac:dyDescent="0.25">
      <c r="A817" t="s">
        <v>67</v>
      </c>
      <c r="B817" t="s">
        <v>243</v>
      </c>
      <c r="C817">
        <v>10</v>
      </c>
      <c r="D817" t="s">
        <v>134</v>
      </c>
      <c r="E817" t="s">
        <v>114</v>
      </c>
      <c r="F817" t="s">
        <v>113</v>
      </c>
      <c r="G817">
        <v>0.271979535431421</v>
      </c>
      <c r="H817">
        <v>3E+20</v>
      </c>
      <c r="I817">
        <v>0</v>
      </c>
      <c r="J817">
        <v>1</v>
      </c>
      <c r="K817">
        <v>0</v>
      </c>
      <c r="L817">
        <v>0</v>
      </c>
      <c r="M817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817" cm="1">
        <f t="array" ref="N817">MAX(IF((ProjectInfoTable[ProjectName]=ContinuousStatsTable[[#This Row],[ProjectName]]),(ProjectInfoTable[ProjectName]=ContinuousStatsTable[[#This Row],[ProjectName]])*ProjectInfoTable[NumberOfReplications]))</f>
        <v>10</v>
      </c>
      <c r="O817" cm="1">
        <f t="array" ref="O817">IFERROR(AVERAGE(IF((ContinuousStatsTable[GroupByKey]=ContinuousStatsTable[[#This Row],[GroupByKey]]),(ContinuousStatsTable[GroupByKey]=ContinuousStatsTable[[#This Row],[GroupByKey]])*ContinuousStatsTable[Average])),0)</f>
        <v>0.2723617123524753</v>
      </c>
      <c r="P817" cm="1">
        <f t="array" ref="P817">IFERROR(_xlfn.STDEV.S(IF((ContinuousStatsTable[GroupByKey]=ContinuousStatsTable[[#This Row],[GroupByKey]]),(ContinuousStatsTable[GroupByKey]=ContinuousStatsTable[[#This Row],[GroupByKey]])*ContinuousStatsTable[Average])),0)</f>
        <v>2.4140902383723299E-4</v>
      </c>
      <c r="Q817" cm="1">
        <f t="array" ref="Q817">MAX(IF((ProjectInfoTable[ProjectName]=ContinuousStatsTable[[#This Row],[ProjectName]]),(ProjectInfoTable[ProjectName]=ContinuousStatsTable[[#This Row],[ProjectName]])*ProjectInfoTable[ConfidenceInterval]))</f>
        <v>0.95</v>
      </c>
      <c r="R8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1.7269361236560142E-4</v>
      </c>
      <c r="S817" cm="1">
        <f t="array" ref="S817">MIN(IF((ContinuousStatsTable[GroupByKey]=ContinuousStatsTable[[#This Row],[GroupByKey]]),(ContinuousStatsTable[GroupByKey]=ContinuousStatsTable[[#This Row],[GroupByKey]])*ContinuousStatsTable[Average]))</f>
        <v>0.271979535431421</v>
      </c>
      <c r="T817" cm="1">
        <f t="array" ref="T817">MAX(IF((ContinuousStatsTable[GroupByKey]=ContinuousStatsTable[[#This Row],[GroupByKey]]),(ContinuousStatsTable[GroupByKey]=ContinuousStatsTable[[#This Row],[GroupByKey]])*ContinuousStatsTable[Average]))</f>
        <v>0.27283313106114998</v>
      </c>
      <c r="U817">
        <f>IF((ContinuousStatsTable[[#This Row],[RepsRequested]]&gt;1),ContinuousStatsTable[[#This Row],[HalfWidth]],ContinuousStatsTable[[#This Row],[BatchMeansHalfWidth]])</f>
        <v>1.7269361236560142E-4</v>
      </c>
    </row>
    <row r="818" spans="1:21" x14ac:dyDescent="0.25">
      <c r="A818" t="s">
        <v>67</v>
      </c>
      <c r="B818" t="s">
        <v>243</v>
      </c>
      <c r="C818">
        <v>10</v>
      </c>
      <c r="D818" t="s">
        <v>134</v>
      </c>
      <c r="E818" t="s">
        <v>115</v>
      </c>
      <c r="F818" t="s">
        <v>113</v>
      </c>
      <c r="G818">
        <v>0.476190476190476</v>
      </c>
      <c r="H818">
        <v>2E+20</v>
      </c>
      <c r="I818">
        <v>0</v>
      </c>
      <c r="J818">
        <v>1</v>
      </c>
      <c r="K818">
        <v>0</v>
      </c>
      <c r="L818">
        <v>0</v>
      </c>
      <c r="M818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818" cm="1">
        <f t="array" ref="N818">MAX(IF((ProjectInfoTable[ProjectName]=ContinuousStatsTable[[#This Row],[ProjectName]]),(ProjectInfoTable[ProjectName]=ContinuousStatsTable[[#This Row],[ProjectName]])*ProjectInfoTable[NumberOfReplications]))</f>
        <v>10</v>
      </c>
      <c r="O818" cm="1">
        <f t="array" ref="O818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818" cm="1">
        <f t="array" ref="P818">IFERROR(_xlfn.STDEV.S(IF((ContinuousStatsTable[GroupByKey]=ContinuousStatsTable[[#This Row],[GroupByKey]]),(ContinuousStatsTable[GroupByKey]=ContinuousStatsTable[[#This Row],[GroupByKey]])*ContinuousStatsTable[Average])),0)</f>
        <v>0</v>
      </c>
      <c r="Q818" cm="1">
        <f t="array" ref="Q818">MAX(IF((ProjectInfoTable[ProjectName]=ContinuousStatsTable[[#This Row],[ProjectName]]),(ProjectInfoTable[ProjectName]=ContinuousStatsTable[[#This Row],[ProjectName]])*ProjectInfoTable[ConfidenceInterval]))</f>
        <v>0.95</v>
      </c>
      <c r="R8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8" cm="1">
        <f t="array" ref="S818">MIN(IF((ContinuousStatsTable[GroupByKey]=ContinuousStatsTable[[#This Row],[GroupByKey]]),(ContinuousStatsTable[GroupByKey]=ContinuousStatsTable[[#This Row],[GroupByKey]])*ContinuousStatsTable[Average]))</f>
        <v>0.476190476190476</v>
      </c>
      <c r="T818" cm="1">
        <f t="array" ref="T818">MAX(IF((ContinuousStatsTable[GroupByKey]=ContinuousStatsTable[[#This Row],[GroupByKey]]),(ContinuousStatsTable[GroupByKey]=ContinuousStatsTable[[#This Row],[GroupByKey]])*ContinuousStatsTable[Average]))</f>
        <v>0.476190476190476</v>
      </c>
      <c r="U818">
        <f>IF((ContinuousStatsTable[[#This Row],[RepsRequested]]&gt;1),ContinuousStatsTable[[#This Row],[HalfWidth]],ContinuousStatsTable[[#This Row],[BatchMeansHalfWidth]])</f>
        <v>0</v>
      </c>
    </row>
    <row r="819" spans="1:21" x14ac:dyDescent="0.25">
      <c r="A819" t="s">
        <v>67</v>
      </c>
      <c r="B819" t="s">
        <v>243</v>
      </c>
      <c r="C819">
        <v>10</v>
      </c>
      <c r="D819" t="s">
        <v>135</v>
      </c>
      <c r="E819" t="s">
        <v>112</v>
      </c>
      <c r="F819" t="s">
        <v>113</v>
      </c>
      <c r="G819">
        <v>0.47638064187318102</v>
      </c>
      <c r="H819">
        <v>2E+20</v>
      </c>
      <c r="I819">
        <v>0</v>
      </c>
      <c r="J819">
        <v>1</v>
      </c>
      <c r="K819">
        <v>0</v>
      </c>
      <c r="L819">
        <v>0</v>
      </c>
      <c r="M819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819" cm="1">
        <f t="array" ref="N819">MAX(IF((ProjectInfoTable[ProjectName]=ContinuousStatsTable[[#This Row],[ProjectName]]),(ProjectInfoTable[ProjectName]=ContinuousStatsTable[[#This Row],[ProjectName]])*ProjectInfoTable[NumberOfReplications]))</f>
        <v>10</v>
      </c>
      <c r="O819" cm="1">
        <f t="array" ref="O819">IFERROR(AVERAGE(IF((ContinuousStatsTable[GroupByKey]=ContinuousStatsTable[[#This Row],[GroupByKey]]),(ContinuousStatsTable[GroupByKey]=ContinuousStatsTable[[#This Row],[GroupByKey]])*ContinuousStatsTable[Average])),0)</f>
        <v>0.47640752107427203</v>
      </c>
      <c r="P819" cm="1">
        <f t="array" ref="P819">IFERROR(_xlfn.STDEV.S(IF((ContinuousStatsTable[GroupByKey]=ContinuousStatsTable[[#This Row],[GroupByKey]]),(ContinuousStatsTable[GroupByKey]=ContinuousStatsTable[[#This Row],[GroupByKey]])*ContinuousStatsTable[Average])),0)</f>
        <v>7.9809559904816854E-5</v>
      </c>
      <c r="Q819" cm="1">
        <f t="array" ref="Q819">MAX(IF((ProjectInfoTable[ProjectName]=ContinuousStatsTable[[#This Row],[ProjectName]]),(ProjectInfoTable[ProjectName]=ContinuousStatsTable[[#This Row],[ProjectName]])*ProjectInfoTable[ConfidenceInterval]))</f>
        <v>0.95</v>
      </c>
      <c r="R8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5.7092319840390197E-5</v>
      </c>
      <c r="S819" cm="1">
        <f t="array" ref="S819">MIN(IF((ContinuousStatsTable[GroupByKey]=ContinuousStatsTable[[#This Row],[GroupByKey]]),(ContinuousStatsTable[GroupByKey]=ContinuousStatsTable[[#This Row],[GroupByKey]])*ContinuousStatsTable[Average]))</f>
        <v>0.47622171379262102</v>
      </c>
      <c r="T819" cm="1">
        <f t="array" ref="T819">MAX(IF((ContinuousStatsTable[GroupByKey]=ContinuousStatsTable[[#This Row],[GroupByKey]]),(ContinuousStatsTable[GroupByKey]=ContinuousStatsTable[[#This Row],[GroupByKey]])*ContinuousStatsTable[Average]))</f>
        <v>0.47651577494330499</v>
      </c>
      <c r="U819">
        <f>IF((ContinuousStatsTable[[#This Row],[RepsRequested]]&gt;1),ContinuousStatsTable[[#This Row],[HalfWidth]],ContinuousStatsTable[[#This Row],[BatchMeansHalfWidth]])</f>
        <v>5.7092319840390197E-5</v>
      </c>
    </row>
    <row r="820" spans="1:21" x14ac:dyDescent="0.25">
      <c r="A820" t="s">
        <v>67</v>
      </c>
      <c r="B820" t="s">
        <v>243</v>
      </c>
      <c r="C820">
        <v>10</v>
      </c>
      <c r="D820" t="s">
        <v>135</v>
      </c>
      <c r="E820" t="s">
        <v>114</v>
      </c>
      <c r="F820" t="s">
        <v>113</v>
      </c>
      <c r="G820">
        <v>0.47638064187318102</v>
      </c>
      <c r="H820">
        <v>2E+20</v>
      </c>
      <c r="I820">
        <v>0</v>
      </c>
      <c r="J820">
        <v>1</v>
      </c>
      <c r="K820">
        <v>0</v>
      </c>
      <c r="L820">
        <v>0</v>
      </c>
      <c r="M820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820" cm="1">
        <f t="array" ref="N820">MAX(IF((ProjectInfoTable[ProjectName]=ContinuousStatsTable[[#This Row],[ProjectName]]),(ProjectInfoTable[ProjectName]=ContinuousStatsTable[[#This Row],[ProjectName]])*ProjectInfoTable[NumberOfReplications]))</f>
        <v>10</v>
      </c>
      <c r="O820" cm="1">
        <f t="array" ref="O820">IFERROR(AVERAGE(IF((ContinuousStatsTable[GroupByKey]=ContinuousStatsTable[[#This Row],[GroupByKey]]),(ContinuousStatsTable[GroupByKey]=ContinuousStatsTable[[#This Row],[GroupByKey]])*ContinuousStatsTable[Average])),0)</f>
        <v>0.47640752107427209</v>
      </c>
      <c r="P820" cm="1">
        <f t="array" ref="P820">IFERROR(_xlfn.STDEV.S(IF((ContinuousStatsTable[GroupByKey]=ContinuousStatsTable[[#This Row],[GroupByKey]]),(ContinuousStatsTable[GroupByKey]=ContinuousStatsTable[[#This Row],[GroupByKey]])*ContinuousStatsTable[Average])),0)</f>
        <v>7.980955990487845E-5</v>
      </c>
      <c r="Q820" cm="1">
        <f t="array" ref="Q820">MAX(IF((ProjectInfoTable[ProjectName]=ContinuousStatsTable[[#This Row],[ProjectName]]),(ProjectInfoTable[ProjectName]=ContinuousStatsTable[[#This Row],[ProjectName]])*ProjectInfoTable[ConfidenceInterval]))</f>
        <v>0.95</v>
      </c>
      <c r="R8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5.7092319840434263E-5</v>
      </c>
      <c r="S820" cm="1">
        <f t="array" ref="S820">MIN(IF((ContinuousStatsTable[GroupByKey]=ContinuousStatsTable[[#This Row],[GroupByKey]]),(ContinuousStatsTable[GroupByKey]=ContinuousStatsTable[[#This Row],[GroupByKey]])*ContinuousStatsTable[Average]))</f>
        <v>0.47622171379262102</v>
      </c>
      <c r="T820" cm="1">
        <f t="array" ref="T820">MAX(IF((ContinuousStatsTable[GroupByKey]=ContinuousStatsTable[[#This Row],[GroupByKey]]),(ContinuousStatsTable[GroupByKey]=ContinuousStatsTable[[#This Row],[GroupByKey]])*ContinuousStatsTable[Average]))</f>
        <v>0.47651577494330499</v>
      </c>
      <c r="U820">
        <f>IF((ContinuousStatsTable[[#This Row],[RepsRequested]]&gt;1),ContinuousStatsTable[[#This Row],[HalfWidth]],ContinuousStatsTable[[#This Row],[BatchMeansHalfWidth]])</f>
        <v>5.7092319840434263E-5</v>
      </c>
    </row>
    <row r="821" spans="1:21" x14ac:dyDescent="0.25">
      <c r="A821" t="s">
        <v>67</v>
      </c>
      <c r="B821" t="s">
        <v>243</v>
      </c>
      <c r="C821">
        <v>10</v>
      </c>
      <c r="D821" t="s">
        <v>135</v>
      </c>
      <c r="E821" t="s">
        <v>115</v>
      </c>
      <c r="F821" t="s">
        <v>113</v>
      </c>
      <c r="G821">
        <v>0.476190476190476</v>
      </c>
      <c r="H821">
        <v>2E+20</v>
      </c>
      <c r="I821">
        <v>0</v>
      </c>
      <c r="J821">
        <v>1</v>
      </c>
      <c r="K821">
        <v>0</v>
      </c>
      <c r="L821">
        <v>0</v>
      </c>
      <c r="M821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821" cm="1">
        <f t="array" ref="N821">MAX(IF((ProjectInfoTable[ProjectName]=ContinuousStatsTable[[#This Row],[ProjectName]]),(ProjectInfoTable[ProjectName]=ContinuousStatsTable[[#This Row],[ProjectName]])*ProjectInfoTable[NumberOfReplications]))</f>
        <v>10</v>
      </c>
      <c r="O821" cm="1">
        <f t="array" ref="O821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821" cm="1">
        <f t="array" ref="P821">IFERROR(_xlfn.STDEV.S(IF((ContinuousStatsTable[GroupByKey]=ContinuousStatsTable[[#This Row],[GroupByKey]]),(ContinuousStatsTable[GroupByKey]=ContinuousStatsTable[[#This Row],[GroupByKey]])*ContinuousStatsTable[Average])),0)</f>
        <v>0</v>
      </c>
      <c r="Q821" cm="1">
        <f t="array" ref="Q821">MAX(IF((ProjectInfoTable[ProjectName]=ContinuousStatsTable[[#This Row],[ProjectName]]),(ProjectInfoTable[ProjectName]=ContinuousStatsTable[[#This Row],[ProjectName]])*ProjectInfoTable[ConfidenceInterval]))</f>
        <v>0.95</v>
      </c>
      <c r="R8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1" cm="1">
        <f t="array" ref="S821">MIN(IF((ContinuousStatsTable[GroupByKey]=ContinuousStatsTable[[#This Row],[GroupByKey]]),(ContinuousStatsTable[GroupByKey]=ContinuousStatsTable[[#This Row],[GroupByKey]])*ContinuousStatsTable[Average]))</f>
        <v>0.476190476190476</v>
      </c>
      <c r="T821" cm="1">
        <f t="array" ref="T821">MAX(IF((ContinuousStatsTable[GroupByKey]=ContinuousStatsTable[[#This Row],[GroupByKey]]),(ContinuousStatsTable[GroupByKey]=ContinuousStatsTable[[#This Row],[GroupByKey]])*ContinuousStatsTable[Average]))</f>
        <v>0.476190476190476</v>
      </c>
      <c r="U821">
        <f>IF((ContinuousStatsTable[[#This Row],[RepsRequested]]&gt;1),ContinuousStatsTable[[#This Row],[HalfWidth]],ContinuousStatsTable[[#This Row],[BatchMeansHalfWidth]])</f>
        <v>0</v>
      </c>
    </row>
    <row r="822" spans="1:21" x14ac:dyDescent="0.25">
      <c r="A822" t="s">
        <v>67</v>
      </c>
      <c r="B822" t="s">
        <v>243</v>
      </c>
      <c r="C822">
        <v>10</v>
      </c>
      <c r="D822" t="s">
        <v>136</v>
      </c>
      <c r="E822" t="s">
        <v>112</v>
      </c>
      <c r="F822" t="s">
        <v>113</v>
      </c>
      <c r="G822">
        <v>0.29915158261899799</v>
      </c>
      <c r="H822">
        <v>3E+20</v>
      </c>
      <c r="I822">
        <v>0</v>
      </c>
      <c r="J822">
        <v>1</v>
      </c>
      <c r="K822">
        <v>0</v>
      </c>
      <c r="L822">
        <v>0</v>
      </c>
      <c r="M822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822" cm="1">
        <f t="array" ref="N822">MAX(IF((ProjectInfoTable[ProjectName]=ContinuousStatsTable[[#This Row],[ProjectName]]),(ProjectInfoTable[ProjectName]=ContinuousStatsTable[[#This Row],[ProjectName]])*ProjectInfoTable[NumberOfReplications]))</f>
        <v>10</v>
      </c>
      <c r="O822" cm="1">
        <f t="array" ref="O822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822" cm="1">
        <f t="array" ref="P822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822" cm="1">
        <f t="array" ref="Q822">MAX(IF((ProjectInfoTable[ProjectName]=ContinuousStatsTable[[#This Row],[ProjectName]]),(ProjectInfoTable[ProjectName]=ContinuousStatsTable[[#This Row],[ProjectName]])*ProjectInfoTable[ConfidenceInterval]))</f>
        <v>0.95</v>
      </c>
      <c r="R8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822" cm="1">
        <f t="array" ref="S822">MIN(IF((ContinuousStatsTable[GroupByKey]=ContinuousStatsTable[[#This Row],[GroupByKey]]),(ContinuousStatsTable[GroupByKey]=ContinuousStatsTable[[#This Row],[GroupByKey]])*ContinuousStatsTable[Average]))</f>
        <v>0.29842379685970999</v>
      </c>
      <c r="T822" cm="1">
        <f t="array" ref="T822">MAX(IF((ContinuousStatsTable[GroupByKey]=ContinuousStatsTable[[#This Row],[GroupByKey]]),(ContinuousStatsTable[GroupByKey]=ContinuousStatsTable[[#This Row],[GroupByKey]])*ContinuousStatsTable[Average]))</f>
        <v>0.29970100107953501</v>
      </c>
      <c r="U822">
        <f>IF((ContinuousStatsTable[[#This Row],[RepsRequested]]&gt;1),ContinuousStatsTable[[#This Row],[HalfWidth]],ContinuousStatsTable[[#This Row],[BatchMeansHalfWidth]])</f>
        <v>2.6450685793468105E-4</v>
      </c>
    </row>
    <row r="823" spans="1:21" x14ac:dyDescent="0.25">
      <c r="A823" t="s">
        <v>67</v>
      </c>
      <c r="B823" t="s">
        <v>243</v>
      </c>
      <c r="C823">
        <v>10</v>
      </c>
      <c r="D823" t="s">
        <v>136</v>
      </c>
      <c r="E823" t="s">
        <v>114</v>
      </c>
      <c r="F823" t="s">
        <v>113</v>
      </c>
      <c r="G823">
        <v>0.29915158261899799</v>
      </c>
      <c r="H823">
        <v>3E+20</v>
      </c>
      <c r="I823">
        <v>0</v>
      </c>
      <c r="J823">
        <v>1</v>
      </c>
      <c r="K823">
        <v>0</v>
      </c>
      <c r="L823">
        <v>0</v>
      </c>
      <c r="M823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823" cm="1">
        <f t="array" ref="N823">MAX(IF((ProjectInfoTable[ProjectName]=ContinuousStatsTable[[#This Row],[ProjectName]]),(ProjectInfoTable[ProjectName]=ContinuousStatsTable[[#This Row],[ProjectName]])*ProjectInfoTable[NumberOfReplications]))</f>
        <v>10</v>
      </c>
      <c r="O823" cm="1">
        <f t="array" ref="O823">IFERROR(AVERAGE(IF((ContinuousStatsTable[GroupByKey]=ContinuousStatsTable[[#This Row],[GroupByKey]]),(ContinuousStatsTable[GroupByKey]=ContinuousStatsTable[[#This Row],[GroupByKey]])*ContinuousStatsTable[Average])),0)</f>
        <v>0.29911707311550589</v>
      </c>
      <c r="P823" cm="1">
        <f t="array" ref="P823">IFERROR(_xlfn.STDEV.S(IF((ContinuousStatsTable[GroupByKey]=ContinuousStatsTable[[#This Row],[GroupByKey]]),(ContinuousStatsTable[GroupByKey]=ContinuousStatsTable[[#This Row],[GroupByKey]])*ContinuousStatsTable[Average])),0)</f>
        <v>3.6975509109788047E-4</v>
      </c>
      <c r="Q823" cm="1">
        <f t="array" ref="Q823">MAX(IF((ProjectInfoTable[ProjectName]=ContinuousStatsTable[[#This Row],[ProjectName]]),(ProjectInfoTable[ProjectName]=ContinuousStatsTable[[#This Row],[ProjectName]])*ProjectInfoTable[ConfidenceInterval]))</f>
        <v>0.95</v>
      </c>
      <c r="R8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2.6450685793468105E-4</v>
      </c>
      <c r="S823" cm="1">
        <f t="array" ref="S823">MIN(IF((ContinuousStatsTable[GroupByKey]=ContinuousStatsTable[[#This Row],[GroupByKey]]),(ContinuousStatsTable[GroupByKey]=ContinuousStatsTable[[#This Row],[GroupByKey]])*ContinuousStatsTable[Average]))</f>
        <v>0.29842379685970999</v>
      </c>
      <c r="T823" cm="1">
        <f t="array" ref="T823">MAX(IF((ContinuousStatsTable[GroupByKey]=ContinuousStatsTable[[#This Row],[GroupByKey]]),(ContinuousStatsTable[GroupByKey]=ContinuousStatsTable[[#This Row],[GroupByKey]])*ContinuousStatsTable[Average]))</f>
        <v>0.29970100107953501</v>
      </c>
      <c r="U823">
        <f>IF((ContinuousStatsTable[[#This Row],[RepsRequested]]&gt;1),ContinuousStatsTable[[#This Row],[HalfWidth]],ContinuousStatsTable[[#This Row],[BatchMeansHalfWidth]])</f>
        <v>2.6450685793468105E-4</v>
      </c>
    </row>
    <row r="824" spans="1:21" x14ac:dyDescent="0.25">
      <c r="A824" t="s">
        <v>67</v>
      </c>
      <c r="B824" t="s">
        <v>243</v>
      </c>
      <c r="C824">
        <v>10</v>
      </c>
      <c r="D824" t="s">
        <v>136</v>
      </c>
      <c r="E824" t="s">
        <v>115</v>
      </c>
      <c r="F824" t="s">
        <v>113</v>
      </c>
      <c r="G824">
        <v>0.476190476190476</v>
      </c>
      <c r="H824">
        <v>2E+20</v>
      </c>
      <c r="I824">
        <v>0</v>
      </c>
      <c r="J824">
        <v>1</v>
      </c>
      <c r="K824">
        <v>0</v>
      </c>
      <c r="L824">
        <v>0</v>
      </c>
      <c r="M824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824" cm="1">
        <f t="array" ref="N824">MAX(IF((ProjectInfoTable[ProjectName]=ContinuousStatsTable[[#This Row],[ProjectName]]),(ProjectInfoTable[ProjectName]=ContinuousStatsTable[[#This Row],[ProjectName]])*ProjectInfoTable[NumberOfReplications]))</f>
        <v>10</v>
      </c>
      <c r="O824" cm="1">
        <f t="array" ref="O824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824" cm="1">
        <f t="array" ref="P824">IFERROR(_xlfn.STDEV.S(IF((ContinuousStatsTable[GroupByKey]=ContinuousStatsTable[[#This Row],[GroupByKey]]),(ContinuousStatsTable[GroupByKey]=ContinuousStatsTable[[#This Row],[GroupByKey]])*ContinuousStatsTable[Average])),0)</f>
        <v>0</v>
      </c>
      <c r="Q824" cm="1">
        <f t="array" ref="Q824">MAX(IF((ProjectInfoTable[ProjectName]=ContinuousStatsTable[[#This Row],[ProjectName]]),(ProjectInfoTable[ProjectName]=ContinuousStatsTable[[#This Row],[ProjectName]])*ProjectInfoTable[ConfidenceInterval]))</f>
        <v>0.95</v>
      </c>
      <c r="R8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4" cm="1">
        <f t="array" ref="S824">MIN(IF((ContinuousStatsTable[GroupByKey]=ContinuousStatsTable[[#This Row],[GroupByKey]]),(ContinuousStatsTable[GroupByKey]=ContinuousStatsTable[[#This Row],[GroupByKey]])*ContinuousStatsTable[Average]))</f>
        <v>0.476190476190476</v>
      </c>
      <c r="T824" cm="1">
        <f t="array" ref="T824">MAX(IF((ContinuousStatsTable[GroupByKey]=ContinuousStatsTable[[#This Row],[GroupByKey]]),(ContinuousStatsTable[GroupByKey]=ContinuousStatsTable[[#This Row],[GroupByKey]])*ContinuousStatsTable[Average]))</f>
        <v>0.476190476190476</v>
      </c>
      <c r="U824">
        <f>IF((ContinuousStatsTable[[#This Row],[RepsRequested]]&gt;1),ContinuousStatsTable[[#This Row],[HalfWidth]],ContinuousStatsTable[[#This Row],[BatchMeansHalfWidth]])</f>
        <v>0</v>
      </c>
    </row>
    <row r="825" spans="1:21" x14ac:dyDescent="0.25">
      <c r="A825" t="s">
        <v>67</v>
      </c>
      <c r="B825" t="s">
        <v>243</v>
      </c>
      <c r="C825">
        <v>10</v>
      </c>
      <c r="D825" t="s">
        <v>137</v>
      </c>
      <c r="E825" t="s">
        <v>112</v>
      </c>
      <c r="F825" t="s">
        <v>113</v>
      </c>
      <c r="G825">
        <v>0.45550004981449399</v>
      </c>
      <c r="H825">
        <v>3E+20</v>
      </c>
      <c r="I825">
        <v>0</v>
      </c>
      <c r="J825">
        <v>1</v>
      </c>
      <c r="K825">
        <v>0</v>
      </c>
      <c r="L825">
        <v>0</v>
      </c>
      <c r="M825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825" cm="1">
        <f t="array" ref="N825">MAX(IF((ProjectInfoTable[ProjectName]=ContinuousStatsTable[[#This Row],[ProjectName]]),(ProjectInfoTable[ProjectName]=ContinuousStatsTable[[#This Row],[ProjectName]])*ProjectInfoTable[NumberOfReplications]))</f>
        <v>10</v>
      </c>
      <c r="O825" cm="1">
        <f t="array" ref="O825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825" cm="1">
        <f t="array" ref="P825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825" cm="1">
        <f t="array" ref="Q825">MAX(IF((ProjectInfoTable[ProjectName]=ContinuousStatsTable[[#This Row],[ProjectName]]),(ProjectInfoTable[ProjectName]=ContinuousStatsTable[[#This Row],[ProjectName]])*ProjectInfoTable[ConfidenceInterval]))</f>
        <v>0.95</v>
      </c>
      <c r="R8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825" cm="1">
        <f t="array" ref="S825">MIN(IF((ContinuousStatsTable[GroupByKey]=ContinuousStatsTable[[#This Row],[GroupByKey]]),(ContinuousStatsTable[GroupByKey]=ContinuousStatsTable[[#This Row],[GroupByKey]])*ContinuousStatsTable[Average]))</f>
        <v>0.45550004981449399</v>
      </c>
      <c r="T825" cm="1">
        <f t="array" ref="T825">MAX(IF((ContinuousStatsTable[GroupByKey]=ContinuousStatsTable[[#This Row],[GroupByKey]]),(ContinuousStatsTable[GroupByKey]=ContinuousStatsTable[[#This Row],[GroupByKey]])*ContinuousStatsTable[Average]))</f>
        <v>0.45652258337600798</v>
      </c>
      <c r="U825">
        <f>IF((ContinuousStatsTable[[#This Row],[RepsRequested]]&gt;1),ContinuousStatsTable[[#This Row],[HalfWidth]],ContinuousStatsTable[[#This Row],[BatchMeansHalfWidth]])</f>
        <v>2.4108493326261801E-4</v>
      </c>
    </row>
    <row r="826" spans="1:21" x14ac:dyDescent="0.25">
      <c r="A826" t="s">
        <v>67</v>
      </c>
      <c r="B826" t="s">
        <v>243</v>
      </c>
      <c r="C826">
        <v>10</v>
      </c>
      <c r="D826" t="s">
        <v>137</v>
      </c>
      <c r="E826" t="s">
        <v>114</v>
      </c>
      <c r="F826" t="s">
        <v>113</v>
      </c>
      <c r="G826">
        <v>0.45550004981449399</v>
      </c>
      <c r="H826">
        <v>3E+20</v>
      </c>
      <c r="I826">
        <v>0</v>
      </c>
      <c r="J826">
        <v>1</v>
      </c>
      <c r="K826">
        <v>0</v>
      </c>
      <c r="L826">
        <v>0</v>
      </c>
      <c r="M826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826" cm="1">
        <f t="array" ref="N826">MAX(IF((ProjectInfoTable[ProjectName]=ContinuousStatsTable[[#This Row],[ProjectName]]),(ProjectInfoTable[ProjectName]=ContinuousStatsTable[[#This Row],[ProjectName]])*ProjectInfoTable[NumberOfReplications]))</f>
        <v>10</v>
      </c>
      <c r="O826" cm="1">
        <f t="array" ref="O826">IFERROR(AVERAGE(IF((ContinuousStatsTable[GroupByKey]=ContinuousStatsTable[[#This Row],[GroupByKey]]),(ContinuousStatsTable[GroupByKey]=ContinuousStatsTable[[#This Row],[GroupByKey]])*ContinuousStatsTable[Average])),0)</f>
        <v>0.45612135268523524</v>
      </c>
      <c r="P826" cm="1">
        <f t="array" ref="P826">IFERROR(_xlfn.STDEV.S(IF((ContinuousStatsTable[GroupByKey]=ContinuousStatsTable[[#This Row],[GroupByKey]]),(ContinuousStatsTable[GroupByKey]=ContinuousStatsTable[[#This Row],[GroupByKey]])*ContinuousStatsTable[Average])),0)</f>
        <v>3.3701349808805007E-4</v>
      </c>
      <c r="Q826" cm="1">
        <f t="array" ref="Q826">MAX(IF((ProjectInfoTable[ProjectName]=ContinuousStatsTable[[#This Row],[ProjectName]]),(ProjectInfoTable[ProjectName]=ContinuousStatsTable[[#This Row],[ProjectName]])*ProjectInfoTable[ConfidenceInterval]))</f>
        <v>0.95</v>
      </c>
      <c r="R8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2.4108493326261801E-4</v>
      </c>
      <c r="S826" cm="1">
        <f t="array" ref="S826">MIN(IF((ContinuousStatsTable[GroupByKey]=ContinuousStatsTable[[#This Row],[GroupByKey]]),(ContinuousStatsTable[GroupByKey]=ContinuousStatsTable[[#This Row],[GroupByKey]])*ContinuousStatsTable[Average]))</f>
        <v>0.45550004981449399</v>
      </c>
      <c r="T826" cm="1">
        <f t="array" ref="T826">MAX(IF((ContinuousStatsTable[GroupByKey]=ContinuousStatsTable[[#This Row],[GroupByKey]]),(ContinuousStatsTable[GroupByKey]=ContinuousStatsTable[[#This Row],[GroupByKey]])*ContinuousStatsTable[Average]))</f>
        <v>0.45652258337600798</v>
      </c>
      <c r="U826">
        <f>IF((ContinuousStatsTable[[#This Row],[RepsRequested]]&gt;1),ContinuousStatsTable[[#This Row],[HalfWidth]],ContinuousStatsTable[[#This Row],[BatchMeansHalfWidth]])</f>
        <v>2.4108493326261801E-4</v>
      </c>
    </row>
    <row r="827" spans="1:21" x14ac:dyDescent="0.25">
      <c r="A827" t="s">
        <v>67</v>
      </c>
      <c r="B827" t="s">
        <v>243</v>
      </c>
      <c r="C827">
        <v>10</v>
      </c>
      <c r="D827" t="s">
        <v>137</v>
      </c>
      <c r="E827" t="s">
        <v>115</v>
      </c>
      <c r="F827" t="s">
        <v>113</v>
      </c>
      <c r="G827">
        <v>0.476190476190476</v>
      </c>
      <c r="H827">
        <v>2E+20</v>
      </c>
      <c r="I827">
        <v>0</v>
      </c>
      <c r="J827">
        <v>1</v>
      </c>
      <c r="K827">
        <v>0</v>
      </c>
      <c r="L827">
        <v>0</v>
      </c>
      <c r="M827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827" cm="1">
        <f t="array" ref="N827">MAX(IF((ProjectInfoTable[ProjectName]=ContinuousStatsTable[[#This Row],[ProjectName]]),(ProjectInfoTable[ProjectName]=ContinuousStatsTable[[#This Row],[ProjectName]])*ProjectInfoTable[NumberOfReplications]))</f>
        <v>10</v>
      </c>
      <c r="O827" cm="1">
        <f t="array" ref="O827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827" cm="1">
        <f t="array" ref="P827">IFERROR(_xlfn.STDEV.S(IF((ContinuousStatsTable[GroupByKey]=ContinuousStatsTable[[#This Row],[GroupByKey]]),(ContinuousStatsTable[GroupByKey]=ContinuousStatsTable[[#This Row],[GroupByKey]])*ContinuousStatsTable[Average])),0)</f>
        <v>0</v>
      </c>
      <c r="Q827" cm="1">
        <f t="array" ref="Q827">MAX(IF((ProjectInfoTable[ProjectName]=ContinuousStatsTable[[#This Row],[ProjectName]]),(ProjectInfoTable[ProjectName]=ContinuousStatsTable[[#This Row],[ProjectName]])*ProjectInfoTable[ConfidenceInterval]))</f>
        <v>0.95</v>
      </c>
      <c r="R8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7" cm="1">
        <f t="array" ref="S827">MIN(IF((ContinuousStatsTable[GroupByKey]=ContinuousStatsTable[[#This Row],[GroupByKey]]),(ContinuousStatsTable[GroupByKey]=ContinuousStatsTable[[#This Row],[GroupByKey]])*ContinuousStatsTable[Average]))</f>
        <v>0.476190476190476</v>
      </c>
      <c r="T827" cm="1">
        <f t="array" ref="T827">MAX(IF((ContinuousStatsTable[GroupByKey]=ContinuousStatsTable[[#This Row],[GroupByKey]]),(ContinuousStatsTable[GroupByKey]=ContinuousStatsTable[[#This Row],[GroupByKey]])*ContinuousStatsTable[Average]))</f>
        <v>0.476190476190476</v>
      </c>
      <c r="U827">
        <f>IF((ContinuousStatsTable[[#This Row],[RepsRequested]]&gt;1),ContinuousStatsTable[[#This Row],[HalfWidth]],ContinuousStatsTable[[#This Row],[BatchMeansHalfWidth]])</f>
        <v>0</v>
      </c>
    </row>
    <row r="828" spans="1:21" x14ac:dyDescent="0.25">
      <c r="A828" t="s">
        <v>67</v>
      </c>
      <c r="B828" t="s">
        <v>243</v>
      </c>
      <c r="C828">
        <v>10</v>
      </c>
      <c r="D828" t="s">
        <v>138</v>
      </c>
      <c r="E828" t="s">
        <v>112</v>
      </c>
      <c r="F828" t="s">
        <v>113</v>
      </c>
      <c r="G828">
        <v>0.47638483167518703</v>
      </c>
      <c r="H828">
        <v>2E+20</v>
      </c>
      <c r="I828">
        <v>0</v>
      </c>
      <c r="J828">
        <v>1</v>
      </c>
      <c r="K828">
        <v>0</v>
      </c>
      <c r="L828">
        <v>0</v>
      </c>
      <c r="M828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828" cm="1">
        <f t="array" ref="N828">MAX(IF((ProjectInfoTable[ProjectName]=ContinuousStatsTable[[#This Row],[ProjectName]]),(ProjectInfoTable[ProjectName]=ContinuousStatsTable[[#This Row],[ProjectName]])*ProjectInfoTable[NumberOfReplications]))</f>
        <v>10</v>
      </c>
      <c r="O828" cm="1">
        <f t="array" ref="O828">IFERROR(AVERAGE(IF((ContinuousStatsTable[GroupByKey]=ContinuousStatsTable[[#This Row],[GroupByKey]]),(ContinuousStatsTable[GroupByKey]=ContinuousStatsTable[[#This Row],[GroupByKey]])*ContinuousStatsTable[Average])),0)</f>
        <v>0.47637632373438449</v>
      </c>
      <c r="P828" cm="1">
        <f t="array" ref="P828">IFERROR(_xlfn.STDEV.S(IF((ContinuousStatsTable[GroupByKey]=ContinuousStatsTable[[#This Row],[GroupByKey]]),(ContinuousStatsTable[GroupByKey]=ContinuousStatsTable[[#This Row],[GroupByKey]])*ContinuousStatsTable[Average])),0)</f>
        <v>2.6635978153163645E-5</v>
      </c>
      <c r="Q828" cm="1">
        <f t="array" ref="Q828">MAX(IF((ProjectInfoTable[ProjectName]=ContinuousStatsTable[[#This Row],[ProjectName]]),(ProjectInfoTable[ProjectName]=ContinuousStatsTable[[#This Row],[ProjectName]])*ProjectInfoTable[ConfidenceInterval]))</f>
        <v>0.95</v>
      </c>
      <c r="R8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1.9054230919149366E-5</v>
      </c>
      <c r="S828" cm="1">
        <f t="array" ref="S828">MIN(IF((ContinuousStatsTable[GroupByKey]=ContinuousStatsTable[[#This Row],[GroupByKey]]),(ContinuousStatsTable[GroupByKey]=ContinuousStatsTable[[#This Row],[GroupByKey]])*ContinuousStatsTable[Average]))</f>
        <v>0.47633465557050603</v>
      </c>
      <c r="T828" cm="1">
        <f t="array" ref="T828">MAX(IF((ContinuousStatsTable[GroupByKey]=ContinuousStatsTable[[#This Row],[GroupByKey]]),(ContinuousStatsTable[GroupByKey]=ContinuousStatsTable[[#This Row],[GroupByKey]])*ContinuousStatsTable[Average]))</f>
        <v>0.47641329732322302</v>
      </c>
      <c r="U828">
        <f>IF((ContinuousStatsTable[[#This Row],[RepsRequested]]&gt;1),ContinuousStatsTable[[#This Row],[HalfWidth]],ContinuousStatsTable[[#This Row],[BatchMeansHalfWidth]])</f>
        <v>1.9054230919149366E-5</v>
      </c>
    </row>
    <row r="829" spans="1:21" x14ac:dyDescent="0.25">
      <c r="A829" t="s">
        <v>67</v>
      </c>
      <c r="B829" t="s">
        <v>243</v>
      </c>
      <c r="C829">
        <v>10</v>
      </c>
      <c r="D829" t="s">
        <v>138</v>
      </c>
      <c r="E829" t="s">
        <v>114</v>
      </c>
      <c r="F829" t="s">
        <v>113</v>
      </c>
      <c r="G829">
        <v>0.47638483167518703</v>
      </c>
      <c r="H829">
        <v>2E+20</v>
      </c>
      <c r="I829">
        <v>0</v>
      </c>
      <c r="J829">
        <v>1</v>
      </c>
      <c r="K829">
        <v>0</v>
      </c>
      <c r="L829">
        <v>0</v>
      </c>
      <c r="M829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829" cm="1">
        <f t="array" ref="N829">MAX(IF((ProjectInfoTable[ProjectName]=ContinuousStatsTable[[#This Row],[ProjectName]]),(ProjectInfoTable[ProjectName]=ContinuousStatsTable[[#This Row],[ProjectName]])*ProjectInfoTable[NumberOfReplications]))</f>
        <v>10</v>
      </c>
      <c r="O829" cm="1">
        <f t="array" ref="O829">IFERROR(AVERAGE(IF((ContinuousStatsTable[GroupByKey]=ContinuousStatsTable[[#This Row],[GroupByKey]]),(ContinuousStatsTable[GroupByKey]=ContinuousStatsTable[[#This Row],[GroupByKey]])*ContinuousStatsTable[Average])),0)</f>
        <v>0.47637632373438443</v>
      </c>
      <c r="P829" cm="1">
        <f t="array" ref="P829">IFERROR(_xlfn.STDEV.S(IF((ContinuousStatsTable[GroupByKey]=ContinuousStatsTable[[#This Row],[GroupByKey]]),(ContinuousStatsTable[GroupByKey]=ContinuousStatsTable[[#This Row],[GroupByKey]])*ContinuousStatsTable[Average])),0)</f>
        <v>2.6635978153259248E-5</v>
      </c>
      <c r="Q829" cm="1">
        <f t="array" ref="Q829">MAX(IF((ProjectInfoTable[ProjectName]=ContinuousStatsTable[[#This Row],[ProjectName]]),(ProjectInfoTable[ProjectName]=ContinuousStatsTable[[#This Row],[ProjectName]])*ProjectInfoTable[ConfidenceInterval]))</f>
        <v>0.95</v>
      </c>
      <c r="R8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1.9054230919217752E-5</v>
      </c>
      <c r="S829" cm="1">
        <f t="array" ref="S829">MIN(IF((ContinuousStatsTable[GroupByKey]=ContinuousStatsTable[[#This Row],[GroupByKey]]),(ContinuousStatsTable[GroupByKey]=ContinuousStatsTable[[#This Row],[GroupByKey]])*ContinuousStatsTable[Average]))</f>
        <v>0.47633465557050603</v>
      </c>
      <c r="T829" cm="1">
        <f t="array" ref="T829">MAX(IF((ContinuousStatsTable[GroupByKey]=ContinuousStatsTable[[#This Row],[GroupByKey]]),(ContinuousStatsTable[GroupByKey]=ContinuousStatsTable[[#This Row],[GroupByKey]])*ContinuousStatsTable[Average]))</f>
        <v>0.47641329732322302</v>
      </c>
      <c r="U829">
        <f>IF((ContinuousStatsTable[[#This Row],[RepsRequested]]&gt;1),ContinuousStatsTable[[#This Row],[HalfWidth]],ContinuousStatsTable[[#This Row],[BatchMeansHalfWidth]])</f>
        <v>1.9054230919217752E-5</v>
      </c>
    </row>
    <row r="830" spans="1:21" x14ac:dyDescent="0.25">
      <c r="A830" t="s">
        <v>67</v>
      </c>
      <c r="B830" t="s">
        <v>243</v>
      </c>
      <c r="C830">
        <v>10</v>
      </c>
      <c r="D830" t="s">
        <v>138</v>
      </c>
      <c r="E830" t="s">
        <v>115</v>
      </c>
      <c r="F830" t="s">
        <v>113</v>
      </c>
      <c r="G830">
        <v>0.476190476190476</v>
      </c>
      <c r="H830">
        <v>2E+20</v>
      </c>
      <c r="I830">
        <v>0</v>
      </c>
      <c r="J830">
        <v>1</v>
      </c>
      <c r="K830">
        <v>0</v>
      </c>
      <c r="L830">
        <v>0</v>
      </c>
      <c r="M830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830" cm="1">
        <f t="array" ref="N830">MAX(IF((ProjectInfoTable[ProjectName]=ContinuousStatsTable[[#This Row],[ProjectName]]),(ProjectInfoTable[ProjectName]=ContinuousStatsTable[[#This Row],[ProjectName]])*ProjectInfoTable[NumberOfReplications]))</f>
        <v>10</v>
      </c>
      <c r="O830" cm="1">
        <f t="array" ref="O830">IFERROR(AVERAGE(IF((ContinuousStatsTable[GroupByKey]=ContinuousStatsTable[[#This Row],[GroupByKey]]),(ContinuousStatsTable[GroupByKey]=ContinuousStatsTable[[#This Row],[GroupByKey]])*ContinuousStatsTable[Average])),0)</f>
        <v>0.476190476190476</v>
      </c>
      <c r="P830" cm="1">
        <f t="array" ref="P830">IFERROR(_xlfn.STDEV.S(IF((ContinuousStatsTable[GroupByKey]=ContinuousStatsTable[[#This Row],[GroupByKey]]),(ContinuousStatsTable[GroupByKey]=ContinuousStatsTable[[#This Row],[GroupByKey]])*ContinuousStatsTable[Average])),0)</f>
        <v>0</v>
      </c>
      <c r="Q830" cm="1">
        <f t="array" ref="Q830">MAX(IF((ProjectInfoTable[ProjectName]=ContinuousStatsTable[[#This Row],[ProjectName]]),(ProjectInfoTable[ProjectName]=ContinuousStatsTable[[#This Row],[ProjectName]])*ProjectInfoTable[ConfidenceInterval]))</f>
        <v>0.95</v>
      </c>
      <c r="R8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0" cm="1">
        <f t="array" ref="S830">MIN(IF((ContinuousStatsTable[GroupByKey]=ContinuousStatsTable[[#This Row],[GroupByKey]]),(ContinuousStatsTable[GroupByKey]=ContinuousStatsTable[[#This Row],[GroupByKey]])*ContinuousStatsTable[Average]))</f>
        <v>0.476190476190476</v>
      </c>
      <c r="T830" cm="1">
        <f t="array" ref="T830">MAX(IF((ContinuousStatsTable[GroupByKey]=ContinuousStatsTable[[#This Row],[GroupByKey]]),(ContinuousStatsTable[GroupByKey]=ContinuousStatsTable[[#This Row],[GroupByKey]])*ContinuousStatsTable[Average]))</f>
        <v>0.476190476190476</v>
      </c>
      <c r="U830">
        <f>IF((ContinuousStatsTable[[#This Row],[RepsRequested]]&gt;1),ContinuousStatsTable[[#This Row],[HalfWidth]],ContinuousStatsTable[[#This Row],[BatchMeansHalfWidth]])</f>
        <v>0</v>
      </c>
    </row>
    <row r="831" spans="1:21" x14ac:dyDescent="0.25">
      <c r="A831" t="s">
        <v>67</v>
      </c>
      <c r="B831" t="s">
        <v>243</v>
      </c>
      <c r="C831">
        <v>10</v>
      </c>
      <c r="D831" t="s">
        <v>83</v>
      </c>
      <c r="E831" t="s">
        <v>116</v>
      </c>
      <c r="F831" t="s">
        <v>71</v>
      </c>
      <c r="G831">
        <v>1.9870165110810699E-5</v>
      </c>
      <c r="H831">
        <v>2E+20</v>
      </c>
      <c r="I831">
        <v>0</v>
      </c>
      <c r="J831">
        <v>1</v>
      </c>
      <c r="K831">
        <v>0</v>
      </c>
      <c r="L831">
        <v>0</v>
      </c>
      <c r="M831" t="str">
        <f>ContinuousStatsTable[[#This Row],[ProjectName]]&amp;ContinuousStatsTable[[#This Row],[Name]]&amp;ContinuousStatsTable[[#This Row],[Type]]&amp;ContinuousStatsTable[[#This Row],[Source]]</f>
        <v>Unnamed ProjectMatch 1.Queue1Number WaitingQueue</v>
      </c>
      <c r="N831" cm="1">
        <f t="array" ref="N831">MAX(IF((ProjectInfoTable[ProjectName]=ContinuousStatsTable[[#This Row],[ProjectName]]),(ProjectInfoTable[ProjectName]=ContinuousStatsTable[[#This Row],[ProjectName]])*ProjectInfoTable[NumberOfReplications]))</f>
        <v>10</v>
      </c>
      <c r="O831" cm="1">
        <f t="array" ref="O831">IFERROR(AVERAGE(IF((ContinuousStatsTable[GroupByKey]=ContinuousStatsTable[[#This Row],[GroupByKey]]),(ContinuousStatsTable[GroupByKey]=ContinuousStatsTable[[#This Row],[GroupByKey]])*ContinuousStatsTable[Average])),0)</f>
        <v>2.9170315053456471E-5</v>
      </c>
      <c r="P831" cm="1">
        <f t="array" ref="P831">IFERROR(_xlfn.STDEV.S(IF((ContinuousStatsTable[GroupByKey]=ContinuousStatsTable[[#This Row],[GroupByKey]]),(ContinuousStatsTable[GroupByKey]=ContinuousStatsTable[[#This Row],[GroupByKey]])*ContinuousStatsTable[Average])),0)</f>
        <v>7.7933109083950271E-6</v>
      </c>
      <c r="Q831" cm="1">
        <f t="array" ref="Q831">MAX(IF((ProjectInfoTable[ProjectName]=ContinuousStatsTable[[#This Row],[ProjectName]]),(ProjectInfoTable[ProjectName]=ContinuousStatsTable[[#This Row],[ProjectName]])*ProjectInfoTable[ConfidenceInterval]))</f>
        <v>0.95</v>
      </c>
      <c r="R8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5.5749987786968959E-6</v>
      </c>
      <c r="S831" cm="1">
        <f t="array" ref="S831">MIN(IF((ContinuousStatsTable[GroupByKey]=ContinuousStatsTable[[#This Row],[GroupByKey]]),(ContinuousStatsTable[GroupByKey]=ContinuousStatsTable[[#This Row],[GroupByKey]])*ContinuousStatsTable[Average]))</f>
        <v>1.80144253291803E-5</v>
      </c>
      <c r="T831" cm="1">
        <f t="array" ref="T831">MAX(IF((ContinuousStatsTable[GroupByKey]=ContinuousStatsTable[[#This Row],[GroupByKey]]),(ContinuousStatsTable[GroupByKey]=ContinuousStatsTable[[#This Row],[GroupByKey]])*ContinuousStatsTable[Average]))</f>
        <v>4.21406992387485E-5</v>
      </c>
      <c r="U831">
        <f>IF((ContinuousStatsTable[[#This Row],[RepsRequested]]&gt;1),ContinuousStatsTable[[#This Row],[HalfWidth]],ContinuousStatsTable[[#This Row],[BatchMeansHalfWidth]])</f>
        <v>5.5749987786968959E-6</v>
      </c>
    </row>
    <row r="832" spans="1:21" x14ac:dyDescent="0.25">
      <c r="A832" t="s">
        <v>67</v>
      </c>
      <c r="B832" t="s">
        <v>243</v>
      </c>
      <c r="C832">
        <v>10</v>
      </c>
      <c r="D832" t="s">
        <v>84</v>
      </c>
      <c r="E832" t="s">
        <v>116</v>
      </c>
      <c r="F832" t="s">
        <v>71</v>
      </c>
      <c r="G832">
        <v>871.02053857936301</v>
      </c>
      <c r="H832">
        <v>3E+20</v>
      </c>
      <c r="I832">
        <v>0</v>
      </c>
      <c r="J832">
        <v>1686</v>
      </c>
      <c r="K832">
        <v>1686</v>
      </c>
      <c r="L832">
        <v>0</v>
      </c>
      <c r="M832" t="str">
        <f>ContinuousStatsTable[[#This Row],[ProjectName]]&amp;ContinuousStatsTable[[#This Row],[Name]]&amp;ContinuousStatsTable[[#This Row],[Type]]&amp;ContinuousStatsTable[[#This Row],[Source]]</f>
        <v>Unnamed ProjectMatch 1.Queue2Number WaitingQueue</v>
      </c>
      <c r="N832" cm="1">
        <f t="array" ref="N832">MAX(IF((ProjectInfoTable[ProjectName]=ContinuousStatsTable[[#This Row],[ProjectName]]),(ProjectInfoTable[ProjectName]=ContinuousStatsTable[[#This Row],[ProjectName]])*ProjectInfoTable[NumberOfReplications]))</f>
        <v>10</v>
      </c>
      <c r="O832" cm="1">
        <f t="array" ref="O832">IFERROR(AVERAGE(IF((ContinuousStatsTable[GroupByKey]=ContinuousStatsTable[[#This Row],[GroupByKey]]),(ContinuousStatsTable[GroupByKey]=ContinuousStatsTable[[#This Row],[GroupByKey]])*ContinuousStatsTable[Average])),0)</f>
        <v>867.85098767897125</v>
      </c>
      <c r="P832" cm="1">
        <f t="array" ref="P832">IFERROR(_xlfn.STDEV.S(IF((ContinuousStatsTable[GroupByKey]=ContinuousStatsTable[[#This Row],[GroupByKey]]),(ContinuousStatsTable[GroupByKey]=ContinuousStatsTable[[#This Row],[GroupByKey]])*ContinuousStatsTable[Average])),0)</f>
        <v>5.9823523640247513</v>
      </c>
      <c r="Q832" cm="1">
        <f t="array" ref="Q832">MAX(IF((ProjectInfoTable[ProjectName]=ContinuousStatsTable[[#This Row],[ProjectName]]),(ProjectInfoTable[ProjectName]=ContinuousStatsTable[[#This Row],[ProjectName]])*ProjectInfoTable[ConfidenceInterval]))</f>
        <v>0.95</v>
      </c>
      <c r="R8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4.2795170775550373</v>
      </c>
      <c r="S832" cm="1">
        <f t="array" ref="S832">MIN(IF((ContinuousStatsTable[GroupByKey]=ContinuousStatsTable[[#This Row],[GroupByKey]]),(ContinuousStatsTable[GroupByKey]=ContinuousStatsTable[[#This Row],[GroupByKey]])*ContinuousStatsTable[Average]))</f>
        <v>858.49288388840398</v>
      </c>
      <c r="T832" cm="1">
        <f t="array" ref="T832">MAX(IF((ContinuousStatsTable[GroupByKey]=ContinuousStatsTable[[#This Row],[GroupByKey]]),(ContinuousStatsTable[GroupByKey]=ContinuousStatsTable[[#This Row],[GroupByKey]])*ContinuousStatsTable[Average]))</f>
        <v>875.80608811200398</v>
      </c>
      <c r="U832">
        <f>IF((ContinuousStatsTable[[#This Row],[RepsRequested]]&gt;1),ContinuousStatsTable[[#This Row],[HalfWidth]],ContinuousStatsTable[[#This Row],[BatchMeansHalfWidth]])</f>
        <v>4.2795170775550373</v>
      </c>
    </row>
    <row r="833" spans="1:21" x14ac:dyDescent="0.25">
      <c r="A833" t="s">
        <v>67</v>
      </c>
      <c r="B833" t="s">
        <v>243</v>
      </c>
      <c r="C833">
        <v>10</v>
      </c>
      <c r="D833" t="s">
        <v>85</v>
      </c>
      <c r="E833" t="s">
        <v>116</v>
      </c>
      <c r="F833" t="s">
        <v>71</v>
      </c>
      <c r="G833">
        <v>1369.62287696882</v>
      </c>
      <c r="H833">
        <v>3E+20</v>
      </c>
      <c r="I833">
        <v>0</v>
      </c>
      <c r="J833">
        <v>2647</v>
      </c>
      <c r="K833">
        <v>2647</v>
      </c>
      <c r="L833">
        <v>0</v>
      </c>
      <c r="M833" t="str">
        <f>ContinuousStatsTable[[#This Row],[ProjectName]]&amp;ContinuousStatsTable[[#This Row],[Name]]&amp;ContinuousStatsTable[[#This Row],[Type]]&amp;ContinuousStatsTable[[#This Row],[Source]]</f>
        <v>Unnamed ProjectMatch 1.Queue3Number WaitingQueue</v>
      </c>
      <c r="N833" cm="1">
        <f t="array" ref="N833">MAX(IF((ProjectInfoTable[ProjectName]=ContinuousStatsTable[[#This Row],[ProjectName]]),(ProjectInfoTable[ProjectName]=ContinuousStatsTable[[#This Row],[ProjectName]])*ProjectInfoTable[NumberOfReplications]))</f>
        <v>10</v>
      </c>
      <c r="O833" cm="1">
        <f t="array" ref="O833">IFERROR(AVERAGE(IF((ContinuousStatsTable[GroupByKey]=ContinuousStatsTable[[#This Row],[GroupByKey]]),(ContinuousStatsTable[GroupByKey]=ContinuousStatsTable[[#This Row],[GroupByKey]])*ContinuousStatsTable[Average])),0)</f>
        <v>1368.6640709815952</v>
      </c>
      <c r="P833" cm="1">
        <f t="array" ref="P833">IFERROR(_xlfn.STDEV.S(IF((ContinuousStatsTable[GroupByKey]=ContinuousStatsTable[[#This Row],[GroupByKey]]),(ContinuousStatsTable[GroupByKey]=ContinuousStatsTable[[#This Row],[GroupByKey]])*ContinuousStatsTable[Average])),0)</f>
        <v>5.3961917051273351</v>
      </c>
      <c r="Q833" cm="1">
        <f t="array" ref="Q833">MAX(IF((ProjectInfoTable[ProjectName]=ContinuousStatsTable[[#This Row],[ProjectName]]),(ProjectInfoTable[ProjectName]=ContinuousStatsTable[[#This Row],[ProjectName]])*ProjectInfoTable[ConfidenceInterval]))</f>
        <v>0.95</v>
      </c>
      <c r="R8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3.860203002204456</v>
      </c>
      <c r="S833" cm="1">
        <f t="array" ref="S833">MIN(IF((ContinuousStatsTable[GroupByKey]=ContinuousStatsTable[[#This Row],[GroupByKey]]),(ContinuousStatsTable[GroupByKey]=ContinuousStatsTable[[#This Row],[GroupByKey]])*ContinuousStatsTable[Average]))</f>
        <v>1357.5761788714599</v>
      </c>
      <c r="T833" cm="1">
        <f t="array" ref="T833">MAX(IF((ContinuousStatsTable[GroupByKey]=ContinuousStatsTable[[#This Row],[GroupByKey]]),(ContinuousStatsTable[GroupByKey]=ContinuousStatsTable[[#This Row],[GroupByKey]])*ContinuousStatsTable[Average]))</f>
        <v>1375.17190829069</v>
      </c>
      <c r="U833">
        <f>IF((ContinuousStatsTable[[#This Row],[RepsRequested]]&gt;1),ContinuousStatsTable[[#This Row],[HalfWidth]],ContinuousStatsTable[[#This Row],[BatchMeansHalfWidth]])</f>
        <v>3.860203002204456</v>
      </c>
    </row>
    <row r="834" spans="1:21" x14ac:dyDescent="0.25">
      <c r="A834" t="s">
        <v>67</v>
      </c>
      <c r="B834" t="s">
        <v>243</v>
      </c>
      <c r="C834">
        <v>10</v>
      </c>
      <c r="D834" t="s">
        <v>139</v>
      </c>
      <c r="E834" t="s">
        <v>112</v>
      </c>
      <c r="F834" t="s">
        <v>113</v>
      </c>
      <c r="G834">
        <v>0</v>
      </c>
      <c r="H834">
        <v>2E+20</v>
      </c>
      <c r="I834">
        <v>0</v>
      </c>
      <c r="J834">
        <v>0</v>
      </c>
      <c r="K834">
        <v>0</v>
      </c>
      <c r="L834">
        <v>0</v>
      </c>
      <c r="M834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834" cm="1">
        <f t="array" ref="N834">MAX(IF((ProjectInfoTable[ProjectName]=ContinuousStatsTable[[#This Row],[ProjectName]]),(ProjectInfoTable[ProjectName]=ContinuousStatsTable[[#This Row],[ProjectName]])*ProjectInfoTable[NumberOfReplications]))</f>
        <v>10</v>
      </c>
      <c r="O834" cm="1">
        <f t="array" ref="O834">IFERROR(AVERAGE(IF((ContinuousStatsTable[GroupByKey]=ContinuousStatsTable[[#This Row],[GroupByKey]]),(ContinuousStatsTable[GroupByKey]=ContinuousStatsTable[[#This Row],[GroupByKey]])*ContinuousStatsTable[Average])),0)</f>
        <v>0</v>
      </c>
      <c r="P834" cm="1">
        <f t="array" ref="P834">IFERROR(_xlfn.STDEV.S(IF((ContinuousStatsTable[GroupByKey]=ContinuousStatsTable[[#This Row],[GroupByKey]]),(ContinuousStatsTable[GroupByKey]=ContinuousStatsTable[[#This Row],[GroupByKey]])*ContinuousStatsTable[Average])),0)</f>
        <v>0</v>
      </c>
      <c r="Q834" cm="1">
        <f t="array" ref="Q834">MAX(IF((ProjectInfoTable[ProjectName]=ContinuousStatsTable[[#This Row],[ProjectName]]),(ProjectInfoTable[ProjectName]=ContinuousStatsTable[[#This Row],[ProjectName]])*ProjectInfoTable[ConfidenceInterval]))</f>
        <v>0.95</v>
      </c>
      <c r="R8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4" cm="1">
        <f t="array" ref="S834">MIN(IF((ContinuousStatsTable[GroupByKey]=ContinuousStatsTable[[#This Row],[GroupByKey]]),(ContinuousStatsTable[GroupByKey]=ContinuousStatsTable[[#This Row],[GroupByKey]])*ContinuousStatsTable[Average]))</f>
        <v>0</v>
      </c>
      <c r="T834" cm="1">
        <f t="array" ref="T834">MAX(IF((ContinuousStatsTable[GroupByKey]=ContinuousStatsTable[[#This Row],[GroupByKey]]),(ContinuousStatsTable[GroupByKey]=ContinuousStatsTable[[#This Row],[GroupByKey]])*ContinuousStatsTable[Average]))</f>
        <v>0</v>
      </c>
      <c r="U834">
        <f>IF((ContinuousStatsTable[[#This Row],[RepsRequested]]&gt;1),ContinuousStatsTable[[#This Row],[HalfWidth]],ContinuousStatsTable[[#This Row],[BatchMeansHalfWidth]])</f>
        <v>0</v>
      </c>
    </row>
    <row r="835" spans="1:21" x14ac:dyDescent="0.25">
      <c r="A835" t="s">
        <v>67</v>
      </c>
      <c r="B835" t="s">
        <v>243</v>
      </c>
      <c r="C835">
        <v>10</v>
      </c>
      <c r="D835" t="s">
        <v>139</v>
      </c>
      <c r="E835" t="s">
        <v>114</v>
      </c>
      <c r="F835" t="s">
        <v>113</v>
      </c>
      <c r="G835">
        <v>0</v>
      </c>
      <c r="H835">
        <v>2E+20</v>
      </c>
      <c r="I835">
        <v>0</v>
      </c>
      <c r="J835">
        <v>0</v>
      </c>
      <c r="K835">
        <v>0</v>
      </c>
      <c r="L835">
        <v>0</v>
      </c>
      <c r="M835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835" cm="1">
        <f t="array" ref="N835">MAX(IF((ProjectInfoTable[ProjectName]=ContinuousStatsTable[[#This Row],[ProjectName]]),(ProjectInfoTable[ProjectName]=ContinuousStatsTable[[#This Row],[ProjectName]])*ProjectInfoTable[NumberOfReplications]))</f>
        <v>10</v>
      </c>
      <c r="O835" cm="1">
        <f t="array" ref="O835">IFERROR(AVERAGE(IF((ContinuousStatsTable[GroupByKey]=ContinuousStatsTable[[#This Row],[GroupByKey]]),(ContinuousStatsTable[GroupByKey]=ContinuousStatsTable[[#This Row],[GroupByKey]])*ContinuousStatsTable[Average])),0)</f>
        <v>0</v>
      </c>
      <c r="P835" cm="1">
        <f t="array" ref="P835">IFERROR(_xlfn.STDEV.S(IF((ContinuousStatsTable[GroupByKey]=ContinuousStatsTable[[#This Row],[GroupByKey]]),(ContinuousStatsTable[GroupByKey]=ContinuousStatsTable[[#This Row],[GroupByKey]])*ContinuousStatsTable[Average])),0)</f>
        <v>0</v>
      </c>
      <c r="Q835" cm="1">
        <f t="array" ref="Q835">MAX(IF((ProjectInfoTable[ProjectName]=ContinuousStatsTable[[#This Row],[ProjectName]]),(ProjectInfoTable[ProjectName]=ContinuousStatsTable[[#This Row],[ProjectName]])*ProjectInfoTable[ConfidenceInterval]))</f>
        <v>0.95</v>
      </c>
      <c r="R8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5" cm="1">
        <f t="array" ref="S835">MIN(IF((ContinuousStatsTable[GroupByKey]=ContinuousStatsTable[[#This Row],[GroupByKey]]),(ContinuousStatsTable[GroupByKey]=ContinuousStatsTable[[#This Row],[GroupByKey]])*ContinuousStatsTable[Average]))</f>
        <v>0</v>
      </c>
      <c r="T835" cm="1">
        <f t="array" ref="T835">MAX(IF((ContinuousStatsTable[GroupByKey]=ContinuousStatsTable[[#This Row],[GroupByKey]]),(ContinuousStatsTable[GroupByKey]=ContinuousStatsTable[[#This Row],[GroupByKey]])*ContinuousStatsTable[Average]))</f>
        <v>0</v>
      </c>
      <c r="U835">
        <f>IF((ContinuousStatsTable[[#This Row],[RepsRequested]]&gt;1),ContinuousStatsTable[[#This Row],[HalfWidth]],ContinuousStatsTable[[#This Row],[BatchMeansHalfWidth]])</f>
        <v>0</v>
      </c>
    </row>
    <row r="836" spans="1:21" x14ac:dyDescent="0.25">
      <c r="A836" t="s">
        <v>67</v>
      </c>
      <c r="B836" t="s">
        <v>243</v>
      </c>
      <c r="C836">
        <v>10</v>
      </c>
      <c r="D836" t="s">
        <v>139</v>
      </c>
      <c r="E836" t="s">
        <v>115</v>
      </c>
      <c r="F836" t="s">
        <v>113</v>
      </c>
      <c r="G836">
        <v>0.26785714285714302</v>
      </c>
      <c r="H836">
        <v>2E+20</v>
      </c>
      <c r="I836">
        <v>0</v>
      </c>
      <c r="J836">
        <v>1</v>
      </c>
      <c r="K836">
        <v>1</v>
      </c>
      <c r="L836">
        <v>0</v>
      </c>
      <c r="M836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836" cm="1">
        <f t="array" ref="N836">MAX(IF((ProjectInfoTable[ProjectName]=ContinuousStatsTable[[#This Row],[ProjectName]]),(ProjectInfoTable[ProjectName]=ContinuousStatsTable[[#This Row],[ProjectName]])*ProjectInfoTable[NumberOfReplications]))</f>
        <v>10</v>
      </c>
      <c r="O836" cm="1">
        <f t="array" ref="O836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836" cm="1">
        <f t="array" ref="P836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836" cm="1">
        <f t="array" ref="Q836">MAX(IF((ProjectInfoTable[ProjectName]=ContinuousStatsTable[[#This Row],[ProjectName]]),(ProjectInfoTable[ProjectName]=ContinuousStatsTable[[#This Row],[ProjectName]])*ProjectInfoTable[ConfidenceInterval]))</f>
        <v>0.95</v>
      </c>
      <c r="R8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836" cm="1">
        <f t="array" ref="S836">MIN(IF((ContinuousStatsTable[GroupByKey]=ContinuousStatsTable[[#This Row],[GroupByKey]]),(ContinuousStatsTable[GroupByKey]=ContinuousStatsTable[[#This Row],[GroupByKey]])*ContinuousStatsTable[Average]))</f>
        <v>0.26785714285714302</v>
      </c>
      <c r="T836" cm="1">
        <f t="array" ref="T836">MAX(IF((ContinuousStatsTable[GroupByKey]=ContinuousStatsTable[[#This Row],[GroupByKey]]),(ContinuousStatsTable[GroupByKey]=ContinuousStatsTable[[#This Row],[GroupByKey]])*ContinuousStatsTable[Average]))</f>
        <v>0.26785714285714302</v>
      </c>
      <c r="U836">
        <f>IF((ContinuousStatsTable[[#This Row],[RepsRequested]]&gt;1),ContinuousStatsTable[[#This Row],[HalfWidth]],ContinuousStatsTable[[#This Row],[BatchMeansHalfWidth]])</f>
        <v>4.1858316124321422E-17</v>
      </c>
    </row>
    <row r="837" spans="1:21" x14ac:dyDescent="0.25">
      <c r="A837" t="s">
        <v>67</v>
      </c>
      <c r="B837" t="s">
        <v>243</v>
      </c>
      <c r="C837">
        <v>10</v>
      </c>
      <c r="D837" t="s">
        <v>140</v>
      </c>
      <c r="E837" t="s">
        <v>112</v>
      </c>
      <c r="F837" t="s">
        <v>113</v>
      </c>
      <c r="G837">
        <v>8.5790701551474904E-2</v>
      </c>
      <c r="H837">
        <v>2E+20</v>
      </c>
      <c r="I837">
        <v>0</v>
      </c>
      <c r="J837">
        <v>1</v>
      </c>
      <c r="K837">
        <v>0</v>
      </c>
      <c r="L837">
        <v>0</v>
      </c>
      <c r="M837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837" cm="1">
        <f t="array" ref="N837">MAX(IF((ProjectInfoTable[ProjectName]=ContinuousStatsTable[[#This Row],[ProjectName]]),(ProjectInfoTable[ProjectName]=ContinuousStatsTable[[#This Row],[ProjectName]])*ProjectInfoTable[NumberOfReplications]))</f>
        <v>10</v>
      </c>
      <c r="O837" cm="1">
        <f t="array" ref="O837">IFERROR(AVERAGE(IF((ContinuousStatsTable[GroupByKey]=ContinuousStatsTable[[#This Row],[GroupByKey]]),(ContinuousStatsTable[GroupByKey]=ContinuousStatsTable[[#This Row],[GroupByKey]])*ContinuousStatsTable[Average])),0)</f>
        <v>8.7684406282387828E-2</v>
      </c>
      <c r="P837" cm="1">
        <f t="array" ref="P837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837" cm="1">
        <f t="array" ref="Q837">MAX(IF((ProjectInfoTable[ProjectName]=ContinuousStatsTable[[#This Row],[ProjectName]]),(ProjectInfoTable[ProjectName]=ContinuousStatsTable[[#This Row],[ProjectName]])*ProjectInfoTable[ConfidenceInterval]))</f>
        <v>0.95</v>
      </c>
      <c r="R8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837" cm="1">
        <f t="array" ref="S837">MIN(IF((ContinuousStatsTable[GroupByKey]=ContinuousStatsTable[[#This Row],[GroupByKey]]),(ContinuousStatsTable[GroupByKey]=ContinuousStatsTable[[#This Row],[GroupByKey]])*ContinuousStatsTable[Average]))</f>
        <v>7.2143522330073706E-2</v>
      </c>
      <c r="T837" cm="1">
        <f t="array" ref="T837">MAX(IF((ContinuousStatsTable[GroupByKey]=ContinuousStatsTable[[#This Row],[GroupByKey]]),(ContinuousStatsTable[GroupByKey]=ContinuousStatsTable[[#This Row],[GroupByKey]])*ContinuousStatsTable[Average]))</f>
        <v>0.105326430117076</v>
      </c>
      <c r="U837">
        <f>IF((ContinuousStatsTable[[#This Row],[RepsRequested]]&gt;1),ContinuousStatsTable[[#This Row],[HalfWidth]],ContinuousStatsTable[[#This Row],[BatchMeansHalfWidth]])</f>
        <v>6.7395853500387742E-3</v>
      </c>
    </row>
    <row r="838" spans="1:21" x14ac:dyDescent="0.25">
      <c r="A838" t="s">
        <v>67</v>
      </c>
      <c r="B838" t="s">
        <v>243</v>
      </c>
      <c r="C838">
        <v>10</v>
      </c>
      <c r="D838" t="s">
        <v>140</v>
      </c>
      <c r="E838" t="s">
        <v>114</v>
      </c>
      <c r="F838" t="s">
        <v>113</v>
      </c>
      <c r="G838">
        <v>8.5790701551474904E-2</v>
      </c>
      <c r="H838">
        <v>2E+20</v>
      </c>
      <c r="I838">
        <v>0</v>
      </c>
      <c r="J838">
        <v>1</v>
      </c>
      <c r="K838">
        <v>0</v>
      </c>
      <c r="L838">
        <v>0</v>
      </c>
      <c r="M838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838" cm="1">
        <f t="array" ref="N838">MAX(IF((ProjectInfoTable[ProjectName]=ContinuousStatsTable[[#This Row],[ProjectName]]),(ProjectInfoTable[ProjectName]=ContinuousStatsTable[[#This Row],[ProjectName]])*ProjectInfoTable[NumberOfReplications]))</f>
        <v>10</v>
      </c>
      <c r="O838" cm="1">
        <f t="array" ref="O838">IFERROR(AVERAGE(IF((ContinuousStatsTable[GroupByKey]=ContinuousStatsTable[[#This Row],[GroupByKey]]),(ContinuousStatsTable[GroupByKey]=ContinuousStatsTable[[#This Row],[GroupByKey]])*ContinuousStatsTable[Average])),0)</f>
        <v>8.7684406282387842E-2</v>
      </c>
      <c r="P838" cm="1">
        <f t="array" ref="P838">IFERROR(_xlfn.STDEV.S(IF((ContinuousStatsTable[GroupByKey]=ContinuousStatsTable[[#This Row],[GroupByKey]]),(ContinuousStatsTable[GroupByKey]=ContinuousStatsTable[[#This Row],[GroupByKey]])*ContinuousStatsTable[Average])),0)</f>
        <v>9.4212906785234151E-3</v>
      </c>
      <c r="Q838" cm="1">
        <f t="array" ref="Q838">MAX(IF((ProjectInfoTable[ProjectName]=ContinuousStatsTable[[#This Row],[ProjectName]]),(ProjectInfoTable[ProjectName]=ContinuousStatsTable[[#This Row],[ProjectName]])*ProjectInfoTable[ConfidenceInterval]))</f>
        <v>0.95</v>
      </c>
      <c r="R8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6.7395853500387742E-3</v>
      </c>
      <c r="S838" cm="1">
        <f t="array" ref="S838">MIN(IF((ContinuousStatsTable[GroupByKey]=ContinuousStatsTable[[#This Row],[GroupByKey]]),(ContinuousStatsTable[GroupByKey]=ContinuousStatsTable[[#This Row],[GroupByKey]])*ContinuousStatsTable[Average]))</f>
        <v>7.2143522330073706E-2</v>
      </c>
      <c r="T838" cm="1">
        <f t="array" ref="T838">MAX(IF((ContinuousStatsTable[GroupByKey]=ContinuousStatsTable[[#This Row],[GroupByKey]]),(ContinuousStatsTable[GroupByKey]=ContinuousStatsTable[[#This Row],[GroupByKey]])*ContinuousStatsTable[Average]))</f>
        <v>0.105326430117076</v>
      </c>
      <c r="U838">
        <f>IF((ContinuousStatsTable[[#This Row],[RepsRequested]]&gt;1),ContinuousStatsTable[[#This Row],[HalfWidth]],ContinuousStatsTable[[#This Row],[BatchMeansHalfWidth]])</f>
        <v>6.7395853500387742E-3</v>
      </c>
    </row>
    <row r="839" spans="1:21" x14ac:dyDescent="0.25">
      <c r="A839" t="s">
        <v>67</v>
      </c>
      <c r="B839" t="s">
        <v>243</v>
      </c>
      <c r="C839">
        <v>10</v>
      </c>
      <c r="D839" t="s">
        <v>140</v>
      </c>
      <c r="E839" t="s">
        <v>115</v>
      </c>
      <c r="F839" t="s">
        <v>113</v>
      </c>
      <c r="G839">
        <v>0.26785714285714302</v>
      </c>
      <c r="H839">
        <v>2E+20</v>
      </c>
      <c r="I839">
        <v>0</v>
      </c>
      <c r="J839">
        <v>1</v>
      </c>
      <c r="K839">
        <v>0</v>
      </c>
      <c r="L839">
        <v>0</v>
      </c>
      <c r="M839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839" cm="1">
        <f t="array" ref="N839">MAX(IF((ProjectInfoTable[ProjectName]=ContinuousStatsTable[[#This Row],[ProjectName]]),(ProjectInfoTable[ProjectName]=ContinuousStatsTable[[#This Row],[ProjectName]])*ProjectInfoTable[NumberOfReplications]))</f>
        <v>10</v>
      </c>
      <c r="O839" cm="1">
        <f t="array" ref="O839">IFERROR(AVERAGE(IF((ContinuousStatsTable[GroupByKey]=ContinuousStatsTable[[#This Row],[GroupByKey]]),(ContinuousStatsTable[GroupByKey]=ContinuousStatsTable[[#This Row],[GroupByKey]])*ContinuousStatsTable[Average])),0)</f>
        <v>0.26785714285714307</v>
      </c>
      <c r="P839" cm="1">
        <f t="array" ref="P839">IFERROR(_xlfn.STDEV.S(IF((ContinuousStatsTable[GroupByKey]=ContinuousStatsTable[[#This Row],[GroupByKey]]),(ContinuousStatsTable[GroupByKey]=ContinuousStatsTable[[#This Row],[GroupByKey]])*ContinuousStatsTable[Average])),0)</f>
        <v>5.851389114294502E-17</v>
      </c>
      <c r="Q839" cm="1">
        <f t="array" ref="Q839">MAX(IF((ProjectInfoTable[ProjectName]=ContinuousStatsTable[[#This Row],[ProjectName]]),(ProjectInfoTable[ProjectName]=ContinuousStatsTable[[#This Row],[ProjectName]])*ProjectInfoTable[ConfidenceInterval]))</f>
        <v>0.95</v>
      </c>
      <c r="R8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4.1858316124321422E-17</v>
      </c>
      <c r="S839" cm="1">
        <f t="array" ref="S839">MIN(IF((ContinuousStatsTable[GroupByKey]=ContinuousStatsTable[[#This Row],[GroupByKey]]),(ContinuousStatsTable[GroupByKey]=ContinuousStatsTable[[#This Row],[GroupByKey]])*ContinuousStatsTable[Average]))</f>
        <v>0.26785714285714302</v>
      </c>
      <c r="T839" cm="1">
        <f t="array" ref="T839">MAX(IF((ContinuousStatsTable[GroupByKey]=ContinuousStatsTable[[#This Row],[GroupByKey]]),(ContinuousStatsTable[GroupByKey]=ContinuousStatsTable[[#This Row],[GroupByKey]])*ContinuousStatsTable[Average]))</f>
        <v>0.26785714285714302</v>
      </c>
      <c r="U839">
        <f>IF((ContinuousStatsTable[[#This Row],[RepsRequested]]&gt;1),ContinuousStatsTable[[#This Row],[HalfWidth]],ContinuousStatsTable[[#This Row],[BatchMeansHalfWidth]])</f>
        <v>4.1858316124321422E-17</v>
      </c>
    </row>
    <row r="840" spans="1:21" x14ac:dyDescent="0.25">
      <c r="A840" t="s">
        <v>67</v>
      </c>
      <c r="B840" t="s">
        <v>243</v>
      </c>
      <c r="C840">
        <v>10</v>
      </c>
      <c r="D840" t="s">
        <v>99</v>
      </c>
      <c r="E840" t="s">
        <v>116</v>
      </c>
      <c r="F840" t="s">
        <v>71</v>
      </c>
      <c r="G840">
        <v>90.419666116064704</v>
      </c>
      <c r="H840">
        <v>2E+20</v>
      </c>
      <c r="I840">
        <v>0</v>
      </c>
      <c r="J840">
        <v>179</v>
      </c>
      <c r="K840">
        <v>179</v>
      </c>
      <c r="L840">
        <v>0</v>
      </c>
      <c r="M840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840" cm="1">
        <f t="array" ref="N840">MAX(IF((ProjectInfoTable[ProjectName]=ContinuousStatsTable[[#This Row],[ProjectName]]),(ProjectInfoTable[ProjectName]=ContinuousStatsTable[[#This Row],[ProjectName]])*ProjectInfoTable[NumberOfReplications]))</f>
        <v>10</v>
      </c>
      <c r="O840" cm="1">
        <f t="array" ref="O840">IFERROR(AVERAGE(IF((ContinuousStatsTable[GroupByKey]=ContinuousStatsTable[[#This Row],[GroupByKey]]),(ContinuousStatsTable[GroupByKey]=ContinuousStatsTable[[#This Row],[GroupByKey]])*ContinuousStatsTable[Average])),0)</f>
        <v>83.474789654582125</v>
      </c>
      <c r="P840" cm="1">
        <f t="array" ref="P840">IFERROR(_xlfn.STDEV.S(IF((ContinuousStatsTable[GroupByKey]=ContinuousStatsTable[[#This Row],[GroupByKey]]),(ContinuousStatsTable[GroupByKey]=ContinuousStatsTable[[#This Row],[GroupByKey]])*ContinuousStatsTable[Average])),0)</f>
        <v>6.0930686050573728</v>
      </c>
      <c r="Q840" cm="1">
        <f t="array" ref="Q840">MAX(IF((ProjectInfoTable[ProjectName]=ContinuousStatsTable[[#This Row],[ProjectName]]),(ProjectInfoTable[ProjectName]=ContinuousStatsTable[[#This Row],[ProjectName]])*ProjectInfoTable[ConfidenceInterval]))</f>
        <v>0.95</v>
      </c>
      <c r="R8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4.358718705180836</v>
      </c>
      <c r="S840" cm="1">
        <f t="array" ref="S840">MIN(IF((ContinuousStatsTable[GroupByKey]=ContinuousStatsTable[[#This Row],[GroupByKey]]),(ContinuousStatsTable[GroupByKey]=ContinuousStatsTable[[#This Row],[GroupByKey]])*ContinuousStatsTable[Average]))</f>
        <v>72.152998246910798</v>
      </c>
      <c r="T840" cm="1">
        <f t="array" ref="T840">MAX(IF((ContinuousStatsTable[GroupByKey]=ContinuousStatsTable[[#This Row],[GroupByKey]]),(ContinuousStatsTable[GroupByKey]=ContinuousStatsTable[[#This Row],[GroupByKey]])*ContinuousStatsTable[Average]))</f>
        <v>91.653675793565498</v>
      </c>
      <c r="U840">
        <f>IF((ContinuousStatsTable[[#This Row],[RepsRequested]]&gt;1),ContinuousStatsTable[[#This Row],[HalfWidth]],ContinuousStatsTable[[#This Row],[BatchMeansHalfWidth]])</f>
        <v>4.358718705180836</v>
      </c>
    </row>
    <row r="841" spans="1:21" x14ac:dyDescent="0.25">
      <c r="A841" t="s">
        <v>67</v>
      </c>
      <c r="B841" t="s">
        <v>243</v>
      </c>
      <c r="C841">
        <v>10</v>
      </c>
      <c r="D841" t="s">
        <v>100</v>
      </c>
      <c r="E841" t="s">
        <v>116</v>
      </c>
      <c r="F841" t="s">
        <v>71</v>
      </c>
      <c r="G841">
        <v>0.74277857267503899</v>
      </c>
      <c r="H841">
        <v>2E+20</v>
      </c>
      <c r="I841">
        <v>0</v>
      </c>
      <c r="J841">
        <v>2</v>
      </c>
      <c r="K841">
        <v>1</v>
      </c>
      <c r="L841">
        <v>0</v>
      </c>
      <c r="M841" t="str">
        <f>ContinuousStatsTable[[#This Row],[ProjectName]]&amp;ContinuousStatsTable[[#This Row],[Name]]&amp;ContinuousStatsTable[[#This Row],[Type]]&amp;ContinuousStatsTable[[#This Row],[Source]]</f>
        <v>Unnamed ProjectSeize 10.QueueNumber WaitingQueue</v>
      </c>
      <c r="N841" cm="1">
        <f t="array" ref="N841">MAX(IF((ProjectInfoTable[ProjectName]=ContinuousStatsTable[[#This Row],[ProjectName]]),(ProjectInfoTable[ProjectName]=ContinuousStatsTable[[#This Row],[ProjectName]])*ProjectInfoTable[NumberOfReplications]))</f>
        <v>10</v>
      </c>
      <c r="O841" cm="1">
        <f t="array" ref="O841">IFERROR(AVERAGE(IF((ContinuousStatsTable[GroupByKey]=ContinuousStatsTable[[#This Row],[GroupByKey]]),(ContinuousStatsTable[GroupByKey]=ContinuousStatsTable[[#This Row],[GroupByKey]])*ContinuousStatsTable[Average])),0)</f>
        <v>0.77451739131190445</v>
      </c>
      <c r="P841" cm="1">
        <f t="array" ref="P841">IFERROR(_xlfn.STDEV.S(IF((ContinuousStatsTable[GroupByKey]=ContinuousStatsTable[[#This Row],[GroupByKey]]),(ContinuousStatsTable[GroupByKey]=ContinuousStatsTable[[#This Row],[GroupByKey]])*ContinuousStatsTable[Average])),0)</f>
        <v>0.14034110421466847</v>
      </c>
      <c r="Q841" cm="1">
        <f t="array" ref="Q841">MAX(IF((ProjectInfoTable[ProjectName]=ContinuousStatsTable[[#This Row],[ProjectName]]),(ProjectInfoTable[ProjectName]=ContinuousStatsTable[[#This Row],[ProjectName]])*ProjectInfoTable[ConfidenceInterval]))</f>
        <v>0.95</v>
      </c>
      <c r="R8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0.10039397809151185</v>
      </c>
      <c r="S841" cm="1">
        <f t="array" ref="S841">MIN(IF((ContinuousStatsTable[GroupByKey]=ContinuousStatsTable[[#This Row],[GroupByKey]]),(ContinuousStatsTable[GroupByKey]=ContinuousStatsTable[[#This Row],[GroupByKey]])*ContinuousStatsTable[Average]))</f>
        <v>0.57599630674201496</v>
      </c>
      <c r="T841" cm="1">
        <f t="array" ref="T841">MAX(IF((ContinuousStatsTable[GroupByKey]=ContinuousStatsTable[[#This Row],[GroupByKey]]),(ContinuousStatsTable[GroupByKey]=ContinuousStatsTable[[#This Row],[GroupByKey]])*ContinuousStatsTable[Average]))</f>
        <v>0.944128153448903</v>
      </c>
      <c r="U841">
        <f>IF((ContinuousStatsTable[[#This Row],[RepsRequested]]&gt;1),ContinuousStatsTable[[#This Row],[HalfWidth]],ContinuousStatsTable[[#This Row],[BatchMeansHalfWidth]])</f>
        <v>0.10039397809151185</v>
      </c>
    </row>
    <row r="842" spans="1:21" x14ac:dyDescent="0.25">
      <c r="A842" t="s">
        <v>67</v>
      </c>
      <c r="B842" t="s">
        <v>243</v>
      </c>
      <c r="C842">
        <v>10</v>
      </c>
      <c r="D842" t="s">
        <v>101</v>
      </c>
      <c r="E842" t="s">
        <v>116</v>
      </c>
      <c r="F842" t="s">
        <v>71</v>
      </c>
      <c r="G842">
        <v>17.649213458559501</v>
      </c>
      <c r="H842">
        <v>2E+20</v>
      </c>
      <c r="I842">
        <v>0</v>
      </c>
      <c r="J842">
        <v>115</v>
      </c>
      <c r="K842">
        <v>0</v>
      </c>
      <c r="L842">
        <v>0</v>
      </c>
      <c r="M842" t="str">
        <f>ContinuousStatsTable[[#This Row],[ProjectName]]&amp;ContinuousStatsTable[[#This Row],[Name]]&amp;ContinuousStatsTable[[#This Row],[Type]]&amp;ContinuousStatsTable[[#This Row],[Source]]</f>
        <v>Unnamed ProjectSeize 11.QueueNumber WaitingQueue</v>
      </c>
      <c r="N842" cm="1">
        <f t="array" ref="N842">MAX(IF((ProjectInfoTable[ProjectName]=ContinuousStatsTable[[#This Row],[ProjectName]]),(ProjectInfoTable[ProjectName]=ContinuousStatsTable[[#This Row],[ProjectName]])*ProjectInfoTable[NumberOfReplications]))</f>
        <v>10</v>
      </c>
      <c r="O842" cm="1">
        <f t="array" ref="O842">IFERROR(AVERAGE(IF((ContinuousStatsTable[GroupByKey]=ContinuousStatsTable[[#This Row],[GroupByKey]]),(ContinuousStatsTable[GroupByKey]=ContinuousStatsTable[[#This Row],[GroupByKey]])*ContinuousStatsTable[Average])),0)</f>
        <v>17.495844600024782</v>
      </c>
      <c r="P842" cm="1">
        <f t="array" ref="P842">IFERROR(_xlfn.STDEV.S(IF((ContinuousStatsTable[GroupByKey]=ContinuousStatsTable[[#This Row],[GroupByKey]]),(ContinuousStatsTable[GroupByKey]=ContinuousStatsTable[[#This Row],[GroupByKey]])*ContinuousStatsTable[Average])),0)</f>
        <v>4.1567315260337745</v>
      </c>
      <c r="Q842" cm="1">
        <f t="array" ref="Q842">MAX(IF((ProjectInfoTable[ProjectName]=ContinuousStatsTable[[#This Row],[ProjectName]]),(ProjectInfoTable[ProjectName]=ContinuousStatsTable[[#This Row],[ProjectName]])*ProjectInfoTable[ConfidenceInterval]))</f>
        <v>0.95</v>
      </c>
      <c r="R8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2.9735466034142406</v>
      </c>
      <c r="S842" cm="1">
        <f t="array" ref="S842">MIN(IF((ContinuousStatsTable[GroupByKey]=ContinuousStatsTable[[#This Row],[GroupByKey]]),(ContinuousStatsTable[GroupByKey]=ContinuousStatsTable[[#This Row],[GroupByKey]])*ContinuousStatsTable[Average]))</f>
        <v>10.770319236854199</v>
      </c>
      <c r="T842" cm="1">
        <f t="array" ref="T842">MAX(IF((ContinuousStatsTable[GroupByKey]=ContinuousStatsTable[[#This Row],[GroupByKey]]),(ContinuousStatsTable[GroupByKey]=ContinuousStatsTable[[#This Row],[GroupByKey]])*ContinuousStatsTable[Average]))</f>
        <v>25.764658423427701</v>
      </c>
      <c r="U842">
        <f>IF((ContinuousStatsTable[[#This Row],[RepsRequested]]&gt;1),ContinuousStatsTable[[#This Row],[HalfWidth]],ContinuousStatsTable[[#This Row],[BatchMeansHalfWidth]])</f>
        <v>2.9735466034142406</v>
      </c>
    </row>
    <row r="843" spans="1:21" x14ac:dyDescent="0.25">
      <c r="A843" t="s">
        <v>67</v>
      </c>
      <c r="B843" t="s">
        <v>243</v>
      </c>
      <c r="C843">
        <v>10</v>
      </c>
      <c r="D843" t="s">
        <v>102</v>
      </c>
      <c r="E843" t="s">
        <v>116</v>
      </c>
      <c r="F843" t="s">
        <v>71</v>
      </c>
      <c r="G843">
        <v>1.5104113349724999</v>
      </c>
      <c r="H843">
        <v>3E+20</v>
      </c>
      <c r="I843">
        <v>0</v>
      </c>
      <c r="J843">
        <v>4</v>
      </c>
      <c r="K843">
        <v>4</v>
      </c>
      <c r="L843">
        <v>0</v>
      </c>
      <c r="M843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843" cm="1">
        <f t="array" ref="N843">MAX(IF((ProjectInfoTable[ProjectName]=ContinuousStatsTable[[#This Row],[ProjectName]]),(ProjectInfoTable[ProjectName]=ContinuousStatsTable[[#This Row],[ProjectName]])*ProjectInfoTable[NumberOfReplications]))</f>
        <v>10</v>
      </c>
      <c r="O843" cm="1">
        <f t="array" ref="O843">IFERROR(AVERAGE(IF((ContinuousStatsTable[GroupByKey]=ContinuousStatsTable[[#This Row],[GroupByKey]]),(ContinuousStatsTable[GroupByKey]=ContinuousStatsTable[[#This Row],[GroupByKey]])*ContinuousStatsTable[Average])),0)</f>
        <v>1.2334365850159306</v>
      </c>
      <c r="P843" cm="1">
        <f t="array" ref="P843">IFERROR(_xlfn.STDEV.S(IF((ContinuousStatsTable[GroupByKey]=ContinuousStatsTable[[#This Row],[GroupByKey]]),(ContinuousStatsTable[GroupByKey]=ContinuousStatsTable[[#This Row],[GroupByKey]])*ContinuousStatsTable[Average])),0)</f>
        <v>0.34677877772765942</v>
      </c>
      <c r="Q843" cm="1">
        <f t="array" ref="Q843">MAX(IF((ProjectInfoTable[ProjectName]=ContinuousStatsTable[[#This Row],[ProjectName]]),(ProjectInfoTable[ProjectName]=ContinuousStatsTable[[#This Row],[ProjectName]])*ProjectInfoTable[ConfidenceInterval]))</f>
        <v>0.95</v>
      </c>
      <c r="R8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0.24807059349154728</v>
      </c>
      <c r="S843" cm="1">
        <f t="array" ref="S843">MIN(IF((ContinuousStatsTable[GroupByKey]=ContinuousStatsTable[[#This Row],[GroupByKey]]),(ContinuousStatsTable[GroupByKey]=ContinuousStatsTable[[#This Row],[GroupByKey]])*ContinuousStatsTable[Average]))</f>
        <v>0.47601596605360202</v>
      </c>
      <c r="T843" cm="1">
        <f t="array" ref="T843">MAX(IF((ContinuousStatsTable[GroupByKey]=ContinuousStatsTable[[#This Row],[GroupByKey]]),(ContinuousStatsTable[GroupByKey]=ContinuousStatsTable[[#This Row],[GroupByKey]])*ContinuousStatsTable[Average]))</f>
        <v>1.5938052921300001</v>
      </c>
      <c r="U843">
        <f>IF((ContinuousStatsTable[[#This Row],[RepsRequested]]&gt;1),ContinuousStatsTable[[#This Row],[HalfWidth]],ContinuousStatsTable[[#This Row],[BatchMeansHalfWidth]])</f>
        <v>0.24807059349154728</v>
      </c>
    </row>
    <row r="844" spans="1:21" x14ac:dyDescent="0.25">
      <c r="A844" t="s">
        <v>67</v>
      </c>
      <c r="B844" t="s">
        <v>243</v>
      </c>
      <c r="C844">
        <v>10</v>
      </c>
      <c r="D844" t="s">
        <v>103</v>
      </c>
      <c r="E844" t="s">
        <v>116</v>
      </c>
      <c r="F844" t="s">
        <v>71</v>
      </c>
      <c r="G844">
        <v>0.32760168811335699</v>
      </c>
      <c r="H844">
        <v>3E+20</v>
      </c>
      <c r="I844">
        <v>0</v>
      </c>
      <c r="J844">
        <v>2</v>
      </c>
      <c r="K844">
        <v>1</v>
      </c>
      <c r="L844">
        <v>0</v>
      </c>
      <c r="M844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844" cm="1">
        <f t="array" ref="N844">MAX(IF((ProjectInfoTable[ProjectName]=ContinuousStatsTable[[#This Row],[ProjectName]]),(ProjectInfoTable[ProjectName]=ContinuousStatsTable[[#This Row],[ProjectName]])*ProjectInfoTable[NumberOfReplications]))</f>
        <v>10</v>
      </c>
      <c r="O844" cm="1">
        <f t="array" ref="O844">IFERROR(AVERAGE(IF((ContinuousStatsTable[GroupByKey]=ContinuousStatsTable[[#This Row],[GroupByKey]]),(ContinuousStatsTable[GroupByKey]=ContinuousStatsTable[[#This Row],[GroupByKey]])*ContinuousStatsTable[Average])),0)</f>
        <v>0.19501309596936622</v>
      </c>
      <c r="P844" cm="1">
        <f t="array" ref="P844">IFERROR(_xlfn.STDEV.S(IF((ContinuousStatsTable[GroupByKey]=ContinuousStatsTable[[#This Row],[GroupByKey]]),(ContinuousStatsTable[GroupByKey]=ContinuousStatsTable[[#This Row],[GroupByKey]])*ContinuousStatsTable[Average])),0)</f>
        <v>0.14771852643081365</v>
      </c>
      <c r="Q844" cm="1">
        <f t="array" ref="Q844">MAX(IF((ProjectInfoTable[ProjectName]=ContinuousStatsTable[[#This Row],[ProjectName]]),(ProjectInfoTable[ProjectName]=ContinuousStatsTable[[#This Row],[ProjectName]])*ProjectInfoTable[ConfidenceInterval]))</f>
        <v>0.95</v>
      </c>
      <c r="R8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0.10567146802209269</v>
      </c>
      <c r="S844" cm="1">
        <f t="array" ref="S844">MIN(IF((ContinuousStatsTable[GroupByKey]=ContinuousStatsTable[[#This Row],[GroupByKey]]),(ContinuousStatsTable[GroupByKey]=ContinuousStatsTable[[#This Row],[GroupByKey]])*ContinuousStatsTable[Average]))</f>
        <v>5.2203254973614402E-2</v>
      </c>
      <c r="T844" cm="1">
        <f t="array" ref="T844">MAX(IF((ContinuousStatsTable[GroupByKey]=ContinuousStatsTable[[#This Row],[GroupByKey]]),(ContinuousStatsTable[GroupByKey]=ContinuousStatsTable[[#This Row],[GroupByKey]])*ContinuousStatsTable[Average]))</f>
        <v>0.443638473140476</v>
      </c>
      <c r="U844">
        <f>IF((ContinuousStatsTable[[#This Row],[RepsRequested]]&gt;1),ContinuousStatsTable[[#This Row],[HalfWidth]],ContinuousStatsTable[[#This Row],[BatchMeansHalfWidth]])</f>
        <v>0.10567146802209269</v>
      </c>
    </row>
    <row r="845" spans="1:21" x14ac:dyDescent="0.25">
      <c r="A845" t="s">
        <v>67</v>
      </c>
      <c r="B845" t="s">
        <v>243</v>
      </c>
      <c r="C845">
        <v>10</v>
      </c>
      <c r="D845" t="s">
        <v>104</v>
      </c>
      <c r="E845" t="s">
        <v>116</v>
      </c>
      <c r="F845" t="s">
        <v>71</v>
      </c>
      <c r="G845">
        <v>77.997655468270096</v>
      </c>
      <c r="H845">
        <v>3E+20</v>
      </c>
      <c r="I845">
        <v>0</v>
      </c>
      <c r="J845">
        <v>157</v>
      </c>
      <c r="K845">
        <v>157</v>
      </c>
      <c r="L845">
        <v>0</v>
      </c>
      <c r="M845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845" cm="1">
        <f t="array" ref="N845">MAX(IF((ProjectInfoTable[ProjectName]=ContinuousStatsTable[[#This Row],[ProjectName]]),(ProjectInfoTable[ProjectName]=ContinuousStatsTable[[#This Row],[ProjectName]])*ProjectInfoTable[NumberOfReplications]))</f>
        <v>10</v>
      </c>
      <c r="O845" cm="1">
        <f t="array" ref="O845">IFERROR(AVERAGE(IF((ContinuousStatsTable[GroupByKey]=ContinuousStatsTable[[#This Row],[GroupByKey]]),(ContinuousStatsTable[GroupByKey]=ContinuousStatsTable[[#This Row],[GroupByKey]])*ContinuousStatsTable[Average])),0)</f>
        <v>81.226274902651596</v>
      </c>
      <c r="P845" cm="1">
        <f t="array" ref="P845">IFERROR(_xlfn.STDEV.S(IF((ContinuousStatsTable[GroupByKey]=ContinuousStatsTable[[#This Row],[GroupByKey]]),(ContinuousStatsTable[GroupByKey]=ContinuousStatsTable[[#This Row],[GroupByKey]])*ContinuousStatsTable[Average])),0)</f>
        <v>11.159336682409895</v>
      </c>
      <c r="Q845" cm="1">
        <f t="array" ref="Q845">MAX(IF((ProjectInfoTable[ProjectName]=ContinuousStatsTable[[#This Row],[ProjectName]]),(ProjectInfoTable[ProjectName]=ContinuousStatsTable[[#This Row],[ProjectName]])*ProjectInfoTable[ConfidenceInterval]))</f>
        <v>0.95</v>
      </c>
      <c r="R8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7.9829085618136846</v>
      </c>
      <c r="S845" cm="1">
        <f t="array" ref="S845">MIN(IF((ContinuousStatsTable[GroupByKey]=ContinuousStatsTable[[#This Row],[GroupByKey]]),(ContinuousStatsTable[GroupByKey]=ContinuousStatsTable[[#This Row],[GroupByKey]])*ContinuousStatsTable[Average]))</f>
        <v>66.053444809788303</v>
      </c>
      <c r="T845" cm="1">
        <f t="array" ref="T845">MAX(IF((ContinuousStatsTable[GroupByKey]=ContinuousStatsTable[[#This Row],[GroupByKey]]),(ContinuousStatsTable[GroupByKey]=ContinuousStatsTable[[#This Row],[GroupByKey]])*ContinuousStatsTable[Average]))</f>
        <v>100.586340982454</v>
      </c>
      <c r="U845">
        <f>IF((ContinuousStatsTable[[#This Row],[RepsRequested]]&gt;1),ContinuousStatsTable[[#This Row],[HalfWidth]],ContinuousStatsTable[[#This Row],[BatchMeansHalfWidth]])</f>
        <v>7.9829085618136846</v>
      </c>
    </row>
    <row r="846" spans="1:21" x14ac:dyDescent="0.25">
      <c r="A846" t="s">
        <v>67</v>
      </c>
      <c r="B846" t="s">
        <v>243</v>
      </c>
      <c r="C846">
        <v>10</v>
      </c>
      <c r="D846" t="s">
        <v>105</v>
      </c>
      <c r="E846" t="s">
        <v>116</v>
      </c>
      <c r="F846" t="s">
        <v>71</v>
      </c>
      <c r="G846">
        <v>1.16886320026376</v>
      </c>
      <c r="H846">
        <v>3E+20</v>
      </c>
      <c r="I846">
        <v>0</v>
      </c>
      <c r="J846">
        <v>2</v>
      </c>
      <c r="K846">
        <v>1</v>
      </c>
      <c r="L846">
        <v>0</v>
      </c>
      <c r="M846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846" cm="1">
        <f t="array" ref="N846">MAX(IF((ProjectInfoTable[ProjectName]=ContinuousStatsTable[[#This Row],[ProjectName]]),(ProjectInfoTable[ProjectName]=ContinuousStatsTable[[#This Row],[ProjectName]])*ProjectInfoTable[NumberOfReplications]))</f>
        <v>10</v>
      </c>
      <c r="O846" cm="1">
        <f t="array" ref="O846">IFERROR(AVERAGE(IF((ContinuousStatsTable[GroupByKey]=ContinuousStatsTable[[#This Row],[GroupByKey]]),(ContinuousStatsTable[GroupByKey]=ContinuousStatsTable[[#This Row],[GroupByKey]])*ContinuousStatsTable[Average])),0)</f>
        <v>1.3234420699844864</v>
      </c>
      <c r="P846" cm="1">
        <f t="array" ref="P846">IFERROR(_xlfn.STDEV.S(IF((ContinuousStatsTable[GroupByKey]=ContinuousStatsTable[[#This Row],[GroupByKey]]),(ContinuousStatsTable[GroupByKey]=ContinuousStatsTable[[#This Row],[GroupByKey]])*ContinuousStatsTable[Average])),0)</f>
        <v>0.23376145670955006</v>
      </c>
      <c r="Q846" cm="1">
        <f t="array" ref="Q846">MAX(IF((ProjectInfoTable[ProjectName]=ContinuousStatsTable[[#This Row],[ProjectName]]),(ProjectInfoTable[ProjectName]=ContinuousStatsTable[[#This Row],[ProjectName]])*ProjectInfoTable[ConfidenceInterval]))</f>
        <v>0.95</v>
      </c>
      <c r="R8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0.1672228724069392</v>
      </c>
      <c r="S846" cm="1">
        <f t="array" ref="S846">MIN(IF((ContinuousStatsTable[GroupByKey]=ContinuousStatsTable[[#This Row],[GroupByKey]]),(ContinuousStatsTable[GroupByKey]=ContinuousStatsTable[[#This Row],[GroupByKey]])*ContinuousStatsTable[Average]))</f>
        <v>0.88257428434366503</v>
      </c>
      <c r="T846" cm="1">
        <f t="array" ref="T846">MAX(IF((ContinuousStatsTable[GroupByKey]=ContinuousStatsTable[[#This Row],[GroupByKey]]),(ContinuousStatsTable[GroupByKey]=ContinuousStatsTable[[#This Row],[GroupByKey]])*ContinuousStatsTable[Average]))</f>
        <v>1.5367801636504701</v>
      </c>
      <c r="U846">
        <f>IF((ContinuousStatsTable[[#This Row],[RepsRequested]]&gt;1),ContinuousStatsTable[[#This Row],[HalfWidth]],ContinuousStatsTable[[#This Row],[BatchMeansHalfWidth]])</f>
        <v>0.1672228724069392</v>
      </c>
    </row>
    <row r="847" spans="1:21" x14ac:dyDescent="0.25">
      <c r="A847" t="s">
        <v>67</v>
      </c>
      <c r="B847" t="s">
        <v>243</v>
      </c>
      <c r="C847">
        <v>10</v>
      </c>
      <c r="D847" t="s">
        <v>106</v>
      </c>
      <c r="E847" t="s">
        <v>116</v>
      </c>
      <c r="F847" t="s">
        <v>71</v>
      </c>
      <c r="G847">
        <v>3.9785130958891202</v>
      </c>
      <c r="H847">
        <v>3E+20</v>
      </c>
      <c r="I847">
        <v>0</v>
      </c>
      <c r="J847">
        <v>5</v>
      </c>
      <c r="K847">
        <v>4</v>
      </c>
      <c r="L847">
        <v>0</v>
      </c>
      <c r="M847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847" cm="1">
        <f t="array" ref="N847">MAX(IF((ProjectInfoTable[ProjectName]=ContinuousStatsTable[[#This Row],[ProjectName]]),(ProjectInfoTable[ProjectName]=ContinuousStatsTable[[#This Row],[ProjectName]])*ProjectInfoTable[NumberOfReplications]))</f>
        <v>10</v>
      </c>
      <c r="O847" cm="1">
        <f t="array" ref="O847">IFERROR(AVERAGE(IF((ContinuousStatsTable[GroupByKey]=ContinuousStatsTable[[#This Row],[GroupByKey]]),(ContinuousStatsTable[GroupByKey]=ContinuousStatsTable[[#This Row],[GroupByKey]])*ContinuousStatsTable[Average])),0)</f>
        <v>3.295350976306183</v>
      </c>
      <c r="P847" cm="1">
        <f t="array" ref="P847">IFERROR(_xlfn.STDEV.S(IF((ContinuousStatsTable[GroupByKey]=ContinuousStatsTable[[#This Row],[GroupByKey]]),(ContinuousStatsTable[GroupByKey]=ContinuousStatsTable[[#This Row],[GroupByKey]])*ContinuousStatsTable[Average])),0)</f>
        <v>0.30652142094800816</v>
      </c>
      <c r="Q847" cm="1">
        <f t="array" ref="Q847">MAX(IF((ProjectInfoTable[ProjectName]=ContinuousStatsTable[[#This Row],[ProjectName]]),(ProjectInfoTable[ProjectName]=ContinuousStatsTable[[#This Row],[ProjectName]])*ProjectInfoTable[ConfidenceInterval]))</f>
        <v>0.95</v>
      </c>
      <c r="R8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0.21927221530309879</v>
      </c>
      <c r="S847" cm="1">
        <f t="array" ref="S847">MIN(IF((ContinuousStatsTable[GroupByKey]=ContinuousStatsTable[[#This Row],[GroupByKey]]),(ContinuousStatsTable[GroupByKey]=ContinuousStatsTable[[#This Row],[GroupByKey]])*ContinuousStatsTable[Average]))</f>
        <v>2.9443042052265702</v>
      </c>
      <c r="T847" cm="1">
        <f t="array" ref="T847">MAX(IF((ContinuousStatsTable[GroupByKey]=ContinuousStatsTable[[#This Row],[GroupByKey]]),(ContinuousStatsTable[GroupByKey]=ContinuousStatsTable[[#This Row],[GroupByKey]])*ContinuousStatsTable[Average]))</f>
        <v>3.9785130958891202</v>
      </c>
      <c r="U847">
        <f>IF((ContinuousStatsTable[[#This Row],[RepsRequested]]&gt;1),ContinuousStatsTable[[#This Row],[HalfWidth]],ContinuousStatsTable[[#This Row],[BatchMeansHalfWidth]])</f>
        <v>0.21927221530309879</v>
      </c>
    </row>
    <row r="848" spans="1:21" x14ac:dyDescent="0.25">
      <c r="A848" t="s">
        <v>67</v>
      </c>
      <c r="B848" t="s">
        <v>243</v>
      </c>
      <c r="C848">
        <v>10</v>
      </c>
      <c r="D848" t="s">
        <v>107</v>
      </c>
      <c r="E848" t="s">
        <v>116</v>
      </c>
      <c r="F848" t="s">
        <v>71</v>
      </c>
      <c r="G848">
        <v>0.850065833369271</v>
      </c>
      <c r="H848">
        <v>2E+20</v>
      </c>
      <c r="I848">
        <v>0</v>
      </c>
      <c r="J848">
        <v>2</v>
      </c>
      <c r="K848">
        <v>2</v>
      </c>
      <c r="L848">
        <v>0</v>
      </c>
      <c r="M848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848" cm="1">
        <f t="array" ref="N848">MAX(IF((ProjectInfoTable[ProjectName]=ContinuousStatsTable[[#This Row],[ProjectName]]),(ProjectInfoTable[ProjectName]=ContinuousStatsTable[[#This Row],[ProjectName]])*ProjectInfoTable[NumberOfReplications]))</f>
        <v>10</v>
      </c>
      <c r="O848" cm="1">
        <f t="array" ref="O848">IFERROR(AVERAGE(IF((ContinuousStatsTable[GroupByKey]=ContinuousStatsTable[[#This Row],[GroupByKey]]),(ContinuousStatsTable[GroupByKey]=ContinuousStatsTable[[#This Row],[GroupByKey]])*ContinuousStatsTable[Average])),0)</f>
        <v>1.4832039737284362</v>
      </c>
      <c r="P848" cm="1">
        <f t="array" ref="P848">IFERROR(_xlfn.STDEV.S(IF((ContinuousStatsTable[GroupByKey]=ContinuousStatsTable[[#This Row],[GroupByKey]]),(ContinuousStatsTable[GroupByKey]=ContinuousStatsTable[[#This Row],[GroupByKey]])*ContinuousStatsTable[Average])),0)</f>
        <v>0.28170250043427397</v>
      </c>
      <c r="Q848" cm="1">
        <f t="array" ref="Q848">MAX(IF((ProjectInfoTable[ProjectName]=ContinuousStatsTable[[#This Row],[ProjectName]]),(ProjectInfoTable[ProjectName]=ContinuousStatsTable[[#This Row],[ProjectName]])*ProjectInfoTable[ConfidenceInterval]))</f>
        <v>0.95</v>
      </c>
      <c r="R8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0.20151782911486205</v>
      </c>
      <c r="S848" cm="1">
        <f t="array" ref="S848">MIN(IF((ContinuousStatsTable[GroupByKey]=ContinuousStatsTable[[#This Row],[GroupByKey]]),(ContinuousStatsTable[GroupByKey]=ContinuousStatsTable[[#This Row],[GroupByKey]])*ContinuousStatsTable[Average]))</f>
        <v>0.850065833369271</v>
      </c>
      <c r="T848" cm="1">
        <f t="array" ref="T848">MAX(IF((ContinuousStatsTable[GroupByKey]=ContinuousStatsTable[[#This Row],[GroupByKey]]),(ContinuousStatsTable[GroupByKey]=ContinuousStatsTable[[#This Row],[GroupByKey]])*ContinuousStatsTable[Average]))</f>
        <v>1.78320590856036</v>
      </c>
      <c r="U848">
        <f>IF((ContinuousStatsTable[[#This Row],[RepsRequested]]&gt;1),ContinuousStatsTable[[#This Row],[HalfWidth]],ContinuousStatsTable[[#This Row],[BatchMeansHalfWidth]])</f>
        <v>0.20151782911486205</v>
      </c>
    </row>
    <row r="849" spans="1:21" x14ac:dyDescent="0.25">
      <c r="A849" t="s">
        <v>67</v>
      </c>
      <c r="B849" t="s">
        <v>243</v>
      </c>
      <c r="C849">
        <v>10</v>
      </c>
      <c r="D849" t="s">
        <v>108</v>
      </c>
      <c r="E849" t="s">
        <v>116</v>
      </c>
      <c r="F849" t="s">
        <v>71</v>
      </c>
      <c r="G849">
        <v>85.984106269654802</v>
      </c>
      <c r="H849">
        <v>3E+20</v>
      </c>
      <c r="I849">
        <v>0</v>
      </c>
      <c r="J849">
        <v>167</v>
      </c>
      <c r="K849">
        <v>167</v>
      </c>
      <c r="L849">
        <v>0</v>
      </c>
      <c r="M849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849" cm="1">
        <f t="array" ref="N849">MAX(IF((ProjectInfoTable[ProjectName]=ContinuousStatsTable[[#This Row],[ProjectName]]),(ProjectInfoTable[ProjectName]=ContinuousStatsTable[[#This Row],[ProjectName]])*ProjectInfoTable[NumberOfReplications]))</f>
        <v>10</v>
      </c>
      <c r="O849" cm="1">
        <f t="array" ref="O849">IFERROR(AVERAGE(IF((ContinuousStatsTable[GroupByKey]=ContinuousStatsTable[[#This Row],[GroupByKey]]),(ContinuousStatsTable[GroupByKey]=ContinuousStatsTable[[#This Row],[GroupByKey]])*ContinuousStatsTable[Average])),0)</f>
        <v>84.673313986400757</v>
      </c>
      <c r="P849" cm="1">
        <f t="array" ref="P849">IFERROR(_xlfn.STDEV.S(IF((ContinuousStatsTable[GroupByKey]=ContinuousStatsTable[[#This Row],[GroupByKey]]),(ContinuousStatsTable[GroupByKey]=ContinuousStatsTable[[#This Row],[GroupByKey]])*ContinuousStatsTable[Average])),0)</f>
        <v>6.3050274623130749</v>
      </c>
      <c r="Q849" cm="1">
        <f t="array" ref="Q849">MAX(IF((ProjectInfoTable[ProjectName]=ContinuousStatsTable[[#This Row],[ProjectName]]),(ProjectInfoTable[ProjectName]=ContinuousStatsTable[[#This Row],[ProjectName]])*ProjectInfoTable[ConfidenceInterval]))</f>
        <v>0.95</v>
      </c>
      <c r="R8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4.5103449375003528</v>
      </c>
      <c r="S849" cm="1">
        <f t="array" ref="S849">MIN(IF((ContinuousStatsTable[GroupByKey]=ContinuousStatsTable[[#This Row],[GroupByKey]]),(ContinuousStatsTable[GroupByKey]=ContinuousStatsTable[[#This Row],[GroupByKey]])*ContinuousStatsTable[Average]))</f>
        <v>72.004631303705096</v>
      </c>
      <c r="T849" cm="1">
        <f t="array" ref="T849">MAX(IF((ContinuousStatsTable[GroupByKey]=ContinuousStatsTable[[#This Row],[GroupByKey]]),(ContinuousStatsTable[GroupByKey]=ContinuousStatsTable[[#This Row],[GroupByKey]])*ContinuousStatsTable[Average]))</f>
        <v>94.488584180465494</v>
      </c>
      <c r="U849">
        <f>IF((ContinuousStatsTable[[#This Row],[RepsRequested]]&gt;1),ContinuousStatsTable[[#This Row],[HalfWidth]],ContinuousStatsTable[[#This Row],[BatchMeansHalfWidth]])</f>
        <v>4.5103449375003528</v>
      </c>
    </row>
    <row r="850" spans="1:21" x14ac:dyDescent="0.25">
      <c r="A850" t="s">
        <v>67</v>
      </c>
      <c r="B850" t="s">
        <v>243</v>
      </c>
      <c r="C850">
        <v>10</v>
      </c>
      <c r="D850" t="s">
        <v>109</v>
      </c>
      <c r="E850" t="s">
        <v>116</v>
      </c>
      <c r="F850" t="s">
        <v>71</v>
      </c>
      <c r="G850">
        <v>3.2792347857666302</v>
      </c>
      <c r="H850">
        <v>3E+20</v>
      </c>
      <c r="I850">
        <v>0</v>
      </c>
      <c r="J850">
        <v>5</v>
      </c>
      <c r="K850">
        <v>3</v>
      </c>
      <c r="L850">
        <v>0</v>
      </c>
      <c r="M850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850" cm="1">
        <f t="array" ref="N850">MAX(IF((ProjectInfoTable[ProjectName]=ContinuousStatsTable[[#This Row],[ProjectName]]),(ProjectInfoTable[ProjectName]=ContinuousStatsTable[[#This Row],[ProjectName]])*ProjectInfoTable[NumberOfReplications]))</f>
        <v>10</v>
      </c>
      <c r="O850" cm="1">
        <f t="array" ref="O850">IFERROR(AVERAGE(IF((ContinuousStatsTable[GroupByKey]=ContinuousStatsTable[[#This Row],[GroupByKey]]),(ContinuousStatsTable[GroupByKey]=ContinuousStatsTable[[#This Row],[GroupByKey]])*ContinuousStatsTable[Average])),0)</f>
        <v>3.1643006447829118</v>
      </c>
      <c r="P850" cm="1">
        <f t="array" ref="P850">IFERROR(_xlfn.STDEV.S(IF((ContinuousStatsTable[GroupByKey]=ContinuousStatsTable[[#This Row],[GroupByKey]]),(ContinuousStatsTable[GroupByKey]=ContinuousStatsTable[[#This Row],[GroupByKey]])*ContinuousStatsTable[Average])),0)</f>
        <v>0.56709805972033456</v>
      </c>
      <c r="Q850" cm="1">
        <f t="array" ref="Q850">MAX(IF((ProjectInfoTable[ProjectName]=ContinuousStatsTable[[#This Row],[ProjectName]]),(ProjectInfoTable[ProjectName]=ContinuousStatsTable[[#This Row],[ProjectName]])*ProjectInfoTable[ConfidenceInterval]))</f>
        <v>0.95</v>
      </c>
      <c r="R8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0.40567751338350572</v>
      </c>
      <c r="S850" cm="1">
        <f t="array" ref="S850">MIN(IF((ContinuousStatsTable[GroupByKey]=ContinuousStatsTable[[#This Row],[GroupByKey]]),(ContinuousStatsTable[GroupByKey]=ContinuousStatsTable[[#This Row],[GroupByKey]])*ContinuousStatsTable[Average]))</f>
        <v>2.1571183231200299</v>
      </c>
      <c r="T850" cm="1">
        <f t="array" ref="T850">MAX(IF((ContinuousStatsTable[GroupByKey]=ContinuousStatsTable[[#This Row],[GroupByKey]]),(ContinuousStatsTable[GroupByKey]=ContinuousStatsTable[[#This Row],[GroupByKey]])*ContinuousStatsTable[Average]))</f>
        <v>3.7448575603137102</v>
      </c>
      <c r="U850">
        <f>IF((ContinuousStatsTable[[#This Row],[RepsRequested]]&gt;1),ContinuousStatsTable[[#This Row],[HalfWidth]],ContinuousStatsTable[[#This Row],[BatchMeansHalfWidth]])</f>
        <v>0.40567751338350572</v>
      </c>
    </row>
    <row r="851" spans="1:21" x14ac:dyDescent="0.25">
      <c r="A851" t="s">
        <v>67</v>
      </c>
      <c r="B851" t="s">
        <v>243</v>
      </c>
      <c r="C851">
        <v>10</v>
      </c>
      <c r="D851" t="s">
        <v>110</v>
      </c>
      <c r="E851" t="s">
        <v>117</v>
      </c>
      <c r="F851" t="s">
        <v>76</v>
      </c>
      <c r="G851">
        <v>2.6221859700731498</v>
      </c>
      <c r="H851">
        <v>3E+20</v>
      </c>
      <c r="I851">
        <v>0</v>
      </c>
      <c r="J851">
        <v>7</v>
      </c>
      <c r="K851">
        <v>3</v>
      </c>
      <c r="L851">
        <v>0</v>
      </c>
      <c r="M851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851" cm="1">
        <f t="array" ref="N851">MAX(IF((ProjectInfoTable[ProjectName]=ContinuousStatsTable[[#This Row],[ProjectName]]),(ProjectInfoTable[ProjectName]=ContinuousStatsTable[[#This Row],[ProjectName]])*ProjectInfoTable[NumberOfReplications]))</f>
        <v>10</v>
      </c>
      <c r="O851" cm="1">
        <f t="array" ref="O851">IFERROR(AVERAGE(IF((ContinuousStatsTable[GroupByKey]=ContinuousStatsTable[[#This Row],[GroupByKey]]),(ContinuousStatsTable[GroupByKey]=ContinuousStatsTable[[#This Row],[GroupByKey]])*ContinuousStatsTable[Average])),0)</f>
        <v>2.7938165767457108</v>
      </c>
      <c r="P851" cm="1">
        <f t="array" ref="P851">IFERROR(_xlfn.STDEV.S(IF((ContinuousStatsTable[GroupByKey]=ContinuousStatsTable[[#This Row],[GroupByKey]]),(ContinuousStatsTable[GroupByKey]=ContinuousStatsTable[[#This Row],[GroupByKey]])*ContinuousStatsTable[Average])),0)</f>
        <v>0.37107770243484822</v>
      </c>
      <c r="Q851" cm="1">
        <f t="array" ref="Q851">MAX(IF((ProjectInfoTable[ProjectName]=ContinuousStatsTable[[#This Row],[ProjectName]]),(ProjectInfoTable[ProjectName]=ContinuousStatsTable[[#This Row],[ProjectName]])*ProjectInfoTable[ConfidenceInterval]))</f>
        <v>0.95</v>
      </c>
      <c r="R8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0.26545299708849601</v>
      </c>
      <c r="S851" cm="1">
        <f t="array" ref="S851">MIN(IF((ContinuousStatsTable[GroupByKey]=ContinuousStatsTable[[#This Row],[GroupByKey]]),(ContinuousStatsTable[GroupByKey]=ContinuousStatsTable[[#This Row],[GroupByKey]])*ContinuousStatsTable[Average]))</f>
        <v>2.05988155680273</v>
      </c>
      <c r="T851" cm="1">
        <f t="array" ref="T851">MAX(IF((ContinuousStatsTable[GroupByKey]=ContinuousStatsTable[[#This Row],[GroupByKey]]),(ContinuousStatsTable[GroupByKey]=ContinuousStatsTable[[#This Row],[GroupByKey]])*ContinuousStatsTable[Average]))</f>
        <v>3.2132100714910901</v>
      </c>
      <c r="U851">
        <f>IF((ContinuousStatsTable[[#This Row],[RepsRequested]]&gt;1),ContinuousStatsTable[[#This Row],[HalfWidth]],ContinuousStatsTable[[#This Row],[BatchMeansHalfWidth]])</f>
        <v>0.26545299708849601</v>
      </c>
    </row>
  </sheetData>
  <phoneticPr fontId="2" type="noConversion"/>
  <conditionalFormatting sqref="H2:H851">
    <cfRule type="expression" dxfId="28" priority="9">
      <formula>H2=200000000000000000000</formula>
    </cfRule>
  </conditionalFormatting>
  <conditionalFormatting sqref="H2:H851">
    <cfRule type="expression" dxfId="27" priority="7">
      <formula>H2=300000000000000000000</formula>
    </cfRule>
  </conditionalFormatting>
  <conditionalFormatting sqref="M2:U851">
    <cfRule type="expression" dxfId="26" priority="5">
      <formula>MOD(ROW(),2)=0</formula>
    </cfRule>
  </conditionalFormatting>
  <conditionalFormatting sqref="U2:U851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851 U2:U851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71"/>
  <sheetViews>
    <sheetView workbookViewId="0">
      <selection activeCell="G2" sqref="G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5703125" bestFit="1" customWidth="1"/>
    <col min="5" max="5" width="7.5703125" bestFit="1" customWidth="1"/>
    <col min="6" max="6" width="13.85546875" bestFit="1" customWidth="1"/>
    <col min="7" max="7" width="17" bestFit="1" customWidth="1"/>
    <col min="8" max="8" width="55.140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A2" t="s">
        <v>67</v>
      </c>
      <c r="B2" t="s">
        <v>243</v>
      </c>
      <c r="C2">
        <v>1</v>
      </c>
      <c r="D2" t="s">
        <v>141</v>
      </c>
      <c r="E2" t="s">
        <v>142</v>
      </c>
      <c r="F2" t="s">
        <v>143</v>
      </c>
      <c r="G2">
        <v>1286</v>
      </c>
      <c r="H2" t="str">
        <f>CountersTable[[#This Row],[ProjectName]]&amp;CountersTable[[#This Row],[Name]]&amp;CountersTable[[#This Row],[Type]]&amp;CountersTable[[#This Row],[Source]]</f>
        <v>Unnamed ProjectBoxCountUser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10</v>
      </c>
      <c r="J2" cm="1">
        <f t="array" ref="J2">IFERROR(AVERAGE(IF((CountersTable[GroupByKey]=CountersTable[[#This Row],[GroupByKey]]),(CountersTable[GroupByKey]=CountersTable[[#This Row],[GroupByKey]])*CountersTable[RecordedValue])),0)</f>
        <v>1283.0999999999999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3.2128215360057308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2.2983140734329779</v>
      </c>
      <c r="N2" cm="1">
        <f t="array" ref="N2">MIN(IF((CountersTable[GroupByKey]=CountersTable[[#This Row],[GroupByKey]]),(CountersTable[GroupByKey]=CountersTable[[#This Row],[GroupByKey]])*CountersTable[RecordedValue]))</f>
        <v>1277</v>
      </c>
      <c r="O2" cm="1">
        <f t="array" ref="O2">MAX(IF((CountersTable[GroupByKey]=CountersTable[[#This Row],[GroupByKey]]),(CountersTable[GroupByKey]=CountersTable[[#This Row],[GroupByKey]])*CountersTable[RecordedValue]))</f>
        <v>1288</v>
      </c>
    </row>
    <row r="3" spans="1:15" x14ac:dyDescent="0.25">
      <c r="A3" t="s">
        <v>67</v>
      </c>
      <c r="B3" t="s">
        <v>243</v>
      </c>
      <c r="C3">
        <v>1</v>
      </c>
      <c r="D3" t="s">
        <v>144</v>
      </c>
      <c r="E3" t="s">
        <v>142</v>
      </c>
      <c r="F3" t="s">
        <v>143</v>
      </c>
      <c r="G3">
        <v>995</v>
      </c>
      <c r="H3" t="str">
        <f>CountersTable[[#This Row],[ProjectName]]&amp;CountersTable[[#This Row],[Name]]&amp;CountersTable[[#This Row],[Type]]&amp;CountersTable[[#This Row],[Source]]</f>
        <v>Unnamed ProjectDissatisfied CustomerCountUser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10</v>
      </c>
      <c r="J3" cm="1">
        <f t="array" ref="J3">IFERROR(AVERAGE(IF((CountersTable[GroupByKey]=CountersTable[[#This Row],[GroupByKey]]),(CountersTable[GroupByKey]=CountersTable[[#This Row],[GroupByKey]])*CountersTable[RecordedValue])),0)</f>
        <v>971.6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31.116983572747966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22.259749091740982</v>
      </c>
      <c r="N3" cm="1">
        <f t="array" ref="N3">MIN(IF((CountersTable[GroupByKey]=CountersTable[[#This Row],[GroupByKey]]),(CountersTable[GroupByKey]=CountersTable[[#This Row],[GroupByKey]])*CountersTable[RecordedValue]))</f>
        <v>924</v>
      </c>
      <c r="O3" cm="1">
        <f t="array" ref="O3">MAX(IF((CountersTable[GroupByKey]=CountersTable[[#This Row],[GroupByKey]]),(CountersTable[GroupByKey]=CountersTable[[#This Row],[GroupByKey]])*CountersTable[RecordedValue]))</f>
        <v>1012</v>
      </c>
    </row>
    <row r="4" spans="1:15" x14ac:dyDescent="0.25">
      <c r="A4" t="s">
        <v>67</v>
      </c>
      <c r="B4" t="s">
        <v>243</v>
      </c>
      <c r="C4">
        <v>1</v>
      </c>
      <c r="D4" t="s">
        <v>145</v>
      </c>
      <c r="E4" t="s">
        <v>142</v>
      </c>
      <c r="F4" t="s">
        <v>143</v>
      </c>
      <c r="G4">
        <v>6545</v>
      </c>
      <c r="H4" t="str">
        <f>CountersTable[[#This Row],[ProjectName]]&amp;CountersTable[[#This Row],[Name]]&amp;CountersTable[[#This Row],[Type]]&amp;CountersTable[[#This Row],[Source]]</f>
        <v>Unnamed ProjectLabel 1CountUser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10</v>
      </c>
      <c r="J4" cm="1">
        <f t="array" ref="J4">IFERROR(AVERAGE(IF((CountersTable[GroupByKey]=CountersTable[[#This Row],[GroupByKey]]),(CountersTable[GroupByKey]=CountersTable[[#This Row],[GroupByKey]])*CountersTable[RecordedValue])),0)</f>
        <v>6549.7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5.7551908936387353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4.1170155509439503</v>
      </c>
      <c r="N4" cm="1">
        <f t="array" ref="N4">MIN(IF((CountersTable[GroupByKey]=CountersTable[[#This Row],[GroupByKey]]),(CountersTable[GroupByKey]=CountersTable[[#This Row],[GroupByKey]])*CountersTable[RecordedValue]))</f>
        <v>6541</v>
      </c>
      <c r="O4" cm="1">
        <f t="array" ref="O4">MAX(IF((CountersTable[GroupByKey]=CountersTable[[#This Row],[GroupByKey]]),(CountersTable[GroupByKey]=CountersTable[[#This Row],[GroupByKey]])*CountersTable[RecordedValue]))</f>
        <v>6559</v>
      </c>
    </row>
    <row r="5" spans="1:15" x14ac:dyDescent="0.25">
      <c r="A5" t="s">
        <v>67</v>
      </c>
      <c r="B5" t="s">
        <v>243</v>
      </c>
      <c r="C5">
        <v>1</v>
      </c>
      <c r="D5" t="s">
        <v>146</v>
      </c>
      <c r="E5" t="s">
        <v>142</v>
      </c>
      <c r="F5" t="s">
        <v>143</v>
      </c>
      <c r="G5">
        <v>8229</v>
      </c>
      <c r="H5" t="str">
        <f>CountersTable[[#This Row],[ProjectName]]&amp;CountersTable[[#This Row],[Name]]&amp;CountersTable[[#This Row],[Type]]&amp;CountersTable[[#This Row],[Source]]</f>
        <v>Unnamed ProjectLabel 2CountUser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10</v>
      </c>
      <c r="J5" cm="1">
        <f t="array" ref="J5">IFERROR(AVERAGE(IF((CountersTable[GroupByKey]=CountersTable[[#This Row],[GroupByKey]]),(CountersTable[GroupByKey]=CountersTable[[#This Row],[GroupByKey]])*CountersTable[RecordedValue])),0)</f>
        <v>8227.7000000000007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6.2902040242480748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4.4997408887103267</v>
      </c>
      <c r="N5" cm="1">
        <f t="array" ref="N5">MIN(IF((CountersTable[GroupByKey]=CountersTable[[#This Row],[GroupByKey]]),(CountersTable[GroupByKey]=CountersTable[[#This Row],[GroupByKey]])*CountersTable[RecordedValue]))</f>
        <v>8216</v>
      </c>
      <c r="O5" cm="1">
        <f t="array" ref="O5">MAX(IF((CountersTable[GroupByKey]=CountersTable[[#This Row],[GroupByKey]]),(CountersTable[GroupByKey]=CountersTable[[#This Row],[GroupByKey]])*CountersTable[RecordedValue]))</f>
        <v>8237</v>
      </c>
    </row>
    <row r="6" spans="1:15" x14ac:dyDescent="0.25">
      <c r="A6" t="s">
        <v>67</v>
      </c>
      <c r="B6" t="s">
        <v>243</v>
      </c>
      <c r="C6">
        <v>1</v>
      </c>
      <c r="D6" t="s">
        <v>147</v>
      </c>
      <c r="E6" t="s">
        <v>142</v>
      </c>
      <c r="F6" t="s">
        <v>143</v>
      </c>
      <c r="G6">
        <v>9188</v>
      </c>
      <c r="H6" t="str">
        <f>CountersTable[[#This Row],[ProjectName]]&amp;CountersTable[[#This Row],[Name]]&amp;CountersTable[[#This Row],[Type]]&amp;CountersTable[[#This Row],[Source]]</f>
        <v>Unnamed ProjectLabel 3CountUser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10</v>
      </c>
      <c r="J6" cm="1">
        <f t="array" ref="J6">IFERROR(AVERAGE(IF((CountersTable[GroupByKey]=CountersTable[[#This Row],[GroupByKey]]),(CountersTable[GroupByKey]=CountersTable[[#This Row],[GroupByKey]])*CountersTable[RecordedValue])),0)</f>
        <v>9194.4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6.0221812216726489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4.3080089259303831</v>
      </c>
      <c r="N6" cm="1">
        <f t="array" ref="N6">MIN(IF((CountersTable[GroupByKey]=CountersTable[[#This Row],[GroupByKey]]),(CountersTable[GroupByKey]=CountersTable[[#This Row],[GroupByKey]])*CountersTable[RecordedValue]))</f>
        <v>9188</v>
      </c>
      <c r="O6" cm="1">
        <f t="array" ref="O6">MAX(IF((CountersTable[GroupByKey]=CountersTable[[#This Row],[GroupByKey]]),(CountersTable[GroupByKey]=CountersTable[[#This Row],[GroupByKey]])*CountersTable[RecordedValue]))</f>
        <v>9202</v>
      </c>
    </row>
    <row r="7" spans="1:15" x14ac:dyDescent="0.25">
      <c r="A7" t="s">
        <v>67</v>
      </c>
      <c r="B7" t="s">
        <v>243</v>
      </c>
      <c r="C7">
        <v>1</v>
      </c>
      <c r="D7" t="s">
        <v>148</v>
      </c>
      <c r="E7" t="s">
        <v>142</v>
      </c>
      <c r="F7" t="s">
        <v>143</v>
      </c>
      <c r="G7">
        <v>107</v>
      </c>
      <c r="H7" t="str">
        <f>CountersTable[[#This Row],[ProjectName]]&amp;CountersTable[[#This Row],[Name]]&amp;CountersTable[[#This Row],[Type]]&amp;CountersTable[[#This Row],[Source]]</f>
        <v>Unnamed ProjectSatisfied customerCountUser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10</v>
      </c>
      <c r="J7" cm="1">
        <f t="array" ref="J7">IFERROR(AVERAGE(IF((CountersTable[GroupByKey]=CountersTable[[#This Row],[GroupByKey]]),(CountersTable[GroupByKey]=CountersTable[[#This Row],[GroupByKey]])*CountersTable[RecordedValue])),0)</f>
        <v>118.7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12.587913073879887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9.0048505491583946</v>
      </c>
      <c r="N7" cm="1">
        <f t="array" ref="N7">MIN(IF((CountersTable[GroupByKey]=CountersTable[[#This Row],[GroupByKey]]),(CountersTable[GroupByKey]=CountersTable[[#This Row],[GroupByKey]])*CountersTable[RecordedValue]))</f>
        <v>95</v>
      </c>
      <c r="O7" cm="1">
        <f t="array" ref="O7">MAX(IF((CountersTable[GroupByKey]=CountersTable[[#This Row],[GroupByKey]]),(CountersTable[GroupByKey]=CountersTable[[#This Row],[GroupByKey]])*CountersTable[RecordedValue]))</f>
        <v>141</v>
      </c>
    </row>
    <row r="8" spans="1:15" x14ac:dyDescent="0.25">
      <c r="A8" t="s">
        <v>67</v>
      </c>
      <c r="B8" t="s">
        <v>243</v>
      </c>
      <c r="C8">
        <v>1</v>
      </c>
      <c r="D8" t="s">
        <v>149</v>
      </c>
      <c r="E8" t="s">
        <v>142</v>
      </c>
      <c r="F8" t="s">
        <v>143</v>
      </c>
      <c r="G8">
        <v>111</v>
      </c>
      <c r="H8" t="str">
        <f>CountersTable[[#This Row],[ProjectName]]&amp;CountersTable[[#This Row],[Name]]&amp;CountersTable[[#This Row],[Type]]&amp;CountersTable[[#This Row],[Source]]</f>
        <v>Unnamed ProjectScrapCountUser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10</v>
      </c>
      <c r="J8" cm="1">
        <f t="array" ref="J8">IFERROR(AVERAGE(IF((CountersTable[GroupByKey]=CountersTable[[#This Row],[GroupByKey]]),(CountersTable[GroupByKey]=CountersTable[[#This Row],[GroupByKey]])*CountersTable[RecordedValue])),0)</f>
        <v>129.69999999999999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14.461058820923967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10.344818295195957</v>
      </c>
      <c r="N8" cm="1">
        <f t="array" ref="N8">MIN(IF((CountersTable[GroupByKey]=CountersTable[[#This Row],[GroupByKey]]),(CountersTable[GroupByKey]=CountersTable[[#This Row],[GroupByKey]])*CountersTable[RecordedValue]))</f>
        <v>105</v>
      </c>
      <c r="O8" cm="1">
        <f t="array" ref="O8">MAX(IF((CountersTable[GroupByKey]=CountersTable[[#This Row],[GroupByKey]]),(CountersTable[GroupByKey]=CountersTable[[#This Row],[GroupByKey]])*CountersTable[RecordedValue]))</f>
        <v>153</v>
      </c>
    </row>
    <row r="9" spans="1:15" x14ac:dyDescent="0.25">
      <c r="A9" t="s">
        <v>67</v>
      </c>
      <c r="B9" t="s">
        <v>243</v>
      </c>
      <c r="C9">
        <v>2</v>
      </c>
      <c r="D9" t="s">
        <v>141</v>
      </c>
      <c r="E9" t="s">
        <v>142</v>
      </c>
      <c r="F9" t="s">
        <v>143</v>
      </c>
      <c r="G9">
        <v>1286</v>
      </c>
      <c r="H9" t="str">
        <f>CountersTable[[#This Row],[ProjectName]]&amp;CountersTable[[#This Row],[Name]]&amp;CountersTable[[#This Row],[Type]]&amp;CountersTable[[#This Row],[Source]]</f>
        <v>Unnamed ProjectBoxCountUser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10</v>
      </c>
      <c r="J9" cm="1">
        <f t="array" ref="J9">IFERROR(AVERAGE(IF((CountersTable[GroupByKey]=CountersTable[[#This Row],[GroupByKey]]),(CountersTable[GroupByKey]=CountersTable[[#This Row],[GroupByKey]])*CountersTable[RecordedValue])),0)</f>
        <v>1283.0999999999999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3.2128215360057308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2.2983140734329779</v>
      </c>
      <c r="N9" cm="1">
        <f t="array" ref="N9">MIN(IF((CountersTable[GroupByKey]=CountersTable[[#This Row],[GroupByKey]]),(CountersTable[GroupByKey]=CountersTable[[#This Row],[GroupByKey]])*CountersTable[RecordedValue]))</f>
        <v>1277</v>
      </c>
      <c r="O9" cm="1">
        <f t="array" ref="O9">MAX(IF((CountersTable[GroupByKey]=CountersTable[[#This Row],[GroupByKey]]),(CountersTable[GroupByKey]=CountersTable[[#This Row],[GroupByKey]])*CountersTable[RecordedValue]))</f>
        <v>1288</v>
      </c>
    </row>
    <row r="10" spans="1:15" x14ac:dyDescent="0.25">
      <c r="A10" t="s">
        <v>67</v>
      </c>
      <c r="B10" t="s">
        <v>243</v>
      </c>
      <c r="C10">
        <v>2</v>
      </c>
      <c r="D10" t="s">
        <v>144</v>
      </c>
      <c r="E10" t="s">
        <v>142</v>
      </c>
      <c r="F10" t="s">
        <v>143</v>
      </c>
      <c r="G10">
        <v>993</v>
      </c>
      <c r="H10" t="str">
        <f>CountersTable[[#This Row],[ProjectName]]&amp;CountersTable[[#This Row],[Name]]&amp;CountersTable[[#This Row],[Type]]&amp;CountersTable[[#This Row],[Source]]</f>
        <v>Unnamed ProjectDissatisfied CustomerCountUser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10</v>
      </c>
      <c r="J10" cm="1">
        <f t="array" ref="J10">IFERROR(AVERAGE(IF((CountersTable[GroupByKey]=CountersTable[[#This Row],[GroupByKey]]),(CountersTable[GroupByKey]=CountersTable[[#This Row],[GroupByKey]])*CountersTable[RecordedValue])),0)</f>
        <v>971.6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31.116983572747966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22.259749091740982</v>
      </c>
      <c r="N10" cm="1">
        <f t="array" ref="N10">MIN(IF((CountersTable[GroupByKey]=CountersTable[[#This Row],[GroupByKey]]),(CountersTable[GroupByKey]=CountersTable[[#This Row],[GroupByKey]])*CountersTable[RecordedValue]))</f>
        <v>924</v>
      </c>
      <c r="O10" cm="1">
        <f t="array" ref="O10">MAX(IF((CountersTable[GroupByKey]=CountersTable[[#This Row],[GroupByKey]]),(CountersTable[GroupByKey]=CountersTable[[#This Row],[GroupByKey]])*CountersTable[RecordedValue]))</f>
        <v>1012</v>
      </c>
    </row>
    <row r="11" spans="1:15" x14ac:dyDescent="0.25">
      <c r="A11" t="s">
        <v>67</v>
      </c>
      <c r="B11" t="s">
        <v>243</v>
      </c>
      <c r="C11">
        <v>2</v>
      </c>
      <c r="D11" t="s">
        <v>145</v>
      </c>
      <c r="E11" t="s">
        <v>142</v>
      </c>
      <c r="F11" t="s">
        <v>143</v>
      </c>
      <c r="G11">
        <v>6559</v>
      </c>
      <c r="H11" t="str">
        <f>CountersTable[[#This Row],[ProjectName]]&amp;CountersTable[[#This Row],[Name]]&amp;CountersTable[[#This Row],[Type]]&amp;CountersTable[[#This Row],[Source]]</f>
        <v>Unnamed ProjectLabel 1CountUser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10</v>
      </c>
      <c r="J11" cm="1">
        <f t="array" ref="J11">IFERROR(AVERAGE(IF((CountersTable[GroupByKey]=CountersTable[[#This Row],[GroupByKey]]),(CountersTable[GroupByKey]=CountersTable[[#This Row],[GroupByKey]])*CountersTable[RecordedValue])),0)</f>
        <v>6549.7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5.7551908936387353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4.1170155509439503</v>
      </c>
      <c r="N11" cm="1">
        <f t="array" ref="N11">MIN(IF((CountersTable[GroupByKey]=CountersTable[[#This Row],[GroupByKey]]),(CountersTable[GroupByKey]=CountersTable[[#This Row],[GroupByKey]])*CountersTable[RecordedValue]))</f>
        <v>6541</v>
      </c>
      <c r="O11" cm="1">
        <f t="array" ref="O11">MAX(IF((CountersTable[GroupByKey]=CountersTable[[#This Row],[GroupByKey]]),(CountersTable[GroupByKey]=CountersTable[[#This Row],[GroupByKey]])*CountersTable[RecordedValue]))</f>
        <v>6559</v>
      </c>
    </row>
    <row r="12" spans="1:15" x14ac:dyDescent="0.25">
      <c r="A12" t="s">
        <v>67</v>
      </c>
      <c r="B12" t="s">
        <v>243</v>
      </c>
      <c r="C12">
        <v>2</v>
      </c>
      <c r="D12" t="s">
        <v>146</v>
      </c>
      <c r="E12" t="s">
        <v>142</v>
      </c>
      <c r="F12" t="s">
        <v>143</v>
      </c>
      <c r="G12">
        <v>8224</v>
      </c>
      <c r="H12" t="str">
        <f>CountersTable[[#This Row],[ProjectName]]&amp;CountersTable[[#This Row],[Name]]&amp;CountersTable[[#This Row],[Type]]&amp;CountersTable[[#This Row],[Source]]</f>
        <v>Unnamed ProjectLabel 2CountUser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10</v>
      </c>
      <c r="J12" cm="1">
        <f t="array" ref="J12">IFERROR(AVERAGE(IF((CountersTable[GroupByKey]=CountersTable[[#This Row],[GroupByKey]]),(CountersTable[GroupByKey]=CountersTable[[#This Row],[GroupByKey]])*CountersTable[RecordedValue])),0)</f>
        <v>8227.7000000000007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6.2902040242480748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4.4997408887103267</v>
      </c>
      <c r="N12" cm="1">
        <f t="array" ref="N12">MIN(IF((CountersTable[GroupByKey]=CountersTable[[#This Row],[GroupByKey]]),(CountersTable[GroupByKey]=CountersTable[[#This Row],[GroupByKey]])*CountersTable[RecordedValue]))</f>
        <v>8216</v>
      </c>
      <c r="O12" cm="1">
        <f t="array" ref="O12">MAX(IF((CountersTable[GroupByKey]=CountersTable[[#This Row],[GroupByKey]]),(CountersTable[GroupByKey]=CountersTable[[#This Row],[GroupByKey]])*CountersTable[RecordedValue]))</f>
        <v>8237</v>
      </c>
    </row>
    <row r="13" spans="1:15" x14ac:dyDescent="0.25">
      <c r="A13" t="s">
        <v>67</v>
      </c>
      <c r="B13" t="s">
        <v>243</v>
      </c>
      <c r="C13">
        <v>2</v>
      </c>
      <c r="D13" t="s">
        <v>147</v>
      </c>
      <c r="E13" t="s">
        <v>142</v>
      </c>
      <c r="F13" t="s">
        <v>143</v>
      </c>
      <c r="G13">
        <v>9193</v>
      </c>
      <c r="H13" t="str">
        <f>CountersTable[[#This Row],[ProjectName]]&amp;CountersTable[[#This Row],[Name]]&amp;CountersTable[[#This Row],[Type]]&amp;CountersTable[[#This Row],[Source]]</f>
        <v>Unnamed ProjectLabel 3CountUser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10</v>
      </c>
      <c r="J13" cm="1">
        <f t="array" ref="J13">IFERROR(AVERAGE(IF((CountersTable[GroupByKey]=CountersTable[[#This Row],[GroupByKey]]),(CountersTable[GroupByKey]=CountersTable[[#This Row],[GroupByKey]])*CountersTable[RecordedValue])),0)</f>
        <v>9194.4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6.0221812216726489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4.3080089259303831</v>
      </c>
      <c r="N13" cm="1">
        <f t="array" ref="N13">MIN(IF((CountersTable[GroupByKey]=CountersTable[[#This Row],[GroupByKey]]),(CountersTable[GroupByKey]=CountersTable[[#This Row],[GroupByKey]])*CountersTable[RecordedValue]))</f>
        <v>9188</v>
      </c>
      <c r="O13" cm="1">
        <f t="array" ref="O13">MAX(IF((CountersTable[GroupByKey]=CountersTable[[#This Row],[GroupByKey]]),(CountersTable[GroupByKey]=CountersTable[[#This Row],[GroupByKey]])*CountersTable[RecordedValue]))</f>
        <v>9202</v>
      </c>
    </row>
    <row r="14" spans="1:15" x14ac:dyDescent="0.25">
      <c r="A14" t="s">
        <v>67</v>
      </c>
      <c r="B14" t="s">
        <v>243</v>
      </c>
      <c r="C14">
        <v>2</v>
      </c>
      <c r="D14" t="s">
        <v>148</v>
      </c>
      <c r="E14" t="s">
        <v>142</v>
      </c>
      <c r="F14" t="s">
        <v>143</v>
      </c>
      <c r="G14">
        <v>95</v>
      </c>
      <c r="H14" t="str">
        <f>CountersTable[[#This Row],[ProjectName]]&amp;CountersTable[[#This Row],[Name]]&amp;CountersTable[[#This Row],[Type]]&amp;CountersTable[[#This Row],[Source]]</f>
        <v>Unnamed ProjectSatisfied customerCountUser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10</v>
      </c>
      <c r="J14" cm="1">
        <f t="array" ref="J14">IFERROR(AVERAGE(IF((CountersTable[GroupByKey]=CountersTable[[#This Row],[GroupByKey]]),(CountersTable[GroupByKey]=CountersTable[[#This Row],[GroupByKey]])*CountersTable[RecordedValue])),0)</f>
        <v>118.7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12.587913073879887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9.0048505491583946</v>
      </c>
      <c r="N14" cm="1">
        <f t="array" ref="N14">MIN(IF((CountersTable[GroupByKey]=CountersTable[[#This Row],[GroupByKey]]),(CountersTable[GroupByKey]=CountersTable[[#This Row],[GroupByKey]])*CountersTable[RecordedValue]))</f>
        <v>95</v>
      </c>
      <c r="O14" cm="1">
        <f t="array" ref="O14">MAX(IF((CountersTable[GroupByKey]=CountersTable[[#This Row],[GroupByKey]]),(CountersTable[GroupByKey]=CountersTable[[#This Row],[GroupByKey]])*CountersTable[RecordedValue]))</f>
        <v>141</v>
      </c>
    </row>
    <row r="15" spans="1:15" x14ac:dyDescent="0.25">
      <c r="A15" t="s">
        <v>67</v>
      </c>
      <c r="B15" t="s">
        <v>243</v>
      </c>
      <c r="C15">
        <v>2</v>
      </c>
      <c r="D15" t="s">
        <v>149</v>
      </c>
      <c r="E15" t="s">
        <v>142</v>
      </c>
      <c r="F15" t="s">
        <v>143</v>
      </c>
      <c r="G15">
        <v>124</v>
      </c>
      <c r="H15" t="str">
        <f>CountersTable[[#This Row],[ProjectName]]&amp;CountersTable[[#This Row],[Name]]&amp;CountersTable[[#This Row],[Type]]&amp;CountersTable[[#This Row],[Source]]</f>
        <v>Unnamed ProjectScrapCountUser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10</v>
      </c>
      <c r="J15" cm="1">
        <f t="array" ref="J15">IFERROR(AVERAGE(IF((CountersTable[GroupByKey]=CountersTable[[#This Row],[GroupByKey]]),(CountersTable[GroupByKey]=CountersTable[[#This Row],[GroupByKey]])*CountersTable[RecordedValue])),0)</f>
        <v>129.69999999999999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14.461058820923967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10.344818295195957</v>
      </c>
      <c r="N15" cm="1">
        <f t="array" ref="N15">MIN(IF((CountersTable[GroupByKey]=CountersTable[[#This Row],[GroupByKey]]),(CountersTable[GroupByKey]=CountersTable[[#This Row],[GroupByKey]])*CountersTable[RecordedValue]))</f>
        <v>105</v>
      </c>
      <c r="O15" cm="1">
        <f t="array" ref="O15">MAX(IF((CountersTable[GroupByKey]=CountersTable[[#This Row],[GroupByKey]]),(CountersTable[GroupByKey]=CountersTable[[#This Row],[GroupByKey]])*CountersTable[RecordedValue]))</f>
        <v>153</v>
      </c>
    </row>
    <row r="16" spans="1:15" x14ac:dyDescent="0.25">
      <c r="A16" t="s">
        <v>67</v>
      </c>
      <c r="B16" t="s">
        <v>243</v>
      </c>
      <c r="C16">
        <v>3</v>
      </c>
      <c r="D16" t="s">
        <v>141</v>
      </c>
      <c r="E16" t="s">
        <v>142</v>
      </c>
      <c r="F16" t="s">
        <v>143</v>
      </c>
      <c r="G16">
        <v>1284</v>
      </c>
      <c r="H16" t="str">
        <f>CountersTable[[#This Row],[ProjectName]]&amp;CountersTable[[#This Row],[Name]]&amp;CountersTable[[#This Row],[Type]]&amp;CountersTable[[#This Row],[Source]]</f>
        <v>Unnamed ProjectBoxCountUser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10</v>
      </c>
      <c r="J16" cm="1">
        <f t="array" ref="J16">IFERROR(AVERAGE(IF((CountersTable[GroupByKey]=CountersTable[[#This Row],[GroupByKey]]),(CountersTable[GroupByKey]=CountersTable[[#This Row],[GroupByKey]])*CountersTable[RecordedValue])),0)</f>
        <v>1283.0999999999999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3.2128215360057308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2.2983140734329779</v>
      </c>
      <c r="N16" cm="1">
        <f t="array" ref="N16">MIN(IF((CountersTable[GroupByKey]=CountersTable[[#This Row],[GroupByKey]]),(CountersTable[GroupByKey]=CountersTable[[#This Row],[GroupByKey]])*CountersTable[RecordedValue]))</f>
        <v>1277</v>
      </c>
      <c r="O16" cm="1">
        <f t="array" ref="O16">MAX(IF((CountersTable[GroupByKey]=CountersTable[[#This Row],[GroupByKey]]),(CountersTable[GroupByKey]=CountersTable[[#This Row],[GroupByKey]])*CountersTable[RecordedValue]))</f>
        <v>1288</v>
      </c>
    </row>
    <row r="17" spans="1:15" x14ac:dyDescent="0.25">
      <c r="A17" t="s">
        <v>67</v>
      </c>
      <c r="B17" t="s">
        <v>243</v>
      </c>
      <c r="C17">
        <v>3</v>
      </c>
      <c r="D17" t="s">
        <v>144</v>
      </c>
      <c r="E17" t="s">
        <v>142</v>
      </c>
      <c r="F17" t="s">
        <v>143</v>
      </c>
      <c r="G17">
        <v>958</v>
      </c>
      <c r="H17" t="str">
        <f>CountersTable[[#This Row],[ProjectName]]&amp;CountersTable[[#This Row],[Name]]&amp;CountersTable[[#This Row],[Type]]&amp;CountersTable[[#This Row],[Source]]</f>
        <v>Unnamed ProjectDissatisfied CustomerCountUser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10</v>
      </c>
      <c r="J17" cm="1">
        <f t="array" ref="J17">IFERROR(AVERAGE(IF((CountersTable[GroupByKey]=CountersTable[[#This Row],[GroupByKey]]),(CountersTable[GroupByKey]=CountersTable[[#This Row],[GroupByKey]])*CountersTable[RecordedValue])),0)</f>
        <v>971.6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31.116983572747966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22.259749091740982</v>
      </c>
      <c r="N17" cm="1">
        <f t="array" ref="N17">MIN(IF((CountersTable[GroupByKey]=CountersTable[[#This Row],[GroupByKey]]),(CountersTable[GroupByKey]=CountersTable[[#This Row],[GroupByKey]])*CountersTable[RecordedValue]))</f>
        <v>924</v>
      </c>
      <c r="O17" cm="1">
        <f t="array" ref="O17">MAX(IF((CountersTable[GroupByKey]=CountersTable[[#This Row],[GroupByKey]]),(CountersTable[GroupByKey]=CountersTable[[#This Row],[GroupByKey]])*CountersTable[RecordedValue]))</f>
        <v>1012</v>
      </c>
    </row>
    <row r="18" spans="1:15" x14ac:dyDescent="0.25">
      <c r="A18" t="s">
        <v>67</v>
      </c>
      <c r="B18" t="s">
        <v>243</v>
      </c>
      <c r="C18">
        <v>3</v>
      </c>
      <c r="D18" t="s">
        <v>145</v>
      </c>
      <c r="E18" t="s">
        <v>142</v>
      </c>
      <c r="F18" t="s">
        <v>143</v>
      </c>
      <c r="G18">
        <v>6548</v>
      </c>
      <c r="H18" t="str">
        <f>CountersTable[[#This Row],[ProjectName]]&amp;CountersTable[[#This Row],[Name]]&amp;CountersTable[[#This Row],[Type]]&amp;CountersTable[[#This Row],[Source]]</f>
        <v>Unnamed ProjectLabel 1CountUser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10</v>
      </c>
      <c r="J18" cm="1">
        <f t="array" ref="J18">IFERROR(AVERAGE(IF((CountersTable[GroupByKey]=CountersTable[[#This Row],[GroupByKey]]),(CountersTable[GroupByKey]=CountersTable[[#This Row],[GroupByKey]])*CountersTable[RecordedValue])),0)</f>
        <v>6549.7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5.7551908936387353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4.1170155509439503</v>
      </c>
      <c r="N18" cm="1">
        <f t="array" ref="N18">MIN(IF((CountersTable[GroupByKey]=CountersTable[[#This Row],[GroupByKey]]),(CountersTable[GroupByKey]=CountersTable[[#This Row],[GroupByKey]])*CountersTable[RecordedValue]))</f>
        <v>6541</v>
      </c>
      <c r="O18" cm="1">
        <f t="array" ref="O18">MAX(IF((CountersTable[GroupByKey]=CountersTable[[#This Row],[GroupByKey]]),(CountersTable[GroupByKey]=CountersTable[[#This Row],[GroupByKey]])*CountersTable[RecordedValue]))</f>
        <v>6559</v>
      </c>
    </row>
    <row r="19" spans="1:15" x14ac:dyDescent="0.25">
      <c r="A19" t="s">
        <v>67</v>
      </c>
      <c r="B19" t="s">
        <v>243</v>
      </c>
      <c r="C19">
        <v>3</v>
      </c>
      <c r="D19" t="s">
        <v>146</v>
      </c>
      <c r="E19" t="s">
        <v>142</v>
      </c>
      <c r="F19" t="s">
        <v>143</v>
      </c>
      <c r="G19">
        <v>8237</v>
      </c>
      <c r="H19" t="str">
        <f>CountersTable[[#This Row],[ProjectName]]&amp;CountersTable[[#This Row],[Name]]&amp;CountersTable[[#This Row],[Type]]&amp;CountersTable[[#This Row],[Source]]</f>
        <v>Unnamed ProjectLabel 2CountUser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10</v>
      </c>
      <c r="J19" cm="1">
        <f t="array" ref="J19">IFERROR(AVERAGE(IF((CountersTable[GroupByKey]=CountersTable[[#This Row],[GroupByKey]]),(CountersTable[GroupByKey]=CountersTable[[#This Row],[GroupByKey]])*CountersTable[RecordedValue])),0)</f>
        <v>8227.7000000000007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6.2902040242480748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4.4997408887103267</v>
      </c>
      <c r="N19" cm="1">
        <f t="array" ref="N19">MIN(IF((CountersTable[GroupByKey]=CountersTable[[#This Row],[GroupByKey]]),(CountersTable[GroupByKey]=CountersTable[[#This Row],[GroupByKey]])*CountersTable[RecordedValue]))</f>
        <v>8216</v>
      </c>
      <c r="O19" cm="1">
        <f t="array" ref="O19">MAX(IF((CountersTable[GroupByKey]=CountersTable[[#This Row],[GroupByKey]]),(CountersTable[GroupByKey]=CountersTable[[#This Row],[GroupByKey]])*CountersTable[RecordedValue]))</f>
        <v>8237</v>
      </c>
    </row>
    <row r="20" spans="1:15" x14ac:dyDescent="0.25">
      <c r="A20" t="s">
        <v>67</v>
      </c>
      <c r="B20" t="s">
        <v>243</v>
      </c>
      <c r="C20">
        <v>3</v>
      </c>
      <c r="D20" t="s">
        <v>147</v>
      </c>
      <c r="E20" t="s">
        <v>142</v>
      </c>
      <c r="F20" t="s">
        <v>143</v>
      </c>
      <c r="G20">
        <v>9202</v>
      </c>
      <c r="H20" t="str">
        <f>CountersTable[[#This Row],[ProjectName]]&amp;CountersTable[[#This Row],[Name]]&amp;CountersTable[[#This Row],[Type]]&amp;CountersTable[[#This Row],[Source]]</f>
        <v>Unnamed ProjectLabel 3CountUser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10</v>
      </c>
      <c r="J20" cm="1">
        <f t="array" ref="J20">IFERROR(AVERAGE(IF((CountersTable[GroupByKey]=CountersTable[[#This Row],[GroupByKey]]),(CountersTable[GroupByKey]=CountersTable[[#This Row],[GroupByKey]])*CountersTable[RecordedValue])),0)</f>
        <v>9194.4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6.0221812216726489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4.3080089259303831</v>
      </c>
      <c r="N20" cm="1">
        <f t="array" ref="N20">MIN(IF((CountersTable[GroupByKey]=CountersTable[[#This Row],[GroupByKey]]),(CountersTable[GroupByKey]=CountersTable[[#This Row],[GroupByKey]])*CountersTable[RecordedValue]))</f>
        <v>9188</v>
      </c>
      <c r="O20" cm="1">
        <f t="array" ref="O20">MAX(IF((CountersTable[GroupByKey]=CountersTable[[#This Row],[GroupByKey]]),(CountersTable[GroupByKey]=CountersTable[[#This Row],[GroupByKey]])*CountersTable[RecordedValue]))</f>
        <v>9202</v>
      </c>
    </row>
    <row r="21" spans="1:15" x14ac:dyDescent="0.25">
      <c r="A21" t="s">
        <v>67</v>
      </c>
      <c r="B21" t="s">
        <v>243</v>
      </c>
      <c r="C21">
        <v>3</v>
      </c>
      <c r="D21" t="s">
        <v>148</v>
      </c>
      <c r="E21" t="s">
        <v>142</v>
      </c>
      <c r="F21" t="s">
        <v>143</v>
      </c>
      <c r="G21">
        <v>129</v>
      </c>
      <c r="H21" t="str">
        <f>CountersTable[[#This Row],[ProjectName]]&amp;CountersTable[[#This Row],[Name]]&amp;CountersTable[[#This Row],[Type]]&amp;CountersTable[[#This Row],[Source]]</f>
        <v>Unnamed ProjectSatisfied customerCountUser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10</v>
      </c>
      <c r="J21" cm="1">
        <f t="array" ref="J21">IFERROR(AVERAGE(IF((CountersTable[GroupByKey]=CountersTable[[#This Row],[GroupByKey]]),(CountersTable[GroupByKey]=CountersTable[[#This Row],[GroupByKey]])*CountersTable[RecordedValue])),0)</f>
        <v>118.7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12.587913073879887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9.0048505491583946</v>
      </c>
      <c r="N21" cm="1">
        <f t="array" ref="N21">MIN(IF((CountersTable[GroupByKey]=CountersTable[[#This Row],[GroupByKey]]),(CountersTable[GroupByKey]=CountersTable[[#This Row],[GroupByKey]])*CountersTable[RecordedValue]))</f>
        <v>95</v>
      </c>
      <c r="O21" cm="1">
        <f t="array" ref="O21">MAX(IF((CountersTable[GroupByKey]=CountersTable[[#This Row],[GroupByKey]]),(CountersTable[GroupByKey]=CountersTable[[#This Row],[GroupByKey]])*CountersTable[RecordedValue]))</f>
        <v>141</v>
      </c>
    </row>
    <row r="22" spans="1:15" x14ac:dyDescent="0.25">
      <c r="A22" t="s">
        <v>67</v>
      </c>
      <c r="B22" t="s">
        <v>243</v>
      </c>
      <c r="C22">
        <v>3</v>
      </c>
      <c r="D22" t="s">
        <v>149</v>
      </c>
      <c r="E22" t="s">
        <v>142</v>
      </c>
      <c r="F22" t="s">
        <v>143</v>
      </c>
      <c r="G22">
        <v>125</v>
      </c>
      <c r="H22" t="str">
        <f>CountersTable[[#This Row],[ProjectName]]&amp;CountersTable[[#This Row],[Name]]&amp;CountersTable[[#This Row],[Type]]&amp;CountersTable[[#This Row],[Source]]</f>
        <v>Unnamed ProjectScrapCountUser Specified</v>
      </c>
      <c r="I22" cm="1">
        <f t="array" ref="I22">MAX(IF((ProjectInfoTable[ProjectName]=CountersTable[[#This Row],[ProjectName]]),(ProjectInfoTable[ProjectName]=CountersTable[[#This Row],[ProjectName]])*ProjectInfoTable[NumberOfReplications]))</f>
        <v>10</v>
      </c>
      <c r="J22" cm="1">
        <f t="array" ref="J22">IFERROR(AVERAGE(IF((CountersTable[GroupByKey]=CountersTable[[#This Row],[GroupByKey]]),(CountersTable[GroupByKey]=CountersTable[[#This Row],[GroupByKey]])*CountersTable[RecordedValue])),0)</f>
        <v>129.69999999999999</v>
      </c>
      <c r="K22" cm="1">
        <f t="array" ref="K22">IFERROR(_xlfn.STDEV.S(IF((CountersTable[GroupByKey]=CountersTable[[#This Row],[GroupByKey]]),(CountersTable[GroupByKey]=CountersTable[[#This Row],[GroupByKey]])*CountersTable[RecordedValue])),0)</f>
        <v>14.461058820923967</v>
      </c>
      <c r="L22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10.344818295195957</v>
      </c>
      <c r="N22" cm="1">
        <f t="array" ref="N22">MIN(IF((CountersTable[GroupByKey]=CountersTable[[#This Row],[GroupByKey]]),(CountersTable[GroupByKey]=CountersTable[[#This Row],[GroupByKey]])*CountersTable[RecordedValue]))</f>
        <v>105</v>
      </c>
      <c r="O22" cm="1">
        <f t="array" ref="O22">MAX(IF((CountersTable[GroupByKey]=CountersTable[[#This Row],[GroupByKey]]),(CountersTable[GroupByKey]=CountersTable[[#This Row],[GroupByKey]])*CountersTable[RecordedValue]))</f>
        <v>153</v>
      </c>
    </row>
    <row r="23" spans="1:15" x14ac:dyDescent="0.25">
      <c r="A23" t="s">
        <v>67</v>
      </c>
      <c r="B23" t="s">
        <v>243</v>
      </c>
      <c r="C23">
        <v>4</v>
      </c>
      <c r="D23" t="s">
        <v>141</v>
      </c>
      <c r="E23" t="s">
        <v>142</v>
      </c>
      <c r="F23" t="s">
        <v>143</v>
      </c>
      <c r="G23">
        <v>1280</v>
      </c>
      <c r="H23" t="str">
        <f>CountersTable[[#This Row],[ProjectName]]&amp;CountersTable[[#This Row],[Name]]&amp;CountersTable[[#This Row],[Type]]&amp;CountersTable[[#This Row],[Source]]</f>
        <v>Unnamed ProjectBoxCountUser Specified</v>
      </c>
      <c r="I23" cm="1">
        <f t="array" ref="I23">MAX(IF((ProjectInfoTable[ProjectName]=CountersTable[[#This Row],[ProjectName]]),(ProjectInfoTable[ProjectName]=CountersTable[[#This Row],[ProjectName]])*ProjectInfoTable[NumberOfReplications]))</f>
        <v>10</v>
      </c>
      <c r="J23" cm="1">
        <f t="array" ref="J23">IFERROR(AVERAGE(IF((CountersTable[GroupByKey]=CountersTable[[#This Row],[GroupByKey]]),(CountersTable[GroupByKey]=CountersTable[[#This Row],[GroupByKey]])*CountersTable[RecordedValue])),0)</f>
        <v>1283.0999999999999</v>
      </c>
      <c r="K23" cm="1">
        <f t="array" ref="K23">IFERROR(_xlfn.STDEV.S(IF((CountersTable[GroupByKey]=CountersTable[[#This Row],[GroupByKey]]),(CountersTable[GroupByKey]=CountersTable[[#This Row],[GroupByKey]])*CountersTable[RecordedValue])),0)</f>
        <v>3.2128215360057308</v>
      </c>
      <c r="L23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2.2983140734329779</v>
      </c>
      <c r="N23" cm="1">
        <f t="array" ref="N23">MIN(IF((CountersTable[GroupByKey]=CountersTable[[#This Row],[GroupByKey]]),(CountersTable[GroupByKey]=CountersTable[[#This Row],[GroupByKey]])*CountersTable[RecordedValue]))</f>
        <v>1277</v>
      </c>
      <c r="O23" cm="1">
        <f t="array" ref="O23">MAX(IF((CountersTable[GroupByKey]=CountersTable[[#This Row],[GroupByKey]]),(CountersTable[GroupByKey]=CountersTable[[#This Row],[GroupByKey]])*CountersTable[RecordedValue]))</f>
        <v>1288</v>
      </c>
    </row>
    <row r="24" spans="1:15" x14ac:dyDescent="0.25">
      <c r="A24" t="s">
        <v>67</v>
      </c>
      <c r="B24" t="s">
        <v>243</v>
      </c>
      <c r="C24">
        <v>4</v>
      </c>
      <c r="D24" t="s">
        <v>144</v>
      </c>
      <c r="E24" t="s">
        <v>142</v>
      </c>
      <c r="F24" t="s">
        <v>143</v>
      </c>
      <c r="G24">
        <v>929</v>
      </c>
      <c r="H24" t="str">
        <f>CountersTable[[#This Row],[ProjectName]]&amp;CountersTable[[#This Row],[Name]]&amp;CountersTable[[#This Row],[Type]]&amp;CountersTable[[#This Row],[Source]]</f>
        <v>Unnamed ProjectDissatisfied CustomerCountUser Specified</v>
      </c>
      <c r="I24" cm="1">
        <f t="array" ref="I24">MAX(IF((ProjectInfoTable[ProjectName]=CountersTable[[#This Row],[ProjectName]]),(ProjectInfoTable[ProjectName]=CountersTable[[#This Row],[ProjectName]])*ProjectInfoTable[NumberOfReplications]))</f>
        <v>10</v>
      </c>
      <c r="J24" cm="1">
        <f t="array" ref="J24">IFERROR(AVERAGE(IF((CountersTable[GroupByKey]=CountersTable[[#This Row],[GroupByKey]]),(CountersTable[GroupByKey]=CountersTable[[#This Row],[GroupByKey]])*CountersTable[RecordedValue])),0)</f>
        <v>971.6</v>
      </c>
      <c r="K24" cm="1">
        <f t="array" ref="K24">IFERROR(_xlfn.STDEV.S(IF((CountersTable[GroupByKey]=CountersTable[[#This Row],[GroupByKey]]),(CountersTable[GroupByKey]=CountersTable[[#This Row],[GroupByKey]])*CountersTable[RecordedValue])),0)</f>
        <v>31.116983572747966</v>
      </c>
      <c r="L24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22.259749091740982</v>
      </c>
      <c r="N24" cm="1">
        <f t="array" ref="N24">MIN(IF((CountersTable[GroupByKey]=CountersTable[[#This Row],[GroupByKey]]),(CountersTable[GroupByKey]=CountersTable[[#This Row],[GroupByKey]])*CountersTable[RecordedValue]))</f>
        <v>924</v>
      </c>
      <c r="O24" cm="1">
        <f t="array" ref="O24">MAX(IF((CountersTable[GroupByKey]=CountersTable[[#This Row],[GroupByKey]]),(CountersTable[GroupByKey]=CountersTable[[#This Row],[GroupByKey]])*CountersTable[RecordedValue]))</f>
        <v>1012</v>
      </c>
    </row>
    <row r="25" spans="1:15" x14ac:dyDescent="0.25">
      <c r="A25" t="s">
        <v>67</v>
      </c>
      <c r="B25" t="s">
        <v>243</v>
      </c>
      <c r="C25">
        <v>4</v>
      </c>
      <c r="D25" t="s">
        <v>145</v>
      </c>
      <c r="E25" t="s">
        <v>142</v>
      </c>
      <c r="F25" t="s">
        <v>143</v>
      </c>
      <c r="G25">
        <v>6543</v>
      </c>
      <c r="H25" t="str">
        <f>CountersTable[[#This Row],[ProjectName]]&amp;CountersTable[[#This Row],[Name]]&amp;CountersTable[[#This Row],[Type]]&amp;CountersTable[[#This Row],[Source]]</f>
        <v>Unnamed ProjectLabel 1CountUser Specified</v>
      </c>
      <c r="I25" cm="1">
        <f t="array" ref="I25">MAX(IF((ProjectInfoTable[ProjectName]=CountersTable[[#This Row],[ProjectName]]),(ProjectInfoTable[ProjectName]=CountersTable[[#This Row],[ProjectName]])*ProjectInfoTable[NumberOfReplications]))</f>
        <v>10</v>
      </c>
      <c r="J25" cm="1">
        <f t="array" ref="J25">IFERROR(AVERAGE(IF((CountersTable[GroupByKey]=CountersTable[[#This Row],[GroupByKey]]),(CountersTable[GroupByKey]=CountersTable[[#This Row],[GroupByKey]])*CountersTable[RecordedValue])),0)</f>
        <v>6549.7</v>
      </c>
      <c r="K25" cm="1">
        <f t="array" ref="K25">IFERROR(_xlfn.STDEV.S(IF((CountersTable[GroupByKey]=CountersTable[[#This Row],[GroupByKey]]),(CountersTable[GroupByKey]=CountersTable[[#This Row],[GroupByKey]])*CountersTable[RecordedValue])),0)</f>
        <v>5.7551908936387353</v>
      </c>
      <c r="L2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4.1170155509439503</v>
      </c>
      <c r="N25" cm="1">
        <f t="array" ref="N25">MIN(IF((CountersTable[GroupByKey]=CountersTable[[#This Row],[GroupByKey]]),(CountersTable[GroupByKey]=CountersTable[[#This Row],[GroupByKey]])*CountersTable[RecordedValue]))</f>
        <v>6541</v>
      </c>
      <c r="O25" cm="1">
        <f t="array" ref="O25">MAX(IF((CountersTable[GroupByKey]=CountersTable[[#This Row],[GroupByKey]]),(CountersTable[GroupByKey]=CountersTable[[#This Row],[GroupByKey]])*CountersTable[RecordedValue]))</f>
        <v>6559</v>
      </c>
    </row>
    <row r="26" spans="1:15" x14ac:dyDescent="0.25">
      <c r="A26" t="s">
        <v>67</v>
      </c>
      <c r="B26" t="s">
        <v>243</v>
      </c>
      <c r="C26">
        <v>4</v>
      </c>
      <c r="D26" t="s">
        <v>146</v>
      </c>
      <c r="E26" t="s">
        <v>142</v>
      </c>
      <c r="F26" t="s">
        <v>143</v>
      </c>
      <c r="G26">
        <v>8226</v>
      </c>
      <c r="H26" t="str">
        <f>CountersTable[[#This Row],[ProjectName]]&amp;CountersTable[[#This Row],[Name]]&amp;CountersTable[[#This Row],[Type]]&amp;CountersTable[[#This Row],[Source]]</f>
        <v>Unnamed ProjectLabel 2CountUser Specified</v>
      </c>
      <c r="I26" cm="1">
        <f t="array" ref="I26">MAX(IF((ProjectInfoTable[ProjectName]=CountersTable[[#This Row],[ProjectName]]),(ProjectInfoTable[ProjectName]=CountersTable[[#This Row],[ProjectName]])*ProjectInfoTable[NumberOfReplications]))</f>
        <v>10</v>
      </c>
      <c r="J26" cm="1">
        <f t="array" ref="J26">IFERROR(AVERAGE(IF((CountersTable[GroupByKey]=CountersTable[[#This Row],[GroupByKey]]),(CountersTable[GroupByKey]=CountersTable[[#This Row],[GroupByKey]])*CountersTable[RecordedValue])),0)</f>
        <v>8227.7000000000007</v>
      </c>
      <c r="K26" cm="1">
        <f t="array" ref="K26">IFERROR(_xlfn.STDEV.S(IF((CountersTable[GroupByKey]=CountersTable[[#This Row],[GroupByKey]]),(CountersTable[GroupByKey]=CountersTable[[#This Row],[GroupByKey]])*CountersTable[RecordedValue])),0)</f>
        <v>6.2902040242480748</v>
      </c>
      <c r="L26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4.4997408887103267</v>
      </c>
      <c r="N26" cm="1">
        <f t="array" ref="N26">MIN(IF((CountersTable[GroupByKey]=CountersTable[[#This Row],[GroupByKey]]),(CountersTable[GroupByKey]=CountersTable[[#This Row],[GroupByKey]])*CountersTable[RecordedValue]))</f>
        <v>8216</v>
      </c>
      <c r="O26" cm="1">
        <f t="array" ref="O26">MAX(IF((CountersTable[GroupByKey]=CountersTable[[#This Row],[GroupByKey]]),(CountersTable[GroupByKey]=CountersTable[[#This Row],[GroupByKey]])*CountersTable[RecordedValue]))</f>
        <v>8237</v>
      </c>
    </row>
    <row r="27" spans="1:15" x14ac:dyDescent="0.25">
      <c r="A27" t="s">
        <v>67</v>
      </c>
      <c r="B27" t="s">
        <v>243</v>
      </c>
      <c r="C27">
        <v>4</v>
      </c>
      <c r="D27" t="s">
        <v>147</v>
      </c>
      <c r="E27" t="s">
        <v>142</v>
      </c>
      <c r="F27" t="s">
        <v>143</v>
      </c>
      <c r="G27">
        <v>9199</v>
      </c>
      <c r="H27" t="str">
        <f>CountersTable[[#This Row],[ProjectName]]&amp;CountersTable[[#This Row],[Name]]&amp;CountersTable[[#This Row],[Type]]&amp;CountersTable[[#This Row],[Source]]</f>
        <v>Unnamed ProjectLabel 3CountUser Specified</v>
      </c>
      <c r="I27" cm="1">
        <f t="array" ref="I27">MAX(IF((ProjectInfoTable[ProjectName]=CountersTable[[#This Row],[ProjectName]]),(ProjectInfoTable[ProjectName]=CountersTable[[#This Row],[ProjectName]])*ProjectInfoTable[NumberOfReplications]))</f>
        <v>10</v>
      </c>
      <c r="J27" cm="1">
        <f t="array" ref="J27">IFERROR(AVERAGE(IF((CountersTable[GroupByKey]=CountersTable[[#This Row],[GroupByKey]]),(CountersTable[GroupByKey]=CountersTable[[#This Row],[GroupByKey]])*CountersTable[RecordedValue])),0)</f>
        <v>9194.4</v>
      </c>
      <c r="K27" cm="1">
        <f t="array" ref="K27">IFERROR(_xlfn.STDEV.S(IF((CountersTable[GroupByKey]=CountersTable[[#This Row],[GroupByKey]]),(CountersTable[GroupByKey]=CountersTable[[#This Row],[GroupByKey]])*CountersTable[RecordedValue])),0)</f>
        <v>6.0221812216726489</v>
      </c>
      <c r="L27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4.3080089259303831</v>
      </c>
      <c r="N27" cm="1">
        <f t="array" ref="N27">MIN(IF((CountersTable[GroupByKey]=CountersTable[[#This Row],[GroupByKey]]),(CountersTable[GroupByKey]=CountersTable[[#This Row],[GroupByKey]])*CountersTable[RecordedValue]))</f>
        <v>9188</v>
      </c>
      <c r="O27" cm="1">
        <f t="array" ref="O27">MAX(IF((CountersTable[GroupByKey]=CountersTable[[#This Row],[GroupByKey]]),(CountersTable[GroupByKey]=CountersTable[[#This Row],[GroupByKey]])*CountersTable[RecordedValue]))</f>
        <v>9202</v>
      </c>
    </row>
    <row r="28" spans="1:15" x14ac:dyDescent="0.25">
      <c r="A28" t="s">
        <v>67</v>
      </c>
      <c r="B28" t="s">
        <v>243</v>
      </c>
      <c r="C28">
        <v>4</v>
      </c>
      <c r="D28" t="s">
        <v>148</v>
      </c>
      <c r="E28" t="s">
        <v>142</v>
      </c>
      <c r="F28" t="s">
        <v>143</v>
      </c>
      <c r="G28">
        <v>116</v>
      </c>
      <c r="H28" t="str">
        <f>CountersTable[[#This Row],[ProjectName]]&amp;CountersTable[[#This Row],[Name]]&amp;CountersTable[[#This Row],[Type]]&amp;CountersTable[[#This Row],[Source]]</f>
        <v>Unnamed ProjectSatisfied customerCountUser Specified</v>
      </c>
      <c r="I28" cm="1">
        <f t="array" ref="I28">MAX(IF((ProjectInfoTable[ProjectName]=CountersTable[[#This Row],[ProjectName]]),(ProjectInfoTable[ProjectName]=CountersTable[[#This Row],[ProjectName]])*ProjectInfoTable[NumberOfReplications]))</f>
        <v>10</v>
      </c>
      <c r="J28" cm="1">
        <f t="array" ref="J28">IFERROR(AVERAGE(IF((CountersTable[GroupByKey]=CountersTable[[#This Row],[GroupByKey]]),(CountersTable[GroupByKey]=CountersTable[[#This Row],[GroupByKey]])*CountersTable[RecordedValue])),0)</f>
        <v>118.7</v>
      </c>
      <c r="K28" cm="1">
        <f t="array" ref="K28">IFERROR(_xlfn.STDEV.S(IF((CountersTable[GroupByKey]=CountersTable[[#This Row],[GroupByKey]]),(CountersTable[GroupByKey]=CountersTable[[#This Row],[GroupByKey]])*CountersTable[RecordedValue])),0)</f>
        <v>12.587913073879887</v>
      </c>
      <c r="L28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9.0048505491583946</v>
      </c>
      <c r="N28" cm="1">
        <f t="array" ref="N28">MIN(IF((CountersTable[GroupByKey]=CountersTable[[#This Row],[GroupByKey]]),(CountersTable[GroupByKey]=CountersTable[[#This Row],[GroupByKey]])*CountersTable[RecordedValue]))</f>
        <v>95</v>
      </c>
      <c r="O28" cm="1">
        <f t="array" ref="O28">MAX(IF((CountersTable[GroupByKey]=CountersTable[[#This Row],[GroupByKey]]),(CountersTable[GroupByKey]=CountersTable[[#This Row],[GroupByKey]])*CountersTable[RecordedValue]))</f>
        <v>141</v>
      </c>
    </row>
    <row r="29" spans="1:15" x14ac:dyDescent="0.25">
      <c r="A29" t="s">
        <v>67</v>
      </c>
      <c r="B29" t="s">
        <v>243</v>
      </c>
      <c r="C29">
        <v>4</v>
      </c>
      <c r="D29" t="s">
        <v>149</v>
      </c>
      <c r="E29" t="s">
        <v>142</v>
      </c>
      <c r="F29" t="s">
        <v>143</v>
      </c>
      <c r="G29">
        <v>139</v>
      </c>
      <c r="H29" t="str">
        <f>CountersTable[[#This Row],[ProjectName]]&amp;CountersTable[[#This Row],[Name]]&amp;CountersTable[[#This Row],[Type]]&amp;CountersTable[[#This Row],[Source]]</f>
        <v>Unnamed ProjectScrapCountUser Specified</v>
      </c>
      <c r="I29" cm="1">
        <f t="array" ref="I29">MAX(IF((ProjectInfoTable[ProjectName]=CountersTable[[#This Row],[ProjectName]]),(ProjectInfoTable[ProjectName]=CountersTable[[#This Row],[ProjectName]])*ProjectInfoTable[NumberOfReplications]))</f>
        <v>10</v>
      </c>
      <c r="J29" cm="1">
        <f t="array" ref="J29">IFERROR(AVERAGE(IF((CountersTable[GroupByKey]=CountersTable[[#This Row],[GroupByKey]]),(CountersTable[GroupByKey]=CountersTable[[#This Row],[GroupByKey]])*CountersTable[RecordedValue])),0)</f>
        <v>129.69999999999999</v>
      </c>
      <c r="K29" cm="1">
        <f t="array" ref="K29">IFERROR(_xlfn.STDEV.S(IF((CountersTable[GroupByKey]=CountersTable[[#This Row],[GroupByKey]]),(CountersTable[GroupByKey]=CountersTable[[#This Row],[GroupByKey]])*CountersTable[RecordedValue])),0)</f>
        <v>14.461058820923967</v>
      </c>
      <c r="L29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10.344818295195957</v>
      </c>
      <c r="N29" cm="1">
        <f t="array" ref="N29">MIN(IF((CountersTable[GroupByKey]=CountersTable[[#This Row],[GroupByKey]]),(CountersTable[GroupByKey]=CountersTable[[#This Row],[GroupByKey]])*CountersTable[RecordedValue]))</f>
        <v>105</v>
      </c>
      <c r="O29" cm="1">
        <f t="array" ref="O29">MAX(IF((CountersTable[GroupByKey]=CountersTable[[#This Row],[GroupByKey]]),(CountersTable[GroupByKey]=CountersTable[[#This Row],[GroupByKey]])*CountersTable[RecordedValue]))</f>
        <v>153</v>
      </c>
    </row>
    <row r="30" spans="1:15" x14ac:dyDescent="0.25">
      <c r="A30" t="s">
        <v>67</v>
      </c>
      <c r="B30" t="s">
        <v>243</v>
      </c>
      <c r="C30">
        <v>5</v>
      </c>
      <c r="D30" t="s">
        <v>141</v>
      </c>
      <c r="E30" t="s">
        <v>142</v>
      </c>
      <c r="F30" t="s">
        <v>143</v>
      </c>
      <c r="G30">
        <v>1283</v>
      </c>
      <c r="H30" t="str">
        <f>CountersTable[[#This Row],[ProjectName]]&amp;CountersTable[[#This Row],[Name]]&amp;CountersTable[[#This Row],[Type]]&amp;CountersTable[[#This Row],[Source]]</f>
        <v>Unnamed ProjectBoxCountUser Specified</v>
      </c>
      <c r="I30" cm="1">
        <f t="array" ref="I30">MAX(IF((ProjectInfoTable[ProjectName]=CountersTable[[#This Row],[ProjectName]]),(ProjectInfoTable[ProjectName]=CountersTable[[#This Row],[ProjectName]])*ProjectInfoTable[NumberOfReplications]))</f>
        <v>10</v>
      </c>
      <c r="J30" cm="1">
        <f t="array" ref="J30">IFERROR(AVERAGE(IF((CountersTable[GroupByKey]=CountersTable[[#This Row],[GroupByKey]]),(CountersTable[GroupByKey]=CountersTable[[#This Row],[GroupByKey]])*CountersTable[RecordedValue])),0)</f>
        <v>1283.0999999999999</v>
      </c>
      <c r="K30" cm="1">
        <f t="array" ref="K30">IFERROR(_xlfn.STDEV.S(IF((CountersTable[GroupByKey]=CountersTable[[#This Row],[GroupByKey]]),(CountersTable[GroupByKey]=CountersTable[[#This Row],[GroupByKey]])*CountersTable[RecordedValue])),0)</f>
        <v>3.2128215360057308</v>
      </c>
      <c r="L30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2.2983140734329779</v>
      </c>
      <c r="N30" cm="1">
        <f t="array" ref="N30">MIN(IF((CountersTable[GroupByKey]=CountersTable[[#This Row],[GroupByKey]]),(CountersTable[GroupByKey]=CountersTable[[#This Row],[GroupByKey]])*CountersTable[RecordedValue]))</f>
        <v>1277</v>
      </c>
      <c r="O30" cm="1">
        <f t="array" ref="O30">MAX(IF((CountersTable[GroupByKey]=CountersTable[[#This Row],[GroupByKey]]),(CountersTable[GroupByKey]=CountersTable[[#This Row],[GroupByKey]])*CountersTable[RecordedValue]))</f>
        <v>1288</v>
      </c>
    </row>
    <row r="31" spans="1:15" x14ac:dyDescent="0.25">
      <c r="A31" t="s">
        <v>67</v>
      </c>
      <c r="B31" t="s">
        <v>243</v>
      </c>
      <c r="C31">
        <v>5</v>
      </c>
      <c r="D31" t="s">
        <v>144</v>
      </c>
      <c r="E31" t="s">
        <v>142</v>
      </c>
      <c r="F31" t="s">
        <v>143</v>
      </c>
      <c r="G31">
        <v>1006</v>
      </c>
      <c r="H31" t="str">
        <f>CountersTable[[#This Row],[ProjectName]]&amp;CountersTable[[#This Row],[Name]]&amp;CountersTable[[#This Row],[Type]]&amp;CountersTable[[#This Row],[Source]]</f>
        <v>Unnamed ProjectDissatisfied CustomerCountUser Specified</v>
      </c>
      <c r="I31" cm="1">
        <f t="array" ref="I31">MAX(IF((ProjectInfoTable[ProjectName]=CountersTable[[#This Row],[ProjectName]]),(ProjectInfoTable[ProjectName]=CountersTable[[#This Row],[ProjectName]])*ProjectInfoTable[NumberOfReplications]))</f>
        <v>10</v>
      </c>
      <c r="J31" cm="1">
        <f t="array" ref="J31">IFERROR(AVERAGE(IF((CountersTable[GroupByKey]=CountersTable[[#This Row],[GroupByKey]]),(CountersTable[GroupByKey]=CountersTable[[#This Row],[GroupByKey]])*CountersTable[RecordedValue])),0)</f>
        <v>971.6</v>
      </c>
      <c r="K31" cm="1">
        <f t="array" ref="K31">IFERROR(_xlfn.STDEV.S(IF((CountersTable[GroupByKey]=CountersTable[[#This Row],[GroupByKey]]),(CountersTable[GroupByKey]=CountersTable[[#This Row],[GroupByKey]])*CountersTable[RecordedValue])),0)</f>
        <v>31.116983572747966</v>
      </c>
      <c r="L31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22.259749091740982</v>
      </c>
      <c r="N31" cm="1">
        <f t="array" ref="N31">MIN(IF((CountersTable[GroupByKey]=CountersTable[[#This Row],[GroupByKey]]),(CountersTable[GroupByKey]=CountersTable[[#This Row],[GroupByKey]])*CountersTable[RecordedValue]))</f>
        <v>924</v>
      </c>
      <c r="O31" cm="1">
        <f t="array" ref="O31">MAX(IF((CountersTable[GroupByKey]=CountersTable[[#This Row],[GroupByKey]]),(CountersTable[GroupByKey]=CountersTable[[#This Row],[GroupByKey]])*CountersTable[RecordedValue]))</f>
        <v>1012</v>
      </c>
    </row>
    <row r="32" spans="1:15" x14ac:dyDescent="0.25">
      <c r="A32" t="s">
        <v>67</v>
      </c>
      <c r="B32" t="s">
        <v>243</v>
      </c>
      <c r="C32">
        <v>5</v>
      </c>
      <c r="D32" t="s">
        <v>145</v>
      </c>
      <c r="E32" t="s">
        <v>142</v>
      </c>
      <c r="F32" t="s">
        <v>143</v>
      </c>
      <c r="G32">
        <v>6555</v>
      </c>
      <c r="H32" t="str">
        <f>CountersTable[[#This Row],[ProjectName]]&amp;CountersTable[[#This Row],[Name]]&amp;CountersTable[[#This Row],[Type]]&amp;CountersTable[[#This Row],[Source]]</f>
        <v>Unnamed ProjectLabel 1CountUser Specified</v>
      </c>
      <c r="I32" cm="1">
        <f t="array" ref="I32">MAX(IF((ProjectInfoTable[ProjectName]=CountersTable[[#This Row],[ProjectName]]),(ProjectInfoTable[ProjectName]=CountersTable[[#This Row],[ProjectName]])*ProjectInfoTable[NumberOfReplications]))</f>
        <v>10</v>
      </c>
      <c r="J32" cm="1">
        <f t="array" ref="J32">IFERROR(AVERAGE(IF((CountersTable[GroupByKey]=CountersTable[[#This Row],[GroupByKey]]),(CountersTable[GroupByKey]=CountersTable[[#This Row],[GroupByKey]])*CountersTable[RecordedValue])),0)</f>
        <v>6549.7</v>
      </c>
      <c r="K32" cm="1">
        <f t="array" ref="K32">IFERROR(_xlfn.STDEV.S(IF((CountersTable[GroupByKey]=CountersTable[[#This Row],[GroupByKey]]),(CountersTable[GroupByKey]=CountersTable[[#This Row],[GroupByKey]])*CountersTable[RecordedValue])),0)</f>
        <v>5.7551908936387353</v>
      </c>
      <c r="L32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4.1170155509439503</v>
      </c>
      <c r="N32" cm="1">
        <f t="array" ref="N32">MIN(IF((CountersTable[GroupByKey]=CountersTable[[#This Row],[GroupByKey]]),(CountersTable[GroupByKey]=CountersTable[[#This Row],[GroupByKey]])*CountersTable[RecordedValue]))</f>
        <v>6541</v>
      </c>
      <c r="O32" cm="1">
        <f t="array" ref="O32">MAX(IF((CountersTable[GroupByKey]=CountersTable[[#This Row],[GroupByKey]]),(CountersTable[GroupByKey]=CountersTable[[#This Row],[GroupByKey]])*CountersTable[RecordedValue]))</f>
        <v>6559</v>
      </c>
    </row>
    <row r="33" spans="1:15" x14ac:dyDescent="0.25">
      <c r="A33" t="s">
        <v>67</v>
      </c>
      <c r="B33" t="s">
        <v>243</v>
      </c>
      <c r="C33">
        <v>5</v>
      </c>
      <c r="D33" t="s">
        <v>146</v>
      </c>
      <c r="E33" t="s">
        <v>142</v>
      </c>
      <c r="F33" t="s">
        <v>143</v>
      </c>
      <c r="G33">
        <v>8237</v>
      </c>
      <c r="H33" t="str">
        <f>CountersTable[[#This Row],[ProjectName]]&amp;CountersTable[[#This Row],[Name]]&amp;CountersTable[[#This Row],[Type]]&amp;CountersTable[[#This Row],[Source]]</f>
        <v>Unnamed ProjectLabel 2CountUser Specified</v>
      </c>
      <c r="I33" cm="1">
        <f t="array" ref="I33">MAX(IF((ProjectInfoTable[ProjectName]=CountersTable[[#This Row],[ProjectName]]),(ProjectInfoTable[ProjectName]=CountersTable[[#This Row],[ProjectName]])*ProjectInfoTable[NumberOfReplications]))</f>
        <v>10</v>
      </c>
      <c r="J33" cm="1">
        <f t="array" ref="J33">IFERROR(AVERAGE(IF((CountersTable[GroupByKey]=CountersTable[[#This Row],[GroupByKey]]),(CountersTable[GroupByKey]=CountersTable[[#This Row],[GroupByKey]])*CountersTable[RecordedValue])),0)</f>
        <v>8227.7000000000007</v>
      </c>
      <c r="K33" cm="1">
        <f t="array" ref="K33">IFERROR(_xlfn.STDEV.S(IF((CountersTable[GroupByKey]=CountersTable[[#This Row],[GroupByKey]]),(CountersTable[GroupByKey]=CountersTable[[#This Row],[GroupByKey]])*CountersTable[RecordedValue])),0)</f>
        <v>6.2902040242480748</v>
      </c>
      <c r="L33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4.4997408887103267</v>
      </c>
      <c r="N33" cm="1">
        <f t="array" ref="N33">MIN(IF((CountersTable[GroupByKey]=CountersTable[[#This Row],[GroupByKey]]),(CountersTable[GroupByKey]=CountersTable[[#This Row],[GroupByKey]])*CountersTable[RecordedValue]))</f>
        <v>8216</v>
      </c>
      <c r="O33" cm="1">
        <f t="array" ref="O33">MAX(IF((CountersTable[GroupByKey]=CountersTable[[#This Row],[GroupByKey]]),(CountersTable[GroupByKey]=CountersTable[[#This Row],[GroupByKey]])*CountersTable[RecordedValue]))</f>
        <v>8237</v>
      </c>
    </row>
    <row r="34" spans="1:15" x14ac:dyDescent="0.25">
      <c r="A34" t="s">
        <v>67</v>
      </c>
      <c r="B34" t="s">
        <v>243</v>
      </c>
      <c r="C34">
        <v>5</v>
      </c>
      <c r="D34" t="s">
        <v>147</v>
      </c>
      <c r="E34" t="s">
        <v>142</v>
      </c>
      <c r="F34" t="s">
        <v>143</v>
      </c>
      <c r="G34">
        <v>9200</v>
      </c>
      <c r="H34" t="str">
        <f>CountersTable[[#This Row],[ProjectName]]&amp;CountersTable[[#This Row],[Name]]&amp;CountersTable[[#This Row],[Type]]&amp;CountersTable[[#This Row],[Source]]</f>
        <v>Unnamed ProjectLabel 3CountUser Specified</v>
      </c>
      <c r="I34" cm="1">
        <f t="array" ref="I34">MAX(IF((ProjectInfoTable[ProjectName]=CountersTable[[#This Row],[ProjectName]]),(ProjectInfoTable[ProjectName]=CountersTable[[#This Row],[ProjectName]])*ProjectInfoTable[NumberOfReplications]))</f>
        <v>10</v>
      </c>
      <c r="J34" cm="1">
        <f t="array" ref="J34">IFERROR(AVERAGE(IF((CountersTable[GroupByKey]=CountersTable[[#This Row],[GroupByKey]]),(CountersTable[GroupByKey]=CountersTable[[#This Row],[GroupByKey]])*CountersTable[RecordedValue])),0)</f>
        <v>9194.4</v>
      </c>
      <c r="K34" cm="1">
        <f t="array" ref="K34">IFERROR(_xlfn.STDEV.S(IF((CountersTable[GroupByKey]=CountersTable[[#This Row],[GroupByKey]]),(CountersTable[GroupByKey]=CountersTable[[#This Row],[GroupByKey]])*CountersTable[RecordedValue])),0)</f>
        <v>6.0221812216726489</v>
      </c>
      <c r="L34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4.3080089259303831</v>
      </c>
      <c r="N34" cm="1">
        <f t="array" ref="N34">MIN(IF((CountersTable[GroupByKey]=CountersTable[[#This Row],[GroupByKey]]),(CountersTable[GroupByKey]=CountersTable[[#This Row],[GroupByKey]])*CountersTable[RecordedValue]))</f>
        <v>9188</v>
      </c>
      <c r="O34" cm="1">
        <f t="array" ref="O34">MAX(IF((CountersTable[GroupByKey]=CountersTable[[#This Row],[GroupByKey]]),(CountersTable[GroupByKey]=CountersTable[[#This Row],[GroupByKey]])*CountersTable[RecordedValue]))</f>
        <v>9202</v>
      </c>
    </row>
    <row r="35" spans="1:15" x14ac:dyDescent="0.25">
      <c r="A35" t="s">
        <v>67</v>
      </c>
      <c r="B35" t="s">
        <v>243</v>
      </c>
      <c r="C35">
        <v>5</v>
      </c>
      <c r="D35" t="s">
        <v>148</v>
      </c>
      <c r="E35" t="s">
        <v>142</v>
      </c>
      <c r="F35" t="s">
        <v>143</v>
      </c>
      <c r="G35">
        <v>116</v>
      </c>
      <c r="H35" t="str">
        <f>CountersTable[[#This Row],[ProjectName]]&amp;CountersTable[[#This Row],[Name]]&amp;CountersTable[[#This Row],[Type]]&amp;CountersTable[[#This Row],[Source]]</f>
        <v>Unnamed ProjectSatisfied customerCountUser Specified</v>
      </c>
      <c r="I35" cm="1">
        <f t="array" ref="I35">MAX(IF((ProjectInfoTable[ProjectName]=CountersTable[[#This Row],[ProjectName]]),(ProjectInfoTable[ProjectName]=CountersTable[[#This Row],[ProjectName]])*ProjectInfoTable[NumberOfReplications]))</f>
        <v>10</v>
      </c>
      <c r="J35" cm="1">
        <f t="array" ref="J35">IFERROR(AVERAGE(IF((CountersTable[GroupByKey]=CountersTable[[#This Row],[GroupByKey]]),(CountersTable[GroupByKey]=CountersTable[[#This Row],[GroupByKey]])*CountersTable[RecordedValue])),0)</f>
        <v>118.7</v>
      </c>
      <c r="K35" cm="1">
        <f t="array" ref="K35">IFERROR(_xlfn.STDEV.S(IF((CountersTable[GroupByKey]=CountersTable[[#This Row],[GroupByKey]]),(CountersTable[GroupByKey]=CountersTable[[#This Row],[GroupByKey]])*CountersTable[RecordedValue])),0)</f>
        <v>12.587913073879887</v>
      </c>
      <c r="L3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9.0048505491583946</v>
      </c>
      <c r="N35" cm="1">
        <f t="array" ref="N35">MIN(IF((CountersTable[GroupByKey]=CountersTable[[#This Row],[GroupByKey]]),(CountersTable[GroupByKey]=CountersTable[[#This Row],[GroupByKey]])*CountersTable[RecordedValue]))</f>
        <v>95</v>
      </c>
      <c r="O35" cm="1">
        <f t="array" ref="O35">MAX(IF((CountersTable[GroupByKey]=CountersTable[[#This Row],[GroupByKey]]),(CountersTable[GroupByKey]=CountersTable[[#This Row],[GroupByKey]])*CountersTable[RecordedValue]))</f>
        <v>141</v>
      </c>
    </row>
    <row r="36" spans="1:15" x14ac:dyDescent="0.25">
      <c r="A36" t="s">
        <v>67</v>
      </c>
      <c r="B36" t="s">
        <v>243</v>
      </c>
      <c r="C36">
        <v>5</v>
      </c>
      <c r="D36" t="s">
        <v>149</v>
      </c>
      <c r="E36" t="s">
        <v>142</v>
      </c>
      <c r="F36" t="s">
        <v>143</v>
      </c>
      <c r="G36">
        <v>135</v>
      </c>
      <c r="H36" t="str">
        <f>CountersTable[[#This Row],[ProjectName]]&amp;CountersTable[[#This Row],[Name]]&amp;CountersTable[[#This Row],[Type]]&amp;CountersTable[[#This Row],[Source]]</f>
        <v>Unnamed ProjectScrapCountUser Specified</v>
      </c>
      <c r="I36" cm="1">
        <f t="array" ref="I36">MAX(IF((ProjectInfoTable[ProjectName]=CountersTable[[#This Row],[ProjectName]]),(ProjectInfoTable[ProjectName]=CountersTable[[#This Row],[ProjectName]])*ProjectInfoTable[NumberOfReplications]))</f>
        <v>10</v>
      </c>
      <c r="J36" cm="1">
        <f t="array" ref="J36">IFERROR(AVERAGE(IF((CountersTable[GroupByKey]=CountersTable[[#This Row],[GroupByKey]]),(CountersTable[GroupByKey]=CountersTable[[#This Row],[GroupByKey]])*CountersTable[RecordedValue])),0)</f>
        <v>129.69999999999999</v>
      </c>
      <c r="K36" cm="1">
        <f t="array" ref="K36">IFERROR(_xlfn.STDEV.S(IF((CountersTable[GroupByKey]=CountersTable[[#This Row],[GroupByKey]]),(CountersTable[GroupByKey]=CountersTable[[#This Row],[GroupByKey]])*CountersTable[RecordedValue])),0)</f>
        <v>14.461058820923967</v>
      </c>
      <c r="L36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10.344818295195957</v>
      </c>
      <c r="N36" cm="1">
        <f t="array" ref="N36">MIN(IF((CountersTable[GroupByKey]=CountersTable[[#This Row],[GroupByKey]]),(CountersTable[GroupByKey]=CountersTable[[#This Row],[GroupByKey]])*CountersTable[RecordedValue]))</f>
        <v>105</v>
      </c>
      <c r="O36" cm="1">
        <f t="array" ref="O36">MAX(IF((CountersTable[GroupByKey]=CountersTable[[#This Row],[GroupByKey]]),(CountersTable[GroupByKey]=CountersTable[[#This Row],[GroupByKey]])*CountersTable[RecordedValue]))</f>
        <v>153</v>
      </c>
    </row>
    <row r="37" spans="1:15" x14ac:dyDescent="0.25">
      <c r="A37" t="s">
        <v>67</v>
      </c>
      <c r="B37" t="s">
        <v>243</v>
      </c>
      <c r="C37">
        <v>6</v>
      </c>
      <c r="D37" t="s">
        <v>141</v>
      </c>
      <c r="E37" t="s">
        <v>142</v>
      </c>
      <c r="F37" t="s">
        <v>143</v>
      </c>
      <c r="G37">
        <v>1288</v>
      </c>
      <c r="H37" t="str">
        <f>CountersTable[[#This Row],[ProjectName]]&amp;CountersTable[[#This Row],[Name]]&amp;CountersTable[[#This Row],[Type]]&amp;CountersTable[[#This Row],[Source]]</f>
        <v>Unnamed ProjectBoxCountUser Specified</v>
      </c>
      <c r="I37" cm="1">
        <f t="array" ref="I37">MAX(IF((ProjectInfoTable[ProjectName]=CountersTable[[#This Row],[ProjectName]]),(ProjectInfoTable[ProjectName]=CountersTable[[#This Row],[ProjectName]])*ProjectInfoTable[NumberOfReplications]))</f>
        <v>10</v>
      </c>
      <c r="J37" cm="1">
        <f t="array" ref="J37">IFERROR(AVERAGE(IF((CountersTable[GroupByKey]=CountersTable[[#This Row],[GroupByKey]]),(CountersTable[GroupByKey]=CountersTable[[#This Row],[GroupByKey]])*CountersTable[RecordedValue])),0)</f>
        <v>1283.0999999999999</v>
      </c>
      <c r="K37" cm="1">
        <f t="array" ref="K37">IFERROR(_xlfn.STDEV.S(IF((CountersTable[GroupByKey]=CountersTable[[#This Row],[GroupByKey]]),(CountersTable[GroupByKey]=CountersTable[[#This Row],[GroupByKey]])*CountersTable[RecordedValue])),0)</f>
        <v>3.2128215360057308</v>
      </c>
      <c r="L37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2.2983140734329779</v>
      </c>
      <c r="N37" cm="1">
        <f t="array" ref="N37">MIN(IF((CountersTable[GroupByKey]=CountersTable[[#This Row],[GroupByKey]]),(CountersTable[GroupByKey]=CountersTable[[#This Row],[GroupByKey]])*CountersTable[RecordedValue]))</f>
        <v>1277</v>
      </c>
      <c r="O37" cm="1">
        <f t="array" ref="O37">MAX(IF((CountersTable[GroupByKey]=CountersTable[[#This Row],[GroupByKey]]),(CountersTable[GroupByKey]=CountersTable[[#This Row],[GroupByKey]])*CountersTable[RecordedValue]))</f>
        <v>1288</v>
      </c>
    </row>
    <row r="38" spans="1:15" x14ac:dyDescent="0.25">
      <c r="A38" t="s">
        <v>67</v>
      </c>
      <c r="B38" t="s">
        <v>243</v>
      </c>
      <c r="C38">
        <v>6</v>
      </c>
      <c r="D38" t="s">
        <v>144</v>
      </c>
      <c r="E38" t="s">
        <v>142</v>
      </c>
      <c r="F38" t="s">
        <v>143</v>
      </c>
      <c r="G38">
        <v>1012</v>
      </c>
      <c r="H38" t="str">
        <f>CountersTable[[#This Row],[ProjectName]]&amp;CountersTable[[#This Row],[Name]]&amp;CountersTable[[#This Row],[Type]]&amp;CountersTable[[#This Row],[Source]]</f>
        <v>Unnamed ProjectDissatisfied CustomerCountUser Specified</v>
      </c>
      <c r="I38" cm="1">
        <f t="array" ref="I38">MAX(IF((ProjectInfoTable[ProjectName]=CountersTable[[#This Row],[ProjectName]]),(ProjectInfoTable[ProjectName]=CountersTable[[#This Row],[ProjectName]])*ProjectInfoTable[NumberOfReplications]))</f>
        <v>10</v>
      </c>
      <c r="J38" cm="1">
        <f t="array" ref="J38">IFERROR(AVERAGE(IF((CountersTable[GroupByKey]=CountersTable[[#This Row],[GroupByKey]]),(CountersTable[GroupByKey]=CountersTable[[#This Row],[GroupByKey]])*CountersTable[RecordedValue])),0)</f>
        <v>971.6</v>
      </c>
      <c r="K38" cm="1">
        <f t="array" ref="K38">IFERROR(_xlfn.STDEV.S(IF((CountersTable[GroupByKey]=CountersTable[[#This Row],[GroupByKey]]),(CountersTable[GroupByKey]=CountersTable[[#This Row],[GroupByKey]])*CountersTable[RecordedValue])),0)</f>
        <v>31.116983572747966</v>
      </c>
      <c r="L38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22.259749091740982</v>
      </c>
      <c r="N38" cm="1">
        <f t="array" ref="N38">MIN(IF((CountersTable[GroupByKey]=CountersTable[[#This Row],[GroupByKey]]),(CountersTable[GroupByKey]=CountersTable[[#This Row],[GroupByKey]])*CountersTable[RecordedValue]))</f>
        <v>924</v>
      </c>
      <c r="O38" cm="1">
        <f t="array" ref="O38">MAX(IF((CountersTable[GroupByKey]=CountersTable[[#This Row],[GroupByKey]]),(CountersTable[GroupByKey]=CountersTable[[#This Row],[GroupByKey]])*CountersTable[RecordedValue]))</f>
        <v>1012</v>
      </c>
    </row>
    <row r="39" spans="1:15" x14ac:dyDescent="0.25">
      <c r="A39" t="s">
        <v>67</v>
      </c>
      <c r="B39" t="s">
        <v>243</v>
      </c>
      <c r="C39">
        <v>6</v>
      </c>
      <c r="D39" t="s">
        <v>145</v>
      </c>
      <c r="E39" t="s">
        <v>142</v>
      </c>
      <c r="F39" t="s">
        <v>143</v>
      </c>
      <c r="G39">
        <v>6551</v>
      </c>
      <c r="H39" t="str">
        <f>CountersTable[[#This Row],[ProjectName]]&amp;CountersTable[[#This Row],[Name]]&amp;CountersTable[[#This Row],[Type]]&amp;CountersTable[[#This Row],[Source]]</f>
        <v>Unnamed ProjectLabel 1CountUser Specified</v>
      </c>
      <c r="I39" cm="1">
        <f t="array" ref="I39">MAX(IF((ProjectInfoTable[ProjectName]=CountersTable[[#This Row],[ProjectName]]),(ProjectInfoTable[ProjectName]=CountersTable[[#This Row],[ProjectName]])*ProjectInfoTable[NumberOfReplications]))</f>
        <v>10</v>
      </c>
      <c r="J39" cm="1">
        <f t="array" ref="J39">IFERROR(AVERAGE(IF((CountersTable[GroupByKey]=CountersTable[[#This Row],[GroupByKey]]),(CountersTable[GroupByKey]=CountersTable[[#This Row],[GroupByKey]])*CountersTable[RecordedValue])),0)</f>
        <v>6549.7</v>
      </c>
      <c r="K39" cm="1">
        <f t="array" ref="K39">IFERROR(_xlfn.STDEV.S(IF((CountersTable[GroupByKey]=CountersTable[[#This Row],[GroupByKey]]),(CountersTable[GroupByKey]=CountersTable[[#This Row],[GroupByKey]])*CountersTable[RecordedValue])),0)</f>
        <v>5.7551908936387353</v>
      </c>
      <c r="L39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4.1170155509439503</v>
      </c>
      <c r="N39" cm="1">
        <f t="array" ref="N39">MIN(IF((CountersTable[GroupByKey]=CountersTable[[#This Row],[GroupByKey]]),(CountersTable[GroupByKey]=CountersTable[[#This Row],[GroupByKey]])*CountersTable[RecordedValue]))</f>
        <v>6541</v>
      </c>
      <c r="O39" cm="1">
        <f t="array" ref="O39">MAX(IF((CountersTable[GroupByKey]=CountersTable[[#This Row],[GroupByKey]]),(CountersTable[GroupByKey]=CountersTable[[#This Row],[GroupByKey]])*CountersTable[RecordedValue]))</f>
        <v>6559</v>
      </c>
    </row>
    <row r="40" spans="1:15" x14ac:dyDescent="0.25">
      <c r="A40" t="s">
        <v>67</v>
      </c>
      <c r="B40" t="s">
        <v>243</v>
      </c>
      <c r="C40">
        <v>6</v>
      </c>
      <c r="D40" t="s">
        <v>146</v>
      </c>
      <c r="E40" t="s">
        <v>142</v>
      </c>
      <c r="F40" t="s">
        <v>143</v>
      </c>
      <c r="G40">
        <v>8216</v>
      </c>
      <c r="H40" t="str">
        <f>CountersTable[[#This Row],[ProjectName]]&amp;CountersTable[[#This Row],[Name]]&amp;CountersTable[[#This Row],[Type]]&amp;CountersTable[[#This Row],[Source]]</f>
        <v>Unnamed ProjectLabel 2CountUser Specified</v>
      </c>
      <c r="I40" cm="1">
        <f t="array" ref="I40">MAX(IF((ProjectInfoTable[ProjectName]=CountersTable[[#This Row],[ProjectName]]),(ProjectInfoTable[ProjectName]=CountersTable[[#This Row],[ProjectName]])*ProjectInfoTable[NumberOfReplications]))</f>
        <v>10</v>
      </c>
      <c r="J40" cm="1">
        <f t="array" ref="J40">IFERROR(AVERAGE(IF((CountersTable[GroupByKey]=CountersTable[[#This Row],[GroupByKey]]),(CountersTable[GroupByKey]=CountersTable[[#This Row],[GroupByKey]])*CountersTable[RecordedValue])),0)</f>
        <v>8227.7000000000007</v>
      </c>
      <c r="K40" cm="1">
        <f t="array" ref="K40">IFERROR(_xlfn.STDEV.S(IF((CountersTable[GroupByKey]=CountersTable[[#This Row],[GroupByKey]]),(CountersTable[GroupByKey]=CountersTable[[#This Row],[GroupByKey]])*CountersTable[RecordedValue])),0)</f>
        <v>6.2902040242480748</v>
      </c>
      <c r="L40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4.4997408887103267</v>
      </c>
      <c r="N40" cm="1">
        <f t="array" ref="N40">MIN(IF((CountersTable[GroupByKey]=CountersTable[[#This Row],[GroupByKey]]),(CountersTable[GroupByKey]=CountersTable[[#This Row],[GroupByKey]])*CountersTable[RecordedValue]))</f>
        <v>8216</v>
      </c>
      <c r="O40" cm="1">
        <f t="array" ref="O40">MAX(IF((CountersTable[GroupByKey]=CountersTable[[#This Row],[GroupByKey]]),(CountersTable[GroupByKey]=CountersTable[[#This Row],[GroupByKey]])*CountersTable[RecordedValue]))</f>
        <v>8237</v>
      </c>
    </row>
    <row r="41" spans="1:15" x14ac:dyDescent="0.25">
      <c r="A41" t="s">
        <v>67</v>
      </c>
      <c r="B41" t="s">
        <v>243</v>
      </c>
      <c r="C41">
        <v>6</v>
      </c>
      <c r="D41" t="s">
        <v>147</v>
      </c>
      <c r="E41" t="s">
        <v>142</v>
      </c>
      <c r="F41" t="s">
        <v>143</v>
      </c>
      <c r="G41">
        <v>9188</v>
      </c>
      <c r="H41" t="str">
        <f>CountersTable[[#This Row],[ProjectName]]&amp;CountersTable[[#This Row],[Name]]&amp;CountersTable[[#This Row],[Type]]&amp;CountersTable[[#This Row],[Source]]</f>
        <v>Unnamed ProjectLabel 3CountUser Specified</v>
      </c>
      <c r="I41" cm="1">
        <f t="array" ref="I41">MAX(IF((ProjectInfoTable[ProjectName]=CountersTable[[#This Row],[ProjectName]]),(ProjectInfoTable[ProjectName]=CountersTable[[#This Row],[ProjectName]])*ProjectInfoTable[NumberOfReplications]))</f>
        <v>10</v>
      </c>
      <c r="J41" cm="1">
        <f t="array" ref="J41">IFERROR(AVERAGE(IF((CountersTable[GroupByKey]=CountersTable[[#This Row],[GroupByKey]]),(CountersTable[GroupByKey]=CountersTable[[#This Row],[GroupByKey]])*CountersTable[RecordedValue])),0)</f>
        <v>9194.4</v>
      </c>
      <c r="K41" cm="1">
        <f t="array" ref="K41">IFERROR(_xlfn.STDEV.S(IF((CountersTable[GroupByKey]=CountersTable[[#This Row],[GroupByKey]]),(CountersTable[GroupByKey]=CountersTable[[#This Row],[GroupByKey]])*CountersTable[RecordedValue])),0)</f>
        <v>6.0221812216726489</v>
      </c>
      <c r="L41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4.3080089259303831</v>
      </c>
      <c r="N41" cm="1">
        <f t="array" ref="N41">MIN(IF((CountersTable[GroupByKey]=CountersTable[[#This Row],[GroupByKey]]),(CountersTable[GroupByKey]=CountersTable[[#This Row],[GroupByKey]])*CountersTable[RecordedValue]))</f>
        <v>9188</v>
      </c>
      <c r="O41" cm="1">
        <f t="array" ref="O41">MAX(IF((CountersTable[GroupByKey]=CountersTable[[#This Row],[GroupByKey]]),(CountersTable[GroupByKey]=CountersTable[[#This Row],[GroupByKey]])*CountersTable[RecordedValue]))</f>
        <v>9202</v>
      </c>
    </row>
    <row r="42" spans="1:15" x14ac:dyDescent="0.25">
      <c r="A42" t="s">
        <v>67</v>
      </c>
      <c r="B42" t="s">
        <v>243</v>
      </c>
      <c r="C42">
        <v>6</v>
      </c>
      <c r="D42" t="s">
        <v>148</v>
      </c>
      <c r="E42" t="s">
        <v>142</v>
      </c>
      <c r="F42" t="s">
        <v>143</v>
      </c>
      <c r="G42">
        <v>129</v>
      </c>
      <c r="H42" t="str">
        <f>CountersTable[[#This Row],[ProjectName]]&amp;CountersTable[[#This Row],[Name]]&amp;CountersTable[[#This Row],[Type]]&amp;CountersTable[[#This Row],[Source]]</f>
        <v>Unnamed ProjectSatisfied customerCountUser Specified</v>
      </c>
      <c r="I42" cm="1">
        <f t="array" ref="I42">MAX(IF((ProjectInfoTable[ProjectName]=CountersTable[[#This Row],[ProjectName]]),(ProjectInfoTable[ProjectName]=CountersTable[[#This Row],[ProjectName]])*ProjectInfoTable[NumberOfReplications]))</f>
        <v>10</v>
      </c>
      <c r="J42" cm="1">
        <f t="array" ref="J42">IFERROR(AVERAGE(IF((CountersTable[GroupByKey]=CountersTable[[#This Row],[GroupByKey]]),(CountersTable[GroupByKey]=CountersTable[[#This Row],[GroupByKey]])*CountersTable[RecordedValue])),0)</f>
        <v>118.7</v>
      </c>
      <c r="K42" cm="1">
        <f t="array" ref="K42">IFERROR(_xlfn.STDEV.S(IF((CountersTable[GroupByKey]=CountersTable[[#This Row],[GroupByKey]]),(CountersTable[GroupByKey]=CountersTable[[#This Row],[GroupByKey]])*CountersTable[RecordedValue])),0)</f>
        <v>12.587913073879887</v>
      </c>
      <c r="L42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9.0048505491583946</v>
      </c>
      <c r="N42" cm="1">
        <f t="array" ref="N42">MIN(IF((CountersTable[GroupByKey]=CountersTable[[#This Row],[GroupByKey]]),(CountersTable[GroupByKey]=CountersTable[[#This Row],[GroupByKey]])*CountersTable[RecordedValue]))</f>
        <v>95</v>
      </c>
      <c r="O42" cm="1">
        <f t="array" ref="O42">MAX(IF((CountersTable[GroupByKey]=CountersTable[[#This Row],[GroupByKey]]),(CountersTable[GroupByKey]=CountersTable[[#This Row],[GroupByKey]])*CountersTable[RecordedValue]))</f>
        <v>141</v>
      </c>
    </row>
    <row r="43" spans="1:15" x14ac:dyDescent="0.25">
      <c r="A43" t="s">
        <v>67</v>
      </c>
      <c r="B43" t="s">
        <v>243</v>
      </c>
      <c r="C43">
        <v>6</v>
      </c>
      <c r="D43" t="s">
        <v>149</v>
      </c>
      <c r="E43" t="s">
        <v>142</v>
      </c>
      <c r="F43" t="s">
        <v>143</v>
      </c>
      <c r="G43">
        <v>105</v>
      </c>
      <c r="H43" t="str">
        <f>CountersTable[[#This Row],[ProjectName]]&amp;CountersTable[[#This Row],[Name]]&amp;CountersTable[[#This Row],[Type]]&amp;CountersTable[[#This Row],[Source]]</f>
        <v>Unnamed ProjectScrapCountUser Specified</v>
      </c>
      <c r="I43" cm="1">
        <f t="array" ref="I43">MAX(IF((ProjectInfoTable[ProjectName]=CountersTable[[#This Row],[ProjectName]]),(ProjectInfoTable[ProjectName]=CountersTable[[#This Row],[ProjectName]])*ProjectInfoTable[NumberOfReplications]))</f>
        <v>10</v>
      </c>
      <c r="J43" cm="1">
        <f t="array" ref="J43">IFERROR(AVERAGE(IF((CountersTable[GroupByKey]=CountersTable[[#This Row],[GroupByKey]]),(CountersTable[GroupByKey]=CountersTable[[#This Row],[GroupByKey]])*CountersTable[RecordedValue])),0)</f>
        <v>129.69999999999999</v>
      </c>
      <c r="K43" cm="1">
        <f t="array" ref="K43">IFERROR(_xlfn.STDEV.S(IF((CountersTable[GroupByKey]=CountersTable[[#This Row],[GroupByKey]]),(CountersTable[GroupByKey]=CountersTable[[#This Row],[GroupByKey]])*CountersTable[RecordedValue])),0)</f>
        <v>14.461058820923967</v>
      </c>
      <c r="L43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10.344818295195957</v>
      </c>
      <c r="N43" cm="1">
        <f t="array" ref="N43">MIN(IF((CountersTable[GroupByKey]=CountersTable[[#This Row],[GroupByKey]]),(CountersTable[GroupByKey]=CountersTable[[#This Row],[GroupByKey]])*CountersTable[RecordedValue]))</f>
        <v>105</v>
      </c>
      <c r="O43" cm="1">
        <f t="array" ref="O43">MAX(IF((CountersTable[GroupByKey]=CountersTable[[#This Row],[GroupByKey]]),(CountersTable[GroupByKey]=CountersTable[[#This Row],[GroupByKey]])*CountersTable[RecordedValue]))</f>
        <v>153</v>
      </c>
    </row>
    <row r="44" spans="1:15" x14ac:dyDescent="0.25">
      <c r="A44" t="s">
        <v>67</v>
      </c>
      <c r="B44" t="s">
        <v>243</v>
      </c>
      <c r="C44">
        <v>7</v>
      </c>
      <c r="D44" t="s">
        <v>141</v>
      </c>
      <c r="E44" t="s">
        <v>142</v>
      </c>
      <c r="F44" t="s">
        <v>143</v>
      </c>
      <c r="G44">
        <v>1281</v>
      </c>
      <c r="H44" t="str">
        <f>CountersTable[[#This Row],[ProjectName]]&amp;CountersTable[[#This Row],[Name]]&amp;CountersTable[[#This Row],[Type]]&amp;CountersTable[[#This Row],[Source]]</f>
        <v>Unnamed ProjectBoxCountUser Specified</v>
      </c>
      <c r="I44" cm="1">
        <f t="array" ref="I44">MAX(IF((ProjectInfoTable[ProjectName]=CountersTable[[#This Row],[ProjectName]]),(ProjectInfoTable[ProjectName]=CountersTable[[#This Row],[ProjectName]])*ProjectInfoTable[NumberOfReplications]))</f>
        <v>10</v>
      </c>
      <c r="J44" cm="1">
        <f t="array" ref="J44">IFERROR(AVERAGE(IF((CountersTable[GroupByKey]=CountersTable[[#This Row],[GroupByKey]]),(CountersTable[GroupByKey]=CountersTable[[#This Row],[GroupByKey]])*CountersTable[RecordedValue])),0)</f>
        <v>1283.0999999999999</v>
      </c>
      <c r="K44" cm="1">
        <f t="array" ref="K44">IFERROR(_xlfn.STDEV.S(IF((CountersTable[GroupByKey]=CountersTable[[#This Row],[GroupByKey]]),(CountersTable[GroupByKey]=CountersTable[[#This Row],[GroupByKey]])*CountersTable[RecordedValue])),0)</f>
        <v>3.2128215360057308</v>
      </c>
      <c r="L44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2.2983140734329779</v>
      </c>
      <c r="N44" cm="1">
        <f t="array" ref="N44">MIN(IF((CountersTable[GroupByKey]=CountersTable[[#This Row],[GroupByKey]]),(CountersTable[GroupByKey]=CountersTable[[#This Row],[GroupByKey]])*CountersTable[RecordedValue]))</f>
        <v>1277</v>
      </c>
      <c r="O44" cm="1">
        <f t="array" ref="O44">MAX(IF((CountersTable[GroupByKey]=CountersTable[[#This Row],[GroupByKey]]),(CountersTable[GroupByKey]=CountersTable[[#This Row],[GroupByKey]])*CountersTable[RecordedValue]))</f>
        <v>1288</v>
      </c>
    </row>
    <row r="45" spans="1:15" x14ac:dyDescent="0.25">
      <c r="A45" t="s">
        <v>67</v>
      </c>
      <c r="B45" t="s">
        <v>243</v>
      </c>
      <c r="C45">
        <v>7</v>
      </c>
      <c r="D45" t="s">
        <v>144</v>
      </c>
      <c r="E45" t="s">
        <v>142</v>
      </c>
      <c r="F45" t="s">
        <v>143</v>
      </c>
      <c r="G45">
        <v>980</v>
      </c>
      <c r="H45" t="str">
        <f>CountersTable[[#This Row],[ProjectName]]&amp;CountersTable[[#This Row],[Name]]&amp;CountersTable[[#This Row],[Type]]&amp;CountersTable[[#This Row],[Source]]</f>
        <v>Unnamed ProjectDissatisfied CustomerCountUser Specified</v>
      </c>
      <c r="I45" cm="1">
        <f t="array" ref="I45">MAX(IF((ProjectInfoTable[ProjectName]=CountersTable[[#This Row],[ProjectName]]),(ProjectInfoTable[ProjectName]=CountersTable[[#This Row],[ProjectName]])*ProjectInfoTable[NumberOfReplications]))</f>
        <v>10</v>
      </c>
      <c r="J45" cm="1">
        <f t="array" ref="J45">IFERROR(AVERAGE(IF((CountersTable[GroupByKey]=CountersTable[[#This Row],[GroupByKey]]),(CountersTable[GroupByKey]=CountersTable[[#This Row],[GroupByKey]])*CountersTable[RecordedValue])),0)</f>
        <v>971.6</v>
      </c>
      <c r="K45" cm="1">
        <f t="array" ref="K45">IFERROR(_xlfn.STDEV.S(IF((CountersTable[GroupByKey]=CountersTable[[#This Row],[GroupByKey]]),(CountersTable[GroupByKey]=CountersTable[[#This Row],[GroupByKey]])*CountersTable[RecordedValue])),0)</f>
        <v>31.116983572747966</v>
      </c>
      <c r="L4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22.259749091740982</v>
      </c>
      <c r="N45" cm="1">
        <f t="array" ref="N45">MIN(IF((CountersTable[GroupByKey]=CountersTable[[#This Row],[GroupByKey]]),(CountersTable[GroupByKey]=CountersTable[[#This Row],[GroupByKey]])*CountersTable[RecordedValue]))</f>
        <v>924</v>
      </c>
      <c r="O45" cm="1">
        <f t="array" ref="O45">MAX(IF((CountersTable[GroupByKey]=CountersTable[[#This Row],[GroupByKey]]),(CountersTable[GroupByKey]=CountersTable[[#This Row],[GroupByKey]])*CountersTable[RecordedValue]))</f>
        <v>1012</v>
      </c>
    </row>
    <row r="46" spans="1:15" x14ac:dyDescent="0.25">
      <c r="A46" t="s">
        <v>67</v>
      </c>
      <c r="B46" t="s">
        <v>243</v>
      </c>
      <c r="C46">
        <v>7</v>
      </c>
      <c r="D46" t="s">
        <v>145</v>
      </c>
      <c r="E46" t="s">
        <v>142</v>
      </c>
      <c r="F46" t="s">
        <v>143</v>
      </c>
      <c r="G46">
        <v>6555</v>
      </c>
      <c r="H46" t="str">
        <f>CountersTable[[#This Row],[ProjectName]]&amp;CountersTable[[#This Row],[Name]]&amp;CountersTable[[#This Row],[Type]]&amp;CountersTable[[#This Row],[Source]]</f>
        <v>Unnamed ProjectLabel 1CountUser Specified</v>
      </c>
      <c r="I46" cm="1">
        <f t="array" ref="I46">MAX(IF((ProjectInfoTable[ProjectName]=CountersTable[[#This Row],[ProjectName]]),(ProjectInfoTable[ProjectName]=CountersTable[[#This Row],[ProjectName]])*ProjectInfoTable[NumberOfReplications]))</f>
        <v>10</v>
      </c>
      <c r="J46" cm="1">
        <f t="array" ref="J46">IFERROR(AVERAGE(IF((CountersTable[GroupByKey]=CountersTable[[#This Row],[GroupByKey]]),(CountersTable[GroupByKey]=CountersTable[[#This Row],[GroupByKey]])*CountersTable[RecordedValue])),0)</f>
        <v>6549.7</v>
      </c>
      <c r="K46" cm="1">
        <f t="array" ref="K46">IFERROR(_xlfn.STDEV.S(IF((CountersTable[GroupByKey]=CountersTable[[#This Row],[GroupByKey]]),(CountersTable[GroupByKey]=CountersTable[[#This Row],[GroupByKey]])*CountersTable[RecordedValue])),0)</f>
        <v>5.7551908936387353</v>
      </c>
      <c r="L46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4.1170155509439503</v>
      </c>
      <c r="N46" cm="1">
        <f t="array" ref="N46">MIN(IF((CountersTable[GroupByKey]=CountersTable[[#This Row],[GroupByKey]]),(CountersTable[GroupByKey]=CountersTable[[#This Row],[GroupByKey]])*CountersTable[RecordedValue]))</f>
        <v>6541</v>
      </c>
      <c r="O46" cm="1">
        <f t="array" ref="O46">MAX(IF((CountersTable[GroupByKey]=CountersTable[[#This Row],[GroupByKey]]),(CountersTable[GroupByKey]=CountersTable[[#This Row],[GroupByKey]])*CountersTable[RecordedValue]))</f>
        <v>6559</v>
      </c>
    </row>
    <row r="47" spans="1:15" x14ac:dyDescent="0.25">
      <c r="A47" t="s">
        <v>67</v>
      </c>
      <c r="B47" t="s">
        <v>243</v>
      </c>
      <c r="C47">
        <v>7</v>
      </c>
      <c r="D47" t="s">
        <v>146</v>
      </c>
      <c r="E47" t="s">
        <v>142</v>
      </c>
      <c r="F47" t="s">
        <v>143</v>
      </c>
      <c r="G47">
        <v>8230</v>
      </c>
      <c r="H47" t="str">
        <f>CountersTable[[#This Row],[ProjectName]]&amp;CountersTable[[#This Row],[Name]]&amp;CountersTable[[#This Row],[Type]]&amp;CountersTable[[#This Row],[Source]]</f>
        <v>Unnamed ProjectLabel 2CountUser Specified</v>
      </c>
      <c r="I47" cm="1">
        <f t="array" ref="I47">MAX(IF((ProjectInfoTable[ProjectName]=CountersTable[[#This Row],[ProjectName]]),(ProjectInfoTable[ProjectName]=CountersTable[[#This Row],[ProjectName]])*ProjectInfoTable[NumberOfReplications]))</f>
        <v>10</v>
      </c>
      <c r="J47" cm="1">
        <f t="array" ref="J47">IFERROR(AVERAGE(IF((CountersTable[GroupByKey]=CountersTable[[#This Row],[GroupByKey]]),(CountersTable[GroupByKey]=CountersTable[[#This Row],[GroupByKey]])*CountersTable[RecordedValue])),0)</f>
        <v>8227.7000000000007</v>
      </c>
      <c r="K47" cm="1">
        <f t="array" ref="K47">IFERROR(_xlfn.STDEV.S(IF((CountersTable[GroupByKey]=CountersTable[[#This Row],[GroupByKey]]),(CountersTable[GroupByKey]=CountersTable[[#This Row],[GroupByKey]])*CountersTable[RecordedValue])),0)</f>
        <v>6.2902040242480748</v>
      </c>
      <c r="L47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4.4997408887103267</v>
      </c>
      <c r="N47" cm="1">
        <f t="array" ref="N47">MIN(IF((CountersTable[GroupByKey]=CountersTable[[#This Row],[GroupByKey]]),(CountersTable[GroupByKey]=CountersTable[[#This Row],[GroupByKey]])*CountersTable[RecordedValue]))</f>
        <v>8216</v>
      </c>
      <c r="O47" cm="1">
        <f t="array" ref="O47">MAX(IF((CountersTable[GroupByKey]=CountersTable[[#This Row],[GroupByKey]]),(CountersTable[GroupByKey]=CountersTable[[#This Row],[GroupByKey]])*CountersTable[RecordedValue]))</f>
        <v>8237</v>
      </c>
    </row>
    <row r="48" spans="1:15" x14ac:dyDescent="0.25">
      <c r="A48" t="s">
        <v>67</v>
      </c>
      <c r="B48" t="s">
        <v>243</v>
      </c>
      <c r="C48">
        <v>7</v>
      </c>
      <c r="D48" t="s">
        <v>147</v>
      </c>
      <c r="E48" t="s">
        <v>142</v>
      </c>
      <c r="F48" t="s">
        <v>143</v>
      </c>
      <c r="G48">
        <v>9197</v>
      </c>
      <c r="H48" t="str">
        <f>CountersTable[[#This Row],[ProjectName]]&amp;CountersTable[[#This Row],[Name]]&amp;CountersTable[[#This Row],[Type]]&amp;CountersTable[[#This Row],[Source]]</f>
        <v>Unnamed ProjectLabel 3CountUser Specified</v>
      </c>
      <c r="I48" cm="1">
        <f t="array" ref="I48">MAX(IF((ProjectInfoTable[ProjectName]=CountersTable[[#This Row],[ProjectName]]),(ProjectInfoTable[ProjectName]=CountersTable[[#This Row],[ProjectName]])*ProjectInfoTable[NumberOfReplications]))</f>
        <v>10</v>
      </c>
      <c r="J48" cm="1">
        <f t="array" ref="J48">IFERROR(AVERAGE(IF((CountersTable[GroupByKey]=CountersTable[[#This Row],[GroupByKey]]),(CountersTable[GroupByKey]=CountersTable[[#This Row],[GroupByKey]])*CountersTable[RecordedValue])),0)</f>
        <v>9194.4</v>
      </c>
      <c r="K48" cm="1">
        <f t="array" ref="K48">IFERROR(_xlfn.STDEV.S(IF((CountersTable[GroupByKey]=CountersTable[[#This Row],[GroupByKey]]),(CountersTable[GroupByKey]=CountersTable[[#This Row],[GroupByKey]])*CountersTable[RecordedValue])),0)</f>
        <v>6.0221812216726489</v>
      </c>
      <c r="L48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4.3080089259303831</v>
      </c>
      <c r="N48" cm="1">
        <f t="array" ref="N48">MIN(IF((CountersTable[GroupByKey]=CountersTable[[#This Row],[GroupByKey]]),(CountersTable[GroupByKey]=CountersTable[[#This Row],[GroupByKey]])*CountersTable[RecordedValue]))</f>
        <v>9188</v>
      </c>
      <c r="O48" cm="1">
        <f t="array" ref="O48">MAX(IF((CountersTable[GroupByKey]=CountersTable[[#This Row],[GroupByKey]]),(CountersTable[GroupByKey]=CountersTable[[#This Row],[GroupByKey]])*CountersTable[RecordedValue]))</f>
        <v>9202</v>
      </c>
    </row>
    <row r="49" spans="1:15" x14ac:dyDescent="0.25">
      <c r="A49" t="s">
        <v>67</v>
      </c>
      <c r="B49" t="s">
        <v>243</v>
      </c>
      <c r="C49">
        <v>7</v>
      </c>
      <c r="D49" t="s">
        <v>148</v>
      </c>
      <c r="E49" t="s">
        <v>142</v>
      </c>
      <c r="F49" t="s">
        <v>143</v>
      </c>
      <c r="G49">
        <v>141</v>
      </c>
      <c r="H49" t="str">
        <f>CountersTable[[#This Row],[ProjectName]]&amp;CountersTable[[#This Row],[Name]]&amp;CountersTable[[#This Row],[Type]]&amp;CountersTable[[#This Row],[Source]]</f>
        <v>Unnamed ProjectSatisfied customerCountUser Specified</v>
      </c>
      <c r="I49" cm="1">
        <f t="array" ref="I49">MAX(IF((ProjectInfoTable[ProjectName]=CountersTable[[#This Row],[ProjectName]]),(ProjectInfoTable[ProjectName]=CountersTable[[#This Row],[ProjectName]])*ProjectInfoTable[NumberOfReplications]))</f>
        <v>10</v>
      </c>
      <c r="J49" cm="1">
        <f t="array" ref="J49">IFERROR(AVERAGE(IF((CountersTable[GroupByKey]=CountersTable[[#This Row],[GroupByKey]]),(CountersTable[GroupByKey]=CountersTable[[#This Row],[GroupByKey]])*CountersTable[RecordedValue])),0)</f>
        <v>118.7</v>
      </c>
      <c r="K49" cm="1">
        <f t="array" ref="K49">IFERROR(_xlfn.STDEV.S(IF((CountersTable[GroupByKey]=CountersTable[[#This Row],[GroupByKey]]),(CountersTable[GroupByKey]=CountersTable[[#This Row],[GroupByKey]])*CountersTable[RecordedValue])),0)</f>
        <v>12.587913073879887</v>
      </c>
      <c r="L49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9.0048505491583946</v>
      </c>
      <c r="N49" cm="1">
        <f t="array" ref="N49">MIN(IF((CountersTable[GroupByKey]=CountersTable[[#This Row],[GroupByKey]]),(CountersTable[GroupByKey]=CountersTable[[#This Row],[GroupByKey]])*CountersTable[RecordedValue]))</f>
        <v>95</v>
      </c>
      <c r="O49" cm="1">
        <f t="array" ref="O49">MAX(IF((CountersTable[GroupByKey]=CountersTable[[#This Row],[GroupByKey]]),(CountersTable[GroupByKey]=CountersTable[[#This Row],[GroupByKey]])*CountersTable[RecordedValue]))</f>
        <v>141</v>
      </c>
    </row>
    <row r="50" spans="1:15" x14ac:dyDescent="0.25">
      <c r="A50" t="s">
        <v>67</v>
      </c>
      <c r="B50" t="s">
        <v>243</v>
      </c>
      <c r="C50">
        <v>7</v>
      </c>
      <c r="D50" t="s">
        <v>149</v>
      </c>
      <c r="E50" t="s">
        <v>142</v>
      </c>
      <c r="F50" t="s">
        <v>143</v>
      </c>
      <c r="G50">
        <v>144</v>
      </c>
      <c r="H50" t="str">
        <f>CountersTable[[#This Row],[ProjectName]]&amp;CountersTable[[#This Row],[Name]]&amp;CountersTable[[#This Row],[Type]]&amp;CountersTable[[#This Row],[Source]]</f>
        <v>Unnamed ProjectScrapCountUser Specified</v>
      </c>
      <c r="I50" cm="1">
        <f t="array" ref="I50">MAX(IF((ProjectInfoTable[ProjectName]=CountersTable[[#This Row],[ProjectName]]),(ProjectInfoTable[ProjectName]=CountersTable[[#This Row],[ProjectName]])*ProjectInfoTable[NumberOfReplications]))</f>
        <v>10</v>
      </c>
      <c r="J50" cm="1">
        <f t="array" ref="J50">IFERROR(AVERAGE(IF((CountersTable[GroupByKey]=CountersTable[[#This Row],[GroupByKey]]),(CountersTable[GroupByKey]=CountersTable[[#This Row],[GroupByKey]])*CountersTable[RecordedValue])),0)</f>
        <v>129.69999999999999</v>
      </c>
      <c r="K50" cm="1">
        <f t="array" ref="K50">IFERROR(_xlfn.STDEV.S(IF((CountersTable[GroupByKey]=CountersTable[[#This Row],[GroupByKey]]),(CountersTable[GroupByKey]=CountersTable[[#This Row],[GroupByKey]])*CountersTable[RecordedValue])),0)</f>
        <v>14.461058820923967</v>
      </c>
      <c r="L50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10.344818295195957</v>
      </c>
      <c r="N50" cm="1">
        <f t="array" ref="N50">MIN(IF((CountersTable[GroupByKey]=CountersTable[[#This Row],[GroupByKey]]),(CountersTable[GroupByKey]=CountersTable[[#This Row],[GroupByKey]])*CountersTable[RecordedValue]))</f>
        <v>105</v>
      </c>
      <c r="O50" cm="1">
        <f t="array" ref="O50">MAX(IF((CountersTable[GroupByKey]=CountersTable[[#This Row],[GroupByKey]]),(CountersTable[GroupByKey]=CountersTable[[#This Row],[GroupByKey]])*CountersTable[RecordedValue]))</f>
        <v>153</v>
      </c>
    </row>
    <row r="51" spans="1:15" x14ac:dyDescent="0.25">
      <c r="A51" t="s">
        <v>67</v>
      </c>
      <c r="B51" t="s">
        <v>243</v>
      </c>
      <c r="C51">
        <v>8</v>
      </c>
      <c r="D51" t="s">
        <v>141</v>
      </c>
      <c r="E51" t="s">
        <v>142</v>
      </c>
      <c r="F51" t="s">
        <v>143</v>
      </c>
      <c r="G51">
        <v>1283</v>
      </c>
      <c r="H51" t="str">
        <f>CountersTable[[#This Row],[ProjectName]]&amp;CountersTable[[#This Row],[Name]]&amp;CountersTable[[#This Row],[Type]]&amp;CountersTable[[#This Row],[Source]]</f>
        <v>Unnamed ProjectBoxCountUser Specified</v>
      </c>
      <c r="I51" cm="1">
        <f t="array" ref="I51">MAX(IF((ProjectInfoTable[ProjectName]=CountersTable[[#This Row],[ProjectName]]),(ProjectInfoTable[ProjectName]=CountersTable[[#This Row],[ProjectName]])*ProjectInfoTable[NumberOfReplications]))</f>
        <v>10</v>
      </c>
      <c r="J51" cm="1">
        <f t="array" ref="J51">IFERROR(AVERAGE(IF((CountersTable[GroupByKey]=CountersTable[[#This Row],[GroupByKey]]),(CountersTable[GroupByKey]=CountersTable[[#This Row],[GroupByKey]])*CountersTable[RecordedValue])),0)</f>
        <v>1283.0999999999999</v>
      </c>
      <c r="K51" cm="1">
        <f t="array" ref="K51">IFERROR(_xlfn.STDEV.S(IF((CountersTable[GroupByKey]=CountersTable[[#This Row],[GroupByKey]]),(CountersTable[GroupByKey]=CountersTable[[#This Row],[GroupByKey]])*CountersTable[RecordedValue])),0)</f>
        <v>3.2128215360057308</v>
      </c>
      <c r="L51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2.2983140734329779</v>
      </c>
      <c r="N51" cm="1">
        <f t="array" ref="N51">MIN(IF((CountersTable[GroupByKey]=CountersTable[[#This Row],[GroupByKey]]),(CountersTable[GroupByKey]=CountersTable[[#This Row],[GroupByKey]])*CountersTable[RecordedValue]))</f>
        <v>1277</v>
      </c>
      <c r="O51" cm="1">
        <f t="array" ref="O51">MAX(IF((CountersTable[GroupByKey]=CountersTable[[#This Row],[GroupByKey]]),(CountersTable[GroupByKey]=CountersTable[[#This Row],[GroupByKey]])*CountersTable[RecordedValue]))</f>
        <v>1288</v>
      </c>
    </row>
    <row r="52" spans="1:15" x14ac:dyDescent="0.25">
      <c r="A52" t="s">
        <v>67</v>
      </c>
      <c r="B52" t="s">
        <v>243</v>
      </c>
      <c r="C52">
        <v>8</v>
      </c>
      <c r="D52" t="s">
        <v>144</v>
      </c>
      <c r="E52" t="s">
        <v>142</v>
      </c>
      <c r="F52" t="s">
        <v>143</v>
      </c>
      <c r="G52">
        <v>971</v>
      </c>
      <c r="H52" t="str">
        <f>CountersTable[[#This Row],[ProjectName]]&amp;CountersTable[[#This Row],[Name]]&amp;CountersTable[[#This Row],[Type]]&amp;CountersTable[[#This Row],[Source]]</f>
        <v>Unnamed ProjectDissatisfied CustomerCountUser Specified</v>
      </c>
      <c r="I52" cm="1">
        <f t="array" ref="I52">MAX(IF((ProjectInfoTable[ProjectName]=CountersTable[[#This Row],[ProjectName]]),(ProjectInfoTable[ProjectName]=CountersTable[[#This Row],[ProjectName]])*ProjectInfoTable[NumberOfReplications]))</f>
        <v>10</v>
      </c>
      <c r="J52" cm="1">
        <f t="array" ref="J52">IFERROR(AVERAGE(IF((CountersTable[GroupByKey]=CountersTable[[#This Row],[GroupByKey]]),(CountersTable[GroupByKey]=CountersTable[[#This Row],[GroupByKey]])*CountersTable[RecordedValue])),0)</f>
        <v>971.6</v>
      </c>
      <c r="K52" cm="1">
        <f t="array" ref="K52">IFERROR(_xlfn.STDEV.S(IF((CountersTable[GroupByKey]=CountersTable[[#This Row],[GroupByKey]]),(CountersTable[GroupByKey]=CountersTable[[#This Row],[GroupByKey]])*CountersTable[RecordedValue])),0)</f>
        <v>31.116983572747966</v>
      </c>
      <c r="L52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22.259749091740982</v>
      </c>
      <c r="N52" cm="1">
        <f t="array" ref="N52">MIN(IF((CountersTable[GroupByKey]=CountersTable[[#This Row],[GroupByKey]]),(CountersTable[GroupByKey]=CountersTable[[#This Row],[GroupByKey]])*CountersTable[RecordedValue]))</f>
        <v>924</v>
      </c>
      <c r="O52" cm="1">
        <f t="array" ref="O52">MAX(IF((CountersTable[GroupByKey]=CountersTable[[#This Row],[GroupByKey]]),(CountersTable[GroupByKey]=CountersTable[[#This Row],[GroupByKey]])*CountersTable[RecordedValue]))</f>
        <v>1012</v>
      </c>
    </row>
    <row r="53" spans="1:15" x14ac:dyDescent="0.25">
      <c r="A53" t="s">
        <v>67</v>
      </c>
      <c r="B53" t="s">
        <v>243</v>
      </c>
      <c r="C53">
        <v>8</v>
      </c>
      <c r="D53" t="s">
        <v>145</v>
      </c>
      <c r="E53" t="s">
        <v>142</v>
      </c>
      <c r="F53" t="s">
        <v>143</v>
      </c>
      <c r="G53">
        <v>6548</v>
      </c>
      <c r="H53" t="str">
        <f>CountersTable[[#This Row],[ProjectName]]&amp;CountersTable[[#This Row],[Name]]&amp;CountersTable[[#This Row],[Type]]&amp;CountersTable[[#This Row],[Source]]</f>
        <v>Unnamed ProjectLabel 1CountUser Specified</v>
      </c>
      <c r="I53" cm="1">
        <f t="array" ref="I53">MAX(IF((ProjectInfoTable[ProjectName]=CountersTable[[#This Row],[ProjectName]]),(ProjectInfoTable[ProjectName]=CountersTable[[#This Row],[ProjectName]])*ProjectInfoTable[NumberOfReplications]))</f>
        <v>10</v>
      </c>
      <c r="J53" cm="1">
        <f t="array" ref="J53">IFERROR(AVERAGE(IF((CountersTable[GroupByKey]=CountersTable[[#This Row],[GroupByKey]]),(CountersTable[GroupByKey]=CountersTable[[#This Row],[GroupByKey]])*CountersTable[RecordedValue])),0)</f>
        <v>6549.7</v>
      </c>
      <c r="K53" cm="1">
        <f t="array" ref="K53">IFERROR(_xlfn.STDEV.S(IF((CountersTable[GroupByKey]=CountersTable[[#This Row],[GroupByKey]]),(CountersTable[GroupByKey]=CountersTable[[#This Row],[GroupByKey]])*CountersTable[RecordedValue])),0)</f>
        <v>5.7551908936387353</v>
      </c>
      <c r="L53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4.1170155509439503</v>
      </c>
      <c r="N53" cm="1">
        <f t="array" ref="N53">MIN(IF((CountersTable[GroupByKey]=CountersTable[[#This Row],[GroupByKey]]),(CountersTable[GroupByKey]=CountersTable[[#This Row],[GroupByKey]])*CountersTable[RecordedValue]))</f>
        <v>6541</v>
      </c>
      <c r="O53" cm="1">
        <f t="array" ref="O53">MAX(IF((CountersTable[GroupByKey]=CountersTable[[#This Row],[GroupByKey]]),(CountersTable[GroupByKey]=CountersTable[[#This Row],[GroupByKey]])*CountersTable[RecordedValue]))</f>
        <v>6559</v>
      </c>
    </row>
    <row r="54" spans="1:15" x14ac:dyDescent="0.25">
      <c r="A54" t="s">
        <v>67</v>
      </c>
      <c r="B54" t="s">
        <v>243</v>
      </c>
      <c r="C54">
        <v>8</v>
      </c>
      <c r="D54" t="s">
        <v>146</v>
      </c>
      <c r="E54" t="s">
        <v>142</v>
      </c>
      <c r="F54" t="s">
        <v>143</v>
      </c>
      <c r="G54">
        <v>8223</v>
      </c>
      <c r="H54" t="str">
        <f>CountersTable[[#This Row],[ProjectName]]&amp;CountersTable[[#This Row],[Name]]&amp;CountersTable[[#This Row],[Type]]&amp;CountersTable[[#This Row],[Source]]</f>
        <v>Unnamed ProjectLabel 2CountUser Specified</v>
      </c>
      <c r="I54" cm="1">
        <f t="array" ref="I54">MAX(IF((ProjectInfoTable[ProjectName]=CountersTable[[#This Row],[ProjectName]]),(ProjectInfoTable[ProjectName]=CountersTable[[#This Row],[ProjectName]])*ProjectInfoTable[NumberOfReplications]))</f>
        <v>10</v>
      </c>
      <c r="J54" cm="1">
        <f t="array" ref="J54">IFERROR(AVERAGE(IF((CountersTable[GroupByKey]=CountersTable[[#This Row],[GroupByKey]]),(CountersTable[GroupByKey]=CountersTable[[#This Row],[GroupByKey]])*CountersTable[RecordedValue])),0)</f>
        <v>8227.7000000000007</v>
      </c>
      <c r="K54" cm="1">
        <f t="array" ref="K54">IFERROR(_xlfn.STDEV.S(IF((CountersTable[GroupByKey]=CountersTable[[#This Row],[GroupByKey]]),(CountersTable[GroupByKey]=CountersTable[[#This Row],[GroupByKey]])*CountersTable[RecordedValue])),0)</f>
        <v>6.2902040242480748</v>
      </c>
      <c r="L54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4.4997408887103267</v>
      </c>
      <c r="N54" cm="1">
        <f t="array" ref="N54">MIN(IF((CountersTable[GroupByKey]=CountersTable[[#This Row],[GroupByKey]]),(CountersTable[GroupByKey]=CountersTable[[#This Row],[GroupByKey]])*CountersTable[RecordedValue]))</f>
        <v>8216</v>
      </c>
      <c r="O54" cm="1">
        <f t="array" ref="O54">MAX(IF((CountersTable[GroupByKey]=CountersTable[[#This Row],[GroupByKey]]),(CountersTable[GroupByKey]=CountersTable[[#This Row],[GroupByKey]])*CountersTable[RecordedValue]))</f>
        <v>8237</v>
      </c>
    </row>
    <row r="55" spans="1:15" x14ac:dyDescent="0.25">
      <c r="A55" t="s">
        <v>67</v>
      </c>
      <c r="B55" t="s">
        <v>243</v>
      </c>
      <c r="C55">
        <v>8</v>
      </c>
      <c r="D55" t="s">
        <v>147</v>
      </c>
      <c r="E55" t="s">
        <v>142</v>
      </c>
      <c r="F55" t="s">
        <v>143</v>
      </c>
      <c r="G55">
        <v>9188</v>
      </c>
      <c r="H55" t="str">
        <f>CountersTable[[#This Row],[ProjectName]]&amp;CountersTable[[#This Row],[Name]]&amp;CountersTable[[#This Row],[Type]]&amp;CountersTable[[#This Row],[Source]]</f>
        <v>Unnamed ProjectLabel 3CountUser Specified</v>
      </c>
      <c r="I55" cm="1">
        <f t="array" ref="I55">MAX(IF((ProjectInfoTable[ProjectName]=CountersTable[[#This Row],[ProjectName]]),(ProjectInfoTable[ProjectName]=CountersTable[[#This Row],[ProjectName]])*ProjectInfoTable[NumberOfReplications]))</f>
        <v>10</v>
      </c>
      <c r="J55" cm="1">
        <f t="array" ref="J55">IFERROR(AVERAGE(IF((CountersTable[GroupByKey]=CountersTable[[#This Row],[GroupByKey]]),(CountersTable[GroupByKey]=CountersTable[[#This Row],[GroupByKey]])*CountersTable[RecordedValue])),0)</f>
        <v>9194.4</v>
      </c>
      <c r="K55" cm="1">
        <f t="array" ref="K55">IFERROR(_xlfn.STDEV.S(IF((CountersTable[GroupByKey]=CountersTable[[#This Row],[GroupByKey]]),(CountersTable[GroupByKey]=CountersTable[[#This Row],[GroupByKey]])*CountersTable[RecordedValue])),0)</f>
        <v>6.0221812216726489</v>
      </c>
      <c r="L5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4.3080089259303831</v>
      </c>
      <c r="N55" cm="1">
        <f t="array" ref="N55">MIN(IF((CountersTable[GroupByKey]=CountersTable[[#This Row],[GroupByKey]]),(CountersTable[GroupByKey]=CountersTable[[#This Row],[GroupByKey]])*CountersTable[RecordedValue]))</f>
        <v>9188</v>
      </c>
      <c r="O55" cm="1">
        <f t="array" ref="O55">MAX(IF((CountersTable[GroupByKey]=CountersTable[[#This Row],[GroupByKey]]),(CountersTable[GroupByKey]=CountersTable[[#This Row],[GroupByKey]])*CountersTable[RecordedValue]))</f>
        <v>9202</v>
      </c>
    </row>
    <row r="56" spans="1:15" x14ac:dyDescent="0.25">
      <c r="A56" t="s">
        <v>67</v>
      </c>
      <c r="B56" t="s">
        <v>243</v>
      </c>
      <c r="C56">
        <v>8</v>
      </c>
      <c r="D56" t="s">
        <v>148</v>
      </c>
      <c r="E56" t="s">
        <v>142</v>
      </c>
      <c r="F56" t="s">
        <v>143</v>
      </c>
      <c r="G56">
        <v>117</v>
      </c>
      <c r="H56" t="str">
        <f>CountersTable[[#This Row],[ProjectName]]&amp;CountersTable[[#This Row],[Name]]&amp;CountersTable[[#This Row],[Type]]&amp;CountersTable[[#This Row],[Source]]</f>
        <v>Unnamed ProjectSatisfied customerCountUser Specified</v>
      </c>
      <c r="I56" cm="1">
        <f t="array" ref="I56">MAX(IF((ProjectInfoTable[ProjectName]=CountersTable[[#This Row],[ProjectName]]),(ProjectInfoTable[ProjectName]=CountersTable[[#This Row],[ProjectName]])*ProjectInfoTable[NumberOfReplications]))</f>
        <v>10</v>
      </c>
      <c r="J56" cm="1">
        <f t="array" ref="J56">IFERROR(AVERAGE(IF((CountersTable[GroupByKey]=CountersTable[[#This Row],[GroupByKey]]),(CountersTable[GroupByKey]=CountersTable[[#This Row],[GroupByKey]])*CountersTable[RecordedValue])),0)</f>
        <v>118.7</v>
      </c>
      <c r="K56" cm="1">
        <f t="array" ref="K56">IFERROR(_xlfn.STDEV.S(IF((CountersTable[GroupByKey]=CountersTable[[#This Row],[GroupByKey]]),(CountersTable[GroupByKey]=CountersTable[[#This Row],[GroupByKey]])*CountersTable[RecordedValue])),0)</f>
        <v>12.587913073879887</v>
      </c>
      <c r="L56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9.0048505491583946</v>
      </c>
      <c r="N56" cm="1">
        <f t="array" ref="N56">MIN(IF((CountersTable[GroupByKey]=CountersTable[[#This Row],[GroupByKey]]),(CountersTable[GroupByKey]=CountersTable[[#This Row],[GroupByKey]])*CountersTable[RecordedValue]))</f>
        <v>95</v>
      </c>
      <c r="O56" cm="1">
        <f t="array" ref="O56">MAX(IF((CountersTable[GroupByKey]=CountersTable[[#This Row],[GroupByKey]]),(CountersTable[GroupByKey]=CountersTable[[#This Row],[GroupByKey]])*CountersTable[RecordedValue]))</f>
        <v>141</v>
      </c>
    </row>
    <row r="57" spans="1:15" x14ac:dyDescent="0.25">
      <c r="A57" t="s">
        <v>67</v>
      </c>
      <c r="B57" t="s">
        <v>243</v>
      </c>
      <c r="C57">
        <v>8</v>
      </c>
      <c r="D57" t="s">
        <v>149</v>
      </c>
      <c r="E57" t="s">
        <v>142</v>
      </c>
      <c r="F57" t="s">
        <v>143</v>
      </c>
      <c r="G57">
        <v>129</v>
      </c>
      <c r="H57" t="str">
        <f>CountersTable[[#This Row],[ProjectName]]&amp;CountersTable[[#This Row],[Name]]&amp;CountersTable[[#This Row],[Type]]&amp;CountersTable[[#This Row],[Source]]</f>
        <v>Unnamed ProjectScrapCountUser Specified</v>
      </c>
      <c r="I57" cm="1">
        <f t="array" ref="I57">MAX(IF((ProjectInfoTable[ProjectName]=CountersTable[[#This Row],[ProjectName]]),(ProjectInfoTable[ProjectName]=CountersTable[[#This Row],[ProjectName]])*ProjectInfoTable[NumberOfReplications]))</f>
        <v>10</v>
      </c>
      <c r="J57" cm="1">
        <f t="array" ref="J57">IFERROR(AVERAGE(IF((CountersTable[GroupByKey]=CountersTable[[#This Row],[GroupByKey]]),(CountersTable[GroupByKey]=CountersTable[[#This Row],[GroupByKey]])*CountersTable[RecordedValue])),0)</f>
        <v>129.69999999999999</v>
      </c>
      <c r="K57" cm="1">
        <f t="array" ref="K57">IFERROR(_xlfn.STDEV.S(IF((CountersTable[GroupByKey]=CountersTable[[#This Row],[GroupByKey]]),(CountersTable[GroupByKey]=CountersTable[[#This Row],[GroupByKey]])*CountersTable[RecordedValue])),0)</f>
        <v>14.461058820923967</v>
      </c>
      <c r="L57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10.344818295195957</v>
      </c>
      <c r="N57" cm="1">
        <f t="array" ref="N57">MIN(IF((CountersTable[GroupByKey]=CountersTable[[#This Row],[GroupByKey]]),(CountersTable[GroupByKey]=CountersTable[[#This Row],[GroupByKey]])*CountersTable[RecordedValue]))</f>
        <v>105</v>
      </c>
      <c r="O57" cm="1">
        <f t="array" ref="O57">MAX(IF((CountersTable[GroupByKey]=CountersTable[[#This Row],[GroupByKey]]),(CountersTable[GroupByKey]=CountersTable[[#This Row],[GroupByKey]])*CountersTable[RecordedValue]))</f>
        <v>153</v>
      </c>
    </row>
    <row r="58" spans="1:15" x14ac:dyDescent="0.25">
      <c r="A58" t="s">
        <v>67</v>
      </c>
      <c r="B58" t="s">
        <v>243</v>
      </c>
      <c r="C58">
        <v>9</v>
      </c>
      <c r="D58" t="s">
        <v>141</v>
      </c>
      <c r="E58" t="s">
        <v>142</v>
      </c>
      <c r="F58" t="s">
        <v>143</v>
      </c>
      <c r="G58">
        <v>1283</v>
      </c>
      <c r="H58" t="str">
        <f>CountersTable[[#This Row],[ProjectName]]&amp;CountersTable[[#This Row],[Name]]&amp;CountersTable[[#This Row],[Type]]&amp;CountersTable[[#This Row],[Source]]</f>
        <v>Unnamed ProjectBoxCountUser Specified</v>
      </c>
      <c r="I58" cm="1">
        <f t="array" ref="I58">MAX(IF((ProjectInfoTable[ProjectName]=CountersTable[[#This Row],[ProjectName]]),(ProjectInfoTable[ProjectName]=CountersTable[[#This Row],[ProjectName]])*ProjectInfoTable[NumberOfReplications]))</f>
        <v>10</v>
      </c>
      <c r="J58" cm="1">
        <f t="array" ref="J58">IFERROR(AVERAGE(IF((CountersTable[GroupByKey]=CountersTable[[#This Row],[GroupByKey]]),(CountersTable[GroupByKey]=CountersTable[[#This Row],[GroupByKey]])*CountersTable[RecordedValue])),0)</f>
        <v>1283.0999999999999</v>
      </c>
      <c r="K58" cm="1">
        <f t="array" ref="K58">IFERROR(_xlfn.STDEV.S(IF((CountersTable[GroupByKey]=CountersTable[[#This Row],[GroupByKey]]),(CountersTable[GroupByKey]=CountersTable[[#This Row],[GroupByKey]])*CountersTable[RecordedValue])),0)</f>
        <v>3.2128215360057308</v>
      </c>
      <c r="L58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2.2983140734329779</v>
      </c>
      <c r="N58" cm="1">
        <f t="array" ref="N58">MIN(IF((CountersTable[GroupByKey]=CountersTable[[#This Row],[GroupByKey]]),(CountersTable[GroupByKey]=CountersTable[[#This Row],[GroupByKey]])*CountersTable[RecordedValue]))</f>
        <v>1277</v>
      </c>
      <c r="O58" cm="1">
        <f t="array" ref="O58">MAX(IF((CountersTable[GroupByKey]=CountersTable[[#This Row],[GroupByKey]]),(CountersTable[GroupByKey]=CountersTable[[#This Row],[GroupByKey]])*CountersTable[RecordedValue]))</f>
        <v>1288</v>
      </c>
    </row>
    <row r="59" spans="1:15" x14ac:dyDescent="0.25">
      <c r="A59" t="s">
        <v>67</v>
      </c>
      <c r="B59" t="s">
        <v>243</v>
      </c>
      <c r="C59">
        <v>9</v>
      </c>
      <c r="D59" t="s">
        <v>144</v>
      </c>
      <c r="E59" t="s">
        <v>142</v>
      </c>
      <c r="F59" t="s">
        <v>143</v>
      </c>
      <c r="G59">
        <v>924</v>
      </c>
      <c r="H59" t="str">
        <f>CountersTable[[#This Row],[ProjectName]]&amp;CountersTable[[#This Row],[Name]]&amp;CountersTable[[#This Row],[Type]]&amp;CountersTable[[#This Row],[Source]]</f>
        <v>Unnamed ProjectDissatisfied CustomerCountUser Specified</v>
      </c>
      <c r="I59" cm="1">
        <f t="array" ref="I59">MAX(IF((ProjectInfoTable[ProjectName]=CountersTable[[#This Row],[ProjectName]]),(ProjectInfoTable[ProjectName]=CountersTable[[#This Row],[ProjectName]])*ProjectInfoTable[NumberOfReplications]))</f>
        <v>10</v>
      </c>
      <c r="J59" cm="1">
        <f t="array" ref="J59">IFERROR(AVERAGE(IF((CountersTable[GroupByKey]=CountersTable[[#This Row],[GroupByKey]]),(CountersTable[GroupByKey]=CountersTable[[#This Row],[GroupByKey]])*CountersTable[RecordedValue])),0)</f>
        <v>971.6</v>
      </c>
      <c r="K59" cm="1">
        <f t="array" ref="K59">IFERROR(_xlfn.STDEV.S(IF((CountersTable[GroupByKey]=CountersTable[[#This Row],[GroupByKey]]),(CountersTable[GroupByKey]=CountersTable[[#This Row],[GroupByKey]])*CountersTable[RecordedValue])),0)</f>
        <v>31.116983572747966</v>
      </c>
      <c r="L59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22.259749091740982</v>
      </c>
      <c r="N59" cm="1">
        <f t="array" ref="N59">MIN(IF((CountersTable[GroupByKey]=CountersTable[[#This Row],[GroupByKey]]),(CountersTable[GroupByKey]=CountersTable[[#This Row],[GroupByKey]])*CountersTable[RecordedValue]))</f>
        <v>924</v>
      </c>
      <c r="O59" cm="1">
        <f t="array" ref="O59">MAX(IF((CountersTable[GroupByKey]=CountersTable[[#This Row],[GroupByKey]]),(CountersTable[GroupByKey]=CountersTable[[#This Row],[GroupByKey]])*CountersTable[RecordedValue]))</f>
        <v>1012</v>
      </c>
    </row>
    <row r="60" spans="1:15" x14ac:dyDescent="0.25">
      <c r="A60" t="s">
        <v>67</v>
      </c>
      <c r="B60" t="s">
        <v>243</v>
      </c>
      <c r="C60">
        <v>9</v>
      </c>
      <c r="D60" t="s">
        <v>145</v>
      </c>
      <c r="E60" t="s">
        <v>142</v>
      </c>
      <c r="F60" t="s">
        <v>143</v>
      </c>
      <c r="G60">
        <v>6552</v>
      </c>
      <c r="H60" t="str">
        <f>CountersTable[[#This Row],[ProjectName]]&amp;CountersTable[[#This Row],[Name]]&amp;CountersTable[[#This Row],[Type]]&amp;CountersTable[[#This Row],[Source]]</f>
        <v>Unnamed ProjectLabel 1CountUser Specified</v>
      </c>
      <c r="I60" cm="1">
        <f t="array" ref="I60">MAX(IF((ProjectInfoTable[ProjectName]=CountersTable[[#This Row],[ProjectName]]),(ProjectInfoTable[ProjectName]=CountersTable[[#This Row],[ProjectName]])*ProjectInfoTable[NumberOfReplications]))</f>
        <v>10</v>
      </c>
      <c r="J60" cm="1">
        <f t="array" ref="J60">IFERROR(AVERAGE(IF((CountersTable[GroupByKey]=CountersTable[[#This Row],[GroupByKey]]),(CountersTable[GroupByKey]=CountersTable[[#This Row],[GroupByKey]])*CountersTable[RecordedValue])),0)</f>
        <v>6549.7</v>
      </c>
      <c r="K60" cm="1">
        <f t="array" ref="K60">IFERROR(_xlfn.STDEV.S(IF((CountersTable[GroupByKey]=CountersTable[[#This Row],[GroupByKey]]),(CountersTable[GroupByKey]=CountersTable[[#This Row],[GroupByKey]])*CountersTable[RecordedValue])),0)</f>
        <v>5.7551908936387353</v>
      </c>
      <c r="L60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4.1170155509439503</v>
      </c>
      <c r="N60" cm="1">
        <f t="array" ref="N60">MIN(IF((CountersTable[GroupByKey]=CountersTable[[#This Row],[GroupByKey]]),(CountersTable[GroupByKey]=CountersTable[[#This Row],[GroupByKey]])*CountersTable[RecordedValue]))</f>
        <v>6541</v>
      </c>
      <c r="O60" cm="1">
        <f t="array" ref="O60">MAX(IF((CountersTable[GroupByKey]=CountersTable[[#This Row],[GroupByKey]]),(CountersTable[GroupByKey]=CountersTable[[#This Row],[GroupByKey]])*CountersTable[RecordedValue]))</f>
        <v>6559</v>
      </c>
    </row>
    <row r="61" spans="1:15" x14ac:dyDescent="0.25">
      <c r="A61" t="s">
        <v>67</v>
      </c>
      <c r="B61" t="s">
        <v>243</v>
      </c>
      <c r="C61">
        <v>9</v>
      </c>
      <c r="D61" t="s">
        <v>146</v>
      </c>
      <c r="E61" t="s">
        <v>142</v>
      </c>
      <c r="F61" t="s">
        <v>143</v>
      </c>
      <c r="G61">
        <v>8228</v>
      </c>
      <c r="H61" t="str">
        <f>CountersTable[[#This Row],[ProjectName]]&amp;CountersTable[[#This Row],[Name]]&amp;CountersTable[[#This Row],[Type]]&amp;CountersTable[[#This Row],[Source]]</f>
        <v>Unnamed ProjectLabel 2CountUser Specified</v>
      </c>
      <c r="I61" cm="1">
        <f t="array" ref="I61">MAX(IF((ProjectInfoTable[ProjectName]=CountersTable[[#This Row],[ProjectName]]),(ProjectInfoTable[ProjectName]=CountersTable[[#This Row],[ProjectName]])*ProjectInfoTable[NumberOfReplications]))</f>
        <v>10</v>
      </c>
      <c r="J61" cm="1">
        <f t="array" ref="J61">IFERROR(AVERAGE(IF((CountersTable[GroupByKey]=CountersTable[[#This Row],[GroupByKey]]),(CountersTable[GroupByKey]=CountersTable[[#This Row],[GroupByKey]])*CountersTable[RecordedValue])),0)</f>
        <v>8227.7000000000007</v>
      </c>
      <c r="K61" cm="1">
        <f t="array" ref="K61">IFERROR(_xlfn.STDEV.S(IF((CountersTable[GroupByKey]=CountersTable[[#This Row],[GroupByKey]]),(CountersTable[GroupByKey]=CountersTable[[#This Row],[GroupByKey]])*CountersTable[RecordedValue])),0)</f>
        <v>6.2902040242480748</v>
      </c>
      <c r="L61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4.4997408887103267</v>
      </c>
      <c r="N61" cm="1">
        <f t="array" ref="N61">MIN(IF((CountersTable[GroupByKey]=CountersTable[[#This Row],[GroupByKey]]),(CountersTable[GroupByKey]=CountersTable[[#This Row],[GroupByKey]])*CountersTable[RecordedValue]))</f>
        <v>8216</v>
      </c>
      <c r="O61" cm="1">
        <f t="array" ref="O61">MAX(IF((CountersTable[GroupByKey]=CountersTable[[#This Row],[GroupByKey]]),(CountersTable[GroupByKey]=CountersTable[[#This Row],[GroupByKey]])*CountersTable[RecordedValue]))</f>
        <v>8237</v>
      </c>
    </row>
    <row r="62" spans="1:15" x14ac:dyDescent="0.25">
      <c r="A62" t="s">
        <v>67</v>
      </c>
      <c r="B62" t="s">
        <v>243</v>
      </c>
      <c r="C62">
        <v>9</v>
      </c>
      <c r="D62" t="s">
        <v>147</v>
      </c>
      <c r="E62" t="s">
        <v>142</v>
      </c>
      <c r="F62" t="s">
        <v>143</v>
      </c>
      <c r="G62">
        <v>9201</v>
      </c>
      <c r="H62" t="str">
        <f>CountersTable[[#This Row],[ProjectName]]&amp;CountersTable[[#This Row],[Name]]&amp;CountersTable[[#This Row],[Type]]&amp;CountersTable[[#This Row],[Source]]</f>
        <v>Unnamed ProjectLabel 3CountUser Specified</v>
      </c>
      <c r="I62" cm="1">
        <f t="array" ref="I62">MAX(IF((ProjectInfoTable[ProjectName]=CountersTable[[#This Row],[ProjectName]]),(ProjectInfoTable[ProjectName]=CountersTable[[#This Row],[ProjectName]])*ProjectInfoTable[NumberOfReplications]))</f>
        <v>10</v>
      </c>
      <c r="J62" cm="1">
        <f t="array" ref="J62">IFERROR(AVERAGE(IF((CountersTable[GroupByKey]=CountersTable[[#This Row],[GroupByKey]]),(CountersTable[GroupByKey]=CountersTable[[#This Row],[GroupByKey]])*CountersTable[RecordedValue])),0)</f>
        <v>9194.4</v>
      </c>
      <c r="K62" cm="1">
        <f t="array" ref="K62">IFERROR(_xlfn.STDEV.S(IF((CountersTable[GroupByKey]=CountersTable[[#This Row],[GroupByKey]]),(CountersTable[GroupByKey]=CountersTable[[#This Row],[GroupByKey]])*CountersTable[RecordedValue])),0)</f>
        <v>6.0221812216726489</v>
      </c>
      <c r="L62" cm="1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4.3080089259303831</v>
      </c>
      <c r="N62" cm="1">
        <f t="array" ref="N62">MIN(IF((CountersTable[GroupByKey]=CountersTable[[#This Row],[GroupByKey]]),(CountersTable[GroupByKey]=CountersTable[[#This Row],[GroupByKey]])*CountersTable[RecordedValue]))</f>
        <v>9188</v>
      </c>
      <c r="O62" cm="1">
        <f t="array" ref="O62">MAX(IF((CountersTable[GroupByKey]=CountersTable[[#This Row],[GroupByKey]]),(CountersTable[GroupByKey]=CountersTable[[#This Row],[GroupByKey]])*CountersTable[RecordedValue]))</f>
        <v>9202</v>
      </c>
    </row>
    <row r="63" spans="1:15" x14ac:dyDescent="0.25">
      <c r="A63" t="s">
        <v>67</v>
      </c>
      <c r="B63" t="s">
        <v>243</v>
      </c>
      <c r="C63">
        <v>9</v>
      </c>
      <c r="D63" t="s">
        <v>148</v>
      </c>
      <c r="E63" t="s">
        <v>142</v>
      </c>
      <c r="F63" t="s">
        <v>143</v>
      </c>
      <c r="G63">
        <v>118</v>
      </c>
      <c r="H63" t="str">
        <f>CountersTable[[#This Row],[ProjectName]]&amp;CountersTable[[#This Row],[Name]]&amp;CountersTable[[#This Row],[Type]]&amp;CountersTable[[#This Row],[Source]]</f>
        <v>Unnamed ProjectSatisfied customerCountUser Specified</v>
      </c>
      <c r="I63" cm="1">
        <f t="array" ref="I63">MAX(IF((ProjectInfoTable[ProjectName]=CountersTable[[#This Row],[ProjectName]]),(ProjectInfoTable[ProjectName]=CountersTable[[#This Row],[ProjectName]])*ProjectInfoTable[NumberOfReplications]))</f>
        <v>10</v>
      </c>
      <c r="J63" cm="1">
        <f t="array" ref="J63">IFERROR(AVERAGE(IF((CountersTable[GroupByKey]=CountersTable[[#This Row],[GroupByKey]]),(CountersTable[GroupByKey]=CountersTable[[#This Row],[GroupByKey]])*CountersTable[RecordedValue])),0)</f>
        <v>118.7</v>
      </c>
      <c r="K63" cm="1">
        <f t="array" ref="K63">IFERROR(_xlfn.STDEV.S(IF((CountersTable[GroupByKey]=CountersTable[[#This Row],[GroupByKey]]),(CountersTable[GroupByKey]=CountersTable[[#This Row],[GroupByKey]])*CountersTable[RecordedValue])),0)</f>
        <v>12.587913073879887</v>
      </c>
      <c r="L63" cm="1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9.0048505491583946</v>
      </c>
      <c r="N63" cm="1">
        <f t="array" ref="N63">MIN(IF((CountersTable[GroupByKey]=CountersTable[[#This Row],[GroupByKey]]),(CountersTable[GroupByKey]=CountersTable[[#This Row],[GroupByKey]])*CountersTable[RecordedValue]))</f>
        <v>95</v>
      </c>
      <c r="O63" cm="1">
        <f t="array" ref="O63">MAX(IF((CountersTable[GroupByKey]=CountersTable[[#This Row],[GroupByKey]]),(CountersTable[GroupByKey]=CountersTable[[#This Row],[GroupByKey]])*CountersTable[RecordedValue]))</f>
        <v>141</v>
      </c>
    </row>
    <row r="64" spans="1:15" x14ac:dyDescent="0.25">
      <c r="A64" t="s">
        <v>67</v>
      </c>
      <c r="B64" t="s">
        <v>243</v>
      </c>
      <c r="C64">
        <v>9</v>
      </c>
      <c r="D64" t="s">
        <v>149</v>
      </c>
      <c r="E64" t="s">
        <v>142</v>
      </c>
      <c r="F64" t="s">
        <v>143</v>
      </c>
      <c r="G64">
        <v>132</v>
      </c>
      <c r="H64" t="str">
        <f>CountersTable[[#This Row],[ProjectName]]&amp;CountersTable[[#This Row],[Name]]&amp;CountersTable[[#This Row],[Type]]&amp;CountersTable[[#This Row],[Source]]</f>
        <v>Unnamed ProjectScrapCountUser Specified</v>
      </c>
      <c r="I64" cm="1">
        <f t="array" ref="I64">MAX(IF((ProjectInfoTable[ProjectName]=CountersTable[[#This Row],[ProjectName]]),(ProjectInfoTable[ProjectName]=CountersTable[[#This Row],[ProjectName]])*ProjectInfoTable[NumberOfReplications]))</f>
        <v>10</v>
      </c>
      <c r="J64" cm="1">
        <f t="array" ref="J64">IFERROR(AVERAGE(IF((CountersTable[GroupByKey]=CountersTable[[#This Row],[GroupByKey]]),(CountersTable[GroupByKey]=CountersTable[[#This Row],[GroupByKey]])*CountersTable[RecordedValue])),0)</f>
        <v>129.69999999999999</v>
      </c>
      <c r="K64" cm="1">
        <f t="array" ref="K64">IFERROR(_xlfn.STDEV.S(IF((CountersTable[GroupByKey]=CountersTable[[#This Row],[GroupByKey]]),(CountersTable[GroupByKey]=CountersTable[[#This Row],[GroupByKey]])*CountersTable[RecordedValue])),0)</f>
        <v>14.461058820923967</v>
      </c>
      <c r="L64" cm="1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10.344818295195957</v>
      </c>
      <c r="N64" cm="1">
        <f t="array" ref="N64">MIN(IF((CountersTable[GroupByKey]=CountersTable[[#This Row],[GroupByKey]]),(CountersTable[GroupByKey]=CountersTable[[#This Row],[GroupByKey]])*CountersTable[RecordedValue]))</f>
        <v>105</v>
      </c>
      <c r="O64" cm="1">
        <f t="array" ref="O64">MAX(IF((CountersTable[GroupByKey]=CountersTable[[#This Row],[GroupByKey]]),(CountersTable[GroupByKey]=CountersTable[[#This Row],[GroupByKey]])*CountersTable[RecordedValue]))</f>
        <v>153</v>
      </c>
    </row>
    <row r="65" spans="1:15" x14ac:dyDescent="0.25">
      <c r="A65" t="s">
        <v>67</v>
      </c>
      <c r="B65" t="s">
        <v>243</v>
      </c>
      <c r="C65">
        <v>10</v>
      </c>
      <c r="D65" t="s">
        <v>141</v>
      </c>
      <c r="E65" t="s">
        <v>142</v>
      </c>
      <c r="F65" t="s">
        <v>143</v>
      </c>
      <c r="G65">
        <v>1277</v>
      </c>
      <c r="H65" t="str">
        <f>CountersTable[[#This Row],[ProjectName]]&amp;CountersTable[[#This Row],[Name]]&amp;CountersTable[[#This Row],[Type]]&amp;CountersTable[[#This Row],[Source]]</f>
        <v>Unnamed ProjectBoxCountUser Specified</v>
      </c>
      <c r="I65" cm="1">
        <f t="array" ref="I65">MAX(IF((ProjectInfoTable[ProjectName]=CountersTable[[#This Row],[ProjectName]]),(ProjectInfoTable[ProjectName]=CountersTable[[#This Row],[ProjectName]])*ProjectInfoTable[NumberOfReplications]))</f>
        <v>10</v>
      </c>
      <c r="J65" cm="1">
        <f t="array" ref="J65">IFERROR(AVERAGE(IF((CountersTable[GroupByKey]=CountersTable[[#This Row],[GroupByKey]]),(CountersTable[GroupByKey]=CountersTable[[#This Row],[GroupByKey]])*CountersTable[RecordedValue])),0)</f>
        <v>1283.0999999999999</v>
      </c>
      <c r="K65" cm="1">
        <f t="array" ref="K65">IFERROR(_xlfn.STDEV.S(IF((CountersTable[GroupByKey]=CountersTable[[#This Row],[GroupByKey]]),(CountersTable[GroupByKey]=CountersTable[[#This Row],[GroupByKey]])*CountersTable[RecordedValue])),0)</f>
        <v>3.2128215360057308</v>
      </c>
      <c r="L65" cm="1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2.2983140734329779</v>
      </c>
      <c r="N65" cm="1">
        <f t="array" ref="N65">MIN(IF((CountersTable[GroupByKey]=CountersTable[[#This Row],[GroupByKey]]),(CountersTable[GroupByKey]=CountersTable[[#This Row],[GroupByKey]])*CountersTable[RecordedValue]))</f>
        <v>1277</v>
      </c>
      <c r="O65" cm="1">
        <f t="array" ref="O65">MAX(IF((CountersTable[GroupByKey]=CountersTable[[#This Row],[GroupByKey]]),(CountersTable[GroupByKey]=CountersTable[[#This Row],[GroupByKey]])*CountersTable[RecordedValue]))</f>
        <v>1288</v>
      </c>
    </row>
    <row r="66" spans="1:15" x14ac:dyDescent="0.25">
      <c r="A66" t="s">
        <v>67</v>
      </c>
      <c r="B66" t="s">
        <v>243</v>
      </c>
      <c r="C66">
        <v>10</v>
      </c>
      <c r="D66" t="s">
        <v>144</v>
      </c>
      <c r="E66" t="s">
        <v>142</v>
      </c>
      <c r="F66" t="s">
        <v>143</v>
      </c>
      <c r="G66">
        <v>948</v>
      </c>
      <c r="H66" t="str">
        <f>CountersTable[[#This Row],[ProjectName]]&amp;CountersTable[[#This Row],[Name]]&amp;CountersTable[[#This Row],[Type]]&amp;CountersTable[[#This Row],[Source]]</f>
        <v>Unnamed ProjectDissatisfied CustomerCountUser Specified</v>
      </c>
      <c r="I66" cm="1">
        <f t="array" ref="I66">MAX(IF((ProjectInfoTable[ProjectName]=CountersTable[[#This Row],[ProjectName]]),(ProjectInfoTable[ProjectName]=CountersTable[[#This Row],[ProjectName]])*ProjectInfoTable[NumberOfReplications]))</f>
        <v>10</v>
      </c>
      <c r="J66" cm="1">
        <f t="array" ref="J66">IFERROR(AVERAGE(IF((CountersTable[GroupByKey]=CountersTable[[#This Row],[GroupByKey]]),(CountersTable[GroupByKey]=CountersTable[[#This Row],[GroupByKey]])*CountersTable[RecordedValue])),0)</f>
        <v>971.6</v>
      </c>
      <c r="K66" cm="1">
        <f t="array" ref="K66">IFERROR(_xlfn.STDEV.S(IF((CountersTable[GroupByKey]=CountersTable[[#This Row],[GroupByKey]]),(CountersTable[GroupByKey]=CountersTable[[#This Row],[GroupByKey]])*CountersTable[RecordedValue])),0)</f>
        <v>31.116983572747966</v>
      </c>
      <c r="L66" cm="1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22.259749091740982</v>
      </c>
      <c r="N66" cm="1">
        <f t="array" ref="N66">MIN(IF((CountersTable[GroupByKey]=CountersTable[[#This Row],[GroupByKey]]),(CountersTable[GroupByKey]=CountersTable[[#This Row],[GroupByKey]])*CountersTable[RecordedValue]))</f>
        <v>924</v>
      </c>
      <c r="O66" cm="1">
        <f t="array" ref="O66">MAX(IF((CountersTable[GroupByKey]=CountersTable[[#This Row],[GroupByKey]]),(CountersTable[GroupByKey]=CountersTable[[#This Row],[GroupByKey]])*CountersTable[RecordedValue]))</f>
        <v>1012</v>
      </c>
    </row>
    <row r="67" spans="1:15" x14ac:dyDescent="0.25">
      <c r="A67" t="s">
        <v>67</v>
      </c>
      <c r="B67" t="s">
        <v>243</v>
      </c>
      <c r="C67">
        <v>10</v>
      </c>
      <c r="D67" t="s">
        <v>145</v>
      </c>
      <c r="E67" t="s">
        <v>142</v>
      </c>
      <c r="F67" t="s">
        <v>143</v>
      </c>
      <c r="G67">
        <v>6541</v>
      </c>
      <c r="H67" t="str">
        <f>CountersTable[[#This Row],[ProjectName]]&amp;CountersTable[[#This Row],[Name]]&amp;CountersTable[[#This Row],[Type]]&amp;CountersTable[[#This Row],[Source]]</f>
        <v>Unnamed ProjectLabel 1CountUser Specified</v>
      </c>
      <c r="I67" cm="1">
        <f t="array" ref="I67">MAX(IF((ProjectInfoTable[ProjectName]=CountersTable[[#This Row],[ProjectName]]),(ProjectInfoTable[ProjectName]=CountersTable[[#This Row],[ProjectName]])*ProjectInfoTable[NumberOfReplications]))</f>
        <v>10</v>
      </c>
      <c r="J67" cm="1">
        <f t="array" ref="J67">IFERROR(AVERAGE(IF((CountersTable[GroupByKey]=CountersTable[[#This Row],[GroupByKey]]),(CountersTable[GroupByKey]=CountersTable[[#This Row],[GroupByKey]])*CountersTable[RecordedValue])),0)</f>
        <v>6549.7</v>
      </c>
      <c r="K67" cm="1">
        <f t="array" ref="K67">IFERROR(_xlfn.STDEV.S(IF((CountersTable[GroupByKey]=CountersTable[[#This Row],[GroupByKey]]),(CountersTable[GroupByKey]=CountersTable[[#This Row],[GroupByKey]])*CountersTable[RecordedValue])),0)</f>
        <v>5.7551908936387353</v>
      </c>
      <c r="L67" cm="1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4.1170155509439503</v>
      </c>
      <c r="N67" cm="1">
        <f t="array" ref="N67">MIN(IF((CountersTable[GroupByKey]=CountersTable[[#This Row],[GroupByKey]]),(CountersTable[GroupByKey]=CountersTable[[#This Row],[GroupByKey]])*CountersTable[RecordedValue]))</f>
        <v>6541</v>
      </c>
      <c r="O67" cm="1">
        <f t="array" ref="O67">MAX(IF((CountersTable[GroupByKey]=CountersTable[[#This Row],[GroupByKey]]),(CountersTable[GroupByKey]=CountersTable[[#This Row],[GroupByKey]])*CountersTable[RecordedValue]))</f>
        <v>6559</v>
      </c>
    </row>
    <row r="68" spans="1:15" x14ac:dyDescent="0.25">
      <c r="A68" t="s">
        <v>67</v>
      </c>
      <c r="B68" t="s">
        <v>243</v>
      </c>
      <c r="C68">
        <v>10</v>
      </c>
      <c r="D68" t="s">
        <v>146</v>
      </c>
      <c r="E68" t="s">
        <v>142</v>
      </c>
      <c r="F68" t="s">
        <v>143</v>
      </c>
      <c r="G68">
        <v>8227</v>
      </c>
      <c r="H68" t="str">
        <f>CountersTable[[#This Row],[ProjectName]]&amp;CountersTable[[#This Row],[Name]]&amp;CountersTable[[#This Row],[Type]]&amp;CountersTable[[#This Row],[Source]]</f>
        <v>Unnamed ProjectLabel 2CountUser Specified</v>
      </c>
      <c r="I68" cm="1">
        <f t="array" ref="I68">MAX(IF((ProjectInfoTable[ProjectName]=CountersTable[[#This Row],[ProjectName]]),(ProjectInfoTable[ProjectName]=CountersTable[[#This Row],[ProjectName]])*ProjectInfoTable[NumberOfReplications]))</f>
        <v>10</v>
      </c>
      <c r="J68" cm="1">
        <f t="array" ref="J68">IFERROR(AVERAGE(IF((CountersTable[GroupByKey]=CountersTable[[#This Row],[GroupByKey]]),(CountersTable[GroupByKey]=CountersTable[[#This Row],[GroupByKey]])*CountersTable[RecordedValue])),0)</f>
        <v>8227.7000000000007</v>
      </c>
      <c r="K68" cm="1">
        <f t="array" ref="K68">IFERROR(_xlfn.STDEV.S(IF((CountersTable[GroupByKey]=CountersTable[[#This Row],[GroupByKey]]),(CountersTable[GroupByKey]=CountersTable[[#This Row],[GroupByKey]])*CountersTable[RecordedValue])),0)</f>
        <v>6.2902040242480748</v>
      </c>
      <c r="L68" cm="1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4.4997408887103267</v>
      </c>
      <c r="N68" cm="1">
        <f t="array" ref="N68">MIN(IF((CountersTable[GroupByKey]=CountersTable[[#This Row],[GroupByKey]]),(CountersTable[GroupByKey]=CountersTable[[#This Row],[GroupByKey]])*CountersTable[RecordedValue]))</f>
        <v>8216</v>
      </c>
      <c r="O68" cm="1">
        <f t="array" ref="O68">MAX(IF((CountersTable[GroupByKey]=CountersTable[[#This Row],[GroupByKey]]),(CountersTable[GroupByKey]=CountersTable[[#This Row],[GroupByKey]])*CountersTable[RecordedValue]))</f>
        <v>8237</v>
      </c>
    </row>
    <row r="69" spans="1:15" x14ac:dyDescent="0.25">
      <c r="A69" t="s">
        <v>67</v>
      </c>
      <c r="B69" t="s">
        <v>243</v>
      </c>
      <c r="C69">
        <v>10</v>
      </c>
      <c r="D69" t="s">
        <v>147</v>
      </c>
      <c r="E69" t="s">
        <v>142</v>
      </c>
      <c r="F69" t="s">
        <v>143</v>
      </c>
      <c r="G69">
        <v>9188</v>
      </c>
      <c r="H69" t="str">
        <f>CountersTable[[#This Row],[ProjectName]]&amp;CountersTable[[#This Row],[Name]]&amp;CountersTable[[#This Row],[Type]]&amp;CountersTable[[#This Row],[Source]]</f>
        <v>Unnamed ProjectLabel 3CountUser Specified</v>
      </c>
      <c r="I69" cm="1">
        <f t="array" ref="I69">MAX(IF((ProjectInfoTable[ProjectName]=CountersTable[[#This Row],[ProjectName]]),(ProjectInfoTable[ProjectName]=CountersTable[[#This Row],[ProjectName]])*ProjectInfoTable[NumberOfReplications]))</f>
        <v>10</v>
      </c>
      <c r="J69" cm="1">
        <f t="array" ref="J69">IFERROR(AVERAGE(IF((CountersTable[GroupByKey]=CountersTable[[#This Row],[GroupByKey]]),(CountersTable[GroupByKey]=CountersTable[[#This Row],[GroupByKey]])*CountersTable[RecordedValue])),0)</f>
        <v>9194.4</v>
      </c>
      <c r="K69" cm="1">
        <f t="array" ref="K69">IFERROR(_xlfn.STDEV.S(IF((CountersTable[GroupByKey]=CountersTable[[#This Row],[GroupByKey]]),(CountersTable[GroupByKey]=CountersTable[[#This Row],[GroupByKey]])*CountersTable[RecordedValue])),0)</f>
        <v>6.0221812216726489</v>
      </c>
      <c r="L69" cm="1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4.3080089259303831</v>
      </c>
      <c r="N69" cm="1">
        <f t="array" ref="N69">MIN(IF((CountersTable[GroupByKey]=CountersTable[[#This Row],[GroupByKey]]),(CountersTable[GroupByKey]=CountersTable[[#This Row],[GroupByKey]])*CountersTable[RecordedValue]))</f>
        <v>9188</v>
      </c>
      <c r="O69" cm="1">
        <f t="array" ref="O69">MAX(IF((CountersTable[GroupByKey]=CountersTable[[#This Row],[GroupByKey]]),(CountersTable[GroupByKey]=CountersTable[[#This Row],[GroupByKey]])*CountersTable[RecordedValue]))</f>
        <v>9202</v>
      </c>
    </row>
    <row r="70" spans="1:15" x14ac:dyDescent="0.25">
      <c r="A70" t="s">
        <v>67</v>
      </c>
      <c r="B70" t="s">
        <v>243</v>
      </c>
      <c r="C70">
        <v>10</v>
      </c>
      <c r="D70" t="s">
        <v>148</v>
      </c>
      <c r="E70" t="s">
        <v>142</v>
      </c>
      <c r="F70" t="s">
        <v>143</v>
      </c>
      <c r="G70">
        <v>119</v>
      </c>
      <c r="H70" t="str">
        <f>CountersTable[[#This Row],[ProjectName]]&amp;CountersTable[[#This Row],[Name]]&amp;CountersTable[[#This Row],[Type]]&amp;CountersTable[[#This Row],[Source]]</f>
        <v>Unnamed ProjectSatisfied customerCountUser Specified</v>
      </c>
      <c r="I70" cm="1">
        <f t="array" ref="I70">MAX(IF((ProjectInfoTable[ProjectName]=CountersTable[[#This Row],[ProjectName]]),(ProjectInfoTable[ProjectName]=CountersTable[[#This Row],[ProjectName]])*ProjectInfoTable[NumberOfReplications]))</f>
        <v>10</v>
      </c>
      <c r="J70" cm="1">
        <f t="array" ref="J70">IFERROR(AVERAGE(IF((CountersTable[GroupByKey]=CountersTable[[#This Row],[GroupByKey]]),(CountersTable[GroupByKey]=CountersTable[[#This Row],[GroupByKey]])*CountersTable[RecordedValue])),0)</f>
        <v>118.7</v>
      </c>
      <c r="K70" cm="1">
        <f t="array" ref="K70">IFERROR(_xlfn.STDEV.S(IF((CountersTable[GroupByKey]=CountersTable[[#This Row],[GroupByKey]]),(CountersTable[GroupByKey]=CountersTable[[#This Row],[GroupByKey]])*CountersTable[RecordedValue])),0)</f>
        <v>12.587913073879887</v>
      </c>
      <c r="L70" cm="1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9.0048505491583946</v>
      </c>
      <c r="N70" cm="1">
        <f t="array" ref="N70">MIN(IF((CountersTable[GroupByKey]=CountersTable[[#This Row],[GroupByKey]]),(CountersTable[GroupByKey]=CountersTable[[#This Row],[GroupByKey]])*CountersTable[RecordedValue]))</f>
        <v>95</v>
      </c>
      <c r="O70" cm="1">
        <f t="array" ref="O70">MAX(IF((CountersTable[GroupByKey]=CountersTable[[#This Row],[GroupByKey]]),(CountersTable[GroupByKey]=CountersTable[[#This Row],[GroupByKey]])*CountersTable[RecordedValue]))</f>
        <v>141</v>
      </c>
    </row>
    <row r="71" spans="1:15" x14ac:dyDescent="0.25">
      <c r="A71" t="s">
        <v>67</v>
      </c>
      <c r="B71" t="s">
        <v>243</v>
      </c>
      <c r="C71">
        <v>10</v>
      </c>
      <c r="D71" t="s">
        <v>149</v>
      </c>
      <c r="E71" t="s">
        <v>142</v>
      </c>
      <c r="F71" t="s">
        <v>143</v>
      </c>
      <c r="G71">
        <v>153</v>
      </c>
      <c r="H71" t="str">
        <f>CountersTable[[#This Row],[ProjectName]]&amp;CountersTable[[#This Row],[Name]]&amp;CountersTable[[#This Row],[Type]]&amp;CountersTable[[#This Row],[Source]]</f>
        <v>Unnamed ProjectScrapCountUser Specified</v>
      </c>
      <c r="I71" cm="1">
        <f t="array" ref="I71">MAX(IF((ProjectInfoTable[ProjectName]=CountersTable[[#This Row],[ProjectName]]),(ProjectInfoTable[ProjectName]=CountersTable[[#This Row],[ProjectName]])*ProjectInfoTable[NumberOfReplications]))</f>
        <v>10</v>
      </c>
      <c r="J71" cm="1">
        <f t="array" ref="J71">IFERROR(AVERAGE(IF((CountersTable[GroupByKey]=CountersTable[[#This Row],[GroupByKey]]),(CountersTable[GroupByKey]=CountersTable[[#This Row],[GroupByKey]])*CountersTable[RecordedValue])),0)</f>
        <v>129.69999999999999</v>
      </c>
      <c r="K71" cm="1">
        <f t="array" ref="K71">IFERROR(_xlfn.STDEV.S(IF((CountersTable[GroupByKey]=CountersTable[[#This Row],[GroupByKey]]),(CountersTable[GroupByKey]=CountersTable[[#This Row],[GroupByKey]])*CountersTable[RecordedValue])),0)</f>
        <v>14.461058820923967</v>
      </c>
      <c r="L71" cm="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10.344818295195957</v>
      </c>
      <c r="N71" cm="1">
        <f t="array" ref="N71">MIN(IF((CountersTable[GroupByKey]=CountersTable[[#This Row],[GroupByKey]]),(CountersTable[GroupByKey]=CountersTable[[#This Row],[GroupByKey]])*CountersTable[RecordedValue]))</f>
        <v>105</v>
      </c>
      <c r="O71" cm="1">
        <f t="array" ref="O71">MAX(IF((CountersTable[GroupByKey]=CountersTable[[#This Row],[GroupByKey]]),(CountersTable[GroupByKey]=CountersTable[[#This Row],[GroupByKey]])*CountersTable[RecordedValue]))</f>
        <v>153</v>
      </c>
    </row>
  </sheetData>
  <phoneticPr fontId="2" type="noConversion"/>
  <conditionalFormatting sqref="H2:O71">
    <cfRule type="expression" dxfId="13" priority="2">
      <formula>MOD(ROW(),2)=0</formula>
    </cfRule>
  </conditionalFormatting>
  <conditionalFormatting sqref="M2:M71">
    <cfRule type="expression" dxfId="12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61"/>
  <sheetViews>
    <sheetView workbookViewId="0">
      <selection activeCell="H22" sqref="H2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6.5703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0.425781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243</v>
      </c>
      <c r="C2">
        <v>1</v>
      </c>
      <c r="D2" t="s">
        <v>151</v>
      </c>
      <c r="E2" t="s">
        <v>152</v>
      </c>
      <c r="F2" t="s">
        <v>113</v>
      </c>
      <c r="G2">
        <v>6543</v>
      </c>
      <c r="H2">
        <v>0</v>
      </c>
      <c r="I2" t="str">
        <f>OutputTable[[#This Row],[ProjectName]]&amp;OutputTable[[#This Row],[Name]]&amp;OutputTable[[#This Row],[Type]]&amp;OutputTable[[#This Row],[Source]]</f>
        <v>Unnamed ProjectAssembler.NumberSeizedTotal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6547.7</v>
      </c>
      <c r="L2" cm="1">
        <f t="array" ref="L2">IFERROR(_xlfn.STDEV.S(IF((OutputTable[GroupByKey]=OutputTable[[#This Row],[GroupByKey]]),(OutputTable[GroupByKey]=OutputTable[[#This Row],[GroupByKey]])*OutputTable[RecordedValue])),0)</f>
        <v>5.735852159879995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2" cm="1">
        <f t="array" ref="O2">MIN(IF((OutputTable[GroupByKey]=OutputTable[[#This Row],[GroupByKey]]),(OutputTable[GroupByKey]=OutputTable[[#This Row],[GroupByKey]])*OutputTable[RecordedValue]))</f>
        <v>6540</v>
      </c>
      <c r="P2" cm="1">
        <f t="array" ref="P2">MAX(IF((OutputTable[GroupByKey]=OutputTable[[#This Row],[GroupByKey]]),(OutputTable[GroupByKey]=OutputTable[[#This Row],[GroupByKey]])*OutputTable[RecordedValue]))</f>
        <v>6557</v>
      </c>
    </row>
    <row r="3" spans="1:16" x14ac:dyDescent="0.25">
      <c r="A3" t="s">
        <v>67</v>
      </c>
      <c r="B3" t="s">
        <v>243</v>
      </c>
      <c r="C3">
        <v>1</v>
      </c>
      <c r="D3" t="s">
        <v>153</v>
      </c>
      <c r="E3" t="s">
        <v>154</v>
      </c>
      <c r="F3" t="s">
        <v>113</v>
      </c>
      <c r="G3">
        <v>7.5577438353852999E-2</v>
      </c>
      <c r="H3">
        <v>0</v>
      </c>
      <c r="I3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7.575658911226775E-2</v>
      </c>
      <c r="L3" cm="1">
        <f t="array" ref="L3">IFERROR(_xlfn.STDEV.S(IF((OutputTable[GroupByKey]=OutputTable[[#This Row],[GroupByKey]]),(OutputTable[GroupByKey]=OutputTable[[#This Row],[GroupByKey]])*OutputTable[RecordedValue])),0)</f>
        <v>1.4019953141627205E-4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1.0029270301248135E-4</v>
      </c>
      <c r="O3" cm="1">
        <f t="array" ref="O3">MIN(IF((OutputTable[GroupByKey]=OutputTable[[#This Row],[GroupByKey]]),(OutputTable[GroupByKey]=OutputTable[[#This Row],[GroupByKey]])*OutputTable[RecordedValue]))</f>
        <v>7.5477645584878503E-2</v>
      </c>
      <c r="P3" cm="1">
        <f t="array" ref="P3">MAX(IF((OutputTable[GroupByKey]=OutputTable[[#This Row],[GroupByKey]]),(OutputTable[GroupByKey]=OutputTable[[#This Row],[GroupByKey]])*OutputTable[RecordedValue]))</f>
        <v>7.5973148639726207E-2</v>
      </c>
    </row>
    <row r="4" spans="1:16" x14ac:dyDescent="0.25">
      <c r="A4" t="s">
        <v>67</v>
      </c>
      <c r="B4" t="s">
        <v>243</v>
      </c>
      <c r="C4">
        <v>1</v>
      </c>
      <c r="D4" t="s">
        <v>155</v>
      </c>
      <c r="E4" t="s">
        <v>156</v>
      </c>
      <c r="F4" t="s">
        <v>76</v>
      </c>
      <c r="G4">
        <v>1102</v>
      </c>
      <c r="H4">
        <v>0</v>
      </c>
      <c r="I4" t="str">
        <f>OutputTable[[#This Row],[ProjectName]]&amp;OutputTable[[#This Row],[Name]]&amp;OutputTable[[#This Row],[Type]]&amp;OutputTable[[#This Row],[Source]]</f>
        <v>Unnamed ProjectCustomer.NumberInNumber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1090.3</v>
      </c>
      <c r="L4" cm="1">
        <f t="array" ref="L4">IFERROR(_xlfn.STDEV.S(IF((OutputTable[GroupByKey]=OutputTable[[#This Row],[GroupByKey]]),(OutputTable[GroupByKey]=OutputTable[[#This Row],[GroupByKey]])*OutputTable[RecordedValue])),0)</f>
        <v>32.666836734251177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4" cm="1">
        <f t="array" ref="O4">MIN(IF((OutputTable[GroupByKey]=OutputTable[[#This Row],[GroupByKey]]),(OutputTable[GroupByKey]=OutputTable[[#This Row],[GroupByKey]])*OutputTable[RecordedValue]))</f>
        <v>1042</v>
      </c>
      <c r="P4" cm="1">
        <f t="array" ref="P4">MAX(IF((OutputTable[GroupByKey]=OutputTable[[#This Row],[GroupByKey]]),(OutputTable[GroupByKey]=OutputTable[[#This Row],[GroupByKey]])*OutputTable[RecordedValue]))</f>
        <v>1141</v>
      </c>
    </row>
    <row r="5" spans="1:16" x14ac:dyDescent="0.25">
      <c r="A5" t="s">
        <v>67</v>
      </c>
      <c r="B5" t="s">
        <v>243</v>
      </c>
      <c r="C5">
        <v>1</v>
      </c>
      <c r="D5" t="s">
        <v>157</v>
      </c>
      <c r="E5" t="s">
        <v>158</v>
      </c>
      <c r="F5" t="s">
        <v>76</v>
      </c>
      <c r="G5">
        <v>1102</v>
      </c>
      <c r="H5">
        <v>0</v>
      </c>
      <c r="I5" t="str">
        <f>OutputTable[[#This Row],[ProjectName]]&amp;OutputTable[[#This Row],[Name]]&amp;OutputTable[[#This Row],[Type]]&amp;OutputTable[[#This Row],[Source]]</f>
        <v>Unnamed ProjectCustomer.NumberOutNumber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1090.3</v>
      </c>
      <c r="L5" cm="1">
        <f t="array" ref="L5">IFERROR(_xlfn.STDEV.S(IF((OutputTable[GroupByKey]=OutputTable[[#This Row],[GroupByKey]]),(OutputTable[GroupByKey]=OutputTable[[#This Row],[GroupByKey]])*OutputTable[RecordedValue])),0)</f>
        <v>32.666836734251177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5" cm="1">
        <f t="array" ref="O5">MIN(IF((OutputTable[GroupByKey]=OutputTable[[#This Row],[GroupByKey]]),(OutputTable[GroupByKey]=OutputTable[[#This Row],[GroupByKey]])*OutputTable[RecordedValue]))</f>
        <v>1042</v>
      </c>
      <c r="P5" cm="1">
        <f t="array" ref="P5">MAX(IF((OutputTable[GroupByKey]=OutputTable[[#This Row],[GroupByKey]]),(OutputTable[GroupByKey]=OutputTable[[#This Row],[GroupByKey]])*OutputTable[RecordedValue]))</f>
        <v>1141</v>
      </c>
    </row>
    <row r="6" spans="1:16" x14ac:dyDescent="0.25">
      <c r="A6" t="s">
        <v>67</v>
      </c>
      <c r="B6" t="s">
        <v>243</v>
      </c>
      <c r="C6">
        <v>1</v>
      </c>
      <c r="D6" t="s">
        <v>159</v>
      </c>
      <c r="E6" t="s">
        <v>156</v>
      </c>
      <c r="F6" t="s">
        <v>76</v>
      </c>
      <c r="G6">
        <v>19788</v>
      </c>
      <c r="H6">
        <v>0</v>
      </c>
      <c r="I6" t="str">
        <f>OutputTable[[#This Row],[ProjectName]]&amp;OutputTable[[#This Row],[Name]]&amp;OutputTable[[#This Row],[Type]]&amp;OutputTable[[#This Row],[Source]]</f>
        <v>Unnamed ProjectEntity 1.NumberInNumber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19822.900000000001</v>
      </c>
      <c r="L6" cm="1">
        <f t="array" ref="L6">IFERROR(_xlfn.STDEV.S(IF((OutputTable[GroupByKey]=OutputTable[[#This Row],[GroupByKey]]),(OutputTable[GroupByKey]=OutputTable[[#This Row],[GroupByKey]])*OutputTable[RecordedValue])),0)</f>
        <v>20.151922985164472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14.415817276026377</v>
      </c>
      <c r="O6" cm="1">
        <f t="array" ref="O6">MIN(IF((OutputTable[GroupByKey]=OutputTable[[#This Row],[GroupByKey]]),(OutputTable[GroupByKey]=OutputTable[[#This Row],[GroupByKey]])*OutputTable[RecordedValue]))</f>
        <v>19788</v>
      </c>
      <c r="P6" cm="1">
        <f t="array" ref="P6">MAX(IF((OutputTable[GroupByKey]=OutputTable[[#This Row],[GroupByKey]]),(OutputTable[GroupByKey]=OutputTable[[#This Row],[GroupByKey]])*OutputTable[RecordedValue]))</f>
        <v>19852</v>
      </c>
    </row>
    <row r="7" spans="1:16" x14ac:dyDescent="0.25">
      <c r="A7" t="s">
        <v>67</v>
      </c>
      <c r="B7" t="s">
        <v>243</v>
      </c>
      <c r="C7">
        <v>1</v>
      </c>
      <c r="D7" t="s">
        <v>160</v>
      </c>
      <c r="E7" t="s">
        <v>158</v>
      </c>
      <c r="F7" t="s">
        <v>76</v>
      </c>
      <c r="G7">
        <v>19623</v>
      </c>
      <c r="H7">
        <v>0</v>
      </c>
      <c r="I7" t="str">
        <f>OutputTable[[#This Row],[ProjectName]]&amp;OutputTable[[#This Row],[Name]]&amp;OutputTable[[#This Row],[Type]]&amp;OutputTable[[#This Row],[Source]]</f>
        <v>Unnamed ProjectEntity 1.NumberOutNumber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19635.599999999999</v>
      </c>
      <c r="L7" cm="1">
        <f t="array" ref="L7">IFERROR(_xlfn.STDEV.S(IF((OutputTable[GroupByKey]=OutputTable[[#This Row],[GroupByKey]]),(OutputTable[GroupByKey]=OutputTable[[#This Row],[GroupByKey]])*OutputTable[RecordedValue])),0)</f>
        <v>15.086417732516889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7" cm="1">
        <f t="array" ref="O7">MIN(IF((OutputTable[GroupByKey]=OutputTable[[#This Row],[GroupByKey]]),(OutputTable[GroupByKey]=OutputTable[[#This Row],[GroupByKey]])*OutputTable[RecordedValue]))</f>
        <v>19614</v>
      </c>
      <c r="P7" cm="1">
        <f t="array" ref="P7">MAX(IF((OutputTable[GroupByKey]=OutputTable[[#This Row],[GroupByKey]]),(OutputTable[GroupByKey]=OutputTable[[#This Row],[GroupByKey]])*OutputTable[RecordedValue]))</f>
        <v>19662</v>
      </c>
    </row>
    <row r="8" spans="1:16" x14ac:dyDescent="0.25">
      <c r="A8" t="s">
        <v>67</v>
      </c>
      <c r="B8" t="s">
        <v>243</v>
      </c>
      <c r="C8">
        <v>1</v>
      </c>
      <c r="D8" t="s">
        <v>161</v>
      </c>
      <c r="E8" t="s">
        <v>156</v>
      </c>
      <c r="F8" t="s">
        <v>76</v>
      </c>
      <c r="G8">
        <v>8406</v>
      </c>
      <c r="H8">
        <v>0</v>
      </c>
      <c r="I8" t="str">
        <f>OutputTable[[#This Row],[ProjectName]]&amp;OutputTable[[#This Row],[Name]]&amp;OutputTable[[#This Row],[Type]]&amp;OutputTable[[#This Row],[Source]]</f>
        <v>Unnamed ProjectEntity 2.NumberInNumber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8398</v>
      </c>
      <c r="L8" cm="1">
        <f t="array" ref="L8">IFERROR(_xlfn.STDEV.S(IF((OutputTable[GroupByKey]=OutputTable[[#This Row],[GroupByKey]]),(OutputTable[GroupByKey]=OutputTable[[#This Row],[GroupByKey]])*OutputTable[RecordedValue])),0)</f>
        <v>24.133885813197271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17.264341884378119</v>
      </c>
      <c r="O8" cm="1">
        <f t="array" ref="O8">MIN(IF((OutputTable[GroupByKey]=OutputTable[[#This Row],[GroupByKey]]),(OutputTable[GroupByKey]=OutputTable[[#This Row],[GroupByKey]])*OutputTable[RecordedValue]))</f>
        <v>8353</v>
      </c>
      <c r="P8" cm="1">
        <f t="array" ref="P8">MAX(IF((OutputTable[GroupByKey]=OutputTable[[#This Row],[GroupByKey]]),(OutputTable[GroupByKey]=OutputTable[[#This Row],[GroupByKey]])*OutputTable[RecordedValue]))</f>
        <v>8437</v>
      </c>
    </row>
    <row r="9" spans="1:16" x14ac:dyDescent="0.25">
      <c r="A9" t="s">
        <v>67</v>
      </c>
      <c r="B9" t="s">
        <v>243</v>
      </c>
      <c r="C9">
        <v>1</v>
      </c>
      <c r="D9" t="s">
        <v>162</v>
      </c>
      <c r="E9" t="s">
        <v>158</v>
      </c>
      <c r="F9" t="s">
        <v>76</v>
      </c>
      <c r="G9">
        <v>6541</v>
      </c>
      <c r="H9">
        <v>0</v>
      </c>
      <c r="I9" t="str">
        <f>OutputTable[[#This Row],[ProjectName]]&amp;OutputTable[[#This Row],[Name]]&amp;OutputTable[[#This Row],[Type]]&amp;OutputTable[[#This Row],[Source]]</f>
        <v>Unnamed ProjectEntity 2.NumberOutNumber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6545.2</v>
      </c>
      <c r="L9" cm="1">
        <f t="array" ref="L9">IFERROR(_xlfn.STDEV.S(IF((OutputTable[GroupByKey]=OutputTable[[#This Row],[GroupByKey]]),(OutputTable[GroupByKey]=OutputTable[[#This Row],[GroupByKey]])*OutputTable[RecordedValue])),0)</f>
        <v>5.0288059108389627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3.5973910371047504</v>
      </c>
      <c r="O9" cm="1">
        <f t="array" ref="O9">MIN(IF((OutputTable[GroupByKey]=OutputTable[[#This Row],[GroupByKey]]),(OutputTable[GroupByKey]=OutputTable[[#This Row],[GroupByKey]])*OutputTable[RecordedValue]))</f>
        <v>6538</v>
      </c>
      <c r="P9" cm="1">
        <f t="array" ref="P9">MAX(IF((OutputTable[GroupByKey]=OutputTable[[#This Row],[GroupByKey]]),(OutputTable[GroupByKey]=OutputTable[[#This Row],[GroupByKey]])*OutputTable[RecordedValue]))</f>
        <v>6554</v>
      </c>
    </row>
    <row r="10" spans="1:16" x14ac:dyDescent="0.25">
      <c r="A10" t="s">
        <v>67</v>
      </c>
      <c r="B10" t="s">
        <v>243</v>
      </c>
      <c r="C10">
        <v>1</v>
      </c>
      <c r="D10" t="s">
        <v>163</v>
      </c>
      <c r="E10" t="s">
        <v>156</v>
      </c>
      <c r="F10" t="s">
        <v>76</v>
      </c>
      <c r="G10">
        <v>27724</v>
      </c>
      <c r="H10">
        <v>0</v>
      </c>
      <c r="I10" t="str">
        <f>OutputTable[[#This Row],[ProjectName]]&amp;OutputTable[[#This Row],[Name]]&amp;OutputTable[[#This Row],[Type]]&amp;OutputTable[[#This Row],[Source]]</f>
        <v>Unnamed ProjectEntity 3.NumberInNumber InEntity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27753.7</v>
      </c>
      <c r="L10" cm="1">
        <f t="array" ref="L10">IFERROR(_xlfn.STDEV.S(IF((OutputTable[GroupByKey]=OutputTable[[#This Row],[GroupByKey]]),(OutputTable[GroupByKey]=OutputTable[[#This Row],[GroupByKey]])*OutputTable[RecordedValue])),0)</f>
        <v>25.447331228768697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18.203924133022646</v>
      </c>
      <c r="O10" cm="1">
        <f t="array" ref="O10">MIN(IF((OutputTable[GroupByKey]=OutputTable[[#This Row],[GroupByKey]]),(OutputTable[GroupByKey]=OutputTable[[#This Row],[GroupByKey]])*OutputTable[RecordedValue]))</f>
        <v>27724</v>
      </c>
      <c r="P10" cm="1">
        <f t="array" ref="P10">MAX(IF((OutputTable[GroupByKey]=OutputTable[[#This Row],[GroupByKey]]),(OutputTable[GroupByKey]=OutputTable[[#This Row],[GroupByKey]])*OutputTable[RecordedValue]))</f>
        <v>27792</v>
      </c>
    </row>
    <row r="11" spans="1:16" x14ac:dyDescent="0.25">
      <c r="A11" t="s">
        <v>67</v>
      </c>
      <c r="B11" t="s">
        <v>243</v>
      </c>
      <c r="C11">
        <v>1</v>
      </c>
      <c r="D11" t="s">
        <v>164</v>
      </c>
      <c r="E11" t="s">
        <v>158</v>
      </c>
      <c r="F11" t="s">
        <v>76</v>
      </c>
      <c r="G11">
        <v>19623</v>
      </c>
      <c r="H11">
        <v>0</v>
      </c>
      <c r="I11" t="str">
        <f>OutputTable[[#This Row],[ProjectName]]&amp;OutputTable[[#This Row],[Name]]&amp;OutputTable[[#This Row],[Type]]&amp;OutputTable[[#This Row],[Source]]</f>
        <v>Unnamed ProjectEntity 3.NumberOutNumber OutEntity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19635.599999999999</v>
      </c>
      <c r="L11" cm="1">
        <f t="array" ref="L11">IFERROR(_xlfn.STDEV.S(IF((OutputTable[GroupByKey]=OutputTable[[#This Row],[GroupByKey]]),(OutputTable[GroupByKey]=OutputTable[[#This Row],[GroupByKey]])*OutputTable[RecordedValue])),0)</f>
        <v>15.086417732516889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11" cm="1">
        <f t="array" ref="O11">MIN(IF((OutputTable[GroupByKey]=OutputTable[[#This Row],[GroupByKey]]),(OutputTable[GroupByKey]=OutputTable[[#This Row],[GroupByKey]])*OutputTable[RecordedValue]))</f>
        <v>19614</v>
      </c>
      <c r="P11" cm="1">
        <f t="array" ref="P11">MAX(IF((OutputTable[GroupByKey]=OutputTable[[#This Row],[GroupByKey]]),(OutputTable[GroupByKey]=OutputTable[[#This Row],[GroupByKey]])*OutputTable[RecordedValue]))</f>
        <v>19662</v>
      </c>
    </row>
    <row r="12" spans="1:16" x14ac:dyDescent="0.25">
      <c r="A12" t="s">
        <v>67</v>
      </c>
      <c r="B12" t="s">
        <v>243</v>
      </c>
      <c r="C12">
        <v>1</v>
      </c>
      <c r="D12" t="s">
        <v>165</v>
      </c>
      <c r="E12" t="s">
        <v>152</v>
      </c>
      <c r="F12" t="s">
        <v>113</v>
      </c>
      <c r="G12">
        <v>13094</v>
      </c>
      <c r="H12">
        <v>0</v>
      </c>
      <c r="I12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13103.5</v>
      </c>
      <c r="L12" cm="1">
        <f t="array" ref="L12">IFERROR(_xlfn.STDEV.S(IF((OutputTable[GroupByKey]=OutputTable[[#This Row],[GroupByKey]]),(OutputTable[GroupByKey]=OutputTable[[#This Row],[GroupByKey]])*OutputTable[RecordedValue])),0)</f>
        <v>11.443095929181249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12" cm="1">
        <f t="array" ref="O12">MIN(IF((OutputTable[GroupByKey]=OutputTable[[#This Row],[GroupByKey]]),(OutputTable[GroupByKey]=OutputTable[[#This Row],[GroupByKey]])*OutputTable[RecordedValue]))</f>
        <v>13087</v>
      </c>
      <c r="P12" cm="1">
        <f t="array" ref="P12">MAX(IF((OutputTable[GroupByKey]=OutputTable[[#This Row],[GroupByKey]]),(OutputTable[GroupByKey]=OutputTable[[#This Row],[GroupByKey]])*OutputTable[RecordedValue]))</f>
        <v>13120</v>
      </c>
    </row>
    <row r="13" spans="1:16" x14ac:dyDescent="0.25">
      <c r="A13" t="s">
        <v>67</v>
      </c>
      <c r="B13" t="s">
        <v>243</v>
      </c>
      <c r="C13">
        <v>1</v>
      </c>
      <c r="D13" t="s">
        <v>166</v>
      </c>
      <c r="E13" t="s">
        <v>154</v>
      </c>
      <c r="F13" t="s">
        <v>113</v>
      </c>
      <c r="G13">
        <v>0.54935965090116101</v>
      </c>
      <c r="H13">
        <v>0</v>
      </c>
      <c r="I13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0.48160620907873086</v>
      </c>
      <c r="L13" cm="1">
        <f t="array" ref="L13">IFERROR(_xlfn.STDEV.S(IF((OutputTable[GroupByKey]=OutputTable[[#This Row],[GroupByKey]]),(OutputTable[GroupByKey]=OutputTable[[#This Row],[GroupByKey]])*OutputTable[RecordedValue])),0)</f>
        <v>8.6686321722355061E-2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6.2011658897281531E-2</v>
      </c>
      <c r="O13" cm="1">
        <f t="array" ref="O13">MIN(IF((OutputTable[GroupByKey]=OutputTable[[#This Row],[GroupByKey]]),(OutputTable[GroupByKey]=OutputTable[[#This Row],[GroupByKey]])*OutputTable[RecordedValue]))</f>
        <v>0.292184201252493</v>
      </c>
      <c r="P13" cm="1">
        <f t="array" ref="P13">MAX(IF((OutputTable[GroupByKey]=OutputTable[[#This Row],[GroupByKey]]),(OutputTable[GroupByKey]=OutputTable[[#This Row],[GroupByKey]])*OutputTable[RecordedValue]))</f>
        <v>0.57167989674475905</v>
      </c>
    </row>
    <row r="14" spans="1:16" x14ac:dyDescent="0.25">
      <c r="A14" t="s">
        <v>67</v>
      </c>
      <c r="B14" t="s">
        <v>243</v>
      </c>
      <c r="C14">
        <v>1</v>
      </c>
      <c r="D14" t="s">
        <v>167</v>
      </c>
      <c r="E14" t="s">
        <v>152</v>
      </c>
      <c r="F14" t="s">
        <v>113</v>
      </c>
      <c r="G14">
        <v>13090</v>
      </c>
      <c r="H14">
        <v>0</v>
      </c>
      <c r="I14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13100.1</v>
      </c>
      <c r="L14" cm="1">
        <f t="array" ref="L14">IFERROR(_xlfn.STDEV.S(IF((OutputTable[GroupByKey]=OutputTable[[#This Row],[GroupByKey]]),(OutputTable[GroupByKey]=OutputTable[[#This Row],[GroupByKey]])*OutputTable[RecordedValue])),0)</f>
        <v>11.46443776786866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14" cm="1">
        <f t="array" ref="O14">MIN(IF((OutputTable[GroupByKey]=OutputTable[[#This Row],[GroupByKey]]),(OutputTable[GroupByKey]=OutputTable[[#This Row],[GroupByKey]])*OutputTable[RecordedValue]))</f>
        <v>13083</v>
      </c>
      <c r="P14" cm="1">
        <f t="array" ref="P14">MAX(IF((OutputTable[GroupByKey]=OutputTable[[#This Row],[GroupByKey]]),(OutputTable[GroupByKey]=OutputTable[[#This Row],[GroupByKey]])*OutputTable[RecordedValue]))</f>
        <v>13118</v>
      </c>
    </row>
    <row r="15" spans="1:16" x14ac:dyDescent="0.25">
      <c r="A15" t="s">
        <v>67</v>
      </c>
      <c r="B15" t="s">
        <v>243</v>
      </c>
      <c r="C15">
        <v>1</v>
      </c>
      <c r="D15" t="s">
        <v>168</v>
      </c>
      <c r="E15" t="s">
        <v>154</v>
      </c>
      <c r="F15" t="s">
        <v>113</v>
      </c>
      <c r="G15">
        <v>0.238076255778323</v>
      </c>
      <c r="H15">
        <v>0</v>
      </c>
      <c r="I15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0.25269289312392168</v>
      </c>
      <c r="L15" cm="1">
        <f t="array" ref="L15">IFERROR(_xlfn.STDEV.S(IF((OutputTable[GroupByKey]=OutputTable[[#This Row],[GroupByKey]]),(OutputTable[GroupByKey]=OutputTable[[#This Row],[GroupByKey]])*OutputTable[RecordedValue])),0)</f>
        <v>4.921401008308305E-2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3.5205581983443382E-2</v>
      </c>
      <c r="O15" cm="1">
        <f t="array" ref="O15">MIN(IF((OutputTable[GroupByKey]=OutputTable[[#This Row],[GroupByKey]]),(OutputTable[GroupByKey]=OutputTable[[#This Row],[GroupByKey]])*OutputTable[RecordedValue]))</f>
        <v>0.20500025225945601</v>
      </c>
      <c r="P15" cm="1">
        <f t="array" ref="P15">MAX(IF((OutputTable[GroupByKey]=OutputTable[[#This Row],[GroupByKey]]),(OutputTable[GroupByKey]=OutputTable[[#This Row],[GroupByKey]])*OutputTable[RecordedValue]))</f>
        <v>0.33570777662711399</v>
      </c>
    </row>
    <row r="16" spans="1:16" x14ac:dyDescent="0.25">
      <c r="A16" t="s">
        <v>67</v>
      </c>
      <c r="B16" t="s">
        <v>243</v>
      </c>
      <c r="C16">
        <v>1</v>
      </c>
      <c r="D16" t="s">
        <v>169</v>
      </c>
      <c r="E16" t="s">
        <v>152</v>
      </c>
      <c r="F16" t="s">
        <v>113</v>
      </c>
      <c r="G16">
        <v>13090</v>
      </c>
      <c r="H16">
        <v>0</v>
      </c>
      <c r="I16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13099.9</v>
      </c>
      <c r="L16" cm="1">
        <f t="array" ref="L16">IFERROR(_xlfn.STDEV.S(IF((OutputTable[GroupByKey]=OutputTable[[#This Row],[GroupByKey]]),(OutputTable[GroupByKey]=OutputTable[[#This Row],[GroupByKey]])*OutputTable[RecordedValue])),0)</f>
        <v>11.761046816598522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16" cm="1">
        <f t="array" ref="O16">MIN(IF((OutputTable[GroupByKey]=OutputTable[[#This Row],[GroupByKey]]),(OutputTable[GroupByKey]=OutputTable[[#This Row],[GroupByKey]])*OutputTable[RecordedValue]))</f>
        <v>13082</v>
      </c>
      <c r="P16" cm="1">
        <f t="array" ref="P16">MAX(IF((OutputTable[GroupByKey]=OutputTable[[#This Row],[GroupByKey]]),(OutputTable[GroupByKey]=OutputTable[[#This Row],[GroupByKey]])*OutputTable[RecordedValue]))</f>
        <v>13118</v>
      </c>
    </row>
    <row r="17" spans="1:16" x14ac:dyDescent="0.25">
      <c r="A17" t="s">
        <v>67</v>
      </c>
      <c r="B17" t="s">
        <v>243</v>
      </c>
      <c r="C17">
        <v>1</v>
      </c>
      <c r="D17" t="s">
        <v>170</v>
      </c>
      <c r="E17" t="s">
        <v>154</v>
      </c>
      <c r="F17" t="s">
        <v>113</v>
      </c>
      <c r="G17">
        <v>0.15149029545843401</v>
      </c>
      <c r="H17">
        <v>0</v>
      </c>
      <c r="I17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0.151561654865698</v>
      </c>
      <c r="L17" cm="1">
        <f t="array" ref="L17">IFERROR(_xlfn.STDEV.S(IF((OutputTable[GroupByKey]=OutputTable[[#This Row],[GroupByKey]]),(OutputTable[GroupByKey]=OutputTable[[#This Row],[GroupByKey]])*OutputTable[RecordedValue])),0)</f>
        <v>1.2198256688170919E-4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8.7261071626859165E-5</v>
      </c>
      <c r="O17" cm="1">
        <f t="array" ref="O17">MIN(IF((OutputTable[GroupByKey]=OutputTable[[#This Row],[GroupByKey]]),(OutputTable[GroupByKey]=OutputTable[[#This Row],[GroupByKey]])*OutputTable[RecordedValue]))</f>
        <v>0.15134711042770399</v>
      </c>
      <c r="P17" cm="1">
        <f t="array" ref="P17">MAX(IF((OutputTable[GroupByKey]=OutputTable[[#This Row],[GroupByKey]]),(OutputTable[GroupByKey]=OutputTable[[#This Row],[GroupByKey]])*OutputTable[RecordedValue]))</f>
        <v>0.15172806047441101</v>
      </c>
    </row>
    <row r="18" spans="1:16" x14ac:dyDescent="0.25">
      <c r="A18" t="s">
        <v>67</v>
      </c>
      <c r="B18" t="s">
        <v>243</v>
      </c>
      <c r="C18">
        <v>1</v>
      </c>
      <c r="D18" t="s">
        <v>171</v>
      </c>
      <c r="E18" t="s">
        <v>152</v>
      </c>
      <c r="F18" t="s">
        <v>113</v>
      </c>
      <c r="G18">
        <v>8235</v>
      </c>
      <c r="H18">
        <v>0</v>
      </c>
      <c r="I18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8235</v>
      </c>
      <c r="L18" cm="1">
        <f t="array" ref="L18">IFERROR(_xlfn.STDEV.S(IF((OutputTable[GroupByKey]=OutputTable[[#This Row],[GroupByKey]]),(OutputTable[GroupByKey]=OutputTable[[#This Row],[GroupByKey]])*OutputTable[RecordedValue])),0)</f>
        <v>6.5659052011974035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18" cm="1">
        <f t="array" ref="O18">MIN(IF((OutputTable[GroupByKey]=OutputTable[[#This Row],[GroupByKey]]),(OutputTable[GroupByKey]=OutputTable[[#This Row],[GroupByKey]])*OutputTable[RecordedValue]))</f>
        <v>8223</v>
      </c>
      <c r="P18" cm="1">
        <f t="array" ref="P18">MAX(IF((OutputTable[GroupByKey]=OutputTable[[#This Row],[GroupByKey]]),(OutputTable[GroupByKey]=OutputTable[[#This Row],[GroupByKey]])*OutputTable[RecordedValue]))</f>
        <v>8245</v>
      </c>
    </row>
    <row r="19" spans="1:16" x14ac:dyDescent="0.25">
      <c r="A19" t="s">
        <v>67</v>
      </c>
      <c r="B19" t="s">
        <v>243</v>
      </c>
      <c r="C19">
        <v>1</v>
      </c>
      <c r="D19" t="s">
        <v>172</v>
      </c>
      <c r="E19" t="s">
        <v>154</v>
      </c>
      <c r="F19" t="s">
        <v>113</v>
      </c>
      <c r="G19">
        <v>0.625269422960122</v>
      </c>
      <c r="H19">
        <v>0</v>
      </c>
      <c r="I19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0.84558522180863771</v>
      </c>
      <c r="L19" cm="1">
        <f t="array" ref="L19">IFERROR(_xlfn.STDEV.S(IF((OutputTable[GroupByKey]=OutputTable[[#This Row],[GroupByKey]]),(OutputTable[GroupByKey]=OutputTable[[#This Row],[GroupByKey]])*OutputTable[RecordedValue])),0)</f>
        <v>0.11694354024491282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8.3656369122856733E-2</v>
      </c>
      <c r="O19" cm="1">
        <f t="array" ref="O19">MIN(IF((OutputTable[GroupByKey]=OutputTable[[#This Row],[GroupByKey]]),(OutputTable[GroupByKey]=OutputTable[[#This Row],[GroupByKey]])*OutputTable[RecordedValue]))</f>
        <v>0.625269422960122</v>
      </c>
      <c r="P19" cm="1">
        <f t="array" ref="P19">MAX(IF((OutputTable[GroupByKey]=OutputTable[[#This Row],[GroupByKey]]),(OutputTable[GroupByKey]=OutputTable[[#This Row],[GroupByKey]])*OutputTable[RecordedValue]))</f>
        <v>0.95234896906597499</v>
      </c>
    </row>
    <row r="20" spans="1:16" x14ac:dyDescent="0.25">
      <c r="A20" t="s">
        <v>67</v>
      </c>
      <c r="B20" t="s">
        <v>243</v>
      </c>
      <c r="C20">
        <v>1</v>
      </c>
      <c r="D20" t="s">
        <v>173</v>
      </c>
      <c r="E20" t="s">
        <v>152</v>
      </c>
      <c r="F20" t="s">
        <v>113</v>
      </c>
      <c r="G20">
        <v>8235</v>
      </c>
      <c r="H20">
        <v>0</v>
      </c>
      <c r="I20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8233.5</v>
      </c>
      <c r="L20" cm="1">
        <f t="array" ref="L20">IFERROR(_xlfn.STDEV.S(IF((OutputTable[GroupByKey]=OutputTable[[#This Row],[GroupByKey]]),(OutputTable[GroupByKey]=OutputTable[[#This Row],[GroupByKey]])*OutputTable[RecordedValue])),0)</f>
        <v>6.5021364010437201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20" cm="1">
        <f t="array" ref="O20">MIN(IF((OutputTable[GroupByKey]=OutputTable[[#This Row],[GroupByKey]]),(OutputTable[GroupByKey]=OutputTable[[#This Row],[GroupByKey]])*OutputTable[RecordedValue]))</f>
        <v>8221</v>
      </c>
      <c r="P20" cm="1">
        <f t="array" ref="P20">MAX(IF((OutputTable[GroupByKey]=OutputTable[[#This Row],[GroupByKey]]),(OutputTable[GroupByKey]=OutputTable[[#This Row],[GroupByKey]])*OutputTable[RecordedValue]))</f>
        <v>8243</v>
      </c>
    </row>
    <row r="21" spans="1:16" x14ac:dyDescent="0.25">
      <c r="A21" t="s">
        <v>67</v>
      </c>
      <c r="B21" t="s">
        <v>243</v>
      </c>
      <c r="C21">
        <v>1</v>
      </c>
      <c r="D21" t="s">
        <v>174</v>
      </c>
      <c r="E21" t="s">
        <v>154</v>
      </c>
      <c r="F21" t="s">
        <v>113</v>
      </c>
      <c r="G21">
        <v>0.76444773332903604</v>
      </c>
      <c r="H21">
        <v>0</v>
      </c>
      <c r="I21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0.74077431571180286</v>
      </c>
      <c r="L21" cm="1">
        <f t="array" ref="L21">IFERROR(_xlfn.STDEV.S(IF((OutputTable[GroupByKey]=OutputTable[[#This Row],[GroupByKey]]),(OutputTable[GroupByKey]=OutputTable[[#This Row],[GroupByKey]])*OutputTable[RecordedValue])),0)</f>
        <v>6.1280007141721847E-2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4.3837076306762375E-2</v>
      </c>
      <c r="O21" cm="1">
        <f t="array" ref="O21">MIN(IF((OutputTable[GroupByKey]=OutputTable[[#This Row],[GroupByKey]]),(OutputTable[GroupByKey]=OutputTable[[#This Row],[GroupByKey]])*OutputTable[RecordedValue]))</f>
        <v>0.67060354368791897</v>
      </c>
      <c r="P21" cm="1">
        <f t="array" ref="P21">MAX(IF((OutputTable[GroupByKey]=OutputTable[[#This Row],[GroupByKey]]),(OutputTable[GroupByKey]=OutputTable[[#This Row],[GroupByKey]])*OutputTable[RecordedValue]))</f>
        <v>0.87728997349342697</v>
      </c>
    </row>
    <row r="22" spans="1:16" x14ac:dyDescent="0.25">
      <c r="A22" t="s">
        <v>67</v>
      </c>
      <c r="B22" t="s">
        <v>243</v>
      </c>
      <c r="C22">
        <v>1</v>
      </c>
      <c r="D22" t="s">
        <v>175</v>
      </c>
      <c r="E22" t="s">
        <v>152</v>
      </c>
      <c r="F22" t="s">
        <v>113</v>
      </c>
      <c r="G22">
        <v>8233</v>
      </c>
      <c r="H22">
        <v>0</v>
      </c>
      <c r="I22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8231.5</v>
      </c>
      <c r="L22" cm="1">
        <f t="array" ref="L22">IFERROR(_xlfn.STDEV.S(IF((OutputTable[GroupByKey]=OutputTable[[#This Row],[GroupByKey]]),(OutputTable[GroupByKey]=OutputTable[[#This Row],[GroupByKey]])*OutputTable[RecordedValue])),0)</f>
        <v>6.3464775882199236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22" cm="1">
        <f t="array" ref="O22">MIN(IF((OutputTable[GroupByKey]=OutputTable[[#This Row],[GroupByKey]]),(OutputTable[GroupByKey]=OutputTable[[#This Row],[GroupByKey]])*OutputTable[RecordedValue]))</f>
        <v>8220</v>
      </c>
      <c r="P22" cm="1">
        <f t="array" ref="P22">MAX(IF((OutputTable[GroupByKey]=OutputTable[[#This Row],[GroupByKey]]),(OutputTable[GroupByKey]=OutputTable[[#This Row],[GroupByKey]])*OutputTable[RecordedValue]))</f>
        <v>8241</v>
      </c>
    </row>
    <row r="23" spans="1:16" x14ac:dyDescent="0.25">
      <c r="A23" t="s">
        <v>67</v>
      </c>
      <c r="B23" t="s">
        <v>243</v>
      </c>
      <c r="C23">
        <v>1</v>
      </c>
      <c r="D23" t="s">
        <v>176</v>
      </c>
      <c r="E23" t="s">
        <v>154</v>
      </c>
      <c r="F23" t="s">
        <v>113</v>
      </c>
      <c r="G23">
        <v>0.53042523093406702</v>
      </c>
      <c r="H23">
        <v>0</v>
      </c>
      <c r="I23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0.52391445815006699</v>
      </c>
      <c r="L23" cm="1">
        <f t="array" ref="L23">IFERROR(_xlfn.STDEV.S(IF((OutputTable[GroupByKey]=OutputTable[[#This Row],[GroupByKey]]),(OutputTable[GroupByKey]=OutputTable[[#This Row],[GroupByKey]])*OutputTable[RecordedValue])),0)</f>
        <v>7.0460308415606909E-2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5.0404268221927347E-2</v>
      </c>
      <c r="O23" cm="1">
        <f t="array" ref="O23">MIN(IF((OutputTable[GroupByKey]=OutputTable[[#This Row],[GroupByKey]]),(OutputTable[GroupByKey]=OutputTable[[#This Row],[GroupByKey]])*OutputTable[RecordedValue]))</f>
        <v>0.36555656561218303</v>
      </c>
      <c r="P23" cm="1">
        <f t="array" ref="P23">MAX(IF((OutputTable[GroupByKey]=OutputTable[[#This Row],[GroupByKey]]),(OutputTable[GroupByKey]=OutputTable[[#This Row],[GroupByKey]])*OutputTable[RecordedValue]))</f>
        <v>0.59886206518967</v>
      </c>
    </row>
    <row r="24" spans="1:16" x14ac:dyDescent="0.25">
      <c r="A24" t="s">
        <v>67</v>
      </c>
      <c r="B24" t="s">
        <v>243</v>
      </c>
      <c r="C24">
        <v>1</v>
      </c>
      <c r="D24" t="s">
        <v>177</v>
      </c>
      <c r="E24" t="s">
        <v>152</v>
      </c>
      <c r="F24" t="s">
        <v>113</v>
      </c>
      <c r="G24">
        <v>8229</v>
      </c>
      <c r="H24">
        <v>0</v>
      </c>
      <c r="I24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8227.7000000000007</v>
      </c>
      <c r="L24" cm="1">
        <f t="array" ref="L24">IFERROR(_xlfn.STDEV.S(IF((OutputTable[GroupByKey]=OutputTable[[#This Row],[GroupByKey]]),(OutputTable[GroupByKey]=OutputTable[[#This Row],[GroupByKey]])*OutputTable[RecordedValue])),0)</f>
        <v>6.2902040242480748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24" cm="1">
        <f t="array" ref="O24">MIN(IF((OutputTable[GroupByKey]=OutputTable[[#This Row],[GroupByKey]]),(OutputTable[GroupByKey]=OutputTable[[#This Row],[GroupByKey]])*OutputTable[RecordedValue]))</f>
        <v>8216</v>
      </c>
      <c r="P24" cm="1">
        <f t="array" ref="P24">MAX(IF((OutputTable[GroupByKey]=OutputTable[[#This Row],[GroupByKey]]),(OutputTable[GroupByKey]=OutputTable[[#This Row],[GroupByKey]])*OutputTable[RecordedValue]))</f>
        <v>8237</v>
      </c>
    </row>
    <row r="25" spans="1:16" x14ac:dyDescent="0.25">
      <c r="A25" t="s">
        <v>67</v>
      </c>
      <c r="B25" t="s">
        <v>243</v>
      </c>
      <c r="C25">
        <v>1</v>
      </c>
      <c r="D25" t="s">
        <v>178</v>
      </c>
      <c r="E25" t="s">
        <v>154</v>
      </c>
      <c r="F25" t="s">
        <v>113</v>
      </c>
      <c r="G25">
        <v>0.14952864203343999</v>
      </c>
      <c r="H25">
        <v>0</v>
      </c>
      <c r="I25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0.14955853655775292</v>
      </c>
      <c r="L25" cm="1">
        <f t="array" ref="L25">IFERROR(_xlfn.STDEV.S(IF((OutputTable[GroupByKey]=OutputTable[[#This Row],[GroupByKey]]),(OutputTable[GroupByKey]=OutputTable[[#This Row],[GroupByKey]])*OutputTable[RecordedValue])),0)</f>
        <v>1.8487754554887928E-4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1.3225342896729691E-4</v>
      </c>
      <c r="O25" cm="1">
        <f t="array" ref="O25">MIN(IF((OutputTable[GroupByKey]=OutputTable[[#This Row],[GroupByKey]]),(OutputTable[GroupByKey]=OutputTable[[#This Row],[GroupByKey]])*OutputTable[RecordedValue]))</f>
        <v>0.14921189842985499</v>
      </c>
      <c r="P25" cm="1">
        <f t="array" ref="P25">MAX(IF((OutputTable[GroupByKey]=OutputTable[[#This Row],[GroupByKey]]),(OutputTable[GroupByKey]=OutputTable[[#This Row],[GroupByKey]])*OutputTable[RecordedValue]))</f>
        <v>0.14985050053976801</v>
      </c>
    </row>
    <row r="26" spans="1:16" x14ac:dyDescent="0.25">
      <c r="A26" t="s">
        <v>67</v>
      </c>
      <c r="B26" t="s">
        <v>243</v>
      </c>
      <c r="C26">
        <v>1</v>
      </c>
      <c r="D26" t="s">
        <v>179</v>
      </c>
      <c r="E26" t="s">
        <v>152</v>
      </c>
      <c r="F26" t="s">
        <v>113</v>
      </c>
      <c r="G26">
        <v>18379</v>
      </c>
      <c r="H26">
        <v>0</v>
      </c>
      <c r="I26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18392</v>
      </c>
      <c r="L26" cm="1">
        <f t="array" ref="L26">IFERROR(_xlfn.STDEV.S(IF((OutputTable[GroupByKey]=OutputTable[[#This Row],[GroupByKey]]),(OutputTable[GroupByKey]=OutputTable[[#This Row],[GroupByKey]])*OutputTable[RecordedValue])),0)</f>
        <v>12.884098726725126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26" cm="1">
        <f t="array" ref="O26">MIN(IF((OutputTable[GroupByKey]=OutputTable[[#This Row],[GroupByKey]]),(OutputTable[GroupByKey]=OutputTable[[#This Row],[GroupByKey]])*OutputTable[RecordedValue]))</f>
        <v>18376</v>
      </c>
      <c r="P26" cm="1">
        <f t="array" ref="P26">MAX(IF((OutputTable[GroupByKey]=OutputTable[[#This Row],[GroupByKey]]),(OutputTable[GroupByKey]=OutputTable[[#This Row],[GroupByKey]])*OutputTable[RecordedValue]))</f>
        <v>18407</v>
      </c>
    </row>
    <row r="27" spans="1:16" x14ac:dyDescent="0.25">
      <c r="A27" t="s">
        <v>67</v>
      </c>
      <c r="B27" t="s">
        <v>243</v>
      </c>
      <c r="C27">
        <v>1</v>
      </c>
      <c r="D27" t="s">
        <v>180</v>
      </c>
      <c r="E27" t="s">
        <v>154</v>
      </c>
      <c r="F27" t="s">
        <v>113</v>
      </c>
      <c r="G27">
        <v>0.80861282164602899</v>
      </c>
      <c r="H27">
        <v>0</v>
      </c>
      <c r="I27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0.78490250681152463</v>
      </c>
      <c r="L27" cm="1">
        <f t="array" ref="L27">IFERROR(_xlfn.STDEV.S(IF((OutputTable[GroupByKey]=OutputTable[[#This Row],[GroupByKey]]),(OutputTable[GroupByKey]=OutputTable[[#This Row],[GroupByKey]])*OutputTable[RecordedValue])),0)</f>
        <v>0.11345978752761485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8.1164242557843561E-2</v>
      </c>
      <c r="O27" cm="1">
        <f t="array" ref="O27">MIN(IF((OutputTable[GroupByKey]=OutputTable[[#This Row],[GroupByKey]]),(OutputTable[GroupByKey]=OutputTable[[#This Row],[GroupByKey]])*OutputTable[RecordedValue]))</f>
        <v>0.58338388917401596</v>
      </c>
      <c r="P27" cm="1">
        <f t="array" ref="P27">MAX(IF((OutputTable[GroupByKey]=OutputTable[[#This Row],[GroupByKey]]),(OutputTable[GroupByKey]=OutputTable[[#This Row],[GroupByKey]])*OutputTable[RecordedValue]))</f>
        <v>0.90111632059041802</v>
      </c>
    </row>
    <row r="28" spans="1:16" x14ac:dyDescent="0.25">
      <c r="A28" t="s">
        <v>67</v>
      </c>
      <c r="B28" t="s">
        <v>243</v>
      </c>
      <c r="C28">
        <v>1</v>
      </c>
      <c r="D28" t="s">
        <v>181</v>
      </c>
      <c r="E28" t="s">
        <v>152</v>
      </c>
      <c r="F28" t="s">
        <v>113</v>
      </c>
      <c r="G28">
        <v>18376</v>
      </c>
      <c r="H28">
        <v>0</v>
      </c>
      <c r="I28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18389.400000000001</v>
      </c>
      <c r="L28" cm="1">
        <f t="array" ref="L28">IFERROR(_xlfn.STDEV.S(IF((OutputTable[GroupByKey]=OutputTable[[#This Row],[GroupByKey]]),(OutputTable[GroupByKey]=OutputTable[[#This Row],[GroupByKey]])*OutputTable[RecordedValue])),0)</f>
        <v>12.103259432437566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28" cm="1">
        <f t="array" ref="O28">MIN(IF((OutputTable[GroupByKey]=OutputTable[[#This Row],[GroupByKey]]),(OutputTable[GroupByKey]=OutputTable[[#This Row],[GroupByKey]])*OutputTable[RecordedValue]))</f>
        <v>18376</v>
      </c>
      <c r="P28" cm="1">
        <f t="array" ref="P28">MAX(IF((OutputTable[GroupByKey]=OutputTable[[#This Row],[GroupByKey]]),(OutputTable[GroupByKey]=OutputTable[[#This Row],[GroupByKey]])*OutputTable[RecordedValue]))</f>
        <v>18404</v>
      </c>
    </row>
    <row r="29" spans="1:16" x14ac:dyDescent="0.25">
      <c r="A29" t="s">
        <v>67</v>
      </c>
      <c r="B29" t="s">
        <v>243</v>
      </c>
      <c r="C29">
        <v>1</v>
      </c>
      <c r="D29" t="s">
        <v>182</v>
      </c>
      <c r="E29" t="s">
        <v>154</v>
      </c>
      <c r="F29" t="s">
        <v>113</v>
      </c>
      <c r="G29">
        <v>0.15879096117508201</v>
      </c>
      <c r="H29">
        <v>0</v>
      </c>
      <c r="I29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0.15879210791146151</v>
      </c>
      <c r="L29" cm="1">
        <f t="array" ref="L29">IFERROR(_xlfn.STDEV.S(IF((OutputTable[GroupByKey]=OutputTable[[#This Row],[GroupByKey]]),(OutputTable[GroupByKey]=OutputTable[[#This Row],[GroupByKey]])*OutputTable[RecordedValue])),0)</f>
        <v>8.8786593843692651E-6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6.3514103063698042E-6</v>
      </c>
      <c r="O29" cm="1">
        <f t="array" ref="O29">MIN(IF((OutputTable[GroupByKey]=OutputTable[[#This Row],[GroupByKey]]),(OutputTable[GroupByKey]=OutputTable[[#This Row],[GroupByKey]])*OutputTable[RecordedValue]))</f>
        <v>0.15877821852350199</v>
      </c>
      <c r="P29" cm="1">
        <f t="array" ref="P29">MAX(IF((OutputTable[GroupByKey]=OutputTable[[#This Row],[GroupByKey]]),(OutputTable[GroupByKey]=OutputTable[[#This Row],[GroupByKey]])*OutputTable[RecordedValue]))</f>
        <v>0.15880443244107401</v>
      </c>
    </row>
    <row r="30" spans="1:16" x14ac:dyDescent="0.25">
      <c r="A30" t="s">
        <v>67</v>
      </c>
      <c r="B30" t="s">
        <v>243</v>
      </c>
      <c r="C30">
        <v>1</v>
      </c>
      <c r="D30" t="s">
        <v>183</v>
      </c>
      <c r="E30" t="s">
        <v>152</v>
      </c>
      <c r="F30" t="s">
        <v>113</v>
      </c>
      <c r="G30">
        <v>13094</v>
      </c>
      <c r="H30">
        <v>0</v>
      </c>
      <c r="I30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13103.5</v>
      </c>
      <c r="L30" cm="1">
        <f t="array" ref="L30">IFERROR(_xlfn.STDEV.S(IF((OutputTable[GroupByKey]=OutputTable[[#This Row],[GroupByKey]]),(OutputTable[GroupByKey]=OutputTable[[#This Row],[GroupByKey]])*OutputTable[RecordedValue])),0)</f>
        <v>11.443095929181249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30" cm="1">
        <f t="array" ref="O30">MIN(IF((OutputTable[GroupByKey]=OutputTable[[#This Row],[GroupByKey]]),(OutputTable[GroupByKey]=OutputTable[[#This Row],[GroupByKey]])*OutputTable[RecordedValue]))</f>
        <v>13087</v>
      </c>
      <c r="P30" cm="1">
        <f t="array" ref="P30">MAX(IF((OutputTable[GroupByKey]=OutputTable[[#This Row],[GroupByKey]]),(OutputTable[GroupByKey]=OutputTable[[#This Row],[GroupByKey]])*OutputTable[RecordedValue]))</f>
        <v>13120</v>
      </c>
    </row>
    <row r="31" spans="1:16" x14ac:dyDescent="0.25">
      <c r="A31" t="s">
        <v>67</v>
      </c>
      <c r="B31" t="s">
        <v>243</v>
      </c>
      <c r="C31">
        <v>1</v>
      </c>
      <c r="D31" t="s">
        <v>184</v>
      </c>
      <c r="E31" t="s">
        <v>154</v>
      </c>
      <c r="F31" t="s">
        <v>113</v>
      </c>
      <c r="G31">
        <v>1.0004856241647899</v>
      </c>
      <c r="H31">
        <v>0</v>
      </c>
      <c r="I31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1.0004814685732331</v>
      </c>
      <c r="L31" cm="1">
        <f t="array" ref="L31">IFERROR(_xlfn.STDEV.S(IF((OutputTable[GroupByKey]=OutputTable[[#This Row],[GroupByKey]]),(OutputTable[GroupByKey]=OutputTable[[#This Row],[GroupByKey]])*OutputTable[RecordedValue])),0)</f>
        <v>7.4280555176725285E-5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5.3137108125005439E-5</v>
      </c>
      <c r="O31" cm="1">
        <f t="array" ref="O31">MIN(IF((OutputTable[GroupByKey]=OutputTable[[#This Row],[GroupByKey]]),(OutputTable[GroupByKey]=OutputTable[[#This Row],[GroupByKey]])*OutputTable[RecordedValue]))</f>
        <v>1.00039897320567</v>
      </c>
      <c r="P31" cm="1">
        <f t="array" ref="P31">MAX(IF((OutputTable[GroupByKey]=OutputTable[[#This Row],[GroupByKey]]),(OutputTable[GroupByKey]=OutputTable[[#This Row],[GroupByKey]])*OutputTable[RecordedValue]))</f>
        <v>1.00059414734778</v>
      </c>
    </row>
    <row r="32" spans="1:16" x14ac:dyDescent="0.25">
      <c r="A32" t="s">
        <v>67</v>
      </c>
      <c r="B32" t="s">
        <v>243</v>
      </c>
      <c r="C32">
        <v>1</v>
      </c>
      <c r="D32" t="s">
        <v>185</v>
      </c>
      <c r="E32" t="s">
        <v>152</v>
      </c>
      <c r="F32" t="s">
        <v>113</v>
      </c>
      <c r="G32">
        <v>13090</v>
      </c>
      <c r="H32">
        <v>0</v>
      </c>
      <c r="I32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cm="1">
        <f t="array" ref="K32">IFERROR(AVERAGE(IF((OutputTable[GroupByKey]=OutputTable[[#This Row],[GroupByKey]]),(OutputTable[GroupByKey]=OutputTable[[#This Row],[GroupByKey]])*OutputTable[RecordedValue])),0)</f>
        <v>13100.1</v>
      </c>
      <c r="L32" cm="1">
        <f t="array" ref="L32">IFERROR(_xlfn.STDEV.S(IF((OutputTable[GroupByKey]=OutputTable[[#This Row],[GroupByKey]]),(OutputTable[GroupByKey]=OutputTable[[#This Row],[GroupByKey]])*OutputTable[RecordedValue])),0)</f>
        <v>11.46443776786866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32" cm="1">
        <f t="array" ref="O32">MIN(IF((OutputTable[GroupByKey]=OutputTable[[#This Row],[GroupByKey]]),(OutputTable[GroupByKey]=OutputTable[[#This Row],[GroupByKey]])*OutputTable[RecordedValue]))</f>
        <v>13083</v>
      </c>
      <c r="P32" cm="1">
        <f t="array" ref="P32">MAX(IF((OutputTable[GroupByKey]=OutputTable[[#This Row],[GroupByKey]]),(OutputTable[GroupByKey]=OutputTable[[#This Row],[GroupByKey]])*OutputTable[RecordedValue]))</f>
        <v>13118</v>
      </c>
    </row>
    <row r="33" spans="1:16" x14ac:dyDescent="0.25">
      <c r="A33" t="s">
        <v>67</v>
      </c>
      <c r="B33" t="s">
        <v>243</v>
      </c>
      <c r="C33">
        <v>1</v>
      </c>
      <c r="D33" t="s">
        <v>186</v>
      </c>
      <c r="E33" t="s">
        <v>154</v>
      </c>
      <c r="F33" t="s">
        <v>113</v>
      </c>
      <c r="G33">
        <v>0.72781127423651704</v>
      </c>
      <c r="H33">
        <v>0</v>
      </c>
      <c r="I33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cm="1">
        <f t="array" ref="K33">IFERROR(AVERAGE(IF((OutputTable[GroupByKey]=OutputTable[[#This Row],[GroupByKey]]),(OutputTable[GroupByKey]=OutputTable[[#This Row],[GroupByKey]])*OutputTable[RecordedValue])),0)</f>
        <v>0.7279059511079462</v>
      </c>
      <c r="L33" cm="1">
        <f t="array" ref="L33">IFERROR(_xlfn.STDEV.S(IF((OutputTable[GroupByKey]=OutputTable[[#This Row],[GroupByKey]]),(OutputTable[GroupByKey]=OutputTable[[#This Row],[GroupByKey]])*OutputTable[RecordedValue])),0)</f>
        <v>7.0848304180243249E-4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5.0681823671647316E-4</v>
      </c>
      <c r="O33" cm="1">
        <f t="array" ref="O33">MIN(IF((OutputTable[GroupByKey]=OutputTable[[#This Row],[GroupByKey]]),(OutputTable[GroupByKey]=OutputTable[[#This Row],[GroupByKey]])*OutputTable[RecordedValue]))</f>
        <v>0.72665767143328297</v>
      </c>
      <c r="P33" cm="1">
        <f t="array" ref="P33">MAX(IF((OutputTable[GroupByKey]=OutputTable[[#This Row],[GroupByKey]]),(OutputTable[GroupByKey]=OutputTable[[#This Row],[GroupByKey]])*OutputTable[RecordedValue]))</f>
        <v>0.72896261310967603</v>
      </c>
    </row>
    <row r="34" spans="1:16" x14ac:dyDescent="0.25">
      <c r="A34" t="s">
        <v>67</v>
      </c>
      <c r="B34" t="s">
        <v>243</v>
      </c>
      <c r="C34">
        <v>1</v>
      </c>
      <c r="D34" t="s">
        <v>187</v>
      </c>
      <c r="E34" t="s">
        <v>152</v>
      </c>
      <c r="F34" t="s">
        <v>113</v>
      </c>
      <c r="G34">
        <v>13090</v>
      </c>
      <c r="H34">
        <v>0</v>
      </c>
      <c r="I34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cm="1">
        <f t="array" ref="K34">IFERROR(AVERAGE(IF((OutputTable[GroupByKey]=OutputTable[[#This Row],[GroupByKey]]),(OutputTable[GroupByKey]=OutputTable[[#This Row],[GroupByKey]])*OutputTable[RecordedValue])),0)</f>
        <v>13099.9</v>
      </c>
      <c r="L34" cm="1">
        <f t="array" ref="L34">IFERROR(_xlfn.STDEV.S(IF((OutputTable[GroupByKey]=OutputTable[[#This Row],[GroupByKey]]),(OutputTable[GroupByKey]=OutputTable[[#This Row],[GroupByKey]])*OutputTable[RecordedValue])),0)</f>
        <v>11.761046816598522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34" cm="1">
        <f t="array" ref="O34">MIN(IF((OutputTable[GroupByKey]=OutputTable[[#This Row],[GroupByKey]]),(OutputTable[GroupByKey]=OutputTable[[#This Row],[GroupByKey]])*OutputTable[RecordedValue]))</f>
        <v>13082</v>
      </c>
      <c r="P34" cm="1">
        <f t="array" ref="P34">MAX(IF((OutputTable[GroupByKey]=OutputTable[[#This Row],[GroupByKey]]),(OutputTable[GroupByKey]=OutputTable[[#This Row],[GroupByKey]])*OutputTable[RecordedValue]))</f>
        <v>13118</v>
      </c>
    </row>
    <row r="35" spans="1:16" x14ac:dyDescent="0.25">
      <c r="A35" t="s">
        <v>67</v>
      </c>
      <c r="B35" t="s">
        <v>243</v>
      </c>
      <c r="C35">
        <v>1</v>
      </c>
      <c r="D35" t="s">
        <v>188</v>
      </c>
      <c r="E35" t="s">
        <v>154</v>
      </c>
      <c r="F35" t="s">
        <v>113</v>
      </c>
      <c r="G35">
        <v>0.95438886138813395</v>
      </c>
      <c r="H35">
        <v>0</v>
      </c>
      <c r="I35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cm="1">
        <f t="array" ref="K35">IFERROR(AVERAGE(IF((OutputTable[GroupByKey]=OutputTable[[#This Row],[GroupByKey]]),(OutputTable[GroupByKey]=OutputTable[[#This Row],[GroupByKey]])*OutputTable[RecordedValue])),0)</f>
        <v>0.95483842565389732</v>
      </c>
      <c r="L35" cm="1">
        <f t="array" ref="L35">IFERROR(_xlfn.STDEV.S(IF((OutputTable[GroupByKey]=OutputTable[[#This Row],[GroupByKey]]),(OutputTable[GroupByKey]=OutputTable[[#This Row],[GroupByKey]])*OutputTable[RecordedValue])),0)</f>
        <v>7.6849017135544289E-4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5.497447512496955E-4</v>
      </c>
      <c r="O35" cm="1">
        <f t="array" ref="O35">MIN(IF((OutputTable[GroupByKey]=OutputTable[[#This Row],[GroupByKey]]),(OutputTable[GroupByKey]=OutputTable[[#This Row],[GroupByKey]])*OutputTable[RecordedValue]))</f>
        <v>0.95348679569453398</v>
      </c>
      <c r="P35" cm="1">
        <f t="array" ref="P35">MAX(IF((OutputTable[GroupByKey]=OutputTable[[#This Row],[GroupByKey]]),(OutputTable[GroupByKey]=OutputTable[[#This Row],[GroupByKey]])*OutputTable[RecordedValue]))</f>
        <v>0.95588678098879198</v>
      </c>
    </row>
    <row r="36" spans="1:16" x14ac:dyDescent="0.25">
      <c r="A36" t="s">
        <v>67</v>
      </c>
      <c r="B36" t="s">
        <v>243</v>
      </c>
      <c r="C36">
        <v>1</v>
      </c>
      <c r="D36" t="s">
        <v>189</v>
      </c>
      <c r="E36" t="s">
        <v>152</v>
      </c>
      <c r="F36" t="s">
        <v>113</v>
      </c>
      <c r="G36">
        <v>8235</v>
      </c>
      <c r="H36">
        <v>0</v>
      </c>
      <c r="I36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36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cm="1">
        <f t="array" ref="K36">IFERROR(AVERAGE(IF((OutputTable[GroupByKey]=OutputTable[[#This Row],[GroupByKey]]),(OutputTable[GroupByKey]=OutputTable[[#This Row],[GroupByKey]])*OutputTable[RecordedValue])),0)</f>
        <v>8235</v>
      </c>
      <c r="L36" cm="1">
        <f t="array" ref="L36">IFERROR(_xlfn.STDEV.S(IF((OutputTable[GroupByKey]=OutputTable[[#This Row],[GroupByKey]]),(OutputTable[GroupByKey]=OutputTable[[#This Row],[GroupByKey]])*OutputTable[RecordedValue])),0)</f>
        <v>6.5659052011974035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36" cm="1">
        <f t="array" ref="O36">MIN(IF((OutputTable[GroupByKey]=OutputTable[[#This Row],[GroupByKey]]),(OutputTable[GroupByKey]=OutputTable[[#This Row],[GroupByKey]])*OutputTable[RecordedValue]))</f>
        <v>8223</v>
      </c>
      <c r="P36" cm="1">
        <f t="array" ref="P36">MAX(IF((OutputTable[GroupByKey]=OutputTable[[#This Row],[GroupByKey]]),(OutputTable[GroupByKey]=OutputTable[[#This Row],[GroupByKey]])*OutputTable[RecordedValue]))</f>
        <v>8245</v>
      </c>
    </row>
    <row r="37" spans="1:16" x14ac:dyDescent="0.25">
      <c r="A37" t="s">
        <v>67</v>
      </c>
      <c r="B37" t="s">
        <v>243</v>
      </c>
      <c r="C37">
        <v>1</v>
      </c>
      <c r="D37" t="s">
        <v>190</v>
      </c>
      <c r="E37" t="s">
        <v>154</v>
      </c>
      <c r="F37" t="s">
        <v>113</v>
      </c>
      <c r="G37">
        <v>0.48641454533387402</v>
      </c>
      <c r="H37">
        <v>0</v>
      </c>
      <c r="I37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cm="1">
        <f t="array" ref="K37">IFERROR(AVERAGE(IF((OutputTable[GroupByKey]=OutputTable[[#This Row],[GroupByKey]]),(OutputTable[GroupByKey]=OutputTable[[#This Row],[GroupByKey]])*OutputTable[RecordedValue])),0)</f>
        <v>0.48622459141633045</v>
      </c>
      <c r="L37" cm="1">
        <f t="array" ref="L37">IFERROR(_xlfn.STDEV.S(IF((OutputTable[GroupByKey]=OutputTable[[#This Row],[GroupByKey]]),(OutputTable[GroupByKey]=OutputTable[[#This Row],[GroupByKey]])*OutputTable[RecordedValue])),0)</f>
        <v>7.2585329819825151E-4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5.1924416958770345E-4</v>
      </c>
      <c r="O37" cm="1">
        <f t="array" ref="O37">MIN(IF((OutputTable[GroupByKey]=OutputTable[[#This Row],[GroupByKey]]),(OutputTable[GroupByKey]=OutputTable[[#This Row],[GroupByKey]])*OutputTable[RecordedValue]))</f>
        <v>0.48503601840289501</v>
      </c>
      <c r="P37" cm="1">
        <f t="array" ref="P37">MAX(IF((OutputTable[GroupByKey]=OutputTable[[#This Row],[GroupByKey]]),(OutputTable[GroupByKey]=OutputTable[[#This Row],[GroupByKey]])*OutputTable[RecordedValue]))</f>
        <v>0.48724920721519499</v>
      </c>
    </row>
    <row r="38" spans="1:16" x14ac:dyDescent="0.25">
      <c r="A38" t="s">
        <v>67</v>
      </c>
      <c r="B38" t="s">
        <v>243</v>
      </c>
      <c r="C38">
        <v>1</v>
      </c>
      <c r="D38" t="s">
        <v>191</v>
      </c>
      <c r="E38" t="s">
        <v>152</v>
      </c>
      <c r="F38" t="s">
        <v>113</v>
      </c>
      <c r="G38">
        <v>8235</v>
      </c>
      <c r="H38">
        <v>0</v>
      </c>
      <c r="I38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cm="1">
        <f t="array" ref="K38">IFERROR(AVERAGE(IF((OutputTable[GroupByKey]=OutputTable[[#This Row],[GroupByKey]]),(OutputTable[GroupByKey]=OutputTable[[#This Row],[GroupByKey]])*OutputTable[RecordedValue])),0)</f>
        <v>8233.5</v>
      </c>
      <c r="L38" cm="1">
        <f t="array" ref="L38">IFERROR(_xlfn.STDEV.S(IF((OutputTable[GroupByKey]=OutputTable[[#This Row],[GroupByKey]]),(OutputTable[GroupByKey]=OutputTable[[#This Row],[GroupByKey]])*OutputTable[RecordedValue])),0)</f>
        <v>6.5021364010437201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38" cm="1">
        <f t="array" ref="O38">MIN(IF((OutputTable[GroupByKey]=OutputTable[[#This Row],[GroupByKey]]),(OutputTable[GroupByKey]=OutputTable[[#This Row],[GroupByKey]])*OutputTable[RecordedValue]))</f>
        <v>8221</v>
      </c>
      <c r="P38" cm="1">
        <f t="array" ref="P38">MAX(IF((OutputTable[GroupByKey]=OutputTable[[#This Row],[GroupByKey]]),(OutputTable[GroupByKey]=OutputTable[[#This Row],[GroupByKey]])*OutputTable[RecordedValue]))</f>
        <v>8243</v>
      </c>
    </row>
    <row r="39" spans="1:16" x14ac:dyDescent="0.25">
      <c r="A39" t="s">
        <v>67</v>
      </c>
      <c r="B39" t="s">
        <v>243</v>
      </c>
      <c r="C39">
        <v>1</v>
      </c>
      <c r="D39" t="s">
        <v>192</v>
      </c>
      <c r="E39" t="s">
        <v>154</v>
      </c>
      <c r="F39" t="s">
        <v>113</v>
      </c>
      <c r="G39">
        <v>0.57203006973237303</v>
      </c>
      <c r="H39">
        <v>0</v>
      </c>
      <c r="I39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cm="1">
        <f t="array" ref="K39">IFERROR(AVERAGE(IF((OutputTable[GroupByKey]=OutputTable[[#This Row],[GroupByKey]]),(OutputTable[GroupByKey]=OutputTable[[#This Row],[GroupByKey]])*OutputTable[RecordedValue])),0)</f>
        <v>0.57195959594019841</v>
      </c>
      <c r="L39" cm="1">
        <f t="array" ref="L39">IFERROR(_xlfn.STDEV.S(IF((OutputTable[GroupByKey]=OutputTable[[#This Row],[GroupByKey]]),(OutputTable[GroupByKey]=OutputTable[[#This Row],[GroupByKey]])*OutputTable[RecordedValue])),0)</f>
        <v>5.0695895005827636E-4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3.6265658596782525E-4</v>
      </c>
      <c r="O39" cm="1">
        <f t="array" ref="O39">MIN(IF((OutputTable[GroupByKey]=OutputTable[[#This Row],[GroupByKey]]),(OutputTable[GroupByKey]=OutputTable[[#This Row],[GroupByKey]])*OutputTable[RecordedValue]))</f>
        <v>0.57115702440598504</v>
      </c>
      <c r="P39" cm="1">
        <f t="array" ref="P39">MAX(IF((OutputTable[GroupByKey]=OutputTable[[#This Row],[GroupByKey]]),(OutputTable[GroupByKey]=OutputTable[[#This Row],[GroupByKey]])*OutputTable[RecordedValue]))</f>
        <v>0.57294957522841605</v>
      </c>
    </row>
    <row r="40" spans="1:16" x14ac:dyDescent="0.25">
      <c r="A40" t="s">
        <v>67</v>
      </c>
      <c r="B40" t="s">
        <v>243</v>
      </c>
      <c r="C40">
        <v>1</v>
      </c>
      <c r="D40" t="s">
        <v>193</v>
      </c>
      <c r="E40" t="s">
        <v>152</v>
      </c>
      <c r="F40" t="s">
        <v>113</v>
      </c>
      <c r="G40">
        <v>8233</v>
      </c>
      <c r="H40">
        <v>0</v>
      </c>
      <c r="I40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cm="1">
        <f t="array" ref="K40">IFERROR(AVERAGE(IF((OutputTable[GroupByKey]=OutputTable[[#This Row],[GroupByKey]]),(OutputTable[GroupByKey]=OutputTable[[#This Row],[GroupByKey]])*OutputTable[RecordedValue])),0)</f>
        <v>8231.5</v>
      </c>
      <c r="L40" cm="1">
        <f t="array" ref="L40">IFERROR(_xlfn.STDEV.S(IF((OutputTable[GroupByKey]=OutputTable[[#This Row],[GroupByKey]]),(OutputTable[GroupByKey]=OutputTable[[#This Row],[GroupByKey]])*OutputTable[RecordedValue])),0)</f>
        <v>6.3464775882199236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40" cm="1">
        <f t="array" ref="O40">MIN(IF((OutputTable[GroupByKey]=OutputTable[[#This Row],[GroupByKey]]),(OutputTable[GroupByKey]=OutputTable[[#This Row],[GroupByKey]])*OutputTable[RecordedValue]))</f>
        <v>8220</v>
      </c>
      <c r="P40" cm="1">
        <f t="array" ref="P40">MAX(IF((OutputTable[GroupByKey]=OutputTable[[#This Row],[GroupByKey]]),(OutputTable[GroupByKey]=OutputTable[[#This Row],[GroupByKey]])*OutputTable[RecordedValue]))</f>
        <v>8241</v>
      </c>
    </row>
    <row r="41" spans="1:16" x14ac:dyDescent="0.25">
      <c r="A41" t="s">
        <v>67</v>
      </c>
      <c r="B41" t="s">
        <v>243</v>
      </c>
      <c r="C41">
        <v>1</v>
      </c>
      <c r="D41" t="s">
        <v>194</v>
      </c>
      <c r="E41" t="s">
        <v>154</v>
      </c>
      <c r="F41" t="s">
        <v>113</v>
      </c>
      <c r="G41">
        <v>1.0005522007644501</v>
      </c>
      <c r="H41">
        <v>0</v>
      </c>
      <c r="I41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cm="1">
        <f t="array" ref="K41">IFERROR(AVERAGE(IF((OutputTable[GroupByKey]=OutputTable[[#This Row],[GroupByKey]]),(OutputTable[GroupByKey]=OutputTable[[#This Row],[GroupByKey]])*OutputTable[RecordedValue])),0)</f>
        <v>1.0004557942559711</v>
      </c>
      <c r="L41" cm="1">
        <f t="array" ref="L41">IFERROR(_xlfn.STDEV.S(IF((OutputTable[GroupByKey]=OutputTable[[#This Row],[GroupByKey]]),(OutputTable[GroupByKey]=OutputTable[[#This Row],[GroupByKey]])*OutputTable[RecordedValue])),0)</f>
        <v>1.6760007580081014E-4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1.1989387166531641E-4</v>
      </c>
      <c r="O41" cm="1">
        <f t="array" ref="O41">MIN(IF((OutputTable[GroupByKey]=OutputTable[[#This Row],[GroupByKey]]),(OutputTable[GroupByKey]=OutputTable[[#This Row],[GroupByKey]])*OutputTable[RecordedValue]))</f>
        <v>1.0000655989645</v>
      </c>
      <c r="P41" cm="1">
        <f t="array" ref="P41">MAX(IF((OutputTable[GroupByKey]=OutputTable[[#This Row],[GroupByKey]]),(OutputTable[GroupByKey]=OutputTable[[#This Row],[GroupByKey]])*OutputTable[RecordedValue]))</f>
        <v>1.00068312738094</v>
      </c>
    </row>
    <row r="42" spans="1:16" x14ac:dyDescent="0.25">
      <c r="A42" t="s">
        <v>67</v>
      </c>
      <c r="B42" t="s">
        <v>243</v>
      </c>
      <c r="C42">
        <v>1</v>
      </c>
      <c r="D42" t="s">
        <v>195</v>
      </c>
      <c r="E42" t="s">
        <v>152</v>
      </c>
      <c r="F42" t="s">
        <v>113</v>
      </c>
      <c r="G42">
        <v>8229</v>
      </c>
      <c r="H42">
        <v>0</v>
      </c>
      <c r="I42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42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cm="1">
        <f t="array" ref="K42">IFERROR(AVERAGE(IF((OutputTable[GroupByKey]=OutputTable[[#This Row],[GroupByKey]]),(OutputTable[GroupByKey]=OutputTable[[#This Row],[GroupByKey]])*OutputTable[RecordedValue])),0)</f>
        <v>8227.7000000000007</v>
      </c>
      <c r="L42" cm="1">
        <f t="array" ref="L42">IFERROR(_xlfn.STDEV.S(IF((OutputTable[GroupByKey]=OutputTable[[#This Row],[GroupByKey]]),(OutputTable[GroupByKey]=OutputTable[[#This Row],[GroupByKey]])*OutputTable[RecordedValue])),0)</f>
        <v>6.2902040242480748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42" cm="1">
        <f t="array" ref="O42">MIN(IF((OutputTable[GroupByKey]=OutputTable[[#This Row],[GroupByKey]]),(OutputTable[GroupByKey]=OutputTable[[#This Row],[GroupByKey]])*OutputTable[RecordedValue]))</f>
        <v>8216</v>
      </c>
      <c r="P42" cm="1">
        <f t="array" ref="P42">MAX(IF((OutputTable[GroupByKey]=OutputTable[[#This Row],[GroupByKey]]),(OutputTable[GroupByKey]=OutputTable[[#This Row],[GroupByKey]])*OutputTable[RecordedValue]))</f>
        <v>8237</v>
      </c>
    </row>
    <row r="43" spans="1:16" x14ac:dyDescent="0.25">
      <c r="A43" t="s">
        <v>67</v>
      </c>
      <c r="B43" t="s">
        <v>243</v>
      </c>
      <c r="C43">
        <v>1</v>
      </c>
      <c r="D43" t="s">
        <v>196</v>
      </c>
      <c r="E43" t="s">
        <v>154</v>
      </c>
      <c r="F43" t="s">
        <v>113</v>
      </c>
      <c r="G43">
        <v>0.628020296540448</v>
      </c>
      <c r="H43">
        <v>0</v>
      </c>
      <c r="I43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43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cm="1">
        <f t="array" ref="K43">IFERROR(AVERAGE(IF((OutputTable[GroupByKey]=OutputTable[[#This Row],[GroupByKey]]),(OutputTable[GroupByKey]=OutputTable[[#This Row],[GroupByKey]])*OutputTable[RecordedValue])),0)</f>
        <v>0.62814585354256225</v>
      </c>
      <c r="L43" cm="1">
        <f t="array" ref="L43">IFERROR(_xlfn.STDEV.S(IF((OutputTable[GroupByKey]=OutputTable[[#This Row],[GroupByKey]]),(OutputTable[GroupByKey]=OutputTable[[#This Row],[GroupByKey]])*OutputTable[RecordedValue])),0)</f>
        <v>7.7648569130547428E-4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5.5546440166277669E-4</v>
      </c>
      <c r="O43" cm="1">
        <f t="array" ref="O43">MIN(IF((OutputTable[GroupByKey]=OutputTable[[#This Row],[GroupByKey]]),(OutputTable[GroupByKey]=OutputTable[[#This Row],[GroupByKey]])*OutputTable[RecordedValue]))</f>
        <v>0.62668997340539101</v>
      </c>
      <c r="P43" cm="1">
        <f t="array" ref="P43">MAX(IF((OutputTable[GroupByKey]=OutputTable[[#This Row],[GroupByKey]]),(OutputTable[GroupByKey]=OutputTable[[#This Row],[GroupByKey]])*OutputTable[RecordedValue]))</f>
        <v>0.629372102267024</v>
      </c>
    </row>
    <row r="44" spans="1:16" x14ac:dyDescent="0.25">
      <c r="A44" t="s">
        <v>67</v>
      </c>
      <c r="B44" t="s">
        <v>243</v>
      </c>
      <c r="C44">
        <v>1</v>
      </c>
      <c r="D44" t="s">
        <v>197</v>
      </c>
      <c r="E44" t="s">
        <v>152</v>
      </c>
      <c r="F44" t="s">
        <v>113</v>
      </c>
      <c r="G44">
        <v>18379</v>
      </c>
      <c r="H44">
        <v>0</v>
      </c>
      <c r="I44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cm="1">
        <f t="array" ref="K44">IFERROR(AVERAGE(IF((OutputTable[GroupByKey]=OutputTable[[#This Row],[GroupByKey]]),(OutputTable[GroupByKey]=OutputTable[[#This Row],[GroupByKey]])*OutputTable[RecordedValue])),0)</f>
        <v>18392</v>
      </c>
      <c r="L44" cm="1">
        <f t="array" ref="L44">IFERROR(_xlfn.STDEV.S(IF((OutputTable[GroupByKey]=OutputTable[[#This Row],[GroupByKey]]),(OutputTable[GroupByKey]=OutputTable[[#This Row],[GroupByKey]])*OutputTable[RecordedValue])),0)</f>
        <v>12.884098726725126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44" cm="1">
        <f t="array" ref="O44">MIN(IF((OutputTable[GroupByKey]=OutputTable[[#This Row],[GroupByKey]]),(OutputTable[GroupByKey]=OutputTable[[#This Row],[GroupByKey]])*OutputTable[RecordedValue]))</f>
        <v>18376</v>
      </c>
      <c r="P44" cm="1">
        <f t="array" ref="P44">MAX(IF((OutputTable[GroupByKey]=OutputTable[[#This Row],[GroupByKey]]),(OutputTable[GroupByKey]=OutputTable[[#This Row],[GroupByKey]])*OutputTable[RecordedValue]))</f>
        <v>18407</v>
      </c>
    </row>
    <row r="45" spans="1:16" x14ac:dyDescent="0.25">
      <c r="A45" t="s">
        <v>67</v>
      </c>
      <c r="B45" t="s">
        <v>243</v>
      </c>
      <c r="C45">
        <v>1</v>
      </c>
      <c r="D45" t="s">
        <v>198</v>
      </c>
      <c r="E45" t="s">
        <v>154</v>
      </c>
      <c r="F45" t="s">
        <v>113</v>
      </c>
      <c r="G45">
        <v>0.95798818251014395</v>
      </c>
      <c r="H45">
        <v>0</v>
      </c>
      <c r="I45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cm="1">
        <f t="array" ref="K45">IFERROR(AVERAGE(IF((OutputTable[GroupByKey]=OutputTable[[#This Row],[GroupByKey]]),(OutputTable[GroupByKey]=OutputTable[[#This Row],[GroupByKey]])*OutputTable[RecordedValue])),0)</f>
        <v>0.9578548406389944</v>
      </c>
      <c r="L45" cm="1">
        <f t="array" ref="L45">IFERROR(_xlfn.STDEV.S(IF((OutputTable[GroupByKey]=OutputTable[[#This Row],[GroupByKey]]),(OutputTable[GroupByKey]=OutputTable[[#This Row],[GroupByKey]])*OutputTable[RecordedValue])),0)</f>
        <v>7.0772834598480485E-4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5.0627835985142609E-4</v>
      </c>
      <c r="O45" cm="1">
        <f t="array" ref="O45">MIN(IF((OutputTable[GroupByKey]=OutputTable[[#This Row],[GroupByKey]]),(OutputTable[GroupByKey]=OutputTable[[#This Row],[GroupByKey]])*OutputTable[RecordedValue]))</f>
        <v>0.95655010461043799</v>
      </c>
      <c r="P45" cm="1">
        <f t="array" ref="P45">MAX(IF((OutputTable[GroupByKey]=OutputTable[[#This Row],[GroupByKey]]),(OutputTable[GroupByKey]=OutputTable[[#This Row],[GroupByKey]])*OutputTable[RecordedValue]))</f>
        <v>0.95869742508961697</v>
      </c>
    </row>
    <row r="46" spans="1:16" x14ac:dyDescent="0.25">
      <c r="A46" t="s">
        <v>67</v>
      </c>
      <c r="B46" t="s">
        <v>243</v>
      </c>
      <c r="C46">
        <v>1</v>
      </c>
      <c r="D46" t="s">
        <v>199</v>
      </c>
      <c r="E46" t="s">
        <v>152</v>
      </c>
      <c r="F46" t="s">
        <v>113</v>
      </c>
      <c r="G46">
        <v>18376</v>
      </c>
      <c r="H46">
        <v>0</v>
      </c>
      <c r="I46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46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cm="1">
        <f t="array" ref="K46">IFERROR(AVERAGE(IF((OutputTable[GroupByKey]=OutputTable[[#This Row],[GroupByKey]]),(OutputTable[GroupByKey]=OutputTable[[#This Row],[GroupByKey]])*OutputTable[RecordedValue])),0)</f>
        <v>18389.400000000001</v>
      </c>
      <c r="L46" cm="1">
        <f t="array" ref="L46">IFERROR(_xlfn.STDEV.S(IF((OutputTable[GroupByKey]=OutputTable[[#This Row],[GroupByKey]]),(OutputTable[GroupByKey]=OutputTable[[#This Row],[GroupByKey]])*OutputTable[RecordedValue])),0)</f>
        <v>12.103259432437566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46" cm="1">
        <f t="array" ref="O46">MIN(IF((OutputTable[GroupByKey]=OutputTable[[#This Row],[GroupByKey]]),(OutputTable[GroupByKey]=OutputTable[[#This Row],[GroupByKey]])*OutputTable[RecordedValue]))</f>
        <v>18376</v>
      </c>
      <c r="P46" cm="1">
        <f t="array" ref="P46">MAX(IF((OutputTable[GroupByKey]=OutputTable[[#This Row],[GroupByKey]]),(OutputTable[GroupByKey]=OutputTable[[#This Row],[GroupByKey]])*OutputTable[RecordedValue]))</f>
        <v>18404</v>
      </c>
    </row>
    <row r="47" spans="1:16" x14ac:dyDescent="0.25">
      <c r="A47" t="s">
        <v>67</v>
      </c>
      <c r="B47" t="s">
        <v>243</v>
      </c>
      <c r="C47">
        <v>1</v>
      </c>
      <c r="D47" t="s">
        <v>200</v>
      </c>
      <c r="E47" t="s">
        <v>154</v>
      </c>
      <c r="F47" t="s">
        <v>113</v>
      </c>
      <c r="G47">
        <v>1.00038305540302</v>
      </c>
      <c r="H47">
        <v>0</v>
      </c>
      <c r="I47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47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cm="1">
        <f t="array" ref="K47">IFERROR(AVERAGE(IF((OutputTable[GroupByKey]=OutputTable[[#This Row],[GroupByKey]]),(OutputTable[GroupByKey]=OutputTable[[#This Row],[GroupByKey]])*OutputTable[RecordedValue])),0)</f>
        <v>1.0003902798422071</v>
      </c>
      <c r="L47" cm="1">
        <f t="array" ref="L47">IFERROR(_xlfn.STDEV.S(IF((OutputTable[GroupByKey]=OutputTable[[#This Row],[GroupByKey]]),(OutputTable[GroupByKey]=OutputTable[[#This Row],[GroupByKey]])*OutputTable[RecordedValue])),0)</f>
        <v>5.593555412291058E-5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4.0013884931119971E-5</v>
      </c>
      <c r="O47" cm="1">
        <f t="array" ref="O47">MIN(IF((OutputTable[GroupByKey]=OutputTable[[#This Row],[GroupByKey]]),(OutputTable[GroupByKey]=OutputTable[[#This Row],[GroupByKey]])*OutputTable[RecordedValue]))</f>
        <v>1.0003027766980599</v>
      </c>
      <c r="P47" cm="1">
        <f t="array" ref="P47">MAX(IF((OutputTable[GroupByKey]=OutputTable[[#This Row],[GroupByKey]]),(OutputTable[GroupByKey]=OutputTable[[#This Row],[GroupByKey]])*OutputTable[RecordedValue]))</f>
        <v>1.00046792437877</v>
      </c>
    </row>
    <row r="48" spans="1:16" x14ac:dyDescent="0.25">
      <c r="A48" t="s">
        <v>67</v>
      </c>
      <c r="B48" t="s">
        <v>243</v>
      </c>
      <c r="C48">
        <v>1</v>
      </c>
      <c r="D48" t="s">
        <v>201</v>
      </c>
      <c r="E48" t="s">
        <v>202</v>
      </c>
      <c r="F48" t="s">
        <v>87</v>
      </c>
      <c r="G48">
        <v>157033.79869723701</v>
      </c>
      <c r="H48">
        <v>0</v>
      </c>
      <c r="I48" t="str">
        <f>OutputTable[[#This Row],[ProjectName]]&amp;OutputTable[[#This Row],[Name]]&amp;OutputTable[[#This Row],[Type]]&amp;OutputTable[[#This Row],[Source]]</f>
        <v>Unnamed ProjectProcess 1 Accum VA TimeAccum VA TimeProcess</v>
      </c>
      <c r="J48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cm="1">
        <f t="array" ref="K48">IFERROR(AVERAGE(IF((OutputTable[GroupByKey]=OutputTable[[#This Row],[GroupByKey]]),(OutputTable[GroupByKey]=OutputTable[[#This Row],[GroupByKey]])*OutputTable[RecordedValue])),0)</f>
        <v>157133.73428655442</v>
      </c>
      <c r="L48" cm="1">
        <f t="array" ref="L48">IFERROR(_xlfn.STDEV.S(IF((OutputTable[GroupByKey]=OutputTable[[#This Row],[GroupByKey]]),(OutputTable[GroupByKey]=OutputTable[[#This Row],[GroupByKey]])*OutputTable[RecordedValue])),0)</f>
        <v>123.15330812839177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88.098569462778244</v>
      </c>
      <c r="O48" cm="1">
        <f t="array" ref="O48">MIN(IF((OutputTable[GroupByKey]=OutputTable[[#This Row],[GroupByKey]]),(OutputTable[GroupByKey]=OutputTable[[#This Row],[GroupByKey]])*OutputTable[RecordedValue]))</f>
        <v>156930.294881654</v>
      </c>
      <c r="P48" cm="1">
        <f t="array" ref="P48">MAX(IF((OutputTable[GroupByKey]=OutputTable[[#This Row],[GroupByKey]]),(OutputTable[GroupByKey]=OutputTable[[#This Row],[GroupByKey]])*OutputTable[RecordedValue]))</f>
        <v>157303.990839153</v>
      </c>
    </row>
    <row r="49" spans="1:16" x14ac:dyDescent="0.25">
      <c r="A49" t="s">
        <v>67</v>
      </c>
      <c r="B49" t="s">
        <v>243</v>
      </c>
      <c r="C49">
        <v>1</v>
      </c>
      <c r="D49" t="s">
        <v>203</v>
      </c>
      <c r="E49" t="s">
        <v>156</v>
      </c>
      <c r="F49" t="s">
        <v>87</v>
      </c>
      <c r="G49">
        <v>13094</v>
      </c>
      <c r="H49">
        <v>0</v>
      </c>
      <c r="I49" t="str">
        <f>OutputTable[[#This Row],[ProjectName]]&amp;OutputTable[[#This Row],[Name]]&amp;OutputTable[[#This Row],[Type]]&amp;OutputTable[[#This Row],[Source]]</f>
        <v>Unnamed ProjectProcess 1 Number InNumber InProcess</v>
      </c>
      <c r="J49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cm="1">
        <f t="array" ref="K49">IFERROR(AVERAGE(IF((OutputTable[GroupByKey]=OutputTable[[#This Row],[GroupByKey]]),(OutputTable[GroupByKey]=OutputTable[[#This Row],[GroupByKey]])*OutputTable[RecordedValue])),0)</f>
        <v>13103.5</v>
      </c>
      <c r="L49" cm="1">
        <f t="array" ref="L49">IFERROR(_xlfn.STDEV.S(IF((OutputTable[GroupByKey]=OutputTable[[#This Row],[GroupByKey]]),(OutputTable[GroupByKey]=OutputTable[[#This Row],[GroupByKey]])*OutputTable[RecordedValue])),0)</f>
        <v>11.443095929181249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49" cm="1">
        <f t="array" ref="O49">MIN(IF((OutputTable[GroupByKey]=OutputTable[[#This Row],[GroupByKey]]),(OutputTable[GroupByKey]=OutputTable[[#This Row],[GroupByKey]])*OutputTable[RecordedValue]))</f>
        <v>13087</v>
      </c>
      <c r="P49" cm="1">
        <f t="array" ref="P49">MAX(IF((OutputTable[GroupByKey]=OutputTable[[#This Row],[GroupByKey]]),(OutputTable[GroupByKey]=OutputTable[[#This Row],[GroupByKey]])*OutputTable[RecordedValue]))</f>
        <v>13120</v>
      </c>
    </row>
    <row r="50" spans="1:16" x14ac:dyDescent="0.25">
      <c r="A50" t="s">
        <v>67</v>
      </c>
      <c r="B50" t="s">
        <v>243</v>
      </c>
      <c r="C50">
        <v>1</v>
      </c>
      <c r="D50" t="s">
        <v>204</v>
      </c>
      <c r="E50" t="s">
        <v>158</v>
      </c>
      <c r="F50" t="s">
        <v>87</v>
      </c>
      <c r="G50">
        <v>13094</v>
      </c>
      <c r="H50">
        <v>0</v>
      </c>
      <c r="I50" t="str">
        <f>OutputTable[[#This Row],[ProjectName]]&amp;OutputTable[[#This Row],[Name]]&amp;OutputTable[[#This Row],[Type]]&amp;OutputTable[[#This Row],[Source]]</f>
        <v>Unnamed ProjectProcess 1 Number OutNumber OutProcess</v>
      </c>
      <c r="J50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cm="1">
        <f t="array" ref="K50">IFERROR(AVERAGE(IF((OutputTable[GroupByKey]=OutputTable[[#This Row],[GroupByKey]]),(OutputTable[GroupByKey]=OutputTable[[#This Row],[GroupByKey]])*OutputTable[RecordedValue])),0)</f>
        <v>13103.5</v>
      </c>
      <c r="L50" cm="1">
        <f t="array" ref="L50">IFERROR(_xlfn.STDEV.S(IF((OutputTable[GroupByKey]=OutputTable[[#This Row],[GroupByKey]]),(OutputTable[GroupByKey]=OutputTable[[#This Row],[GroupByKey]])*OutputTable[RecordedValue])),0)</f>
        <v>11.443095929181249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50" cm="1">
        <f t="array" ref="O50">MIN(IF((OutputTable[GroupByKey]=OutputTable[[#This Row],[GroupByKey]]),(OutputTable[GroupByKey]=OutputTable[[#This Row],[GroupByKey]])*OutputTable[RecordedValue]))</f>
        <v>13087</v>
      </c>
      <c r="P50" cm="1">
        <f t="array" ref="P50">MAX(IF((OutputTable[GroupByKey]=OutputTable[[#This Row],[GroupByKey]]),(OutputTable[GroupByKey]=OutputTable[[#This Row],[GroupByKey]])*OutputTable[RecordedValue]))</f>
        <v>13120</v>
      </c>
    </row>
    <row r="51" spans="1:16" x14ac:dyDescent="0.25">
      <c r="A51" t="s">
        <v>67</v>
      </c>
      <c r="B51" t="s">
        <v>243</v>
      </c>
      <c r="C51">
        <v>1</v>
      </c>
      <c r="D51" t="s">
        <v>205</v>
      </c>
      <c r="E51" t="s">
        <v>202</v>
      </c>
      <c r="F51" t="s">
        <v>87</v>
      </c>
      <c r="G51">
        <v>21766.302245909599</v>
      </c>
      <c r="H51">
        <v>0</v>
      </c>
      <c r="I51" t="str">
        <f>OutputTable[[#This Row],[ProjectName]]&amp;OutputTable[[#This Row],[Name]]&amp;OutputTable[[#This Row],[Type]]&amp;OutputTable[[#This Row],[Source]]</f>
        <v>Unnamed ProjectProcess 14 Accum VA TimeAccum VA TimeProcess</v>
      </c>
      <c r="J51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cm="1">
        <f t="array" ref="K51">IFERROR(AVERAGE(IF((OutputTable[GroupByKey]=OutputTable[[#This Row],[GroupByKey]]),(OutputTable[GroupByKey]=OutputTable[[#This Row],[GroupByKey]])*OutputTable[RecordedValue])),0)</f>
        <v>21817.897664333104</v>
      </c>
      <c r="L51" cm="1">
        <f t="array" ref="L51">IFERROR(_xlfn.STDEV.S(IF((OutputTable[GroupByKey]=OutputTable[[#This Row],[GroupByKey]]),(OutputTable[GroupByKey]=OutputTable[[#This Row],[GroupByKey]])*OutputTable[RecordedValue])),0)</f>
        <v>40.377465047897729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28.884298467602775</v>
      </c>
      <c r="O51" cm="1">
        <f t="array" ref="O51">MIN(IF((OutputTable[GroupByKey]=OutputTable[[#This Row],[GroupByKey]]),(OutputTable[GroupByKey]=OutputTable[[#This Row],[GroupByKey]])*OutputTable[RecordedValue]))</f>
        <v>21737.561928445</v>
      </c>
      <c r="P51" cm="1">
        <f t="array" ref="P51">MAX(IF((OutputTable[GroupByKey]=OutputTable[[#This Row],[GroupByKey]]),(OutputTable[GroupByKey]=OutputTable[[#This Row],[GroupByKey]])*OutputTable[RecordedValue]))</f>
        <v>21880.2668082411</v>
      </c>
    </row>
    <row r="52" spans="1:16" x14ac:dyDescent="0.25">
      <c r="A52" t="s">
        <v>67</v>
      </c>
      <c r="B52" t="s">
        <v>243</v>
      </c>
      <c r="C52">
        <v>1</v>
      </c>
      <c r="D52" t="s">
        <v>206</v>
      </c>
      <c r="E52" t="s">
        <v>156</v>
      </c>
      <c r="F52" t="s">
        <v>87</v>
      </c>
      <c r="G52">
        <v>6543</v>
      </c>
      <c r="H52">
        <v>0</v>
      </c>
      <c r="I52" t="str">
        <f>OutputTable[[#This Row],[ProjectName]]&amp;OutputTable[[#This Row],[Name]]&amp;OutputTable[[#This Row],[Type]]&amp;OutputTable[[#This Row],[Source]]</f>
        <v>Unnamed ProjectProcess 14 Number InNumber InProcess</v>
      </c>
      <c r="J52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cm="1">
        <f t="array" ref="K52">IFERROR(AVERAGE(IF((OutputTable[GroupByKey]=OutputTable[[#This Row],[GroupByKey]]),(OutputTable[GroupByKey]=OutputTable[[#This Row],[GroupByKey]])*OutputTable[RecordedValue])),0)</f>
        <v>6547.7</v>
      </c>
      <c r="L52" cm="1">
        <f t="array" ref="L52">IFERROR(_xlfn.STDEV.S(IF((OutputTable[GroupByKey]=OutputTable[[#This Row],[GroupByKey]]),(OutputTable[GroupByKey]=OutputTable[[#This Row],[GroupByKey]])*OutputTable[RecordedValue])),0)</f>
        <v>5.735852159879995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52" cm="1">
        <f t="array" ref="O52">MIN(IF((OutputTable[GroupByKey]=OutputTable[[#This Row],[GroupByKey]]),(OutputTable[GroupByKey]=OutputTable[[#This Row],[GroupByKey]])*OutputTable[RecordedValue]))</f>
        <v>6540</v>
      </c>
      <c r="P52" cm="1">
        <f t="array" ref="P52">MAX(IF((OutputTable[GroupByKey]=OutputTable[[#This Row],[GroupByKey]]),(OutputTable[GroupByKey]=OutputTable[[#This Row],[GroupByKey]])*OutputTable[RecordedValue]))</f>
        <v>6557</v>
      </c>
    </row>
    <row r="53" spans="1:16" x14ac:dyDescent="0.25">
      <c r="A53" t="s">
        <v>67</v>
      </c>
      <c r="B53" t="s">
        <v>243</v>
      </c>
      <c r="C53">
        <v>1</v>
      </c>
      <c r="D53" t="s">
        <v>207</v>
      </c>
      <c r="E53" t="s">
        <v>158</v>
      </c>
      <c r="F53" t="s">
        <v>87</v>
      </c>
      <c r="G53">
        <v>6543</v>
      </c>
      <c r="H53">
        <v>0</v>
      </c>
      <c r="I53" t="str">
        <f>OutputTable[[#This Row],[ProjectName]]&amp;OutputTable[[#This Row],[Name]]&amp;OutputTable[[#This Row],[Type]]&amp;OutputTable[[#This Row],[Source]]</f>
        <v>Unnamed ProjectProcess 14 Number OutNumber OutProcess</v>
      </c>
      <c r="J53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cm="1">
        <f t="array" ref="K53">IFERROR(AVERAGE(IF((OutputTable[GroupByKey]=OutputTable[[#This Row],[GroupByKey]]),(OutputTable[GroupByKey]=OutputTable[[#This Row],[GroupByKey]])*OutputTable[RecordedValue])),0)</f>
        <v>6547.3</v>
      </c>
      <c r="L53" cm="1">
        <f t="array" ref="L53">IFERROR(_xlfn.STDEV.S(IF((OutputTable[GroupByKey]=OutputTable[[#This Row],[GroupByKey]]),(OutputTable[GroupByKey]=OutputTable[[#This Row],[GroupByKey]])*OutputTable[RecordedValue])),0)</f>
        <v>5.7164480035925962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4.0893005569921828</v>
      </c>
      <c r="O53" cm="1">
        <f t="array" ref="O53">MIN(IF((OutputTable[GroupByKey]=OutputTable[[#This Row],[GroupByKey]]),(OutputTable[GroupByKey]=OutputTable[[#This Row],[GroupByKey]])*OutputTable[RecordedValue]))</f>
        <v>6539</v>
      </c>
      <c r="P53" cm="1">
        <f t="array" ref="P53">MAX(IF((OutputTable[GroupByKey]=OutputTable[[#This Row],[GroupByKey]]),(OutputTable[GroupByKey]=OutputTable[[#This Row],[GroupByKey]])*OutputTable[RecordedValue]))</f>
        <v>6556</v>
      </c>
    </row>
    <row r="54" spans="1:16" x14ac:dyDescent="0.25">
      <c r="A54" t="s">
        <v>67</v>
      </c>
      <c r="B54" t="s">
        <v>243</v>
      </c>
      <c r="C54">
        <v>1</v>
      </c>
      <c r="D54" t="s">
        <v>208</v>
      </c>
      <c r="E54" t="s">
        <v>202</v>
      </c>
      <c r="F54" t="s">
        <v>87</v>
      </c>
      <c r="G54">
        <v>78678.718726667095</v>
      </c>
      <c r="H54">
        <v>0</v>
      </c>
      <c r="I54" t="str">
        <f>OutputTable[[#This Row],[ProjectName]]&amp;OutputTable[[#This Row],[Name]]&amp;OutputTable[[#This Row],[Type]]&amp;OutputTable[[#This Row],[Source]]</f>
        <v>Unnamed ProjectProcess 2 Accum VA TimeAccum VA TimeProcess</v>
      </c>
      <c r="J54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cm="1">
        <f t="array" ref="K54">IFERROR(AVERAGE(IF((OutputTable[GroupByKey]=OutputTable[[#This Row],[GroupByKey]]),(OutputTable[GroupByKey]=OutputTable[[#This Row],[GroupByKey]])*OutputTable[RecordedValue])),0)</f>
        <v>78656.282482549519</v>
      </c>
      <c r="L54" cm="1">
        <f t="array" ref="L54">IFERROR(_xlfn.STDEV.S(IF((OutputTable[GroupByKey]=OutputTable[[#This Row],[GroupByKey]]),(OutputTable[GroupByKey]=OutputTable[[#This Row],[GroupByKey]])*OutputTable[RecordedValue])),0)</f>
        <v>139.39621135358072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99.718042457930338</v>
      </c>
      <c r="O54" cm="1">
        <f t="array" ref="O54">MIN(IF((OutputTable[GroupByKey]=OutputTable[[#This Row],[GroupByKey]]),(OutputTable[GroupByKey]=OutputTable[[#This Row],[GroupByKey]])*OutputTable[RecordedValue]))</f>
        <v>78434.750255210005</v>
      </c>
      <c r="P54" cm="1">
        <f t="array" ref="P54">MAX(IF((OutputTable[GroupByKey]=OutputTable[[#This Row],[GroupByKey]]),(OutputTable[GroupByKey]=OutputTable[[#This Row],[GroupByKey]])*OutputTable[RecordedValue]))</f>
        <v>78879.0340749358</v>
      </c>
    </row>
    <row r="55" spans="1:16" x14ac:dyDescent="0.25">
      <c r="A55" t="s">
        <v>67</v>
      </c>
      <c r="B55" t="s">
        <v>243</v>
      </c>
      <c r="C55">
        <v>1</v>
      </c>
      <c r="D55" t="s">
        <v>209</v>
      </c>
      <c r="E55" t="s">
        <v>156</v>
      </c>
      <c r="F55" t="s">
        <v>87</v>
      </c>
      <c r="G55">
        <v>13090</v>
      </c>
      <c r="H55">
        <v>0</v>
      </c>
      <c r="I55" t="str">
        <f>OutputTable[[#This Row],[ProjectName]]&amp;OutputTable[[#This Row],[Name]]&amp;OutputTable[[#This Row],[Type]]&amp;OutputTable[[#This Row],[Source]]</f>
        <v>Unnamed ProjectProcess 2 Number InNumber InProcess</v>
      </c>
      <c r="J5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cm="1">
        <f t="array" ref="K55">IFERROR(AVERAGE(IF((OutputTable[GroupByKey]=OutputTable[[#This Row],[GroupByKey]]),(OutputTable[GroupByKey]=OutputTable[[#This Row],[GroupByKey]])*OutputTable[RecordedValue])),0)</f>
        <v>13100.1</v>
      </c>
      <c r="L55" cm="1">
        <f t="array" ref="L55">IFERROR(_xlfn.STDEV.S(IF((OutputTable[GroupByKey]=OutputTable[[#This Row],[GroupByKey]]),(OutputTable[GroupByKey]=OutputTable[[#This Row],[GroupByKey]])*OutputTable[RecordedValue])),0)</f>
        <v>11.46443776786866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55" cm="1">
        <f t="array" ref="O55">MIN(IF((OutputTable[GroupByKey]=OutputTable[[#This Row],[GroupByKey]]),(OutputTable[GroupByKey]=OutputTable[[#This Row],[GroupByKey]])*OutputTable[RecordedValue]))</f>
        <v>13083</v>
      </c>
      <c r="P55" cm="1">
        <f t="array" ref="P55">MAX(IF((OutputTable[GroupByKey]=OutputTable[[#This Row],[GroupByKey]]),(OutputTable[GroupByKey]=OutputTable[[#This Row],[GroupByKey]])*OutputTable[RecordedValue]))</f>
        <v>13118</v>
      </c>
    </row>
    <row r="56" spans="1:16" x14ac:dyDescent="0.25">
      <c r="A56" t="s">
        <v>67</v>
      </c>
      <c r="B56" t="s">
        <v>243</v>
      </c>
      <c r="C56">
        <v>1</v>
      </c>
      <c r="D56" t="s">
        <v>210</v>
      </c>
      <c r="E56" t="s">
        <v>158</v>
      </c>
      <c r="F56" t="s">
        <v>87</v>
      </c>
      <c r="G56">
        <v>13090</v>
      </c>
      <c r="H56">
        <v>0</v>
      </c>
      <c r="I56" t="str">
        <f>OutputTable[[#This Row],[ProjectName]]&amp;OutputTable[[#This Row],[Name]]&amp;OutputTable[[#This Row],[Type]]&amp;OutputTable[[#This Row],[Source]]</f>
        <v>Unnamed ProjectProcess 2 Number OutNumber OutProcess</v>
      </c>
      <c r="J56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cm="1">
        <f t="array" ref="K56">IFERROR(AVERAGE(IF((OutputTable[GroupByKey]=OutputTable[[#This Row],[GroupByKey]]),(OutputTable[GroupByKey]=OutputTable[[#This Row],[GroupByKey]])*OutputTable[RecordedValue])),0)</f>
        <v>13100.1</v>
      </c>
      <c r="L56" cm="1">
        <f t="array" ref="L56">IFERROR(_xlfn.STDEV.S(IF((OutputTable[GroupByKey]=OutputTable[[#This Row],[GroupByKey]]),(OutputTable[GroupByKey]=OutputTable[[#This Row],[GroupByKey]])*OutputTable[RecordedValue])),0)</f>
        <v>11.46443776786866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56" cm="1">
        <f t="array" ref="O56">MIN(IF((OutputTable[GroupByKey]=OutputTable[[#This Row],[GroupByKey]]),(OutputTable[GroupByKey]=OutputTable[[#This Row],[GroupByKey]])*OutputTable[RecordedValue]))</f>
        <v>13083</v>
      </c>
      <c r="P56" cm="1">
        <f t="array" ref="P56">MAX(IF((OutputTable[GroupByKey]=OutputTable[[#This Row],[GroupByKey]]),(OutputTable[GroupByKey]=OutputTable[[#This Row],[GroupByKey]])*OutputTable[RecordedValue]))</f>
        <v>13118</v>
      </c>
    </row>
    <row r="57" spans="1:16" x14ac:dyDescent="0.25">
      <c r="A57" t="s">
        <v>67</v>
      </c>
      <c r="B57" t="s">
        <v>243</v>
      </c>
      <c r="C57">
        <v>1</v>
      </c>
      <c r="D57" t="s">
        <v>211</v>
      </c>
      <c r="E57" t="s">
        <v>202</v>
      </c>
      <c r="F57" t="s">
        <v>87</v>
      </c>
      <c r="G57">
        <v>143951.70221270499</v>
      </c>
      <c r="H57">
        <v>0</v>
      </c>
      <c r="I57" t="str">
        <f>OutputTable[[#This Row],[ProjectName]]&amp;OutputTable[[#This Row],[Name]]&amp;OutputTable[[#This Row],[Type]]&amp;OutputTable[[#This Row],[Source]]</f>
        <v>Unnamed ProjectProcess 3 Accum VA TimeAccum VA TimeProcess</v>
      </c>
      <c r="J57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cm="1">
        <f t="array" ref="K57">IFERROR(AVERAGE(IF((OutputTable[GroupByKey]=OutputTable[[#This Row],[GroupByKey]]),(OutputTable[GroupByKey]=OutputTable[[#This Row],[GroupByKey]])*OutputTable[RecordedValue])),0)</f>
        <v>144088.31566564049</v>
      </c>
      <c r="L57" cm="1">
        <f t="array" ref="L57">IFERROR(_xlfn.STDEV.S(IF((OutputTable[GroupByKey]=OutputTable[[#This Row],[GroupByKey]]),(OutputTable[GroupByKey]=OutputTable[[#This Row],[GroupByKey]])*OutputTable[RecordedValue])),0)</f>
        <v>147.41980686592098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105.45777691839817</v>
      </c>
      <c r="O57" cm="1">
        <f t="array" ref="O57">MIN(IF((OutputTable[GroupByKey]=OutputTable[[#This Row],[GroupByKey]]),(OutputTable[GroupByKey]=OutputTable[[#This Row],[GroupByKey]])*OutputTable[RecordedValue]))</f>
        <v>143896.696561805</v>
      </c>
      <c r="P57" cm="1">
        <f t="array" ref="P57">MAX(IF((OutputTable[GroupByKey]=OutputTable[[#This Row],[GroupByKey]]),(OutputTable[GroupByKey]=OutputTable[[#This Row],[GroupByKey]])*OutputTable[RecordedValue]))</f>
        <v>144298.22507098701</v>
      </c>
    </row>
    <row r="58" spans="1:16" x14ac:dyDescent="0.25">
      <c r="A58" t="s">
        <v>67</v>
      </c>
      <c r="B58" t="s">
        <v>243</v>
      </c>
      <c r="C58">
        <v>1</v>
      </c>
      <c r="D58" t="s">
        <v>212</v>
      </c>
      <c r="E58" t="s">
        <v>156</v>
      </c>
      <c r="F58" t="s">
        <v>87</v>
      </c>
      <c r="G58">
        <v>13090</v>
      </c>
      <c r="H58">
        <v>0</v>
      </c>
      <c r="I58" t="str">
        <f>OutputTable[[#This Row],[ProjectName]]&amp;OutputTable[[#This Row],[Name]]&amp;OutputTable[[#This Row],[Type]]&amp;OutputTable[[#This Row],[Source]]</f>
        <v>Unnamed ProjectProcess 3 Number InNumber InProcess</v>
      </c>
      <c r="J58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cm="1">
        <f t="array" ref="K58">IFERROR(AVERAGE(IF((OutputTable[GroupByKey]=OutputTable[[#This Row],[GroupByKey]]),(OutputTable[GroupByKey]=OutputTable[[#This Row],[GroupByKey]])*OutputTable[RecordedValue])),0)</f>
        <v>13099.9</v>
      </c>
      <c r="L58" cm="1">
        <f t="array" ref="L58">IFERROR(_xlfn.STDEV.S(IF((OutputTable[GroupByKey]=OutputTable[[#This Row],[GroupByKey]]),(OutputTable[GroupByKey]=OutputTable[[#This Row],[GroupByKey]])*OutputTable[RecordedValue])),0)</f>
        <v>11.761046816598522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58" cm="1">
        <f t="array" ref="O58">MIN(IF((OutputTable[GroupByKey]=OutputTable[[#This Row],[GroupByKey]]),(OutputTable[GroupByKey]=OutputTable[[#This Row],[GroupByKey]])*OutputTable[RecordedValue]))</f>
        <v>13082</v>
      </c>
      <c r="P58" cm="1">
        <f t="array" ref="P58">MAX(IF((OutputTable[GroupByKey]=OutputTable[[#This Row],[GroupByKey]]),(OutputTable[GroupByKey]=OutputTable[[#This Row],[GroupByKey]])*OutputTable[RecordedValue]))</f>
        <v>13118</v>
      </c>
    </row>
    <row r="59" spans="1:16" x14ac:dyDescent="0.25">
      <c r="A59" t="s">
        <v>67</v>
      </c>
      <c r="B59" t="s">
        <v>243</v>
      </c>
      <c r="C59">
        <v>1</v>
      </c>
      <c r="D59" t="s">
        <v>213</v>
      </c>
      <c r="E59" t="s">
        <v>158</v>
      </c>
      <c r="F59" t="s">
        <v>87</v>
      </c>
      <c r="G59">
        <v>13090</v>
      </c>
      <c r="H59">
        <v>0</v>
      </c>
      <c r="I59" t="str">
        <f>OutputTable[[#This Row],[ProjectName]]&amp;OutputTable[[#This Row],[Name]]&amp;OutputTable[[#This Row],[Type]]&amp;OutputTable[[#This Row],[Source]]</f>
        <v>Unnamed ProjectProcess 3 Number OutNumber OutProcess</v>
      </c>
      <c r="J59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cm="1">
        <f t="array" ref="K59">IFERROR(AVERAGE(IF((OutputTable[GroupByKey]=OutputTable[[#This Row],[GroupByKey]]),(OutputTable[GroupByKey]=OutputTable[[#This Row],[GroupByKey]])*OutputTable[RecordedValue])),0)</f>
        <v>13099.9</v>
      </c>
      <c r="L59" cm="1">
        <f t="array" ref="L59">IFERROR(_xlfn.STDEV.S(IF((OutputTable[GroupByKey]=OutputTable[[#This Row],[GroupByKey]]),(OutputTable[GroupByKey]=OutputTable[[#This Row],[GroupByKey]])*OutputTable[RecordedValue])),0)</f>
        <v>11.761046816598522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59" cm="1">
        <f t="array" ref="O59">MIN(IF((OutputTable[GroupByKey]=OutputTable[[#This Row],[GroupByKey]]),(OutputTable[GroupByKey]=OutputTable[[#This Row],[GroupByKey]])*OutputTable[RecordedValue]))</f>
        <v>13082</v>
      </c>
      <c r="P59" cm="1">
        <f t="array" ref="P59">MAX(IF((OutputTable[GroupByKey]=OutputTable[[#This Row],[GroupByKey]]),(OutputTable[GroupByKey]=OutputTable[[#This Row],[GroupByKey]])*OutputTable[RecordedValue]))</f>
        <v>13118</v>
      </c>
    </row>
    <row r="60" spans="1:16" x14ac:dyDescent="0.25">
      <c r="A60" t="s">
        <v>67</v>
      </c>
      <c r="B60" t="s">
        <v>243</v>
      </c>
      <c r="C60">
        <v>1</v>
      </c>
      <c r="D60" t="s">
        <v>214</v>
      </c>
      <c r="E60" t="s">
        <v>202</v>
      </c>
      <c r="F60" t="s">
        <v>87</v>
      </c>
      <c r="G60">
        <v>57569.6670912306</v>
      </c>
      <c r="H60">
        <v>0</v>
      </c>
      <c r="I60" t="str">
        <f>OutputTable[[#This Row],[ProjectName]]&amp;OutputTable[[#This Row],[Name]]&amp;OutputTable[[#This Row],[Type]]&amp;OutputTable[[#This Row],[Source]]</f>
        <v>Unnamed ProjectProcess 4 Accum VA TimeAccum VA TimeProcess</v>
      </c>
      <c r="J60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cm="1">
        <f t="array" ref="K60">IFERROR(AVERAGE(IF((OutputTable[GroupByKey]=OutputTable[[#This Row],[GroupByKey]]),(OutputTable[GroupByKey]=OutputTable[[#This Row],[GroupByKey]])*OutputTable[RecordedValue])),0)</f>
        <v>57657.842851106019</v>
      </c>
      <c r="L60" cm="1">
        <f t="array" ref="L60">IFERROR(_xlfn.STDEV.S(IF((OutputTable[GroupByKey]=OutputTable[[#This Row],[GroupByKey]]),(OutputTable[GroupByKey]=OutputTable[[#This Row],[GroupByKey]])*OutputTable[RecordedValue])),0)</f>
        <v>66.206976538127805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47.361617889987492</v>
      </c>
      <c r="O60" cm="1">
        <f t="array" ref="O60">MIN(IF((OutputTable[GroupByKey]=OutputTable[[#This Row],[GroupByKey]]),(OutputTable[GroupByKey]=OutputTable[[#This Row],[GroupByKey]])*OutputTable[RecordedValue]))</f>
        <v>57569.6670912306</v>
      </c>
      <c r="P60" cm="1">
        <f t="array" ref="P60">MAX(IF((OutputTable[GroupByKey]=OutputTable[[#This Row],[GroupByKey]]),(OutputTable[GroupByKey]=OutputTable[[#This Row],[GroupByKey]])*OutputTable[RecordedValue]))</f>
        <v>57778.887305354197</v>
      </c>
    </row>
    <row r="61" spans="1:16" x14ac:dyDescent="0.25">
      <c r="A61" t="s">
        <v>67</v>
      </c>
      <c r="B61" t="s">
        <v>243</v>
      </c>
      <c r="C61">
        <v>1</v>
      </c>
      <c r="D61" t="s">
        <v>215</v>
      </c>
      <c r="E61" t="s">
        <v>156</v>
      </c>
      <c r="F61" t="s">
        <v>87</v>
      </c>
      <c r="G61">
        <v>8235</v>
      </c>
      <c r="H61">
        <v>0</v>
      </c>
      <c r="I61" t="str">
        <f>OutputTable[[#This Row],[ProjectName]]&amp;OutputTable[[#This Row],[Name]]&amp;OutputTable[[#This Row],[Type]]&amp;OutputTable[[#This Row],[Source]]</f>
        <v>Unnamed ProjectProcess 4 Number InNumber InProcess</v>
      </c>
      <c r="J61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cm="1">
        <f t="array" ref="K61">IFERROR(AVERAGE(IF((OutputTable[GroupByKey]=OutputTable[[#This Row],[GroupByKey]]),(OutputTable[GroupByKey]=OutputTable[[#This Row],[GroupByKey]])*OutputTable[RecordedValue])),0)</f>
        <v>8235</v>
      </c>
      <c r="L61" cm="1">
        <f t="array" ref="L61">IFERROR(_xlfn.STDEV.S(IF((OutputTable[GroupByKey]=OutputTable[[#This Row],[GroupByKey]]),(OutputTable[GroupByKey]=OutputTable[[#This Row],[GroupByKey]])*OutputTable[RecordedValue])),0)</f>
        <v>6.5659052011974035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61" cm="1">
        <f t="array" ref="O61">MIN(IF((OutputTable[GroupByKey]=OutputTable[[#This Row],[GroupByKey]]),(OutputTable[GroupByKey]=OutputTable[[#This Row],[GroupByKey]])*OutputTable[RecordedValue]))</f>
        <v>8223</v>
      </c>
      <c r="P61" cm="1">
        <f t="array" ref="P61">MAX(IF((OutputTable[GroupByKey]=OutputTable[[#This Row],[GroupByKey]]),(OutputTable[GroupByKey]=OutputTable[[#This Row],[GroupByKey]])*OutputTable[RecordedValue]))</f>
        <v>8245</v>
      </c>
    </row>
    <row r="62" spans="1:16" x14ac:dyDescent="0.25">
      <c r="A62" t="s">
        <v>67</v>
      </c>
      <c r="B62" t="s">
        <v>243</v>
      </c>
      <c r="C62">
        <v>1</v>
      </c>
      <c r="D62" t="s">
        <v>216</v>
      </c>
      <c r="E62" t="s">
        <v>158</v>
      </c>
      <c r="F62" t="s">
        <v>87</v>
      </c>
      <c r="G62">
        <v>8235</v>
      </c>
      <c r="H62">
        <v>0</v>
      </c>
      <c r="I62" t="str">
        <f>OutputTable[[#This Row],[ProjectName]]&amp;OutputTable[[#This Row],[Name]]&amp;OutputTable[[#This Row],[Type]]&amp;OutputTable[[#This Row],[Source]]</f>
        <v>Unnamed ProjectProcess 4 Number OutNumber OutProcess</v>
      </c>
      <c r="J62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cm="1">
        <f t="array" ref="K62">IFERROR(AVERAGE(IF((OutputTable[GroupByKey]=OutputTable[[#This Row],[GroupByKey]]),(OutputTable[GroupByKey]=OutputTable[[#This Row],[GroupByKey]])*OutputTable[RecordedValue])),0)</f>
        <v>8235</v>
      </c>
      <c r="L62" cm="1">
        <f t="array" ref="L62">IFERROR(_xlfn.STDEV.S(IF((OutputTable[GroupByKey]=OutputTable[[#This Row],[GroupByKey]]),(OutputTable[GroupByKey]=OutputTable[[#This Row],[GroupByKey]])*OutputTable[RecordedValue])),0)</f>
        <v>6.5659052011974035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62" cm="1">
        <f t="array" ref="O62">MIN(IF((OutputTable[GroupByKey]=OutputTable[[#This Row],[GroupByKey]]),(OutputTable[GroupByKey]=OutputTable[[#This Row],[GroupByKey]])*OutputTable[RecordedValue]))</f>
        <v>8223</v>
      </c>
      <c r="P62" cm="1">
        <f t="array" ref="P62">MAX(IF((OutputTable[GroupByKey]=OutputTable[[#This Row],[GroupByKey]]),(OutputTable[GroupByKey]=OutputTable[[#This Row],[GroupByKey]])*OutputTable[RecordedValue]))</f>
        <v>8245</v>
      </c>
    </row>
    <row r="63" spans="1:16" x14ac:dyDescent="0.25">
      <c r="A63" t="s">
        <v>67</v>
      </c>
      <c r="B63" t="s">
        <v>243</v>
      </c>
      <c r="C63">
        <v>1</v>
      </c>
      <c r="D63" t="s">
        <v>217</v>
      </c>
      <c r="E63" t="s">
        <v>202</v>
      </c>
      <c r="F63" t="s">
        <v>87</v>
      </c>
      <c r="G63">
        <v>82287.082297567002</v>
      </c>
      <c r="H63">
        <v>0</v>
      </c>
      <c r="I63" t="str">
        <f>OutputTable[[#This Row],[ProjectName]]&amp;OutputTable[[#This Row],[Name]]&amp;OutputTable[[#This Row],[Type]]&amp;OutputTable[[#This Row],[Source]]</f>
        <v>Unnamed ProjectProcess 5 Accum VA TimeAccum VA TimeProcess</v>
      </c>
      <c r="J63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cm="1">
        <f t="array" ref="K63">IFERROR(AVERAGE(IF((OutputTable[GroupByKey]=OutputTable[[#This Row],[GroupByKey]]),(OutputTable[GroupByKey]=OutputTable[[#This Row],[GroupByKey]])*OutputTable[RecordedValue])),0)</f>
        <v>82354.925585571807</v>
      </c>
      <c r="L63" cm="1">
        <f t="array" ref="L63">IFERROR(_xlfn.STDEV.S(IF((OutputTable[GroupByKey]=OutputTable[[#This Row],[GroupByKey]]),(OutputTable[GroupByKey]=OutputTable[[#This Row],[GroupByKey]])*OutputTable[RecordedValue])),0)</f>
        <v>74.759806822996126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53.479944099863097</v>
      </c>
      <c r="O63" cm="1">
        <f t="array" ref="O63">MIN(IF((OutputTable[GroupByKey]=OutputTable[[#This Row],[GroupByKey]]),(OutputTable[GroupByKey]=OutputTable[[#This Row],[GroupByKey]])*OutputTable[RecordedValue]))</f>
        <v>82287.012858407106</v>
      </c>
      <c r="P63" cm="1">
        <f t="array" ref="P63">MAX(IF((OutputTable[GroupByKey]=OutputTable[[#This Row],[GroupByKey]]),(OutputTable[GroupByKey]=OutputTable[[#This Row],[GroupByKey]])*OutputTable[RecordedValue]))</f>
        <v>82509.9089339692</v>
      </c>
    </row>
    <row r="64" spans="1:16" x14ac:dyDescent="0.25">
      <c r="A64" t="s">
        <v>67</v>
      </c>
      <c r="B64" t="s">
        <v>243</v>
      </c>
      <c r="C64">
        <v>1</v>
      </c>
      <c r="D64" t="s">
        <v>218</v>
      </c>
      <c r="E64" t="s">
        <v>156</v>
      </c>
      <c r="F64" t="s">
        <v>87</v>
      </c>
      <c r="G64">
        <v>8235</v>
      </c>
      <c r="H64">
        <v>0</v>
      </c>
      <c r="I64" t="str">
        <f>OutputTable[[#This Row],[ProjectName]]&amp;OutputTable[[#This Row],[Name]]&amp;OutputTable[[#This Row],[Type]]&amp;OutputTable[[#This Row],[Source]]</f>
        <v>Unnamed ProjectProcess 5 Number InNumber InProcess</v>
      </c>
      <c r="J64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cm="1">
        <f t="array" ref="K64">IFERROR(AVERAGE(IF((OutputTable[GroupByKey]=OutputTable[[#This Row],[GroupByKey]]),(OutputTable[GroupByKey]=OutputTable[[#This Row],[GroupByKey]])*OutputTable[RecordedValue])),0)</f>
        <v>8233.5</v>
      </c>
      <c r="L64" cm="1">
        <f t="array" ref="L64">IFERROR(_xlfn.STDEV.S(IF((OutputTable[GroupByKey]=OutputTable[[#This Row],[GroupByKey]]),(OutputTable[GroupByKey]=OutputTable[[#This Row],[GroupByKey]])*OutputTable[RecordedValue])),0)</f>
        <v>6.5021364010437201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64" cm="1">
        <f t="array" ref="O64">MIN(IF((OutputTable[GroupByKey]=OutputTable[[#This Row],[GroupByKey]]),(OutputTable[GroupByKey]=OutputTable[[#This Row],[GroupByKey]])*OutputTable[RecordedValue]))</f>
        <v>8221</v>
      </c>
      <c r="P64" cm="1">
        <f t="array" ref="P64">MAX(IF((OutputTable[GroupByKey]=OutputTable[[#This Row],[GroupByKey]]),(OutputTable[GroupByKey]=OutputTable[[#This Row],[GroupByKey]])*OutputTable[RecordedValue]))</f>
        <v>8243</v>
      </c>
    </row>
    <row r="65" spans="1:16" x14ac:dyDescent="0.25">
      <c r="A65" t="s">
        <v>67</v>
      </c>
      <c r="B65" t="s">
        <v>243</v>
      </c>
      <c r="C65">
        <v>1</v>
      </c>
      <c r="D65" t="s">
        <v>219</v>
      </c>
      <c r="E65" t="s">
        <v>158</v>
      </c>
      <c r="F65" t="s">
        <v>87</v>
      </c>
      <c r="G65">
        <v>8235</v>
      </c>
      <c r="H65">
        <v>0</v>
      </c>
      <c r="I65" t="str">
        <f>OutputTable[[#This Row],[ProjectName]]&amp;OutputTable[[#This Row],[Name]]&amp;OutputTable[[#This Row],[Type]]&amp;OutputTable[[#This Row],[Source]]</f>
        <v>Unnamed ProjectProcess 5 Number OutNumber OutProcess</v>
      </c>
      <c r="J6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cm="1">
        <f t="array" ref="K65">IFERROR(AVERAGE(IF((OutputTable[GroupByKey]=OutputTable[[#This Row],[GroupByKey]]),(OutputTable[GroupByKey]=OutputTable[[#This Row],[GroupByKey]])*OutputTable[RecordedValue])),0)</f>
        <v>8233.5</v>
      </c>
      <c r="L65" cm="1">
        <f t="array" ref="L65">IFERROR(_xlfn.STDEV.S(IF((OutputTable[GroupByKey]=OutputTable[[#This Row],[GroupByKey]]),(OutputTable[GroupByKey]=OutputTable[[#This Row],[GroupByKey]])*OutputTable[RecordedValue])),0)</f>
        <v>6.5021364010437201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65" cm="1">
        <f t="array" ref="O65">MIN(IF((OutputTable[GroupByKey]=OutputTable[[#This Row],[GroupByKey]]),(OutputTable[GroupByKey]=OutputTable[[#This Row],[GroupByKey]])*OutputTable[RecordedValue]))</f>
        <v>8221</v>
      </c>
      <c r="P65" cm="1">
        <f t="array" ref="P65">MAX(IF((OutputTable[GroupByKey]=OutputTable[[#This Row],[GroupByKey]]),(OutputTable[GroupByKey]=OutputTable[[#This Row],[GroupByKey]])*OutputTable[RecordedValue]))</f>
        <v>8243</v>
      </c>
    </row>
    <row r="66" spans="1:16" x14ac:dyDescent="0.25">
      <c r="A66" t="s">
        <v>67</v>
      </c>
      <c r="B66" t="s">
        <v>243</v>
      </c>
      <c r="C66">
        <v>1</v>
      </c>
      <c r="D66" t="s">
        <v>220</v>
      </c>
      <c r="E66" t="s">
        <v>202</v>
      </c>
      <c r="F66" t="s">
        <v>87</v>
      </c>
      <c r="G66">
        <v>205786.30331204101</v>
      </c>
      <c r="H66">
        <v>0</v>
      </c>
      <c r="I66" t="str">
        <f>OutputTable[[#This Row],[ProjectName]]&amp;OutputTable[[#This Row],[Name]]&amp;OutputTable[[#This Row],[Type]]&amp;OutputTable[[#This Row],[Source]]</f>
        <v>Unnamed ProjectProcess 6 Accum VA TimeAccum VA TimeProcess</v>
      </c>
      <c r="J66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cm="1">
        <f t="array" ref="K66">IFERROR(AVERAGE(IF((OutputTable[GroupByKey]=OutputTable[[#This Row],[GroupByKey]]),(OutputTable[GroupByKey]=OutputTable[[#This Row],[GroupByKey]])*OutputTable[RecordedValue])),0)</f>
        <v>205782.3721339902</v>
      </c>
      <c r="L66" cm="1">
        <f t="array" ref="L66">IFERROR(_xlfn.STDEV.S(IF((OutputTable[GroupByKey]=OutputTable[[#This Row],[GroupByKey]]),(OutputTable[GroupByKey]=OutputTable[[#This Row],[GroupByKey]])*OutputTable[RecordedValue])),0)</f>
        <v>135.17903819323379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96.701258514002035</v>
      </c>
      <c r="O66" cm="1">
        <f t="array" ref="O66">MIN(IF((OutputTable[GroupByKey]=OutputTable[[#This Row],[GroupByKey]]),(OutputTable[GroupByKey]=OutputTable[[#This Row],[GroupByKey]])*OutputTable[RecordedValue]))</f>
        <v>205554.00796082799</v>
      </c>
      <c r="P66" cm="1">
        <f t="array" ref="P66">MAX(IF((OutputTable[GroupByKey]=OutputTable[[#This Row],[GroupByKey]]),(OutputTable[GroupByKey]=OutputTable[[#This Row],[GroupByKey]])*OutputTable[RecordedValue]))</f>
        <v>205962.665291818</v>
      </c>
    </row>
    <row r="67" spans="1:16" x14ac:dyDescent="0.25">
      <c r="A67" t="s">
        <v>67</v>
      </c>
      <c r="B67" t="s">
        <v>243</v>
      </c>
      <c r="C67">
        <v>1</v>
      </c>
      <c r="D67" t="s">
        <v>221</v>
      </c>
      <c r="E67" t="s">
        <v>156</v>
      </c>
      <c r="F67" t="s">
        <v>87</v>
      </c>
      <c r="G67">
        <v>8233</v>
      </c>
      <c r="H67">
        <v>0</v>
      </c>
      <c r="I67" t="str">
        <f>OutputTable[[#This Row],[ProjectName]]&amp;OutputTable[[#This Row],[Name]]&amp;OutputTable[[#This Row],[Type]]&amp;OutputTable[[#This Row],[Source]]</f>
        <v>Unnamed ProjectProcess 6 Number InNumber InProcess</v>
      </c>
      <c r="J67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cm="1">
        <f t="array" ref="K67">IFERROR(AVERAGE(IF((OutputTable[GroupByKey]=OutputTable[[#This Row],[GroupByKey]]),(OutputTable[GroupByKey]=OutputTable[[#This Row],[GroupByKey]])*OutputTable[RecordedValue])),0)</f>
        <v>8231.5</v>
      </c>
      <c r="L67" cm="1">
        <f t="array" ref="L67">IFERROR(_xlfn.STDEV.S(IF((OutputTable[GroupByKey]=OutputTable[[#This Row],[GroupByKey]]),(OutputTable[GroupByKey]=OutputTable[[#This Row],[GroupByKey]])*OutputTable[RecordedValue])),0)</f>
        <v>6.3464775882199236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67" cm="1">
        <f t="array" ref="O67">MIN(IF((OutputTable[GroupByKey]=OutputTable[[#This Row],[GroupByKey]]),(OutputTable[GroupByKey]=OutputTable[[#This Row],[GroupByKey]])*OutputTable[RecordedValue]))</f>
        <v>8220</v>
      </c>
      <c r="P67" cm="1">
        <f t="array" ref="P67">MAX(IF((OutputTable[GroupByKey]=OutputTable[[#This Row],[GroupByKey]]),(OutputTable[GroupByKey]=OutputTable[[#This Row],[GroupByKey]])*OutputTable[RecordedValue]))</f>
        <v>8241</v>
      </c>
    </row>
    <row r="68" spans="1:16" x14ac:dyDescent="0.25">
      <c r="A68" t="s">
        <v>67</v>
      </c>
      <c r="B68" t="s">
        <v>243</v>
      </c>
      <c r="C68">
        <v>1</v>
      </c>
      <c r="D68" t="s">
        <v>222</v>
      </c>
      <c r="E68" t="s">
        <v>158</v>
      </c>
      <c r="F68" t="s">
        <v>87</v>
      </c>
      <c r="G68">
        <v>8233</v>
      </c>
      <c r="H68">
        <v>0</v>
      </c>
      <c r="I68" t="str">
        <f>OutputTable[[#This Row],[ProjectName]]&amp;OutputTable[[#This Row],[Name]]&amp;OutputTable[[#This Row],[Type]]&amp;OutputTable[[#This Row],[Source]]</f>
        <v>Unnamed ProjectProcess 6 Number OutNumber OutProcess</v>
      </c>
      <c r="J68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cm="1">
        <f t="array" ref="K68">IFERROR(AVERAGE(IF((OutputTable[GroupByKey]=OutputTable[[#This Row],[GroupByKey]]),(OutputTable[GroupByKey]=OutputTable[[#This Row],[GroupByKey]])*OutputTable[RecordedValue])),0)</f>
        <v>8231.5</v>
      </c>
      <c r="L68" cm="1">
        <f t="array" ref="L68">IFERROR(_xlfn.STDEV.S(IF((OutputTable[GroupByKey]=OutputTable[[#This Row],[GroupByKey]]),(OutputTable[GroupByKey]=OutputTable[[#This Row],[GroupByKey]])*OutputTable[RecordedValue])),0)</f>
        <v>6.3464775882199236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68" cm="1">
        <f t="array" ref="O68">MIN(IF((OutputTable[GroupByKey]=OutputTable[[#This Row],[GroupByKey]]),(OutputTable[GroupByKey]=OutputTable[[#This Row],[GroupByKey]])*OutputTable[RecordedValue]))</f>
        <v>8220</v>
      </c>
      <c r="P68" cm="1">
        <f t="array" ref="P68">MAX(IF((OutputTable[GroupByKey]=OutputTable[[#This Row],[GroupByKey]]),(OutputTable[GroupByKey]=OutputTable[[#This Row],[GroupByKey]])*OutputTable[RecordedValue]))</f>
        <v>8241</v>
      </c>
    </row>
    <row r="69" spans="1:16" x14ac:dyDescent="0.25">
      <c r="A69" t="s">
        <v>67</v>
      </c>
      <c r="B69" t="s">
        <v>243</v>
      </c>
      <c r="C69">
        <v>1</v>
      </c>
      <c r="D69" t="s">
        <v>223</v>
      </c>
      <c r="E69" t="s">
        <v>202</v>
      </c>
      <c r="F69" t="s">
        <v>87</v>
      </c>
      <c r="G69">
        <v>98604.899500900996</v>
      </c>
      <c r="H69">
        <v>0</v>
      </c>
      <c r="I69" t="str">
        <f>OutputTable[[#This Row],[ProjectName]]&amp;OutputTable[[#This Row],[Name]]&amp;OutputTable[[#This Row],[Type]]&amp;OutputTable[[#This Row],[Source]]</f>
        <v>Unnamed ProjectProcess 7 Accum VA TimeAccum VA TimeProcess</v>
      </c>
      <c r="J69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cm="1">
        <f t="array" ref="K69">IFERROR(AVERAGE(IF((OutputTable[GroupByKey]=OutputTable[[#This Row],[GroupByKey]]),(OutputTable[GroupByKey]=OutputTable[[#This Row],[GroupByKey]])*OutputTable[RecordedValue])),0)</f>
        <v>98625.180720296266</v>
      </c>
      <c r="L69" cm="1">
        <f t="array" ref="L69">IFERROR(_xlfn.STDEV.S(IF((OutputTable[GroupByKey]=OutputTable[[#This Row],[GroupByKey]]),(OutputTable[GroupByKey]=OutputTable[[#This Row],[GroupByKey]])*OutputTable[RecordedValue])),0)</f>
        <v>166.97558012409817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119.44713437023168</v>
      </c>
      <c r="O69" cm="1">
        <f t="array" ref="O69">MIN(IF((OutputTable[GroupByKey]=OutputTable[[#This Row],[GroupByKey]]),(OutputTable[GroupByKey]=OutputTable[[#This Row],[GroupByKey]])*OutputTable[RecordedValue]))</f>
        <v>98434.330991768598</v>
      </c>
      <c r="P69" cm="1">
        <f t="array" ref="P69">MAX(IF((OutputTable[GroupByKey]=OutputTable[[#This Row],[GroupByKey]]),(OutputTable[GroupByKey]=OutputTable[[#This Row],[GroupByKey]])*OutputTable[RecordedValue]))</f>
        <v>98993.883345143302</v>
      </c>
    </row>
    <row r="70" spans="1:16" x14ac:dyDescent="0.25">
      <c r="A70" t="s">
        <v>67</v>
      </c>
      <c r="B70" t="s">
        <v>243</v>
      </c>
      <c r="C70">
        <v>1</v>
      </c>
      <c r="D70" t="s">
        <v>224</v>
      </c>
      <c r="E70" t="s">
        <v>156</v>
      </c>
      <c r="F70" t="s">
        <v>87</v>
      </c>
      <c r="G70">
        <v>8229</v>
      </c>
      <c r="H70">
        <v>0</v>
      </c>
      <c r="I70" t="str">
        <f>OutputTable[[#This Row],[ProjectName]]&amp;OutputTable[[#This Row],[Name]]&amp;OutputTable[[#This Row],[Type]]&amp;OutputTable[[#This Row],[Source]]</f>
        <v>Unnamed ProjectProcess 7 Number InNumber InProcess</v>
      </c>
      <c r="J70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cm="1">
        <f t="array" ref="K70">IFERROR(AVERAGE(IF((OutputTable[GroupByKey]=OutputTable[[#This Row],[GroupByKey]]),(OutputTable[GroupByKey]=OutputTable[[#This Row],[GroupByKey]])*OutputTable[RecordedValue])),0)</f>
        <v>8227.7000000000007</v>
      </c>
      <c r="L70" cm="1">
        <f t="array" ref="L70">IFERROR(_xlfn.STDEV.S(IF((OutputTable[GroupByKey]=OutputTable[[#This Row],[GroupByKey]]),(OutputTable[GroupByKey]=OutputTable[[#This Row],[GroupByKey]])*OutputTable[RecordedValue])),0)</f>
        <v>6.2902040242480748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70" cm="1">
        <f t="array" ref="O70">MIN(IF((OutputTable[GroupByKey]=OutputTable[[#This Row],[GroupByKey]]),(OutputTable[GroupByKey]=OutputTable[[#This Row],[GroupByKey]])*OutputTable[RecordedValue]))</f>
        <v>8216</v>
      </c>
      <c r="P70" cm="1">
        <f t="array" ref="P70">MAX(IF((OutputTable[GroupByKey]=OutputTable[[#This Row],[GroupByKey]]),(OutputTable[GroupByKey]=OutputTable[[#This Row],[GroupByKey]])*OutputTable[RecordedValue]))</f>
        <v>8237</v>
      </c>
    </row>
    <row r="71" spans="1:16" x14ac:dyDescent="0.25">
      <c r="A71" t="s">
        <v>67</v>
      </c>
      <c r="B71" t="s">
        <v>243</v>
      </c>
      <c r="C71">
        <v>1</v>
      </c>
      <c r="D71" t="s">
        <v>225</v>
      </c>
      <c r="E71" t="s">
        <v>158</v>
      </c>
      <c r="F71" t="s">
        <v>87</v>
      </c>
      <c r="G71">
        <v>8229</v>
      </c>
      <c r="H71">
        <v>0</v>
      </c>
      <c r="I71" t="str">
        <f>OutputTable[[#This Row],[ProjectName]]&amp;OutputTable[[#This Row],[Name]]&amp;OutputTable[[#This Row],[Type]]&amp;OutputTable[[#This Row],[Source]]</f>
        <v>Unnamed ProjectProcess 7 Number OutNumber OutProcess</v>
      </c>
      <c r="J71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cm="1">
        <f t="array" ref="K71">IFERROR(AVERAGE(IF((OutputTable[GroupByKey]=OutputTable[[#This Row],[GroupByKey]]),(OutputTable[GroupByKey]=OutputTable[[#This Row],[GroupByKey]])*OutputTable[RecordedValue])),0)</f>
        <v>8227.7000000000007</v>
      </c>
      <c r="L71" cm="1">
        <f t="array" ref="L71">IFERROR(_xlfn.STDEV.S(IF((OutputTable[GroupByKey]=OutputTable[[#This Row],[GroupByKey]]),(OutputTable[GroupByKey]=OutputTable[[#This Row],[GroupByKey]])*OutputTable[RecordedValue])),0)</f>
        <v>6.2902040242480748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71" cm="1">
        <f t="array" ref="O71">MIN(IF((OutputTable[GroupByKey]=OutputTable[[#This Row],[GroupByKey]]),(OutputTable[GroupByKey]=OutputTable[[#This Row],[GroupByKey]])*OutputTable[RecordedValue]))</f>
        <v>8216</v>
      </c>
      <c r="P71" cm="1">
        <f t="array" ref="P71">MAX(IF((OutputTable[GroupByKey]=OutputTable[[#This Row],[GroupByKey]]),(OutputTable[GroupByKey]=OutputTable[[#This Row],[GroupByKey]])*OutputTable[RecordedValue]))</f>
        <v>8237</v>
      </c>
    </row>
    <row r="72" spans="1:16" x14ac:dyDescent="0.25">
      <c r="A72" t="s">
        <v>67</v>
      </c>
      <c r="B72" t="s">
        <v>243</v>
      </c>
      <c r="C72">
        <v>1</v>
      </c>
      <c r="D72" t="s">
        <v>226</v>
      </c>
      <c r="E72" t="s">
        <v>202</v>
      </c>
      <c r="F72" t="s">
        <v>87</v>
      </c>
      <c r="G72">
        <v>91962.37934765</v>
      </c>
      <c r="H72">
        <v>0</v>
      </c>
      <c r="I72" t="str">
        <f>OutputTable[[#This Row],[ProjectName]]&amp;OutputTable[[#This Row],[Name]]&amp;OutputTable[[#This Row],[Type]]&amp;OutputTable[[#This Row],[Source]]</f>
        <v>Unnamed ProjectProcess 8 Accum VA TimeAccum VA TimeProcess</v>
      </c>
      <c r="J72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cm="1">
        <f t="array" ref="K72">IFERROR(AVERAGE(IF((OutputTable[GroupByKey]=OutputTable[[#This Row],[GroupByKey]]),(OutputTable[GroupByKey]=OutputTable[[#This Row],[GroupByKey]])*OutputTable[RecordedValue])),0)</f>
        <v>91917.034029149756</v>
      </c>
      <c r="L72" cm="1">
        <f t="array" ref="L72">IFERROR(_xlfn.STDEV.S(IF((OutputTable[GroupByKey]=OutputTable[[#This Row],[GroupByKey]]),(OutputTable[GroupByKey]=OutputTable[[#This Row],[GroupByKey]])*OutputTable[RecordedValue])),0)</f>
        <v>167.33037075092571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119.70093629530641</v>
      </c>
      <c r="O72" cm="1">
        <f t="array" ref="O72">MIN(IF((OutputTable[GroupByKey]=OutputTable[[#This Row],[GroupByKey]]),(OutputTable[GroupByKey]=OutputTable[[#This Row],[GroupByKey]])*OutputTable[RecordedValue]))</f>
        <v>91632.276670136605</v>
      </c>
      <c r="P72" cm="1">
        <f t="array" ref="P72">MAX(IF((OutputTable[GroupByKey]=OutputTable[[#This Row],[GroupByKey]]),(OutputTable[GroupByKey]=OutputTable[[#This Row],[GroupByKey]])*OutputTable[RecordedValue]))</f>
        <v>92162.594279262106</v>
      </c>
    </row>
    <row r="73" spans="1:16" x14ac:dyDescent="0.25">
      <c r="A73" t="s">
        <v>67</v>
      </c>
      <c r="B73" t="s">
        <v>243</v>
      </c>
      <c r="C73">
        <v>1</v>
      </c>
      <c r="D73" t="s">
        <v>227</v>
      </c>
      <c r="E73" t="s">
        <v>156</v>
      </c>
      <c r="F73" t="s">
        <v>87</v>
      </c>
      <c r="G73">
        <v>18379</v>
      </c>
      <c r="H73">
        <v>0</v>
      </c>
      <c r="I73" t="str">
        <f>OutputTable[[#This Row],[ProjectName]]&amp;OutputTable[[#This Row],[Name]]&amp;OutputTable[[#This Row],[Type]]&amp;OutputTable[[#This Row],[Source]]</f>
        <v>Unnamed ProjectProcess 8 Number InNumber InProcess</v>
      </c>
      <c r="J73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cm="1">
        <f t="array" ref="K73">IFERROR(AVERAGE(IF((OutputTable[GroupByKey]=OutputTable[[#This Row],[GroupByKey]]),(OutputTable[GroupByKey]=OutputTable[[#This Row],[GroupByKey]])*OutputTable[RecordedValue])),0)</f>
        <v>18392</v>
      </c>
      <c r="L73" cm="1">
        <f t="array" ref="L73">IFERROR(_xlfn.STDEV.S(IF((OutputTable[GroupByKey]=OutputTable[[#This Row],[GroupByKey]]),(OutputTable[GroupByKey]=OutputTable[[#This Row],[GroupByKey]])*OutputTable[RecordedValue])),0)</f>
        <v>12.884098726725126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73" cm="1">
        <f t="array" ref="O73">MIN(IF((OutputTable[GroupByKey]=OutputTable[[#This Row],[GroupByKey]]),(OutputTable[GroupByKey]=OutputTable[[#This Row],[GroupByKey]])*OutputTable[RecordedValue]))</f>
        <v>18376</v>
      </c>
      <c r="P73" cm="1">
        <f t="array" ref="P73">MAX(IF((OutputTable[GroupByKey]=OutputTable[[#This Row],[GroupByKey]]),(OutputTable[GroupByKey]=OutputTable[[#This Row],[GroupByKey]])*OutputTable[RecordedValue]))</f>
        <v>18407</v>
      </c>
    </row>
    <row r="74" spans="1:16" x14ac:dyDescent="0.25">
      <c r="A74" t="s">
        <v>67</v>
      </c>
      <c r="B74" t="s">
        <v>243</v>
      </c>
      <c r="C74">
        <v>1</v>
      </c>
      <c r="D74" t="s">
        <v>228</v>
      </c>
      <c r="E74" t="s">
        <v>158</v>
      </c>
      <c r="F74" t="s">
        <v>87</v>
      </c>
      <c r="G74">
        <v>18379</v>
      </c>
      <c r="H74">
        <v>0</v>
      </c>
      <c r="I74" t="str">
        <f>OutputTable[[#This Row],[ProjectName]]&amp;OutputTable[[#This Row],[Name]]&amp;OutputTable[[#This Row],[Type]]&amp;OutputTable[[#This Row],[Source]]</f>
        <v>Unnamed ProjectProcess 8 Number OutNumber OutProcess</v>
      </c>
      <c r="J74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cm="1">
        <f t="array" ref="K74">IFERROR(AVERAGE(IF((OutputTable[GroupByKey]=OutputTable[[#This Row],[GroupByKey]]),(OutputTable[GroupByKey]=OutputTable[[#This Row],[GroupByKey]])*OutputTable[RecordedValue])),0)</f>
        <v>18392</v>
      </c>
      <c r="L74" cm="1">
        <f t="array" ref="L74">IFERROR(_xlfn.STDEV.S(IF((OutputTable[GroupByKey]=OutputTable[[#This Row],[GroupByKey]]),(OutputTable[GroupByKey]=OutputTable[[#This Row],[GroupByKey]])*OutputTable[RecordedValue])),0)</f>
        <v>12.884098726725126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74" cm="1">
        <f t="array" ref="O74">MIN(IF((OutputTable[GroupByKey]=OutputTable[[#This Row],[GroupByKey]]),(OutputTable[GroupByKey]=OutputTable[[#This Row],[GroupByKey]])*OutputTable[RecordedValue]))</f>
        <v>18376</v>
      </c>
      <c r="P74" cm="1">
        <f t="array" ref="P74">MAX(IF((OutputTable[GroupByKey]=OutputTable[[#This Row],[GroupByKey]]),(OutputTable[GroupByKey]=OutputTable[[#This Row],[GroupByKey]])*OutputTable[RecordedValue]))</f>
        <v>18407</v>
      </c>
    </row>
    <row r="75" spans="1:16" x14ac:dyDescent="0.25">
      <c r="A75" t="s">
        <v>67</v>
      </c>
      <c r="B75" t="s">
        <v>243</v>
      </c>
      <c r="C75">
        <v>1</v>
      </c>
      <c r="D75" t="s">
        <v>229</v>
      </c>
      <c r="E75" t="s">
        <v>202</v>
      </c>
      <c r="F75" t="s">
        <v>87</v>
      </c>
      <c r="G75">
        <v>104217.79957260301</v>
      </c>
      <c r="H75">
        <v>0</v>
      </c>
      <c r="I75" t="str">
        <f>OutputTable[[#This Row],[ProjectName]]&amp;OutputTable[[#This Row],[Name]]&amp;OutputTable[[#This Row],[Type]]&amp;OutputTable[[#This Row],[Source]]</f>
        <v>Unnamed ProjectProcess 9 Accum VA TimeAccum VA TimeProcess</v>
      </c>
      <c r="J7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cm="1">
        <f t="array" ref="K75">IFERROR(AVERAGE(IF((OutputTable[GroupByKey]=OutputTable[[#This Row],[GroupByKey]]),(OutputTable[GroupByKey]=OutputTable[[#This Row],[GroupByKey]])*OutputTable[RecordedValue])),0)</f>
        <v>104198.44406523299</v>
      </c>
      <c r="L75" cm="1">
        <f t="array" ref="L75">IFERROR(_xlfn.STDEV.S(IF((OutputTable[GroupByKey]=OutputTable[[#This Row],[GroupByKey]]),(OutputTable[GroupByKey]=OutputTable[[#This Row],[GroupByKey]])*OutputTable[RecordedValue])),0)</f>
        <v>99.045608472383734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70.852960026786278</v>
      </c>
      <c r="O75" cm="1">
        <f t="array" ref="O75">MIN(IF((OutputTable[GroupByKey]=OutputTable[[#This Row],[GroupByKey]]),(OutputTable[GroupByKey]=OutputTable[[#This Row],[GroupByKey]])*OutputTable[RecordedValue]))</f>
        <v>104039.320720244</v>
      </c>
      <c r="P75" cm="1">
        <f t="array" ref="P75">MAX(IF((OutputTable[GroupByKey]=OutputTable[[#This Row],[GroupByKey]]),(OutputTable[GroupByKey]=OutputTable[[#This Row],[GroupByKey]])*OutputTable[RecordedValue]))</f>
        <v>104335.096217932</v>
      </c>
    </row>
    <row r="76" spans="1:16" x14ac:dyDescent="0.25">
      <c r="A76" t="s">
        <v>67</v>
      </c>
      <c r="B76" t="s">
        <v>243</v>
      </c>
      <c r="C76">
        <v>1</v>
      </c>
      <c r="D76" t="s">
        <v>230</v>
      </c>
      <c r="E76" t="s">
        <v>156</v>
      </c>
      <c r="F76" t="s">
        <v>87</v>
      </c>
      <c r="G76">
        <v>18376</v>
      </c>
      <c r="H76">
        <v>0</v>
      </c>
      <c r="I76" t="str">
        <f>OutputTable[[#This Row],[ProjectName]]&amp;OutputTable[[#This Row],[Name]]&amp;OutputTable[[#This Row],[Type]]&amp;OutputTable[[#This Row],[Source]]</f>
        <v>Unnamed ProjectProcess 9 Number InNumber InProcess</v>
      </c>
      <c r="J76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cm="1">
        <f t="array" ref="K76">IFERROR(AVERAGE(IF((OutputTable[GroupByKey]=OutputTable[[#This Row],[GroupByKey]]),(OutputTable[GroupByKey]=OutputTable[[#This Row],[GroupByKey]])*OutputTable[RecordedValue])),0)</f>
        <v>18389.400000000001</v>
      </c>
      <c r="L76" cm="1">
        <f t="array" ref="L76">IFERROR(_xlfn.STDEV.S(IF((OutputTable[GroupByKey]=OutputTable[[#This Row],[GroupByKey]]),(OutputTable[GroupByKey]=OutputTable[[#This Row],[GroupByKey]])*OutputTable[RecordedValue])),0)</f>
        <v>12.103259432437566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76" cm="1">
        <f t="array" ref="O76">MIN(IF((OutputTable[GroupByKey]=OutputTable[[#This Row],[GroupByKey]]),(OutputTable[GroupByKey]=OutputTable[[#This Row],[GroupByKey]])*OutputTable[RecordedValue]))</f>
        <v>18376</v>
      </c>
      <c r="P76" cm="1">
        <f t="array" ref="P76">MAX(IF((OutputTable[GroupByKey]=OutputTable[[#This Row],[GroupByKey]]),(OutputTable[GroupByKey]=OutputTable[[#This Row],[GroupByKey]])*OutputTable[RecordedValue]))</f>
        <v>18404</v>
      </c>
    </row>
    <row r="77" spans="1:16" x14ac:dyDescent="0.25">
      <c r="A77" t="s">
        <v>67</v>
      </c>
      <c r="B77" t="s">
        <v>243</v>
      </c>
      <c r="C77">
        <v>1</v>
      </c>
      <c r="D77" t="s">
        <v>231</v>
      </c>
      <c r="E77" t="s">
        <v>158</v>
      </c>
      <c r="F77" t="s">
        <v>87</v>
      </c>
      <c r="G77">
        <v>18376</v>
      </c>
      <c r="H77">
        <v>0</v>
      </c>
      <c r="I77" t="str">
        <f>OutputTable[[#This Row],[ProjectName]]&amp;OutputTable[[#This Row],[Name]]&amp;OutputTable[[#This Row],[Type]]&amp;OutputTable[[#This Row],[Source]]</f>
        <v>Unnamed ProjectProcess 9 Number OutNumber OutProcess</v>
      </c>
      <c r="J77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cm="1">
        <f t="array" ref="K77">IFERROR(AVERAGE(IF((OutputTable[GroupByKey]=OutputTable[[#This Row],[GroupByKey]]),(OutputTable[GroupByKey]=OutputTable[[#This Row],[GroupByKey]])*OutputTable[RecordedValue])),0)</f>
        <v>18389.400000000001</v>
      </c>
      <c r="L77" cm="1">
        <f t="array" ref="L77">IFERROR(_xlfn.STDEV.S(IF((OutputTable[GroupByKey]=OutputTable[[#This Row],[GroupByKey]]),(OutputTable[GroupByKey]=OutputTable[[#This Row],[GroupByKey]])*OutputTable[RecordedValue])),0)</f>
        <v>12.103259432437566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77" cm="1">
        <f t="array" ref="O77">MIN(IF((OutputTable[GroupByKey]=OutputTable[[#This Row],[GroupByKey]]),(OutputTable[GroupByKey]=OutputTable[[#This Row],[GroupByKey]])*OutputTable[RecordedValue]))</f>
        <v>18376</v>
      </c>
      <c r="P77" cm="1">
        <f t="array" ref="P77">MAX(IF((OutputTable[GroupByKey]=OutputTable[[#This Row],[GroupByKey]]),(OutputTable[GroupByKey]=OutputTable[[#This Row],[GroupByKey]])*OutputTable[RecordedValue]))</f>
        <v>18404</v>
      </c>
    </row>
    <row r="78" spans="1:16" x14ac:dyDescent="0.25">
      <c r="A78" t="s">
        <v>67</v>
      </c>
      <c r="B78" t="s">
        <v>243</v>
      </c>
      <c r="C78">
        <v>1</v>
      </c>
      <c r="D78" t="s">
        <v>232</v>
      </c>
      <c r="E78" t="s">
        <v>152</v>
      </c>
      <c r="F78" t="s">
        <v>113</v>
      </c>
      <c r="G78">
        <v>0</v>
      </c>
      <c r="H78">
        <v>0</v>
      </c>
      <c r="I78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78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cm="1">
        <f t="array" ref="K78">IFERROR(AVERAGE(IF((OutputTable[GroupByKey]=OutputTable[[#This Row],[GroupByKey]]),(OutputTable[GroupByKey]=OutputTable[[#This Row],[GroupByKey]])*OutputTable[RecordedValue])),0)</f>
        <v>0</v>
      </c>
      <c r="L78" cm="1">
        <f t="array" ref="L78">IFERROR(_xlfn.STDEV.S(IF((OutputTable[GroupByKey]=OutputTable[[#This Row],[GroupByKey]]),(OutputTable[GroupByKey]=OutputTable[[#This Row],[GroupByKey]])*OutputTable[RecordedValue])),0)</f>
        <v>0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" cm="1">
        <f t="array" ref="O78">MIN(IF((OutputTable[GroupByKey]=OutputTable[[#This Row],[GroupByKey]]),(OutputTable[GroupByKey]=OutputTable[[#This Row],[GroupByKey]])*OutputTable[RecordedValue]))</f>
        <v>0</v>
      </c>
      <c r="P78" cm="1">
        <f t="array" ref="P78">MAX(IF((OutputTable[GroupByKey]=OutputTable[[#This Row],[GroupByKey]]),(OutputTable[GroupByKey]=OutputTable[[#This Row],[GroupByKey]])*OutputTable[RecordedValue]))</f>
        <v>0</v>
      </c>
    </row>
    <row r="79" spans="1:16" x14ac:dyDescent="0.25">
      <c r="A79" t="s">
        <v>67</v>
      </c>
      <c r="B79" t="s">
        <v>243</v>
      </c>
      <c r="C79">
        <v>1</v>
      </c>
      <c r="D79" t="s">
        <v>233</v>
      </c>
      <c r="E79" t="s">
        <v>154</v>
      </c>
      <c r="F79" t="s">
        <v>113</v>
      </c>
      <c r="G79">
        <v>0</v>
      </c>
      <c r="H79">
        <v>0</v>
      </c>
      <c r="I79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cm="1">
        <f t="array" ref="K79">IFERROR(AVERAGE(IF((OutputTable[GroupByKey]=OutputTable[[#This Row],[GroupByKey]]),(OutputTable[GroupByKey]=OutputTable[[#This Row],[GroupByKey]])*OutputTable[RecordedValue])),0)</f>
        <v>0</v>
      </c>
      <c r="L79" cm="1">
        <f t="array" ref="L79">IFERROR(_xlfn.STDEV.S(IF((OutputTable[GroupByKey]=OutputTable[[#This Row],[GroupByKey]]),(OutputTable[GroupByKey]=OutputTable[[#This Row],[GroupByKey]])*OutputTable[RecordedValue])),0)</f>
        <v>0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" cm="1">
        <f t="array" ref="O79">MIN(IF((OutputTable[GroupByKey]=OutputTable[[#This Row],[GroupByKey]]),(OutputTable[GroupByKey]=OutputTable[[#This Row],[GroupByKey]])*OutputTable[RecordedValue]))</f>
        <v>0</v>
      </c>
      <c r="P79" cm="1">
        <f t="array" ref="P79">MAX(IF((OutputTable[GroupByKey]=OutputTable[[#This Row],[GroupByKey]]),(OutputTable[GroupByKey]=OutputTable[[#This Row],[GroupByKey]])*OutputTable[RecordedValue]))</f>
        <v>0</v>
      </c>
    </row>
    <row r="80" spans="1:16" x14ac:dyDescent="0.25">
      <c r="A80" t="s">
        <v>67</v>
      </c>
      <c r="B80" t="s">
        <v>243</v>
      </c>
      <c r="C80">
        <v>1</v>
      </c>
      <c r="D80" t="s">
        <v>234</v>
      </c>
      <c r="E80" t="s">
        <v>152</v>
      </c>
      <c r="F80" t="s">
        <v>113</v>
      </c>
      <c r="G80">
        <v>107</v>
      </c>
      <c r="H80">
        <v>0</v>
      </c>
      <c r="I80" t="str">
        <f>OutputTable[[#This Row],[ProjectName]]&amp;OutputTable[[#This Row],[Name]]&amp;OutputTable[[#This Row],[Type]]&amp;OutputTable[[#This Row],[Source]]</f>
        <v>Unnamed ProjectSales Rep.NumberSeizedTotal Number SeizedResource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cm="1">
        <f t="array" ref="K80">IFERROR(AVERAGE(IF((OutputTable[GroupByKey]=OutputTable[[#This Row],[GroupByKey]]),(OutputTable[GroupByKey]=OutputTable[[#This Row],[GroupByKey]])*OutputTable[RecordedValue])),0)</f>
        <v>118.7</v>
      </c>
      <c r="L80" cm="1">
        <f t="array" ref="L80">IFERROR(_xlfn.STDEV.S(IF((OutputTable[GroupByKey]=OutputTable[[#This Row],[GroupByKey]]),(OutputTable[GroupByKey]=OutputTable[[#This Row],[GroupByKey]])*OutputTable[RecordedValue])),0)</f>
        <v>12.587913073879887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80" cm="1">
        <f t="array" ref="O80">MIN(IF((OutputTable[GroupByKey]=OutputTable[[#This Row],[GroupByKey]]),(OutputTable[GroupByKey]=OutputTable[[#This Row],[GroupByKey]])*OutputTable[RecordedValue]))</f>
        <v>95</v>
      </c>
      <c r="P80" cm="1">
        <f t="array" ref="P80">MAX(IF((OutputTable[GroupByKey]=OutputTable[[#This Row],[GroupByKey]]),(OutputTable[GroupByKey]=OutputTable[[#This Row],[GroupByKey]])*OutputTable[RecordedValue]))</f>
        <v>141</v>
      </c>
    </row>
    <row r="81" spans="1:16" x14ac:dyDescent="0.25">
      <c r="A81" t="s">
        <v>67</v>
      </c>
      <c r="B81" t="s">
        <v>243</v>
      </c>
      <c r="C81">
        <v>1</v>
      </c>
      <c r="D81" t="s">
        <v>235</v>
      </c>
      <c r="E81" t="s">
        <v>154</v>
      </c>
      <c r="F81" t="s">
        <v>113</v>
      </c>
      <c r="G81">
        <v>0.28955927553994498</v>
      </c>
      <c r="H81">
        <v>0</v>
      </c>
      <c r="I81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81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cm="1">
        <f t="array" ref="K81">IFERROR(AVERAGE(IF((OutputTable[GroupByKey]=OutputTable[[#This Row],[GroupByKey]]),(OutputTable[GroupByKey]=OutputTable[[#This Row],[GroupByKey]])*OutputTable[RecordedValue])),0)</f>
        <v>0.3273551167875815</v>
      </c>
      <c r="L81" cm="1">
        <f t="array" ref="L81">IFERROR(_xlfn.STDEV.S(IF((OutputTable[GroupByKey]=OutputTable[[#This Row],[GroupByKey]]),(OutputTable[GroupByKey]=OutputTable[[#This Row],[GroupByKey]])*OutputTable[RecordedValue])),0)</f>
        <v>3.5172818533154994E-2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2.5161118640145405E-2</v>
      </c>
      <c r="O81" cm="1">
        <f t="array" ref="O81">MIN(IF((OutputTable[GroupByKey]=OutputTable[[#This Row],[GroupByKey]]),(OutputTable[GroupByKey]=OutputTable[[#This Row],[GroupByKey]])*OutputTable[RecordedValue]))</f>
        <v>0.26933581669894202</v>
      </c>
      <c r="P81" cm="1">
        <f t="array" ref="P81">MAX(IF((OutputTable[GroupByKey]=OutputTable[[#This Row],[GroupByKey]]),(OutputTable[GroupByKey]=OutputTable[[#This Row],[GroupByKey]])*OutputTable[RecordedValue]))</f>
        <v>0.39321867243708603</v>
      </c>
    </row>
    <row r="82" spans="1:16" x14ac:dyDescent="0.25">
      <c r="A82" t="s">
        <v>67</v>
      </c>
      <c r="B82" t="s">
        <v>243</v>
      </c>
      <c r="C82">
        <v>1</v>
      </c>
      <c r="D82" t="s">
        <v>236</v>
      </c>
      <c r="E82" t="s">
        <v>158</v>
      </c>
      <c r="F82" t="s">
        <v>150</v>
      </c>
      <c r="G82">
        <v>2499</v>
      </c>
      <c r="H82">
        <v>0</v>
      </c>
      <c r="I82" t="str">
        <f>OutputTable[[#This Row],[ProjectName]]&amp;OutputTable[[#This Row],[Name]]&amp;OutputTable[[#This Row],[Type]]&amp;OutputTable[[#This Row],[Source]]</f>
        <v>Unnamed ProjectSystem.NumberOutNumber OutSystem</v>
      </c>
      <c r="J82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cm="1">
        <f t="array" ref="K82">IFERROR(AVERAGE(IF((OutputTable[GroupByKey]=OutputTable[[#This Row],[GroupByKey]]),(OutputTable[GroupByKey]=OutputTable[[#This Row],[GroupByKey]])*OutputTable[RecordedValue])),0)</f>
        <v>2503.1</v>
      </c>
      <c r="L82" cm="1">
        <f t="array" ref="L82">IFERROR(_xlfn.STDEV.S(IF((OutputTable[GroupByKey]=OutputTable[[#This Row],[GroupByKey]]),(OutputTable[GroupByKey]=OutputTable[[#This Row],[GroupByKey]])*OutputTable[RecordedValue])),0)</f>
        <v>29.72260643573059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21.262271777248003</v>
      </c>
      <c r="O82" cm="1">
        <f t="array" ref="O82">MIN(IF((OutputTable[GroupByKey]=OutputTable[[#This Row],[GroupByKey]]),(OutputTable[GroupByKey]=OutputTable[[#This Row],[GroupByKey]])*OutputTable[RecordedValue]))</f>
        <v>2457</v>
      </c>
      <c r="P82" cm="1">
        <f t="array" ref="P82">MAX(IF((OutputTable[GroupByKey]=OutputTable[[#This Row],[GroupByKey]]),(OutputTable[GroupByKey]=OutputTable[[#This Row],[GroupByKey]])*OutputTable[RecordedValue]))</f>
        <v>2546</v>
      </c>
    </row>
    <row r="83" spans="1:16" x14ac:dyDescent="0.25">
      <c r="A83" t="s">
        <v>67</v>
      </c>
      <c r="B83" t="s">
        <v>243</v>
      </c>
      <c r="C83">
        <v>1</v>
      </c>
      <c r="D83" t="s">
        <v>237</v>
      </c>
      <c r="E83" t="s">
        <v>156</v>
      </c>
      <c r="F83" t="s">
        <v>76</v>
      </c>
      <c r="G83">
        <v>7831</v>
      </c>
      <c r="H83">
        <v>0</v>
      </c>
      <c r="I83" t="str">
        <f>OutputTable[[#This Row],[ProjectName]]&amp;OutputTable[[#This Row],[Name]]&amp;OutputTable[[#This Row],[Type]]&amp;OutputTable[[#This Row],[Source]]</f>
        <v>Unnamed ProjectWire Harness.NumberInNumber InEntity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cm="1">
        <f t="array" ref="K83">IFERROR(AVERAGE(IF((OutputTable[GroupByKey]=OutputTable[[#This Row],[GroupByKey]]),(OutputTable[GroupByKey]=OutputTable[[#This Row],[GroupByKey]])*OutputTable[RecordedValue])),0)</f>
        <v>7832.8</v>
      </c>
      <c r="L83" cm="1">
        <f t="array" ref="L83">IFERROR(_xlfn.STDEV.S(IF((OutputTable[GroupByKey]=OutputTable[[#This Row],[GroupByKey]]),(OutputTable[GroupByKey]=OutputTable[[#This Row],[GroupByKey]])*OutputTable[RecordedValue])),0)</f>
        <v>7.8287220469811594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5.6003303812327712</v>
      </c>
      <c r="O83" cm="1">
        <f t="array" ref="O83">MIN(IF((OutputTable[GroupByKey]=OutputTable[[#This Row],[GroupByKey]]),(OutputTable[GroupByKey]=OutputTable[[#This Row],[GroupByKey]])*OutputTable[RecordedValue]))</f>
        <v>7818</v>
      </c>
      <c r="P83" cm="1">
        <f t="array" ref="P83">MAX(IF((OutputTable[GroupByKey]=OutputTable[[#This Row],[GroupByKey]]),(OutputTable[GroupByKey]=OutputTable[[#This Row],[GroupByKey]])*OutputTable[RecordedValue]))</f>
        <v>7845</v>
      </c>
    </row>
    <row r="84" spans="1:16" x14ac:dyDescent="0.25">
      <c r="A84" t="s">
        <v>67</v>
      </c>
      <c r="B84" t="s">
        <v>243</v>
      </c>
      <c r="C84">
        <v>1</v>
      </c>
      <c r="D84" t="s">
        <v>238</v>
      </c>
      <c r="E84" t="s">
        <v>158</v>
      </c>
      <c r="F84" t="s">
        <v>76</v>
      </c>
      <c r="G84">
        <v>7827</v>
      </c>
      <c r="H84">
        <v>0</v>
      </c>
      <c r="I84" t="str">
        <f>OutputTable[[#This Row],[ProjectName]]&amp;OutputTable[[#This Row],[Name]]&amp;OutputTable[[#This Row],[Type]]&amp;OutputTable[[#This Row],[Source]]</f>
        <v>Unnamed ProjectWire Harness.NumberOutNumber OutEntity</v>
      </c>
      <c r="J84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cm="1">
        <f t="array" ref="K84">IFERROR(AVERAGE(IF((OutputTable[GroupByKey]=OutputTable[[#This Row],[GroupByKey]]),(OutputTable[GroupByKey]=OutputTable[[#This Row],[GroupByKey]])*OutputTable[RecordedValue])),0)</f>
        <v>7828.3</v>
      </c>
      <c r="L84" cm="1">
        <f t="array" ref="L84">IFERROR(_xlfn.STDEV.S(IF((OutputTable[GroupByKey]=OutputTable[[#This Row],[GroupByKey]]),(OutputTable[GroupByKey]=OutputTable[[#This Row],[GroupByKey]])*OutputTable[RecordedValue])),0)</f>
        <v>7.1032074132433696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5.0813284776056653</v>
      </c>
      <c r="O84" cm="1">
        <f t="array" ref="O84">MIN(IF((OutputTable[GroupByKey]=OutputTable[[#This Row],[GroupByKey]]),(OutputTable[GroupByKey]=OutputTable[[#This Row],[GroupByKey]])*OutputTable[RecordedValue]))</f>
        <v>7815</v>
      </c>
      <c r="P84" cm="1">
        <f t="array" ref="P84">MAX(IF((OutputTable[GroupByKey]=OutputTable[[#This Row],[GroupByKey]]),(OutputTable[GroupByKey]=OutputTable[[#This Row],[GroupByKey]])*OutputTable[RecordedValue]))</f>
        <v>7840</v>
      </c>
    </row>
    <row r="85" spans="1:16" x14ac:dyDescent="0.25">
      <c r="A85" t="s">
        <v>67</v>
      </c>
      <c r="B85" t="s">
        <v>243</v>
      </c>
      <c r="C85">
        <v>1</v>
      </c>
      <c r="D85" t="s">
        <v>239</v>
      </c>
      <c r="E85" t="s">
        <v>202</v>
      </c>
      <c r="F85" t="s">
        <v>87</v>
      </c>
      <c r="G85">
        <v>46908.6026374711</v>
      </c>
      <c r="H85">
        <v>0</v>
      </c>
      <c r="I85" t="str">
        <f>OutputTable[[#This Row],[ProjectName]]&amp;OutputTable[[#This Row],[Name]]&amp;OutputTable[[#This Row],[Type]]&amp;OutputTable[[#This Row],[Source]]</f>
        <v>Unnamed Projectsales Accum VA TimeAccum VA TimeProcess</v>
      </c>
      <c r="J8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cm="1">
        <f t="array" ref="K85">IFERROR(AVERAGE(IF((OutputTable[GroupByKey]=OutputTable[[#This Row],[GroupByKey]]),(OutputTable[GroupByKey]=OutputTable[[#This Row],[GroupByKey]])*OutputTable[RecordedValue])),0)</f>
        <v>53031.528919588192</v>
      </c>
      <c r="L85" cm="1">
        <f t="array" ref="L85">IFERROR(_xlfn.STDEV.S(IF((OutputTable[GroupByKey]=OutputTable[[#This Row],[GroupByKey]]),(OutputTable[GroupByKey]=OutputTable[[#This Row],[GroupByKey]])*OutputTable[RecordedValue])),0)</f>
        <v>5697.9966023710867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4076.1012197035402</v>
      </c>
      <c r="O85" cm="1">
        <f t="array" ref="O85">MIN(IF((OutputTable[GroupByKey]=OutputTable[[#This Row],[GroupByKey]]),(OutputTable[GroupByKey]=OutputTable[[#This Row],[GroupByKey]])*OutputTable[RecordedValue]))</f>
        <v>43632.402305228599</v>
      </c>
      <c r="P85" cm="1">
        <f t="array" ref="P85">MAX(IF((OutputTable[GroupByKey]=OutputTable[[#This Row],[GroupByKey]]),(OutputTable[GroupByKey]=OutputTable[[#This Row],[GroupByKey]])*OutputTable[RecordedValue]))</f>
        <v>63701.424934807801</v>
      </c>
    </row>
    <row r="86" spans="1:16" x14ac:dyDescent="0.25">
      <c r="A86" t="s">
        <v>67</v>
      </c>
      <c r="B86" t="s">
        <v>243</v>
      </c>
      <c r="C86">
        <v>1</v>
      </c>
      <c r="D86" t="s">
        <v>240</v>
      </c>
      <c r="E86" t="s">
        <v>156</v>
      </c>
      <c r="F86" t="s">
        <v>87</v>
      </c>
      <c r="G86">
        <v>107</v>
      </c>
      <c r="H86">
        <v>0</v>
      </c>
      <c r="I86" t="str">
        <f>OutputTable[[#This Row],[ProjectName]]&amp;OutputTable[[#This Row],[Name]]&amp;OutputTable[[#This Row],[Type]]&amp;OutputTable[[#This Row],[Source]]</f>
        <v>Unnamed Projectsales Number InNumber InProcess</v>
      </c>
      <c r="J86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cm="1">
        <f t="array" ref="K86">IFERROR(AVERAGE(IF((OutputTable[GroupByKey]=OutputTable[[#This Row],[GroupByKey]]),(OutputTable[GroupByKey]=OutputTable[[#This Row],[GroupByKey]])*OutputTable[RecordedValue])),0)</f>
        <v>118.7</v>
      </c>
      <c r="L86" cm="1">
        <f t="array" ref="L86">IFERROR(_xlfn.STDEV.S(IF((OutputTable[GroupByKey]=OutputTable[[#This Row],[GroupByKey]]),(OutputTable[GroupByKey]=OutputTable[[#This Row],[GroupByKey]])*OutputTable[RecordedValue])),0)</f>
        <v>12.587913073879887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86" cm="1">
        <f t="array" ref="O86">MIN(IF((OutputTable[GroupByKey]=OutputTable[[#This Row],[GroupByKey]]),(OutputTable[GroupByKey]=OutputTable[[#This Row],[GroupByKey]])*OutputTable[RecordedValue]))</f>
        <v>95</v>
      </c>
      <c r="P86" cm="1">
        <f t="array" ref="P86">MAX(IF((OutputTable[GroupByKey]=OutputTable[[#This Row],[GroupByKey]]),(OutputTable[GroupByKey]=OutputTable[[#This Row],[GroupByKey]])*OutputTable[RecordedValue]))</f>
        <v>141</v>
      </c>
    </row>
    <row r="87" spans="1:16" x14ac:dyDescent="0.25">
      <c r="A87" t="s">
        <v>67</v>
      </c>
      <c r="B87" t="s">
        <v>243</v>
      </c>
      <c r="C87">
        <v>1</v>
      </c>
      <c r="D87" t="s">
        <v>241</v>
      </c>
      <c r="E87" t="s">
        <v>158</v>
      </c>
      <c r="F87" t="s">
        <v>87</v>
      </c>
      <c r="G87">
        <v>107</v>
      </c>
      <c r="H87">
        <v>0</v>
      </c>
      <c r="I87" t="str">
        <f>OutputTable[[#This Row],[ProjectName]]&amp;OutputTable[[#This Row],[Name]]&amp;OutputTable[[#This Row],[Type]]&amp;OutputTable[[#This Row],[Source]]</f>
        <v>Unnamed Projectsales Number OutNumber OutProcess</v>
      </c>
      <c r="J87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cm="1">
        <f t="array" ref="K87">IFERROR(AVERAGE(IF((OutputTable[GroupByKey]=OutputTable[[#This Row],[GroupByKey]]),(OutputTable[GroupByKey]=OutputTable[[#This Row],[GroupByKey]])*OutputTable[RecordedValue])),0)</f>
        <v>118.7</v>
      </c>
      <c r="L87" cm="1">
        <f t="array" ref="L87">IFERROR(_xlfn.STDEV.S(IF((OutputTable[GroupByKey]=OutputTable[[#This Row],[GroupByKey]]),(OutputTable[GroupByKey]=OutputTable[[#This Row],[GroupByKey]])*OutputTable[RecordedValue])),0)</f>
        <v>12.587913073879887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87" cm="1">
        <f t="array" ref="O87">MIN(IF((OutputTable[GroupByKey]=OutputTable[[#This Row],[GroupByKey]]),(OutputTable[GroupByKey]=OutputTable[[#This Row],[GroupByKey]])*OutputTable[RecordedValue]))</f>
        <v>95</v>
      </c>
      <c r="P87" cm="1">
        <f t="array" ref="P87">MAX(IF((OutputTable[GroupByKey]=OutputTable[[#This Row],[GroupByKey]]),(OutputTable[GroupByKey]=OutputTable[[#This Row],[GroupByKey]])*OutputTable[RecordedValue]))</f>
        <v>141</v>
      </c>
    </row>
    <row r="88" spans="1:16" x14ac:dyDescent="0.25">
      <c r="A88" t="s">
        <v>67</v>
      </c>
      <c r="B88" t="s">
        <v>243</v>
      </c>
      <c r="C88">
        <v>2</v>
      </c>
      <c r="D88" t="s">
        <v>151</v>
      </c>
      <c r="E88" t="s">
        <v>152</v>
      </c>
      <c r="F88" t="s">
        <v>113</v>
      </c>
      <c r="G88">
        <v>6557</v>
      </c>
      <c r="H88">
        <v>0</v>
      </c>
      <c r="I88" t="str">
        <f>OutputTable[[#This Row],[ProjectName]]&amp;OutputTable[[#This Row],[Name]]&amp;OutputTable[[#This Row],[Type]]&amp;OutputTable[[#This Row],[Source]]</f>
        <v>Unnamed ProjectAssembler.NumberSeizedTotal Number SeizedResource</v>
      </c>
      <c r="J88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cm="1">
        <f t="array" ref="K88">IFERROR(AVERAGE(IF((OutputTable[GroupByKey]=OutputTable[[#This Row],[GroupByKey]]),(OutputTable[GroupByKey]=OutputTable[[#This Row],[GroupByKey]])*OutputTable[RecordedValue])),0)</f>
        <v>6547.7</v>
      </c>
      <c r="L88" cm="1">
        <f t="array" ref="L88">IFERROR(_xlfn.STDEV.S(IF((OutputTable[GroupByKey]=OutputTable[[#This Row],[GroupByKey]]),(OutputTable[GroupByKey]=OutputTable[[#This Row],[GroupByKey]])*OutputTable[RecordedValue])),0)</f>
        <v>5.735852159879995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88" cm="1">
        <f t="array" ref="O88">MIN(IF((OutputTable[GroupByKey]=OutputTable[[#This Row],[GroupByKey]]),(OutputTable[GroupByKey]=OutputTable[[#This Row],[GroupByKey]])*OutputTable[RecordedValue]))</f>
        <v>6540</v>
      </c>
      <c r="P88" cm="1">
        <f t="array" ref="P88">MAX(IF((OutputTable[GroupByKey]=OutputTable[[#This Row],[GroupByKey]]),(OutputTable[GroupByKey]=OutputTable[[#This Row],[GroupByKey]])*OutputTable[RecordedValue]))</f>
        <v>6557</v>
      </c>
    </row>
    <row r="89" spans="1:16" x14ac:dyDescent="0.25">
      <c r="A89" t="s">
        <v>67</v>
      </c>
      <c r="B89" t="s">
        <v>243</v>
      </c>
      <c r="C89">
        <v>2</v>
      </c>
      <c r="D89" t="s">
        <v>153</v>
      </c>
      <c r="E89" t="s">
        <v>154</v>
      </c>
      <c r="F89" t="s">
        <v>113</v>
      </c>
      <c r="G89">
        <v>7.5739004978093494E-2</v>
      </c>
      <c r="H89">
        <v>0</v>
      </c>
      <c r="I89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cm="1">
        <f t="array" ref="K89">IFERROR(AVERAGE(IF((OutputTable[GroupByKey]=OutputTable[[#This Row],[GroupByKey]]),(OutputTable[GroupByKey]=OutputTable[[#This Row],[GroupByKey]])*OutputTable[RecordedValue])),0)</f>
        <v>7.575658911226775E-2</v>
      </c>
      <c r="L89" cm="1">
        <f t="array" ref="L89">IFERROR(_xlfn.STDEV.S(IF((OutputTable[GroupByKey]=OutputTable[[#This Row],[GroupByKey]]),(OutputTable[GroupByKey]=OutputTable[[#This Row],[GroupByKey]])*OutputTable[RecordedValue])),0)</f>
        <v>1.4019953141627205E-4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1.0029270301248135E-4</v>
      </c>
      <c r="O89" cm="1">
        <f t="array" ref="O89">MIN(IF((OutputTable[GroupByKey]=OutputTable[[#This Row],[GroupByKey]]),(OutputTable[GroupByKey]=OutputTable[[#This Row],[GroupByKey]])*OutputTable[RecordedValue]))</f>
        <v>7.5477645584878503E-2</v>
      </c>
      <c r="P89" cm="1">
        <f t="array" ref="P89">MAX(IF((OutputTable[GroupByKey]=OutputTable[[#This Row],[GroupByKey]]),(OutputTable[GroupByKey]=OutputTable[[#This Row],[GroupByKey]])*OutputTable[RecordedValue]))</f>
        <v>7.5973148639726207E-2</v>
      </c>
    </row>
    <row r="90" spans="1:16" x14ac:dyDescent="0.25">
      <c r="A90" t="s">
        <v>67</v>
      </c>
      <c r="B90" t="s">
        <v>243</v>
      </c>
      <c r="C90">
        <v>2</v>
      </c>
      <c r="D90" t="s">
        <v>155</v>
      </c>
      <c r="E90" t="s">
        <v>156</v>
      </c>
      <c r="F90" t="s">
        <v>76</v>
      </c>
      <c r="G90">
        <v>1088</v>
      </c>
      <c r="H90">
        <v>0</v>
      </c>
      <c r="I90" t="str">
        <f>OutputTable[[#This Row],[ProjectName]]&amp;OutputTable[[#This Row],[Name]]&amp;OutputTable[[#This Row],[Type]]&amp;OutputTable[[#This Row],[Source]]</f>
        <v>Unnamed ProjectCustomer.NumberInNumber InEntity</v>
      </c>
      <c r="J90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cm="1">
        <f t="array" ref="K90">IFERROR(AVERAGE(IF((OutputTable[GroupByKey]=OutputTable[[#This Row],[GroupByKey]]),(OutputTable[GroupByKey]=OutputTable[[#This Row],[GroupByKey]])*OutputTable[RecordedValue])),0)</f>
        <v>1090.3</v>
      </c>
      <c r="L90" cm="1">
        <f t="array" ref="L90">IFERROR(_xlfn.STDEV.S(IF((OutputTable[GroupByKey]=OutputTable[[#This Row],[GroupByKey]]),(OutputTable[GroupByKey]=OutputTable[[#This Row],[GroupByKey]])*OutputTable[RecordedValue])),0)</f>
        <v>32.666836734251177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90" cm="1">
        <f t="array" ref="O90">MIN(IF((OutputTable[GroupByKey]=OutputTable[[#This Row],[GroupByKey]]),(OutputTable[GroupByKey]=OutputTable[[#This Row],[GroupByKey]])*OutputTable[RecordedValue]))</f>
        <v>1042</v>
      </c>
      <c r="P90" cm="1">
        <f t="array" ref="P90">MAX(IF((OutputTable[GroupByKey]=OutputTable[[#This Row],[GroupByKey]]),(OutputTable[GroupByKey]=OutputTable[[#This Row],[GroupByKey]])*OutputTable[RecordedValue]))</f>
        <v>1141</v>
      </c>
    </row>
    <row r="91" spans="1:16" x14ac:dyDescent="0.25">
      <c r="A91" t="s">
        <v>67</v>
      </c>
      <c r="B91" t="s">
        <v>243</v>
      </c>
      <c r="C91">
        <v>2</v>
      </c>
      <c r="D91" t="s">
        <v>157</v>
      </c>
      <c r="E91" t="s">
        <v>158</v>
      </c>
      <c r="F91" t="s">
        <v>76</v>
      </c>
      <c r="G91">
        <v>1088</v>
      </c>
      <c r="H91">
        <v>0</v>
      </c>
      <c r="I91" t="str">
        <f>OutputTable[[#This Row],[ProjectName]]&amp;OutputTable[[#This Row],[Name]]&amp;OutputTable[[#This Row],[Type]]&amp;OutputTable[[#This Row],[Source]]</f>
        <v>Unnamed ProjectCustomer.NumberOutNumber OutEntity</v>
      </c>
      <c r="J91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cm="1">
        <f t="array" ref="K91">IFERROR(AVERAGE(IF((OutputTable[GroupByKey]=OutputTable[[#This Row],[GroupByKey]]),(OutputTable[GroupByKey]=OutputTable[[#This Row],[GroupByKey]])*OutputTable[RecordedValue])),0)</f>
        <v>1090.3</v>
      </c>
      <c r="L91" cm="1">
        <f t="array" ref="L91">IFERROR(_xlfn.STDEV.S(IF((OutputTable[GroupByKey]=OutputTable[[#This Row],[GroupByKey]]),(OutputTable[GroupByKey]=OutputTable[[#This Row],[GroupByKey]])*OutputTable[RecordedValue])),0)</f>
        <v>32.666836734251177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91" cm="1">
        <f t="array" ref="O91">MIN(IF((OutputTable[GroupByKey]=OutputTable[[#This Row],[GroupByKey]]),(OutputTable[GroupByKey]=OutputTable[[#This Row],[GroupByKey]])*OutputTable[RecordedValue]))</f>
        <v>1042</v>
      </c>
      <c r="P91" cm="1">
        <f t="array" ref="P91">MAX(IF((OutputTable[GroupByKey]=OutputTable[[#This Row],[GroupByKey]]),(OutputTable[GroupByKey]=OutputTable[[#This Row],[GroupByKey]])*OutputTable[RecordedValue]))</f>
        <v>1141</v>
      </c>
    </row>
    <row r="92" spans="1:16" x14ac:dyDescent="0.25">
      <c r="A92" t="s">
        <v>67</v>
      </c>
      <c r="B92" t="s">
        <v>243</v>
      </c>
      <c r="C92">
        <v>2</v>
      </c>
      <c r="D92" t="s">
        <v>159</v>
      </c>
      <c r="E92" t="s">
        <v>156</v>
      </c>
      <c r="F92" t="s">
        <v>76</v>
      </c>
      <c r="G92">
        <v>19848</v>
      </c>
      <c r="H92">
        <v>0</v>
      </c>
      <c r="I92" t="str">
        <f>OutputTable[[#This Row],[ProjectName]]&amp;OutputTable[[#This Row],[Name]]&amp;OutputTable[[#This Row],[Type]]&amp;OutputTable[[#This Row],[Source]]</f>
        <v>Unnamed ProjectEntity 1.NumberInNumber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cm="1">
        <f t="array" ref="K92">IFERROR(AVERAGE(IF((OutputTable[GroupByKey]=OutputTable[[#This Row],[GroupByKey]]),(OutputTable[GroupByKey]=OutputTable[[#This Row],[GroupByKey]])*OutputTable[RecordedValue])),0)</f>
        <v>19822.900000000001</v>
      </c>
      <c r="L92" cm="1">
        <f t="array" ref="L92">IFERROR(_xlfn.STDEV.S(IF((OutputTable[GroupByKey]=OutputTable[[#This Row],[GroupByKey]]),(OutputTable[GroupByKey]=OutputTable[[#This Row],[GroupByKey]])*OutputTable[RecordedValue])),0)</f>
        <v>20.151922985164472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14.415817276026377</v>
      </c>
      <c r="O92" cm="1">
        <f t="array" ref="O92">MIN(IF((OutputTable[GroupByKey]=OutputTable[[#This Row],[GroupByKey]]),(OutputTable[GroupByKey]=OutputTable[[#This Row],[GroupByKey]])*OutputTable[RecordedValue]))</f>
        <v>19788</v>
      </c>
      <c r="P92" cm="1">
        <f t="array" ref="P92">MAX(IF((OutputTable[GroupByKey]=OutputTable[[#This Row],[GroupByKey]]),(OutputTable[GroupByKey]=OutputTable[[#This Row],[GroupByKey]])*OutputTable[RecordedValue]))</f>
        <v>19852</v>
      </c>
    </row>
    <row r="93" spans="1:16" x14ac:dyDescent="0.25">
      <c r="A93" t="s">
        <v>67</v>
      </c>
      <c r="B93" t="s">
        <v>243</v>
      </c>
      <c r="C93">
        <v>2</v>
      </c>
      <c r="D93" t="s">
        <v>160</v>
      </c>
      <c r="E93" t="s">
        <v>158</v>
      </c>
      <c r="F93" t="s">
        <v>76</v>
      </c>
      <c r="G93">
        <v>19662</v>
      </c>
      <c r="H93">
        <v>0</v>
      </c>
      <c r="I93" t="str">
        <f>OutputTable[[#This Row],[ProjectName]]&amp;OutputTable[[#This Row],[Name]]&amp;OutputTable[[#This Row],[Type]]&amp;OutputTable[[#This Row],[Source]]</f>
        <v>Unnamed ProjectEntity 1.NumberOutNumber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cm="1">
        <f t="array" ref="K93">IFERROR(AVERAGE(IF((OutputTable[GroupByKey]=OutputTable[[#This Row],[GroupByKey]]),(OutputTable[GroupByKey]=OutputTable[[#This Row],[GroupByKey]])*OutputTable[RecordedValue])),0)</f>
        <v>19635.599999999999</v>
      </c>
      <c r="L93" cm="1">
        <f t="array" ref="L93">IFERROR(_xlfn.STDEV.S(IF((OutputTable[GroupByKey]=OutputTable[[#This Row],[GroupByKey]]),(OutputTable[GroupByKey]=OutputTable[[#This Row],[GroupByKey]])*OutputTable[RecordedValue])),0)</f>
        <v>15.086417732516889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93" cm="1">
        <f t="array" ref="O93">MIN(IF((OutputTable[GroupByKey]=OutputTable[[#This Row],[GroupByKey]]),(OutputTable[GroupByKey]=OutputTable[[#This Row],[GroupByKey]])*OutputTable[RecordedValue]))</f>
        <v>19614</v>
      </c>
      <c r="P93" cm="1">
        <f t="array" ref="P93">MAX(IF((OutputTable[GroupByKey]=OutputTable[[#This Row],[GroupByKey]]),(OutputTable[GroupByKey]=OutputTable[[#This Row],[GroupByKey]])*OutputTable[RecordedValue]))</f>
        <v>19662</v>
      </c>
    </row>
    <row r="94" spans="1:16" x14ac:dyDescent="0.25">
      <c r="A94" t="s">
        <v>67</v>
      </c>
      <c r="B94" t="s">
        <v>243</v>
      </c>
      <c r="C94">
        <v>2</v>
      </c>
      <c r="D94" t="s">
        <v>161</v>
      </c>
      <c r="E94" t="s">
        <v>156</v>
      </c>
      <c r="F94" t="s">
        <v>76</v>
      </c>
      <c r="G94">
        <v>8392</v>
      </c>
      <c r="H94">
        <v>0</v>
      </c>
      <c r="I94" t="str">
        <f>OutputTable[[#This Row],[ProjectName]]&amp;OutputTable[[#This Row],[Name]]&amp;OutputTable[[#This Row],[Type]]&amp;OutputTable[[#This Row],[Source]]</f>
        <v>Unnamed ProjectEntity 2.NumberInNumber InEntity</v>
      </c>
      <c r="J94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cm="1">
        <f t="array" ref="K94">IFERROR(AVERAGE(IF((OutputTable[GroupByKey]=OutputTable[[#This Row],[GroupByKey]]),(OutputTable[GroupByKey]=OutputTable[[#This Row],[GroupByKey]])*OutputTable[RecordedValue])),0)</f>
        <v>8398</v>
      </c>
      <c r="L94" cm="1">
        <f t="array" ref="L94">IFERROR(_xlfn.STDEV.S(IF((OutputTable[GroupByKey]=OutputTable[[#This Row],[GroupByKey]]),(OutputTable[GroupByKey]=OutputTable[[#This Row],[GroupByKey]])*OutputTable[RecordedValue])),0)</f>
        <v>24.133885813197271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17.264341884378119</v>
      </c>
      <c r="O94" cm="1">
        <f t="array" ref="O94">MIN(IF((OutputTable[GroupByKey]=OutputTable[[#This Row],[GroupByKey]]),(OutputTable[GroupByKey]=OutputTable[[#This Row],[GroupByKey]])*OutputTable[RecordedValue]))</f>
        <v>8353</v>
      </c>
      <c r="P94" cm="1">
        <f t="array" ref="P94">MAX(IF((OutputTable[GroupByKey]=OutputTable[[#This Row],[GroupByKey]]),(OutputTable[GroupByKey]=OutputTable[[#This Row],[GroupByKey]])*OutputTable[RecordedValue]))</f>
        <v>8437</v>
      </c>
    </row>
    <row r="95" spans="1:16" x14ac:dyDescent="0.25">
      <c r="A95" t="s">
        <v>67</v>
      </c>
      <c r="B95" t="s">
        <v>243</v>
      </c>
      <c r="C95">
        <v>2</v>
      </c>
      <c r="D95" t="s">
        <v>162</v>
      </c>
      <c r="E95" t="s">
        <v>158</v>
      </c>
      <c r="F95" t="s">
        <v>76</v>
      </c>
      <c r="G95">
        <v>6554</v>
      </c>
      <c r="H95">
        <v>0</v>
      </c>
      <c r="I95" t="str">
        <f>OutputTable[[#This Row],[ProjectName]]&amp;OutputTable[[#This Row],[Name]]&amp;OutputTable[[#This Row],[Type]]&amp;OutputTable[[#This Row],[Source]]</f>
        <v>Unnamed ProjectEntity 2.NumberOutNumber OutEntity</v>
      </c>
      <c r="J9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cm="1">
        <f t="array" ref="K95">IFERROR(AVERAGE(IF((OutputTable[GroupByKey]=OutputTable[[#This Row],[GroupByKey]]),(OutputTable[GroupByKey]=OutputTable[[#This Row],[GroupByKey]])*OutputTable[RecordedValue])),0)</f>
        <v>6545.2</v>
      </c>
      <c r="L95" cm="1">
        <f t="array" ref="L95">IFERROR(_xlfn.STDEV.S(IF((OutputTable[GroupByKey]=OutputTable[[#This Row],[GroupByKey]]),(OutputTable[GroupByKey]=OutputTable[[#This Row],[GroupByKey]])*OutputTable[RecordedValue])),0)</f>
        <v>5.0288059108389627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3.5973910371047504</v>
      </c>
      <c r="O95" cm="1">
        <f t="array" ref="O95">MIN(IF((OutputTable[GroupByKey]=OutputTable[[#This Row],[GroupByKey]]),(OutputTable[GroupByKey]=OutputTable[[#This Row],[GroupByKey]])*OutputTable[RecordedValue]))</f>
        <v>6538</v>
      </c>
      <c r="P95" cm="1">
        <f t="array" ref="P95">MAX(IF((OutputTable[GroupByKey]=OutputTable[[#This Row],[GroupByKey]]),(OutputTable[GroupByKey]=OutputTable[[#This Row],[GroupByKey]])*OutputTable[RecordedValue]))</f>
        <v>6554</v>
      </c>
    </row>
    <row r="96" spans="1:16" x14ac:dyDescent="0.25">
      <c r="A96" t="s">
        <v>67</v>
      </c>
      <c r="B96" t="s">
        <v>243</v>
      </c>
      <c r="C96">
        <v>2</v>
      </c>
      <c r="D96" t="s">
        <v>163</v>
      </c>
      <c r="E96" t="s">
        <v>156</v>
      </c>
      <c r="F96" t="s">
        <v>76</v>
      </c>
      <c r="G96">
        <v>27742</v>
      </c>
      <c r="H96">
        <v>0</v>
      </c>
      <c r="I96" t="str">
        <f>OutputTable[[#This Row],[ProjectName]]&amp;OutputTable[[#This Row],[Name]]&amp;OutputTable[[#This Row],[Type]]&amp;OutputTable[[#This Row],[Source]]</f>
        <v>Unnamed ProjectEntity 3.NumberInNumber InEntity</v>
      </c>
      <c r="J96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cm="1">
        <f t="array" ref="K96">IFERROR(AVERAGE(IF((OutputTable[GroupByKey]=OutputTable[[#This Row],[GroupByKey]]),(OutputTable[GroupByKey]=OutputTable[[#This Row],[GroupByKey]])*OutputTable[RecordedValue])),0)</f>
        <v>27753.7</v>
      </c>
      <c r="L96" cm="1">
        <f t="array" ref="L96">IFERROR(_xlfn.STDEV.S(IF((OutputTable[GroupByKey]=OutputTable[[#This Row],[GroupByKey]]),(OutputTable[GroupByKey]=OutputTable[[#This Row],[GroupByKey]])*OutputTable[RecordedValue])),0)</f>
        <v>25.447331228768697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18.203924133022646</v>
      </c>
      <c r="O96" cm="1">
        <f t="array" ref="O96">MIN(IF((OutputTable[GroupByKey]=OutputTable[[#This Row],[GroupByKey]]),(OutputTable[GroupByKey]=OutputTable[[#This Row],[GroupByKey]])*OutputTable[RecordedValue]))</f>
        <v>27724</v>
      </c>
      <c r="P96" cm="1">
        <f t="array" ref="P96">MAX(IF((OutputTable[GroupByKey]=OutputTable[[#This Row],[GroupByKey]]),(OutputTable[GroupByKey]=OutputTable[[#This Row],[GroupByKey]])*OutputTable[RecordedValue]))</f>
        <v>27792</v>
      </c>
    </row>
    <row r="97" spans="1:16" x14ac:dyDescent="0.25">
      <c r="A97" t="s">
        <v>67</v>
      </c>
      <c r="B97" t="s">
        <v>243</v>
      </c>
      <c r="C97">
        <v>2</v>
      </c>
      <c r="D97" t="s">
        <v>164</v>
      </c>
      <c r="E97" t="s">
        <v>158</v>
      </c>
      <c r="F97" t="s">
        <v>76</v>
      </c>
      <c r="G97">
        <v>19662</v>
      </c>
      <c r="H97">
        <v>0</v>
      </c>
      <c r="I97" t="str">
        <f>OutputTable[[#This Row],[ProjectName]]&amp;OutputTable[[#This Row],[Name]]&amp;OutputTable[[#This Row],[Type]]&amp;OutputTable[[#This Row],[Source]]</f>
        <v>Unnamed ProjectEntity 3.NumberOutNumber OutEntity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cm="1">
        <f t="array" ref="K97">IFERROR(AVERAGE(IF((OutputTable[GroupByKey]=OutputTable[[#This Row],[GroupByKey]]),(OutputTable[GroupByKey]=OutputTable[[#This Row],[GroupByKey]])*OutputTable[RecordedValue])),0)</f>
        <v>19635.599999999999</v>
      </c>
      <c r="L97" cm="1">
        <f t="array" ref="L97">IFERROR(_xlfn.STDEV.S(IF((OutputTable[GroupByKey]=OutputTable[[#This Row],[GroupByKey]]),(OutputTable[GroupByKey]=OutputTable[[#This Row],[GroupByKey]])*OutputTable[RecordedValue])),0)</f>
        <v>15.086417732516889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97" cm="1">
        <f t="array" ref="O97">MIN(IF((OutputTable[GroupByKey]=OutputTable[[#This Row],[GroupByKey]]),(OutputTable[GroupByKey]=OutputTable[[#This Row],[GroupByKey]])*OutputTable[RecordedValue]))</f>
        <v>19614</v>
      </c>
      <c r="P97" cm="1">
        <f t="array" ref="P97">MAX(IF((OutputTable[GroupByKey]=OutputTable[[#This Row],[GroupByKey]]),(OutputTable[GroupByKey]=OutputTable[[#This Row],[GroupByKey]])*OutputTable[RecordedValue]))</f>
        <v>19662</v>
      </c>
    </row>
    <row r="98" spans="1:16" x14ac:dyDescent="0.25">
      <c r="A98" t="s">
        <v>67</v>
      </c>
      <c r="B98" t="s">
        <v>243</v>
      </c>
      <c r="C98">
        <v>2</v>
      </c>
      <c r="D98" t="s">
        <v>165</v>
      </c>
      <c r="E98" t="s">
        <v>152</v>
      </c>
      <c r="F98" t="s">
        <v>113</v>
      </c>
      <c r="G98">
        <v>13120</v>
      </c>
      <c r="H98">
        <v>0</v>
      </c>
      <c r="I98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98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cm="1">
        <f t="array" ref="K98">IFERROR(AVERAGE(IF((OutputTable[GroupByKey]=OutputTable[[#This Row],[GroupByKey]]),(OutputTable[GroupByKey]=OutputTable[[#This Row],[GroupByKey]])*OutputTable[RecordedValue])),0)</f>
        <v>13103.5</v>
      </c>
      <c r="L98" cm="1">
        <f t="array" ref="L98">IFERROR(_xlfn.STDEV.S(IF((OutputTable[GroupByKey]=OutputTable[[#This Row],[GroupByKey]]),(OutputTable[GroupByKey]=OutputTable[[#This Row],[GroupByKey]])*OutputTable[RecordedValue])),0)</f>
        <v>11.443095929181249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98" cm="1">
        <f t="array" ref="O98">MIN(IF((OutputTable[GroupByKey]=OutputTable[[#This Row],[GroupByKey]]),(OutputTable[GroupByKey]=OutputTable[[#This Row],[GroupByKey]])*OutputTable[RecordedValue]))</f>
        <v>13087</v>
      </c>
      <c r="P98" cm="1">
        <f t="array" ref="P98">MAX(IF((OutputTable[GroupByKey]=OutputTable[[#This Row],[GroupByKey]]),(OutputTable[GroupByKey]=OutputTable[[#This Row],[GroupByKey]])*OutputTable[RecordedValue]))</f>
        <v>13120</v>
      </c>
    </row>
    <row r="99" spans="1:16" x14ac:dyDescent="0.25">
      <c r="A99" t="s">
        <v>67</v>
      </c>
      <c r="B99" t="s">
        <v>243</v>
      </c>
      <c r="C99">
        <v>2</v>
      </c>
      <c r="D99" t="s">
        <v>166</v>
      </c>
      <c r="E99" t="s">
        <v>154</v>
      </c>
      <c r="F99" t="s">
        <v>113</v>
      </c>
      <c r="G99">
        <v>0.38747209997062299</v>
      </c>
      <c r="H99">
        <v>0</v>
      </c>
      <c r="I99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cm="1">
        <f t="array" ref="K99">IFERROR(AVERAGE(IF((OutputTable[GroupByKey]=OutputTable[[#This Row],[GroupByKey]]),(OutputTable[GroupByKey]=OutputTable[[#This Row],[GroupByKey]])*OutputTable[RecordedValue])),0)</f>
        <v>0.48160620907873086</v>
      </c>
      <c r="L99" cm="1">
        <f t="array" ref="L99">IFERROR(_xlfn.STDEV.S(IF((OutputTable[GroupByKey]=OutputTable[[#This Row],[GroupByKey]]),(OutputTable[GroupByKey]=OutputTable[[#This Row],[GroupByKey]])*OutputTable[RecordedValue])),0)</f>
        <v>8.6686321722355061E-2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6.2011658897281531E-2</v>
      </c>
      <c r="O99" cm="1">
        <f t="array" ref="O99">MIN(IF((OutputTable[GroupByKey]=OutputTable[[#This Row],[GroupByKey]]),(OutputTable[GroupByKey]=OutputTable[[#This Row],[GroupByKey]])*OutputTable[RecordedValue]))</f>
        <v>0.292184201252493</v>
      </c>
      <c r="P99" cm="1">
        <f t="array" ref="P99">MAX(IF((OutputTable[GroupByKey]=OutputTable[[#This Row],[GroupByKey]]),(OutputTable[GroupByKey]=OutputTable[[#This Row],[GroupByKey]])*OutputTable[RecordedValue]))</f>
        <v>0.57167989674475905</v>
      </c>
    </row>
    <row r="100" spans="1:16" x14ac:dyDescent="0.25">
      <c r="A100" t="s">
        <v>67</v>
      </c>
      <c r="B100" t="s">
        <v>243</v>
      </c>
      <c r="C100">
        <v>2</v>
      </c>
      <c r="D100" t="s">
        <v>167</v>
      </c>
      <c r="E100" t="s">
        <v>152</v>
      </c>
      <c r="F100" t="s">
        <v>113</v>
      </c>
      <c r="G100">
        <v>13118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cm="1">
        <f t="array" ref="K100">IFERROR(AVERAGE(IF((OutputTable[GroupByKey]=OutputTable[[#This Row],[GroupByKey]]),(OutputTable[GroupByKey]=OutputTable[[#This Row],[GroupByKey]])*OutputTable[RecordedValue])),0)</f>
        <v>13100.1</v>
      </c>
      <c r="L100" cm="1">
        <f t="array" ref="L100">IFERROR(_xlfn.STDEV.S(IF((OutputTable[GroupByKey]=OutputTable[[#This Row],[GroupByKey]]),(OutputTable[GroupByKey]=OutputTable[[#This Row],[GroupByKey]])*OutputTable[RecordedValue])),0)</f>
        <v>11.46443776786866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100" cm="1">
        <f t="array" ref="O100">MIN(IF((OutputTable[GroupByKey]=OutputTable[[#This Row],[GroupByKey]]),(OutputTable[GroupByKey]=OutputTable[[#This Row],[GroupByKey]])*OutputTable[RecordedValue]))</f>
        <v>13083</v>
      </c>
      <c r="P100" cm="1">
        <f t="array" ref="P100">MAX(IF((OutputTable[GroupByKey]=OutputTable[[#This Row],[GroupByKey]]),(OutputTable[GroupByKey]=OutputTable[[#This Row],[GroupByKey]])*OutputTable[RecordedValue]))</f>
        <v>13118</v>
      </c>
    </row>
    <row r="101" spans="1:16" x14ac:dyDescent="0.25">
      <c r="A101" t="s">
        <v>67</v>
      </c>
      <c r="B101" t="s">
        <v>243</v>
      </c>
      <c r="C101">
        <v>2</v>
      </c>
      <c r="D101" t="s">
        <v>168</v>
      </c>
      <c r="E101" t="s">
        <v>154</v>
      </c>
      <c r="F101" t="s">
        <v>113</v>
      </c>
      <c r="G101">
        <v>0.23335039847345501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101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cm="1">
        <f t="array" ref="K101">IFERROR(AVERAGE(IF((OutputTable[GroupByKey]=OutputTable[[#This Row],[GroupByKey]]),(OutputTable[GroupByKey]=OutputTable[[#This Row],[GroupByKey]])*OutputTable[RecordedValue])),0)</f>
        <v>0.25269289312392168</v>
      </c>
      <c r="L101" cm="1">
        <f t="array" ref="L101">IFERROR(_xlfn.STDEV.S(IF((OutputTable[GroupByKey]=OutputTable[[#This Row],[GroupByKey]]),(OutputTable[GroupByKey]=OutputTable[[#This Row],[GroupByKey]])*OutputTable[RecordedValue])),0)</f>
        <v>4.921401008308305E-2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3.5205581983443382E-2</v>
      </c>
      <c r="O101" cm="1">
        <f t="array" ref="O101">MIN(IF((OutputTable[GroupByKey]=OutputTable[[#This Row],[GroupByKey]]),(OutputTable[GroupByKey]=OutputTable[[#This Row],[GroupByKey]])*OutputTable[RecordedValue]))</f>
        <v>0.20500025225945601</v>
      </c>
      <c r="P101" cm="1">
        <f t="array" ref="P101">MAX(IF((OutputTable[GroupByKey]=OutputTable[[#This Row],[GroupByKey]]),(OutputTable[GroupByKey]=OutputTable[[#This Row],[GroupByKey]])*OutputTable[RecordedValue]))</f>
        <v>0.33570777662711399</v>
      </c>
    </row>
    <row r="102" spans="1:16" x14ac:dyDescent="0.25">
      <c r="A102" t="s">
        <v>67</v>
      </c>
      <c r="B102" t="s">
        <v>243</v>
      </c>
      <c r="C102">
        <v>2</v>
      </c>
      <c r="D102" t="s">
        <v>169</v>
      </c>
      <c r="E102" t="s">
        <v>152</v>
      </c>
      <c r="F102" t="s">
        <v>113</v>
      </c>
      <c r="G102">
        <v>13118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102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cm="1">
        <f t="array" ref="K102">IFERROR(AVERAGE(IF((OutputTable[GroupByKey]=OutputTable[[#This Row],[GroupByKey]]),(OutputTable[GroupByKey]=OutputTable[[#This Row],[GroupByKey]])*OutputTable[RecordedValue])),0)</f>
        <v>13099.9</v>
      </c>
      <c r="L102" cm="1">
        <f t="array" ref="L102">IFERROR(_xlfn.STDEV.S(IF((OutputTable[GroupByKey]=OutputTable[[#This Row],[GroupByKey]]),(OutputTable[GroupByKey]=OutputTable[[#This Row],[GroupByKey]])*OutputTable[RecordedValue])),0)</f>
        <v>11.761046816598522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102" cm="1">
        <f t="array" ref="O102">MIN(IF((OutputTable[GroupByKey]=OutputTable[[#This Row],[GroupByKey]]),(OutputTable[GroupByKey]=OutputTable[[#This Row],[GroupByKey]])*OutputTable[RecordedValue]))</f>
        <v>13082</v>
      </c>
      <c r="P102" cm="1">
        <f t="array" ref="P102">MAX(IF((OutputTable[GroupByKey]=OutputTable[[#This Row],[GroupByKey]]),(OutputTable[GroupByKey]=OutputTable[[#This Row],[GroupByKey]])*OutputTable[RecordedValue]))</f>
        <v>13118</v>
      </c>
    </row>
    <row r="103" spans="1:16" x14ac:dyDescent="0.25">
      <c r="A103" t="s">
        <v>67</v>
      </c>
      <c r="B103" t="s">
        <v>243</v>
      </c>
      <c r="C103">
        <v>2</v>
      </c>
      <c r="D103" t="s">
        <v>170</v>
      </c>
      <c r="E103" t="s">
        <v>154</v>
      </c>
      <c r="F103" t="s">
        <v>113</v>
      </c>
      <c r="G103">
        <v>0.15172806047441101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cm="1">
        <f t="array" ref="K103">IFERROR(AVERAGE(IF((OutputTable[GroupByKey]=OutputTable[[#This Row],[GroupByKey]]),(OutputTable[GroupByKey]=OutputTable[[#This Row],[GroupByKey]])*OutputTable[RecordedValue])),0)</f>
        <v>0.151561654865698</v>
      </c>
      <c r="L103" cm="1">
        <f t="array" ref="L103">IFERROR(_xlfn.STDEV.S(IF((OutputTable[GroupByKey]=OutputTable[[#This Row],[GroupByKey]]),(OutputTable[GroupByKey]=OutputTable[[#This Row],[GroupByKey]])*OutputTable[RecordedValue])),0)</f>
        <v>1.2198256688170919E-4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8.7261071626859165E-5</v>
      </c>
      <c r="O103" cm="1">
        <f t="array" ref="O103">MIN(IF((OutputTable[GroupByKey]=OutputTable[[#This Row],[GroupByKey]]),(OutputTable[GroupByKey]=OutputTable[[#This Row],[GroupByKey]])*OutputTable[RecordedValue]))</f>
        <v>0.15134711042770399</v>
      </c>
      <c r="P103" cm="1">
        <f t="array" ref="P103">MAX(IF((OutputTable[GroupByKey]=OutputTable[[#This Row],[GroupByKey]]),(OutputTable[GroupByKey]=OutputTable[[#This Row],[GroupByKey]])*OutputTable[RecordedValue]))</f>
        <v>0.15172806047441101</v>
      </c>
    </row>
    <row r="104" spans="1:16" x14ac:dyDescent="0.25">
      <c r="A104" t="s">
        <v>67</v>
      </c>
      <c r="B104" t="s">
        <v>243</v>
      </c>
      <c r="C104">
        <v>2</v>
      </c>
      <c r="D104" t="s">
        <v>171</v>
      </c>
      <c r="E104" t="s">
        <v>152</v>
      </c>
      <c r="F104" t="s">
        <v>113</v>
      </c>
      <c r="G104">
        <v>8231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cm="1">
        <f t="array" ref="K104">IFERROR(AVERAGE(IF((OutputTable[GroupByKey]=OutputTable[[#This Row],[GroupByKey]]),(OutputTable[GroupByKey]=OutputTable[[#This Row],[GroupByKey]])*OutputTable[RecordedValue])),0)</f>
        <v>8235</v>
      </c>
      <c r="L104" cm="1">
        <f t="array" ref="L104">IFERROR(_xlfn.STDEV.S(IF((OutputTable[GroupByKey]=OutputTable[[#This Row],[GroupByKey]]),(OutputTable[GroupByKey]=OutputTable[[#This Row],[GroupByKey]])*OutputTable[RecordedValue])),0)</f>
        <v>6.5659052011974035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104" cm="1">
        <f t="array" ref="O104">MIN(IF((OutputTable[GroupByKey]=OutputTable[[#This Row],[GroupByKey]]),(OutputTable[GroupByKey]=OutputTable[[#This Row],[GroupByKey]])*OutputTable[RecordedValue]))</f>
        <v>8223</v>
      </c>
      <c r="P104" cm="1">
        <f t="array" ref="P104">MAX(IF((OutputTable[GroupByKey]=OutputTable[[#This Row],[GroupByKey]]),(OutputTable[GroupByKey]=OutputTable[[#This Row],[GroupByKey]])*OutputTable[RecordedValue]))</f>
        <v>8245</v>
      </c>
    </row>
    <row r="105" spans="1:16" x14ac:dyDescent="0.25">
      <c r="A105" t="s">
        <v>67</v>
      </c>
      <c r="B105" t="s">
        <v>243</v>
      </c>
      <c r="C105">
        <v>2</v>
      </c>
      <c r="D105" t="s">
        <v>172</v>
      </c>
      <c r="E105" t="s">
        <v>154</v>
      </c>
      <c r="F105" t="s">
        <v>113</v>
      </c>
      <c r="G105">
        <v>0.71446306801206805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cm="1">
        <f t="array" ref="K105">IFERROR(AVERAGE(IF((OutputTable[GroupByKey]=OutputTable[[#This Row],[GroupByKey]]),(OutputTable[GroupByKey]=OutputTable[[#This Row],[GroupByKey]])*OutputTable[RecordedValue])),0)</f>
        <v>0.84558522180863771</v>
      </c>
      <c r="L105" cm="1">
        <f t="array" ref="L105">IFERROR(_xlfn.STDEV.S(IF((OutputTable[GroupByKey]=OutputTable[[#This Row],[GroupByKey]]),(OutputTable[GroupByKey]=OutputTable[[#This Row],[GroupByKey]])*OutputTable[RecordedValue])),0)</f>
        <v>0.11694354024491282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8.3656369122856733E-2</v>
      </c>
      <c r="O105" cm="1">
        <f t="array" ref="O105">MIN(IF((OutputTable[GroupByKey]=OutputTable[[#This Row],[GroupByKey]]),(OutputTable[GroupByKey]=OutputTable[[#This Row],[GroupByKey]])*OutputTable[RecordedValue]))</f>
        <v>0.625269422960122</v>
      </c>
      <c r="P105" cm="1">
        <f t="array" ref="P105">MAX(IF((OutputTable[GroupByKey]=OutputTable[[#This Row],[GroupByKey]]),(OutputTable[GroupByKey]=OutputTable[[#This Row],[GroupByKey]])*OutputTable[RecordedValue]))</f>
        <v>0.95234896906597499</v>
      </c>
    </row>
    <row r="106" spans="1:16" x14ac:dyDescent="0.25">
      <c r="A106" t="s">
        <v>67</v>
      </c>
      <c r="B106" t="s">
        <v>243</v>
      </c>
      <c r="C106">
        <v>2</v>
      </c>
      <c r="D106" t="s">
        <v>173</v>
      </c>
      <c r="E106" t="s">
        <v>152</v>
      </c>
      <c r="F106" t="s">
        <v>113</v>
      </c>
      <c r="G106">
        <v>8230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cm="1">
        <f t="array" ref="K106">IFERROR(AVERAGE(IF((OutputTable[GroupByKey]=OutputTable[[#This Row],[GroupByKey]]),(OutputTable[GroupByKey]=OutputTable[[#This Row],[GroupByKey]])*OutputTable[RecordedValue])),0)</f>
        <v>8233.5</v>
      </c>
      <c r="L106" cm="1">
        <f t="array" ref="L106">IFERROR(_xlfn.STDEV.S(IF((OutputTable[GroupByKey]=OutputTable[[#This Row],[GroupByKey]]),(OutputTable[GroupByKey]=OutputTable[[#This Row],[GroupByKey]])*OutputTable[RecordedValue])),0)</f>
        <v>6.5021364010437201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106" cm="1">
        <f t="array" ref="O106">MIN(IF((OutputTable[GroupByKey]=OutputTable[[#This Row],[GroupByKey]]),(OutputTable[GroupByKey]=OutputTable[[#This Row],[GroupByKey]])*OutputTable[RecordedValue]))</f>
        <v>8221</v>
      </c>
      <c r="P106" cm="1">
        <f t="array" ref="P106">MAX(IF((OutputTable[GroupByKey]=OutputTable[[#This Row],[GroupByKey]]),(OutputTable[GroupByKey]=OutputTable[[#This Row],[GroupByKey]])*OutputTable[RecordedValue]))</f>
        <v>8243</v>
      </c>
    </row>
    <row r="107" spans="1:16" x14ac:dyDescent="0.25">
      <c r="A107" t="s">
        <v>67</v>
      </c>
      <c r="B107" t="s">
        <v>243</v>
      </c>
      <c r="C107">
        <v>2</v>
      </c>
      <c r="D107" t="s">
        <v>174</v>
      </c>
      <c r="E107" t="s">
        <v>154</v>
      </c>
      <c r="F107" t="s">
        <v>113</v>
      </c>
      <c r="G107">
        <v>0.72994168915180901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cm="1">
        <f t="array" ref="K107">IFERROR(AVERAGE(IF((OutputTable[GroupByKey]=OutputTable[[#This Row],[GroupByKey]]),(OutputTable[GroupByKey]=OutputTable[[#This Row],[GroupByKey]])*OutputTable[RecordedValue])),0)</f>
        <v>0.74077431571180286</v>
      </c>
      <c r="L107" cm="1">
        <f t="array" ref="L107">IFERROR(_xlfn.STDEV.S(IF((OutputTable[GroupByKey]=OutputTable[[#This Row],[GroupByKey]]),(OutputTable[GroupByKey]=OutputTable[[#This Row],[GroupByKey]])*OutputTable[RecordedValue])),0)</f>
        <v>6.1280007141721847E-2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4.3837076306762375E-2</v>
      </c>
      <c r="O107" cm="1">
        <f t="array" ref="O107">MIN(IF((OutputTable[GroupByKey]=OutputTable[[#This Row],[GroupByKey]]),(OutputTable[GroupByKey]=OutputTable[[#This Row],[GroupByKey]])*OutputTable[RecordedValue]))</f>
        <v>0.67060354368791897</v>
      </c>
      <c r="P107" cm="1">
        <f t="array" ref="P107">MAX(IF((OutputTable[GroupByKey]=OutputTable[[#This Row],[GroupByKey]]),(OutputTable[GroupByKey]=OutputTable[[#This Row],[GroupByKey]])*OutputTable[RecordedValue]))</f>
        <v>0.87728997349342697</v>
      </c>
    </row>
    <row r="108" spans="1:16" x14ac:dyDescent="0.25">
      <c r="A108" t="s">
        <v>67</v>
      </c>
      <c r="B108" t="s">
        <v>243</v>
      </c>
      <c r="C108">
        <v>2</v>
      </c>
      <c r="D108" t="s">
        <v>175</v>
      </c>
      <c r="E108" t="s">
        <v>152</v>
      </c>
      <c r="F108" t="s">
        <v>113</v>
      </c>
      <c r="G108">
        <v>8228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108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cm="1">
        <f t="array" ref="K108">IFERROR(AVERAGE(IF((OutputTable[GroupByKey]=OutputTable[[#This Row],[GroupByKey]]),(OutputTable[GroupByKey]=OutputTable[[#This Row],[GroupByKey]])*OutputTable[RecordedValue])),0)</f>
        <v>8231.5</v>
      </c>
      <c r="L108" cm="1">
        <f t="array" ref="L108">IFERROR(_xlfn.STDEV.S(IF((OutputTable[GroupByKey]=OutputTable[[#This Row],[GroupByKey]]),(OutputTable[GroupByKey]=OutputTable[[#This Row],[GroupByKey]])*OutputTable[RecordedValue])),0)</f>
        <v>6.3464775882199236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108" cm="1">
        <f t="array" ref="O108">MIN(IF((OutputTable[GroupByKey]=OutputTable[[#This Row],[GroupByKey]]),(OutputTable[GroupByKey]=OutputTable[[#This Row],[GroupByKey]])*OutputTable[RecordedValue]))</f>
        <v>8220</v>
      </c>
      <c r="P108" cm="1">
        <f t="array" ref="P108">MAX(IF((OutputTable[GroupByKey]=OutputTable[[#This Row],[GroupByKey]]),(OutputTable[GroupByKey]=OutputTable[[#This Row],[GroupByKey]])*OutputTable[RecordedValue]))</f>
        <v>8241</v>
      </c>
    </row>
    <row r="109" spans="1:16" x14ac:dyDescent="0.25">
      <c r="A109" t="s">
        <v>67</v>
      </c>
      <c r="B109" t="s">
        <v>243</v>
      </c>
      <c r="C109">
        <v>2</v>
      </c>
      <c r="D109" t="s">
        <v>176</v>
      </c>
      <c r="E109" t="s">
        <v>154</v>
      </c>
      <c r="F109" t="s">
        <v>113</v>
      </c>
      <c r="G109">
        <v>0.54974158610753199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cm="1">
        <f t="array" ref="K109">IFERROR(AVERAGE(IF((OutputTable[GroupByKey]=OutputTable[[#This Row],[GroupByKey]]),(OutputTable[GroupByKey]=OutputTable[[#This Row],[GroupByKey]])*OutputTable[RecordedValue])),0)</f>
        <v>0.52391445815006699</v>
      </c>
      <c r="L109" cm="1">
        <f t="array" ref="L109">IFERROR(_xlfn.STDEV.S(IF((OutputTable[GroupByKey]=OutputTable[[#This Row],[GroupByKey]]),(OutputTable[GroupByKey]=OutputTable[[#This Row],[GroupByKey]])*OutputTable[RecordedValue])),0)</f>
        <v>7.0460308415606909E-2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5.0404268221927347E-2</v>
      </c>
      <c r="O109" cm="1">
        <f t="array" ref="O109">MIN(IF((OutputTable[GroupByKey]=OutputTable[[#This Row],[GroupByKey]]),(OutputTable[GroupByKey]=OutputTable[[#This Row],[GroupByKey]])*OutputTable[RecordedValue]))</f>
        <v>0.36555656561218303</v>
      </c>
      <c r="P109" cm="1">
        <f t="array" ref="P109">MAX(IF((OutputTable[GroupByKey]=OutputTable[[#This Row],[GroupByKey]]),(OutputTable[GroupByKey]=OutputTable[[#This Row],[GroupByKey]])*OutputTable[RecordedValue]))</f>
        <v>0.59886206518967</v>
      </c>
    </row>
    <row r="110" spans="1:16" x14ac:dyDescent="0.25">
      <c r="A110" t="s">
        <v>67</v>
      </c>
      <c r="B110" t="s">
        <v>243</v>
      </c>
      <c r="C110">
        <v>2</v>
      </c>
      <c r="D110" t="s">
        <v>177</v>
      </c>
      <c r="E110" t="s">
        <v>152</v>
      </c>
      <c r="F110" t="s">
        <v>113</v>
      </c>
      <c r="G110">
        <v>8224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cm="1">
        <f t="array" ref="K110">IFERROR(AVERAGE(IF((OutputTable[GroupByKey]=OutputTable[[#This Row],[GroupByKey]]),(OutputTable[GroupByKey]=OutputTable[[#This Row],[GroupByKey]])*OutputTable[RecordedValue])),0)</f>
        <v>8227.7000000000007</v>
      </c>
      <c r="L110" cm="1">
        <f t="array" ref="L110">IFERROR(_xlfn.STDEV.S(IF((OutputTable[GroupByKey]=OutputTable[[#This Row],[GroupByKey]]),(OutputTable[GroupByKey]=OutputTable[[#This Row],[GroupByKey]])*OutputTable[RecordedValue])),0)</f>
        <v>6.2902040242480748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110" cm="1">
        <f t="array" ref="O110">MIN(IF((OutputTable[GroupByKey]=OutputTable[[#This Row],[GroupByKey]]),(OutputTable[GroupByKey]=OutputTable[[#This Row],[GroupByKey]])*OutputTable[RecordedValue]))</f>
        <v>8216</v>
      </c>
      <c r="P110" cm="1">
        <f t="array" ref="P110">MAX(IF((OutputTable[GroupByKey]=OutputTable[[#This Row],[GroupByKey]]),(OutputTable[GroupByKey]=OutputTable[[#This Row],[GroupByKey]])*OutputTable[RecordedValue]))</f>
        <v>8237</v>
      </c>
    </row>
    <row r="111" spans="1:16" x14ac:dyDescent="0.25">
      <c r="A111" t="s">
        <v>67</v>
      </c>
      <c r="B111" t="s">
        <v>243</v>
      </c>
      <c r="C111">
        <v>2</v>
      </c>
      <c r="D111" t="s">
        <v>178</v>
      </c>
      <c r="E111" t="s">
        <v>154</v>
      </c>
      <c r="F111" t="s">
        <v>113</v>
      </c>
      <c r="G111">
        <v>0.149446316363541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111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cm="1">
        <f t="array" ref="K111">IFERROR(AVERAGE(IF((OutputTable[GroupByKey]=OutputTable[[#This Row],[GroupByKey]]),(OutputTable[GroupByKey]=OutputTable[[#This Row],[GroupByKey]])*OutputTable[RecordedValue])),0)</f>
        <v>0.14955853655775292</v>
      </c>
      <c r="L111" cm="1">
        <f t="array" ref="L111">IFERROR(_xlfn.STDEV.S(IF((OutputTable[GroupByKey]=OutputTable[[#This Row],[GroupByKey]]),(OutputTable[GroupByKey]=OutputTable[[#This Row],[GroupByKey]])*OutputTable[RecordedValue])),0)</f>
        <v>1.8487754554887928E-4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1.3225342896729691E-4</v>
      </c>
      <c r="O111" cm="1">
        <f t="array" ref="O111">MIN(IF((OutputTable[GroupByKey]=OutputTable[[#This Row],[GroupByKey]]),(OutputTable[GroupByKey]=OutputTable[[#This Row],[GroupByKey]])*OutputTable[RecordedValue]))</f>
        <v>0.14921189842985499</v>
      </c>
      <c r="P111" cm="1">
        <f t="array" ref="P111">MAX(IF((OutputTable[GroupByKey]=OutputTable[[#This Row],[GroupByKey]]),(OutputTable[GroupByKey]=OutputTable[[#This Row],[GroupByKey]])*OutputTable[RecordedValue]))</f>
        <v>0.14985050053976801</v>
      </c>
    </row>
    <row r="112" spans="1:16" x14ac:dyDescent="0.25">
      <c r="A112" t="s">
        <v>67</v>
      </c>
      <c r="B112" t="s">
        <v>243</v>
      </c>
      <c r="C112">
        <v>2</v>
      </c>
      <c r="D112" t="s">
        <v>179</v>
      </c>
      <c r="E112" t="s">
        <v>152</v>
      </c>
      <c r="F112" t="s">
        <v>113</v>
      </c>
      <c r="G112">
        <v>18391</v>
      </c>
      <c r="H112">
        <v>0</v>
      </c>
      <c r="I112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112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cm="1">
        <f t="array" ref="K112">IFERROR(AVERAGE(IF((OutputTable[GroupByKey]=OutputTable[[#This Row],[GroupByKey]]),(OutputTable[GroupByKey]=OutputTable[[#This Row],[GroupByKey]])*OutputTable[RecordedValue])),0)</f>
        <v>18392</v>
      </c>
      <c r="L112" cm="1">
        <f t="array" ref="L112">IFERROR(_xlfn.STDEV.S(IF((OutputTable[GroupByKey]=OutputTable[[#This Row],[GroupByKey]]),(OutputTable[GroupByKey]=OutputTable[[#This Row],[GroupByKey]])*OutputTable[RecordedValue])),0)</f>
        <v>12.884098726725126</v>
      </c>
      <c r="M112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112" cm="1">
        <f t="array" ref="O112">MIN(IF((OutputTable[GroupByKey]=OutputTable[[#This Row],[GroupByKey]]),(OutputTable[GroupByKey]=OutputTable[[#This Row],[GroupByKey]])*OutputTable[RecordedValue]))</f>
        <v>18376</v>
      </c>
      <c r="P112" cm="1">
        <f t="array" ref="P112">MAX(IF((OutputTable[GroupByKey]=OutputTable[[#This Row],[GroupByKey]]),(OutputTable[GroupByKey]=OutputTable[[#This Row],[GroupByKey]])*OutputTable[RecordedValue]))</f>
        <v>18407</v>
      </c>
    </row>
    <row r="113" spans="1:16" x14ac:dyDescent="0.25">
      <c r="A113" t="s">
        <v>67</v>
      </c>
      <c r="B113" t="s">
        <v>243</v>
      </c>
      <c r="C113">
        <v>2</v>
      </c>
      <c r="D113" t="s">
        <v>180</v>
      </c>
      <c r="E113" t="s">
        <v>154</v>
      </c>
      <c r="F113" t="s">
        <v>113</v>
      </c>
      <c r="G113">
        <v>0.90111632059041802</v>
      </c>
      <c r="H113">
        <v>0</v>
      </c>
      <c r="I113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113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cm="1">
        <f t="array" ref="K113">IFERROR(AVERAGE(IF((OutputTable[GroupByKey]=OutputTable[[#This Row],[GroupByKey]]),(OutputTable[GroupByKey]=OutputTable[[#This Row],[GroupByKey]])*OutputTable[RecordedValue])),0)</f>
        <v>0.78490250681152463</v>
      </c>
      <c r="L113" cm="1">
        <f t="array" ref="L113">IFERROR(_xlfn.STDEV.S(IF((OutputTable[GroupByKey]=OutputTable[[#This Row],[GroupByKey]]),(OutputTable[GroupByKey]=OutputTable[[#This Row],[GroupByKey]])*OutputTable[RecordedValue])),0)</f>
        <v>0.11345978752761485</v>
      </c>
      <c r="M113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8.1164242557843561E-2</v>
      </c>
      <c r="O113" cm="1">
        <f t="array" ref="O113">MIN(IF((OutputTable[GroupByKey]=OutputTable[[#This Row],[GroupByKey]]),(OutputTable[GroupByKey]=OutputTable[[#This Row],[GroupByKey]])*OutputTable[RecordedValue]))</f>
        <v>0.58338388917401596</v>
      </c>
      <c r="P113" cm="1">
        <f t="array" ref="P113">MAX(IF((OutputTable[GroupByKey]=OutputTable[[#This Row],[GroupByKey]]),(OutputTable[GroupByKey]=OutputTable[[#This Row],[GroupByKey]])*OutputTable[RecordedValue]))</f>
        <v>0.90111632059041802</v>
      </c>
    </row>
    <row r="114" spans="1:16" x14ac:dyDescent="0.25">
      <c r="A114" t="s">
        <v>67</v>
      </c>
      <c r="B114" t="s">
        <v>243</v>
      </c>
      <c r="C114">
        <v>2</v>
      </c>
      <c r="D114" t="s">
        <v>181</v>
      </c>
      <c r="E114" t="s">
        <v>152</v>
      </c>
      <c r="F114" t="s">
        <v>113</v>
      </c>
      <c r="G114">
        <v>18387</v>
      </c>
      <c r="H114">
        <v>0</v>
      </c>
      <c r="I114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114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cm="1">
        <f t="array" ref="K114">IFERROR(AVERAGE(IF((OutputTable[GroupByKey]=OutputTable[[#This Row],[GroupByKey]]),(OutputTable[GroupByKey]=OutputTable[[#This Row],[GroupByKey]])*OutputTable[RecordedValue])),0)</f>
        <v>18389.400000000001</v>
      </c>
      <c r="L114" cm="1">
        <f t="array" ref="L114">IFERROR(_xlfn.STDEV.S(IF((OutputTable[GroupByKey]=OutputTable[[#This Row],[GroupByKey]]),(OutputTable[GroupByKey]=OutputTable[[#This Row],[GroupByKey]])*OutputTable[RecordedValue])),0)</f>
        <v>12.103259432437566</v>
      </c>
      <c r="M114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114" cm="1">
        <f t="array" ref="O114">MIN(IF((OutputTable[GroupByKey]=OutputTable[[#This Row],[GroupByKey]]),(OutputTable[GroupByKey]=OutputTable[[#This Row],[GroupByKey]])*OutputTable[RecordedValue]))</f>
        <v>18376</v>
      </c>
      <c r="P114" cm="1">
        <f t="array" ref="P114">MAX(IF((OutputTable[GroupByKey]=OutputTable[[#This Row],[GroupByKey]]),(OutputTable[GroupByKey]=OutputTable[[#This Row],[GroupByKey]])*OutputTable[RecordedValue]))</f>
        <v>18404</v>
      </c>
    </row>
    <row r="115" spans="1:16" x14ac:dyDescent="0.25">
      <c r="A115" t="s">
        <v>67</v>
      </c>
      <c r="B115" t="s">
        <v>243</v>
      </c>
      <c r="C115">
        <v>2</v>
      </c>
      <c r="D115" t="s">
        <v>182</v>
      </c>
      <c r="E115" t="s">
        <v>154</v>
      </c>
      <c r="F115" t="s">
        <v>113</v>
      </c>
      <c r="G115">
        <v>0.15877821852350199</v>
      </c>
      <c r="H115">
        <v>0</v>
      </c>
      <c r="I115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11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cm="1">
        <f t="array" ref="K115">IFERROR(AVERAGE(IF((OutputTable[GroupByKey]=OutputTable[[#This Row],[GroupByKey]]),(OutputTable[GroupByKey]=OutputTable[[#This Row],[GroupByKey]])*OutputTable[RecordedValue])),0)</f>
        <v>0.15879210791146151</v>
      </c>
      <c r="L115" cm="1">
        <f t="array" ref="L115">IFERROR(_xlfn.STDEV.S(IF((OutputTable[GroupByKey]=OutputTable[[#This Row],[GroupByKey]]),(OutputTable[GroupByKey]=OutputTable[[#This Row],[GroupByKey]])*OutputTable[RecordedValue])),0)</f>
        <v>8.8786593843692651E-6</v>
      </c>
      <c r="M11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6.3514103063698042E-6</v>
      </c>
      <c r="O115" cm="1">
        <f t="array" ref="O115">MIN(IF((OutputTable[GroupByKey]=OutputTable[[#This Row],[GroupByKey]]),(OutputTable[GroupByKey]=OutputTable[[#This Row],[GroupByKey]])*OutputTable[RecordedValue]))</f>
        <v>0.15877821852350199</v>
      </c>
      <c r="P115" cm="1">
        <f t="array" ref="P115">MAX(IF((OutputTable[GroupByKey]=OutputTable[[#This Row],[GroupByKey]]),(OutputTable[GroupByKey]=OutputTable[[#This Row],[GroupByKey]])*OutputTable[RecordedValue]))</f>
        <v>0.15880443244107401</v>
      </c>
    </row>
    <row r="116" spans="1:16" x14ac:dyDescent="0.25">
      <c r="A116" t="s">
        <v>67</v>
      </c>
      <c r="B116" t="s">
        <v>243</v>
      </c>
      <c r="C116">
        <v>2</v>
      </c>
      <c r="D116" t="s">
        <v>183</v>
      </c>
      <c r="E116" t="s">
        <v>152</v>
      </c>
      <c r="F116" t="s">
        <v>113</v>
      </c>
      <c r="G116">
        <v>13120</v>
      </c>
      <c r="H116">
        <v>0</v>
      </c>
      <c r="I116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116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cm="1">
        <f t="array" ref="K116">IFERROR(AVERAGE(IF((OutputTable[GroupByKey]=OutputTable[[#This Row],[GroupByKey]]),(OutputTable[GroupByKey]=OutputTable[[#This Row],[GroupByKey]])*OutputTable[RecordedValue])),0)</f>
        <v>13103.5</v>
      </c>
      <c r="L116" cm="1">
        <f t="array" ref="L116">IFERROR(_xlfn.STDEV.S(IF((OutputTable[GroupByKey]=OutputTable[[#This Row],[GroupByKey]]),(OutputTable[GroupByKey]=OutputTable[[#This Row],[GroupByKey]])*OutputTable[RecordedValue])),0)</f>
        <v>11.443095929181249</v>
      </c>
      <c r="M116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116" cm="1">
        <f t="array" ref="O116">MIN(IF((OutputTable[GroupByKey]=OutputTable[[#This Row],[GroupByKey]]),(OutputTable[GroupByKey]=OutputTable[[#This Row],[GroupByKey]])*OutputTable[RecordedValue]))</f>
        <v>13087</v>
      </c>
      <c r="P116" cm="1">
        <f t="array" ref="P116">MAX(IF((OutputTable[GroupByKey]=OutputTable[[#This Row],[GroupByKey]]),(OutputTable[GroupByKey]=OutputTable[[#This Row],[GroupByKey]])*OutputTable[RecordedValue]))</f>
        <v>13120</v>
      </c>
    </row>
    <row r="117" spans="1:16" x14ac:dyDescent="0.25">
      <c r="A117" t="s">
        <v>67</v>
      </c>
      <c r="B117" t="s">
        <v>243</v>
      </c>
      <c r="C117">
        <v>2</v>
      </c>
      <c r="D117" t="s">
        <v>184</v>
      </c>
      <c r="E117" t="s">
        <v>154</v>
      </c>
      <c r="F117" t="s">
        <v>113</v>
      </c>
      <c r="G117">
        <v>1.00044423174602</v>
      </c>
      <c r="H117">
        <v>0</v>
      </c>
      <c r="I117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117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cm="1">
        <f t="array" ref="K117">IFERROR(AVERAGE(IF((OutputTable[GroupByKey]=OutputTable[[#This Row],[GroupByKey]]),(OutputTable[GroupByKey]=OutputTable[[#This Row],[GroupByKey]])*OutputTable[RecordedValue])),0)</f>
        <v>1.0004814685732331</v>
      </c>
      <c r="L117" cm="1">
        <f t="array" ref="L117">IFERROR(_xlfn.STDEV.S(IF((OutputTable[GroupByKey]=OutputTable[[#This Row],[GroupByKey]]),(OutputTable[GroupByKey]=OutputTable[[#This Row],[GroupByKey]])*OutputTable[RecordedValue])),0)</f>
        <v>7.4280555176725285E-5</v>
      </c>
      <c r="M117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5.3137108125005439E-5</v>
      </c>
      <c r="O117" cm="1">
        <f t="array" ref="O117">MIN(IF((OutputTable[GroupByKey]=OutputTable[[#This Row],[GroupByKey]]),(OutputTable[GroupByKey]=OutputTable[[#This Row],[GroupByKey]])*OutputTable[RecordedValue]))</f>
        <v>1.00039897320567</v>
      </c>
      <c r="P117" cm="1">
        <f t="array" ref="P117">MAX(IF((OutputTable[GroupByKey]=OutputTable[[#This Row],[GroupByKey]]),(OutputTable[GroupByKey]=OutputTable[[#This Row],[GroupByKey]])*OutputTable[RecordedValue]))</f>
        <v>1.00059414734778</v>
      </c>
    </row>
    <row r="118" spans="1:16" x14ac:dyDescent="0.25">
      <c r="A118" t="s">
        <v>67</v>
      </c>
      <c r="B118" t="s">
        <v>243</v>
      </c>
      <c r="C118">
        <v>2</v>
      </c>
      <c r="D118" t="s">
        <v>185</v>
      </c>
      <c r="E118" t="s">
        <v>152</v>
      </c>
      <c r="F118" t="s">
        <v>113</v>
      </c>
      <c r="G118">
        <v>13118</v>
      </c>
      <c r="H118">
        <v>0</v>
      </c>
      <c r="I118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118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cm="1">
        <f t="array" ref="K118">IFERROR(AVERAGE(IF((OutputTable[GroupByKey]=OutputTable[[#This Row],[GroupByKey]]),(OutputTable[GroupByKey]=OutputTable[[#This Row],[GroupByKey]])*OutputTable[RecordedValue])),0)</f>
        <v>13100.1</v>
      </c>
      <c r="L118" cm="1">
        <f t="array" ref="L118">IFERROR(_xlfn.STDEV.S(IF((OutputTable[GroupByKey]=OutputTable[[#This Row],[GroupByKey]]),(OutputTable[GroupByKey]=OutputTable[[#This Row],[GroupByKey]])*OutputTable[RecordedValue])),0)</f>
        <v>11.46443776786866</v>
      </c>
      <c r="M118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118" cm="1">
        <f t="array" ref="O118">MIN(IF((OutputTable[GroupByKey]=OutputTable[[#This Row],[GroupByKey]]),(OutputTable[GroupByKey]=OutputTable[[#This Row],[GroupByKey]])*OutputTable[RecordedValue]))</f>
        <v>13083</v>
      </c>
      <c r="P118" cm="1">
        <f t="array" ref="P118">MAX(IF((OutputTable[GroupByKey]=OutputTable[[#This Row],[GroupByKey]]),(OutputTable[GroupByKey]=OutputTable[[#This Row],[GroupByKey]])*OutputTable[RecordedValue]))</f>
        <v>13118</v>
      </c>
    </row>
    <row r="119" spans="1:16" x14ac:dyDescent="0.25">
      <c r="A119" t="s">
        <v>67</v>
      </c>
      <c r="B119" t="s">
        <v>243</v>
      </c>
      <c r="C119">
        <v>2</v>
      </c>
      <c r="D119" t="s">
        <v>186</v>
      </c>
      <c r="E119" t="s">
        <v>154</v>
      </c>
      <c r="F119" t="s">
        <v>113</v>
      </c>
      <c r="G119">
        <v>0.72825020533414597</v>
      </c>
      <c r="H119">
        <v>0</v>
      </c>
      <c r="I119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119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cm="1">
        <f t="array" ref="K119">IFERROR(AVERAGE(IF((OutputTable[GroupByKey]=OutputTable[[#This Row],[GroupByKey]]),(OutputTable[GroupByKey]=OutputTable[[#This Row],[GroupByKey]])*OutputTable[RecordedValue])),0)</f>
        <v>0.7279059511079462</v>
      </c>
      <c r="L119" cm="1">
        <f t="array" ref="L119">IFERROR(_xlfn.STDEV.S(IF((OutputTable[GroupByKey]=OutputTable[[#This Row],[GroupByKey]]),(OutputTable[GroupByKey]=OutputTable[[#This Row],[GroupByKey]])*OutputTable[RecordedValue])),0)</f>
        <v>7.0848304180243249E-4</v>
      </c>
      <c r="M119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5.0681823671647316E-4</v>
      </c>
      <c r="O119" cm="1">
        <f t="array" ref="O119">MIN(IF((OutputTable[GroupByKey]=OutputTable[[#This Row],[GroupByKey]]),(OutputTable[GroupByKey]=OutputTable[[#This Row],[GroupByKey]])*OutputTable[RecordedValue]))</f>
        <v>0.72665767143328297</v>
      </c>
      <c r="P119" cm="1">
        <f t="array" ref="P119">MAX(IF((OutputTable[GroupByKey]=OutputTable[[#This Row],[GroupByKey]]),(OutputTable[GroupByKey]=OutputTable[[#This Row],[GroupByKey]])*OutputTable[RecordedValue]))</f>
        <v>0.72896261310967603</v>
      </c>
    </row>
    <row r="120" spans="1:16" x14ac:dyDescent="0.25">
      <c r="A120" t="s">
        <v>67</v>
      </c>
      <c r="B120" t="s">
        <v>243</v>
      </c>
      <c r="C120">
        <v>2</v>
      </c>
      <c r="D120" t="s">
        <v>187</v>
      </c>
      <c r="E120" t="s">
        <v>152</v>
      </c>
      <c r="F120" t="s">
        <v>113</v>
      </c>
      <c r="G120">
        <v>13118</v>
      </c>
      <c r="H120">
        <v>0</v>
      </c>
      <c r="I120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120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cm="1">
        <f t="array" ref="K120">IFERROR(AVERAGE(IF((OutputTable[GroupByKey]=OutputTable[[#This Row],[GroupByKey]]),(OutputTable[GroupByKey]=OutputTable[[#This Row],[GroupByKey]])*OutputTable[RecordedValue])),0)</f>
        <v>13099.9</v>
      </c>
      <c r="L120" cm="1">
        <f t="array" ref="L120">IFERROR(_xlfn.STDEV.S(IF((OutputTable[GroupByKey]=OutputTable[[#This Row],[GroupByKey]]),(OutputTable[GroupByKey]=OutputTable[[#This Row],[GroupByKey]])*OutputTable[RecordedValue])),0)</f>
        <v>11.761046816598522</v>
      </c>
      <c r="M120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120" cm="1">
        <f t="array" ref="O120">MIN(IF((OutputTable[GroupByKey]=OutputTable[[#This Row],[GroupByKey]]),(OutputTable[GroupByKey]=OutputTable[[#This Row],[GroupByKey]])*OutputTable[RecordedValue]))</f>
        <v>13082</v>
      </c>
      <c r="P120" cm="1">
        <f t="array" ref="P120">MAX(IF((OutputTable[GroupByKey]=OutputTable[[#This Row],[GroupByKey]]),(OutputTable[GroupByKey]=OutputTable[[#This Row],[GroupByKey]])*OutputTable[RecordedValue]))</f>
        <v>13118</v>
      </c>
    </row>
    <row r="121" spans="1:16" x14ac:dyDescent="0.25">
      <c r="A121" t="s">
        <v>67</v>
      </c>
      <c r="B121" t="s">
        <v>243</v>
      </c>
      <c r="C121">
        <v>2</v>
      </c>
      <c r="D121" t="s">
        <v>188</v>
      </c>
      <c r="E121" t="s">
        <v>154</v>
      </c>
      <c r="F121" t="s">
        <v>113</v>
      </c>
      <c r="G121">
        <v>0.95588678098879198</v>
      </c>
      <c r="H121">
        <v>0</v>
      </c>
      <c r="I121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121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cm="1">
        <f t="array" ref="K121">IFERROR(AVERAGE(IF((OutputTable[GroupByKey]=OutputTable[[#This Row],[GroupByKey]]),(OutputTable[GroupByKey]=OutputTable[[#This Row],[GroupByKey]])*OutputTable[RecordedValue])),0)</f>
        <v>0.95483842565389732</v>
      </c>
      <c r="L121" cm="1">
        <f t="array" ref="L121">IFERROR(_xlfn.STDEV.S(IF((OutputTable[GroupByKey]=OutputTable[[#This Row],[GroupByKey]]),(OutputTable[GroupByKey]=OutputTable[[#This Row],[GroupByKey]])*OutputTable[RecordedValue])),0)</f>
        <v>7.6849017135544289E-4</v>
      </c>
      <c r="M121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5.497447512496955E-4</v>
      </c>
      <c r="O121" cm="1">
        <f t="array" ref="O121">MIN(IF((OutputTable[GroupByKey]=OutputTable[[#This Row],[GroupByKey]]),(OutputTable[GroupByKey]=OutputTable[[#This Row],[GroupByKey]])*OutputTable[RecordedValue]))</f>
        <v>0.95348679569453398</v>
      </c>
      <c r="P121" cm="1">
        <f t="array" ref="P121">MAX(IF((OutputTable[GroupByKey]=OutputTable[[#This Row],[GroupByKey]]),(OutputTable[GroupByKey]=OutputTable[[#This Row],[GroupByKey]])*OutputTable[RecordedValue]))</f>
        <v>0.95588678098879198</v>
      </c>
    </row>
    <row r="122" spans="1:16" x14ac:dyDescent="0.25">
      <c r="A122" t="s">
        <v>67</v>
      </c>
      <c r="B122" t="s">
        <v>243</v>
      </c>
      <c r="C122">
        <v>2</v>
      </c>
      <c r="D122" t="s">
        <v>189</v>
      </c>
      <c r="E122" t="s">
        <v>152</v>
      </c>
      <c r="F122" t="s">
        <v>113</v>
      </c>
      <c r="G122">
        <v>8231</v>
      </c>
      <c r="H122">
        <v>0</v>
      </c>
      <c r="I122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122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cm="1">
        <f t="array" ref="K122">IFERROR(AVERAGE(IF((OutputTable[GroupByKey]=OutputTable[[#This Row],[GroupByKey]]),(OutputTable[GroupByKey]=OutputTable[[#This Row],[GroupByKey]])*OutputTable[RecordedValue])),0)</f>
        <v>8235</v>
      </c>
      <c r="L122" cm="1">
        <f t="array" ref="L122">IFERROR(_xlfn.STDEV.S(IF((OutputTable[GroupByKey]=OutputTable[[#This Row],[GroupByKey]]),(OutputTable[GroupByKey]=OutputTable[[#This Row],[GroupByKey]])*OutputTable[RecordedValue])),0)</f>
        <v>6.5659052011974035</v>
      </c>
      <c r="M122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122" cm="1">
        <f t="array" ref="O122">MIN(IF((OutputTable[GroupByKey]=OutputTable[[#This Row],[GroupByKey]]),(OutputTable[GroupByKey]=OutputTable[[#This Row],[GroupByKey]])*OutputTable[RecordedValue]))</f>
        <v>8223</v>
      </c>
      <c r="P122" cm="1">
        <f t="array" ref="P122">MAX(IF((OutputTable[GroupByKey]=OutputTable[[#This Row],[GroupByKey]]),(OutputTable[GroupByKey]=OutputTable[[#This Row],[GroupByKey]])*OutputTable[RecordedValue]))</f>
        <v>8245</v>
      </c>
    </row>
    <row r="123" spans="1:16" x14ac:dyDescent="0.25">
      <c r="A123" t="s">
        <v>67</v>
      </c>
      <c r="B123" t="s">
        <v>243</v>
      </c>
      <c r="C123">
        <v>2</v>
      </c>
      <c r="D123" t="s">
        <v>190</v>
      </c>
      <c r="E123" t="s">
        <v>154</v>
      </c>
      <c r="F123" t="s">
        <v>113</v>
      </c>
      <c r="G123">
        <v>0.48577418427094299</v>
      </c>
      <c r="H123">
        <v>0</v>
      </c>
      <c r="I123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123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cm="1">
        <f t="array" ref="K123">IFERROR(AVERAGE(IF((OutputTable[GroupByKey]=OutputTable[[#This Row],[GroupByKey]]),(OutputTable[GroupByKey]=OutputTable[[#This Row],[GroupByKey]])*OutputTable[RecordedValue])),0)</f>
        <v>0.48622459141633045</v>
      </c>
      <c r="L123" cm="1">
        <f t="array" ref="L123">IFERROR(_xlfn.STDEV.S(IF((OutputTable[GroupByKey]=OutputTable[[#This Row],[GroupByKey]]),(OutputTable[GroupByKey]=OutputTable[[#This Row],[GroupByKey]])*OutputTable[RecordedValue])),0)</f>
        <v>7.2585329819825151E-4</v>
      </c>
      <c r="M123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5.1924416958770345E-4</v>
      </c>
      <c r="O123" cm="1">
        <f t="array" ref="O123">MIN(IF((OutputTable[GroupByKey]=OutputTable[[#This Row],[GroupByKey]]),(OutputTable[GroupByKey]=OutputTable[[#This Row],[GroupByKey]])*OutputTable[RecordedValue]))</f>
        <v>0.48503601840289501</v>
      </c>
      <c r="P123" cm="1">
        <f t="array" ref="P123">MAX(IF((OutputTable[GroupByKey]=OutputTable[[#This Row],[GroupByKey]]),(OutputTable[GroupByKey]=OutputTable[[#This Row],[GroupByKey]])*OutputTable[RecordedValue]))</f>
        <v>0.48724920721519499</v>
      </c>
    </row>
    <row r="124" spans="1:16" x14ac:dyDescent="0.25">
      <c r="A124" t="s">
        <v>67</v>
      </c>
      <c r="B124" t="s">
        <v>243</v>
      </c>
      <c r="C124">
        <v>2</v>
      </c>
      <c r="D124" t="s">
        <v>191</v>
      </c>
      <c r="E124" t="s">
        <v>152</v>
      </c>
      <c r="F124" t="s">
        <v>113</v>
      </c>
      <c r="G124">
        <v>8230</v>
      </c>
      <c r="H124">
        <v>0</v>
      </c>
      <c r="I124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124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cm="1">
        <f t="array" ref="K124">IFERROR(AVERAGE(IF((OutputTable[GroupByKey]=OutputTable[[#This Row],[GroupByKey]]),(OutputTable[GroupByKey]=OutputTable[[#This Row],[GroupByKey]])*OutputTable[RecordedValue])),0)</f>
        <v>8233.5</v>
      </c>
      <c r="L124" cm="1">
        <f t="array" ref="L124">IFERROR(_xlfn.STDEV.S(IF((OutputTable[GroupByKey]=OutputTable[[#This Row],[GroupByKey]]),(OutputTable[GroupByKey]=OutputTable[[#This Row],[GroupByKey]])*OutputTable[RecordedValue])),0)</f>
        <v>6.5021364010437201</v>
      </c>
      <c r="M124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124" cm="1">
        <f t="array" ref="O124">MIN(IF((OutputTable[GroupByKey]=OutputTable[[#This Row],[GroupByKey]]),(OutputTable[GroupByKey]=OutputTable[[#This Row],[GroupByKey]])*OutputTable[RecordedValue]))</f>
        <v>8221</v>
      </c>
      <c r="P124" cm="1">
        <f t="array" ref="P124">MAX(IF((OutputTable[GroupByKey]=OutputTable[[#This Row],[GroupByKey]]),(OutputTable[GroupByKey]=OutputTable[[#This Row],[GroupByKey]])*OutputTable[RecordedValue]))</f>
        <v>8243</v>
      </c>
    </row>
    <row r="125" spans="1:16" x14ac:dyDescent="0.25">
      <c r="A125" t="s">
        <v>67</v>
      </c>
      <c r="B125" t="s">
        <v>243</v>
      </c>
      <c r="C125">
        <v>2</v>
      </c>
      <c r="D125" t="s">
        <v>192</v>
      </c>
      <c r="E125" t="s">
        <v>154</v>
      </c>
      <c r="F125" t="s">
        <v>113</v>
      </c>
      <c r="G125">
        <v>0.572224688214093</v>
      </c>
      <c r="H125">
        <v>0</v>
      </c>
      <c r="I125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12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cm="1">
        <f t="array" ref="K125">IFERROR(AVERAGE(IF((OutputTable[GroupByKey]=OutputTable[[#This Row],[GroupByKey]]),(OutputTable[GroupByKey]=OutputTable[[#This Row],[GroupByKey]])*OutputTable[RecordedValue])),0)</f>
        <v>0.57195959594019841</v>
      </c>
      <c r="L125" cm="1">
        <f t="array" ref="L125">IFERROR(_xlfn.STDEV.S(IF((OutputTable[GroupByKey]=OutputTable[[#This Row],[GroupByKey]]),(OutputTable[GroupByKey]=OutputTable[[#This Row],[GroupByKey]])*OutputTable[RecordedValue])),0)</f>
        <v>5.0695895005827636E-4</v>
      </c>
      <c r="M12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3.6265658596782525E-4</v>
      </c>
      <c r="O125" cm="1">
        <f t="array" ref="O125">MIN(IF((OutputTable[GroupByKey]=OutputTable[[#This Row],[GroupByKey]]),(OutputTable[GroupByKey]=OutputTable[[#This Row],[GroupByKey]])*OutputTable[RecordedValue]))</f>
        <v>0.57115702440598504</v>
      </c>
      <c r="P125" cm="1">
        <f t="array" ref="P125">MAX(IF((OutputTable[GroupByKey]=OutputTable[[#This Row],[GroupByKey]]),(OutputTable[GroupByKey]=OutputTable[[#This Row],[GroupByKey]])*OutputTable[RecordedValue]))</f>
        <v>0.57294957522841605</v>
      </c>
    </row>
    <row r="126" spans="1:16" x14ac:dyDescent="0.25">
      <c r="A126" t="s">
        <v>67</v>
      </c>
      <c r="B126" t="s">
        <v>243</v>
      </c>
      <c r="C126">
        <v>2</v>
      </c>
      <c r="D126" t="s">
        <v>193</v>
      </c>
      <c r="E126" t="s">
        <v>152</v>
      </c>
      <c r="F126" t="s">
        <v>113</v>
      </c>
      <c r="G126">
        <v>8228</v>
      </c>
      <c r="H126">
        <v>0</v>
      </c>
      <c r="I126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126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cm="1">
        <f t="array" ref="K126">IFERROR(AVERAGE(IF((OutputTable[GroupByKey]=OutputTable[[#This Row],[GroupByKey]]),(OutputTable[GroupByKey]=OutputTable[[#This Row],[GroupByKey]])*OutputTable[RecordedValue])),0)</f>
        <v>8231.5</v>
      </c>
      <c r="L126" cm="1">
        <f t="array" ref="L126">IFERROR(_xlfn.STDEV.S(IF((OutputTable[GroupByKey]=OutputTable[[#This Row],[GroupByKey]]),(OutputTable[GroupByKey]=OutputTable[[#This Row],[GroupByKey]])*OutputTable[RecordedValue])),0)</f>
        <v>6.3464775882199236</v>
      </c>
      <c r="M126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126" cm="1">
        <f t="array" ref="O126">MIN(IF((OutputTable[GroupByKey]=OutputTable[[#This Row],[GroupByKey]]),(OutputTable[GroupByKey]=OutputTable[[#This Row],[GroupByKey]])*OutputTable[RecordedValue]))</f>
        <v>8220</v>
      </c>
      <c r="P126" cm="1">
        <f t="array" ref="P126">MAX(IF((OutputTable[GroupByKey]=OutputTable[[#This Row],[GroupByKey]]),(OutputTable[GroupByKey]=OutputTable[[#This Row],[GroupByKey]])*OutputTable[RecordedValue]))</f>
        <v>8241</v>
      </c>
    </row>
    <row r="127" spans="1:16" x14ac:dyDescent="0.25">
      <c r="A127" t="s">
        <v>67</v>
      </c>
      <c r="B127" t="s">
        <v>243</v>
      </c>
      <c r="C127">
        <v>2</v>
      </c>
      <c r="D127" t="s">
        <v>194</v>
      </c>
      <c r="E127" t="s">
        <v>154</v>
      </c>
      <c r="F127" t="s">
        <v>113</v>
      </c>
      <c r="G127">
        <v>1.00040257462005</v>
      </c>
      <c r="H127">
        <v>0</v>
      </c>
      <c r="I127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127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cm="1">
        <f t="array" ref="K127">IFERROR(AVERAGE(IF((OutputTable[GroupByKey]=OutputTable[[#This Row],[GroupByKey]]),(OutputTable[GroupByKey]=OutputTable[[#This Row],[GroupByKey]])*OutputTable[RecordedValue])),0)</f>
        <v>1.0004557942559711</v>
      </c>
      <c r="L127" cm="1">
        <f t="array" ref="L127">IFERROR(_xlfn.STDEV.S(IF((OutputTable[GroupByKey]=OutputTable[[#This Row],[GroupByKey]]),(OutputTable[GroupByKey]=OutputTable[[#This Row],[GroupByKey]])*OutputTable[RecordedValue])),0)</f>
        <v>1.6760007580081014E-4</v>
      </c>
      <c r="M127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1.1989387166531641E-4</v>
      </c>
      <c r="O127" cm="1">
        <f t="array" ref="O127">MIN(IF((OutputTable[GroupByKey]=OutputTable[[#This Row],[GroupByKey]]),(OutputTable[GroupByKey]=OutputTable[[#This Row],[GroupByKey]])*OutputTable[RecordedValue]))</f>
        <v>1.0000655989645</v>
      </c>
      <c r="P127" cm="1">
        <f t="array" ref="P127">MAX(IF((OutputTable[GroupByKey]=OutputTable[[#This Row],[GroupByKey]]),(OutputTable[GroupByKey]=OutputTable[[#This Row],[GroupByKey]])*OutputTable[RecordedValue]))</f>
        <v>1.00068312738094</v>
      </c>
    </row>
    <row r="128" spans="1:16" x14ac:dyDescent="0.25">
      <c r="A128" t="s">
        <v>67</v>
      </c>
      <c r="B128" t="s">
        <v>243</v>
      </c>
      <c r="C128">
        <v>2</v>
      </c>
      <c r="D128" t="s">
        <v>195</v>
      </c>
      <c r="E128" t="s">
        <v>152</v>
      </c>
      <c r="F128" t="s">
        <v>113</v>
      </c>
      <c r="G128">
        <v>8224</v>
      </c>
      <c r="H128">
        <v>0</v>
      </c>
      <c r="I128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128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cm="1">
        <f t="array" ref="K128">IFERROR(AVERAGE(IF((OutputTable[GroupByKey]=OutputTable[[#This Row],[GroupByKey]]),(OutputTable[GroupByKey]=OutputTable[[#This Row],[GroupByKey]])*OutputTable[RecordedValue])),0)</f>
        <v>8227.7000000000007</v>
      </c>
      <c r="L128" cm="1">
        <f t="array" ref="L128">IFERROR(_xlfn.STDEV.S(IF((OutputTable[GroupByKey]=OutputTable[[#This Row],[GroupByKey]]),(OutputTable[GroupByKey]=OutputTable[[#This Row],[GroupByKey]])*OutputTable[RecordedValue])),0)</f>
        <v>6.2902040242480748</v>
      </c>
      <c r="M128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128" cm="1">
        <f t="array" ref="O128">MIN(IF((OutputTable[GroupByKey]=OutputTable[[#This Row],[GroupByKey]]),(OutputTable[GroupByKey]=OutputTable[[#This Row],[GroupByKey]])*OutputTable[RecordedValue]))</f>
        <v>8216</v>
      </c>
      <c r="P128" cm="1">
        <f t="array" ref="P128">MAX(IF((OutputTable[GroupByKey]=OutputTable[[#This Row],[GroupByKey]]),(OutputTable[GroupByKey]=OutputTable[[#This Row],[GroupByKey]])*OutputTable[RecordedValue]))</f>
        <v>8237</v>
      </c>
    </row>
    <row r="129" spans="1:16" x14ac:dyDescent="0.25">
      <c r="A129" t="s">
        <v>67</v>
      </c>
      <c r="B129" t="s">
        <v>243</v>
      </c>
      <c r="C129">
        <v>2</v>
      </c>
      <c r="D129" t="s">
        <v>196</v>
      </c>
      <c r="E129" t="s">
        <v>154</v>
      </c>
      <c r="F129" t="s">
        <v>113</v>
      </c>
      <c r="G129">
        <v>0.62767452872687102</v>
      </c>
      <c r="H129">
        <v>0</v>
      </c>
      <c r="I129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129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cm="1">
        <f t="array" ref="K129">IFERROR(AVERAGE(IF((OutputTable[GroupByKey]=OutputTable[[#This Row],[GroupByKey]]),(OutputTable[GroupByKey]=OutputTable[[#This Row],[GroupByKey]])*OutputTable[RecordedValue])),0)</f>
        <v>0.62814585354256225</v>
      </c>
      <c r="L129" cm="1">
        <f t="array" ref="L129">IFERROR(_xlfn.STDEV.S(IF((OutputTable[GroupByKey]=OutputTable[[#This Row],[GroupByKey]]),(OutputTable[GroupByKey]=OutputTable[[#This Row],[GroupByKey]])*OutputTable[RecordedValue])),0)</f>
        <v>7.7648569130547428E-4</v>
      </c>
      <c r="M129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5.5546440166277669E-4</v>
      </c>
      <c r="O129" cm="1">
        <f t="array" ref="O129">MIN(IF((OutputTable[GroupByKey]=OutputTable[[#This Row],[GroupByKey]]),(OutputTable[GroupByKey]=OutputTable[[#This Row],[GroupByKey]])*OutputTable[RecordedValue]))</f>
        <v>0.62668997340539101</v>
      </c>
      <c r="P129" cm="1">
        <f t="array" ref="P129">MAX(IF((OutputTable[GroupByKey]=OutputTable[[#This Row],[GroupByKey]]),(OutputTable[GroupByKey]=OutputTable[[#This Row],[GroupByKey]])*OutputTable[RecordedValue]))</f>
        <v>0.629372102267024</v>
      </c>
    </row>
    <row r="130" spans="1:16" x14ac:dyDescent="0.25">
      <c r="A130" t="s">
        <v>67</v>
      </c>
      <c r="B130" t="s">
        <v>243</v>
      </c>
      <c r="C130">
        <v>2</v>
      </c>
      <c r="D130" t="s">
        <v>197</v>
      </c>
      <c r="E130" t="s">
        <v>152</v>
      </c>
      <c r="F130" t="s">
        <v>113</v>
      </c>
      <c r="G130">
        <v>18391</v>
      </c>
      <c r="H130">
        <v>0</v>
      </c>
      <c r="I130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130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cm="1">
        <f t="array" ref="K130">IFERROR(AVERAGE(IF((OutputTable[GroupByKey]=OutputTable[[#This Row],[GroupByKey]]),(OutputTable[GroupByKey]=OutputTable[[#This Row],[GroupByKey]])*OutputTable[RecordedValue])),0)</f>
        <v>18392</v>
      </c>
      <c r="L130" cm="1">
        <f t="array" ref="L130">IFERROR(_xlfn.STDEV.S(IF((OutputTable[GroupByKey]=OutputTable[[#This Row],[GroupByKey]]),(OutputTable[GroupByKey]=OutputTable[[#This Row],[GroupByKey]])*OutputTable[RecordedValue])),0)</f>
        <v>12.884098726725126</v>
      </c>
      <c r="M130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130" cm="1">
        <f t="array" ref="O130">MIN(IF((OutputTable[GroupByKey]=OutputTable[[#This Row],[GroupByKey]]),(OutputTable[GroupByKey]=OutputTable[[#This Row],[GroupByKey]])*OutputTable[RecordedValue]))</f>
        <v>18376</v>
      </c>
      <c r="P130" cm="1">
        <f t="array" ref="P130">MAX(IF((OutputTable[GroupByKey]=OutputTable[[#This Row],[GroupByKey]]),(OutputTable[GroupByKey]=OutputTable[[#This Row],[GroupByKey]])*OutputTable[RecordedValue]))</f>
        <v>18407</v>
      </c>
    </row>
    <row r="131" spans="1:16" x14ac:dyDescent="0.25">
      <c r="A131" t="s">
        <v>67</v>
      </c>
      <c r="B131" t="s">
        <v>243</v>
      </c>
      <c r="C131">
        <v>2</v>
      </c>
      <c r="D131" t="s">
        <v>198</v>
      </c>
      <c r="E131" t="s">
        <v>154</v>
      </c>
      <c r="F131" t="s">
        <v>113</v>
      </c>
      <c r="G131">
        <v>0.95869742508961697</v>
      </c>
      <c r="H131">
        <v>0</v>
      </c>
      <c r="I131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131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cm="1">
        <f t="array" ref="K131">IFERROR(AVERAGE(IF((OutputTable[GroupByKey]=OutputTable[[#This Row],[GroupByKey]]),(OutputTable[GroupByKey]=OutputTable[[#This Row],[GroupByKey]])*OutputTable[RecordedValue])),0)</f>
        <v>0.9578548406389944</v>
      </c>
      <c r="L131" cm="1">
        <f t="array" ref="L131">IFERROR(_xlfn.STDEV.S(IF((OutputTable[GroupByKey]=OutputTable[[#This Row],[GroupByKey]]),(OutputTable[GroupByKey]=OutputTable[[#This Row],[GroupByKey]])*OutputTable[RecordedValue])),0)</f>
        <v>7.0772834598480485E-4</v>
      </c>
      <c r="M131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5.0627835985142609E-4</v>
      </c>
      <c r="O131" cm="1">
        <f t="array" ref="O131">MIN(IF((OutputTable[GroupByKey]=OutputTable[[#This Row],[GroupByKey]]),(OutputTable[GroupByKey]=OutputTable[[#This Row],[GroupByKey]])*OutputTable[RecordedValue]))</f>
        <v>0.95655010461043799</v>
      </c>
      <c r="P131" cm="1">
        <f t="array" ref="P131">MAX(IF((OutputTable[GroupByKey]=OutputTable[[#This Row],[GroupByKey]]),(OutputTable[GroupByKey]=OutputTable[[#This Row],[GroupByKey]])*OutputTable[RecordedValue]))</f>
        <v>0.95869742508961697</v>
      </c>
    </row>
    <row r="132" spans="1:16" x14ac:dyDescent="0.25">
      <c r="A132" t="s">
        <v>67</v>
      </c>
      <c r="B132" t="s">
        <v>243</v>
      </c>
      <c r="C132">
        <v>2</v>
      </c>
      <c r="D132" t="s">
        <v>199</v>
      </c>
      <c r="E132" t="s">
        <v>152</v>
      </c>
      <c r="F132" t="s">
        <v>113</v>
      </c>
      <c r="G132">
        <v>18387</v>
      </c>
      <c r="H132">
        <v>0</v>
      </c>
      <c r="I132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132" cm="1">
        <f t="array" ref="J132">MAX(IF((ProjectInfoTable[ProjectName]=OutputTable[[#This Row],[ProjectName]]),(ProjectInfoTable[ProjectName]=OutputTable[[#This Row],[ProjectName]])*ProjectInfoTable[NumberOfReplications]))</f>
        <v>10</v>
      </c>
      <c r="K132" cm="1">
        <f t="array" ref="K132">IFERROR(AVERAGE(IF((OutputTable[GroupByKey]=OutputTable[[#This Row],[GroupByKey]]),(OutputTable[GroupByKey]=OutputTable[[#This Row],[GroupByKey]])*OutputTable[RecordedValue])),0)</f>
        <v>18389.400000000001</v>
      </c>
      <c r="L132" cm="1">
        <f t="array" ref="L132">IFERROR(_xlfn.STDEV.S(IF((OutputTable[GroupByKey]=OutputTable[[#This Row],[GroupByKey]]),(OutputTable[GroupByKey]=OutputTable[[#This Row],[GroupByKey]])*OutputTable[RecordedValue])),0)</f>
        <v>12.103259432437566</v>
      </c>
      <c r="M132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132" cm="1">
        <f t="array" ref="O132">MIN(IF((OutputTable[GroupByKey]=OutputTable[[#This Row],[GroupByKey]]),(OutputTable[GroupByKey]=OutputTable[[#This Row],[GroupByKey]])*OutputTable[RecordedValue]))</f>
        <v>18376</v>
      </c>
      <c r="P132" cm="1">
        <f t="array" ref="P132">MAX(IF((OutputTable[GroupByKey]=OutputTable[[#This Row],[GroupByKey]]),(OutputTable[GroupByKey]=OutputTable[[#This Row],[GroupByKey]])*OutputTable[RecordedValue]))</f>
        <v>18404</v>
      </c>
    </row>
    <row r="133" spans="1:16" x14ac:dyDescent="0.25">
      <c r="A133" t="s">
        <v>67</v>
      </c>
      <c r="B133" t="s">
        <v>243</v>
      </c>
      <c r="C133">
        <v>2</v>
      </c>
      <c r="D133" t="s">
        <v>200</v>
      </c>
      <c r="E133" t="s">
        <v>154</v>
      </c>
      <c r="F133" t="s">
        <v>113</v>
      </c>
      <c r="G133">
        <v>1.0003027766980599</v>
      </c>
      <c r="H133">
        <v>0</v>
      </c>
      <c r="I133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133" cm="1">
        <f t="array" ref="J133">MAX(IF((ProjectInfoTable[ProjectName]=OutputTable[[#This Row],[ProjectName]]),(ProjectInfoTable[ProjectName]=OutputTable[[#This Row],[ProjectName]])*ProjectInfoTable[NumberOfReplications]))</f>
        <v>10</v>
      </c>
      <c r="K133" cm="1">
        <f t="array" ref="K133">IFERROR(AVERAGE(IF((OutputTable[GroupByKey]=OutputTable[[#This Row],[GroupByKey]]),(OutputTable[GroupByKey]=OutputTable[[#This Row],[GroupByKey]])*OutputTable[RecordedValue])),0)</f>
        <v>1.0003902798422071</v>
      </c>
      <c r="L133" cm="1">
        <f t="array" ref="L133">IFERROR(_xlfn.STDEV.S(IF((OutputTable[GroupByKey]=OutputTable[[#This Row],[GroupByKey]]),(OutputTable[GroupByKey]=OutputTable[[#This Row],[GroupByKey]])*OutputTable[RecordedValue])),0)</f>
        <v>5.593555412291058E-5</v>
      </c>
      <c r="M133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4.0013884931119971E-5</v>
      </c>
      <c r="O133" cm="1">
        <f t="array" ref="O133">MIN(IF((OutputTable[GroupByKey]=OutputTable[[#This Row],[GroupByKey]]),(OutputTable[GroupByKey]=OutputTable[[#This Row],[GroupByKey]])*OutputTable[RecordedValue]))</f>
        <v>1.0003027766980599</v>
      </c>
      <c r="P133" cm="1">
        <f t="array" ref="P133">MAX(IF((OutputTable[GroupByKey]=OutputTable[[#This Row],[GroupByKey]]),(OutputTable[GroupByKey]=OutputTable[[#This Row],[GroupByKey]])*OutputTable[RecordedValue]))</f>
        <v>1.00046792437877</v>
      </c>
    </row>
    <row r="134" spans="1:16" x14ac:dyDescent="0.25">
      <c r="A134" t="s">
        <v>67</v>
      </c>
      <c r="B134" t="s">
        <v>243</v>
      </c>
      <c r="C134">
        <v>2</v>
      </c>
      <c r="D134" t="s">
        <v>201</v>
      </c>
      <c r="E134" t="s">
        <v>202</v>
      </c>
      <c r="F134" t="s">
        <v>87</v>
      </c>
      <c r="G134">
        <v>157021.92471495501</v>
      </c>
      <c r="H134">
        <v>0</v>
      </c>
      <c r="I134" t="str">
        <f>OutputTable[[#This Row],[ProjectName]]&amp;OutputTable[[#This Row],[Name]]&amp;OutputTable[[#This Row],[Type]]&amp;OutputTable[[#This Row],[Source]]</f>
        <v>Unnamed ProjectProcess 1 Accum VA TimeAccum VA TimeProcess</v>
      </c>
      <c r="J134" cm="1">
        <f t="array" ref="J134">MAX(IF((ProjectInfoTable[ProjectName]=OutputTable[[#This Row],[ProjectName]]),(ProjectInfoTable[ProjectName]=OutputTable[[#This Row],[ProjectName]])*ProjectInfoTable[NumberOfReplications]))</f>
        <v>10</v>
      </c>
      <c r="K134" cm="1">
        <f t="array" ref="K134">IFERROR(AVERAGE(IF((OutputTable[GroupByKey]=OutputTable[[#This Row],[GroupByKey]]),(OutputTable[GroupByKey]=OutputTable[[#This Row],[GroupByKey]])*OutputTable[RecordedValue])),0)</f>
        <v>157133.73428655442</v>
      </c>
      <c r="L134" cm="1">
        <f t="array" ref="L134">IFERROR(_xlfn.STDEV.S(IF((OutputTable[GroupByKey]=OutputTable[[#This Row],[GroupByKey]]),(OutputTable[GroupByKey]=OutputTable[[#This Row],[GroupByKey]])*OutputTable[RecordedValue])),0)</f>
        <v>123.15330812839177</v>
      </c>
      <c r="M134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88.098569462778244</v>
      </c>
      <c r="O134" cm="1">
        <f t="array" ref="O134">MIN(IF((OutputTable[GroupByKey]=OutputTable[[#This Row],[GroupByKey]]),(OutputTable[GroupByKey]=OutputTable[[#This Row],[GroupByKey]])*OutputTable[RecordedValue]))</f>
        <v>156930.294881654</v>
      </c>
      <c r="P134" cm="1">
        <f t="array" ref="P134">MAX(IF((OutputTable[GroupByKey]=OutputTable[[#This Row],[GroupByKey]]),(OutputTable[GroupByKey]=OutputTable[[#This Row],[GroupByKey]])*OutputTable[RecordedValue]))</f>
        <v>157303.990839153</v>
      </c>
    </row>
    <row r="135" spans="1:16" x14ac:dyDescent="0.25">
      <c r="A135" t="s">
        <v>67</v>
      </c>
      <c r="B135" t="s">
        <v>243</v>
      </c>
      <c r="C135">
        <v>2</v>
      </c>
      <c r="D135" t="s">
        <v>203</v>
      </c>
      <c r="E135" t="s">
        <v>156</v>
      </c>
      <c r="F135" t="s">
        <v>87</v>
      </c>
      <c r="G135">
        <v>13120</v>
      </c>
      <c r="H135">
        <v>0</v>
      </c>
      <c r="I135" t="str">
        <f>OutputTable[[#This Row],[ProjectName]]&amp;OutputTable[[#This Row],[Name]]&amp;OutputTable[[#This Row],[Type]]&amp;OutputTable[[#This Row],[Source]]</f>
        <v>Unnamed ProjectProcess 1 Number InNumber InProcess</v>
      </c>
      <c r="J135" cm="1">
        <f t="array" ref="J135">MAX(IF((ProjectInfoTable[ProjectName]=OutputTable[[#This Row],[ProjectName]]),(ProjectInfoTable[ProjectName]=OutputTable[[#This Row],[ProjectName]])*ProjectInfoTable[NumberOfReplications]))</f>
        <v>10</v>
      </c>
      <c r="K135" cm="1">
        <f t="array" ref="K135">IFERROR(AVERAGE(IF((OutputTable[GroupByKey]=OutputTable[[#This Row],[GroupByKey]]),(OutputTable[GroupByKey]=OutputTable[[#This Row],[GroupByKey]])*OutputTable[RecordedValue])),0)</f>
        <v>13103.5</v>
      </c>
      <c r="L135" cm="1">
        <f t="array" ref="L135">IFERROR(_xlfn.STDEV.S(IF((OutputTable[GroupByKey]=OutputTable[[#This Row],[GroupByKey]]),(OutputTable[GroupByKey]=OutputTable[[#This Row],[GroupByKey]])*OutputTable[RecordedValue])),0)</f>
        <v>11.443095929181249</v>
      </c>
      <c r="M13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135" cm="1">
        <f t="array" ref="O135">MIN(IF((OutputTable[GroupByKey]=OutputTable[[#This Row],[GroupByKey]]),(OutputTable[GroupByKey]=OutputTable[[#This Row],[GroupByKey]])*OutputTable[RecordedValue]))</f>
        <v>13087</v>
      </c>
      <c r="P135" cm="1">
        <f t="array" ref="P135">MAX(IF((OutputTable[GroupByKey]=OutputTable[[#This Row],[GroupByKey]]),(OutputTable[GroupByKey]=OutputTable[[#This Row],[GroupByKey]])*OutputTable[RecordedValue]))</f>
        <v>13120</v>
      </c>
    </row>
    <row r="136" spans="1:16" x14ac:dyDescent="0.25">
      <c r="A136" t="s">
        <v>67</v>
      </c>
      <c r="B136" t="s">
        <v>243</v>
      </c>
      <c r="C136">
        <v>2</v>
      </c>
      <c r="D136" t="s">
        <v>204</v>
      </c>
      <c r="E136" t="s">
        <v>158</v>
      </c>
      <c r="F136" t="s">
        <v>87</v>
      </c>
      <c r="G136">
        <v>13120</v>
      </c>
      <c r="H136">
        <v>0</v>
      </c>
      <c r="I136" t="str">
        <f>OutputTable[[#This Row],[ProjectName]]&amp;OutputTable[[#This Row],[Name]]&amp;OutputTable[[#This Row],[Type]]&amp;OutputTable[[#This Row],[Source]]</f>
        <v>Unnamed ProjectProcess 1 Number OutNumber OutProcess</v>
      </c>
      <c r="J136" cm="1">
        <f t="array" ref="J136">MAX(IF((ProjectInfoTable[ProjectName]=OutputTable[[#This Row],[ProjectName]]),(ProjectInfoTable[ProjectName]=OutputTable[[#This Row],[ProjectName]])*ProjectInfoTable[NumberOfReplications]))</f>
        <v>10</v>
      </c>
      <c r="K136" cm="1">
        <f t="array" ref="K136">IFERROR(AVERAGE(IF((OutputTable[GroupByKey]=OutputTable[[#This Row],[GroupByKey]]),(OutputTable[GroupByKey]=OutputTable[[#This Row],[GroupByKey]])*OutputTable[RecordedValue])),0)</f>
        <v>13103.5</v>
      </c>
      <c r="L136" cm="1">
        <f t="array" ref="L136">IFERROR(_xlfn.STDEV.S(IF((OutputTable[GroupByKey]=OutputTable[[#This Row],[GroupByKey]]),(OutputTable[GroupByKey]=OutputTable[[#This Row],[GroupByKey]])*OutputTable[RecordedValue])),0)</f>
        <v>11.443095929181249</v>
      </c>
      <c r="M136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136" cm="1">
        <f t="array" ref="O136">MIN(IF((OutputTable[GroupByKey]=OutputTable[[#This Row],[GroupByKey]]),(OutputTable[GroupByKey]=OutputTable[[#This Row],[GroupByKey]])*OutputTable[RecordedValue]))</f>
        <v>13087</v>
      </c>
      <c r="P136" cm="1">
        <f t="array" ref="P136">MAX(IF((OutputTable[GroupByKey]=OutputTable[[#This Row],[GroupByKey]]),(OutputTable[GroupByKey]=OutputTable[[#This Row],[GroupByKey]])*OutputTable[RecordedValue]))</f>
        <v>13120</v>
      </c>
    </row>
    <row r="137" spans="1:16" x14ac:dyDescent="0.25">
      <c r="A137" t="s">
        <v>67</v>
      </c>
      <c r="B137" t="s">
        <v>243</v>
      </c>
      <c r="C137">
        <v>2</v>
      </c>
      <c r="D137" t="s">
        <v>205</v>
      </c>
      <c r="E137" t="s">
        <v>202</v>
      </c>
      <c r="F137" t="s">
        <v>87</v>
      </c>
      <c r="G137">
        <v>21812.833433690801</v>
      </c>
      <c r="H137">
        <v>0</v>
      </c>
      <c r="I137" t="str">
        <f>OutputTable[[#This Row],[ProjectName]]&amp;OutputTable[[#This Row],[Name]]&amp;OutputTable[[#This Row],[Type]]&amp;OutputTable[[#This Row],[Source]]</f>
        <v>Unnamed ProjectProcess 14 Accum VA TimeAccum VA TimeProcess</v>
      </c>
      <c r="J137" cm="1">
        <f t="array" ref="J137">MAX(IF((ProjectInfoTable[ProjectName]=OutputTable[[#This Row],[ProjectName]]),(ProjectInfoTable[ProjectName]=OutputTable[[#This Row],[ProjectName]])*ProjectInfoTable[NumberOfReplications]))</f>
        <v>10</v>
      </c>
      <c r="K137" cm="1">
        <f t="array" ref="K137">IFERROR(AVERAGE(IF((OutputTable[GroupByKey]=OutputTable[[#This Row],[GroupByKey]]),(OutputTable[GroupByKey]=OutputTable[[#This Row],[GroupByKey]])*OutputTable[RecordedValue])),0)</f>
        <v>21817.897664333104</v>
      </c>
      <c r="L137" cm="1">
        <f t="array" ref="L137">IFERROR(_xlfn.STDEV.S(IF((OutputTable[GroupByKey]=OutputTable[[#This Row],[GroupByKey]]),(OutputTable[GroupByKey]=OutputTable[[#This Row],[GroupByKey]])*OutputTable[RecordedValue])),0)</f>
        <v>40.377465047897729</v>
      </c>
      <c r="M137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28.884298467602775</v>
      </c>
      <c r="O137" cm="1">
        <f t="array" ref="O137">MIN(IF((OutputTable[GroupByKey]=OutputTable[[#This Row],[GroupByKey]]),(OutputTable[GroupByKey]=OutputTable[[#This Row],[GroupByKey]])*OutputTable[RecordedValue]))</f>
        <v>21737.561928445</v>
      </c>
      <c r="P137" cm="1">
        <f t="array" ref="P137">MAX(IF((OutputTable[GroupByKey]=OutputTable[[#This Row],[GroupByKey]]),(OutputTable[GroupByKey]=OutputTable[[#This Row],[GroupByKey]])*OutputTable[RecordedValue]))</f>
        <v>21880.2668082411</v>
      </c>
    </row>
    <row r="138" spans="1:16" x14ac:dyDescent="0.25">
      <c r="A138" t="s">
        <v>67</v>
      </c>
      <c r="B138" t="s">
        <v>243</v>
      </c>
      <c r="C138">
        <v>2</v>
      </c>
      <c r="D138" t="s">
        <v>206</v>
      </c>
      <c r="E138" t="s">
        <v>156</v>
      </c>
      <c r="F138" t="s">
        <v>87</v>
      </c>
      <c r="G138">
        <v>6557</v>
      </c>
      <c r="H138">
        <v>0</v>
      </c>
      <c r="I138" t="str">
        <f>OutputTable[[#This Row],[ProjectName]]&amp;OutputTable[[#This Row],[Name]]&amp;OutputTable[[#This Row],[Type]]&amp;OutputTable[[#This Row],[Source]]</f>
        <v>Unnamed ProjectProcess 14 Number InNumber InProcess</v>
      </c>
      <c r="J138" cm="1">
        <f t="array" ref="J138">MAX(IF((ProjectInfoTable[ProjectName]=OutputTable[[#This Row],[ProjectName]]),(ProjectInfoTable[ProjectName]=OutputTable[[#This Row],[ProjectName]])*ProjectInfoTable[NumberOfReplications]))</f>
        <v>10</v>
      </c>
      <c r="K138" cm="1">
        <f t="array" ref="K138">IFERROR(AVERAGE(IF((OutputTable[GroupByKey]=OutputTable[[#This Row],[GroupByKey]]),(OutputTable[GroupByKey]=OutputTable[[#This Row],[GroupByKey]])*OutputTable[RecordedValue])),0)</f>
        <v>6547.7</v>
      </c>
      <c r="L138" cm="1">
        <f t="array" ref="L138">IFERROR(_xlfn.STDEV.S(IF((OutputTable[GroupByKey]=OutputTable[[#This Row],[GroupByKey]]),(OutputTable[GroupByKey]=OutputTable[[#This Row],[GroupByKey]])*OutputTable[RecordedValue])),0)</f>
        <v>5.735852159879995</v>
      </c>
      <c r="M138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138" cm="1">
        <f t="array" ref="O138">MIN(IF((OutputTable[GroupByKey]=OutputTable[[#This Row],[GroupByKey]]),(OutputTable[GroupByKey]=OutputTable[[#This Row],[GroupByKey]])*OutputTable[RecordedValue]))</f>
        <v>6540</v>
      </c>
      <c r="P138" cm="1">
        <f t="array" ref="P138">MAX(IF((OutputTable[GroupByKey]=OutputTable[[#This Row],[GroupByKey]]),(OutputTable[GroupByKey]=OutputTable[[#This Row],[GroupByKey]])*OutputTable[RecordedValue]))</f>
        <v>6557</v>
      </c>
    </row>
    <row r="139" spans="1:16" x14ac:dyDescent="0.25">
      <c r="A139" t="s">
        <v>67</v>
      </c>
      <c r="B139" t="s">
        <v>243</v>
      </c>
      <c r="C139">
        <v>2</v>
      </c>
      <c r="D139" t="s">
        <v>207</v>
      </c>
      <c r="E139" t="s">
        <v>158</v>
      </c>
      <c r="F139" t="s">
        <v>87</v>
      </c>
      <c r="G139">
        <v>6556</v>
      </c>
      <c r="H139">
        <v>0</v>
      </c>
      <c r="I139" t="str">
        <f>OutputTable[[#This Row],[ProjectName]]&amp;OutputTable[[#This Row],[Name]]&amp;OutputTable[[#This Row],[Type]]&amp;OutputTable[[#This Row],[Source]]</f>
        <v>Unnamed ProjectProcess 14 Number OutNumber OutProcess</v>
      </c>
      <c r="J139" cm="1">
        <f t="array" ref="J139">MAX(IF((ProjectInfoTable[ProjectName]=OutputTable[[#This Row],[ProjectName]]),(ProjectInfoTable[ProjectName]=OutputTable[[#This Row],[ProjectName]])*ProjectInfoTable[NumberOfReplications]))</f>
        <v>10</v>
      </c>
      <c r="K139" cm="1">
        <f t="array" ref="K139">IFERROR(AVERAGE(IF((OutputTable[GroupByKey]=OutputTable[[#This Row],[GroupByKey]]),(OutputTable[GroupByKey]=OutputTable[[#This Row],[GroupByKey]])*OutputTable[RecordedValue])),0)</f>
        <v>6547.3</v>
      </c>
      <c r="L139" cm="1">
        <f t="array" ref="L139">IFERROR(_xlfn.STDEV.S(IF((OutputTable[GroupByKey]=OutputTable[[#This Row],[GroupByKey]]),(OutputTable[GroupByKey]=OutputTable[[#This Row],[GroupByKey]])*OutputTable[RecordedValue])),0)</f>
        <v>5.7164480035925962</v>
      </c>
      <c r="M139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4.0893005569921828</v>
      </c>
      <c r="O139" cm="1">
        <f t="array" ref="O139">MIN(IF((OutputTable[GroupByKey]=OutputTable[[#This Row],[GroupByKey]]),(OutputTable[GroupByKey]=OutputTable[[#This Row],[GroupByKey]])*OutputTable[RecordedValue]))</f>
        <v>6539</v>
      </c>
      <c r="P139" cm="1">
        <f t="array" ref="P139">MAX(IF((OutputTable[GroupByKey]=OutputTable[[#This Row],[GroupByKey]]),(OutputTable[GroupByKey]=OutputTable[[#This Row],[GroupByKey]])*OutputTable[RecordedValue]))</f>
        <v>6556</v>
      </c>
    </row>
    <row r="140" spans="1:16" x14ac:dyDescent="0.25">
      <c r="A140" t="s">
        <v>67</v>
      </c>
      <c r="B140" t="s">
        <v>243</v>
      </c>
      <c r="C140">
        <v>2</v>
      </c>
      <c r="D140" t="s">
        <v>208</v>
      </c>
      <c r="E140" t="s">
        <v>202</v>
      </c>
      <c r="F140" t="s">
        <v>87</v>
      </c>
      <c r="G140">
        <v>78556.614112400304</v>
      </c>
      <c r="H140">
        <v>0</v>
      </c>
      <c r="I140" t="str">
        <f>OutputTable[[#This Row],[ProjectName]]&amp;OutputTable[[#This Row],[Name]]&amp;OutputTable[[#This Row],[Type]]&amp;OutputTable[[#This Row],[Source]]</f>
        <v>Unnamed ProjectProcess 2 Accum VA TimeAccum VA TimeProcess</v>
      </c>
      <c r="J140" cm="1">
        <f t="array" ref="J140">MAX(IF((ProjectInfoTable[ProjectName]=OutputTable[[#This Row],[ProjectName]]),(ProjectInfoTable[ProjectName]=OutputTable[[#This Row],[ProjectName]])*ProjectInfoTable[NumberOfReplications]))</f>
        <v>10</v>
      </c>
      <c r="K140" cm="1">
        <f t="array" ref="K140">IFERROR(AVERAGE(IF((OutputTable[GroupByKey]=OutputTable[[#This Row],[GroupByKey]]),(OutputTable[GroupByKey]=OutputTable[[#This Row],[GroupByKey]])*OutputTable[RecordedValue])),0)</f>
        <v>78656.282482549519</v>
      </c>
      <c r="L140" cm="1">
        <f t="array" ref="L140">IFERROR(_xlfn.STDEV.S(IF((OutputTable[GroupByKey]=OutputTable[[#This Row],[GroupByKey]]),(OutputTable[GroupByKey]=OutputTable[[#This Row],[GroupByKey]])*OutputTable[RecordedValue])),0)</f>
        <v>139.39621135358072</v>
      </c>
      <c r="M140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99.718042457930338</v>
      </c>
      <c r="O140" cm="1">
        <f t="array" ref="O140">MIN(IF((OutputTable[GroupByKey]=OutputTable[[#This Row],[GroupByKey]]),(OutputTable[GroupByKey]=OutputTable[[#This Row],[GroupByKey]])*OutputTable[RecordedValue]))</f>
        <v>78434.750255210005</v>
      </c>
      <c r="P140" cm="1">
        <f t="array" ref="P140">MAX(IF((OutputTable[GroupByKey]=OutputTable[[#This Row],[GroupByKey]]),(OutputTable[GroupByKey]=OutputTable[[#This Row],[GroupByKey]])*OutputTable[RecordedValue]))</f>
        <v>78879.0340749358</v>
      </c>
    </row>
    <row r="141" spans="1:16" x14ac:dyDescent="0.25">
      <c r="A141" t="s">
        <v>67</v>
      </c>
      <c r="B141" t="s">
        <v>243</v>
      </c>
      <c r="C141">
        <v>2</v>
      </c>
      <c r="D141" t="s">
        <v>209</v>
      </c>
      <c r="E141" t="s">
        <v>156</v>
      </c>
      <c r="F141" t="s">
        <v>87</v>
      </c>
      <c r="G141">
        <v>13118</v>
      </c>
      <c r="H141">
        <v>0</v>
      </c>
      <c r="I141" t="str">
        <f>OutputTable[[#This Row],[ProjectName]]&amp;OutputTable[[#This Row],[Name]]&amp;OutputTable[[#This Row],[Type]]&amp;OutputTable[[#This Row],[Source]]</f>
        <v>Unnamed ProjectProcess 2 Number InNumber InProcess</v>
      </c>
      <c r="J141" cm="1">
        <f t="array" ref="J141">MAX(IF((ProjectInfoTable[ProjectName]=OutputTable[[#This Row],[ProjectName]]),(ProjectInfoTable[ProjectName]=OutputTable[[#This Row],[ProjectName]])*ProjectInfoTable[NumberOfReplications]))</f>
        <v>10</v>
      </c>
      <c r="K141" cm="1">
        <f t="array" ref="K141">IFERROR(AVERAGE(IF((OutputTable[GroupByKey]=OutputTable[[#This Row],[GroupByKey]]),(OutputTable[GroupByKey]=OutputTable[[#This Row],[GroupByKey]])*OutputTable[RecordedValue])),0)</f>
        <v>13100.1</v>
      </c>
      <c r="L141" cm="1">
        <f t="array" ref="L141">IFERROR(_xlfn.STDEV.S(IF((OutputTable[GroupByKey]=OutputTable[[#This Row],[GroupByKey]]),(OutputTable[GroupByKey]=OutputTable[[#This Row],[GroupByKey]])*OutputTable[RecordedValue])),0)</f>
        <v>11.46443776786866</v>
      </c>
      <c r="M141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141" cm="1">
        <f t="array" ref="O141">MIN(IF((OutputTable[GroupByKey]=OutputTable[[#This Row],[GroupByKey]]),(OutputTable[GroupByKey]=OutputTable[[#This Row],[GroupByKey]])*OutputTable[RecordedValue]))</f>
        <v>13083</v>
      </c>
      <c r="P141" cm="1">
        <f t="array" ref="P141">MAX(IF((OutputTable[GroupByKey]=OutputTable[[#This Row],[GroupByKey]]),(OutputTable[GroupByKey]=OutputTable[[#This Row],[GroupByKey]])*OutputTable[RecordedValue]))</f>
        <v>13118</v>
      </c>
    </row>
    <row r="142" spans="1:16" x14ac:dyDescent="0.25">
      <c r="A142" t="s">
        <v>67</v>
      </c>
      <c r="B142" t="s">
        <v>243</v>
      </c>
      <c r="C142">
        <v>2</v>
      </c>
      <c r="D142" t="s">
        <v>210</v>
      </c>
      <c r="E142" t="s">
        <v>158</v>
      </c>
      <c r="F142" t="s">
        <v>87</v>
      </c>
      <c r="G142">
        <v>13118</v>
      </c>
      <c r="H142">
        <v>0</v>
      </c>
      <c r="I142" t="str">
        <f>OutputTable[[#This Row],[ProjectName]]&amp;OutputTable[[#This Row],[Name]]&amp;OutputTable[[#This Row],[Type]]&amp;OutputTable[[#This Row],[Source]]</f>
        <v>Unnamed ProjectProcess 2 Number OutNumber OutProcess</v>
      </c>
      <c r="J142" cm="1">
        <f t="array" ref="J142">MAX(IF((ProjectInfoTable[ProjectName]=OutputTable[[#This Row],[ProjectName]]),(ProjectInfoTable[ProjectName]=OutputTable[[#This Row],[ProjectName]])*ProjectInfoTable[NumberOfReplications]))</f>
        <v>10</v>
      </c>
      <c r="K142" cm="1">
        <f t="array" ref="K142">IFERROR(AVERAGE(IF((OutputTable[GroupByKey]=OutputTable[[#This Row],[GroupByKey]]),(OutputTable[GroupByKey]=OutputTable[[#This Row],[GroupByKey]])*OutputTable[RecordedValue])),0)</f>
        <v>13100.1</v>
      </c>
      <c r="L142" cm="1">
        <f t="array" ref="L142">IFERROR(_xlfn.STDEV.S(IF((OutputTable[GroupByKey]=OutputTable[[#This Row],[GroupByKey]]),(OutputTable[GroupByKey]=OutputTable[[#This Row],[GroupByKey]])*OutputTable[RecordedValue])),0)</f>
        <v>11.46443776786866</v>
      </c>
      <c r="M142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142" cm="1">
        <f t="array" ref="O142">MIN(IF((OutputTable[GroupByKey]=OutputTable[[#This Row],[GroupByKey]]),(OutputTable[GroupByKey]=OutputTable[[#This Row],[GroupByKey]])*OutputTable[RecordedValue]))</f>
        <v>13083</v>
      </c>
      <c r="P142" cm="1">
        <f t="array" ref="P142">MAX(IF((OutputTable[GroupByKey]=OutputTable[[#This Row],[GroupByKey]]),(OutputTable[GroupByKey]=OutputTable[[#This Row],[GroupByKey]])*OutputTable[RecordedValue]))</f>
        <v>13118</v>
      </c>
    </row>
    <row r="143" spans="1:16" x14ac:dyDescent="0.25">
      <c r="A143" t="s">
        <v>67</v>
      </c>
      <c r="B143" t="s">
        <v>243</v>
      </c>
      <c r="C143">
        <v>2</v>
      </c>
      <c r="D143" t="s">
        <v>211</v>
      </c>
      <c r="E143" t="s">
        <v>202</v>
      </c>
      <c r="F143" t="s">
        <v>87</v>
      </c>
      <c r="G143">
        <v>144298.22507098701</v>
      </c>
      <c r="H143">
        <v>0</v>
      </c>
      <c r="I143" t="str">
        <f>OutputTable[[#This Row],[ProjectName]]&amp;OutputTable[[#This Row],[Name]]&amp;OutputTable[[#This Row],[Type]]&amp;OutputTable[[#This Row],[Source]]</f>
        <v>Unnamed ProjectProcess 3 Accum VA TimeAccum VA TimeProcess</v>
      </c>
      <c r="J143" cm="1">
        <f t="array" ref="J143">MAX(IF((ProjectInfoTable[ProjectName]=OutputTable[[#This Row],[ProjectName]]),(ProjectInfoTable[ProjectName]=OutputTable[[#This Row],[ProjectName]])*ProjectInfoTable[NumberOfReplications]))</f>
        <v>10</v>
      </c>
      <c r="K143" cm="1">
        <f t="array" ref="K143">IFERROR(AVERAGE(IF((OutputTable[GroupByKey]=OutputTable[[#This Row],[GroupByKey]]),(OutputTable[GroupByKey]=OutputTable[[#This Row],[GroupByKey]])*OutputTable[RecordedValue])),0)</f>
        <v>144088.31566564049</v>
      </c>
      <c r="L143" cm="1">
        <f t="array" ref="L143">IFERROR(_xlfn.STDEV.S(IF((OutputTable[GroupByKey]=OutputTable[[#This Row],[GroupByKey]]),(OutputTable[GroupByKey]=OutputTable[[#This Row],[GroupByKey]])*OutputTable[RecordedValue])),0)</f>
        <v>147.41980686592098</v>
      </c>
      <c r="M143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105.45777691839817</v>
      </c>
      <c r="O143" cm="1">
        <f t="array" ref="O143">MIN(IF((OutputTable[GroupByKey]=OutputTable[[#This Row],[GroupByKey]]),(OutputTable[GroupByKey]=OutputTable[[#This Row],[GroupByKey]])*OutputTable[RecordedValue]))</f>
        <v>143896.696561805</v>
      </c>
      <c r="P143" cm="1">
        <f t="array" ref="P143">MAX(IF((OutputTable[GroupByKey]=OutputTable[[#This Row],[GroupByKey]]),(OutputTable[GroupByKey]=OutputTable[[#This Row],[GroupByKey]])*OutputTable[RecordedValue]))</f>
        <v>144298.22507098701</v>
      </c>
    </row>
    <row r="144" spans="1:16" x14ac:dyDescent="0.25">
      <c r="A144" t="s">
        <v>67</v>
      </c>
      <c r="B144" t="s">
        <v>243</v>
      </c>
      <c r="C144">
        <v>2</v>
      </c>
      <c r="D144" t="s">
        <v>212</v>
      </c>
      <c r="E144" t="s">
        <v>156</v>
      </c>
      <c r="F144" t="s">
        <v>87</v>
      </c>
      <c r="G144">
        <v>13118</v>
      </c>
      <c r="H144">
        <v>0</v>
      </c>
      <c r="I144" t="str">
        <f>OutputTable[[#This Row],[ProjectName]]&amp;OutputTable[[#This Row],[Name]]&amp;OutputTable[[#This Row],[Type]]&amp;OutputTable[[#This Row],[Source]]</f>
        <v>Unnamed ProjectProcess 3 Number InNumber InProcess</v>
      </c>
      <c r="J144" cm="1">
        <f t="array" ref="J144">MAX(IF((ProjectInfoTable[ProjectName]=OutputTable[[#This Row],[ProjectName]]),(ProjectInfoTable[ProjectName]=OutputTable[[#This Row],[ProjectName]])*ProjectInfoTable[NumberOfReplications]))</f>
        <v>10</v>
      </c>
      <c r="K144" cm="1">
        <f t="array" ref="K144">IFERROR(AVERAGE(IF((OutputTable[GroupByKey]=OutputTable[[#This Row],[GroupByKey]]),(OutputTable[GroupByKey]=OutputTable[[#This Row],[GroupByKey]])*OutputTable[RecordedValue])),0)</f>
        <v>13099.9</v>
      </c>
      <c r="L144" cm="1">
        <f t="array" ref="L144">IFERROR(_xlfn.STDEV.S(IF((OutputTable[GroupByKey]=OutputTable[[#This Row],[GroupByKey]]),(OutputTable[GroupByKey]=OutputTable[[#This Row],[GroupByKey]])*OutputTable[RecordedValue])),0)</f>
        <v>11.761046816598522</v>
      </c>
      <c r="M144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144" cm="1">
        <f t="array" ref="O144">MIN(IF((OutputTable[GroupByKey]=OutputTable[[#This Row],[GroupByKey]]),(OutputTable[GroupByKey]=OutputTable[[#This Row],[GroupByKey]])*OutputTable[RecordedValue]))</f>
        <v>13082</v>
      </c>
      <c r="P144" cm="1">
        <f t="array" ref="P144">MAX(IF((OutputTable[GroupByKey]=OutputTable[[#This Row],[GroupByKey]]),(OutputTable[GroupByKey]=OutputTable[[#This Row],[GroupByKey]])*OutputTable[RecordedValue]))</f>
        <v>13118</v>
      </c>
    </row>
    <row r="145" spans="1:16" x14ac:dyDescent="0.25">
      <c r="A145" t="s">
        <v>67</v>
      </c>
      <c r="B145" t="s">
        <v>243</v>
      </c>
      <c r="C145">
        <v>2</v>
      </c>
      <c r="D145" t="s">
        <v>213</v>
      </c>
      <c r="E145" t="s">
        <v>158</v>
      </c>
      <c r="F145" t="s">
        <v>87</v>
      </c>
      <c r="G145">
        <v>13118</v>
      </c>
      <c r="H145">
        <v>0</v>
      </c>
      <c r="I145" t="str">
        <f>OutputTable[[#This Row],[ProjectName]]&amp;OutputTable[[#This Row],[Name]]&amp;OutputTable[[#This Row],[Type]]&amp;OutputTable[[#This Row],[Source]]</f>
        <v>Unnamed ProjectProcess 3 Number OutNumber OutProcess</v>
      </c>
      <c r="J145" cm="1">
        <f t="array" ref="J145">MAX(IF((ProjectInfoTable[ProjectName]=OutputTable[[#This Row],[ProjectName]]),(ProjectInfoTable[ProjectName]=OutputTable[[#This Row],[ProjectName]])*ProjectInfoTable[NumberOfReplications]))</f>
        <v>10</v>
      </c>
      <c r="K145" cm="1">
        <f t="array" ref="K145">IFERROR(AVERAGE(IF((OutputTable[GroupByKey]=OutputTable[[#This Row],[GroupByKey]]),(OutputTable[GroupByKey]=OutputTable[[#This Row],[GroupByKey]])*OutputTable[RecordedValue])),0)</f>
        <v>13099.9</v>
      </c>
      <c r="L145" cm="1">
        <f t="array" ref="L145">IFERROR(_xlfn.STDEV.S(IF((OutputTable[GroupByKey]=OutputTable[[#This Row],[GroupByKey]]),(OutputTable[GroupByKey]=OutputTable[[#This Row],[GroupByKey]])*OutputTable[RecordedValue])),0)</f>
        <v>11.761046816598522</v>
      </c>
      <c r="M14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145" cm="1">
        <f t="array" ref="O145">MIN(IF((OutputTable[GroupByKey]=OutputTable[[#This Row],[GroupByKey]]),(OutputTable[GroupByKey]=OutputTable[[#This Row],[GroupByKey]])*OutputTable[RecordedValue]))</f>
        <v>13082</v>
      </c>
      <c r="P145" cm="1">
        <f t="array" ref="P145">MAX(IF((OutputTable[GroupByKey]=OutputTable[[#This Row],[GroupByKey]]),(OutputTable[GroupByKey]=OutputTable[[#This Row],[GroupByKey]])*OutputTable[RecordedValue]))</f>
        <v>13118</v>
      </c>
    </row>
    <row r="146" spans="1:16" x14ac:dyDescent="0.25">
      <c r="A146" t="s">
        <v>67</v>
      </c>
      <c r="B146" t="s">
        <v>243</v>
      </c>
      <c r="C146">
        <v>2</v>
      </c>
      <c r="D146" t="s">
        <v>214</v>
      </c>
      <c r="E146" t="s">
        <v>202</v>
      </c>
      <c r="F146" t="s">
        <v>87</v>
      </c>
      <c r="G146">
        <v>57633.428505687101</v>
      </c>
      <c r="H146">
        <v>0</v>
      </c>
      <c r="I146" t="str">
        <f>OutputTable[[#This Row],[ProjectName]]&amp;OutputTable[[#This Row],[Name]]&amp;OutputTable[[#This Row],[Type]]&amp;OutputTable[[#This Row],[Source]]</f>
        <v>Unnamed ProjectProcess 4 Accum VA TimeAccum VA TimeProcess</v>
      </c>
      <c r="J146" cm="1">
        <f t="array" ref="J146">MAX(IF((ProjectInfoTable[ProjectName]=OutputTable[[#This Row],[ProjectName]]),(ProjectInfoTable[ProjectName]=OutputTable[[#This Row],[ProjectName]])*ProjectInfoTable[NumberOfReplications]))</f>
        <v>10</v>
      </c>
      <c r="K146" cm="1">
        <f t="array" ref="K146">IFERROR(AVERAGE(IF((OutputTable[GroupByKey]=OutputTable[[#This Row],[GroupByKey]]),(OutputTable[GroupByKey]=OutputTable[[#This Row],[GroupByKey]])*OutputTable[RecordedValue])),0)</f>
        <v>57657.842851106019</v>
      </c>
      <c r="L146" cm="1">
        <f t="array" ref="L146">IFERROR(_xlfn.STDEV.S(IF((OutputTable[GroupByKey]=OutputTable[[#This Row],[GroupByKey]]),(OutputTable[GroupByKey]=OutputTable[[#This Row],[GroupByKey]])*OutputTable[RecordedValue])),0)</f>
        <v>66.206976538127805</v>
      </c>
      <c r="M146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47.361617889987492</v>
      </c>
      <c r="O146" cm="1">
        <f t="array" ref="O146">MIN(IF((OutputTable[GroupByKey]=OutputTable[[#This Row],[GroupByKey]]),(OutputTable[GroupByKey]=OutputTable[[#This Row],[GroupByKey]])*OutputTable[RecordedValue]))</f>
        <v>57569.6670912306</v>
      </c>
      <c r="P146" cm="1">
        <f t="array" ref="P146">MAX(IF((OutputTable[GroupByKey]=OutputTable[[#This Row],[GroupByKey]]),(OutputTable[GroupByKey]=OutputTable[[#This Row],[GroupByKey]])*OutputTable[RecordedValue]))</f>
        <v>57778.887305354197</v>
      </c>
    </row>
    <row r="147" spans="1:16" x14ac:dyDescent="0.25">
      <c r="A147" t="s">
        <v>67</v>
      </c>
      <c r="B147" t="s">
        <v>243</v>
      </c>
      <c r="C147">
        <v>2</v>
      </c>
      <c r="D147" t="s">
        <v>215</v>
      </c>
      <c r="E147" t="s">
        <v>156</v>
      </c>
      <c r="F147" t="s">
        <v>87</v>
      </c>
      <c r="G147">
        <v>8231</v>
      </c>
      <c r="H147">
        <v>0</v>
      </c>
      <c r="I147" t="str">
        <f>OutputTable[[#This Row],[ProjectName]]&amp;OutputTable[[#This Row],[Name]]&amp;OutputTable[[#This Row],[Type]]&amp;OutputTable[[#This Row],[Source]]</f>
        <v>Unnamed ProjectProcess 4 Number InNumber InProcess</v>
      </c>
      <c r="J147" cm="1">
        <f t="array" ref="J147">MAX(IF((ProjectInfoTable[ProjectName]=OutputTable[[#This Row],[ProjectName]]),(ProjectInfoTable[ProjectName]=OutputTable[[#This Row],[ProjectName]])*ProjectInfoTable[NumberOfReplications]))</f>
        <v>10</v>
      </c>
      <c r="K147" cm="1">
        <f t="array" ref="K147">IFERROR(AVERAGE(IF((OutputTable[GroupByKey]=OutputTable[[#This Row],[GroupByKey]]),(OutputTable[GroupByKey]=OutputTable[[#This Row],[GroupByKey]])*OutputTable[RecordedValue])),0)</f>
        <v>8235</v>
      </c>
      <c r="L147" cm="1">
        <f t="array" ref="L147">IFERROR(_xlfn.STDEV.S(IF((OutputTable[GroupByKey]=OutputTable[[#This Row],[GroupByKey]]),(OutputTable[GroupByKey]=OutputTable[[#This Row],[GroupByKey]])*OutputTable[RecordedValue])),0)</f>
        <v>6.5659052011974035</v>
      </c>
      <c r="M147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147" cm="1">
        <f t="array" ref="O147">MIN(IF((OutputTable[GroupByKey]=OutputTable[[#This Row],[GroupByKey]]),(OutputTable[GroupByKey]=OutputTable[[#This Row],[GroupByKey]])*OutputTable[RecordedValue]))</f>
        <v>8223</v>
      </c>
      <c r="P147" cm="1">
        <f t="array" ref="P147">MAX(IF((OutputTable[GroupByKey]=OutputTable[[#This Row],[GroupByKey]]),(OutputTable[GroupByKey]=OutputTable[[#This Row],[GroupByKey]])*OutputTable[RecordedValue]))</f>
        <v>8245</v>
      </c>
    </row>
    <row r="148" spans="1:16" x14ac:dyDescent="0.25">
      <c r="A148" t="s">
        <v>67</v>
      </c>
      <c r="B148" t="s">
        <v>243</v>
      </c>
      <c r="C148">
        <v>2</v>
      </c>
      <c r="D148" t="s">
        <v>216</v>
      </c>
      <c r="E148" t="s">
        <v>158</v>
      </c>
      <c r="F148" t="s">
        <v>87</v>
      </c>
      <c r="G148">
        <v>8231</v>
      </c>
      <c r="H148">
        <v>0</v>
      </c>
      <c r="I148" t="str">
        <f>OutputTable[[#This Row],[ProjectName]]&amp;OutputTable[[#This Row],[Name]]&amp;OutputTable[[#This Row],[Type]]&amp;OutputTable[[#This Row],[Source]]</f>
        <v>Unnamed ProjectProcess 4 Number OutNumber OutProcess</v>
      </c>
      <c r="J148" cm="1">
        <f t="array" ref="J148">MAX(IF((ProjectInfoTable[ProjectName]=OutputTable[[#This Row],[ProjectName]]),(ProjectInfoTable[ProjectName]=OutputTable[[#This Row],[ProjectName]])*ProjectInfoTable[NumberOfReplications]))</f>
        <v>10</v>
      </c>
      <c r="K148" cm="1">
        <f t="array" ref="K148">IFERROR(AVERAGE(IF((OutputTable[GroupByKey]=OutputTable[[#This Row],[GroupByKey]]),(OutputTable[GroupByKey]=OutputTable[[#This Row],[GroupByKey]])*OutputTable[RecordedValue])),0)</f>
        <v>8235</v>
      </c>
      <c r="L148" cm="1">
        <f t="array" ref="L148">IFERROR(_xlfn.STDEV.S(IF((OutputTable[GroupByKey]=OutputTable[[#This Row],[GroupByKey]]),(OutputTable[GroupByKey]=OutputTable[[#This Row],[GroupByKey]])*OutputTable[RecordedValue])),0)</f>
        <v>6.5659052011974035</v>
      </c>
      <c r="M148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148" cm="1">
        <f t="array" ref="O148">MIN(IF((OutputTable[GroupByKey]=OutputTable[[#This Row],[GroupByKey]]),(OutputTable[GroupByKey]=OutputTable[[#This Row],[GroupByKey]])*OutputTable[RecordedValue]))</f>
        <v>8223</v>
      </c>
      <c r="P148" cm="1">
        <f t="array" ref="P148">MAX(IF((OutputTable[GroupByKey]=OutputTable[[#This Row],[GroupByKey]]),(OutputTable[GroupByKey]=OutputTable[[#This Row],[GroupByKey]])*OutputTable[RecordedValue]))</f>
        <v>8245</v>
      </c>
    </row>
    <row r="149" spans="1:16" x14ac:dyDescent="0.25">
      <c r="A149" t="s">
        <v>67</v>
      </c>
      <c r="B149" t="s">
        <v>243</v>
      </c>
      <c r="C149">
        <v>2</v>
      </c>
      <c r="D149" t="s">
        <v>217</v>
      </c>
      <c r="E149" t="s">
        <v>202</v>
      </c>
      <c r="F149" t="s">
        <v>87</v>
      </c>
      <c r="G149">
        <v>82348.573614591995</v>
      </c>
      <c r="H149">
        <v>0</v>
      </c>
      <c r="I149" t="str">
        <f>OutputTable[[#This Row],[ProjectName]]&amp;OutputTable[[#This Row],[Name]]&amp;OutputTable[[#This Row],[Type]]&amp;OutputTable[[#This Row],[Source]]</f>
        <v>Unnamed ProjectProcess 5 Accum VA TimeAccum VA TimeProcess</v>
      </c>
      <c r="J149" cm="1">
        <f t="array" ref="J149">MAX(IF((ProjectInfoTable[ProjectName]=OutputTable[[#This Row],[ProjectName]]),(ProjectInfoTable[ProjectName]=OutputTable[[#This Row],[ProjectName]])*ProjectInfoTable[NumberOfReplications]))</f>
        <v>10</v>
      </c>
      <c r="K149" cm="1">
        <f t="array" ref="K149">IFERROR(AVERAGE(IF((OutputTable[GroupByKey]=OutputTable[[#This Row],[GroupByKey]]),(OutputTable[GroupByKey]=OutputTable[[#This Row],[GroupByKey]])*OutputTable[RecordedValue])),0)</f>
        <v>82354.925585571807</v>
      </c>
      <c r="L149" cm="1">
        <f t="array" ref="L149">IFERROR(_xlfn.STDEV.S(IF((OutputTable[GroupByKey]=OutputTable[[#This Row],[GroupByKey]]),(OutputTable[GroupByKey]=OutputTable[[#This Row],[GroupByKey]])*OutputTable[RecordedValue])),0)</f>
        <v>74.759806822996126</v>
      </c>
      <c r="M149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53.479944099863097</v>
      </c>
      <c r="O149" cm="1">
        <f t="array" ref="O149">MIN(IF((OutputTable[GroupByKey]=OutputTable[[#This Row],[GroupByKey]]),(OutputTable[GroupByKey]=OutputTable[[#This Row],[GroupByKey]])*OutputTable[RecordedValue]))</f>
        <v>82287.012858407106</v>
      </c>
      <c r="P149" cm="1">
        <f t="array" ref="P149">MAX(IF((OutputTable[GroupByKey]=OutputTable[[#This Row],[GroupByKey]]),(OutputTable[GroupByKey]=OutputTable[[#This Row],[GroupByKey]])*OutputTable[RecordedValue]))</f>
        <v>82509.9089339692</v>
      </c>
    </row>
    <row r="150" spans="1:16" x14ac:dyDescent="0.25">
      <c r="A150" t="s">
        <v>67</v>
      </c>
      <c r="B150" t="s">
        <v>243</v>
      </c>
      <c r="C150">
        <v>2</v>
      </c>
      <c r="D150" t="s">
        <v>218</v>
      </c>
      <c r="E150" t="s">
        <v>156</v>
      </c>
      <c r="F150" t="s">
        <v>87</v>
      </c>
      <c r="G150">
        <v>8230</v>
      </c>
      <c r="H150">
        <v>0</v>
      </c>
      <c r="I150" t="str">
        <f>OutputTable[[#This Row],[ProjectName]]&amp;OutputTable[[#This Row],[Name]]&amp;OutputTable[[#This Row],[Type]]&amp;OutputTable[[#This Row],[Source]]</f>
        <v>Unnamed ProjectProcess 5 Number InNumber InProcess</v>
      </c>
      <c r="J150" cm="1">
        <f t="array" ref="J150">MAX(IF((ProjectInfoTable[ProjectName]=OutputTable[[#This Row],[ProjectName]]),(ProjectInfoTable[ProjectName]=OutputTable[[#This Row],[ProjectName]])*ProjectInfoTable[NumberOfReplications]))</f>
        <v>10</v>
      </c>
      <c r="K150" cm="1">
        <f t="array" ref="K150">IFERROR(AVERAGE(IF((OutputTable[GroupByKey]=OutputTable[[#This Row],[GroupByKey]]),(OutputTable[GroupByKey]=OutputTable[[#This Row],[GroupByKey]])*OutputTable[RecordedValue])),0)</f>
        <v>8233.5</v>
      </c>
      <c r="L150" cm="1">
        <f t="array" ref="L150">IFERROR(_xlfn.STDEV.S(IF((OutputTable[GroupByKey]=OutputTable[[#This Row],[GroupByKey]]),(OutputTable[GroupByKey]=OutputTable[[#This Row],[GroupByKey]])*OutputTable[RecordedValue])),0)</f>
        <v>6.5021364010437201</v>
      </c>
      <c r="M150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150" cm="1">
        <f t="array" ref="O150">MIN(IF((OutputTable[GroupByKey]=OutputTable[[#This Row],[GroupByKey]]),(OutputTable[GroupByKey]=OutputTable[[#This Row],[GroupByKey]])*OutputTable[RecordedValue]))</f>
        <v>8221</v>
      </c>
      <c r="P150" cm="1">
        <f t="array" ref="P150">MAX(IF((OutputTable[GroupByKey]=OutputTable[[#This Row],[GroupByKey]]),(OutputTable[GroupByKey]=OutputTable[[#This Row],[GroupByKey]])*OutputTable[RecordedValue]))</f>
        <v>8243</v>
      </c>
    </row>
    <row r="151" spans="1:16" x14ac:dyDescent="0.25">
      <c r="A151" t="s">
        <v>67</v>
      </c>
      <c r="B151" t="s">
        <v>243</v>
      </c>
      <c r="C151">
        <v>2</v>
      </c>
      <c r="D151" t="s">
        <v>219</v>
      </c>
      <c r="E151" t="s">
        <v>158</v>
      </c>
      <c r="F151" t="s">
        <v>87</v>
      </c>
      <c r="G151">
        <v>8230</v>
      </c>
      <c r="H151">
        <v>0</v>
      </c>
      <c r="I151" t="str">
        <f>OutputTable[[#This Row],[ProjectName]]&amp;OutputTable[[#This Row],[Name]]&amp;OutputTable[[#This Row],[Type]]&amp;OutputTable[[#This Row],[Source]]</f>
        <v>Unnamed ProjectProcess 5 Number OutNumber OutProcess</v>
      </c>
      <c r="J151" cm="1">
        <f t="array" ref="J151">MAX(IF((ProjectInfoTable[ProjectName]=OutputTable[[#This Row],[ProjectName]]),(ProjectInfoTable[ProjectName]=OutputTable[[#This Row],[ProjectName]])*ProjectInfoTable[NumberOfReplications]))</f>
        <v>10</v>
      </c>
      <c r="K151" cm="1">
        <f t="array" ref="K151">IFERROR(AVERAGE(IF((OutputTable[GroupByKey]=OutputTable[[#This Row],[GroupByKey]]),(OutputTable[GroupByKey]=OutputTable[[#This Row],[GroupByKey]])*OutputTable[RecordedValue])),0)</f>
        <v>8233.5</v>
      </c>
      <c r="L151" cm="1">
        <f t="array" ref="L151">IFERROR(_xlfn.STDEV.S(IF((OutputTable[GroupByKey]=OutputTable[[#This Row],[GroupByKey]]),(OutputTable[GroupByKey]=OutputTable[[#This Row],[GroupByKey]])*OutputTable[RecordedValue])),0)</f>
        <v>6.5021364010437201</v>
      </c>
      <c r="M151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151" cm="1">
        <f t="array" ref="O151">MIN(IF((OutputTable[GroupByKey]=OutputTable[[#This Row],[GroupByKey]]),(OutputTable[GroupByKey]=OutputTable[[#This Row],[GroupByKey]])*OutputTable[RecordedValue]))</f>
        <v>8221</v>
      </c>
      <c r="P151" cm="1">
        <f t="array" ref="P151">MAX(IF((OutputTable[GroupByKey]=OutputTable[[#This Row],[GroupByKey]]),(OutputTable[GroupByKey]=OutputTable[[#This Row],[GroupByKey]])*OutputTable[RecordedValue]))</f>
        <v>8243</v>
      </c>
    </row>
    <row r="152" spans="1:16" x14ac:dyDescent="0.25">
      <c r="A152" t="s">
        <v>67</v>
      </c>
      <c r="B152" t="s">
        <v>243</v>
      </c>
      <c r="C152">
        <v>2</v>
      </c>
      <c r="D152" t="s">
        <v>220</v>
      </c>
      <c r="E152" t="s">
        <v>202</v>
      </c>
      <c r="F152" t="s">
        <v>87</v>
      </c>
      <c r="G152">
        <v>205770.10434576299</v>
      </c>
      <c r="H152">
        <v>0</v>
      </c>
      <c r="I152" t="str">
        <f>OutputTable[[#This Row],[ProjectName]]&amp;OutputTable[[#This Row],[Name]]&amp;OutputTable[[#This Row],[Type]]&amp;OutputTable[[#This Row],[Source]]</f>
        <v>Unnamed ProjectProcess 6 Accum VA TimeAccum VA TimeProcess</v>
      </c>
      <c r="J152" cm="1">
        <f t="array" ref="J152">MAX(IF((ProjectInfoTable[ProjectName]=OutputTable[[#This Row],[ProjectName]]),(ProjectInfoTable[ProjectName]=OutputTable[[#This Row],[ProjectName]])*ProjectInfoTable[NumberOfReplications]))</f>
        <v>10</v>
      </c>
      <c r="K152" cm="1">
        <f t="array" ref="K152">IFERROR(AVERAGE(IF((OutputTable[GroupByKey]=OutputTable[[#This Row],[GroupByKey]]),(OutputTable[GroupByKey]=OutputTable[[#This Row],[GroupByKey]])*OutputTable[RecordedValue])),0)</f>
        <v>205782.3721339902</v>
      </c>
      <c r="L152" cm="1">
        <f t="array" ref="L152">IFERROR(_xlfn.STDEV.S(IF((OutputTable[GroupByKey]=OutputTable[[#This Row],[GroupByKey]]),(OutputTable[GroupByKey]=OutputTable[[#This Row],[GroupByKey]])*OutputTable[RecordedValue])),0)</f>
        <v>135.17903819323379</v>
      </c>
      <c r="M152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96.701258514002035</v>
      </c>
      <c r="O152" cm="1">
        <f t="array" ref="O152">MIN(IF((OutputTable[GroupByKey]=OutputTable[[#This Row],[GroupByKey]]),(OutputTable[GroupByKey]=OutputTable[[#This Row],[GroupByKey]])*OutputTable[RecordedValue]))</f>
        <v>205554.00796082799</v>
      </c>
      <c r="P152" cm="1">
        <f t="array" ref="P152">MAX(IF((OutputTable[GroupByKey]=OutputTable[[#This Row],[GroupByKey]]),(OutputTable[GroupByKey]=OutputTable[[#This Row],[GroupByKey]])*OutputTable[RecordedValue]))</f>
        <v>205962.665291818</v>
      </c>
    </row>
    <row r="153" spans="1:16" x14ac:dyDescent="0.25">
      <c r="A153" t="s">
        <v>67</v>
      </c>
      <c r="B153" t="s">
        <v>243</v>
      </c>
      <c r="C153">
        <v>2</v>
      </c>
      <c r="D153" t="s">
        <v>221</v>
      </c>
      <c r="E153" t="s">
        <v>156</v>
      </c>
      <c r="F153" t="s">
        <v>87</v>
      </c>
      <c r="G153">
        <v>8228</v>
      </c>
      <c r="H153">
        <v>0</v>
      </c>
      <c r="I153" t="str">
        <f>OutputTable[[#This Row],[ProjectName]]&amp;OutputTable[[#This Row],[Name]]&amp;OutputTable[[#This Row],[Type]]&amp;OutputTable[[#This Row],[Source]]</f>
        <v>Unnamed ProjectProcess 6 Number InNumber InProcess</v>
      </c>
      <c r="J153" cm="1">
        <f t="array" ref="J153">MAX(IF((ProjectInfoTable[ProjectName]=OutputTable[[#This Row],[ProjectName]]),(ProjectInfoTable[ProjectName]=OutputTable[[#This Row],[ProjectName]])*ProjectInfoTable[NumberOfReplications]))</f>
        <v>10</v>
      </c>
      <c r="K153" cm="1">
        <f t="array" ref="K153">IFERROR(AVERAGE(IF((OutputTable[GroupByKey]=OutputTable[[#This Row],[GroupByKey]]),(OutputTable[GroupByKey]=OutputTable[[#This Row],[GroupByKey]])*OutputTable[RecordedValue])),0)</f>
        <v>8231.5</v>
      </c>
      <c r="L153" cm="1">
        <f t="array" ref="L153">IFERROR(_xlfn.STDEV.S(IF((OutputTable[GroupByKey]=OutputTable[[#This Row],[GroupByKey]]),(OutputTable[GroupByKey]=OutputTable[[#This Row],[GroupByKey]])*OutputTable[RecordedValue])),0)</f>
        <v>6.3464775882199236</v>
      </c>
      <c r="M153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153" cm="1">
        <f t="array" ref="O153">MIN(IF((OutputTable[GroupByKey]=OutputTable[[#This Row],[GroupByKey]]),(OutputTable[GroupByKey]=OutputTable[[#This Row],[GroupByKey]])*OutputTable[RecordedValue]))</f>
        <v>8220</v>
      </c>
      <c r="P153" cm="1">
        <f t="array" ref="P153">MAX(IF((OutputTable[GroupByKey]=OutputTable[[#This Row],[GroupByKey]]),(OutputTable[GroupByKey]=OutputTable[[#This Row],[GroupByKey]])*OutputTable[RecordedValue]))</f>
        <v>8241</v>
      </c>
    </row>
    <row r="154" spans="1:16" x14ac:dyDescent="0.25">
      <c r="A154" t="s">
        <v>67</v>
      </c>
      <c r="B154" t="s">
        <v>243</v>
      </c>
      <c r="C154">
        <v>2</v>
      </c>
      <c r="D154" t="s">
        <v>222</v>
      </c>
      <c r="E154" t="s">
        <v>158</v>
      </c>
      <c r="F154" t="s">
        <v>87</v>
      </c>
      <c r="G154">
        <v>8228</v>
      </c>
      <c r="H154">
        <v>0</v>
      </c>
      <c r="I154" t="str">
        <f>OutputTable[[#This Row],[ProjectName]]&amp;OutputTable[[#This Row],[Name]]&amp;OutputTable[[#This Row],[Type]]&amp;OutputTable[[#This Row],[Source]]</f>
        <v>Unnamed ProjectProcess 6 Number OutNumber OutProcess</v>
      </c>
      <c r="J154" cm="1">
        <f t="array" ref="J154">MAX(IF((ProjectInfoTable[ProjectName]=OutputTable[[#This Row],[ProjectName]]),(ProjectInfoTable[ProjectName]=OutputTable[[#This Row],[ProjectName]])*ProjectInfoTable[NumberOfReplications]))</f>
        <v>10</v>
      </c>
      <c r="K154" cm="1">
        <f t="array" ref="K154">IFERROR(AVERAGE(IF((OutputTable[GroupByKey]=OutputTable[[#This Row],[GroupByKey]]),(OutputTable[GroupByKey]=OutputTable[[#This Row],[GroupByKey]])*OutputTable[RecordedValue])),0)</f>
        <v>8231.5</v>
      </c>
      <c r="L154" cm="1">
        <f t="array" ref="L154">IFERROR(_xlfn.STDEV.S(IF((OutputTable[GroupByKey]=OutputTable[[#This Row],[GroupByKey]]),(OutputTable[GroupByKey]=OutputTable[[#This Row],[GroupByKey]])*OutputTable[RecordedValue])),0)</f>
        <v>6.3464775882199236</v>
      </c>
      <c r="M154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154" cm="1">
        <f t="array" ref="O154">MIN(IF((OutputTable[GroupByKey]=OutputTable[[#This Row],[GroupByKey]]),(OutputTable[GroupByKey]=OutputTable[[#This Row],[GroupByKey]])*OutputTable[RecordedValue]))</f>
        <v>8220</v>
      </c>
      <c r="P154" cm="1">
        <f t="array" ref="P154">MAX(IF((OutputTable[GroupByKey]=OutputTable[[#This Row],[GroupByKey]]),(OutputTable[GroupByKey]=OutputTable[[#This Row],[GroupByKey]])*OutputTable[RecordedValue]))</f>
        <v>8241</v>
      </c>
    </row>
    <row r="155" spans="1:16" x14ac:dyDescent="0.25">
      <c r="A155" t="s">
        <v>67</v>
      </c>
      <c r="B155" t="s">
        <v>243</v>
      </c>
      <c r="C155">
        <v>2</v>
      </c>
      <c r="D155" t="s">
        <v>223</v>
      </c>
      <c r="E155" t="s">
        <v>202</v>
      </c>
      <c r="F155" t="s">
        <v>87</v>
      </c>
      <c r="G155">
        <v>98645.095307308598</v>
      </c>
      <c r="H155">
        <v>0</v>
      </c>
      <c r="I155" t="str">
        <f>OutputTable[[#This Row],[ProjectName]]&amp;OutputTable[[#This Row],[Name]]&amp;OutputTable[[#This Row],[Type]]&amp;OutputTable[[#This Row],[Source]]</f>
        <v>Unnamed ProjectProcess 7 Accum VA TimeAccum VA TimeProcess</v>
      </c>
      <c r="J155" cm="1">
        <f t="array" ref="J155">MAX(IF((ProjectInfoTable[ProjectName]=OutputTable[[#This Row],[ProjectName]]),(ProjectInfoTable[ProjectName]=OutputTable[[#This Row],[ProjectName]])*ProjectInfoTable[NumberOfReplications]))</f>
        <v>10</v>
      </c>
      <c r="K155" cm="1">
        <f t="array" ref="K155">IFERROR(AVERAGE(IF((OutputTable[GroupByKey]=OutputTable[[#This Row],[GroupByKey]]),(OutputTable[GroupByKey]=OutputTable[[#This Row],[GroupByKey]])*OutputTable[RecordedValue])),0)</f>
        <v>98625.180720296266</v>
      </c>
      <c r="L155" cm="1">
        <f t="array" ref="L155">IFERROR(_xlfn.STDEV.S(IF((OutputTable[GroupByKey]=OutputTable[[#This Row],[GroupByKey]]),(OutputTable[GroupByKey]=OutputTable[[#This Row],[GroupByKey]])*OutputTable[RecordedValue])),0)</f>
        <v>166.97558012409817</v>
      </c>
      <c r="M15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119.44713437023168</v>
      </c>
      <c r="O155" cm="1">
        <f t="array" ref="O155">MIN(IF((OutputTable[GroupByKey]=OutputTable[[#This Row],[GroupByKey]]),(OutputTable[GroupByKey]=OutputTable[[#This Row],[GroupByKey]])*OutputTable[RecordedValue]))</f>
        <v>98434.330991768598</v>
      </c>
      <c r="P155" cm="1">
        <f t="array" ref="P155">MAX(IF((OutputTable[GroupByKey]=OutputTable[[#This Row],[GroupByKey]]),(OutputTable[GroupByKey]=OutputTable[[#This Row],[GroupByKey]])*OutputTable[RecordedValue]))</f>
        <v>98993.883345143302</v>
      </c>
    </row>
    <row r="156" spans="1:16" x14ac:dyDescent="0.25">
      <c r="A156" t="s">
        <v>67</v>
      </c>
      <c r="B156" t="s">
        <v>243</v>
      </c>
      <c r="C156">
        <v>2</v>
      </c>
      <c r="D156" t="s">
        <v>224</v>
      </c>
      <c r="E156" t="s">
        <v>156</v>
      </c>
      <c r="F156" t="s">
        <v>87</v>
      </c>
      <c r="G156">
        <v>8224</v>
      </c>
      <c r="H156">
        <v>0</v>
      </c>
      <c r="I156" t="str">
        <f>OutputTable[[#This Row],[ProjectName]]&amp;OutputTable[[#This Row],[Name]]&amp;OutputTable[[#This Row],[Type]]&amp;OutputTable[[#This Row],[Source]]</f>
        <v>Unnamed ProjectProcess 7 Number InNumber InProcess</v>
      </c>
      <c r="J156" cm="1">
        <f t="array" ref="J156">MAX(IF((ProjectInfoTable[ProjectName]=OutputTable[[#This Row],[ProjectName]]),(ProjectInfoTable[ProjectName]=OutputTable[[#This Row],[ProjectName]])*ProjectInfoTable[NumberOfReplications]))</f>
        <v>10</v>
      </c>
      <c r="K156" cm="1">
        <f t="array" ref="K156">IFERROR(AVERAGE(IF((OutputTable[GroupByKey]=OutputTable[[#This Row],[GroupByKey]]),(OutputTable[GroupByKey]=OutputTable[[#This Row],[GroupByKey]])*OutputTable[RecordedValue])),0)</f>
        <v>8227.7000000000007</v>
      </c>
      <c r="L156" cm="1">
        <f t="array" ref="L156">IFERROR(_xlfn.STDEV.S(IF((OutputTable[GroupByKey]=OutputTable[[#This Row],[GroupByKey]]),(OutputTable[GroupByKey]=OutputTable[[#This Row],[GroupByKey]])*OutputTable[RecordedValue])),0)</f>
        <v>6.2902040242480748</v>
      </c>
      <c r="M156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156" cm="1">
        <f t="array" ref="O156">MIN(IF((OutputTable[GroupByKey]=OutputTable[[#This Row],[GroupByKey]]),(OutputTable[GroupByKey]=OutputTable[[#This Row],[GroupByKey]])*OutputTable[RecordedValue]))</f>
        <v>8216</v>
      </c>
      <c r="P156" cm="1">
        <f t="array" ref="P156">MAX(IF((OutputTable[GroupByKey]=OutputTable[[#This Row],[GroupByKey]]),(OutputTable[GroupByKey]=OutputTable[[#This Row],[GroupByKey]])*OutputTable[RecordedValue]))</f>
        <v>8237</v>
      </c>
    </row>
    <row r="157" spans="1:16" x14ac:dyDescent="0.25">
      <c r="A157" t="s">
        <v>67</v>
      </c>
      <c r="B157" t="s">
        <v>243</v>
      </c>
      <c r="C157">
        <v>2</v>
      </c>
      <c r="D157" t="s">
        <v>225</v>
      </c>
      <c r="E157" t="s">
        <v>158</v>
      </c>
      <c r="F157" t="s">
        <v>87</v>
      </c>
      <c r="G157">
        <v>8224</v>
      </c>
      <c r="H157">
        <v>0</v>
      </c>
      <c r="I157" t="str">
        <f>OutputTable[[#This Row],[ProjectName]]&amp;OutputTable[[#This Row],[Name]]&amp;OutputTable[[#This Row],[Type]]&amp;OutputTable[[#This Row],[Source]]</f>
        <v>Unnamed ProjectProcess 7 Number OutNumber OutProcess</v>
      </c>
      <c r="J157" cm="1">
        <f t="array" ref="J157">MAX(IF((ProjectInfoTable[ProjectName]=OutputTable[[#This Row],[ProjectName]]),(ProjectInfoTable[ProjectName]=OutputTable[[#This Row],[ProjectName]])*ProjectInfoTable[NumberOfReplications]))</f>
        <v>10</v>
      </c>
      <c r="K157" cm="1">
        <f t="array" ref="K157">IFERROR(AVERAGE(IF((OutputTable[GroupByKey]=OutputTable[[#This Row],[GroupByKey]]),(OutputTable[GroupByKey]=OutputTable[[#This Row],[GroupByKey]])*OutputTable[RecordedValue])),0)</f>
        <v>8227.7000000000007</v>
      </c>
      <c r="L157" cm="1">
        <f t="array" ref="L157">IFERROR(_xlfn.STDEV.S(IF((OutputTable[GroupByKey]=OutputTable[[#This Row],[GroupByKey]]),(OutputTable[GroupByKey]=OutputTable[[#This Row],[GroupByKey]])*OutputTable[RecordedValue])),0)</f>
        <v>6.2902040242480748</v>
      </c>
      <c r="M157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157" cm="1">
        <f t="array" ref="O157">MIN(IF((OutputTable[GroupByKey]=OutputTable[[#This Row],[GroupByKey]]),(OutputTable[GroupByKey]=OutputTable[[#This Row],[GroupByKey]])*OutputTable[RecordedValue]))</f>
        <v>8216</v>
      </c>
      <c r="P157" cm="1">
        <f t="array" ref="P157">MAX(IF((OutputTable[GroupByKey]=OutputTable[[#This Row],[GroupByKey]]),(OutputTable[GroupByKey]=OutputTable[[#This Row],[GroupByKey]])*OutputTable[RecordedValue]))</f>
        <v>8237</v>
      </c>
    </row>
    <row r="158" spans="1:16" x14ac:dyDescent="0.25">
      <c r="A158" t="s">
        <v>67</v>
      </c>
      <c r="B158" t="s">
        <v>243</v>
      </c>
      <c r="C158">
        <v>2</v>
      </c>
      <c r="D158" t="s">
        <v>226</v>
      </c>
      <c r="E158" t="s">
        <v>202</v>
      </c>
      <c r="F158" t="s">
        <v>87</v>
      </c>
      <c r="G158">
        <v>92080.020955572807</v>
      </c>
      <c r="H158">
        <v>0</v>
      </c>
      <c r="I158" t="str">
        <f>OutputTable[[#This Row],[ProjectName]]&amp;OutputTable[[#This Row],[Name]]&amp;OutputTable[[#This Row],[Type]]&amp;OutputTable[[#This Row],[Source]]</f>
        <v>Unnamed ProjectProcess 8 Accum VA TimeAccum VA TimeProcess</v>
      </c>
      <c r="J158" cm="1">
        <f t="array" ref="J158">MAX(IF((ProjectInfoTable[ProjectName]=OutputTable[[#This Row],[ProjectName]]),(ProjectInfoTable[ProjectName]=OutputTable[[#This Row],[ProjectName]])*ProjectInfoTable[NumberOfReplications]))</f>
        <v>10</v>
      </c>
      <c r="K158" cm="1">
        <f t="array" ref="K158">IFERROR(AVERAGE(IF((OutputTable[GroupByKey]=OutputTable[[#This Row],[GroupByKey]]),(OutputTable[GroupByKey]=OutputTable[[#This Row],[GroupByKey]])*OutputTable[RecordedValue])),0)</f>
        <v>91917.034029149756</v>
      </c>
      <c r="L158" cm="1">
        <f t="array" ref="L158">IFERROR(_xlfn.STDEV.S(IF((OutputTable[GroupByKey]=OutputTable[[#This Row],[GroupByKey]]),(OutputTable[GroupByKey]=OutputTable[[#This Row],[GroupByKey]])*OutputTable[RecordedValue])),0)</f>
        <v>167.33037075092571</v>
      </c>
      <c r="M158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119.70093629530641</v>
      </c>
      <c r="O158" cm="1">
        <f t="array" ref="O158">MIN(IF((OutputTable[GroupByKey]=OutputTable[[#This Row],[GroupByKey]]),(OutputTable[GroupByKey]=OutputTable[[#This Row],[GroupByKey]])*OutputTable[RecordedValue]))</f>
        <v>91632.276670136605</v>
      </c>
      <c r="P158" cm="1">
        <f t="array" ref="P158">MAX(IF((OutputTable[GroupByKey]=OutputTable[[#This Row],[GroupByKey]]),(OutputTable[GroupByKey]=OutputTable[[#This Row],[GroupByKey]])*OutputTable[RecordedValue]))</f>
        <v>92162.594279262106</v>
      </c>
    </row>
    <row r="159" spans="1:16" x14ac:dyDescent="0.25">
      <c r="A159" t="s">
        <v>67</v>
      </c>
      <c r="B159" t="s">
        <v>243</v>
      </c>
      <c r="C159">
        <v>2</v>
      </c>
      <c r="D159" t="s">
        <v>227</v>
      </c>
      <c r="E159" t="s">
        <v>156</v>
      </c>
      <c r="F159" t="s">
        <v>87</v>
      </c>
      <c r="G159">
        <v>18391</v>
      </c>
      <c r="H159">
        <v>0</v>
      </c>
      <c r="I159" t="str">
        <f>OutputTable[[#This Row],[ProjectName]]&amp;OutputTable[[#This Row],[Name]]&amp;OutputTable[[#This Row],[Type]]&amp;OutputTable[[#This Row],[Source]]</f>
        <v>Unnamed ProjectProcess 8 Number InNumber InProcess</v>
      </c>
      <c r="J159" cm="1">
        <f t="array" ref="J159">MAX(IF((ProjectInfoTable[ProjectName]=OutputTable[[#This Row],[ProjectName]]),(ProjectInfoTable[ProjectName]=OutputTable[[#This Row],[ProjectName]])*ProjectInfoTable[NumberOfReplications]))</f>
        <v>10</v>
      </c>
      <c r="K159" cm="1">
        <f t="array" ref="K159">IFERROR(AVERAGE(IF((OutputTable[GroupByKey]=OutputTable[[#This Row],[GroupByKey]]),(OutputTable[GroupByKey]=OutputTable[[#This Row],[GroupByKey]])*OutputTable[RecordedValue])),0)</f>
        <v>18392</v>
      </c>
      <c r="L159" cm="1">
        <f t="array" ref="L159">IFERROR(_xlfn.STDEV.S(IF((OutputTable[GroupByKey]=OutputTable[[#This Row],[GroupByKey]]),(OutputTable[GroupByKey]=OutputTable[[#This Row],[GroupByKey]])*OutputTable[RecordedValue])),0)</f>
        <v>12.884098726725126</v>
      </c>
      <c r="M159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159" cm="1">
        <f t="array" ref="O159">MIN(IF((OutputTable[GroupByKey]=OutputTable[[#This Row],[GroupByKey]]),(OutputTable[GroupByKey]=OutputTable[[#This Row],[GroupByKey]])*OutputTable[RecordedValue]))</f>
        <v>18376</v>
      </c>
      <c r="P159" cm="1">
        <f t="array" ref="P159">MAX(IF((OutputTable[GroupByKey]=OutputTable[[#This Row],[GroupByKey]]),(OutputTable[GroupByKey]=OutputTable[[#This Row],[GroupByKey]])*OutputTable[RecordedValue]))</f>
        <v>18407</v>
      </c>
    </row>
    <row r="160" spans="1:16" x14ac:dyDescent="0.25">
      <c r="A160" t="s">
        <v>67</v>
      </c>
      <c r="B160" t="s">
        <v>243</v>
      </c>
      <c r="C160">
        <v>2</v>
      </c>
      <c r="D160" t="s">
        <v>228</v>
      </c>
      <c r="E160" t="s">
        <v>158</v>
      </c>
      <c r="F160" t="s">
        <v>87</v>
      </c>
      <c r="G160">
        <v>18391</v>
      </c>
      <c r="H160">
        <v>0</v>
      </c>
      <c r="I160" t="str">
        <f>OutputTable[[#This Row],[ProjectName]]&amp;OutputTable[[#This Row],[Name]]&amp;OutputTable[[#This Row],[Type]]&amp;OutputTable[[#This Row],[Source]]</f>
        <v>Unnamed ProjectProcess 8 Number OutNumber OutProcess</v>
      </c>
      <c r="J160" cm="1">
        <f t="array" ref="J160">MAX(IF((ProjectInfoTable[ProjectName]=OutputTable[[#This Row],[ProjectName]]),(ProjectInfoTable[ProjectName]=OutputTable[[#This Row],[ProjectName]])*ProjectInfoTable[NumberOfReplications]))</f>
        <v>10</v>
      </c>
      <c r="K160" cm="1">
        <f t="array" ref="K160">IFERROR(AVERAGE(IF((OutputTable[GroupByKey]=OutputTable[[#This Row],[GroupByKey]]),(OutputTable[GroupByKey]=OutputTable[[#This Row],[GroupByKey]])*OutputTable[RecordedValue])),0)</f>
        <v>18392</v>
      </c>
      <c r="L160" cm="1">
        <f t="array" ref="L160">IFERROR(_xlfn.STDEV.S(IF((OutputTable[GroupByKey]=OutputTable[[#This Row],[GroupByKey]]),(OutputTable[GroupByKey]=OutputTable[[#This Row],[GroupByKey]])*OutputTable[RecordedValue])),0)</f>
        <v>12.884098726725126</v>
      </c>
      <c r="M160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160" cm="1">
        <f t="array" ref="O160">MIN(IF((OutputTable[GroupByKey]=OutputTable[[#This Row],[GroupByKey]]),(OutputTable[GroupByKey]=OutputTable[[#This Row],[GroupByKey]])*OutputTable[RecordedValue]))</f>
        <v>18376</v>
      </c>
      <c r="P160" cm="1">
        <f t="array" ref="P160">MAX(IF((OutputTable[GroupByKey]=OutputTable[[#This Row],[GroupByKey]]),(OutputTable[GroupByKey]=OutputTable[[#This Row],[GroupByKey]])*OutputTable[RecordedValue]))</f>
        <v>18407</v>
      </c>
    </row>
    <row r="161" spans="1:16" x14ac:dyDescent="0.25">
      <c r="A161" t="s">
        <v>67</v>
      </c>
      <c r="B161" t="s">
        <v>243</v>
      </c>
      <c r="C161">
        <v>2</v>
      </c>
      <c r="D161" t="s">
        <v>229</v>
      </c>
      <c r="E161" t="s">
        <v>202</v>
      </c>
      <c r="F161" t="s">
        <v>87</v>
      </c>
      <c r="G161">
        <v>104106.157127143</v>
      </c>
      <c r="H161">
        <v>0</v>
      </c>
      <c r="I161" t="str">
        <f>OutputTable[[#This Row],[ProjectName]]&amp;OutputTable[[#This Row],[Name]]&amp;OutputTable[[#This Row],[Type]]&amp;OutputTable[[#This Row],[Source]]</f>
        <v>Unnamed ProjectProcess 9 Accum VA TimeAccum VA TimeProcess</v>
      </c>
      <c r="J161" cm="1">
        <f t="array" ref="J161">MAX(IF((ProjectInfoTable[ProjectName]=OutputTable[[#This Row],[ProjectName]]),(ProjectInfoTable[ProjectName]=OutputTable[[#This Row],[ProjectName]])*ProjectInfoTable[NumberOfReplications]))</f>
        <v>10</v>
      </c>
      <c r="K161" cm="1">
        <f t="array" ref="K161">IFERROR(AVERAGE(IF((OutputTable[GroupByKey]=OutputTable[[#This Row],[GroupByKey]]),(OutputTable[GroupByKey]=OutputTable[[#This Row],[GroupByKey]])*OutputTable[RecordedValue])),0)</f>
        <v>104198.44406523299</v>
      </c>
      <c r="L161" cm="1">
        <f t="array" ref="L161">IFERROR(_xlfn.STDEV.S(IF((OutputTable[GroupByKey]=OutputTable[[#This Row],[GroupByKey]]),(OutputTable[GroupByKey]=OutputTable[[#This Row],[GroupByKey]])*OutputTable[RecordedValue])),0)</f>
        <v>99.045608472383734</v>
      </c>
      <c r="M161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70.852960026786278</v>
      </c>
      <c r="O161" cm="1">
        <f t="array" ref="O161">MIN(IF((OutputTable[GroupByKey]=OutputTable[[#This Row],[GroupByKey]]),(OutputTable[GroupByKey]=OutputTable[[#This Row],[GroupByKey]])*OutputTable[RecordedValue]))</f>
        <v>104039.320720244</v>
      </c>
      <c r="P161" cm="1">
        <f t="array" ref="P161">MAX(IF((OutputTable[GroupByKey]=OutputTable[[#This Row],[GroupByKey]]),(OutputTable[GroupByKey]=OutputTable[[#This Row],[GroupByKey]])*OutputTable[RecordedValue]))</f>
        <v>104335.096217932</v>
      </c>
    </row>
    <row r="162" spans="1:16" x14ac:dyDescent="0.25">
      <c r="A162" t="s">
        <v>67</v>
      </c>
      <c r="B162" t="s">
        <v>243</v>
      </c>
      <c r="C162">
        <v>2</v>
      </c>
      <c r="D162" t="s">
        <v>230</v>
      </c>
      <c r="E162" t="s">
        <v>156</v>
      </c>
      <c r="F162" t="s">
        <v>87</v>
      </c>
      <c r="G162">
        <v>18387</v>
      </c>
      <c r="H162">
        <v>0</v>
      </c>
      <c r="I162" t="str">
        <f>OutputTable[[#This Row],[ProjectName]]&amp;OutputTable[[#This Row],[Name]]&amp;OutputTable[[#This Row],[Type]]&amp;OutputTable[[#This Row],[Source]]</f>
        <v>Unnamed ProjectProcess 9 Number InNumber InProcess</v>
      </c>
      <c r="J162" cm="1">
        <f t="array" ref="J162">MAX(IF((ProjectInfoTable[ProjectName]=OutputTable[[#This Row],[ProjectName]]),(ProjectInfoTable[ProjectName]=OutputTable[[#This Row],[ProjectName]])*ProjectInfoTable[NumberOfReplications]))</f>
        <v>10</v>
      </c>
      <c r="K162" cm="1">
        <f t="array" ref="K162">IFERROR(AVERAGE(IF((OutputTable[GroupByKey]=OutputTable[[#This Row],[GroupByKey]]),(OutputTable[GroupByKey]=OutputTable[[#This Row],[GroupByKey]])*OutputTable[RecordedValue])),0)</f>
        <v>18389.400000000001</v>
      </c>
      <c r="L162" cm="1">
        <f t="array" ref="L162">IFERROR(_xlfn.STDEV.S(IF((OutputTable[GroupByKey]=OutputTable[[#This Row],[GroupByKey]]),(OutputTable[GroupByKey]=OutputTable[[#This Row],[GroupByKey]])*OutputTable[RecordedValue])),0)</f>
        <v>12.103259432437566</v>
      </c>
      <c r="M162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162" cm="1">
        <f t="array" ref="O162">MIN(IF((OutputTable[GroupByKey]=OutputTable[[#This Row],[GroupByKey]]),(OutputTable[GroupByKey]=OutputTable[[#This Row],[GroupByKey]])*OutputTable[RecordedValue]))</f>
        <v>18376</v>
      </c>
      <c r="P162" cm="1">
        <f t="array" ref="P162">MAX(IF((OutputTable[GroupByKey]=OutputTable[[#This Row],[GroupByKey]]),(OutputTable[GroupByKey]=OutputTable[[#This Row],[GroupByKey]])*OutputTable[RecordedValue]))</f>
        <v>18404</v>
      </c>
    </row>
    <row r="163" spans="1:16" x14ac:dyDescent="0.25">
      <c r="A163" t="s">
        <v>67</v>
      </c>
      <c r="B163" t="s">
        <v>243</v>
      </c>
      <c r="C163">
        <v>2</v>
      </c>
      <c r="D163" t="s">
        <v>231</v>
      </c>
      <c r="E163" t="s">
        <v>158</v>
      </c>
      <c r="F163" t="s">
        <v>87</v>
      </c>
      <c r="G163">
        <v>18387</v>
      </c>
      <c r="H163">
        <v>0</v>
      </c>
      <c r="I163" t="str">
        <f>OutputTable[[#This Row],[ProjectName]]&amp;OutputTable[[#This Row],[Name]]&amp;OutputTable[[#This Row],[Type]]&amp;OutputTable[[#This Row],[Source]]</f>
        <v>Unnamed ProjectProcess 9 Number OutNumber OutProcess</v>
      </c>
      <c r="J163" cm="1">
        <f t="array" ref="J163">MAX(IF((ProjectInfoTable[ProjectName]=OutputTable[[#This Row],[ProjectName]]),(ProjectInfoTable[ProjectName]=OutputTable[[#This Row],[ProjectName]])*ProjectInfoTable[NumberOfReplications]))</f>
        <v>10</v>
      </c>
      <c r="K163" cm="1">
        <f t="array" ref="K163">IFERROR(AVERAGE(IF((OutputTable[GroupByKey]=OutputTable[[#This Row],[GroupByKey]]),(OutputTable[GroupByKey]=OutputTable[[#This Row],[GroupByKey]])*OutputTable[RecordedValue])),0)</f>
        <v>18389.400000000001</v>
      </c>
      <c r="L163" cm="1">
        <f t="array" ref="L163">IFERROR(_xlfn.STDEV.S(IF((OutputTable[GroupByKey]=OutputTable[[#This Row],[GroupByKey]]),(OutputTable[GroupByKey]=OutputTable[[#This Row],[GroupByKey]])*OutputTable[RecordedValue])),0)</f>
        <v>12.103259432437566</v>
      </c>
      <c r="M163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163" cm="1">
        <f t="array" ref="O163">MIN(IF((OutputTable[GroupByKey]=OutputTable[[#This Row],[GroupByKey]]),(OutputTable[GroupByKey]=OutputTable[[#This Row],[GroupByKey]])*OutputTable[RecordedValue]))</f>
        <v>18376</v>
      </c>
      <c r="P163" cm="1">
        <f t="array" ref="P163">MAX(IF((OutputTable[GroupByKey]=OutputTable[[#This Row],[GroupByKey]]),(OutputTable[GroupByKey]=OutputTable[[#This Row],[GroupByKey]])*OutputTable[RecordedValue]))</f>
        <v>18404</v>
      </c>
    </row>
    <row r="164" spans="1:16" x14ac:dyDescent="0.25">
      <c r="A164" t="s">
        <v>67</v>
      </c>
      <c r="B164" t="s">
        <v>243</v>
      </c>
      <c r="C164">
        <v>2</v>
      </c>
      <c r="D164" t="s">
        <v>232</v>
      </c>
      <c r="E164" t="s">
        <v>152</v>
      </c>
      <c r="F164" t="s">
        <v>113</v>
      </c>
      <c r="G164">
        <v>0</v>
      </c>
      <c r="H164">
        <v>0</v>
      </c>
      <c r="I164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164" cm="1">
        <f t="array" ref="J164">MAX(IF((ProjectInfoTable[ProjectName]=OutputTable[[#This Row],[ProjectName]]),(ProjectInfoTable[ProjectName]=OutputTable[[#This Row],[ProjectName]])*ProjectInfoTable[NumberOfReplications]))</f>
        <v>10</v>
      </c>
      <c r="K164" cm="1">
        <f t="array" ref="K164">IFERROR(AVERAGE(IF((OutputTable[GroupByKey]=OutputTable[[#This Row],[GroupByKey]]),(OutputTable[GroupByKey]=OutputTable[[#This Row],[GroupByKey]])*OutputTable[RecordedValue])),0)</f>
        <v>0</v>
      </c>
      <c r="L164" cm="1">
        <f t="array" ref="L164">IFERROR(_xlfn.STDEV.S(IF((OutputTable[GroupByKey]=OutputTable[[#This Row],[GroupByKey]]),(OutputTable[GroupByKey]=OutputTable[[#This Row],[GroupByKey]])*OutputTable[RecordedValue])),0)</f>
        <v>0</v>
      </c>
      <c r="M164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" cm="1">
        <f t="array" ref="O164">MIN(IF((OutputTable[GroupByKey]=OutputTable[[#This Row],[GroupByKey]]),(OutputTable[GroupByKey]=OutputTable[[#This Row],[GroupByKey]])*OutputTable[RecordedValue]))</f>
        <v>0</v>
      </c>
      <c r="P164" cm="1">
        <f t="array" ref="P164">MAX(IF((OutputTable[GroupByKey]=OutputTable[[#This Row],[GroupByKey]]),(OutputTable[GroupByKey]=OutputTable[[#This Row],[GroupByKey]])*OutputTable[RecordedValue]))</f>
        <v>0</v>
      </c>
    </row>
    <row r="165" spans="1:16" x14ac:dyDescent="0.25">
      <c r="A165" t="s">
        <v>67</v>
      </c>
      <c r="B165" t="s">
        <v>243</v>
      </c>
      <c r="C165">
        <v>2</v>
      </c>
      <c r="D165" t="s">
        <v>233</v>
      </c>
      <c r="E165" t="s">
        <v>154</v>
      </c>
      <c r="F165" t="s">
        <v>113</v>
      </c>
      <c r="G165">
        <v>0</v>
      </c>
      <c r="H165">
        <v>0</v>
      </c>
      <c r="I165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165" cm="1">
        <f t="array" ref="J165">MAX(IF((ProjectInfoTable[ProjectName]=OutputTable[[#This Row],[ProjectName]]),(ProjectInfoTable[ProjectName]=OutputTable[[#This Row],[ProjectName]])*ProjectInfoTable[NumberOfReplications]))</f>
        <v>10</v>
      </c>
      <c r="K165" cm="1">
        <f t="array" ref="K165">IFERROR(AVERAGE(IF((OutputTable[GroupByKey]=OutputTable[[#This Row],[GroupByKey]]),(OutputTable[GroupByKey]=OutputTable[[#This Row],[GroupByKey]])*OutputTable[RecordedValue])),0)</f>
        <v>0</v>
      </c>
      <c r="L165" cm="1">
        <f t="array" ref="L165">IFERROR(_xlfn.STDEV.S(IF((OutputTable[GroupByKey]=OutputTable[[#This Row],[GroupByKey]]),(OutputTable[GroupByKey]=OutputTable[[#This Row],[GroupByKey]])*OutputTable[RecordedValue])),0)</f>
        <v>0</v>
      </c>
      <c r="M16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" cm="1">
        <f t="array" ref="O165">MIN(IF((OutputTable[GroupByKey]=OutputTable[[#This Row],[GroupByKey]]),(OutputTable[GroupByKey]=OutputTable[[#This Row],[GroupByKey]])*OutputTable[RecordedValue]))</f>
        <v>0</v>
      </c>
      <c r="P165" cm="1">
        <f t="array" ref="P165">MAX(IF((OutputTable[GroupByKey]=OutputTable[[#This Row],[GroupByKey]]),(OutputTable[GroupByKey]=OutputTable[[#This Row],[GroupByKey]])*OutputTable[RecordedValue]))</f>
        <v>0</v>
      </c>
    </row>
    <row r="166" spans="1:16" x14ac:dyDescent="0.25">
      <c r="A166" t="s">
        <v>67</v>
      </c>
      <c r="B166" t="s">
        <v>243</v>
      </c>
      <c r="C166">
        <v>2</v>
      </c>
      <c r="D166" t="s">
        <v>234</v>
      </c>
      <c r="E166" t="s">
        <v>152</v>
      </c>
      <c r="F166" t="s">
        <v>113</v>
      </c>
      <c r="G166">
        <v>95</v>
      </c>
      <c r="H166">
        <v>0</v>
      </c>
      <c r="I166" t="str">
        <f>OutputTable[[#This Row],[ProjectName]]&amp;OutputTable[[#This Row],[Name]]&amp;OutputTable[[#This Row],[Type]]&amp;OutputTable[[#This Row],[Source]]</f>
        <v>Unnamed ProjectSales Rep.NumberSeizedTotal Number SeizedResource</v>
      </c>
      <c r="J166" cm="1">
        <f t="array" ref="J166">MAX(IF((ProjectInfoTable[ProjectName]=OutputTable[[#This Row],[ProjectName]]),(ProjectInfoTable[ProjectName]=OutputTable[[#This Row],[ProjectName]])*ProjectInfoTable[NumberOfReplications]))</f>
        <v>10</v>
      </c>
      <c r="K166" cm="1">
        <f t="array" ref="K166">IFERROR(AVERAGE(IF((OutputTable[GroupByKey]=OutputTable[[#This Row],[GroupByKey]]),(OutputTable[GroupByKey]=OutputTable[[#This Row],[GroupByKey]])*OutputTable[RecordedValue])),0)</f>
        <v>118.7</v>
      </c>
      <c r="L166" cm="1">
        <f t="array" ref="L166">IFERROR(_xlfn.STDEV.S(IF((OutputTable[GroupByKey]=OutputTable[[#This Row],[GroupByKey]]),(OutputTable[GroupByKey]=OutputTable[[#This Row],[GroupByKey]])*OutputTable[RecordedValue])),0)</f>
        <v>12.587913073879887</v>
      </c>
      <c r="M166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166" cm="1">
        <f t="array" ref="O166">MIN(IF((OutputTable[GroupByKey]=OutputTable[[#This Row],[GroupByKey]]),(OutputTable[GroupByKey]=OutputTable[[#This Row],[GroupByKey]])*OutputTable[RecordedValue]))</f>
        <v>95</v>
      </c>
      <c r="P166" cm="1">
        <f t="array" ref="P166">MAX(IF((OutputTable[GroupByKey]=OutputTable[[#This Row],[GroupByKey]]),(OutputTable[GroupByKey]=OutputTable[[#This Row],[GroupByKey]])*OutputTable[RecordedValue]))</f>
        <v>141</v>
      </c>
    </row>
    <row r="167" spans="1:16" x14ac:dyDescent="0.25">
      <c r="A167" t="s">
        <v>67</v>
      </c>
      <c r="B167" t="s">
        <v>243</v>
      </c>
      <c r="C167">
        <v>2</v>
      </c>
      <c r="D167" t="s">
        <v>235</v>
      </c>
      <c r="E167" t="s">
        <v>154</v>
      </c>
      <c r="F167" t="s">
        <v>113</v>
      </c>
      <c r="G167">
        <v>0.26933581669894202</v>
      </c>
      <c r="H167">
        <v>0</v>
      </c>
      <c r="I167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167" cm="1">
        <f t="array" ref="J167">MAX(IF((ProjectInfoTable[ProjectName]=OutputTable[[#This Row],[ProjectName]]),(ProjectInfoTable[ProjectName]=OutputTable[[#This Row],[ProjectName]])*ProjectInfoTable[NumberOfReplications]))</f>
        <v>10</v>
      </c>
      <c r="K167" cm="1">
        <f t="array" ref="K167">IFERROR(AVERAGE(IF((OutputTable[GroupByKey]=OutputTable[[#This Row],[GroupByKey]]),(OutputTable[GroupByKey]=OutputTable[[#This Row],[GroupByKey]])*OutputTable[RecordedValue])),0)</f>
        <v>0.3273551167875815</v>
      </c>
      <c r="L167" cm="1">
        <f t="array" ref="L167">IFERROR(_xlfn.STDEV.S(IF((OutputTable[GroupByKey]=OutputTable[[#This Row],[GroupByKey]]),(OutputTable[GroupByKey]=OutputTable[[#This Row],[GroupByKey]])*OutputTable[RecordedValue])),0)</f>
        <v>3.5172818533154994E-2</v>
      </c>
      <c r="M167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2.5161118640145405E-2</v>
      </c>
      <c r="O167" cm="1">
        <f t="array" ref="O167">MIN(IF((OutputTable[GroupByKey]=OutputTable[[#This Row],[GroupByKey]]),(OutputTable[GroupByKey]=OutputTable[[#This Row],[GroupByKey]])*OutputTable[RecordedValue]))</f>
        <v>0.26933581669894202</v>
      </c>
      <c r="P167" cm="1">
        <f t="array" ref="P167">MAX(IF((OutputTable[GroupByKey]=OutputTable[[#This Row],[GroupByKey]]),(OutputTable[GroupByKey]=OutputTable[[#This Row],[GroupByKey]])*OutputTable[RecordedValue]))</f>
        <v>0.39321867243708603</v>
      </c>
    </row>
    <row r="168" spans="1:16" x14ac:dyDescent="0.25">
      <c r="A168" t="s">
        <v>67</v>
      </c>
      <c r="B168" t="s">
        <v>243</v>
      </c>
      <c r="C168">
        <v>2</v>
      </c>
      <c r="D168" t="s">
        <v>236</v>
      </c>
      <c r="E168" t="s">
        <v>158</v>
      </c>
      <c r="F168" t="s">
        <v>150</v>
      </c>
      <c r="G168">
        <v>2498</v>
      </c>
      <c r="H168">
        <v>0</v>
      </c>
      <c r="I168" t="str">
        <f>OutputTable[[#This Row],[ProjectName]]&amp;OutputTable[[#This Row],[Name]]&amp;OutputTable[[#This Row],[Type]]&amp;OutputTable[[#This Row],[Source]]</f>
        <v>Unnamed ProjectSystem.NumberOutNumber OutSystem</v>
      </c>
      <c r="J168" cm="1">
        <f t="array" ref="J168">MAX(IF((ProjectInfoTable[ProjectName]=OutputTable[[#This Row],[ProjectName]]),(ProjectInfoTable[ProjectName]=OutputTable[[#This Row],[ProjectName]])*ProjectInfoTable[NumberOfReplications]))</f>
        <v>10</v>
      </c>
      <c r="K168" cm="1">
        <f t="array" ref="K168">IFERROR(AVERAGE(IF((OutputTable[GroupByKey]=OutputTable[[#This Row],[GroupByKey]]),(OutputTable[GroupByKey]=OutputTable[[#This Row],[GroupByKey]])*OutputTable[RecordedValue])),0)</f>
        <v>2503.1</v>
      </c>
      <c r="L168" cm="1">
        <f t="array" ref="L168">IFERROR(_xlfn.STDEV.S(IF((OutputTable[GroupByKey]=OutputTable[[#This Row],[GroupByKey]]),(OutputTable[GroupByKey]=OutputTable[[#This Row],[GroupByKey]])*OutputTable[RecordedValue])),0)</f>
        <v>29.72260643573059</v>
      </c>
      <c r="M168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21.262271777248003</v>
      </c>
      <c r="O168" cm="1">
        <f t="array" ref="O168">MIN(IF((OutputTable[GroupByKey]=OutputTable[[#This Row],[GroupByKey]]),(OutputTable[GroupByKey]=OutputTable[[#This Row],[GroupByKey]])*OutputTable[RecordedValue]))</f>
        <v>2457</v>
      </c>
      <c r="P168" cm="1">
        <f t="array" ref="P168">MAX(IF((OutputTable[GroupByKey]=OutputTable[[#This Row],[GroupByKey]]),(OutputTable[GroupByKey]=OutputTable[[#This Row],[GroupByKey]])*OutputTable[RecordedValue]))</f>
        <v>2546</v>
      </c>
    </row>
    <row r="169" spans="1:16" x14ac:dyDescent="0.25">
      <c r="A169" t="s">
        <v>67</v>
      </c>
      <c r="B169" t="s">
        <v>243</v>
      </c>
      <c r="C169">
        <v>2</v>
      </c>
      <c r="D169" t="s">
        <v>237</v>
      </c>
      <c r="E169" t="s">
        <v>156</v>
      </c>
      <c r="F169" t="s">
        <v>76</v>
      </c>
      <c r="G169">
        <v>7845</v>
      </c>
      <c r="H169">
        <v>0</v>
      </c>
      <c r="I169" t="str">
        <f>OutputTable[[#This Row],[ProjectName]]&amp;OutputTable[[#This Row],[Name]]&amp;OutputTable[[#This Row],[Type]]&amp;OutputTable[[#This Row],[Source]]</f>
        <v>Unnamed ProjectWire Harness.NumberInNumber InEntity</v>
      </c>
      <c r="J169" cm="1">
        <f t="array" ref="J169">MAX(IF((ProjectInfoTable[ProjectName]=OutputTable[[#This Row],[ProjectName]]),(ProjectInfoTable[ProjectName]=OutputTable[[#This Row],[ProjectName]])*ProjectInfoTable[NumberOfReplications]))</f>
        <v>10</v>
      </c>
      <c r="K169" cm="1">
        <f t="array" ref="K169">IFERROR(AVERAGE(IF((OutputTable[GroupByKey]=OutputTable[[#This Row],[GroupByKey]]),(OutputTable[GroupByKey]=OutputTable[[#This Row],[GroupByKey]])*OutputTable[RecordedValue])),0)</f>
        <v>7832.8</v>
      </c>
      <c r="L169" cm="1">
        <f t="array" ref="L169">IFERROR(_xlfn.STDEV.S(IF((OutputTable[GroupByKey]=OutputTable[[#This Row],[GroupByKey]]),(OutputTable[GroupByKey]=OutputTable[[#This Row],[GroupByKey]])*OutputTable[RecordedValue])),0)</f>
        <v>7.8287220469811594</v>
      </c>
      <c r="M169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5.6003303812327712</v>
      </c>
      <c r="O169" cm="1">
        <f t="array" ref="O169">MIN(IF((OutputTable[GroupByKey]=OutputTable[[#This Row],[GroupByKey]]),(OutputTable[GroupByKey]=OutputTable[[#This Row],[GroupByKey]])*OutputTable[RecordedValue]))</f>
        <v>7818</v>
      </c>
      <c r="P169" cm="1">
        <f t="array" ref="P169">MAX(IF((OutputTable[GroupByKey]=OutputTable[[#This Row],[GroupByKey]]),(OutputTable[GroupByKey]=OutputTable[[#This Row],[GroupByKey]])*OutputTable[RecordedValue]))</f>
        <v>7845</v>
      </c>
    </row>
    <row r="170" spans="1:16" x14ac:dyDescent="0.25">
      <c r="A170" t="s">
        <v>67</v>
      </c>
      <c r="B170" t="s">
        <v>243</v>
      </c>
      <c r="C170">
        <v>2</v>
      </c>
      <c r="D170" t="s">
        <v>238</v>
      </c>
      <c r="E170" t="s">
        <v>158</v>
      </c>
      <c r="F170" t="s">
        <v>76</v>
      </c>
      <c r="G170">
        <v>7840</v>
      </c>
      <c r="H170">
        <v>0</v>
      </c>
      <c r="I170" t="str">
        <f>OutputTable[[#This Row],[ProjectName]]&amp;OutputTable[[#This Row],[Name]]&amp;OutputTable[[#This Row],[Type]]&amp;OutputTable[[#This Row],[Source]]</f>
        <v>Unnamed ProjectWire Harness.NumberOutNumber OutEntity</v>
      </c>
      <c r="J170" cm="1">
        <f t="array" ref="J170">MAX(IF((ProjectInfoTable[ProjectName]=OutputTable[[#This Row],[ProjectName]]),(ProjectInfoTable[ProjectName]=OutputTable[[#This Row],[ProjectName]])*ProjectInfoTable[NumberOfReplications]))</f>
        <v>10</v>
      </c>
      <c r="K170" cm="1">
        <f t="array" ref="K170">IFERROR(AVERAGE(IF((OutputTable[GroupByKey]=OutputTable[[#This Row],[GroupByKey]]),(OutputTable[GroupByKey]=OutputTable[[#This Row],[GroupByKey]])*OutputTable[RecordedValue])),0)</f>
        <v>7828.3</v>
      </c>
      <c r="L170" cm="1">
        <f t="array" ref="L170">IFERROR(_xlfn.STDEV.S(IF((OutputTable[GroupByKey]=OutputTable[[#This Row],[GroupByKey]]),(OutputTable[GroupByKey]=OutputTable[[#This Row],[GroupByKey]])*OutputTable[RecordedValue])),0)</f>
        <v>7.1032074132433696</v>
      </c>
      <c r="M170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5.0813284776056653</v>
      </c>
      <c r="O170" cm="1">
        <f t="array" ref="O170">MIN(IF((OutputTable[GroupByKey]=OutputTable[[#This Row],[GroupByKey]]),(OutputTable[GroupByKey]=OutputTable[[#This Row],[GroupByKey]])*OutputTable[RecordedValue]))</f>
        <v>7815</v>
      </c>
      <c r="P170" cm="1">
        <f t="array" ref="P170">MAX(IF((OutputTable[GroupByKey]=OutputTable[[#This Row],[GroupByKey]]),(OutputTable[GroupByKey]=OutputTable[[#This Row],[GroupByKey]])*OutputTable[RecordedValue]))</f>
        <v>7840</v>
      </c>
    </row>
    <row r="171" spans="1:16" x14ac:dyDescent="0.25">
      <c r="A171" t="s">
        <v>67</v>
      </c>
      <c r="B171" t="s">
        <v>243</v>
      </c>
      <c r="C171">
        <v>2</v>
      </c>
      <c r="D171" t="s">
        <v>239</v>
      </c>
      <c r="E171" t="s">
        <v>202</v>
      </c>
      <c r="F171" t="s">
        <v>87</v>
      </c>
      <c r="G171">
        <v>43632.402305228599</v>
      </c>
      <c r="H171">
        <v>0</v>
      </c>
      <c r="I171" t="str">
        <f>OutputTable[[#This Row],[ProjectName]]&amp;OutputTable[[#This Row],[Name]]&amp;OutputTable[[#This Row],[Type]]&amp;OutputTable[[#This Row],[Source]]</f>
        <v>Unnamed Projectsales Accum VA TimeAccum VA TimeProcess</v>
      </c>
      <c r="J171" cm="1">
        <f t="array" ref="J171">MAX(IF((ProjectInfoTable[ProjectName]=OutputTable[[#This Row],[ProjectName]]),(ProjectInfoTable[ProjectName]=OutputTable[[#This Row],[ProjectName]])*ProjectInfoTable[NumberOfReplications]))</f>
        <v>10</v>
      </c>
      <c r="K171" cm="1">
        <f t="array" ref="K171">IFERROR(AVERAGE(IF((OutputTable[GroupByKey]=OutputTable[[#This Row],[GroupByKey]]),(OutputTable[GroupByKey]=OutputTable[[#This Row],[GroupByKey]])*OutputTable[RecordedValue])),0)</f>
        <v>53031.528919588192</v>
      </c>
      <c r="L171" cm="1">
        <f t="array" ref="L171">IFERROR(_xlfn.STDEV.S(IF((OutputTable[GroupByKey]=OutputTable[[#This Row],[GroupByKey]]),(OutputTable[GroupByKey]=OutputTable[[#This Row],[GroupByKey]])*OutputTable[RecordedValue])),0)</f>
        <v>5697.9966023710867</v>
      </c>
      <c r="M171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4076.1012197035402</v>
      </c>
      <c r="O171" cm="1">
        <f t="array" ref="O171">MIN(IF((OutputTable[GroupByKey]=OutputTable[[#This Row],[GroupByKey]]),(OutputTable[GroupByKey]=OutputTable[[#This Row],[GroupByKey]])*OutputTable[RecordedValue]))</f>
        <v>43632.402305228599</v>
      </c>
      <c r="P171" cm="1">
        <f t="array" ref="P171">MAX(IF((OutputTable[GroupByKey]=OutputTable[[#This Row],[GroupByKey]]),(OutputTable[GroupByKey]=OutputTable[[#This Row],[GroupByKey]])*OutputTable[RecordedValue]))</f>
        <v>63701.424934807801</v>
      </c>
    </row>
    <row r="172" spans="1:16" x14ac:dyDescent="0.25">
      <c r="A172" t="s">
        <v>67</v>
      </c>
      <c r="B172" t="s">
        <v>243</v>
      </c>
      <c r="C172">
        <v>2</v>
      </c>
      <c r="D172" t="s">
        <v>240</v>
      </c>
      <c r="E172" t="s">
        <v>156</v>
      </c>
      <c r="F172" t="s">
        <v>87</v>
      </c>
      <c r="G172">
        <v>95</v>
      </c>
      <c r="H172">
        <v>0</v>
      </c>
      <c r="I172" t="str">
        <f>OutputTable[[#This Row],[ProjectName]]&amp;OutputTable[[#This Row],[Name]]&amp;OutputTable[[#This Row],[Type]]&amp;OutputTable[[#This Row],[Source]]</f>
        <v>Unnamed Projectsales Number InNumber InProcess</v>
      </c>
      <c r="J172" cm="1">
        <f t="array" ref="J172">MAX(IF((ProjectInfoTable[ProjectName]=OutputTable[[#This Row],[ProjectName]]),(ProjectInfoTable[ProjectName]=OutputTable[[#This Row],[ProjectName]])*ProjectInfoTable[NumberOfReplications]))</f>
        <v>10</v>
      </c>
      <c r="K172" cm="1">
        <f t="array" ref="K172">IFERROR(AVERAGE(IF((OutputTable[GroupByKey]=OutputTable[[#This Row],[GroupByKey]]),(OutputTable[GroupByKey]=OutputTable[[#This Row],[GroupByKey]])*OutputTable[RecordedValue])),0)</f>
        <v>118.7</v>
      </c>
      <c r="L172" cm="1">
        <f t="array" ref="L172">IFERROR(_xlfn.STDEV.S(IF((OutputTable[GroupByKey]=OutputTable[[#This Row],[GroupByKey]]),(OutputTable[GroupByKey]=OutputTable[[#This Row],[GroupByKey]])*OutputTable[RecordedValue])),0)</f>
        <v>12.587913073879887</v>
      </c>
      <c r="M172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172" cm="1">
        <f t="array" ref="O172">MIN(IF((OutputTable[GroupByKey]=OutputTable[[#This Row],[GroupByKey]]),(OutputTable[GroupByKey]=OutputTable[[#This Row],[GroupByKey]])*OutputTable[RecordedValue]))</f>
        <v>95</v>
      </c>
      <c r="P172" cm="1">
        <f t="array" ref="P172">MAX(IF((OutputTable[GroupByKey]=OutputTable[[#This Row],[GroupByKey]]),(OutputTable[GroupByKey]=OutputTable[[#This Row],[GroupByKey]])*OutputTable[RecordedValue]))</f>
        <v>141</v>
      </c>
    </row>
    <row r="173" spans="1:16" x14ac:dyDescent="0.25">
      <c r="A173" t="s">
        <v>67</v>
      </c>
      <c r="B173" t="s">
        <v>243</v>
      </c>
      <c r="C173">
        <v>2</v>
      </c>
      <c r="D173" t="s">
        <v>241</v>
      </c>
      <c r="E173" t="s">
        <v>158</v>
      </c>
      <c r="F173" t="s">
        <v>87</v>
      </c>
      <c r="G173">
        <v>95</v>
      </c>
      <c r="H173">
        <v>0</v>
      </c>
      <c r="I173" t="str">
        <f>OutputTable[[#This Row],[ProjectName]]&amp;OutputTable[[#This Row],[Name]]&amp;OutputTable[[#This Row],[Type]]&amp;OutputTable[[#This Row],[Source]]</f>
        <v>Unnamed Projectsales Number OutNumber OutProcess</v>
      </c>
      <c r="J173" cm="1">
        <f t="array" ref="J173">MAX(IF((ProjectInfoTable[ProjectName]=OutputTable[[#This Row],[ProjectName]]),(ProjectInfoTable[ProjectName]=OutputTable[[#This Row],[ProjectName]])*ProjectInfoTable[NumberOfReplications]))</f>
        <v>10</v>
      </c>
      <c r="K173" cm="1">
        <f t="array" ref="K173">IFERROR(AVERAGE(IF((OutputTable[GroupByKey]=OutputTable[[#This Row],[GroupByKey]]),(OutputTable[GroupByKey]=OutputTable[[#This Row],[GroupByKey]])*OutputTable[RecordedValue])),0)</f>
        <v>118.7</v>
      </c>
      <c r="L173" cm="1">
        <f t="array" ref="L173">IFERROR(_xlfn.STDEV.S(IF((OutputTable[GroupByKey]=OutputTable[[#This Row],[GroupByKey]]),(OutputTable[GroupByKey]=OutputTable[[#This Row],[GroupByKey]])*OutputTable[RecordedValue])),0)</f>
        <v>12.587913073879887</v>
      </c>
      <c r="M173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173" cm="1">
        <f t="array" ref="O173">MIN(IF((OutputTable[GroupByKey]=OutputTable[[#This Row],[GroupByKey]]),(OutputTable[GroupByKey]=OutputTable[[#This Row],[GroupByKey]])*OutputTable[RecordedValue]))</f>
        <v>95</v>
      </c>
      <c r="P173" cm="1">
        <f t="array" ref="P173">MAX(IF((OutputTable[GroupByKey]=OutputTable[[#This Row],[GroupByKey]]),(OutputTable[GroupByKey]=OutputTable[[#This Row],[GroupByKey]])*OutputTable[RecordedValue]))</f>
        <v>141</v>
      </c>
    </row>
    <row r="174" spans="1:16" x14ac:dyDescent="0.25">
      <c r="A174" t="s">
        <v>67</v>
      </c>
      <c r="B174" t="s">
        <v>243</v>
      </c>
      <c r="C174">
        <v>3</v>
      </c>
      <c r="D174" t="s">
        <v>151</v>
      </c>
      <c r="E174" t="s">
        <v>152</v>
      </c>
      <c r="F174" t="s">
        <v>113</v>
      </c>
      <c r="G174">
        <v>6546</v>
      </c>
      <c r="H174">
        <v>0</v>
      </c>
      <c r="I174" t="str">
        <f>OutputTable[[#This Row],[ProjectName]]&amp;OutputTable[[#This Row],[Name]]&amp;OutputTable[[#This Row],[Type]]&amp;OutputTable[[#This Row],[Source]]</f>
        <v>Unnamed ProjectAssembler.NumberSeizedTotal Number SeizedResource</v>
      </c>
      <c r="J174" cm="1">
        <f t="array" ref="J174">MAX(IF((ProjectInfoTable[ProjectName]=OutputTable[[#This Row],[ProjectName]]),(ProjectInfoTable[ProjectName]=OutputTable[[#This Row],[ProjectName]])*ProjectInfoTable[NumberOfReplications]))</f>
        <v>10</v>
      </c>
      <c r="K174" cm="1">
        <f t="array" ref="K174">IFERROR(AVERAGE(IF((OutputTable[GroupByKey]=OutputTable[[#This Row],[GroupByKey]]),(OutputTable[GroupByKey]=OutputTable[[#This Row],[GroupByKey]])*OutputTable[RecordedValue])),0)</f>
        <v>6547.7</v>
      </c>
      <c r="L174" cm="1">
        <f t="array" ref="L174">IFERROR(_xlfn.STDEV.S(IF((OutputTable[GroupByKey]=OutputTable[[#This Row],[GroupByKey]]),(OutputTable[GroupByKey]=OutputTable[[#This Row],[GroupByKey]])*OutputTable[RecordedValue])),0)</f>
        <v>5.735852159879995</v>
      </c>
      <c r="M174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174" cm="1">
        <f t="array" ref="O174">MIN(IF((OutputTable[GroupByKey]=OutputTable[[#This Row],[GroupByKey]]),(OutputTable[GroupByKey]=OutputTable[[#This Row],[GroupByKey]])*OutputTable[RecordedValue]))</f>
        <v>6540</v>
      </c>
      <c r="P174" cm="1">
        <f t="array" ref="P174">MAX(IF((OutputTable[GroupByKey]=OutputTable[[#This Row],[GroupByKey]]),(OutputTable[GroupByKey]=OutputTable[[#This Row],[GroupByKey]])*OutputTable[RecordedValue]))</f>
        <v>6557</v>
      </c>
    </row>
    <row r="175" spans="1:16" x14ac:dyDescent="0.25">
      <c r="A175" t="s">
        <v>67</v>
      </c>
      <c r="B175" t="s">
        <v>243</v>
      </c>
      <c r="C175">
        <v>3</v>
      </c>
      <c r="D175" t="s">
        <v>153</v>
      </c>
      <c r="E175" t="s">
        <v>154</v>
      </c>
      <c r="F175" t="s">
        <v>113</v>
      </c>
      <c r="G175">
        <v>7.5733107598318403E-2</v>
      </c>
      <c r="H175">
        <v>0</v>
      </c>
      <c r="I17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175" cm="1">
        <f t="array" ref="J175">MAX(IF((ProjectInfoTable[ProjectName]=OutputTable[[#This Row],[ProjectName]]),(ProjectInfoTable[ProjectName]=OutputTable[[#This Row],[ProjectName]])*ProjectInfoTable[NumberOfReplications]))</f>
        <v>10</v>
      </c>
      <c r="K175" cm="1">
        <f t="array" ref="K175">IFERROR(AVERAGE(IF((OutputTable[GroupByKey]=OutputTable[[#This Row],[GroupByKey]]),(OutputTable[GroupByKey]=OutputTable[[#This Row],[GroupByKey]])*OutputTable[RecordedValue])),0)</f>
        <v>7.575658911226775E-2</v>
      </c>
      <c r="L175" cm="1">
        <f t="array" ref="L175">IFERROR(_xlfn.STDEV.S(IF((OutputTable[GroupByKey]=OutputTable[[#This Row],[GroupByKey]]),(OutputTable[GroupByKey]=OutputTable[[#This Row],[GroupByKey]])*OutputTable[RecordedValue])),0)</f>
        <v>1.4019953141627205E-4</v>
      </c>
      <c r="M17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1.0029270301248135E-4</v>
      </c>
      <c r="O175" cm="1">
        <f t="array" ref="O175">MIN(IF((OutputTable[GroupByKey]=OutputTable[[#This Row],[GroupByKey]]),(OutputTable[GroupByKey]=OutputTable[[#This Row],[GroupByKey]])*OutputTable[RecordedValue]))</f>
        <v>7.5477645584878503E-2</v>
      </c>
      <c r="P175" cm="1">
        <f t="array" ref="P175">MAX(IF((OutputTable[GroupByKey]=OutputTable[[#This Row],[GroupByKey]]),(OutputTable[GroupByKey]=OutputTable[[#This Row],[GroupByKey]])*OutputTable[RecordedValue]))</f>
        <v>7.5973148639726207E-2</v>
      </c>
    </row>
    <row r="176" spans="1:16" x14ac:dyDescent="0.25">
      <c r="A176" t="s">
        <v>67</v>
      </c>
      <c r="B176" t="s">
        <v>243</v>
      </c>
      <c r="C176">
        <v>3</v>
      </c>
      <c r="D176" t="s">
        <v>155</v>
      </c>
      <c r="E176" t="s">
        <v>156</v>
      </c>
      <c r="F176" t="s">
        <v>76</v>
      </c>
      <c r="G176">
        <v>1087</v>
      </c>
      <c r="H176">
        <v>0</v>
      </c>
      <c r="I176" t="str">
        <f>OutputTable[[#This Row],[ProjectName]]&amp;OutputTable[[#This Row],[Name]]&amp;OutputTable[[#This Row],[Type]]&amp;OutputTable[[#This Row],[Source]]</f>
        <v>Unnamed ProjectCustomer.NumberInNumber InEntity</v>
      </c>
      <c r="J176" cm="1">
        <f t="array" ref="J176">MAX(IF((ProjectInfoTable[ProjectName]=OutputTable[[#This Row],[ProjectName]]),(ProjectInfoTable[ProjectName]=OutputTable[[#This Row],[ProjectName]])*ProjectInfoTable[NumberOfReplications]))</f>
        <v>10</v>
      </c>
      <c r="K176" cm="1">
        <f t="array" ref="K176">IFERROR(AVERAGE(IF((OutputTable[GroupByKey]=OutputTable[[#This Row],[GroupByKey]]),(OutputTable[GroupByKey]=OutputTable[[#This Row],[GroupByKey]])*OutputTable[RecordedValue])),0)</f>
        <v>1090.3</v>
      </c>
      <c r="L176" cm="1">
        <f t="array" ref="L176">IFERROR(_xlfn.STDEV.S(IF((OutputTable[GroupByKey]=OutputTable[[#This Row],[GroupByKey]]),(OutputTable[GroupByKey]=OutputTable[[#This Row],[GroupByKey]])*OutputTable[RecordedValue])),0)</f>
        <v>32.666836734251177</v>
      </c>
      <c r="M176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176" cm="1">
        <f t="array" ref="O176">MIN(IF((OutputTable[GroupByKey]=OutputTable[[#This Row],[GroupByKey]]),(OutputTable[GroupByKey]=OutputTable[[#This Row],[GroupByKey]])*OutputTable[RecordedValue]))</f>
        <v>1042</v>
      </c>
      <c r="P176" cm="1">
        <f t="array" ref="P176">MAX(IF((OutputTable[GroupByKey]=OutputTable[[#This Row],[GroupByKey]]),(OutputTable[GroupByKey]=OutputTable[[#This Row],[GroupByKey]])*OutputTable[RecordedValue]))</f>
        <v>1141</v>
      </c>
    </row>
    <row r="177" spans="1:16" x14ac:dyDescent="0.25">
      <c r="A177" t="s">
        <v>67</v>
      </c>
      <c r="B177" t="s">
        <v>243</v>
      </c>
      <c r="C177">
        <v>3</v>
      </c>
      <c r="D177" t="s">
        <v>157</v>
      </c>
      <c r="E177" t="s">
        <v>158</v>
      </c>
      <c r="F177" t="s">
        <v>76</v>
      </c>
      <c r="G177">
        <v>1087</v>
      </c>
      <c r="H177">
        <v>0</v>
      </c>
      <c r="I177" t="str">
        <f>OutputTable[[#This Row],[ProjectName]]&amp;OutputTable[[#This Row],[Name]]&amp;OutputTable[[#This Row],[Type]]&amp;OutputTable[[#This Row],[Source]]</f>
        <v>Unnamed ProjectCustomer.NumberOutNumber OutEntity</v>
      </c>
      <c r="J177" cm="1">
        <f t="array" ref="J177">MAX(IF((ProjectInfoTable[ProjectName]=OutputTable[[#This Row],[ProjectName]]),(ProjectInfoTable[ProjectName]=OutputTable[[#This Row],[ProjectName]])*ProjectInfoTable[NumberOfReplications]))</f>
        <v>10</v>
      </c>
      <c r="K177" cm="1">
        <f t="array" ref="K177">IFERROR(AVERAGE(IF((OutputTable[GroupByKey]=OutputTable[[#This Row],[GroupByKey]]),(OutputTable[GroupByKey]=OutputTable[[#This Row],[GroupByKey]])*OutputTable[RecordedValue])),0)</f>
        <v>1090.3</v>
      </c>
      <c r="L177" cm="1">
        <f t="array" ref="L177">IFERROR(_xlfn.STDEV.S(IF((OutputTable[GroupByKey]=OutputTable[[#This Row],[GroupByKey]]),(OutputTable[GroupByKey]=OutputTable[[#This Row],[GroupByKey]])*OutputTable[RecordedValue])),0)</f>
        <v>32.666836734251177</v>
      </c>
      <c r="M177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177" cm="1">
        <f t="array" ref="O177">MIN(IF((OutputTable[GroupByKey]=OutputTable[[#This Row],[GroupByKey]]),(OutputTable[GroupByKey]=OutputTable[[#This Row],[GroupByKey]])*OutputTable[RecordedValue]))</f>
        <v>1042</v>
      </c>
      <c r="P177" cm="1">
        <f t="array" ref="P177">MAX(IF((OutputTable[GroupByKey]=OutputTable[[#This Row],[GroupByKey]]),(OutputTable[GroupByKey]=OutputTable[[#This Row],[GroupByKey]])*OutputTable[RecordedValue]))</f>
        <v>1141</v>
      </c>
    </row>
    <row r="178" spans="1:16" x14ac:dyDescent="0.25">
      <c r="A178" t="s">
        <v>67</v>
      </c>
      <c r="B178" t="s">
        <v>243</v>
      </c>
      <c r="C178">
        <v>3</v>
      </c>
      <c r="D178" t="s">
        <v>159</v>
      </c>
      <c r="E178" t="s">
        <v>156</v>
      </c>
      <c r="F178" t="s">
        <v>76</v>
      </c>
      <c r="G178">
        <v>19808</v>
      </c>
      <c r="H178">
        <v>0</v>
      </c>
      <c r="I178" t="str">
        <f>OutputTable[[#This Row],[ProjectName]]&amp;OutputTable[[#This Row],[Name]]&amp;OutputTable[[#This Row],[Type]]&amp;OutputTable[[#This Row],[Source]]</f>
        <v>Unnamed ProjectEntity 1.NumberInNumber InEntity</v>
      </c>
      <c r="J178" cm="1">
        <f t="array" ref="J178">MAX(IF((ProjectInfoTable[ProjectName]=OutputTable[[#This Row],[ProjectName]]),(ProjectInfoTable[ProjectName]=OutputTable[[#This Row],[ProjectName]])*ProjectInfoTable[NumberOfReplications]))</f>
        <v>10</v>
      </c>
      <c r="K178" cm="1">
        <f t="array" ref="K178">IFERROR(AVERAGE(IF((OutputTable[GroupByKey]=OutputTable[[#This Row],[GroupByKey]]),(OutputTable[GroupByKey]=OutputTable[[#This Row],[GroupByKey]])*OutputTable[RecordedValue])),0)</f>
        <v>19822.900000000001</v>
      </c>
      <c r="L178" cm="1">
        <f t="array" ref="L178">IFERROR(_xlfn.STDEV.S(IF((OutputTable[GroupByKey]=OutputTable[[#This Row],[GroupByKey]]),(OutputTable[GroupByKey]=OutputTable[[#This Row],[GroupByKey]])*OutputTable[RecordedValue])),0)</f>
        <v>20.151922985164472</v>
      </c>
      <c r="M178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14.415817276026377</v>
      </c>
      <c r="O178" cm="1">
        <f t="array" ref="O178">MIN(IF((OutputTable[GroupByKey]=OutputTable[[#This Row],[GroupByKey]]),(OutputTable[GroupByKey]=OutputTable[[#This Row],[GroupByKey]])*OutputTable[RecordedValue]))</f>
        <v>19788</v>
      </c>
      <c r="P178" cm="1">
        <f t="array" ref="P178">MAX(IF((OutputTable[GroupByKey]=OutputTable[[#This Row],[GroupByKey]]),(OutputTable[GroupByKey]=OutputTable[[#This Row],[GroupByKey]])*OutputTable[RecordedValue]))</f>
        <v>19852</v>
      </c>
    </row>
    <row r="179" spans="1:16" x14ac:dyDescent="0.25">
      <c r="A179" t="s">
        <v>67</v>
      </c>
      <c r="B179" t="s">
        <v>243</v>
      </c>
      <c r="C179">
        <v>3</v>
      </c>
      <c r="D179" t="s">
        <v>160</v>
      </c>
      <c r="E179" t="s">
        <v>158</v>
      </c>
      <c r="F179" t="s">
        <v>76</v>
      </c>
      <c r="G179">
        <v>19635</v>
      </c>
      <c r="H179">
        <v>0</v>
      </c>
      <c r="I179" t="str">
        <f>OutputTable[[#This Row],[ProjectName]]&amp;OutputTable[[#This Row],[Name]]&amp;OutputTable[[#This Row],[Type]]&amp;OutputTable[[#This Row],[Source]]</f>
        <v>Unnamed ProjectEntity 1.NumberOutNumber OutEntity</v>
      </c>
      <c r="J179" cm="1">
        <f t="array" ref="J179">MAX(IF((ProjectInfoTable[ProjectName]=OutputTable[[#This Row],[ProjectName]]),(ProjectInfoTable[ProjectName]=OutputTable[[#This Row],[ProjectName]])*ProjectInfoTable[NumberOfReplications]))</f>
        <v>10</v>
      </c>
      <c r="K179" cm="1">
        <f t="array" ref="K179">IFERROR(AVERAGE(IF((OutputTable[GroupByKey]=OutputTable[[#This Row],[GroupByKey]]),(OutputTable[GroupByKey]=OutputTable[[#This Row],[GroupByKey]])*OutputTable[RecordedValue])),0)</f>
        <v>19635.599999999999</v>
      </c>
      <c r="L179" cm="1">
        <f t="array" ref="L179">IFERROR(_xlfn.STDEV.S(IF((OutputTable[GroupByKey]=OutputTable[[#This Row],[GroupByKey]]),(OutputTable[GroupByKey]=OutputTable[[#This Row],[GroupByKey]])*OutputTable[RecordedValue])),0)</f>
        <v>15.086417732516889</v>
      </c>
      <c r="M179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179" cm="1">
        <f t="array" ref="O179">MIN(IF((OutputTable[GroupByKey]=OutputTable[[#This Row],[GroupByKey]]),(OutputTable[GroupByKey]=OutputTable[[#This Row],[GroupByKey]])*OutputTable[RecordedValue]))</f>
        <v>19614</v>
      </c>
      <c r="P179" cm="1">
        <f t="array" ref="P179">MAX(IF((OutputTable[GroupByKey]=OutputTable[[#This Row],[GroupByKey]]),(OutputTable[GroupByKey]=OutputTable[[#This Row],[GroupByKey]])*OutputTable[RecordedValue]))</f>
        <v>19662</v>
      </c>
    </row>
    <row r="180" spans="1:16" x14ac:dyDescent="0.25">
      <c r="A180" t="s">
        <v>67</v>
      </c>
      <c r="B180" t="s">
        <v>243</v>
      </c>
      <c r="C180">
        <v>3</v>
      </c>
      <c r="D180" t="s">
        <v>161</v>
      </c>
      <c r="E180" t="s">
        <v>156</v>
      </c>
      <c r="F180" t="s">
        <v>76</v>
      </c>
      <c r="G180">
        <v>8437</v>
      </c>
      <c r="H180">
        <v>0</v>
      </c>
      <c r="I180" t="str">
        <f>OutputTable[[#This Row],[ProjectName]]&amp;OutputTable[[#This Row],[Name]]&amp;OutputTable[[#This Row],[Type]]&amp;OutputTable[[#This Row],[Source]]</f>
        <v>Unnamed ProjectEntity 2.NumberInNumber InEntity</v>
      </c>
      <c r="J180" cm="1">
        <f t="array" ref="J180">MAX(IF((ProjectInfoTable[ProjectName]=OutputTable[[#This Row],[ProjectName]]),(ProjectInfoTable[ProjectName]=OutputTable[[#This Row],[ProjectName]])*ProjectInfoTable[NumberOfReplications]))</f>
        <v>10</v>
      </c>
      <c r="K180" cm="1">
        <f t="array" ref="K180">IFERROR(AVERAGE(IF((OutputTable[GroupByKey]=OutputTable[[#This Row],[GroupByKey]]),(OutputTable[GroupByKey]=OutputTable[[#This Row],[GroupByKey]])*OutputTable[RecordedValue])),0)</f>
        <v>8398</v>
      </c>
      <c r="L180" cm="1">
        <f t="array" ref="L180">IFERROR(_xlfn.STDEV.S(IF((OutputTable[GroupByKey]=OutputTable[[#This Row],[GroupByKey]]),(OutputTable[GroupByKey]=OutputTable[[#This Row],[GroupByKey]])*OutputTable[RecordedValue])),0)</f>
        <v>24.133885813197271</v>
      </c>
      <c r="M180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17.264341884378119</v>
      </c>
      <c r="O180" cm="1">
        <f t="array" ref="O180">MIN(IF((OutputTable[GroupByKey]=OutputTable[[#This Row],[GroupByKey]]),(OutputTable[GroupByKey]=OutputTable[[#This Row],[GroupByKey]])*OutputTable[RecordedValue]))</f>
        <v>8353</v>
      </c>
      <c r="P180" cm="1">
        <f t="array" ref="P180">MAX(IF((OutputTable[GroupByKey]=OutputTable[[#This Row],[GroupByKey]]),(OutputTable[GroupByKey]=OutputTable[[#This Row],[GroupByKey]])*OutputTable[RecordedValue]))</f>
        <v>8437</v>
      </c>
    </row>
    <row r="181" spans="1:16" x14ac:dyDescent="0.25">
      <c r="A181" t="s">
        <v>67</v>
      </c>
      <c r="B181" t="s">
        <v>243</v>
      </c>
      <c r="C181">
        <v>3</v>
      </c>
      <c r="D181" t="s">
        <v>162</v>
      </c>
      <c r="E181" t="s">
        <v>158</v>
      </c>
      <c r="F181" t="s">
        <v>76</v>
      </c>
      <c r="G181">
        <v>6545</v>
      </c>
      <c r="H181">
        <v>0</v>
      </c>
      <c r="I181" t="str">
        <f>OutputTable[[#This Row],[ProjectName]]&amp;OutputTable[[#This Row],[Name]]&amp;OutputTable[[#This Row],[Type]]&amp;OutputTable[[#This Row],[Source]]</f>
        <v>Unnamed ProjectEntity 2.NumberOutNumber OutEntity</v>
      </c>
      <c r="J181" cm="1">
        <f t="array" ref="J181">MAX(IF((ProjectInfoTable[ProjectName]=OutputTable[[#This Row],[ProjectName]]),(ProjectInfoTable[ProjectName]=OutputTable[[#This Row],[ProjectName]])*ProjectInfoTable[NumberOfReplications]))</f>
        <v>10</v>
      </c>
      <c r="K181" cm="1">
        <f t="array" ref="K181">IFERROR(AVERAGE(IF((OutputTable[GroupByKey]=OutputTable[[#This Row],[GroupByKey]]),(OutputTable[GroupByKey]=OutputTable[[#This Row],[GroupByKey]])*OutputTable[RecordedValue])),0)</f>
        <v>6545.2</v>
      </c>
      <c r="L181" cm="1">
        <f t="array" ref="L181">IFERROR(_xlfn.STDEV.S(IF((OutputTable[GroupByKey]=OutputTable[[#This Row],[GroupByKey]]),(OutputTable[GroupByKey]=OutputTable[[#This Row],[GroupByKey]])*OutputTable[RecordedValue])),0)</f>
        <v>5.0288059108389627</v>
      </c>
      <c r="M181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3.5973910371047504</v>
      </c>
      <c r="O181" cm="1">
        <f t="array" ref="O181">MIN(IF((OutputTable[GroupByKey]=OutputTable[[#This Row],[GroupByKey]]),(OutputTable[GroupByKey]=OutputTable[[#This Row],[GroupByKey]])*OutputTable[RecordedValue]))</f>
        <v>6538</v>
      </c>
      <c r="P181" cm="1">
        <f t="array" ref="P181">MAX(IF((OutputTable[GroupByKey]=OutputTable[[#This Row],[GroupByKey]]),(OutputTable[GroupByKey]=OutputTable[[#This Row],[GroupByKey]])*OutputTable[RecordedValue]))</f>
        <v>6554</v>
      </c>
    </row>
    <row r="182" spans="1:16" x14ac:dyDescent="0.25">
      <c r="A182" t="s">
        <v>67</v>
      </c>
      <c r="B182" t="s">
        <v>243</v>
      </c>
      <c r="C182">
        <v>3</v>
      </c>
      <c r="D182" t="s">
        <v>163</v>
      </c>
      <c r="E182" t="s">
        <v>156</v>
      </c>
      <c r="F182" t="s">
        <v>76</v>
      </c>
      <c r="G182">
        <v>27792</v>
      </c>
      <c r="H182">
        <v>0</v>
      </c>
      <c r="I182" t="str">
        <f>OutputTable[[#This Row],[ProjectName]]&amp;OutputTable[[#This Row],[Name]]&amp;OutputTable[[#This Row],[Type]]&amp;OutputTable[[#This Row],[Source]]</f>
        <v>Unnamed ProjectEntity 3.NumberInNumber InEntity</v>
      </c>
      <c r="J182" cm="1">
        <f t="array" ref="J182">MAX(IF((ProjectInfoTable[ProjectName]=OutputTable[[#This Row],[ProjectName]]),(ProjectInfoTable[ProjectName]=OutputTable[[#This Row],[ProjectName]])*ProjectInfoTable[NumberOfReplications]))</f>
        <v>10</v>
      </c>
      <c r="K182" cm="1">
        <f t="array" ref="K182">IFERROR(AVERAGE(IF((OutputTable[GroupByKey]=OutputTable[[#This Row],[GroupByKey]]),(OutputTable[GroupByKey]=OutputTable[[#This Row],[GroupByKey]])*OutputTable[RecordedValue])),0)</f>
        <v>27753.7</v>
      </c>
      <c r="L182" cm="1">
        <f t="array" ref="L182">IFERROR(_xlfn.STDEV.S(IF((OutputTable[GroupByKey]=OutputTable[[#This Row],[GroupByKey]]),(OutputTable[GroupByKey]=OutputTable[[#This Row],[GroupByKey]])*OutputTable[RecordedValue])),0)</f>
        <v>25.447331228768697</v>
      </c>
      <c r="M182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18.203924133022646</v>
      </c>
      <c r="O182" cm="1">
        <f t="array" ref="O182">MIN(IF((OutputTable[GroupByKey]=OutputTable[[#This Row],[GroupByKey]]),(OutputTable[GroupByKey]=OutputTable[[#This Row],[GroupByKey]])*OutputTable[RecordedValue]))</f>
        <v>27724</v>
      </c>
      <c r="P182" cm="1">
        <f t="array" ref="P182">MAX(IF((OutputTable[GroupByKey]=OutputTable[[#This Row],[GroupByKey]]),(OutputTable[GroupByKey]=OutputTable[[#This Row],[GroupByKey]])*OutputTable[RecordedValue]))</f>
        <v>27792</v>
      </c>
    </row>
    <row r="183" spans="1:16" x14ac:dyDescent="0.25">
      <c r="A183" t="s">
        <v>67</v>
      </c>
      <c r="B183" t="s">
        <v>243</v>
      </c>
      <c r="C183">
        <v>3</v>
      </c>
      <c r="D183" t="s">
        <v>164</v>
      </c>
      <c r="E183" t="s">
        <v>158</v>
      </c>
      <c r="F183" t="s">
        <v>76</v>
      </c>
      <c r="G183">
        <v>19635</v>
      </c>
      <c r="H183">
        <v>0</v>
      </c>
      <c r="I183" t="str">
        <f>OutputTable[[#This Row],[ProjectName]]&amp;OutputTable[[#This Row],[Name]]&amp;OutputTable[[#This Row],[Type]]&amp;OutputTable[[#This Row],[Source]]</f>
        <v>Unnamed ProjectEntity 3.NumberOutNumber OutEntity</v>
      </c>
      <c r="J183" cm="1">
        <f t="array" ref="J183">MAX(IF((ProjectInfoTable[ProjectName]=OutputTable[[#This Row],[ProjectName]]),(ProjectInfoTable[ProjectName]=OutputTable[[#This Row],[ProjectName]])*ProjectInfoTable[NumberOfReplications]))</f>
        <v>10</v>
      </c>
      <c r="K183" cm="1">
        <f t="array" ref="K183">IFERROR(AVERAGE(IF((OutputTable[GroupByKey]=OutputTable[[#This Row],[GroupByKey]]),(OutputTable[GroupByKey]=OutputTable[[#This Row],[GroupByKey]])*OutputTable[RecordedValue])),0)</f>
        <v>19635.599999999999</v>
      </c>
      <c r="L183" cm="1">
        <f t="array" ref="L183">IFERROR(_xlfn.STDEV.S(IF((OutputTable[GroupByKey]=OutputTable[[#This Row],[GroupByKey]]),(OutputTable[GroupByKey]=OutputTable[[#This Row],[GroupByKey]])*OutputTable[RecordedValue])),0)</f>
        <v>15.086417732516889</v>
      </c>
      <c r="M183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183" cm="1">
        <f t="array" ref="O183">MIN(IF((OutputTable[GroupByKey]=OutputTable[[#This Row],[GroupByKey]]),(OutputTable[GroupByKey]=OutputTable[[#This Row],[GroupByKey]])*OutputTable[RecordedValue]))</f>
        <v>19614</v>
      </c>
      <c r="P183" cm="1">
        <f t="array" ref="P183">MAX(IF((OutputTable[GroupByKey]=OutputTable[[#This Row],[GroupByKey]]),(OutputTable[GroupByKey]=OutputTable[[#This Row],[GroupByKey]])*OutputTable[RecordedValue]))</f>
        <v>19662</v>
      </c>
    </row>
    <row r="184" spans="1:16" x14ac:dyDescent="0.25">
      <c r="A184" t="s">
        <v>67</v>
      </c>
      <c r="B184" t="s">
        <v>243</v>
      </c>
      <c r="C184">
        <v>3</v>
      </c>
      <c r="D184" t="s">
        <v>165</v>
      </c>
      <c r="E184" t="s">
        <v>152</v>
      </c>
      <c r="F184" t="s">
        <v>113</v>
      </c>
      <c r="G184">
        <v>13101</v>
      </c>
      <c r="H184">
        <v>0</v>
      </c>
      <c r="I184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184" cm="1">
        <f t="array" ref="J184">MAX(IF((ProjectInfoTable[ProjectName]=OutputTable[[#This Row],[ProjectName]]),(ProjectInfoTable[ProjectName]=OutputTable[[#This Row],[ProjectName]])*ProjectInfoTable[NumberOfReplications]))</f>
        <v>10</v>
      </c>
      <c r="K184" cm="1">
        <f t="array" ref="K184">IFERROR(AVERAGE(IF((OutputTable[GroupByKey]=OutputTable[[#This Row],[GroupByKey]]),(OutputTable[GroupByKey]=OutputTable[[#This Row],[GroupByKey]])*OutputTable[RecordedValue])),0)</f>
        <v>13103.5</v>
      </c>
      <c r="L184" cm="1">
        <f t="array" ref="L184">IFERROR(_xlfn.STDEV.S(IF((OutputTable[GroupByKey]=OutputTable[[#This Row],[GroupByKey]]),(OutputTable[GroupByKey]=OutputTable[[#This Row],[GroupByKey]])*OutputTable[RecordedValue])),0)</f>
        <v>11.443095929181249</v>
      </c>
      <c r="M184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184" cm="1">
        <f t="array" ref="O184">MIN(IF((OutputTable[GroupByKey]=OutputTable[[#This Row],[GroupByKey]]),(OutputTable[GroupByKey]=OutputTable[[#This Row],[GroupByKey]])*OutputTable[RecordedValue]))</f>
        <v>13087</v>
      </c>
      <c r="P184" cm="1">
        <f t="array" ref="P184">MAX(IF((OutputTable[GroupByKey]=OutputTable[[#This Row],[GroupByKey]]),(OutputTable[GroupByKey]=OutputTable[[#This Row],[GroupByKey]])*OutputTable[RecordedValue]))</f>
        <v>13120</v>
      </c>
    </row>
    <row r="185" spans="1:16" x14ac:dyDescent="0.25">
      <c r="A185" t="s">
        <v>67</v>
      </c>
      <c r="B185" t="s">
        <v>243</v>
      </c>
      <c r="C185">
        <v>3</v>
      </c>
      <c r="D185" t="s">
        <v>166</v>
      </c>
      <c r="E185" t="s">
        <v>154</v>
      </c>
      <c r="F185" t="s">
        <v>113</v>
      </c>
      <c r="G185">
        <v>0.50190078290792095</v>
      </c>
      <c r="H185">
        <v>0</v>
      </c>
      <c r="I185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185" cm="1">
        <f t="array" ref="J185">MAX(IF((ProjectInfoTable[ProjectName]=OutputTable[[#This Row],[ProjectName]]),(ProjectInfoTable[ProjectName]=OutputTable[[#This Row],[ProjectName]])*ProjectInfoTable[NumberOfReplications]))</f>
        <v>10</v>
      </c>
      <c r="K185" cm="1">
        <f t="array" ref="K185">IFERROR(AVERAGE(IF((OutputTable[GroupByKey]=OutputTable[[#This Row],[GroupByKey]]),(OutputTable[GroupByKey]=OutputTable[[#This Row],[GroupByKey]])*OutputTable[RecordedValue])),0)</f>
        <v>0.48160620907873086</v>
      </c>
      <c r="L185" cm="1">
        <f t="array" ref="L185">IFERROR(_xlfn.STDEV.S(IF((OutputTable[GroupByKey]=OutputTable[[#This Row],[GroupByKey]]),(OutputTable[GroupByKey]=OutputTable[[#This Row],[GroupByKey]])*OutputTable[RecordedValue])),0)</f>
        <v>8.6686321722355061E-2</v>
      </c>
      <c r="M18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6.2011658897281531E-2</v>
      </c>
      <c r="O185" cm="1">
        <f t="array" ref="O185">MIN(IF((OutputTable[GroupByKey]=OutputTable[[#This Row],[GroupByKey]]),(OutputTable[GroupByKey]=OutputTable[[#This Row],[GroupByKey]])*OutputTable[RecordedValue]))</f>
        <v>0.292184201252493</v>
      </c>
      <c r="P185" cm="1">
        <f t="array" ref="P185">MAX(IF((OutputTable[GroupByKey]=OutputTable[[#This Row],[GroupByKey]]),(OutputTable[GroupByKey]=OutputTable[[#This Row],[GroupByKey]])*OutputTable[RecordedValue]))</f>
        <v>0.57167989674475905</v>
      </c>
    </row>
    <row r="186" spans="1:16" x14ac:dyDescent="0.25">
      <c r="A186" t="s">
        <v>67</v>
      </c>
      <c r="B186" t="s">
        <v>243</v>
      </c>
      <c r="C186">
        <v>3</v>
      </c>
      <c r="D186" t="s">
        <v>167</v>
      </c>
      <c r="E186" t="s">
        <v>152</v>
      </c>
      <c r="F186" t="s">
        <v>113</v>
      </c>
      <c r="G186">
        <v>13097</v>
      </c>
      <c r="H186">
        <v>0</v>
      </c>
      <c r="I186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186" cm="1">
        <f t="array" ref="J186">MAX(IF((ProjectInfoTable[ProjectName]=OutputTable[[#This Row],[ProjectName]]),(ProjectInfoTable[ProjectName]=OutputTable[[#This Row],[ProjectName]])*ProjectInfoTable[NumberOfReplications]))</f>
        <v>10</v>
      </c>
      <c r="K186" cm="1">
        <f t="array" ref="K186">IFERROR(AVERAGE(IF((OutputTable[GroupByKey]=OutputTable[[#This Row],[GroupByKey]]),(OutputTable[GroupByKey]=OutputTable[[#This Row],[GroupByKey]])*OutputTable[RecordedValue])),0)</f>
        <v>13100.1</v>
      </c>
      <c r="L186" cm="1">
        <f t="array" ref="L186">IFERROR(_xlfn.STDEV.S(IF((OutputTable[GroupByKey]=OutputTable[[#This Row],[GroupByKey]]),(OutputTable[GroupByKey]=OutputTable[[#This Row],[GroupByKey]])*OutputTable[RecordedValue])),0)</f>
        <v>11.46443776786866</v>
      </c>
      <c r="M186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186" cm="1">
        <f t="array" ref="O186">MIN(IF((OutputTable[GroupByKey]=OutputTable[[#This Row],[GroupByKey]]),(OutputTable[GroupByKey]=OutputTable[[#This Row],[GroupByKey]])*OutputTable[RecordedValue]))</f>
        <v>13083</v>
      </c>
      <c r="P186" cm="1">
        <f t="array" ref="P186">MAX(IF((OutputTable[GroupByKey]=OutputTable[[#This Row],[GroupByKey]]),(OutputTable[GroupByKey]=OutputTable[[#This Row],[GroupByKey]])*OutputTable[RecordedValue]))</f>
        <v>13118</v>
      </c>
    </row>
    <row r="187" spans="1:16" x14ac:dyDescent="0.25">
      <c r="A187" t="s">
        <v>67</v>
      </c>
      <c r="B187" t="s">
        <v>243</v>
      </c>
      <c r="C187">
        <v>3</v>
      </c>
      <c r="D187" t="s">
        <v>168</v>
      </c>
      <c r="E187" t="s">
        <v>154</v>
      </c>
      <c r="F187" t="s">
        <v>113</v>
      </c>
      <c r="G187">
        <v>0.236690589187661</v>
      </c>
      <c r="H187">
        <v>0</v>
      </c>
      <c r="I187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187" cm="1">
        <f t="array" ref="J187">MAX(IF((ProjectInfoTable[ProjectName]=OutputTable[[#This Row],[ProjectName]]),(ProjectInfoTable[ProjectName]=OutputTable[[#This Row],[ProjectName]])*ProjectInfoTable[NumberOfReplications]))</f>
        <v>10</v>
      </c>
      <c r="K187" cm="1">
        <f t="array" ref="K187">IFERROR(AVERAGE(IF((OutputTable[GroupByKey]=OutputTable[[#This Row],[GroupByKey]]),(OutputTable[GroupByKey]=OutputTable[[#This Row],[GroupByKey]])*OutputTable[RecordedValue])),0)</f>
        <v>0.25269289312392168</v>
      </c>
      <c r="L187" cm="1">
        <f t="array" ref="L187">IFERROR(_xlfn.STDEV.S(IF((OutputTable[GroupByKey]=OutputTable[[#This Row],[GroupByKey]]),(OutputTable[GroupByKey]=OutputTable[[#This Row],[GroupByKey]])*OutputTable[RecordedValue])),0)</f>
        <v>4.921401008308305E-2</v>
      </c>
      <c r="M187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3.5205581983443382E-2</v>
      </c>
      <c r="O187" cm="1">
        <f t="array" ref="O187">MIN(IF((OutputTable[GroupByKey]=OutputTable[[#This Row],[GroupByKey]]),(OutputTable[GroupByKey]=OutputTable[[#This Row],[GroupByKey]])*OutputTable[RecordedValue]))</f>
        <v>0.20500025225945601</v>
      </c>
      <c r="P187" cm="1">
        <f t="array" ref="P187">MAX(IF((OutputTable[GroupByKey]=OutputTable[[#This Row],[GroupByKey]]),(OutputTable[GroupByKey]=OutputTable[[#This Row],[GroupByKey]])*OutputTable[RecordedValue]))</f>
        <v>0.33570777662711399</v>
      </c>
    </row>
    <row r="188" spans="1:16" x14ac:dyDescent="0.25">
      <c r="A188" t="s">
        <v>67</v>
      </c>
      <c r="B188" t="s">
        <v>243</v>
      </c>
      <c r="C188">
        <v>3</v>
      </c>
      <c r="D188" t="s">
        <v>169</v>
      </c>
      <c r="E188" t="s">
        <v>152</v>
      </c>
      <c r="F188" t="s">
        <v>113</v>
      </c>
      <c r="G188">
        <v>13097</v>
      </c>
      <c r="H188">
        <v>0</v>
      </c>
      <c r="I188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188" cm="1">
        <f t="array" ref="J188">MAX(IF((ProjectInfoTable[ProjectName]=OutputTable[[#This Row],[ProjectName]]),(ProjectInfoTable[ProjectName]=OutputTable[[#This Row],[ProjectName]])*ProjectInfoTable[NumberOfReplications]))</f>
        <v>10</v>
      </c>
      <c r="K188" cm="1">
        <f t="array" ref="K188">IFERROR(AVERAGE(IF((OutputTable[GroupByKey]=OutputTable[[#This Row],[GroupByKey]]),(OutputTable[GroupByKey]=OutputTable[[#This Row],[GroupByKey]])*OutputTable[RecordedValue])),0)</f>
        <v>13099.9</v>
      </c>
      <c r="L188" cm="1">
        <f t="array" ref="L188">IFERROR(_xlfn.STDEV.S(IF((OutputTable[GroupByKey]=OutputTable[[#This Row],[GroupByKey]]),(OutputTable[GroupByKey]=OutputTable[[#This Row],[GroupByKey]])*OutputTable[RecordedValue])),0)</f>
        <v>11.761046816598522</v>
      </c>
      <c r="M188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188" cm="1">
        <f t="array" ref="O188">MIN(IF((OutputTable[GroupByKey]=OutputTable[[#This Row],[GroupByKey]]),(OutputTable[GroupByKey]=OutputTable[[#This Row],[GroupByKey]])*OutputTable[RecordedValue]))</f>
        <v>13082</v>
      </c>
      <c r="P188" cm="1">
        <f t="array" ref="P188">MAX(IF((OutputTable[GroupByKey]=OutputTable[[#This Row],[GroupByKey]]),(OutputTable[GroupByKey]=OutputTable[[#This Row],[GroupByKey]])*OutputTable[RecordedValue]))</f>
        <v>13118</v>
      </c>
    </row>
    <row r="189" spans="1:16" x14ac:dyDescent="0.25">
      <c r="A189" t="s">
        <v>67</v>
      </c>
      <c r="B189" t="s">
        <v>243</v>
      </c>
      <c r="C189">
        <v>3</v>
      </c>
      <c r="D189" t="s">
        <v>170</v>
      </c>
      <c r="E189" t="s">
        <v>154</v>
      </c>
      <c r="F189" t="s">
        <v>113</v>
      </c>
      <c r="G189">
        <v>0.15163652090184199</v>
      </c>
      <c r="H189">
        <v>0</v>
      </c>
      <c r="I189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189" cm="1">
        <f t="array" ref="J189">MAX(IF((ProjectInfoTable[ProjectName]=OutputTable[[#This Row],[ProjectName]]),(ProjectInfoTable[ProjectName]=OutputTable[[#This Row],[ProjectName]])*ProjectInfoTable[NumberOfReplications]))</f>
        <v>10</v>
      </c>
      <c r="K189" cm="1">
        <f t="array" ref="K189">IFERROR(AVERAGE(IF((OutputTable[GroupByKey]=OutputTable[[#This Row],[GroupByKey]]),(OutputTable[GroupByKey]=OutputTable[[#This Row],[GroupByKey]])*OutputTable[RecordedValue])),0)</f>
        <v>0.151561654865698</v>
      </c>
      <c r="L189" cm="1">
        <f t="array" ref="L189">IFERROR(_xlfn.STDEV.S(IF((OutputTable[GroupByKey]=OutputTable[[#This Row],[GroupByKey]]),(OutputTable[GroupByKey]=OutputTable[[#This Row],[GroupByKey]])*OutputTable[RecordedValue])),0)</f>
        <v>1.2198256688170919E-4</v>
      </c>
      <c r="M189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8.7261071626859165E-5</v>
      </c>
      <c r="O189" cm="1">
        <f t="array" ref="O189">MIN(IF((OutputTable[GroupByKey]=OutputTable[[#This Row],[GroupByKey]]),(OutputTable[GroupByKey]=OutputTable[[#This Row],[GroupByKey]])*OutputTable[RecordedValue]))</f>
        <v>0.15134711042770399</v>
      </c>
      <c r="P189" cm="1">
        <f t="array" ref="P189">MAX(IF((OutputTable[GroupByKey]=OutputTable[[#This Row],[GroupByKey]]),(OutputTable[GroupByKey]=OutputTable[[#This Row],[GroupByKey]])*OutputTable[RecordedValue]))</f>
        <v>0.15172806047441101</v>
      </c>
    </row>
    <row r="190" spans="1:16" x14ac:dyDescent="0.25">
      <c r="A190" t="s">
        <v>67</v>
      </c>
      <c r="B190" t="s">
        <v>243</v>
      </c>
      <c r="C190">
        <v>3</v>
      </c>
      <c r="D190" t="s">
        <v>171</v>
      </c>
      <c r="E190" t="s">
        <v>152</v>
      </c>
      <c r="F190" t="s">
        <v>113</v>
      </c>
      <c r="G190">
        <v>8245</v>
      </c>
      <c r="H190">
        <v>0</v>
      </c>
      <c r="I190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190" cm="1">
        <f t="array" ref="J190">MAX(IF((ProjectInfoTable[ProjectName]=OutputTable[[#This Row],[ProjectName]]),(ProjectInfoTable[ProjectName]=OutputTable[[#This Row],[ProjectName]])*ProjectInfoTable[NumberOfReplications]))</f>
        <v>10</v>
      </c>
      <c r="K190" cm="1">
        <f t="array" ref="K190">IFERROR(AVERAGE(IF((OutputTable[GroupByKey]=OutputTable[[#This Row],[GroupByKey]]),(OutputTable[GroupByKey]=OutputTable[[#This Row],[GroupByKey]])*OutputTable[RecordedValue])),0)</f>
        <v>8235</v>
      </c>
      <c r="L190" cm="1">
        <f t="array" ref="L190">IFERROR(_xlfn.STDEV.S(IF((OutputTable[GroupByKey]=OutputTable[[#This Row],[GroupByKey]]),(OutputTable[GroupByKey]=OutputTable[[#This Row],[GroupByKey]])*OutputTable[RecordedValue])),0)</f>
        <v>6.5659052011974035</v>
      </c>
      <c r="M190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190" cm="1">
        <f t="array" ref="O190">MIN(IF((OutputTable[GroupByKey]=OutputTable[[#This Row],[GroupByKey]]),(OutputTable[GroupByKey]=OutputTable[[#This Row],[GroupByKey]])*OutputTable[RecordedValue]))</f>
        <v>8223</v>
      </c>
      <c r="P190" cm="1">
        <f t="array" ref="P190">MAX(IF((OutputTable[GroupByKey]=OutputTable[[#This Row],[GroupByKey]]),(OutputTable[GroupByKey]=OutputTable[[#This Row],[GroupByKey]])*OutputTable[RecordedValue]))</f>
        <v>8245</v>
      </c>
    </row>
    <row r="191" spans="1:16" x14ac:dyDescent="0.25">
      <c r="A191" t="s">
        <v>67</v>
      </c>
      <c r="B191" t="s">
        <v>243</v>
      </c>
      <c r="C191">
        <v>3</v>
      </c>
      <c r="D191" t="s">
        <v>172</v>
      </c>
      <c r="E191" t="s">
        <v>154</v>
      </c>
      <c r="F191" t="s">
        <v>113</v>
      </c>
      <c r="G191">
        <v>0.95234157475900505</v>
      </c>
      <c r="H191">
        <v>0</v>
      </c>
      <c r="I191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191" cm="1">
        <f t="array" ref="J191">MAX(IF((ProjectInfoTable[ProjectName]=OutputTable[[#This Row],[ProjectName]]),(ProjectInfoTable[ProjectName]=OutputTable[[#This Row],[ProjectName]])*ProjectInfoTable[NumberOfReplications]))</f>
        <v>10</v>
      </c>
      <c r="K191" cm="1">
        <f t="array" ref="K191">IFERROR(AVERAGE(IF((OutputTable[GroupByKey]=OutputTable[[#This Row],[GroupByKey]]),(OutputTable[GroupByKey]=OutputTable[[#This Row],[GroupByKey]])*OutputTable[RecordedValue])),0)</f>
        <v>0.84558522180863771</v>
      </c>
      <c r="L191" cm="1">
        <f t="array" ref="L191">IFERROR(_xlfn.STDEV.S(IF((OutputTable[GroupByKey]=OutputTable[[#This Row],[GroupByKey]]),(OutputTable[GroupByKey]=OutputTable[[#This Row],[GroupByKey]])*OutputTable[RecordedValue])),0)</f>
        <v>0.11694354024491282</v>
      </c>
      <c r="M191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8.3656369122856733E-2</v>
      </c>
      <c r="O191" cm="1">
        <f t="array" ref="O191">MIN(IF((OutputTable[GroupByKey]=OutputTable[[#This Row],[GroupByKey]]),(OutputTable[GroupByKey]=OutputTable[[#This Row],[GroupByKey]])*OutputTable[RecordedValue]))</f>
        <v>0.625269422960122</v>
      </c>
      <c r="P191" cm="1">
        <f t="array" ref="P191">MAX(IF((OutputTable[GroupByKey]=OutputTable[[#This Row],[GroupByKey]]),(OutputTable[GroupByKey]=OutputTable[[#This Row],[GroupByKey]])*OutputTable[RecordedValue]))</f>
        <v>0.95234896906597499</v>
      </c>
    </row>
    <row r="192" spans="1:16" x14ac:dyDescent="0.25">
      <c r="A192" t="s">
        <v>67</v>
      </c>
      <c r="B192" t="s">
        <v>243</v>
      </c>
      <c r="C192">
        <v>3</v>
      </c>
      <c r="D192" t="s">
        <v>173</v>
      </c>
      <c r="E192" t="s">
        <v>152</v>
      </c>
      <c r="F192" t="s">
        <v>113</v>
      </c>
      <c r="G192">
        <v>8243</v>
      </c>
      <c r="H192">
        <v>0</v>
      </c>
      <c r="I192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192" cm="1">
        <f t="array" ref="J192">MAX(IF((ProjectInfoTable[ProjectName]=OutputTable[[#This Row],[ProjectName]]),(ProjectInfoTable[ProjectName]=OutputTable[[#This Row],[ProjectName]])*ProjectInfoTable[NumberOfReplications]))</f>
        <v>10</v>
      </c>
      <c r="K192" cm="1">
        <f t="array" ref="K192">IFERROR(AVERAGE(IF((OutputTable[GroupByKey]=OutputTable[[#This Row],[GroupByKey]]),(OutputTable[GroupByKey]=OutputTable[[#This Row],[GroupByKey]])*OutputTable[RecordedValue])),0)</f>
        <v>8233.5</v>
      </c>
      <c r="L192" cm="1">
        <f t="array" ref="L192">IFERROR(_xlfn.STDEV.S(IF((OutputTable[GroupByKey]=OutputTable[[#This Row],[GroupByKey]]),(OutputTable[GroupByKey]=OutputTable[[#This Row],[GroupByKey]])*OutputTable[RecordedValue])),0)</f>
        <v>6.5021364010437201</v>
      </c>
      <c r="M192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192" cm="1">
        <f t="array" ref="O192">MIN(IF((OutputTable[GroupByKey]=OutputTable[[#This Row],[GroupByKey]]),(OutputTable[GroupByKey]=OutputTable[[#This Row],[GroupByKey]])*OutputTable[RecordedValue]))</f>
        <v>8221</v>
      </c>
      <c r="P192" cm="1">
        <f t="array" ref="P192">MAX(IF((OutputTable[GroupByKey]=OutputTable[[#This Row],[GroupByKey]]),(OutputTable[GroupByKey]=OutputTable[[#This Row],[GroupByKey]])*OutputTable[RecordedValue]))</f>
        <v>8243</v>
      </c>
    </row>
    <row r="193" spans="1:16" x14ac:dyDescent="0.25">
      <c r="A193" t="s">
        <v>67</v>
      </c>
      <c r="B193" t="s">
        <v>243</v>
      </c>
      <c r="C193">
        <v>3</v>
      </c>
      <c r="D193" t="s">
        <v>174</v>
      </c>
      <c r="E193" t="s">
        <v>154</v>
      </c>
      <c r="F193" t="s">
        <v>113</v>
      </c>
      <c r="G193">
        <v>0.72639816905699495</v>
      </c>
      <c r="H193">
        <v>0</v>
      </c>
      <c r="I193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193" cm="1">
        <f t="array" ref="J193">MAX(IF((ProjectInfoTable[ProjectName]=OutputTable[[#This Row],[ProjectName]]),(ProjectInfoTable[ProjectName]=OutputTable[[#This Row],[ProjectName]])*ProjectInfoTable[NumberOfReplications]))</f>
        <v>10</v>
      </c>
      <c r="K193" cm="1">
        <f t="array" ref="K193">IFERROR(AVERAGE(IF((OutputTable[GroupByKey]=OutputTable[[#This Row],[GroupByKey]]),(OutputTable[GroupByKey]=OutputTable[[#This Row],[GroupByKey]])*OutputTable[RecordedValue])),0)</f>
        <v>0.74077431571180286</v>
      </c>
      <c r="L193" cm="1">
        <f t="array" ref="L193">IFERROR(_xlfn.STDEV.S(IF((OutputTable[GroupByKey]=OutputTable[[#This Row],[GroupByKey]]),(OutputTable[GroupByKey]=OutputTable[[#This Row],[GroupByKey]])*OutputTable[RecordedValue])),0)</f>
        <v>6.1280007141721847E-2</v>
      </c>
      <c r="M193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4.3837076306762375E-2</v>
      </c>
      <c r="O193" cm="1">
        <f t="array" ref="O193">MIN(IF((OutputTable[GroupByKey]=OutputTable[[#This Row],[GroupByKey]]),(OutputTable[GroupByKey]=OutputTable[[#This Row],[GroupByKey]])*OutputTable[RecordedValue]))</f>
        <v>0.67060354368791897</v>
      </c>
      <c r="P193" cm="1">
        <f t="array" ref="P193">MAX(IF((OutputTable[GroupByKey]=OutputTable[[#This Row],[GroupByKey]]),(OutputTable[GroupByKey]=OutputTable[[#This Row],[GroupByKey]])*OutputTable[RecordedValue]))</f>
        <v>0.87728997349342697</v>
      </c>
    </row>
    <row r="194" spans="1:16" x14ac:dyDescent="0.25">
      <c r="A194" t="s">
        <v>67</v>
      </c>
      <c r="B194" t="s">
        <v>243</v>
      </c>
      <c r="C194">
        <v>3</v>
      </c>
      <c r="D194" t="s">
        <v>175</v>
      </c>
      <c r="E194" t="s">
        <v>152</v>
      </c>
      <c r="F194" t="s">
        <v>113</v>
      </c>
      <c r="G194">
        <v>8241</v>
      </c>
      <c r="H194">
        <v>0</v>
      </c>
      <c r="I194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194" cm="1">
        <f t="array" ref="J194">MAX(IF((ProjectInfoTable[ProjectName]=OutputTable[[#This Row],[ProjectName]]),(ProjectInfoTable[ProjectName]=OutputTable[[#This Row],[ProjectName]])*ProjectInfoTable[NumberOfReplications]))</f>
        <v>10</v>
      </c>
      <c r="K194" cm="1">
        <f t="array" ref="K194">IFERROR(AVERAGE(IF((OutputTable[GroupByKey]=OutputTable[[#This Row],[GroupByKey]]),(OutputTable[GroupByKey]=OutputTable[[#This Row],[GroupByKey]])*OutputTable[RecordedValue])),0)</f>
        <v>8231.5</v>
      </c>
      <c r="L194" cm="1">
        <f t="array" ref="L194">IFERROR(_xlfn.STDEV.S(IF((OutputTable[GroupByKey]=OutputTable[[#This Row],[GroupByKey]]),(OutputTable[GroupByKey]=OutputTable[[#This Row],[GroupByKey]])*OutputTable[RecordedValue])),0)</f>
        <v>6.3464775882199236</v>
      </c>
      <c r="M194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194" cm="1">
        <f t="array" ref="O194">MIN(IF((OutputTable[GroupByKey]=OutputTable[[#This Row],[GroupByKey]]),(OutputTable[GroupByKey]=OutputTable[[#This Row],[GroupByKey]])*OutputTable[RecordedValue]))</f>
        <v>8220</v>
      </c>
      <c r="P194" cm="1">
        <f t="array" ref="P194">MAX(IF((OutputTable[GroupByKey]=OutputTable[[#This Row],[GroupByKey]]),(OutputTable[GroupByKey]=OutputTable[[#This Row],[GroupByKey]])*OutputTable[RecordedValue]))</f>
        <v>8241</v>
      </c>
    </row>
    <row r="195" spans="1:16" x14ac:dyDescent="0.25">
      <c r="A195" t="s">
        <v>67</v>
      </c>
      <c r="B195" t="s">
        <v>243</v>
      </c>
      <c r="C195">
        <v>3</v>
      </c>
      <c r="D195" t="s">
        <v>176</v>
      </c>
      <c r="E195" t="s">
        <v>154</v>
      </c>
      <c r="F195" t="s">
        <v>113</v>
      </c>
      <c r="G195">
        <v>0.55422379995112203</v>
      </c>
      <c r="H195">
        <v>0</v>
      </c>
      <c r="I195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195" cm="1">
        <f t="array" ref="J195">MAX(IF((ProjectInfoTable[ProjectName]=OutputTable[[#This Row],[ProjectName]]),(ProjectInfoTable[ProjectName]=OutputTable[[#This Row],[ProjectName]])*ProjectInfoTable[NumberOfReplications]))</f>
        <v>10</v>
      </c>
      <c r="K195" cm="1">
        <f t="array" ref="K195">IFERROR(AVERAGE(IF((OutputTable[GroupByKey]=OutputTable[[#This Row],[GroupByKey]]),(OutputTable[GroupByKey]=OutputTable[[#This Row],[GroupByKey]])*OutputTable[RecordedValue])),0)</f>
        <v>0.52391445815006699</v>
      </c>
      <c r="L195" cm="1">
        <f t="array" ref="L195">IFERROR(_xlfn.STDEV.S(IF((OutputTable[GroupByKey]=OutputTable[[#This Row],[GroupByKey]]),(OutputTable[GroupByKey]=OutputTable[[#This Row],[GroupByKey]])*OutputTable[RecordedValue])),0)</f>
        <v>7.0460308415606909E-2</v>
      </c>
      <c r="M19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5.0404268221927347E-2</v>
      </c>
      <c r="O195" cm="1">
        <f t="array" ref="O195">MIN(IF((OutputTable[GroupByKey]=OutputTable[[#This Row],[GroupByKey]]),(OutputTable[GroupByKey]=OutputTable[[#This Row],[GroupByKey]])*OutputTable[RecordedValue]))</f>
        <v>0.36555656561218303</v>
      </c>
      <c r="P195" cm="1">
        <f t="array" ref="P195">MAX(IF((OutputTable[GroupByKey]=OutputTable[[#This Row],[GroupByKey]]),(OutputTable[GroupByKey]=OutputTable[[#This Row],[GroupByKey]])*OutputTable[RecordedValue]))</f>
        <v>0.59886206518967</v>
      </c>
    </row>
    <row r="196" spans="1:16" x14ac:dyDescent="0.25">
      <c r="A196" t="s">
        <v>67</v>
      </c>
      <c r="B196" t="s">
        <v>243</v>
      </c>
      <c r="C196">
        <v>3</v>
      </c>
      <c r="D196" t="s">
        <v>177</v>
      </c>
      <c r="E196" t="s">
        <v>152</v>
      </c>
      <c r="F196" t="s">
        <v>113</v>
      </c>
      <c r="G196">
        <v>8237</v>
      </c>
      <c r="H196">
        <v>0</v>
      </c>
      <c r="I196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196" cm="1">
        <f t="array" ref="J196">MAX(IF((ProjectInfoTable[ProjectName]=OutputTable[[#This Row],[ProjectName]]),(ProjectInfoTable[ProjectName]=OutputTable[[#This Row],[ProjectName]])*ProjectInfoTable[NumberOfReplications]))</f>
        <v>10</v>
      </c>
      <c r="K196" cm="1">
        <f t="array" ref="K196">IFERROR(AVERAGE(IF((OutputTable[GroupByKey]=OutputTable[[#This Row],[GroupByKey]]),(OutputTable[GroupByKey]=OutputTable[[#This Row],[GroupByKey]])*OutputTable[RecordedValue])),0)</f>
        <v>8227.7000000000007</v>
      </c>
      <c r="L196" cm="1">
        <f t="array" ref="L196">IFERROR(_xlfn.STDEV.S(IF((OutputTable[GroupByKey]=OutputTable[[#This Row],[GroupByKey]]),(OutputTable[GroupByKey]=OutputTable[[#This Row],[GroupByKey]])*OutputTable[RecordedValue])),0)</f>
        <v>6.2902040242480748</v>
      </c>
      <c r="M196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196" cm="1">
        <f t="array" ref="O196">MIN(IF((OutputTable[GroupByKey]=OutputTable[[#This Row],[GroupByKey]]),(OutputTable[GroupByKey]=OutputTable[[#This Row],[GroupByKey]])*OutputTable[RecordedValue]))</f>
        <v>8216</v>
      </c>
      <c r="P196" cm="1">
        <f t="array" ref="P196">MAX(IF((OutputTable[GroupByKey]=OutputTable[[#This Row],[GroupByKey]]),(OutputTable[GroupByKey]=OutputTable[[#This Row],[GroupByKey]])*OutputTable[RecordedValue]))</f>
        <v>8237</v>
      </c>
    </row>
    <row r="197" spans="1:16" x14ac:dyDescent="0.25">
      <c r="A197" t="s">
        <v>67</v>
      </c>
      <c r="B197" t="s">
        <v>243</v>
      </c>
      <c r="C197">
        <v>3</v>
      </c>
      <c r="D197" t="s">
        <v>178</v>
      </c>
      <c r="E197" t="s">
        <v>154</v>
      </c>
      <c r="F197" t="s">
        <v>113</v>
      </c>
      <c r="G197">
        <v>0.14953450424571699</v>
      </c>
      <c r="H197">
        <v>0</v>
      </c>
      <c r="I197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197" cm="1">
        <f t="array" ref="J197">MAX(IF((ProjectInfoTable[ProjectName]=OutputTable[[#This Row],[ProjectName]]),(ProjectInfoTable[ProjectName]=OutputTable[[#This Row],[ProjectName]])*ProjectInfoTable[NumberOfReplications]))</f>
        <v>10</v>
      </c>
      <c r="K197" cm="1">
        <f t="array" ref="K197">IFERROR(AVERAGE(IF((OutputTable[GroupByKey]=OutputTable[[#This Row],[GroupByKey]]),(OutputTable[GroupByKey]=OutputTable[[#This Row],[GroupByKey]])*OutputTable[RecordedValue])),0)</f>
        <v>0.14955853655775292</v>
      </c>
      <c r="L197" cm="1">
        <f t="array" ref="L197">IFERROR(_xlfn.STDEV.S(IF((OutputTable[GroupByKey]=OutputTable[[#This Row],[GroupByKey]]),(OutputTable[GroupByKey]=OutputTable[[#This Row],[GroupByKey]])*OutputTable[RecordedValue])),0)</f>
        <v>1.8487754554887928E-4</v>
      </c>
      <c r="M197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1.3225342896729691E-4</v>
      </c>
      <c r="O197" cm="1">
        <f t="array" ref="O197">MIN(IF((OutputTable[GroupByKey]=OutputTable[[#This Row],[GroupByKey]]),(OutputTable[GroupByKey]=OutputTable[[#This Row],[GroupByKey]])*OutputTable[RecordedValue]))</f>
        <v>0.14921189842985499</v>
      </c>
      <c r="P197" cm="1">
        <f t="array" ref="P197">MAX(IF((OutputTable[GroupByKey]=OutputTable[[#This Row],[GroupByKey]]),(OutputTable[GroupByKey]=OutputTable[[#This Row],[GroupByKey]])*OutputTable[RecordedValue]))</f>
        <v>0.14985050053976801</v>
      </c>
    </row>
    <row r="198" spans="1:16" x14ac:dyDescent="0.25">
      <c r="A198" t="s">
        <v>67</v>
      </c>
      <c r="B198" t="s">
        <v>243</v>
      </c>
      <c r="C198">
        <v>3</v>
      </c>
      <c r="D198" t="s">
        <v>179</v>
      </c>
      <c r="E198" t="s">
        <v>152</v>
      </c>
      <c r="F198" t="s">
        <v>113</v>
      </c>
      <c r="G198">
        <v>18407</v>
      </c>
      <c r="H198">
        <v>0</v>
      </c>
      <c r="I198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198" cm="1">
        <f t="array" ref="J198">MAX(IF((ProjectInfoTable[ProjectName]=OutputTable[[#This Row],[ProjectName]]),(ProjectInfoTable[ProjectName]=OutputTable[[#This Row],[ProjectName]])*ProjectInfoTable[NumberOfReplications]))</f>
        <v>10</v>
      </c>
      <c r="K198" cm="1">
        <f t="array" ref="K198">IFERROR(AVERAGE(IF((OutputTable[GroupByKey]=OutputTable[[#This Row],[GroupByKey]]),(OutputTable[GroupByKey]=OutputTable[[#This Row],[GroupByKey]])*OutputTable[RecordedValue])),0)</f>
        <v>18392</v>
      </c>
      <c r="L198" cm="1">
        <f t="array" ref="L198">IFERROR(_xlfn.STDEV.S(IF((OutputTable[GroupByKey]=OutputTable[[#This Row],[GroupByKey]]),(OutputTable[GroupByKey]=OutputTable[[#This Row],[GroupByKey]])*OutputTable[RecordedValue])),0)</f>
        <v>12.884098726725126</v>
      </c>
      <c r="M198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198" cm="1">
        <f t="array" ref="O198">MIN(IF((OutputTable[GroupByKey]=OutputTable[[#This Row],[GroupByKey]]),(OutputTable[GroupByKey]=OutputTable[[#This Row],[GroupByKey]])*OutputTable[RecordedValue]))</f>
        <v>18376</v>
      </c>
      <c r="P198" cm="1">
        <f t="array" ref="P198">MAX(IF((OutputTable[GroupByKey]=OutputTable[[#This Row],[GroupByKey]]),(OutputTable[GroupByKey]=OutputTable[[#This Row],[GroupByKey]])*OutputTable[RecordedValue]))</f>
        <v>18407</v>
      </c>
    </row>
    <row r="199" spans="1:16" x14ac:dyDescent="0.25">
      <c r="A199" t="s">
        <v>67</v>
      </c>
      <c r="B199" t="s">
        <v>243</v>
      </c>
      <c r="C199">
        <v>3</v>
      </c>
      <c r="D199" t="s">
        <v>180</v>
      </c>
      <c r="E199" t="s">
        <v>154</v>
      </c>
      <c r="F199" t="s">
        <v>113</v>
      </c>
      <c r="G199">
        <v>0.78659226136369298</v>
      </c>
      <c r="H199">
        <v>0</v>
      </c>
      <c r="I199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199" cm="1">
        <f t="array" ref="J199">MAX(IF((ProjectInfoTable[ProjectName]=OutputTable[[#This Row],[ProjectName]]),(ProjectInfoTable[ProjectName]=OutputTable[[#This Row],[ProjectName]])*ProjectInfoTable[NumberOfReplications]))</f>
        <v>10</v>
      </c>
      <c r="K199" cm="1">
        <f t="array" ref="K199">IFERROR(AVERAGE(IF((OutputTable[GroupByKey]=OutputTable[[#This Row],[GroupByKey]]),(OutputTable[GroupByKey]=OutputTable[[#This Row],[GroupByKey]])*OutputTable[RecordedValue])),0)</f>
        <v>0.78490250681152463</v>
      </c>
      <c r="L199" cm="1">
        <f t="array" ref="L199">IFERROR(_xlfn.STDEV.S(IF((OutputTable[GroupByKey]=OutputTable[[#This Row],[GroupByKey]]),(OutputTable[GroupByKey]=OutputTable[[#This Row],[GroupByKey]])*OutputTable[RecordedValue])),0)</f>
        <v>0.11345978752761485</v>
      </c>
      <c r="M199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8.1164242557843561E-2</v>
      </c>
      <c r="O199" cm="1">
        <f t="array" ref="O199">MIN(IF((OutputTable[GroupByKey]=OutputTable[[#This Row],[GroupByKey]]),(OutputTable[GroupByKey]=OutputTable[[#This Row],[GroupByKey]])*OutputTable[RecordedValue]))</f>
        <v>0.58338388917401596</v>
      </c>
      <c r="P199" cm="1">
        <f t="array" ref="P199">MAX(IF((OutputTable[GroupByKey]=OutputTable[[#This Row],[GroupByKey]]),(OutputTable[GroupByKey]=OutputTable[[#This Row],[GroupByKey]])*OutputTable[RecordedValue]))</f>
        <v>0.90111632059041802</v>
      </c>
    </row>
    <row r="200" spans="1:16" x14ac:dyDescent="0.25">
      <c r="A200" t="s">
        <v>67</v>
      </c>
      <c r="B200" t="s">
        <v>243</v>
      </c>
      <c r="C200">
        <v>3</v>
      </c>
      <c r="D200" t="s">
        <v>181</v>
      </c>
      <c r="E200" t="s">
        <v>152</v>
      </c>
      <c r="F200" t="s">
        <v>113</v>
      </c>
      <c r="G200">
        <v>18404</v>
      </c>
      <c r="H200">
        <v>0</v>
      </c>
      <c r="I200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200" cm="1">
        <f t="array" ref="J200">MAX(IF((ProjectInfoTable[ProjectName]=OutputTable[[#This Row],[ProjectName]]),(ProjectInfoTable[ProjectName]=OutputTable[[#This Row],[ProjectName]])*ProjectInfoTable[NumberOfReplications]))</f>
        <v>10</v>
      </c>
      <c r="K200" cm="1">
        <f t="array" ref="K200">IFERROR(AVERAGE(IF((OutputTable[GroupByKey]=OutputTable[[#This Row],[GroupByKey]]),(OutputTable[GroupByKey]=OutputTable[[#This Row],[GroupByKey]])*OutputTable[RecordedValue])),0)</f>
        <v>18389.400000000001</v>
      </c>
      <c r="L200" cm="1">
        <f t="array" ref="L200">IFERROR(_xlfn.STDEV.S(IF((OutputTable[GroupByKey]=OutputTable[[#This Row],[GroupByKey]]),(OutputTable[GroupByKey]=OutputTable[[#This Row],[GroupByKey]])*OutputTable[RecordedValue])),0)</f>
        <v>12.103259432437566</v>
      </c>
      <c r="M200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200" cm="1">
        <f t="array" ref="O200">MIN(IF((OutputTable[GroupByKey]=OutputTable[[#This Row],[GroupByKey]]),(OutputTable[GroupByKey]=OutputTable[[#This Row],[GroupByKey]])*OutputTable[RecordedValue]))</f>
        <v>18376</v>
      </c>
      <c r="P200" cm="1">
        <f t="array" ref="P200">MAX(IF((OutputTable[GroupByKey]=OutputTable[[#This Row],[GroupByKey]]),(OutputTable[GroupByKey]=OutputTable[[#This Row],[GroupByKey]])*OutputTable[RecordedValue]))</f>
        <v>18404</v>
      </c>
    </row>
    <row r="201" spans="1:16" x14ac:dyDescent="0.25">
      <c r="A201" t="s">
        <v>67</v>
      </c>
      <c r="B201" t="s">
        <v>243</v>
      </c>
      <c r="C201">
        <v>3</v>
      </c>
      <c r="D201" t="s">
        <v>182</v>
      </c>
      <c r="E201" t="s">
        <v>154</v>
      </c>
      <c r="F201" t="s">
        <v>113</v>
      </c>
      <c r="G201">
        <v>0.15878598034017699</v>
      </c>
      <c r="H201">
        <v>0</v>
      </c>
      <c r="I201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201" cm="1">
        <f t="array" ref="J201">MAX(IF((ProjectInfoTable[ProjectName]=OutputTable[[#This Row],[ProjectName]]),(ProjectInfoTable[ProjectName]=OutputTable[[#This Row],[ProjectName]])*ProjectInfoTable[NumberOfReplications]))</f>
        <v>10</v>
      </c>
      <c r="K201" cm="1">
        <f t="array" ref="K201">IFERROR(AVERAGE(IF((OutputTable[GroupByKey]=OutputTable[[#This Row],[GroupByKey]]),(OutputTable[GroupByKey]=OutputTable[[#This Row],[GroupByKey]])*OutputTable[RecordedValue])),0)</f>
        <v>0.15879210791146151</v>
      </c>
      <c r="L201" cm="1">
        <f t="array" ref="L201">IFERROR(_xlfn.STDEV.S(IF((OutputTable[GroupByKey]=OutputTable[[#This Row],[GroupByKey]]),(OutputTable[GroupByKey]=OutputTable[[#This Row],[GroupByKey]])*OutputTable[RecordedValue])),0)</f>
        <v>8.8786593843692651E-6</v>
      </c>
      <c r="M201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6.3514103063698042E-6</v>
      </c>
      <c r="O201" cm="1">
        <f t="array" ref="O201">MIN(IF((OutputTable[GroupByKey]=OutputTable[[#This Row],[GroupByKey]]),(OutputTable[GroupByKey]=OutputTable[[#This Row],[GroupByKey]])*OutputTable[RecordedValue]))</f>
        <v>0.15877821852350199</v>
      </c>
      <c r="P201" cm="1">
        <f t="array" ref="P201">MAX(IF((OutputTable[GroupByKey]=OutputTable[[#This Row],[GroupByKey]]),(OutputTable[GroupByKey]=OutputTable[[#This Row],[GroupByKey]])*OutputTable[RecordedValue]))</f>
        <v>0.15880443244107401</v>
      </c>
    </row>
    <row r="202" spans="1:16" x14ac:dyDescent="0.25">
      <c r="A202" t="s">
        <v>67</v>
      </c>
      <c r="B202" t="s">
        <v>243</v>
      </c>
      <c r="C202">
        <v>3</v>
      </c>
      <c r="D202" t="s">
        <v>183</v>
      </c>
      <c r="E202" t="s">
        <v>152</v>
      </c>
      <c r="F202" t="s">
        <v>113</v>
      </c>
      <c r="G202">
        <v>13101</v>
      </c>
      <c r="H202">
        <v>0</v>
      </c>
      <c r="I202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202" cm="1">
        <f t="array" ref="J202">MAX(IF((ProjectInfoTable[ProjectName]=OutputTable[[#This Row],[ProjectName]]),(ProjectInfoTable[ProjectName]=OutputTable[[#This Row],[ProjectName]])*ProjectInfoTable[NumberOfReplications]))</f>
        <v>10</v>
      </c>
      <c r="K202" cm="1">
        <f t="array" ref="K202">IFERROR(AVERAGE(IF((OutputTable[GroupByKey]=OutputTable[[#This Row],[GroupByKey]]),(OutputTable[GroupByKey]=OutputTable[[#This Row],[GroupByKey]])*OutputTable[RecordedValue])),0)</f>
        <v>13103.5</v>
      </c>
      <c r="L202" cm="1">
        <f t="array" ref="L202">IFERROR(_xlfn.STDEV.S(IF((OutputTable[GroupByKey]=OutputTable[[#This Row],[GroupByKey]]),(OutputTable[GroupByKey]=OutputTable[[#This Row],[GroupByKey]])*OutputTable[RecordedValue])),0)</f>
        <v>11.443095929181249</v>
      </c>
      <c r="M202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202" cm="1">
        <f t="array" ref="O202">MIN(IF((OutputTable[GroupByKey]=OutputTable[[#This Row],[GroupByKey]]),(OutputTable[GroupByKey]=OutputTable[[#This Row],[GroupByKey]])*OutputTable[RecordedValue]))</f>
        <v>13087</v>
      </c>
      <c r="P202" cm="1">
        <f t="array" ref="P202">MAX(IF((OutputTable[GroupByKey]=OutputTable[[#This Row],[GroupByKey]]),(OutputTable[GroupByKey]=OutputTable[[#This Row],[GroupByKey]])*OutputTable[RecordedValue]))</f>
        <v>13120</v>
      </c>
    </row>
    <row r="203" spans="1:16" x14ac:dyDescent="0.25">
      <c r="A203" t="s">
        <v>67</v>
      </c>
      <c r="B203" t="s">
        <v>243</v>
      </c>
      <c r="C203">
        <v>3</v>
      </c>
      <c r="D203" t="s">
        <v>184</v>
      </c>
      <c r="E203" t="s">
        <v>154</v>
      </c>
      <c r="F203" t="s">
        <v>113</v>
      </c>
      <c r="G203">
        <v>1.0004505980906599</v>
      </c>
      <c r="H203">
        <v>0</v>
      </c>
      <c r="I203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203" cm="1">
        <f t="array" ref="J203">MAX(IF((ProjectInfoTable[ProjectName]=OutputTable[[#This Row],[ProjectName]]),(ProjectInfoTable[ProjectName]=OutputTable[[#This Row],[ProjectName]])*ProjectInfoTable[NumberOfReplications]))</f>
        <v>10</v>
      </c>
      <c r="K203" cm="1">
        <f t="array" ref="K203">IFERROR(AVERAGE(IF((OutputTable[GroupByKey]=OutputTable[[#This Row],[GroupByKey]]),(OutputTable[GroupByKey]=OutputTable[[#This Row],[GroupByKey]])*OutputTable[RecordedValue])),0)</f>
        <v>1.0004814685732331</v>
      </c>
      <c r="L203" cm="1">
        <f t="array" ref="L203">IFERROR(_xlfn.STDEV.S(IF((OutputTable[GroupByKey]=OutputTable[[#This Row],[GroupByKey]]),(OutputTable[GroupByKey]=OutputTable[[#This Row],[GroupByKey]])*OutputTable[RecordedValue])),0)</f>
        <v>7.4280555176725285E-5</v>
      </c>
      <c r="M203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5.3137108125005439E-5</v>
      </c>
      <c r="O203" cm="1">
        <f t="array" ref="O203">MIN(IF((OutputTable[GroupByKey]=OutputTable[[#This Row],[GroupByKey]]),(OutputTable[GroupByKey]=OutputTable[[#This Row],[GroupByKey]])*OutputTable[RecordedValue]))</f>
        <v>1.00039897320567</v>
      </c>
      <c r="P203" cm="1">
        <f t="array" ref="P203">MAX(IF((OutputTable[GroupByKey]=OutputTable[[#This Row],[GroupByKey]]),(OutputTable[GroupByKey]=OutputTable[[#This Row],[GroupByKey]])*OutputTable[RecordedValue]))</f>
        <v>1.00059414734778</v>
      </c>
    </row>
    <row r="204" spans="1:16" x14ac:dyDescent="0.25">
      <c r="A204" t="s">
        <v>67</v>
      </c>
      <c r="B204" t="s">
        <v>243</v>
      </c>
      <c r="C204">
        <v>3</v>
      </c>
      <c r="D204" t="s">
        <v>185</v>
      </c>
      <c r="E204" t="s">
        <v>152</v>
      </c>
      <c r="F204" t="s">
        <v>113</v>
      </c>
      <c r="G204">
        <v>13097</v>
      </c>
      <c r="H204">
        <v>0</v>
      </c>
      <c r="I204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204" cm="1">
        <f t="array" ref="J204">MAX(IF((ProjectInfoTable[ProjectName]=OutputTable[[#This Row],[ProjectName]]),(ProjectInfoTable[ProjectName]=OutputTable[[#This Row],[ProjectName]])*ProjectInfoTable[NumberOfReplications]))</f>
        <v>10</v>
      </c>
      <c r="K204" cm="1">
        <f t="array" ref="K204">IFERROR(AVERAGE(IF((OutputTable[GroupByKey]=OutputTable[[#This Row],[GroupByKey]]),(OutputTable[GroupByKey]=OutputTable[[#This Row],[GroupByKey]])*OutputTable[RecordedValue])),0)</f>
        <v>13100.1</v>
      </c>
      <c r="L204" cm="1">
        <f t="array" ref="L204">IFERROR(_xlfn.STDEV.S(IF((OutputTable[GroupByKey]=OutputTable[[#This Row],[GroupByKey]]),(OutputTable[GroupByKey]=OutputTable[[#This Row],[GroupByKey]])*OutputTable[RecordedValue])),0)</f>
        <v>11.46443776786866</v>
      </c>
      <c r="M204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204" cm="1">
        <f t="array" ref="O204">MIN(IF((OutputTable[GroupByKey]=OutputTable[[#This Row],[GroupByKey]]),(OutputTable[GroupByKey]=OutputTable[[#This Row],[GroupByKey]])*OutputTable[RecordedValue]))</f>
        <v>13083</v>
      </c>
      <c r="P204" cm="1">
        <f t="array" ref="P204">MAX(IF((OutputTable[GroupByKey]=OutputTable[[#This Row],[GroupByKey]]),(OutputTable[GroupByKey]=OutputTable[[#This Row],[GroupByKey]])*OutputTable[RecordedValue]))</f>
        <v>13118</v>
      </c>
    </row>
    <row r="205" spans="1:16" x14ac:dyDescent="0.25">
      <c r="A205" t="s">
        <v>67</v>
      </c>
      <c r="B205" t="s">
        <v>243</v>
      </c>
      <c r="C205">
        <v>3</v>
      </c>
      <c r="D205" t="s">
        <v>186</v>
      </c>
      <c r="E205" t="s">
        <v>154</v>
      </c>
      <c r="F205" t="s">
        <v>113</v>
      </c>
      <c r="G205">
        <v>0.72818484649612103</v>
      </c>
      <c r="H205">
        <v>0</v>
      </c>
      <c r="I205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205" cm="1">
        <f t="array" ref="J205">MAX(IF((ProjectInfoTable[ProjectName]=OutputTable[[#This Row],[ProjectName]]),(ProjectInfoTable[ProjectName]=OutputTable[[#This Row],[ProjectName]])*ProjectInfoTable[NumberOfReplications]))</f>
        <v>10</v>
      </c>
      <c r="K205" cm="1">
        <f t="array" ref="K205">IFERROR(AVERAGE(IF((OutputTable[GroupByKey]=OutputTable[[#This Row],[GroupByKey]]),(OutputTable[GroupByKey]=OutputTable[[#This Row],[GroupByKey]])*OutputTable[RecordedValue])),0)</f>
        <v>0.7279059511079462</v>
      </c>
      <c r="L205" cm="1">
        <f t="array" ref="L205">IFERROR(_xlfn.STDEV.S(IF((OutputTable[GroupByKey]=OutputTable[[#This Row],[GroupByKey]]),(OutputTable[GroupByKey]=OutputTable[[#This Row],[GroupByKey]])*OutputTable[RecordedValue])),0)</f>
        <v>7.0848304180243249E-4</v>
      </c>
      <c r="M20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5.0681823671647316E-4</v>
      </c>
      <c r="O205" cm="1">
        <f t="array" ref="O205">MIN(IF((OutputTable[GroupByKey]=OutputTable[[#This Row],[GroupByKey]]),(OutputTable[GroupByKey]=OutputTable[[#This Row],[GroupByKey]])*OutputTable[RecordedValue]))</f>
        <v>0.72665767143328297</v>
      </c>
      <c r="P205" cm="1">
        <f t="array" ref="P205">MAX(IF((OutputTable[GroupByKey]=OutputTable[[#This Row],[GroupByKey]]),(OutputTable[GroupByKey]=OutputTable[[#This Row],[GroupByKey]])*OutputTable[RecordedValue]))</f>
        <v>0.72896261310967603</v>
      </c>
    </row>
    <row r="206" spans="1:16" x14ac:dyDescent="0.25">
      <c r="A206" t="s">
        <v>67</v>
      </c>
      <c r="B206" t="s">
        <v>243</v>
      </c>
      <c r="C206">
        <v>3</v>
      </c>
      <c r="D206" t="s">
        <v>187</v>
      </c>
      <c r="E206" t="s">
        <v>152</v>
      </c>
      <c r="F206" t="s">
        <v>113</v>
      </c>
      <c r="G206">
        <v>13097</v>
      </c>
      <c r="H206">
        <v>0</v>
      </c>
      <c r="I206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206" cm="1">
        <f t="array" ref="J206">MAX(IF((ProjectInfoTable[ProjectName]=OutputTable[[#This Row],[ProjectName]]),(ProjectInfoTable[ProjectName]=OutputTable[[#This Row],[ProjectName]])*ProjectInfoTable[NumberOfReplications]))</f>
        <v>10</v>
      </c>
      <c r="K206" cm="1">
        <f t="array" ref="K206">IFERROR(AVERAGE(IF((OutputTable[GroupByKey]=OutputTable[[#This Row],[GroupByKey]]),(OutputTable[GroupByKey]=OutputTable[[#This Row],[GroupByKey]])*OutputTable[RecordedValue])),0)</f>
        <v>13099.9</v>
      </c>
      <c r="L206" cm="1">
        <f t="array" ref="L206">IFERROR(_xlfn.STDEV.S(IF((OutputTable[GroupByKey]=OutputTable[[#This Row],[GroupByKey]]),(OutputTable[GroupByKey]=OutputTable[[#This Row],[GroupByKey]])*OutputTable[RecordedValue])),0)</f>
        <v>11.761046816598522</v>
      </c>
      <c r="M206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206" cm="1">
        <f t="array" ref="O206">MIN(IF((OutputTable[GroupByKey]=OutputTable[[#This Row],[GroupByKey]]),(OutputTable[GroupByKey]=OutputTable[[#This Row],[GroupByKey]])*OutputTable[RecordedValue]))</f>
        <v>13082</v>
      </c>
      <c r="P206" cm="1">
        <f t="array" ref="P206">MAX(IF((OutputTable[GroupByKey]=OutputTable[[#This Row],[GroupByKey]]),(OutputTable[GroupByKey]=OutputTable[[#This Row],[GroupByKey]])*OutputTable[RecordedValue]))</f>
        <v>13118</v>
      </c>
    </row>
    <row r="207" spans="1:16" x14ac:dyDescent="0.25">
      <c r="A207" t="s">
        <v>67</v>
      </c>
      <c r="B207" t="s">
        <v>243</v>
      </c>
      <c r="C207">
        <v>3</v>
      </c>
      <c r="D207" t="s">
        <v>188</v>
      </c>
      <c r="E207" t="s">
        <v>154</v>
      </c>
      <c r="F207" t="s">
        <v>113</v>
      </c>
      <c r="G207">
        <v>0.95531008168160303</v>
      </c>
      <c r="H207">
        <v>0</v>
      </c>
      <c r="I207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207" cm="1">
        <f t="array" ref="J207">MAX(IF((ProjectInfoTable[ProjectName]=OutputTable[[#This Row],[ProjectName]]),(ProjectInfoTable[ProjectName]=OutputTable[[#This Row],[ProjectName]])*ProjectInfoTable[NumberOfReplications]))</f>
        <v>10</v>
      </c>
      <c r="K207" cm="1">
        <f t="array" ref="K207">IFERROR(AVERAGE(IF((OutputTable[GroupByKey]=OutputTable[[#This Row],[GroupByKey]]),(OutputTable[GroupByKey]=OutputTable[[#This Row],[GroupByKey]])*OutputTable[RecordedValue])),0)</f>
        <v>0.95483842565389732</v>
      </c>
      <c r="L207" cm="1">
        <f t="array" ref="L207">IFERROR(_xlfn.STDEV.S(IF((OutputTable[GroupByKey]=OutputTable[[#This Row],[GroupByKey]]),(OutputTable[GroupByKey]=OutputTable[[#This Row],[GroupByKey]])*OutputTable[RecordedValue])),0)</f>
        <v>7.6849017135544289E-4</v>
      </c>
      <c r="M207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5.497447512496955E-4</v>
      </c>
      <c r="O207" cm="1">
        <f t="array" ref="O207">MIN(IF((OutputTable[GroupByKey]=OutputTable[[#This Row],[GroupByKey]]),(OutputTable[GroupByKey]=OutputTable[[#This Row],[GroupByKey]])*OutputTable[RecordedValue]))</f>
        <v>0.95348679569453398</v>
      </c>
      <c r="P207" cm="1">
        <f t="array" ref="P207">MAX(IF((OutputTable[GroupByKey]=OutputTable[[#This Row],[GroupByKey]]),(OutputTable[GroupByKey]=OutputTable[[#This Row],[GroupByKey]])*OutputTable[RecordedValue]))</f>
        <v>0.95588678098879198</v>
      </c>
    </row>
    <row r="208" spans="1:16" x14ac:dyDescent="0.25">
      <c r="A208" t="s">
        <v>67</v>
      </c>
      <c r="B208" t="s">
        <v>243</v>
      </c>
      <c r="C208">
        <v>3</v>
      </c>
      <c r="D208" t="s">
        <v>189</v>
      </c>
      <c r="E208" t="s">
        <v>152</v>
      </c>
      <c r="F208" t="s">
        <v>113</v>
      </c>
      <c r="G208">
        <v>8245</v>
      </c>
      <c r="H208">
        <v>0</v>
      </c>
      <c r="I208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208" cm="1">
        <f t="array" ref="J208">MAX(IF((ProjectInfoTable[ProjectName]=OutputTable[[#This Row],[ProjectName]]),(ProjectInfoTable[ProjectName]=OutputTable[[#This Row],[ProjectName]])*ProjectInfoTable[NumberOfReplications]))</f>
        <v>10</v>
      </c>
      <c r="K208" cm="1">
        <f t="array" ref="K208">IFERROR(AVERAGE(IF((OutputTable[GroupByKey]=OutputTable[[#This Row],[GroupByKey]]),(OutputTable[GroupByKey]=OutputTable[[#This Row],[GroupByKey]])*OutputTable[RecordedValue])),0)</f>
        <v>8235</v>
      </c>
      <c r="L208" cm="1">
        <f t="array" ref="L208">IFERROR(_xlfn.STDEV.S(IF((OutputTable[GroupByKey]=OutputTable[[#This Row],[GroupByKey]]),(OutputTable[GroupByKey]=OutputTable[[#This Row],[GroupByKey]])*OutputTable[RecordedValue])),0)</f>
        <v>6.5659052011974035</v>
      </c>
      <c r="M208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208" cm="1">
        <f t="array" ref="O208">MIN(IF((OutputTable[GroupByKey]=OutputTable[[#This Row],[GroupByKey]]),(OutputTable[GroupByKey]=OutputTable[[#This Row],[GroupByKey]])*OutputTable[RecordedValue]))</f>
        <v>8223</v>
      </c>
      <c r="P208" cm="1">
        <f t="array" ref="P208">MAX(IF((OutputTable[GroupByKey]=OutputTable[[#This Row],[GroupByKey]]),(OutputTable[GroupByKey]=OutputTable[[#This Row],[GroupByKey]])*OutputTable[RecordedValue]))</f>
        <v>8245</v>
      </c>
    </row>
    <row r="209" spans="1:16" x14ac:dyDescent="0.25">
      <c r="A209" t="s">
        <v>67</v>
      </c>
      <c r="B209" t="s">
        <v>243</v>
      </c>
      <c r="C209">
        <v>3</v>
      </c>
      <c r="D209" t="s">
        <v>190</v>
      </c>
      <c r="E209" t="s">
        <v>154</v>
      </c>
      <c r="F209" t="s">
        <v>113</v>
      </c>
      <c r="G209">
        <v>0.486993751894433</v>
      </c>
      <c r="H209">
        <v>0</v>
      </c>
      <c r="I209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209" cm="1">
        <f t="array" ref="J209">MAX(IF((ProjectInfoTable[ProjectName]=OutputTable[[#This Row],[ProjectName]]),(ProjectInfoTable[ProjectName]=OutputTable[[#This Row],[ProjectName]])*ProjectInfoTable[NumberOfReplications]))</f>
        <v>10</v>
      </c>
      <c r="K209" cm="1">
        <f t="array" ref="K209">IFERROR(AVERAGE(IF((OutputTable[GroupByKey]=OutputTable[[#This Row],[GroupByKey]]),(OutputTable[GroupByKey]=OutputTable[[#This Row],[GroupByKey]])*OutputTable[RecordedValue])),0)</f>
        <v>0.48622459141633045</v>
      </c>
      <c r="L209" cm="1">
        <f t="array" ref="L209">IFERROR(_xlfn.STDEV.S(IF((OutputTable[GroupByKey]=OutputTable[[#This Row],[GroupByKey]]),(OutputTable[GroupByKey]=OutputTable[[#This Row],[GroupByKey]])*OutputTable[RecordedValue])),0)</f>
        <v>7.2585329819825151E-4</v>
      </c>
      <c r="M209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5.1924416958770345E-4</v>
      </c>
      <c r="O209" cm="1">
        <f t="array" ref="O209">MIN(IF((OutputTable[GroupByKey]=OutputTable[[#This Row],[GroupByKey]]),(OutputTable[GroupByKey]=OutputTable[[#This Row],[GroupByKey]])*OutputTable[RecordedValue]))</f>
        <v>0.48503601840289501</v>
      </c>
      <c r="P209" cm="1">
        <f t="array" ref="P209">MAX(IF((OutputTable[GroupByKey]=OutputTable[[#This Row],[GroupByKey]]),(OutputTable[GroupByKey]=OutputTable[[#This Row],[GroupByKey]])*OutputTable[RecordedValue]))</f>
        <v>0.48724920721519499</v>
      </c>
    </row>
    <row r="210" spans="1:16" x14ac:dyDescent="0.25">
      <c r="A210" t="s">
        <v>67</v>
      </c>
      <c r="B210" t="s">
        <v>243</v>
      </c>
      <c r="C210">
        <v>3</v>
      </c>
      <c r="D210" t="s">
        <v>191</v>
      </c>
      <c r="E210" t="s">
        <v>152</v>
      </c>
      <c r="F210" t="s">
        <v>113</v>
      </c>
      <c r="G210">
        <v>8243</v>
      </c>
      <c r="H210">
        <v>0</v>
      </c>
      <c r="I210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210" cm="1">
        <f t="array" ref="J210">MAX(IF((ProjectInfoTable[ProjectName]=OutputTable[[#This Row],[ProjectName]]),(ProjectInfoTable[ProjectName]=OutputTable[[#This Row],[ProjectName]])*ProjectInfoTable[NumberOfReplications]))</f>
        <v>10</v>
      </c>
      <c r="K210" cm="1">
        <f t="array" ref="K210">IFERROR(AVERAGE(IF((OutputTable[GroupByKey]=OutputTable[[#This Row],[GroupByKey]]),(OutputTable[GroupByKey]=OutputTable[[#This Row],[GroupByKey]])*OutputTable[RecordedValue])),0)</f>
        <v>8233.5</v>
      </c>
      <c r="L210" cm="1">
        <f t="array" ref="L210">IFERROR(_xlfn.STDEV.S(IF((OutputTable[GroupByKey]=OutputTable[[#This Row],[GroupByKey]]),(OutputTable[GroupByKey]=OutputTable[[#This Row],[GroupByKey]])*OutputTable[RecordedValue])),0)</f>
        <v>6.5021364010437201</v>
      </c>
      <c r="M210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210" cm="1">
        <f t="array" ref="O210">MIN(IF((OutputTable[GroupByKey]=OutputTable[[#This Row],[GroupByKey]]),(OutputTable[GroupByKey]=OutputTable[[#This Row],[GroupByKey]])*OutputTable[RecordedValue]))</f>
        <v>8221</v>
      </c>
      <c r="P210" cm="1">
        <f t="array" ref="P210">MAX(IF((OutputTable[GroupByKey]=OutputTable[[#This Row],[GroupByKey]]),(OutputTable[GroupByKey]=OutputTable[[#This Row],[GroupByKey]])*OutputTable[RecordedValue]))</f>
        <v>8243</v>
      </c>
    </row>
    <row r="211" spans="1:16" x14ac:dyDescent="0.25">
      <c r="A211" t="s">
        <v>67</v>
      </c>
      <c r="B211" t="s">
        <v>243</v>
      </c>
      <c r="C211">
        <v>3</v>
      </c>
      <c r="D211" t="s">
        <v>192</v>
      </c>
      <c r="E211" t="s">
        <v>154</v>
      </c>
      <c r="F211" t="s">
        <v>113</v>
      </c>
      <c r="G211">
        <v>0.57294957522841605</v>
      </c>
      <c r="H211">
        <v>0</v>
      </c>
      <c r="I211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211" cm="1">
        <f t="array" ref="J211">MAX(IF((ProjectInfoTable[ProjectName]=OutputTable[[#This Row],[ProjectName]]),(ProjectInfoTable[ProjectName]=OutputTable[[#This Row],[ProjectName]])*ProjectInfoTable[NumberOfReplications]))</f>
        <v>10</v>
      </c>
      <c r="K211" cm="1">
        <f t="array" ref="K211">IFERROR(AVERAGE(IF((OutputTable[GroupByKey]=OutputTable[[#This Row],[GroupByKey]]),(OutputTable[GroupByKey]=OutputTable[[#This Row],[GroupByKey]])*OutputTable[RecordedValue])),0)</f>
        <v>0.57195959594019841</v>
      </c>
      <c r="L211" cm="1">
        <f t="array" ref="L211">IFERROR(_xlfn.STDEV.S(IF((OutputTable[GroupByKey]=OutputTable[[#This Row],[GroupByKey]]),(OutputTable[GroupByKey]=OutputTable[[#This Row],[GroupByKey]])*OutputTable[RecordedValue])),0)</f>
        <v>5.0695895005827636E-4</v>
      </c>
      <c r="M211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3.6265658596782525E-4</v>
      </c>
      <c r="O211" cm="1">
        <f t="array" ref="O211">MIN(IF((OutputTable[GroupByKey]=OutputTable[[#This Row],[GroupByKey]]),(OutputTable[GroupByKey]=OutputTable[[#This Row],[GroupByKey]])*OutputTable[RecordedValue]))</f>
        <v>0.57115702440598504</v>
      </c>
      <c r="P211" cm="1">
        <f t="array" ref="P211">MAX(IF((OutputTable[GroupByKey]=OutputTable[[#This Row],[GroupByKey]]),(OutputTable[GroupByKey]=OutputTable[[#This Row],[GroupByKey]])*OutputTable[RecordedValue]))</f>
        <v>0.57294957522841605</v>
      </c>
    </row>
    <row r="212" spans="1:16" x14ac:dyDescent="0.25">
      <c r="A212" t="s">
        <v>67</v>
      </c>
      <c r="B212" t="s">
        <v>243</v>
      </c>
      <c r="C212">
        <v>3</v>
      </c>
      <c r="D212" t="s">
        <v>193</v>
      </c>
      <c r="E212" t="s">
        <v>152</v>
      </c>
      <c r="F212" t="s">
        <v>113</v>
      </c>
      <c r="G212">
        <v>8241</v>
      </c>
      <c r="H212">
        <v>0</v>
      </c>
      <c r="I212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212" cm="1">
        <f t="array" ref="J212">MAX(IF((ProjectInfoTable[ProjectName]=OutputTable[[#This Row],[ProjectName]]),(ProjectInfoTable[ProjectName]=OutputTable[[#This Row],[ProjectName]])*ProjectInfoTable[NumberOfReplications]))</f>
        <v>10</v>
      </c>
      <c r="K212" cm="1">
        <f t="array" ref="K212">IFERROR(AVERAGE(IF((OutputTable[GroupByKey]=OutputTable[[#This Row],[GroupByKey]]),(OutputTable[GroupByKey]=OutputTable[[#This Row],[GroupByKey]])*OutputTable[RecordedValue])),0)</f>
        <v>8231.5</v>
      </c>
      <c r="L212" cm="1">
        <f t="array" ref="L212">IFERROR(_xlfn.STDEV.S(IF((OutputTable[GroupByKey]=OutputTable[[#This Row],[GroupByKey]]),(OutputTable[GroupByKey]=OutputTable[[#This Row],[GroupByKey]])*OutputTable[RecordedValue])),0)</f>
        <v>6.3464775882199236</v>
      </c>
      <c r="M212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212" cm="1">
        <f t="array" ref="O212">MIN(IF((OutputTable[GroupByKey]=OutputTable[[#This Row],[GroupByKey]]),(OutputTable[GroupByKey]=OutputTable[[#This Row],[GroupByKey]])*OutputTable[RecordedValue]))</f>
        <v>8220</v>
      </c>
      <c r="P212" cm="1">
        <f t="array" ref="P212">MAX(IF((OutputTable[GroupByKey]=OutputTable[[#This Row],[GroupByKey]]),(OutputTable[GroupByKey]=OutputTable[[#This Row],[GroupByKey]])*OutputTable[RecordedValue]))</f>
        <v>8241</v>
      </c>
    </row>
    <row r="213" spans="1:16" x14ac:dyDescent="0.25">
      <c r="A213" t="s">
        <v>67</v>
      </c>
      <c r="B213" t="s">
        <v>243</v>
      </c>
      <c r="C213">
        <v>3</v>
      </c>
      <c r="D213" t="s">
        <v>194</v>
      </c>
      <c r="E213" t="s">
        <v>154</v>
      </c>
      <c r="F213" t="s">
        <v>113</v>
      </c>
      <c r="G213">
        <v>1.0005168246418199</v>
      </c>
      <c r="H213">
        <v>0</v>
      </c>
      <c r="I213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213" cm="1">
        <f t="array" ref="J213">MAX(IF((ProjectInfoTable[ProjectName]=OutputTable[[#This Row],[ProjectName]]),(ProjectInfoTable[ProjectName]=OutputTable[[#This Row],[ProjectName]])*ProjectInfoTable[NumberOfReplications]))</f>
        <v>10</v>
      </c>
      <c r="K213" cm="1">
        <f t="array" ref="K213">IFERROR(AVERAGE(IF((OutputTable[GroupByKey]=OutputTable[[#This Row],[GroupByKey]]),(OutputTable[GroupByKey]=OutputTable[[#This Row],[GroupByKey]])*OutputTable[RecordedValue])),0)</f>
        <v>1.0004557942559711</v>
      </c>
      <c r="L213" cm="1">
        <f t="array" ref="L213">IFERROR(_xlfn.STDEV.S(IF((OutputTable[GroupByKey]=OutputTable[[#This Row],[GroupByKey]]),(OutputTable[GroupByKey]=OutputTable[[#This Row],[GroupByKey]])*OutputTable[RecordedValue])),0)</f>
        <v>1.6760007580081014E-4</v>
      </c>
      <c r="M213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1.1989387166531641E-4</v>
      </c>
      <c r="O213" cm="1">
        <f t="array" ref="O213">MIN(IF((OutputTable[GroupByKey]=OutputTable[[#This Row],[GroupByKey]]),(OutputTable[GroupByKey]=OutputTable[[#This Row],[GroupByKey]])*OutputTable[RecordedValue]))</f>
        <v>1.0000655989645</v>
      </c>
      <c r="P213" cm="1">
        <f t="array" ref="P213">MAX(IF((OutputTable[GroupByKey]=OutputTable[[#This Row],[GroupByKey]]),(OutputTable[GroupByKey]=OutputTable[[#This Row],[GroupByKey]])*OutputTable[RecordedValue]))</f>
        <v>1.00068312738094</v>
      </c>
    </row>
    <row r="214" spans="1:16" x14ac:dyDescent="0.25">
      <c r="A214" t="s">
        <v>67</v>
      </c>
      <c r="B214" t="s">
        <v>243</v>
      </c>
      <c r="C214">
        <v>3</v>
      </c>
      <c r="D214" t="s">
        <v>195</v>
      </c>
      <c r="E214" t="s">
        <v>152</v>
      </c>
      <c r="F214" t="s">
        <v>113</v>
      </c>
      <c r="G214">
        <v>8237</v>
      </c>
      <c r="H214">
        <v>0</v>
      </c>
      <c r="I214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214" cm="1">
        <f t="array" ref="J214">MAX(IF((ProjectInfoTable[ProjectName]=OutputTable[[#This Row],[ProjectName]]),(ProjectInfoTable[ProjectName]=OutputTable[[#This Row],[ProjectName]])*ProjectInfoTable[NumberOfReplications]))</f>
        <v>10</v>
      </c>
      <c r="K214" cm="1">
        <f t="array" ref="K214">IFERROR(AVERAGE(IF((OutputTable[GroupByKey]=OutputTable[[#This Row],[GroupByKey]]),(OutputTable[GroupByKey]=OutputTable[[#This Row],[GroupByKey]])*OutputTable[RecordedValue])),0)</f>
        <v>8227.7000000000007</v>
      </c>
      <c r="L214" cm="1">
        <f t="array" ref="L214">IFERROR(_xlfn.STDEV.S(IF((OutputTable[GroupByKey]=OutputTable[[#This Row],[GroupByKey]]),(OutputTable[GroupByKey]=OutputTable[[#This Row],[GroupByKey]])*OutputTable[RecordedValue])),0)</f>
        <v>6.2902040242480748</v>
      </c>
      <c r="M214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214" cm="1">
        <f t="array" ref="O214">MIN(IF((OutputTable[GroupByKey]=OutputTable[[#This Row],[GroupByKey]]),(OutputTable[GroupByKey]=OutputTable[[#This Row],[GroupByKey]])*OutputTable[RecordedValue]))</f>
        <v>8216</v>
      </c>
      <c r="P214" cm="1">
        <f t="array" ref="P214">MAX(IF((OutputTable[GroupByKey]=OutputTable[[#This Row],[GroupByKey]]),(OutputTable[GroupByKey]=OutputTable[[#This Row],[GroupByKey]])*OutputTable[RecordedValue]))</f>
        <v>8237</v>
      </c>
    </row>
    <row r="215" spans="1:16" x14ac:dyDescent="0.25">
      <c r="A215" t="s">
        <v>67</v>
      </c>
      <c r="B215" t="s">
        <v>243</v>
      </c>
      <c r="C215">
        <v>3</v>
      </c>
      <c r="D215" t="s">
        <v>196</v>
      </c>
      <c r="E215" t="s">
        <v>154</v>
      </c>
      <c r="F215" t="s">
        <v>113</v>
      </c>
      <c r="G215">
        <v>0.628044917832012</v>
      </c>
      <c r="H215">
        <v>0</v>
      </c>
      <c r="I215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215" cm="1">
        <f t="array" ref="J215">MAX(IF((ProjectInfoTable[ProjectName]=OutputTable[[#This Row],[ProjectName]]),(ProjectInfoTable[ProjectName]=OutputTable[[#This Row],[ProjectName]])*ProjectInfoTable[NumberOfReplications]))</f>
        <v>10</v>
      </c>
      <c r="K215" cm="1">
        <f t="array" ref="K215">IFERROR(AVERAGE(IF((OutputTable[GroupByKey]=OutputTable[[#This Row],[GroupByKey]]),(OutputTable[GroupByKey]=OutputTable[[#This Row],[GroupByKey]])*OutputTable[RecordedValue])),0)</f>
        <v>0.62814585354256225</v>
      </c>
      <c r="L215" cm="1">
        <f t="array" ref="L215">IFERROR(_xlfn.STDEV.S(IF((OutputTable[GroupByKey]=OutputTable[[#This Row],[GroupByKey]]),(OutputTable[GroupByKey]=OutputTable[[#This Row],[GroupByKey]])*OutputTable[RecordedValue])),0)</f>
        <v>7.7648569130547428E-4</v>
      </c>
      <c r="M21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5.5546440166277669E-4</v>
      </c>
      <c r="O215" cm="1">
        <f t="array" ref="O215">MIN(IF((OutputTable[GroupByKey]=OutputTable[[#This Row],[GroupByKey]]),(OutputTable[GroupByKey]=OutputTable[[#This Row],[GroupByKey]])*OutputTable[RecordedValue]))</f>
        <v>0.62668997340539101</v>
      </c>
      <c r="P215" cm="1">
        <f t="array" ref="P215">MAX(IF((OutputTable[GroupByKey]=OutputTable[[#This Row],[GroupByKey]]),(OutputTable[GroupByKey]=OutputTable[[#This Row],[GroupByKey]])*OutputTable[RecordedValue]))</f>
        <v>0.629372102267024</v>
      </c>
    </row>
    <row r="216" spans="1:16" x14ac:dyDescent="0.25">
      <c r="A216" t="s">
        <v>67</v>
      </c>
      <c r="B216" t="s">
        <v>243</v>
      </c>
      <c r="C216">
        <v>3</v>
      </c>
      <c r="D216" t="s">
        <v>197</v>
      </c>
      <c r="E216" t="s">
        <v>152</v>
      </c>
      <c r="F216" t="s">
        <v>113</v>
      </c>
      <c r="G216">
        <v>18407</v>
      </c>
      <c r="H216">
        <v>0</v>
      </c>
      <c r="I216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216" cm="1">
        <f t="array" ref="J216">MAX(IF((ProjectInfoTable[ProjectName]=OutputTable[[#This Row],[ProjectName]]),(ProjectInfoTable[ProjectName]=OutputTable[[#This Row],[ProjectName]])*ProjectInfoTable[NumberOfReplications]))</f>
        <v>10</v>
      </c>
      <c r="K216" cm="1">
        <f t="array" ref="K216">IFERROR(AVERAGE(IF((OutputTable[GroupByKey]=OutputTable[[#This Row],[GroupByKey]]),(OutputTable[GroupByKey]=OutputTable[[#This Row],[GroupByKey]])*OutputTable[RecordedValue])),0)</f>
        <v>18392</v>
      </c>
      <c r="L216" cm="1">
        <f t="array" ref="L216">IFERROR(_xlfn.STDEV.S(IF((OutputTable[GroupByKey]=OutputTable[[#This Row],[GroupByKey]]),(OutputTable[GroupByKey]=OutputTable[[#This Row],[GroupByKey]])*OutputTable[RecordedValue])),0)</f>
        <v>12.884098726725126</v>
      </c>
      <c r="M216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216" cm="1">
        <f t="array" ref="O216">MIN(IF((OutputTable[GroupByKey]=OutputTable[[#This Row],[GroupByKey]]),(OutputTable[GroupByKey]=OutputTable[[#This Row],[GroupByKey]])*OutputTable[RecordedValue]))</f>
        <v>18376</v>
      </c>
      <c r="P216" cm="1">
        <f t="array" ref="P216">MAX(IF((OutputTable[GroupByKey]=OutputTable[[#This Row],[GroupByKey]]),(OutputTable[GroupByKey]=OutputTable[[#This Row],[GroupByKey]])*OutputTable[RecordedValue]))</f>
        <v>18407</v>
      </c>
    </row>
    <row r="217" spans="1:16" x14ac:dyDescent="0.25">
      <c r="A217" t="s">
        <v>67</v>
      </c>
      <c r="B217" t="s">
        <v>243</v>
      </c>
      <c r="C217">
        <v>3</v>
      </c>
      <c r="D217" t="s">
        <v>198</v>
      </c>
      <c r="E217" t="s">
        <v>154</v>
      </c>
      <c r="F217" t="s">
        <v>113</v>
      </c>
      <c r="G217">
        <v>0.95797551144508297</v>
      </c>
      <c r="H217">
        <v>0</v>
      </c>
      <c r="I217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217" cm="1">
        <f t="array" ref="J217">MAX(IF((ProjectInfoTable[ProjectName]=OutputTable[[#This Row],[ProjectName]]),(ProjectInfoTable[ProjectName]=OutputTable[[#This Row],[ProjectName]])*ProjectInfoTable[NumberOfReplications]))</f>
        <v>10</v>
      </c>
      <c r="K217" cm="1">
        <f t="array" ref="K217">IFERROR(AVERAGE(IF((OutputTable[GroupByKey]=OutputTable[[#This Row],[GroupByKey]]),(OutputTable[GroupByKey]=OutputTable[[#This Row],[GroupByKey]])*OutputTable[RecordedValue])),0)</f>
        <v>0.9578548406389944</v>
      </c>
      <c r="L217" cm="1">
        <f t="array" ref="L217">IFERROR(_xlfn.STDEV.S(IF((OutputTable[GroupByKey]=OutputTable[[#This Row],[GroupByKey]]),(OutputTable[GroupByKey]=OutputTable[[#This Row],[GroupByKey]])*OutputTable[RecordedValue])),0)</f>
        <v>7.0772834598480485E-4</v>
      </c>
      <c r="M217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5.0627835985142609E-4</v>
      </c>
      <c r="O217" cm="1">
        <f t="array" ref="O217">MIN(IF((OutputTable[GroupByKey]=OutputTable[[#This Row],[GroupByKey]]),(OutputTable[GroupByKey]=OutputTable[[#This Row],[GroupByKey]])*OutputTable[RecordedValue]))</f>
        <v>0.95655010461043799</v>
      </c>
      <c r="P217" cm="1">
        <f t="array" ref="P217">MAX(IF((OutputTable[GroupByKey]=OutputTable[[#This Row],[GroupByKey]]),(OutputTable[GroupByKey]=OutputTable[[#This Row],[GroupByKey]])*OutputTable[RecordedValue]))</f>
        <v>0.95869742508961697</v>
      </c>
    </row>
    <row r="218" spans="1:16" x14ac:dyDescent="0.25">
      <c r="A218" t="s">
        <v>67</v>
      </c>
      <c r="B218" t="s">
        <v>243</v>
      </c>
      <c r="C218">
        <v>3</v>
      </c>
      <c r="D218" t="s">
        <v>199</v>
      </c>
      <c r="E218" t="s">
        <v>152</v>
      </c>
      <c r="F218" t="s">
        <v>113</v>
      </c>
      <c r="G218">
        <v>18404</v>
      </c>
      <c r="H218">
        <v>0</v>
      </c>
      <c r="I218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218" cm="1">
        <f t="array" ref="J218">MAX(IF((ProjectInfoTable[ProjectName]=OutputTable[[#This Row],[ProjectName]]),(ProjectInfoTable[ProjectName]=OutputTable[[#This Row],[ProjectName]])*ProjectInfoTable[NumberOfReplications]))</f>
        <v>10</v>
      </c>
      <c r="K218" cm="1">
        <f t="array" ref="K218">IFERROR(AVERAGE(IF((OutputTable[GroupByKey]=OutputTable[[#This Row],[GroupByKey]]),(OutputTable[GroupByKey]=OutputTable[[#This Row],[GroupByKey]])*OutputTable[RecordedValue])),0)</f>
        <v>18389.400000000001</v>
      </c>
      <c r="L218" cm="1">
        <f t="array" ref="L218">IFERROR(_xlfn.STDEV.S(IF((OutputTable[GroupByKey]=OutputTable[[#This Row],[GroupByKey]]),(OutputTable[GroupByKey]=OutputTable[[#This Row],[GroupByKey]])*OutputTable[RecordedValue])),0)</f>
        <v>12.103259432437566</v>
      </c>
      <c r="M218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218" cm="1">
        <f t="array" ref="O218">MIN(IF((OutputTable[GroupByKey]=OutputTable[[#This Row],[GroupByKey]]),(OutputTable[GroupByKey]=OutputTable[[#This Row],[GroupByKey]])*OutputTable[RecordedValue]))</f>
        <v>18376</v>
      </c>
      <c r="P218" cm="1">
        <f t="array" ref="P218">MAX(IF((OutputTable[GroupByKey]=OutputTable[[#This Row],[GroupByKey]]),(OutputTable[GroupByKey]=OutputTable[[#This Row],[GroupByKey]])*OutputTable[RecordedValue]))</f>
        <v>18404</v>
      </c>
    </row>
    <row r="219" spans="1:16" x14ac:dyDescent="0.25">
      <c r="A219" t="s">
        <v>67</v>
      </c>
      <c r="B219" t="s">
        <v>243</v>
      </c>
      <c r="C219">
        <v>3</v>
      </c>
      <c r="D219" t="s">
        <v>200</v>
      </c>
      <c r="E219" t="s">
        <v>154</v>
      </c>
      <c r="F219" t="s">
        <v>113</v>
      </c>
      <c r="G219">
        <v>1.0003516761431099</v>
      </c>
      <c r="H219">
        <v>0</v>
      </c>
      <c r="I219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219" cm="1">
        <f t="array" ref="J219">MAX(IF((ProjectInfoTable[ProjectName]=OutputTable[[#This Row],[ProjectName]]),(ProjectInfoTable[ProjectName]=OutputTable[[#This Row],[ProjectName]])*ProjectInfoTable[NumberOfReplications]))</f>
        <v>10</v>
      </c>
      <c r="K219" cm="1">
        <f t="array" ref="K219">IFERROR(AVERAGE(IF((OutputTable[GroupByKey]=OutputTable[[#This Row],[GroupByKey]]),(OutputTable[GroupByKey]=OutputTable[[#This Row],[GroupByKey]])*OutputTable[RecordedValue])),0)</f>
        <v>1.0003902798422071</v>
      </c>
      <c r="L219" cm="1">
        <f t="array" ref="L219">IFERROR(_xlfn.STDEV.S(IF((OutputTable[GroupByKey]=OutputTable[[#This Row],[GroupByKey]]),(OutputTable[GroupByKey]=OutputTable[[#This Row],[GroupByKey]])*OutputTable[RecordedValue])),0)</f>
        <v>5.593555412291058E-5</v>
      </c>
      <c r="M219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4.0013884931119971E-5</v>
      </c>
      <c r="O219" cm="1">
        <f t="array" ref="O219">MIN(IF((OutputTable[GroupByKey]=OutputTable[[#This Row],[GroupByKey]]),(OutputTable[GroupByKey]=OutputTable[[#This Row],[GroupByKey]])*OutputTable[RecordedValue]))</f>
        <v>1.0003027766980599</v>
      </c>
      <c r="P219" cm="1">
        <f t="array" ref="P219">MAX(IF((OutputTable[GroupByKey]=OutputTable[[#This Row],[GroupByKey]]),(OutputTable[GroupByKey]=OutputTable[[#This Row],[GroupByKey]])*OutputTable[RecordedValue]))</f>
        <v>1.00046792437877</v>
      </c>
    </row>
    <row r="220" spans="1:16" x14ac:dyDescent="0.25">
      <c r="A220" t="s">
        <v>67</v>
      </c>
      <c r="B220" t="s">
        <v>243</v>
      </c>
      <c r="C220">
        <v>3</v>
      </c>
      <c r="D220" t="s">
        <v>201</v>
      </c>
      <c r="E220" t="s">
        <v>202</v>
      </c>
      <c r="F220" t="s">
        <v>87</v>
      </c>
      <c r="G220">
        <v>157226.47336311999</v>
      </c>
      <c r="H220">
        <v>0</v>
      </c>
      <c r="I220" t="str">
        <f>OutputTable[[#This Row],[ProjectName]]&amp;OutputTable[[#This Row],[Name]]&amp;OutputTable[[#This Row],[Type]]&amp;OutputTable[[#This Row],[Source]]</f>
        <v>Unnamed ProjectProcess 1 Accum VA TimeAccum VA TimeProcess</v>
      </c>
      <c r="J220" cm="1">
        <f t="array" ref="J220">MAX(IF((ProjectInfoTable[ProjectName]=OutputTable[[#This Row],[ProjectName]]),(ProjectInfoTable[ProjectName]=OutputTable[[#This Row],[ProjectName]])*ProjectInfoTable[NumberOfReplications]))</f>
        <v>10</v>
      </c>
      <c r="K220" cm="1">
        <f t="array" ref="K220">IFERROR(AVERAGE(IF((OutputTable[GroupByKey]=OutputTable[[#This Row],[GroupByKey]]),(OutputTable[GroupByKey]=OutputTable[[#This Row],[GroupByKey]])*OutputTable[RecordedValue])),0)</f>
        <v>157133.73428655442</v>
      </c>
      <c r="L220" cm="1">
        <f t="array" ref="L220">IFERROR(_xlfn.STDEV.S(IF((OutputTable[GroupByKey]=OutputTable[[#This Row],[GroupByKey]]),(OutputTable[GroupByKey]=OutputTable[[#This Row],[GroupByKey]])*OutputTable[RecordedValue])),0)</f>
        <v>123.15330812839177</v>
      </c>
      <c r="M220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88.098569462778244</v>
      </c>
      <c r="O220" cm="1">
        <f t="array" ref="O220">MIN(IF((OutputTable[GroupByKey]=OutputTable[[#This Row],[GroupByKey]]),(OutputTable[GroupByKey]=OutputTable[[#This Row],[GroupByKey]])*OutputTable[RecordedValue]))</f>
        <v>156930.294881654</v>
      </c>
      <c r="P220" cm="1">
        <f t="array" ref="P220">MAX(IF((OutputTable[GroupByKey]=OutputTable[[#This Row],[GroupByKey]]),(OutputTable[GroupByKey]=OutputTable[[#This Row],[GroupByKey]])*OutputTable[RecordedValue]))</f>
        <v>157303.990839153</v>
      </c>
    </row>
    <row r="221" spans="1:16" x14ac:dyDescent="0.25">
      <c r="A221" t="s">
        <v>67</v>
      </c>
      <c r="B221" t="s">
        <v>243</v>
      </c>
      <c r="C221">
        <v>3</v>
      </c>
      <c r="D221" t="s">
        <v>203</v>
      </c>
      <c r="E221" t="s">
        <v>156</v>
      </c>
      <c r="F221" t="s">
        <v>87</v>
      </c>
      <c r="G221">
        <v>13101</v>
      </c>
      <c r="H221">
        <v>0</v>
      </c>
      <c r="I221" t="str">
        <f>OutputTable[[#This Row],[ProjectName]]&amp;OutputTable[[#This Row],[Name]]&amp;OutputTable[[#This Row],[Type]]&amp;OutputTable[[#This Row],[Source]]</f>
        <v>Unnamed ProjectProcess 1 Number InNumber InProcess</v>
      </c>
      <c r="J221" cm="1">
        <f t="array" ref="J221">MAX(IF((ProjectInfoTable[ProjectName]=OutputTable[[#This Row],[ProjectName]]),(ProjectInfoTable[ProjectName]=OutputTable[[#This Row],[ProjectName]])*ProjectInfoTable[NumberOfReplications]))</f>
        <v>10</v>
      </c>
      <c r="K221" cm="1">
        <f t="array" ref="K221">IFERROR(AVERAGE(IF((OutputTable[GroupByKey]=OutputTable[[#This Row],[GroupByKey]]),(OutputTable[GroupByKey]=OutputTable[[#This Row],[GroupByKey]])*OutputTable[RecordedValue])),0)</f>
        <v>13103.5</v>
      </c>
      <c r="L221" cm="1">
        <f t="array" ref="L221">IFERROR(_xlfn.STDEV.S(IF((OutputTable[GroupByKey]=OutputTable[[#This Row],[GroupByKey]]),(OutputTable[GroupByKey]=OutputTable[[#This Row],[GroupByKey]])*OutputTable[RecordedValue])),0)</f>
        <v>11.443095929181249</v>
      </c>
      <c r="M221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221" cm="1">
        <f t="array" ref="O221">MIN(IF((OutputTable[GroupByKey]=OutputTable[[#This Row],[GroupByKey]]),(OutputTable[GroupByKey]=OutputTable[[#This Row],[GroupByKey]])*OutputTable[RecordedValue]))</f>
        <v>13087</v>
      </c>
      <c r="P221" cm="1">
        <f t="array" ref="P221">MAX(IF((OutputTable[GroupByKey]=OutputTable[[#This Row],[GroupByKey]]),(OutputTable[GroupByKey]=OutputTable[[#This Row],[GroupByKey]])*OutputTable[RecordedValue]))</f>
        <v>13120</v>
      </c>
    </row>
    <row r="222" spans="1:16" x14ac:dyDescent="0.25">
      <c r="A222" t="s">
        <v>67</v>
      </c>
      <c r="B222" t="s">
        <v>243</v>
      </c>
      <c r="C222">
        <v>3</v>
      </c>
      <c r="D222" t="s">
        <v>204</v>
      </c>
      <c r="E222" t="s">
        <v>158</v>
      </c>
      <c r="F222" t="s">
        <v>87</v>
      </c>
      <c r="G222">
        <v>13101</v>
      </c>
      <c r="H222">
        <v>0</v>
      </c>
      <c r="I222" t="str">
        <f>OutputTable[[#This Row],[ProjectName]]&amp;OutputTable[[#This Row],[Name]]&amp;OutputTable[[#This Row],[Type]]&amp;OutputTable[[#This Row],[Source]]</f>
        <v>Unnamed ProjectProcess 1 Number OutNumber OutProcess</v>
      </c>
      <c r="J222" cm="1">
        <f t="array" ref="J222">MAX(IF((ProjectInfoTable[ProjectName]=OutputTable[[#This Row],[ProjectName]]),(ProjectInfoTable[ProjectName]=OutputTable[[#This Row],[ProjectName]])*ProjectInfoTable[NumberOfReplications]))</f>
        <v>10</v>
      </c>
      <c r="K222" cm="1">
        <f t="array" ref="K222">IFERROR(AVERAGE(IF((OutputTable[GroupByKey]=OutputTable[[#This Row],[GroupByKey]]),(OutputTable[GroupByKey]=OutputTable[[#This Row],[GroupByKey]])*OutputTable[RecordedValue])),0)</f>
        <v>13103.5</v>
      </c>
      <c r="L222" cm="1">
        <f t="array" ref="L222">IFERROR(_xlfn.STDEV.S(IF((OutputTable[GroupByKey]=OutputTable[[#This Row],[GroupByKey]]),(OutputTable[GroupByKey]=OutputTable[[#This Row],[GroupByKey]])*OutputTable[RecordedValue])),0)</f>
        <v>11.443095929181249</v>
      </c>
      <c r="M222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222" cm="1">
        <f t="array" ref="O222">MIN(IF((OutputTable[GroupByKey]=OutputTable[[#This Row],[GroupByKey]]),(OutputTable[GroupByKey]=OutputTable[[#This Row],[GroupByKey]])*OutputTable[RecordedValue]))</f>
        <v>13087</v>
      </c>
      <c r="P222" cm="1">
        <f t="array" ref="P222">MAX(IF((OutputTable[GroupByKey]=OutputTable[[#This Row],[GroupByKey]]),(OutputTable[GroupByKey]=OutputTable[[#This Row],[GroupByKey]])*OutputTable[RecordedValue]))</f>
        <v>13120</v>
      </c>
    </row>
    <row r="223" spans="1:16" x14ac:dyDescent="0.25">
      <c r="A223" t="s">
        <v>67</v>
      </c>
      <c r="B223" t="s">
        <v>243</v>
      </c>
      <c r="C223">
        <v>3</v>
      </c>
      <c r="D223" t="s">
        <v>205</v>
      </c>
      <c r="E223" t="s">
        <v>202</v>
      </c>
      <c r="F223" t="s">
        <v>87</v>
      </c>
      <c r="G223">
        <v>21811.134988315702</v>
      </c>
      <c r="H223">
        <v>0</v>
      </c>
      <c r="I223" t="str">
        <f>OutputTable[[#This Row],[ProjectName]]&amp;OutputTable[[#This Row],[Name]]&amp;OutputTable[[#This Row],[Type]]&amp;OutputTable[[#This Row],[Source]]</f>
        <v>Unnamed ProjectProcess 14 Accum VA TimeAccum VA TimeProcess</v>
      </c>
      <c r="J223" cm="1">
        <f t="array" ref="J223">MAX(IF((ProjectInfoTable[ProjectName]=OutputTable[[#This Row],[ProjectName]]),(ProjectInfoTable[ProjectName]=OutputTable[[#This Row],[ProjectName]])*ProjectInfoTable[NumberOfReplications]))</f>
        <v>10</v>
      </c>
      <c r="K223" cm="1">
        <f t="array" ref="K223">IFERROR(AVERAGE(IF((OutputTable[GroupByKey]=OutputTable[[#This Row],[GroupByKey]]),(OutputTable[GroupByKey]=OutputTable[[#This Row],[GroupByKey]])*OutputTable[RecordedValue])),0)</f>
        <v>21817.897664333104</v>
      </c>
      <c r="L223" cm="1">
        <f t="array" ref="L223">IFERROR(_xlfn.STDEV.S(IF((OutputTable[GroupByKey]=OutputTable[[#This Row],[GroupByKey]]),(OutputTable[GroupByKey]=OutputTable[[#This Row],[GroupByKey]])*OutputTable[RecordedValue])),0)</f>
        <v>40.377465047897729</v>
      </c>
      <c r="M223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28.884298467602775</v>
      </c>
      <c r="O223" cm="1">
        <f t="array" ref="O223">MIN(IF((OutputTable[GroupByKey]=OutputTable[[#This Row],[GroupByKey]]),(OutputTable[GroupByKey]=OutputTable[[#This Row],[GroupByKey]])*OutputTable[RecordedValue]))</f>
        <v>21737.561928445</v>
      </c>
      <c r="P223" cm="1">
        <f t="array" ref="P223">MAX(IF((OutputTable[GroupByKey]=OutputTable[[#This Row],[GroupByKey]]),(OutputTable[GroupByKey]=OutputTable[[#This Row],[GroupByKey]])*OutputTable[RecordedValue]))</f>
        <v>21880.2668082411</v>
      </c>
    </row>
    <row r="224" spans="1:16" x14ac:dyDescent="0.25">
      <c r="A224" t="s">
        <v>67</v>
      </c>
      <c r="B224" t="s">
        <v>243</v>
      </c>
      <c r="C224">
        <v>3</v>
      </c>
      <c r="D224" t="s">
        <v>206</v>
      </c>
      <c r="E224" t="s">
        <v>156</v>
      </c>
      <c r="F224" t="s">
        <v>87</v>
      </c>
      <c r="G224">
        <v>6546</v>
      </c>
      <c r="H224">
        <v>0</v>
      </c>
      <c r="I224" t="str">
        <f>OutputTable[[#This Row],[ProjectName]]&amp;OutputTable[[#This Row],[Name]]&amp;OutputTable[[#This Row],[Type]]&amp;OutputTable[[#This Row],[Source]]</f>
        <v>Unnamed ProjectProcess 14 Number InNumber InProcess</v>
      </c>
      <c r="J224" cm="1">
        <f t="array" ref="J224">MAX(IF((ProjectInfoTable[ProjectName]=OutputTable[[#This Row],[ProjectName]]),(ProjectInfoTable[ProjectName]=OutputTable[[#This Row],[ProjectName]])*ProjectInfoTable[NumberOfReplications]))</f>
        <v>10</v>
      </c>
      <c r="K224" cm="1">
        <f t="array" ref="K224">IFERROR(AVERAGE(IF((OutputTable[GroupByKey]=OutputTable[[#This Row],[GroupByKey]]),(OutputTable[GroupByKey]=OutputTable[[#This Row],[GroupByKey]])*OutputTable[RecordedValue])),0)</f>
        <v>6547.7</v>
      </c>
      <c r="L224" cm="1">
        <f t="array" ref="L224">IFERROR(_xlfn.STDEV.S(IF((OutputTable[GroupByKey]=OutputTable[[#This Row],[GroupByKey]]),(OutputTable[GroupByKey]=OutputTable[[#This Row],[GroupByKey]])*OutputTable[RecordedValue])),0)</f>
        <v>5.735852159879995</v>
      </c>
      <c r="M224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224" cm="1">
        <f t="array" ref="O224">MIN(IF((OutputTable[GroupByKey]=OutputTable[[#This Row],[GroupByKey]]),(OutputTable[GroupByKey]=OutputTable[[#This Row],[GroupByKey]])*OutputTable[RecordedValue]))</f>
        <v>6540</v>
      </c>
      <c r="P224" cm="1">
        <f t="array" ref="P224">MAX(IF((OutputTable[GroupByKey]=OutputTable[[#This Row],[GroupByKey]]),(OutputTable[GroupByKey]=OutputTable[[#This Row],[GroupByKey]])*OutputTable[RecordedValue]))</f>
        <v>6557</v>
      </c>
    </row>
    <row r="225" spans="1:16" x14ac:dyDescent="0.25">
      <c r="A225" t="s">
        <v>67</v>
      </c>
      <c r="B225" t="s">
        <v>243</v>
      </c>
      <c r="C225">
        <v>3</v>
      </c>
      <c r="D225" t="s">
        <v>207</v>
      </c>
      <c r="E225" t="s">
        <v>158</v>
      </c>
      <c r="F225" t="s">
        <v>87</v>
      </c>
      <c r="G225">
        <v>6546</v>
      </c>
      <c r="H225">
        <v>0</v>
      </c>
      <c r="I225" t="str">
        <f>OutputTable[[#This Row],[ProjectName]]&amp;OutputTable[[#This Row],[Name]]&amp;OutputTable[[#This Row],[Type]]&amp;OutputTable[[#This Row],[Source]]</f>
        <v>Unnamed ProjectProcess 14 Number OutNumber OutProcess</v>
      </c>
      <c r="J225" cm="1">
        <f t="array" ref="J225">MAX(IF((ProjectInfoTable[ProjectName]=OutputTable[[#This Row],[ProjectName]]),(ProjectInfoTable[ProjectName]=OutputTable[[#This Row],[ProjectName]])*ProjectInfoTable[NumberOfReplications]))</f>
        <v>10</v>
      </c>
      <c r="K225" cm="1">
        <f t="array" ref="K225">IFERROR(AVERAGE(IF((OutputTable[GroupByKey]=OutputTable[[#This Row],[GroupByKey]]),(OutputTable[GroupByKey]=OutputTable[[#This Row],[GroupByKey]])*OutputTable[RecordedValue])),0)</f>
        <v>6547.3</v>
      </c>
      <c r="L225" cm="1">
        <f t="array" ref="L225">IFERROR(_xlfn.STDEV.S(IF((OutputTable[GroupByKey]=OutputTable[[#This Row],[GroupByKey]]),(OutputTable[GroupByKey]=OutputTable[[#This Row],[GroupByKey]])*OutputTable[RecordedValue])),0)</f>
        <v>5.7164480035925962</v>
      </c>
      <c r="M22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4.0893005569921828</v>
      </c>
      <c r="O225" cm="1">
        <f t="array" ref="O225">MIN(IF((OutputTable[GroupByKey]=OutputTable[[#This Row],[GroupByKey]]),(OutputTable[GroupByKey]=OutputTable[[#This Row],[GroupByKey]])*OutputTable[RecordedValue]))</f>
        <v>6539</v>
      </c>
      <c r="P225" cm="1">
        <f t="array" ref="P225">MAX(IF((OutputTable[GroupByKey]=OutputTable[[#This Row],[GroupByKey]]),(OutputTable[GroupByKey]=OutputTable[[#This Row],[GroupByKey]])*OutputTable[RecordedValue]))</f>
        <v>6556</v>
      </c>
    </row>
    <row r="226" spans="1:16" x14ac:dyDescent="0.25">
      <c r="A226" t="s">
        <v>67</v>
      </c>
      <c r="B226" t="s">
        <v>243</v>
      </c>
      <c r="C226">
        <v>3</v>
      </c>
      <c r="D226" t="s">
        <v>208</v>
      </c>
      <c r="E226" t="s">
        <v>202</v>
      </c>
      <c r="F226" t="s">
        <v>87</v>
      </c>
      <c r="G226">
        <v>78603.338758860598</v>
      </c>
      <c r="H226">
        <v>0</v>
      </c>
      <c r="I226" t="str">
        <f>OutputTable[[#This Row],[ProjectName]]&amp;OutputTable[[#This Row],[Name]]&amp;OutputTable[[#This Row],[Type]]&amp;OutputTable[[#This Row],[Source]]</f>
        <v>Unnamed ProjectProcess 2 Accum VA TimeAccum VA TimeProcess</v>
      </c>
      <c r="J226" cm="1">
        <f t="array" ref="J226">MAX(IF((ProjectInfoTable[ProjectName]=OutputTable[[#This Row],[ProjectName]]),(ProjectInfoTable[ProjectName]=OutputTable[[#This Row],[ProjectName]])*ProjectInfoTable[NumberOfReplications]))</f>
        <v>10</v>
      </c>
      <c r="K226" cm="1">
        <f t="array" ref="K226">IFERROR(AVERAGE(IF((OutputTable[GroupByKey]=OutputTable[[#This Row],[GroupByKey]]),(OutputTable[GroupByKey]=OutputTable[[#This Row],[GroupByKey]])*OutputTable[RecordedValue])),0)</f>
        <v>78656.282482549519</v>
      </c>
      <c r="L226" cm="1">
        <f t="array" ref="L226">IFERROR(_xlfn.STDEV.S(IF((OutputTable[GroupByKey]=OutputTable[[#This Row],[GroupByKey]]),(OutputTable[GroupByKey]=OutputTable[[#This Row],[GroupByKey]])*OutputTable[RecordedValue])),0)</f>
        <v>139.39621135358072</v>
      </c>
      <c r="M226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99.718042457930338</v>
      </c>
      <c r="O226" cm="1">
        <f t="array" ref="O226">MIN(IF((OutputTable[GroupByKey]=OutputTable[[#This Row],[GroupByKey]]),(OutputTable[GroupByKey]=OutputTable[[#This Row],[GroupByKey]])*OutputTable[RecordedValue]))</f>
        <v>78434.750255210005</v>
      </c>
      <c r="P226" cm="1">
        <f t="array" ref="P226">MAX(IF((OutputTable[GroupByKey]=OutputTable[[#This Row],[GroupByKey]]),(OutputTable[GroupByKey]=OutputTable[[#This Row],[GroupByKey]])*OutputTable[RecordedValue]))</f>
        <v>78879.0340749358</v>
      </c>
    </row>
    <row r="227" spans="1:16" x14ac:dyDescent="0.25">
      <c r="A227" t="s">
        <v>67</v>
      </c>
      <c r="B227" t="s">
        <v>243</v>
      </c>
      <c r="C227">
        <v>3</v>
      </c>
      <c r="D227" t="s">
        <v>209</v>
      </c>
      <c r="E227" t="s">
        <v>156</v>
      </c>
      <c r="F227" t="s">
        <v>87</v>
      </c>
      <c r="G227">
        <v>13097</v>
      </c>
      <c r="H227">
        <v>0</v>
      </c>
      <c r="I227" t="str">
        <f>OutputTable[[#This Row],[ProjectName]]&amp;OutputTable[[#This Row],[Name]]&amp;OutputTable[[#This Row],[Type]]&amp;OutputTable[[#This Row],[Source]]</f>
        <v>Unnamed ProjectProcess 2 Number InNumber InProcess</v>
      </c>
      <c r="J227" cm="1">
        <f t="array" ref="J227">MAX(IF((ProjectInfoTable[ProjectName]=OutputTable[[#This Row],[ProjectName]]),(ProjectInfoTable[ProjectName]=OutputTable[[#This Row],[ProjectName]])*ProjectInfoTable[NumberOfReplications]))</f>
        <v>10</v>
      </c>
      <c r="K227" cm="1">
        <f t="array" ref="K227">IFERROR(AVERAGE(IF((OutputTable[GroupByKey]=OutputTable[[#This Row],[GroupByKey]]),(OutputTable[GroupByKey]=OutputTable[[#This Row],[GroupByKey]])*OutputTable[RecordedValue])),0)</f>
        <v>13100.1</v>
      </c>
      <c r="L227" cm="1">
        <f t="array" ref="L227">IFERROR(_xlfn.STDEV.S(IF((OutputTable[GroupByKey]=OutputTable[[#This Row],[GroupByKey]]),(OutputTable[GroupByKey]=OutputTable[[#This Row],[GroupByKey]])*OutputTable[RecordedValue])),0)</f>
        <v>11.46443776786866</v>
      </c>
      <c r="M227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227" cm="1">
        <f t="array" ref="O227">MIN(IF((OutputTable[GroupByKey]=OutputTable[[#This Row],[GroupByKey]]),(OutputTable[GroupByKey]=OutputTable[[#This Row],[GroupByKey]])*OutputTable[RecordedValue]))</f>
        <v>13083</v>
      </c>
      <c r="P227" cm="1">
        <f t="array" ref="P227">MAX(IF((OutputTable[GroupByKey]=OutputTable[[#This Row],[GroupByKey]]),(OutputTable[GroupByKey]=OutputTable[[#This Row],[GroupByKey]])*OutputTable[RecordedValue]))</f>
        <v>13118</v>
      </c>
    </row>
    <row r="228" spans="1:16" x14ac:dyDescent="0.25">
      <c r="A228" t="s">
        <v>67</v>
      </c>
      <c r="B228" t="s">
        <v>243</v>
      </c>
      <c r="C228">
        <v>3</v>
      </c>
      <c r="D228" t="s">
        <v>210</v>
      </c>
      <c r="E228" t="s">
        <v>158</v>
      </c>
      <c r="F228" t="s">
        <v>87</v>
      </c>
      <c r="G228">
        <v>13097</v>
      </c>
      <c r="H228">
        <v>0</v>
      </c>
      <c r="I228" t="str">
        <f>OutputTable[[#This Row],[ProjectName]]&amp;OutputTable[[#This Row],[Name]]&amp;OutputTable[[#This Row],[Type]]&amp;OutputTable[[#This Row],[Source]]</f>
        <v>Unnamed ProjectProcess 2 Number OutNumber OutProcess</v>
      </c>
      <c r="J228" cm="1">
        <f t="array" ref="J228">MAX(IF((ProjectInfoTable[ProjectName]=OutputTable[[#This Row],[ProjectName]]),(ProjectInfoTable[ProjectName]=OutputTable[[#This Row],[ProjectName]])*ProjectInfoTable[NumberOfReplications]))</f>
        <v>10</v>
      </c>
      <c r="K228" cm="1">
        <f t="array" ref="K228">IFERROR(AVERAGE(IF((OutputTable[GroupByKey]=OutputTable[[#This Row],[GroupByKey]]),(OutputTable[GroupByKey]=OutputTable[[#This Row],[GroupByKey]])*OutputTable[RecordedValue])),0)</f>
        <v>13100.1</v>
      </c>
      <c r="L228" cm="1">
        <f t="array" ref="L228">IFERROR(_xlfn.STDEV.S(IF((OutputTable[GroupByKey]=OutputTable[[#This Row],[GroupByKey]]),(OutputTable[GroupByKey]=OutputTable[[#This Row],[GroupByKey]])*OutputTable[RecordedValue])),0)</f>
        <v>11.46443776786866</v>
      </c>
      <c r="M228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228" cm="1">
        <f t="array" ref="O228">MIN(IF((OutputTable[GroupByKey]=OutputTable[[#This Row],[GroupByKey]]),(OutputTable[GroupByKey]=OutputTable[[#This Row],[GroupByKey]])*OutputTable[RecordedValue]))</f>
        <v>13083</v>
      </c>
      <c r="P228" cm="1">
        <f t="array" ref="P228">MAX(IF((OutputTable[GroupByKey]=OutputTable[[#This Row],[GroupByKey]]),(OutputTable[GroupByKey]=OutputTable[[#This Row],[GroupByKey]])*OutputTable[RecordedValue]))</f>
        <v>13118</v>
      </c>
    </row>
    <row r="229" spans="1:16" x14ac:dyDescent="0.25">
      <c r="A229" t="s">
        <v>67</v>
      </c>
      <c r="B229" t="s">
        <v>243</v>
      </c>
      <c r="C229">
        <v>3</v>
      </c>
      <c r="D229" t="s">
        <v>211</v>
      </c>
      <c r="E229" t="s">
        <v>202</v>
      </c>
      <c r="F229" t="s">
        <v>87</v>
      </c>
      <c r="G229">
        <v>144125.91344546201</v>
      </c>
      <c r="H229">
        <v>0</v>
      </c>
      <c r="I229" t="str">
        <f>OutputTable[[#This Row],[ProjectName]]&amp;OutputTable[[#This Row],[Name]]&amp;OutputTable[[#This Row],[Type]]&amp;OutputTable[[#This Row],[Source]]</f>
        <v>Unnamed ProjectProcess 3 Accum VA TimeAccum VA TimeProcess</v>
      </c>
      <c r="J229" cm="1">
        <f t="array" ref="J229">MAX(IF((ProjectInfoTable[ProjectName]=OutputTable[[#This Row],[ProjectName]]),(ProjectInfoTable[ProjectName]=OutputTable[[#This Row],[ProjectName]])*ProjectInfoTable[NumberOfReplications]))</f>
        <v>10</v>
      </c>
      <c r="K229" cm="1">
        <f t="array" ref="K229">IFERROR(AVERAGE(IF((OutputTable[GroupByKey]=OutputTable[[#This Row],[GroupByKey]]),(OutputTable[GroupByKey]=OutputTable[[#This Row],[GroupByKey]])*OutputTable[RecordedValue])),0)</f>
        <v>144088.31566564049</v>
      </c>
      <c r="L229" cm="1">
        <f t="array" ref="L229">IFERROR(_xlfn.STDEV.S(IF((OutputTable[GroupByKey]=OutputTable[[#This Row],[GroupByKey]]),(OutputTable[GroupByKey]=OutputTable[[#This Row],[GroupByKey]])*OutputTable[RecordedValue])),0)</f>
        <v>147.41980686592098</v>
      </c>
      <c r="M229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105.45777691839817</v>
      </c>
      <c r="O229" cm="1">
        <f t="array" ref="O229">MIN(IF((OutputTable[GroupByKey]=OutputTable[[#This Row],[GroupByKey]]),(OutputTable[GroupByKey]=OutputTable[[#This Row],[GroupByKey]])*OutputTable[RecordedValue]))</f>
        <v>143896.696561805</v>
      </c>
      <c r="P229" cm="1">
        <f t="array" ref="P229">MAX(IF((OutputTable[GroupByKey]=OutputTable[[#This Row],[GroupByKey]]),(OutputTable[GroupByKey]=OutputTable[[#This Row],[GroupByKey]])*OutputTable[RecordedValue]))</f>
        <v>144298.22507098701</v>
      </c>
    </row>
    <row r="230" spans="1:16" x14ac:dyDescent="0.25">
      <c r="A230" t="s">
        <v>67</v>
      </c>
      <c r="B230" t="s">
        <v>243</v>
      </c>
      <c r="C230">
        <v>3</v>
      </c>
      <c r="D230" t="s">
        <v>212</v>
      </c>
      <c r="E230" t="s">
        <v>156</v>
      </c>
      <c r="F230" t="s">
        <v>87</v>
      </c>
      <c r="G230">
        <v>13097</v>
      </c>
      <c r="H230">
        <v>0</v>
      </c>
      <c r="I230" t="str">
        <f>OutputTable[[#This Row],[ProjectName]]&amp;OutputTable[[#This Row],[Name]]&amp;OutputTable[[#This Row],[Type]]&amp;OutputTable[[#This Row],[Source]]</f>
        <v>Unnamed ProjectProcess 3 Number InNumber InProcess</v>
      </c>
      <c r="J230" cm="1">
        <f t="array" ref="J230">MAX(IF((ProjectInfoTable[ProjectName]=OutputTable[[#This Row],[ProjectName]]),(ProjectInfoTable[ProjectName]=OutputTable[[#This Row],[ProjectName]])*ProjectInfoTable[NumberOfReplications]))</f>
        <v>10</v>
      </c>
      <c r="K230" cm="1">
        <f t="array" ref="K230">IFERROR(AVERAGE(IF((OutputTable[GroupByKey]=OutputTable[[#This Row],[GroupByKey]]),(OutputTable[GroupByKey]=OutputTable[[#This Row],[GroupByKey]])*OutputTable[RecordedValue])),0)</f>
        <v>13099.9</v>
      </c>
      <c r="L230" cm="1">
        <f t="array" ref="L230">IFERROR(_xlfn.STDEV.S(IF((OutputTable[GroupByKey]=OutputTable[[#This Row],[GroupByKey]]),(OutputTable[GroupByKey]=OutputTable[[#This Row],[GroupByKey]])*OutputTable[RecordedValue])),0)</f>
        <v>11.761046816598522</v>
      </c>
      <c r="M230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230" cm="1">
        <f t="array" ref="O230">MIN(IF((OutputTable[GroupByKey]=OutputTable[[#This Row],[GroupByKey]]),(OutputTable[GroupByKey]=OutputTable[[#This Row],[GroupByKey]])*OutputTable[RecordedValue]))</f>
        <v>13082</v>
      </c>
      <c r="P230" cm="1">
        <f t="array" ref="P230">MAX(IF((OutputTable[GroupByKey]=OutputTable[[#This Row],[GroupByKey]]),(OutputTable[GroupByKey]=OutputTable[[#This Row],[GroupByKey]])*OutputTable[RecordedValue]))</f>
        <v>13118</v>
      </c>
    </row>
    <row r="231" spans="1:16" x14ac:dyDescent="0.25">
      <c r="A231" t="s">
        <v>67</v>
      </c>
      <c r="B231" t="s">
        <v>243</v>
      </c>
      <c r="C231">
        <v>3</v>
      </c>
      <c r="D231" t="s">
        <v>213</v>
      </c>
      <c r="E231" t="s">
        <v>158</v>
      </c>
      <c r="F231" t="s">
        <v>87</v>
      </c>
      <c r="G231">
        <v>13097</v>
      </c>
      <c r="H231">
        <v>0</v>
      </c>
      <c r="I231" t="str">
        <f>OutputTable[[#This Row],[ProjectName]]&amp;OutputTable[[#This Row],[Name]]&amp;OutputTable[[#This Row],[Type]]&amp;OutputTable[[#This Row],[Source]]</f>
        <v>Unnamed ProjectProcess 3 Number OutNumber OutProcess</v>
      </c>
      <c r="J231" cm="1">
        <f t="array" ref="J231">MAX(IF((ProjectInfoTable[ProjectName]=OutputTable[[#This Row],[ProjectName]]),(ProjectInfoTable[ProjectName]=OutputTable[[#This Row],[ProjectName]])*ProjectInfoTable[NumberOfReplications]))</f>
        <v>10</v>
      </c>
      <c r="K231" cm="1">
        <f t="array" ref="K231">IFERROR(AVERAGE(IF((OutputTable[GroupByKey]=OutputTable[[#This Row],[GroupByKey]]),(OutputTable[GroupByKey]=OutputTable[[#This Row],[GroupByKey]])*OutputTable[RecordedValue])),0)</f>
        <v>13099.9</v>
      </c>
      <c r="L231" cm="1">
        <f t="array" ref="L231">IFERROR(_xlfn.STDEV.S(IF((OutputTable[GroupByKey]=OutputTable[[#This Row],[GroupByKey]]),(OutputTable[GroupByKey]=OutputTable[[#This Row],[GroupByKey]])*OutputTable[RecordedValue])),0)</f>
        <v>11.761046816598522</v>
      </c>
      <c r="M231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231" cm="1">
        <f t="array" ref="O231">MIN(IF((OutputTable[GroupByKey]=OutputTable[[#This Row],[GroupByKey]]),(OutputTable[GroupByKey]=OutputTable[[#This Row],[GroupByKey]])*OutputTable[RecordedValue]))</f>
        <v>13082</v>
      </c>
      <c r="P231" cm="1">
        <f t="array" ref="P231">MAX(IF((OutputTable[GroupByKey]=OutputTable[[#This Row],[GroupByKey]]),(OutputTable[GroupByKey]=OutputTable[[#This Row],[GroupByKey]])*OutputTable[RecordedValue]))</f>
        <v>13118</v>
      </c>
    </row>
    <row r="232" spans="1:16" x14ac:dyDescent="0.25">
      <c r="A232" t="s">
        <v>67</v>
      </c>
      <c r="B232" t="s">
        <v>243</v>
      </c>
      <c r="C232">
        <v>3</v>
      </c>
      <c r="D232" t="s">
        <v>214</v>
      </c>
      <c r="E232" t="s">
        <v>202</v>
      </c>
      <c r="F232" t="s">
        <v>87</v>
      </c>
      <c r="G232">
        <v>57778.887305354197</v>
      </c>
      <c r="H232">
        <v>0</v>
      </c>
      <c r="I232" t="str">
        <f>OutputTable[[#This Row],[ProjectName]]&amp;OutputTable[[#This Row],[Name]]&amp;OutputTable[[#This Row],[Type]]&amp;OutputTable[[#This Row],[Source]]</f>
        <v>Unnamed ProjectProcess 4 Accum VA TimeAccum VA TimeProcess</v>
      </c>
      <c r="J232" cm="1">
        <f t="array" ref="J232">MAX(IF((ProjectInfoTable[ProjectName]=OutputTable[[#This Row],[ProjectName]]),(ProjectInfoTable[ProjectName]=OutputTable[[#This Row],[ProjectName]])*ProjectInfoTable[NumberOfReplications]))</f>
        <v>10</v>
      </c>
      <c r="K232" cm="1">
        <f t="array" ref="K232">IFERROR(AVERAGE(IF((OutputTable[GroupByKey]=OutputTable[[#This Row],[GroupByKey]]),(OutputTable[GroupByKey]=OutputTable[[#This Row],[GroupByKey]])*OutputTable[RecordedValue])),0)</f>
        <v>57657.842851106019</v>
      </c>
      <c r="L232" cm="1">
        <f t="array" ref="L232">IFERROR(_xlfn.STDEV.S(IF((OutputTable[GroupByKey]=OutputTable[[#This Row],[GroupByKey]]),(OutputTable[GroupByKey]=OutputTable[[#This Row],[GroupByKey]])*OutputTable[RecordedValue])),0)</f>
        <v>66.206976538127805</v>
      </c>
      <c r="M232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47.361617889987492</v>
      </c>
      <c r="O232" cm="1">
        <f t="array" ref="O232">MIN(IF((OutputTable[GroupByKey]=OutputTable[[#This Row],[GroupByKey]]),(OutputTable[GroupByKey]=OutputTable[[#This Row],[GroupByKey]])*OutputTable[RecordedValue]))</f>
        <v>57569.6670912306</v>
      </c>
      <c r="P232" cm="1">
        <f t="array" ref="P232">MAX(IF((OutputTable[GroupByKey]=OutputTable[[#This Row],[GroupByKey]]),(OutputTable[GroupByKey]=OutputTable[[#This Row],[GroupByKey]])*OutputTable[RecordedValue]))</f>
        <v>57778.887305354197</v>
      </c>
    </row>
    <row r="233" spans="1:16" x14ac:dyDescent="0.25">
      <c r="A233" t="s">
        <v>67</v>
      </c>
      <c r="B233" t="s">
        <v>243</v>
      </c>
      <c r="C233">
        <v>3</v>
      </c>
      <c r="D233" t="s">
        <v>215</v>
      </c>
      <c r="E233" t="s">
        <v>156</v>
      </c>
      <c r="F233" t="s">
        <v>87</v>
      </c>
      <c r="G233">
        <v>8245</v>
      </c>
      <c r="H233">
        <v>0</v>
      </c>
      <c r="I233" t="str">
        <f>OutputTable[[#This Row],[ProjectName]]&amp;OutputTable[[#This Row],[Name]]&amp;OutputTable[[#This Row],[Type]]&amp;OutputTable[[#This Row],[Source]]</f>
        <v>Unnamed ProjectProcess 4 Number InNumber InProcess</v>
      </c>
      <c r="J233" cm="1">
        <f t="array" ref="J233">MAX(IF((ProjectInfoTable[ProjectName]=OutputTable[[#This Row],[ProjectName]]),(ProjectInfoTable[ProjectName]=OutputTable[[#This Row],[ProjectName]])*ProjectInfoTable[NumberOfReplications]))</f>
        <v>10</v>
      </c>
      <c r="K233" cm="1">
        <f t="array" ref="K233">IFERROR(AVERAGE(IF((OutputTable[GroupByKey]=OutputTable[[#This Row],[GroupByKey]]),(OutputTable[GroupByKey]=OutputTable[[#This Row],[GroupByKey]])*OutputTable[RecordedValue])),0)</f>
        <v>8235</v>
      </c>
      <c r="L233" cm="1">
        <f t="array" ref="L233">IFERROR(_xlfn.STDEV.S(IF((OutputTable[GroupByKey]=OutputTable[[#This Row],[GroupByKey]]),(OutputTable[GroupByKey]=OutputTable[[#This Row],[GroupByKey]])*OutputTable[RecordedValue])),0)</f>
        <v>6.5659052011974035</v>
      </c>
      <c r="M233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233" cm="1">
        <f t="array" ref="O233">MIN(IF((OutputTable[GroupByKey]=OutputTable[[#This Row],[GroupByKey]]),(OutputTable[GroupByKey]=OutputTable[[#This Row],[GroupByKey]])*OutputTable[RecordedValue]))</f>
        <v>8223</v>
      </c>
      <c r="P233" cm="1">
        <f t="array" ref="P233">MAX(IF((OutputTable[GroupByKey]=OutputTable[[#This Row],[GroupByKey]]),(OutputTable[GroupByKey]=OutputTable[[#This Row],[GroupByKey]])*OutputTable[RecordedValue]))</f>
        <v>8245</v>
      </c>
    </row>
    <row r="234" spans="1:16" x14ac:dyDescent="0.25">
      <c r="A234" t="s">
        <v>67</v>
      </c>
      <c r="B234" t="s">
        <v>243</v>
      </c>
      <c r="C234">
        <v>3</v>
      </c>
      <c r="D234" t="s">
        <v>216</v>
      </c>
      <c r="E234" t="s">
        <v>158</v>
      </c>
      <c r="F234" t="s">
        <v>87</v>
      </c>
      <c r="G234">
        <v>8245</v>
      </c>
      <c r="H234">
        <v>0</v>
      </c>
      <c r="I234" t="str">
        <f>OutputTable[[#This Row],[ProjectName]]&amp;OutputTable[[#This Row],[Name]]&amp;OutputTable[[#This Row],[Type]]&amp;OutputTable[[#This Row],[Source]]</f>
        <v>Unnamed ProjectProcess 4 Number OutNumber OutProcess</v>
      </c>
      <c r="J234" cm="1">
        <f t="array" ref="J234">MAX(IF((ProjectInfoTable[ProjectName]=OutputTable[[#This Row],[ProjectName]]),(ProjectInfoTable[ProjectName]=OutputTable[[#This Row],[ProjectName]])*ProjectInfoTable[NumberOfReplications]))</f>
        <v>10</v>
      </c>
      <c r="K234" cm="1">
        <f t="array" ref="K234">IFERROR(AVERAGE(IF((OutputTable[GroupByKey]=OutputTable[[#This Row],[GroupByKey]]),(OutputTable[GroupByKey]=OutputTable[[#This Row],[GroupByKey]])*OutputTable[RecordedValue])),0)</f>
        <v>8235</v>
      </c>
      <c r="L234" cm="1">
        <f t="array" ref="L234">IFERROR(_xlfn.STDEV.S(IF((OutputTable[GroupByKey]=OutputTable[[#This Row],[GroupByKey]]),(OutputTable[GroupByKey]=OutputTable[[#This Row],[GroupByKey]])*OutputTable[RecordedValue])),0)</f>
        <v>6.5659052011974035</v>
      </c>
      <c r="M234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234" cm="1">
        <f t="array" ref="O234">MIN(IF((OutputTable[GroupByKey]=OutputTable[[#This Row],[GroupByKey]]),(OutputTable[GroupByKey]=OutputTable[[#This Row],[GroupByKey]])*OutputTable[RecordedValue]))</f>
        <v>8223</v>
      </c>
      <c r="P234" cm="1">
        <f t="array" ref="P234">MAX(IF((OutputTable[GroupByKey]=OutputTable[[#This Row],[GroupByKey]]),(OutputTable[GroupByKey]=OutputTable[[#This Row],[GroupByKey]])*OutputTable[RecordedValue]))</f>
        <v>8245</v>
      </c>
    </row>
    <row r="235" spans="1:16" x14ac:dyDescent="0.25">
      <c r="A235" t="s">
        <v>67</v>
      </c>
      <c r="B235" t="s">
        <v>243</v>
      </c>
      <c r="C235">
        <v>3</v>
      </c>
      <c r="D235" t="s">
        <v>217</v>
      </c>
      <c r="E235" t="s">
        <v>202</v>
      </c>
      <c r="F235" t="s">
        <v>87</v>
      </c>
      <c r="G235">
        <v>82509.9089339692</v>
      </c>
      <c r="H235">
        <v>0</v>
      </c>
      <c r="I235" t="str">
        <f>OutputTable[[#This Row],[ProjectName]]&amp;OutputTable[[#This Row],[Name]]&amp;OutputTable[[#This Row],[Type]]&amp;OutputTable[[#This Row],[Source]]</f>
        <v>Unnamed ProjectProcess 5 Accum VA TimeAccum VA TimeProcess</v>
      </c>
      <c r="J235" cm="1">
        <f t="array" ref="J235">MAX(IF((ProjectInfoTable[ProjectName]=OutputTable[[#This Row],[ProjectName]]),(ProjectInfoTable[ProjectName]=OutputTable[[#This Row],[ProjectName]])*ProjectInfoTable[NumberOfReplications]))</f>
        <v>10</v>
      </c>
      <c r="K235" cm="1">
        <f t="array" ref="K235">IFERROR(AVERAGE(IF((OutputTable[GroupByKey]=OutputTable[[#This Row],[GroupByKey]]),(OutputTable[GroupByKey]=OutputTable[[#This Row],[GroupByKey]])*OutputTable[RecordedValue])),0)</f>
        <v>82354.925585571807</v>
      </c>
      <c r="L235" cm="1">
        <f t="array" ref="L235">IFERROR(_xlfn.STDEV.S(IF((OutputTable[GroupByKey]=OutputTable[[#This Row],[GroupByKey]]),(OutputTable[GroupByKey]=OutputTable[[#This Row],[GroupByKey]])*OutputTable[RecordedValue])),0)</f>
        <v>74.759806822996126</v>
      </c>
      <c r="M23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53.479944099863097</v>
      </c>
      <c r="O235" cm="1">
        <f t="array" ref="O235">MIN(IF((OutputTable[GroupByKey]=OutputTable[[#This Row],[GroupByKey]]),(OutputTable[GroupByKey]=OutputTable[[#This Row],[GroupByKey]])*OutputTable[RecordedValue]))</f>
        <v>82287.012858407106</v>
      </c>
      <c r="P235" cm="1">
        <f t="array" ref="P235">MAX(IF((OutputTable[GroupByKey]=OutputTable[[#This Row],[GroupByKey]]),(OutputTable[GroupByKey]=OutputTable[[#This Row],[GroupByKey]])*OutputTable[RecordedValue]))</f>
        <v>82509.9089339692</v>
      </c>
    </row>
    <row r="236" spans="1:16" x14ac:dyDescent="0.25">
      <c r="A236" t="s">
        <v>67</v>
      </c>
      <c r="B236" t="s">
        <v>243</v>
      </c>
      <c r="C236">
        <v>3</v>
      </c>
      <c r="D236" t="s">
        <v>218</v>
      </c>
      <c r="E236" t="s">
        <v>156</v>
      </c>
      <c r="F236" t="s">
        <v>87</v>
      </c>
      <c r="G236">
        <v>8243</v>
      </c>
      <c r="H236">
        <v>0</v>
      </c>
      <c r="I236" t="str">
        <f>OutputTable[[#This Row],[ProjectName]]&amp;OutputTable[[#This Row],[Name]]&amp;OutputTable[[#This Row],[Type]]&amp;OutputTable[[#This Row],[Source]]</f>
        <v>Unnamed ProjectProcess 5 Number InNumber InProcess</v>
      </c>
      <c r="J236" cm="1">
        <f t="array" ref="J236">MAX(IF((ProjectInfoTable[ProjectName]=OutputTable[[#This Row],[ProjectName]]),(ProjectInfoTable[ProjectName]=OutputTable[[#This Row],[ProjectName]])*ProjectInfoTable[NumberOfReplications]))</f>
        <v>10</v>
      </c>
      <c r="K236" cm="1">
        <f t="array" ref="K236">IFERROR(AVERAGE(IF((OutputTable[GroupByKey]=OutputTable[[#This Row],[GroupByKey]]),(OutputTable[GroupByKey]=OutputTable[[#This Row],[GroupByKey]])*OutputTable[RecordedValue])),0)</f>
        <v>8233.5</v>
      </c>
      <c r="L236" cm="1">
        <f t="array" ref="L236">IFERROR(_xlfn.STDEV.S(IF((OutputTable[GroupByKey]=OutputTable[[#This Row],[GroupByKey]]),(OutputTable[GroupByKey]=OutputTable[[#This Row],[GroupByKey]])*OutputTable[RecordedValue])),0)</f>
        <v>6.5021364010437201</v>
      </c>
      <c r="M236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236" cm="1">
        <f t="array" ref="O236">MIN(IF((OutputTable[GroupByKey]=OutputTable[[#This Row],[GroupByKey]]),(OutputTable[GroupByKey]=OutputTable[[#This Row],[GroupByKey]])*OutputTable[RecordedValue]))</f>
        <v>8221</v>
      </c>
      <c r="P236" cm="1">
        <f t="array" ref="P236">MAX(IF((OutputTable[GroupByKey]=OutputTable[[#This Row],[GroupByKey]]),(OutputTable[GroupByKey]=OutputTable[[#This Row],[GroupByKey]])*OutputTable[RecordedValue]))</f>
        <v>8243</v>
      </c>
    </row>
    <row r="237" spans="1:16" x14ac:dyDescent="0.25">
      <c r="A237" t="s">
        <v>67</v>
      </c>
      <c r="B237" t="s">
        <v>243</v>
      </c>
      <c r="C237">
        <v>3</v>
      </c>
      <c r="D237" t="s">
        <v>219</v>
      </c>
      <c r="E237" t="s">
        <v>158</v>
      </c>
      <c r="F237" t="s">
        <v>87</v>
      </c>
      <c r="G237">
        <v>8243</v>
      </c>
      <c r="H237">
        <v>0</v>
      </c>
      <c r="I237" t="str">
        <f>OutputTable[[#This Row],[ProjectName]]&amp;OutputTable[[#This Row],[Name]]&amp;OutputTable[[#This Row],[Type]]&amp;OutputTable[[#This Row],[Source]]</f>
        <v>Unnamed ProjectProcess 5 Number OutNumber OutProcess</v>
      </c>
      <c r="J237" cm="1">
        <f t="array" ref="J237">MAX(IF((ProjectInfoTable[ProjectName]=OutputTable[[#This Row],[ProjectName]]),(ProjectInfoTable[ProjectName]=OutputTable[[#This Row],[ProjectName]])*ProjectInfoTable[NumberOfReplications]))</f>
        <v>10</v>
      </c>
      <c r="K237" cm="1">
        <f t="array" ref="K237">IFERROR(AVERAGE(IF((OutputTable[GroupByKey]=OutputTable[[#This Row],[GroupByKey]]),(OutputTable[GroupByKey]=OutputTable[[#This Row],[GroupByKey]])*OutputTable[RecordedValue])),0)</f>
        <v>8233.5</v>
      </c>
      <c r="L237" cm="1">
        <f t="array" ref="L237">IFERROR(_xlfn.STDEV.S(IF((OutputTable[GroupByKey]=OutputTable[[#This Row],[GroupByKey]]),(OutputTable[GroupByKey]=OutputTable[[#This Row],[GroupByKey]])*OutputTable[RecordedValue])),0)</f>
        <v>6.5021364010437201</v>
      </c>
      <c r="M237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237" cm="1">
        <f t="array" ref="O237">MIN(IF((OutputTable[GroupByKey]=OutputTable[[#This Row],[GroupByKey]]),(OutputTable[GroupByKey]=OutputTable[[#This Row],[GroupByKey]])*OutputTable[RecordedValue]))</f>
        <v>8221</v>
      </c>
      <c r="P237" cm="1">
        <f t="array" ref="P237">MAX(IF((OutputTable[GroupByKey]=OutputTable[[#This Row],[GroupByKey]]),(OutputTable[GroupByKey]=OutputTable[[#This Row],[GroupByKey]])*OutputTable[RecordedValue]))</f>
        <v>8243</v>
      </c>
    </row>
    <row r="238" spans="1:16" x14ac:dyDescent="0.25">
      <c r="A238" t="s">
        <v>67</v>
      </c>
      <c r="B238" t="s">
        <v>243</v>
      </c>
      <c r="C238">
        <v>3</v>
      </c>
      <c r="D238" t="s">
        <v>220</v>
      </c>
      <c r="E238" t="s">
        <v>202</v>
      </c>
      <c r="F238" t="s">
        <v>87</v>
      </c>
      <c r="G238">
        <v>205923.632889553</v>
      </c>
      <c r="H238">
        <v>0</v>
      </c>
      <c r="I238" t="str">
        <f>OutputTable[[#This Row],[ProjectName]]&amp;OutputTable[[#This Row],[Name]]&amp;OutputTable[[#This Row],[Type]]&amp;OutputTable[[#This Row],[Source]]</f>
        <v>Unnamed ProjectProcess 6 Accum VA TimeAccum VA TimeProcess</v>
      </c>
      <c r="J238" cm="1">
        <f t="array" ref="J238">MAX(IF((ProjectInfoTable[ProjectName]=OutputTable[[#This Row],[ProjectName]]),(ProjectInfoTable[ProjectName]=OutputTable[[#This Row],[ProjectName]])*ProjectInfoTable[NumberOfReplications]))</f>
        <v>10</v>
      </c>
      <c r="K238" cm="1">
        <f t="array" ref="K238">IFERROR(AVERAGE(IF((OutputTable[GroupByKey]=OutputTable[[#This Row],[GroupByKey]]),(OutputTable[GroupByKey]=OutputTable[[#This Row],[GroupByKey]])*OutputTable[RecordedValue])),0)</f>
        <v>205782.3721339902</v>
      </c>
      <c r="L238" cm="1">
        <f t="array" ref="L238">IFERROR(_xlfn.STDEV.S(IF((OutputTable[GroupByKey]=OutputTable[[#This Row],[GroupByKey]]),(OutputTable[GroupByKey]=OutputTable[[#This Row],[GroupByKey]])*OutputTable[RecordedValue])),0)</f>
        <v>135.17903819323379</v>
      </c>
      <c r="M238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96.701258514002035</v>
      </c>
      <c r="O238" cm="1">
        <f t="array" ref="O238">MIN(IF((OutputTable[GroupByKey]=OutputTable[[#This Row],[GroupByKey]]),(OutputTable[GroupByKey]=OutputTable[[#This Row],[GroupByKey]])*OutputTable[RecordedValue]))</f>
        <v>205554.00796082799</v>
      </c>
      <c r="P238" cm="1">
        <f t="array" ref="P238">MAX(IF((OutputTable[GroupByKey]=OutputTable[[#This Row],[GroupByKey]]),(OutputTable[GroupByKey]=OutputTable[[#This Row],[GroupByKey]])*OutputTable[RecordedValue]))</f>
        <v>205962.665291818</v>
      </c>
    </row>
    <row r="239" spans="1:16" x14ac:dyDescent="0.25">
      <c r="A239" t="s">
        <v>67</v>
      </c>
      <c r="B239" t="s">
        <v>243</v>
      </c>
      <c r="C239">
        <v>3</v>
      </c>
      <c r="D239" t="s">
        <v>221</v>
      </c>
      <c r="E239" t="s">
        <v>156</v>
      </c>
      <c r="F239" t="s">
        <v>87</v>
      </c>
      <c r="G239">
        <v>8241</v>
      </c>
      <c r="H239">
        <v>0</v>
      </c>
      <c r="I239" t="str">
        <f>OutputTable[[#This Row],[ProjectName]]&amp;OutputTable[[#This Row],[Name]]&amp;OutputTable[[#This Row],[Type]]&amp;OutputTable[[#This Row],[Source]]</f>
        <v>Unnamed ProjectProcess 6 Number InNumber InProcess</v>
      </c>
      <c r="J239" cm="1">
        <f t="array" ref="J239">MAX(IF((ProjectInfoTable[ProjectName]=OutputTable[[#This Row],[ProjectName]]),(ProjectInfoTable[ProjectName]=OutputTable[[#This Row],[ProjectName]])*ProjectInfoTable[NumberOfReplications]))</f>
        <v>10</v>
      </c>
      <c r="K239" cm="1">
        <f t="array" ref="K239">IFERROR(AVERAGE(IF((OutputTable[GroupByKey]=OutputTable[[#This Row],[GroupByKey]]),(OutputTable[GroupByKey]=OutputTable[[#This Row],[GroupByKey]])*OutputTable[RecordedValue])),0)</f>
        <v>8231.5</v>
      </c>
      <c r="L239" cm="1">
        <f t="array" ref="L239">IFERROR(_xlfn.STDEV.S(IF((OutputTable[GroupByKey]=OutputTable[[#This Row],[GroupByKey]]),(OutputTable[GroupByKey]=OutputTable[[#This Row],[GroupByKey]])*OutputTable[RecordedValue])),0)</f>
        <v>6.3464775882199236</v>
      </c>
      <c r="M239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239" cm="1">
        <f t="array" ref="O239">MIN(IF((OutputTable[GroupByKey]=OutputTable[[#This Row],[GroupByKey]]),(OutputTable[GroupByKey]=OutputTable[[#This Row],[GroupByKey]])*OutputTable[RecordedValue]))</f>
        <v>8220</v>
      </c>
      <c r="P239" cm="1">
        <f t="array" ref="P239">MAX(IF((OutputTable[GroupByKey]=OutputTable[[#This Row],[GroupByKey]]),(OutputTable[GroupByKey]=OutputTable[[#This Row],[GroupByKey]])*OutputTable[RecordedValue]))</f>
        <v>8241</v>
      </c>
    </row>
    <row r="240" spans="1:16" x14ac:dyDescent="0.25">
      <c r="A240" t="s">
        <v>67</v>
      </c>
      <c r="B240" t="s">
        <v>243</v>
      </c>
      <c r="C240">
        <v>3</v>
      </c>
      <c r="D240" t="s">
        <v>222</v>
      </c>
      <c r="E240" t="s">
        <v>158</v>
      </c>
      <c r="F240" t="s">
        <v>87</v>
      </c>
      <c r="G240">
        <v>8241</v>
      </c>
      <c r="H240">
        <v>0</v>
      </c>
      <c r="I240" t="str">
        <f>OutputTable[[#This Row],[ProjectName]]&amp;OutputTable[[#This Row],[Name]]&amp;OutputTable[[#This Row],[Type]]&amp;OutputTable[[#This Row],[Source]]</f>
        <v>Unnamed ProjectProcess 6 Number OutNumber OutProcess</v>
      </c>
      <c r="J240" cm="1">
        <f t="array" ref="J240">MAX(IF((ProjectInfoTable[ProjectName]=OutputTable[[#This Row],[ProjectName]]),(ProjectInfoTable[ProjectName]=OutputTable[[#This Row],[ProjectName]])*ProjectInfoTable[NumberOfReplications]))</f>
        <v>10</v>
      </c>
      <c r="K240" cm="1">
        <f t="array" ref="K240">IFERROR(AVERAGE(IF((OutputTable[GroupByKey]=OutputTable[[#This Row],[GroupByKey]]),(OutputTable[GroupByKey]=OutputTable[[#This Row],[GroupByKey]])*OutputTable[RecordedValue])),0)</f>
        <v>8231.5</v>
      </c>
      <c r="L240" cm="1">
        <f t="array" ref="L240">IFERROR(_xlfn.STDEV.S(IF((OutputTable[GroupByKey]=OutputTable[[#This Row],[GroupByKey]]),(OutputTable[GroupByKey]=OutputTable[[#This Row],[GroupByKey]])*OutputTable[RecordedValue])),0)</f>
        <v>6.3464775882199236</v>
      </c>
      <c r="M240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240" cm="1">
        <f t="array" ref="O240">MIN(IF((OutputTable[GroupByKey]=OutputTable[[#This Row],[GroupByKey]]),(OutputTable[GroupByKey]=OutputTable[[#This Row],[GroupByKey]])*OutputTable[RecordedValue]))</f>
        <v>8220</v>
      </c>
      <c r="P240" cm="1">
        <f t="array" ref="P240">MAX(IF((OutputTable[GroupByKey]=OutputTable[[#This Row],[GroupByKey]]),(OutputTable[GroupByKey]=OutputTable[[#This Row],[GroupByKey]])*OutputTable[RecordedValue]))</f>
        <v>8241</v>
      </c>
    </row>
    <row r="241" spans="1:16" x14ac:dyDescent="0.25">
      <c r="A241" t="s">
        <v>67</v>
      </c>
      <c r="B241" t="s">
        <v>243</v>
      </c>
      <c r="C241">
        <v>3</v>
      </c>
      <c r="D241" t="s">
        <v>223</v>
      </c>
      <c r="E241" t="s">
        <v>202</v>
      </c>
      <c r="F241" t="s">
        <v>87</v>
      </c>
      <c r="G241">
        <v>98542.5422251852</v>
      </c>
      <c r="H241">
        <v>0</v>
      </c>
      <c r="I241" t="str">
        <f>OutputTable[[#This Row],[ProjectName]]&amp;OutputTable[[#This Row],[Name]]&amp;OutputTable[[#This Row],[Type]]&amp;OutputTable[[#This Row],[Source]]</f>
        <v>Unnamed ProjectProcess 7 Accum VA TimeAccum VA TimeProcess</v>
      </c>
      <c r="J241" cm="1">
        <f t="array" ref="J241">MAX(IF((ProjectInfoTable[ProjectName]=OutputTable[[#This Row],[ProjectName]]),(ProjectInfoTable[ProjectName]=OutputTable[[#This Row],[ProjectName]])*ProjectInfoTable[NumberOfReplications]))</f>
        <v>10</v>
      </c>
      <c r="K241" cm="1">
        <f t="array" ref="K241">IFERROR(AVERAGE(IF((OutputTable[GroupByKey]=OutputTable[[#This Row],[GroupByKey]]),(OutputTable[GroupByKey]=OutputTable[[#This Row],[GroupByKey]])*OutputTable[RecordedValue])),0)</f>
        <v>98625.180720296266</v>
      </c>
      <c r="L241" cm="1">
        <f t="array" ref="L241">IFERROR(_xlfn.STDEV.S(IF((OutputTable[GroupByKey]=OutputTable[[#This Row],[GroupByKey]]),(OutputTable[GroupByKey]=OutputTable[[#This Row],[GroupByKey]])*OutputTable[RecordedValue])),0)</f>
        <v>166.97558012409817</v>
      </c>
      <c r="M241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119.44713437023168</v>
      </c>
      <c r="O241" cm="1">
        <f t="array" ref="O241">MIN(IF((OutputTable[GroupByKey]=OutputTable[[#This Row],[GroupByKey]]),(OutputTable[GroupByKey]=OutputTable[[#This Row],[GroupByKey]])*OutputTable[RecordedValue]))</f>
        <v>98434.330991768598</v>
      </c>
      <c r="P241" cm="1">
        <f t="array" ref="P241">MAX(IF((OutputTable[GroupByKey]=OutputTable[[#This Row],[GroupByKey]]),(OutputTable[GroupByKey]=OutputTable[[#This Row],[GroupByKey]])*OutputTable[RecordedValue]))</f>
        <v>98993.883345143302</v>
      </c>
    </row>
    <row r="242" spans="1:16" x14ac:dyDescent="0.25">
      <c r="A242" t="s">
        <v>67</v>
      </c>
      <c r="B242" t="s">
        <v>243</v>
      </c>
      <c r="C242">
        <v>3</v>
      </c>
      <c r="D242" t="s">
        <v>224</v>
      </c>
      <c r="E242" t="s">
        <v>156</v>
      </c>
      <c r="F242" t="s">
        <v>87</v>
      </c>
      <c r="G242">
        <v>8237</v>
      </c>
      <c r="H242">
        <v>0</v>
      </c>
      <c r="I242" t="str">
        <f>OutputTable[[#This Row],[ProjectName]]&amp;OutputTable[[#This Row],[Name]]&amp;OutputTable[[#This Row],[Type]]&amp;OutputTable[[#This Row],[Source]]</f>
        <v>Unnamed ProjectProcess 7 Number InNumber InProcess</v>
      </c>
      <c r="J242" cm="1">
        <f t="array" ref="J242">MAX(IF((ProjectInfoTable[ProjectName]=OutputTable[[#This Row],[ProjectName]]),(ProjectInfoTable[ProjectName]=OutputTable[[#This Row],[ProjectName]])*ProjectInfoTable[NumberOfReplications]))</f>
        <v>10</v>
      </c>
      <c r="K242" cm="1">
        <f t="array" ref="K242">IFERROR(AVERAGE(IF((OutputTable[GroupByKey]=OutputTable[[#This Row],[GroupByKey]]),(OutputTable[GroupByKey]=OutputTable[[#This Row],[GroupByKey]])*OutputTable[RecordedValue])),0)</f>
        <v>8227.7000000000007</v>
      </c>
      <c r="L242" cm="1">
        <f t="array" ref="L242">IFERROR(_xlfn.STDEV.S(IF((OutputTable[GroupByKey]=OutputTable[[#This Row],[GroupByKey]]),(OutputTable[GroupByKey]=OutputTable[[#This Row],[GroupByKey]])*OutputTable[RecordedValue])),0)</f>
        <v>6.2902040242480748</v>
      </c>
      <c r="M242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242" cm="1">
        <f t="array" ref="O242">MIN(IF((OutputTable[GroupByKey]=OutputTable[[#This Row],[GroupByKey]]),(OutputTable[GroupByKey]=OutputTable[[#This Row],[GroupByKey]])*OutputTable[RecordedValue]))</f>
        <v>8216</v>
      </c>
      <c r="P242" cm="1">
        <f t="array" ref="P242">MAX(IF((OutputTable[GroupByKey]=OutputTable[[#This Row],[GroupByKey]]),(OutputTable[GroupByKey]=OutputTable[[#This Row],[GroupByKey]])*OutputTable[RecordedValue]))</f>
        <v>8237</v>
      </c>
    </row>
    <row r="243" spans="1:16" x14ac:dyDescent="0.25">
      <c r="A243" t="s">
        <v>67</v>
      </c>
      <c r="B243" t="s">
        <v>243</v>
      </c>
      <c r="C243">
        <v>3</v>
      </c>
      <c r="D243" t="s">
        <v>225</v>
      </c>
      <c r="E243" t="s">
        <v>158</v>
      </c>
      <c r="F243" t="s">
        <v>87</v>
      </c>
      <c r="G243">
        <v>8237</v>
      </c>
      <c r="H243">
        <v>0</v>
      </c>
      <c r="I243" t="str">
        <f>OutputTable[[#This Row],[ProjectName]]&amp;OutputTable[[#This Row],[Name]]&amp;OutputTable[[#This Row],[Type]]&amp;OutputTable[[#This Row],[Source]]</f>
        <v>Unnamed ProjectProcess 7 Number OutNumber OutProcess</v>
      </c>
      <c r="J243" cm="1">
        <f t="array" ref="J243">MAX(IF((ProjectInfoTable[ProjectName]=OutputTable[[#This Row],[ProjectName]]),(ProjectInfoTable[ProjectName]=OutputTable[[#This Row],[ProjectName]])*ProjectInfoTable[NumberOfReplications]))</f>
        <v>10</v>
      </c>
      <c r="K243" cm="1">
        <f t="array" ref="K243">IFERROR(AVERAGE(IF((OutputTable[GroupByKey]=OutputTable[[#This Row],[GroupByKey]]),(OutputTable[GroupByKey]=OutputTable[[#This Row],[GroupByKey]])*OutputTable[RecordedValue])),0)</f>
        <v>8227.7000000000007</v>
      </c>
      <c r="L243" cm="1">
        <f t="array" ref="L243">IFERROR(_xlfn.STDEV.S(IF((OutputTable[GroupByKey]=OutputTable[[#This Row],[GroupByKey]]),(OutputTable[GroupByKey]=OutputTable[[#This Row],[GroupByKey]])*OutputTable[RecordedValue])),0)</f>
        <v>6.2902040242480748</v>
      </c>
      <c r="M243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243" cm="1">
        <f t="array" ref="O243">MIN(IF((OutputTable[GroupByKey]=OutputTable[[#This Row],[GroupByKey]]),(OutputTable[GroupByKey]=OutputTable[[#This Row],[GroupByKey]])*OutputTable[RecordedValue]))</f>
        <v>8216</v>
      </c>
      <c r="P243" cm="1">
        <f t="array" ref="P243">MAX(IF((OutputTable[GroupByKey]=OutputTable[[#This Row],[GroupByKey]]),(OutputTable[GroupByKey]=OutputTable[[#This Row],[GroupByKey]])*OutputTable[RecordedValue]))</f>
        <v>8237</v>
      </c>
    </row>
    <row r="244" spans="1:16" x14ac:dyDescent="0.25">
      <c r="A244" t="s">
        <v>67</v>
      </c>
      <c r="B244" t="s">
        <v>243</v>
      </c>
      <c r="C244">
        <v>3</v>
      </c>
      <c r="D244" t="s">
        <v>226</v>
      </c>
      <c r="E244" t="s">
        <v>202</v>
      </c>
      <c r="F244" t="s">
        <v>87</v>
      </c>
      <c r="G244">
        <v>91937.607698344</v>
      </c>
      <c r="H244">
        <v>0</v>
      </c>
      <c r="I244" t="str">
        <f>OutputTable[[#This Row],[ProjectName]]&amp;OutputTable[[#This Row],[Name]]&amp;OutputTable[[#This Row],[Type]]&amp;OutputTable[[#This Row],[Source]]</f>
        <v>Unnamed ProjectProcess 8 Accum VA TimeAccum VA TimeProcess</v>
      </c>
      <c r="J244" cm="1">
        <f t="array" ref="J244">MAX(IF((ProjectInfoTable[ProjectName]=OutputTable[[#This Row],[ProjectName]]),(ProjectInfoTable[ProjectName]=OutputTable[[#This Row],[ProjectName]])*ProjectInfoTable[NumberOfReplications]))</f>
        <v>10</v>
      </c>
      <c r="K244" cm="1">
        <f t="array" ref="K244">IFERROR(AVERAGE(IF((OutputTable[GroupByKey]=OutputTable[[#This Row],[GroupByKey]]),(OutputTable[GroupByKey]=OutputTable[[#This Row],[GroupByKey]])*OutputTable[RecordedValue])),0)</f>
        <v>91917.034029149756</v>
      </c>
      <c r="L244" cm="1">
        <f t="array" ref="L244">IFERROR(_xlfn.STDEV.S(IF((OutputTable[GroupByKey]=OutputTable[[#This Row],[GroupByKey]]),(OutputTable[GroupByKey]=OutputTable[[#This Row],[GroupByKey]])*OutputTable[RecordedValue])),0)</f>
        <v>167.33037075092571</v>
      </c>
      <c r="M244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119.70093629530641</v>
      </c>
      <c r="O244" cm="1">
        <f t="array" ref="O244">MIN(IF((OutputTable[GroupByKey]=OutputTable[[#This Row],[GroupByKey]]),(OutputTable[GroupByKey]=OutputTable[[#This Row],[GroupByKey]])*OutputTable[RecordedValue]))</f>
        <v>91632.276670136605</v>
      </c>
      <c r="P244" cm="1">
        <f t="array" ref="P244">MAX(IF((OutputTable[GroupByKey]=OutputTable[[#This Row],[GroupByKey]]),(OutputTable[GroupByKey]=OutputTable[[#This Row],[GroupByKey]])*OutputTable[RecordedValue]))</f>
        <v>92162.594279262106</v>
      </c>
    </row>
    <row r="245" spans="1:16" x14ac:dyDescent="0.25">
      <c r="A245" t="s">
        <v>67</v>
      </c>
      <c r="B245" t="s">
        <v>243</v>
      </c>
      <c r="C245">
        <v>3</v>
      </c>
      <c r="D245" t="s">
        <v>227</v>
      </c>
      <c r="E245" t="s">
        <v>156</v>
      </c>
      <c r="F245" t="s">
        <v>87</v>
      </c>
      <c r="G245">
        <v>18407</v>
      </c>
      <c r="H245">
        <v>0</v>
      </c>
      <c r="I245" t="str">
        <f>OutputTable[[#This Row],[ProjectName]]&amp;OutputTable[[#This Row],[Name]]&amp;OutputTable[[#This Row],[Type]]&amp;OutputTable[[#This Row],[Source]]</f>
        <v>Unnamed ProjectProcess 8 Number InNumber InProcess</v>
      </c>
      <c r="J245" cm="1">
        <f t="array" ref="J245">MAX(IF((ProjectInfoTable[ProjectName]=OutputTable[[#This Row],[ProjectName]]),(ProjectInfoTable[ProjectName]=OutputTable[[#This Row],[ProjectName]])*ProjectInfoTable[NumberOfReplications]))</f>
        <v>10</v>
      </c>
      <c r="K245" cm="1">
        <f t="array" ref="K245">IFERROR(AVERAGE(IF((OutputTable[GroupByKey]=OutputTable[[#This Row],[GroupByKey]]),(OutputTable[GroupByKey]=OutputTable[[#This Row],[GroupByKey]])*OutputTable[RecordedValue])),0)</f>
        <v>18392</v>
      </c>
      <c r="L245" cm="1">
        <f t="array" ref="L245">IFERROR(_xlfn.STDEV.S(IF((OutputTable[GroupByKey]=OutputTable[[#This Row],[GroupByKey]]),(OutputTable[GroupByKey]=OutputTable[[#This Row],[GroupByKey]])*OutputTable[RecordedValue])),0)</f>
        <v>12.884098726725126</v>
      </c>
      <c r="M24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245" cm="1">
        <f t="array" ref="O245">MIN(IF((OutputTable[GroupByKey]=OutputTable[[#This Row],[GroupByKey]]),(OutputTable[GroupByKey]=OutputTable[[#This Row],[GroupByKey]])*OutputTable[RecordedValue]))</f>
        <v>18376</v>
      </c>
      <c r="P245" cm="1">
        <f t="array" ref="P245">MAX(IF((OutputTable[GroupByKey]=OutputTable[[#This Row],[GroupByKey]]),(OutputTable[GroupByKey]=OutputTable[[#This Row],[GroupByKey]])*OutputTable[RecordedValue]))</f>
        <v>18407</v>
      </c>
    </row>
    <row r="246" spans="1:16" x14ac:dyDescent="0.25">
      <c r="A246" t="s">
        <v>67</v>
      </c>
      <c r="B246" t="s">
        <v>243</v>
      </c>
      <c r="C246">
        <v>3</v>
      </c>
      <c r="D246" t="s">
        <v>228</v>
      </c>
      <c r="E246" t="s">
        <v>158</v>
      </c>
      <c r="F246" t="s">
        <v>87</v>
      </c>
      <c r="G246">
        <v>18407</v>
      </c>
      <c r="H246">
        <v>0</v>
      </c>
      <c r="I246" t="str">
        <f>OutputTable[[#This Row],[ProjectName]]&amp;OutputTable[[#This Row],[Name]]&amp;OutputTable[[#This Row],[Type]]&amp;OutputTable[[#This Row],[Source]]</f>
        <v>Unnamed ProjectProcess 8 Number OutNumber OutProcess</v>
      </c>
      <c r="J246" cm="1">
        <f t="array" ref="J246">MAX(IF((ProjectInfoTable[ProjectName]=OutputTable[[#This Row],[ProjectName]]),(ProjectInfoTable[ProjectName]=OutputTable[[#This Row],[ProjectName]])*ProjectInfoTable[NumberOfReplications]))</f>
        <v>10</v>
      </c>
      <c r="K246" cm="1">
        <f t="array" ref="K246">IFERROR(AVERAGE(IF((OutputTable[GroupByKey]=OutputTable[[#This Row],[GroupByKey]]),(OutputTable[GroupByKey]=OutputTable[[#This Row],[GroupByKey]])*OutputTable[RecordedValue])),0)</f>
        <v>18392</v>
      </c>
      <c r="L246" cm="1">
        <f t="array" ref="L246">IFERROR(_xlfn.STDEV.S(IF((OutputTable[GroupByKey]=OutputTable[[#This Row],[GroupByKey]]),(OutputTable[GroupByKey]=OutputTable[[#This Row],[GroupByKey]])*OutputTable[RecordedValue])),0)</f>
        <v>12.884098726725126</v>
      </c>
      <c r="M246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246" cm="1">
        <f t="array" ref="O246">MIN(IF((OutputTable[GroupByKey]=OutputTable[[#This Row],[GroupByKey]]),(OutputTable[GroupByKey]=OutputTable[[#This Row],[GroupByKey]])*OutputTable[RecordedValue]))</f>
        <v>18376</v>
      </c>
      <c r="P246" cm="1">
        <f t="array" ref="P246">MAX(IF((OutputTable[GroupByKey]=OutputTable[[#This Row],[GroupByKey]]),(OutputTable[GroupByKey]=OutputTable[[#This Row],[GroupByKey]])*OutputTable[RecordedValue]))</f>
        <v>18407</v>
      </c>
    </row>
    <row r="247" spans="1:16" x14ac:dyDescent="0.25">
      <c r="A247" t="s">
        <v>67</v>
      </c>
      <c r="B247" t="s">
        <v>243</v>
      </c>
      <c r="C247">
        <v>3</v>
      </c>
      <c r="D247" t="s">
        <v>229</v>
      </c>
      <c r="E247" t="s">
        <v>202</v>
      </c>
      <c r="F247" t="s">
        <v>87</v>
      </c>
      <c r="G247">
        <v>104331.678176</v>
      </c>
      <c r="H247">
        <v>0</v>
      </c>
      <c r="I247" t="str">
        <f>OutputTable[[#This Row],[ProjectName]]&amp;OutputTable[[#This Row],[Name]]&amp;OutputTable[[#This Row],[Type]]&amp;OutputTable[[#This Row],[Source]]</f>
        <v>Unnamed ProjectProcess 9 Accum VA TimeAccum VA TimeProcess</v>
      </c>
      <c r="J247" cm="1">
        <f t="array" ref="J247">MAX(IF((ProjectInfoTable[ProjectName]=OutputTable[[#This Row],[ProjectName]]),(ProjectInfoTable[ProjectName]=OutputTable[[#This Row],[ProjectName]])*ProjectInfoTable[NumberOfReplications]))</f>
        <v>10</v>
      </c>
      <c r="K247" cm="1">
        <f t="array" ref="K247">IFERROR(AVERAGE(IF((OutputTable[GroupByKey]=OutputTable[[#This Row],[GroupByKey]]),(OutputTable[GroupByKey]=OutputTable[[#This Row],[GroupByKey]])*OutputTable[RecordedValue])),0)</f>
        <v>104198.44406523299</v>
      </c>
      <c r="L247" cm="1">
        <f t="array" ref="L247">IFERROR(_xlfn.STDEV.S(IF((OutputTable[GroupByKey]=OutputTable[[#This Row],[GroupByKey]]),(OutputTable[GroupByKey]=OutputTable[[#This Row],[GroupByKey]])*OutputTable[RecordedValue])),0)</f>
        <v>99.045608472383734</v>
      </c>
      <c r="M247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70.852960026786278</v>
      </c>
      <c r="O247" cm="1">
        <f t="array" ref="O247">MIN(IF((OutputTable[GroupByKey]=OutputTable[[#This Row],[GroupByKey]]),(OutputTable[GroupByKey]=OutputTable[[#This Row],[GroupByKey]])*OutputTable[RecordedValue]))</f>
        <v>104039.320720244</v>
      </c>
      <c r="P247" cm="1">
        <f t="array" ref="P247">MAX(IF((OutputTable[GroupByKey]=OutputTable[[#This Row],[GroupByKey]]),(OutputTable[GroupByKey]=OutputTable[[#This Row],[GroupByKey]])*OutputTable[RecordedValue]))</f>
        <v>104335.096217932</v>
      </c>
    </row>
    <row r="248" spans="1:16" x14ac:dyDescent="0.25">
      <c r="A248" t="s">
        <v>67</v>
      </c>
      <c r="B248" t="s">
        <v>243</v>
      </c>
      <c r="C248">
        <v>3</v>
      </c>
      <c r="D248" t="s">
        <v>230</v>
      </c>
      <c r="E248" t="s">
        <v>156</v>
      </c>
      <c r="F248" t="s">
        <v>87</v>
      </c>
      <c r="G248">
        <v>18404</v>
      </c>
      <c r="H248">
        <v>0</v>
      </c>
      <c r="I248" t="str">
        <f>OutputTable[[#This Row],[ProjectName]]&amp;OutputTable[[#This Row],[Name]]&amp;OutputTable[[#This Row],[Type]]&amp;OutputTable[[#This Row],[Source]]</f>
        <v>Unnamed ProjectProcess 9 Number InNumber InProcess</v>
      </c>
      <c r="J248" cm="1">
        <f t="array" ref="J248">MAX(IF((ProjectInfoTable[ProjectName]=OutputTable[[#This Row],[ProjectName]]),(ProjectInfoTable[ProjectName]=OutputTable[[#This Row],[ProjectName]])*ProjectInfoTable[NumberOfReplications]))</f>
        <v>10</v>
      </c>
      <c r="K248" cm="1">
        <f t="array" ref="K248">IFERROR(AVERAGE(IF((OutputTable[GroupByKey]=OutputTable[[#This Row],[GroupByKey]]),(OutputTable[GroupByKey]=OutputTable[[#This Row],[GroupByKey]])*OutputTable[RecordedValue])),0)</f>
        <v>18389.400000000001</v>
      </c>
      <c r="L248" cm="1">
        <f t="array" ref="L248">IFERROR(_xlfn.STDEV.S(IF((OutputTable[GroupByKey]=OutputTable[[#This Row],[GroupByKey]]),(OutputTable[GroupByKey]=OutputTable[[#This Row],[GroupByKey]])*OutputTable[RecordedValue])),0)</f>
        <v>12.103259432437566</v>
      </c>
      <c r="M248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248" cm="1">
        <f t="array" ref="O248">MIN(IF((OutputTable[GroupByKey]=OutputTable[[#This Row],[GroupByKey]]),(OutputTable[GroupByKey]=OutputTable[[#This Row],[GroupByKey]])*OutputTable[RecordedValue]))</f>
        <v>18376</v>
      </c>
      <c r="P248" cm="1">
        <f t="array" ref="P248">MAX(IF((OutputTable[GroupByKey]=OutputTable[[#This Row],[GroupByKey]]),(OutputTable[GroupByKey]=OutputTable[[#This Row],[GroupByKey]])*OutputTable[RecordedValue]))</f>
        <v>18404</v>
      </c>
    </row>
    <row r="249" spans="1:16" x14ac:dyDescent="0.25">
      <c r="A249" t="s">
        <v>67</v>
      </c>
      <c r="B249" t="s">
        <v>243</v>
      </c>
      <c r="C249">
        <v>3</v>
      </c>
      <c r="D249" t="s">
        <v>231</v>
      </c>
      <c r="E249" t="s">
        <v>158</v>
      </c>
      <c r="F249" t="s">
        <v>87</v>
      </c>
      <c r="G249">
        <v>18404</v>
      </c>
      <c r="H249">
        <v>0</v>
      </c>
      <c r="I249" t="str">
        <f>OutputTable[[#This Row],[ProjectName]]&amp;OutputTable[[#This Row],[Name]]&amp;OutputTable[[#This Row],[Type]]&amp;OutputTable[[#This Row],[Source]]</f>
        <v>Unnamed ProjectProcess 9 Number OutNumber OutProcess</v>
      </c>
      <c r="J249" cm="1">
        <f t="array" ref="J249">MAX(IF((ProjectInfoTable[ProjectName]=OutputTable[[#This Row],[ProjectName]]),(ProjectInfoTable[ProjectName]=OutputTable[[#This Row],[ProjectName]])*ProjectInfoTable[NumberOfReplications]))</f>
        <v>10</v>
      </c>
      <c r="K249" cm="1">
        <f t="array" ref="K249">IFERROR(AVERAGE(IF((OutputTable[GroupByKey]=OutputTable[[#This Row],[GroupByKey]]),(OutputTable[GroupByKey]=OutputTable[[#This Row],[GroupByKey]])*OutputTable[RecordedValue])),0)</f>
        <v>18389.400000000001</v>
      </c>
      <c r="L249" cm="1">
        <f t="array" ref="L249">IFERROR(_xlfn.STDEV.S(IF((OutputTable[GroupByKey]=OutputTable[[#This Row],[GroupByKey]]),(OutputTable[GroupByKey]=OutputTable[[#This Row],[GroupByKey]])*OutputTable[RecordedValue])),0)</f>
        <v>12.103259432437566</v>
      </c>
      <c r="M249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249" cm="1">
        <f t="array" ref="O249">MIN(IF((OutputTable[GroupByKey]=OutputTable[[#This Row],[GroupByKey]]),(OutputTable[GroupByKey]=OutputTable[[#This Row],[GroupByKey]])*OutputTable[RecordedValue]))</f>
        <v>18376</v>
      </c>
      <c r="P249" cm="1">
        <f t="array" ref="P249">MAX(IF((OutputTable[GroupByKey]=OutputTable[[#This Row],[GroupByKey]]),(OutputTable[GroupByKey]=OutputTable[[#This Row],[GroupByKey]])*OutputTable[RecordedValue]))</f>
        <v>18404</v>
      </c>
    </row>
    <row r="250" spans="1:16" x14ac:dyDescent="0.25">
      <c r="A250" t="s">
        <v>67</v>
      </c>
      <c r="B250" t="s">
        <v>243</v>
      </c>
      <c r="C250">
        <v>3</v>
      </c>
      <c r="D250" t="s">
        <v>232</v>
      </c>
      <c r="E250" t="s">
        <v>152</v>
      </c>
      <c r="F250" t="s">
        <v>113</v>
      </c>
      <c r="G250">
        <v>0</v>
      </c>
      <c r="H250">
        <v>0</v>
      </c>
      <c r="I250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250" cm="1">
        <f t="array" ref="J250">MAX(IF((ProjectInfoTable[ProjectName]=OutputTable[[#This Row],[ProjectName]]),(ProjectInfoTable[ProjectName]=OutputTable[[#This Row],[ProjectName]])*ProjectInfoTable[NumberOfReplications]))</f>
        <v>10</v>
      </c>
      <c r="K250" cm="1">
        <f t="array" ref="K250">IFERROR(AVERAGE(IF((OutputTable[GroupByKey]=OutputTable[[#This Row],[GroupByKey]]),(OutputTable[GroupByKey]=OutputTable[[#This Row],[GroupByKey]])*OutputTable[RecordedValue])),0)</f>
        <v>0</v>
      </c>
      <c r="L250" cm="1">
        <f t="array" ref="L250">IFERROR(_xlfn.STDEV.S(IF((OutputTable[GroupByKey]=OutputTable[[#This Row],[GroupByKey]]),(OutputTable[GroupByKey]=OutputTable[[#This Row],[GroupByKey]])*OutputTable[RecordedValue])),0)</f>
        <v>0</v>
      </c>
      <c r="M250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" cm="1">
        <f t="array" ref="O250">MIN(IF((OutputTable[GroupByKey]=OutputTable[[#This Row],[GroupByKey]]),(OutputTable[GroupByKey]=OutputTable[[#This Row],[GroupByKey]])*OutputTable[RecordedValue]))</f>
        <v>0</v>
      </c>
      <c r="P250" cm="1">
        <f t="array" ref="P250">MAX(IF((OutputTable[GroupByKey]=OutputTable[[#This Row],[GroupByKey]]),(OutputTable[GroupByKey]=OutputTable[[#This Row],[GroupByKey]])*OutputTable[RecordedValue]))</f>
        <v>0</v>
      </c>
    </row>
    <row r="251" spans="1:16" x14ac:dyDescent="0.25">
      <c r="A251" t="s">
        <v>67</v>
      </c>
      <c r="B251" t="s">
        <v>243</v>
      </c>
      <c r="C251">
        <v>3</v>
      </c>
      <c r="D251" t="s">
        <v>233</v>
      </c>
      <c r="E251" t="s">
        <v>154</v>
      </c>
      <c r="F251" t="s">
        <v>113</v>
      </c>
      <c r="G251">
        <v>0</v>
      </c>
      <c r="H251">
        <v>0</v>
      </c>
      <c r="I251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251" cm="1">
        <f t="array" ref="J251">MAX(IF((ProjectInfoTable[ProjectName]=OutputTable[[#This Row],[ProjectName]]),(ProjectInfoTable[ProjectName]=OutputTable[[#This Row],[ProjectName]])*ProjectInfoTable[NumberOfReplications]))</f>
        <v>10</v>
      </c>
      <c r="K251" cm="1">
        <f t="array" ref="K251">IFERROR(AVERAGE(IF((OutputTable[GroupByKey]=OutputTable[[#This Row],[GroupByKey]]),(OutputTable[GroupByKey]=OutputTable[[#This Row],[GroupByKey]])*OutputTable[RecordedValue])),0)</f>
        <v>0</v>
      </c>
      <c r="L251" cm="1">
        <f t="array" ref="L251">IFERROR(_xlfn.STDEV.S(IF((OutputTable[GroupByKey]=OutputTable[[#This Row],[GroupByKey]]),(OutputTable[GroupByKey]=OutputTable[[#This Row],[GroupByKey]])*OutputTable[RecordedValue])),0)</f>
        <v>0</v>
      </c>
      <c r="M251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" cm="1">
        <f t="array" ref="O251">MIN(IF((OutputTable[GroupByKey]=OutputTable[[#This Row],[GroupByKey]]),(OutputTable[GroupByKey]=OutputTable[[#This Row],[GroupByKey]])*OutputTable[RecordedValue]))</f>
        <v>0</v>
      </c>
      <c r="P251" cm="1">
        <f t="array" ref="P251">MAX(IF((OutputTable[GroupByKey]=OutputTable[[#This Row],[GroupByKey]]),(OutputTable[GroupByKey]=OutputTable[[#This Row],[GroupByKey]])*OutputTable[RecordedValue]))</f>
        <v>0</v>
      </c>
    </row>
    <row r="252" spans="1:16" x14ac:dyDescent="0.25">
      <c r="A252" t="s">
        <v>67</v>
      </c>
      <c r="B252" t="s">
        <v>243</v>
      </c>
      <c r="C252">
        <v>3</v>
      </c>
      <c r="D252" t="s">
        <v>234</v>
      </c>
      <c r="E252" t="s">
        <v>152</v>
      </c>
      <c r="F252" t="s">
        <v>113</v>
      </c>
      <c r="G252">
        <v>129</v>
      </c>
      <c r="H252">
        <v>0</v>
      </c>
      <c r="I252" t="str">
        <f>OutputTable[[#This Row],[ProjectName]]&amp;OutputTable[[#This Row],[Name]]&amp;OutputTable[[#This Row],[Type]]&amp;OutputTable[[#This Row],[Source]]</f>
        <v>Unnamed ProjectSales Rep.NumberSeizedTotal Number SeizedResource</v>
      </c>
      <c r="J252" cm="1">
        <f t="array" ref="J252">MAX(IF((ProjectInfoTable[ProjectName]=OutputTable[[#This Row],[ProjectName]]),(ProjectInfoTable[ProjectName]=OutputTable[[#This Row],[ProjectName]])*ProjectInfoTable[NumberOfReplications]))</f>
        <v>10</v>
      </c>
      <c r="K252" cm="1">
        <f t="array" ref="K252">IFERROR(AVERAGE(IF((OutputTable[GroupByKey]=OutputTable[[#This Row],[GroupByKey]]),(OutputTable[GroupByKey]=OutputTable[[#This Row],[GroupByKey]])*OutputTable[RecordedValue])),0)</f>
        <v>118.7</v>
      </c>
      <c r="L252" cm="1">
        <f t="array" ref="L252">IFERROR(_xlfn.STDEV.S(IF((OutputTable[GroupByKey]=OutputTable[[#This Row],[GroupByKey]]),(OutputTable[GroupByKey]=OutputTable[[#This Row],[GroupByKey]])*OutputTable[RecordedValue])),0)</f>
        <v>12.587913073879887</v>
      </c>
      <c r="M252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252" cm="1">
        <f t="array" ref="O252">MIN(IF((OutputTable[GroupByKey]=OutputTable[[#This Row],[GroupByKey]]),(OutputTable[GroupByKey]=OutputTable[[#This Row],[GroupByKey]])*OutputTable[RecordedValue]))</f>
        <v>95</v>
      </c>
      <c r="P252" cm="1">
        <f t="array" ref="P252">MAX(IF((OutputTable[GroupByKey]=OutputTable[[#This Row],[GroupByKey]]),(OutputTable[GroupByKey]=OutputTable[[#This Row],[GroupByKey]])*OutputTable[RecordedValue]))</f>
        <v>141</v>
      </c>
    </row>
    <row r="253" spans="1:16" x14ac:dyDescent="0.25">
      <c r="A253" t="s">
        <v>67</v>
      </c>
      <c r="B253" t="s">
        <v>243</v>
      </c>
      <c r="C253">
        <v>3</v>
      </c>
      <c r="D253" t="s">
        <v>235</v>
      </c>
      <c r="E253" t="s">
        <v>154</v>
      </c>
      <c r="F253" t="s">
        <v>113</v>
      </c>
      <c r="G253">
        <v>0.35146491521492201</v>
      </c>
      <c r="H253">
        <v>0</v>
      </c>
      <c r="I253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253" cm="1">
        <f t="array" ref="J253">MAX(IF((ProjectInfoTable[ProjectName]=OutputTable[[#This Row],[ProjectName]]),(ProjectInfoTable[ProjectName]=OutputTable[[#This Row],[ProjectName]])*ProjectInfoTable[NumberOfReplications]))</f>
        <v>10</v>
      </c>
      <c r="K253" cm="1">
        <f t="array" ref="K253">IFERROR(AVERAGE(IF((OutputTable[GroupByKey]=OutputTable[[#This Row],[GroupByKey]]),(OutputTable[GroupByKey]=OutputTable[[#This Row],[GroupByKey]])*OutputTable[RecordedValue])),0)</f>
        <v>0.3273551167875815</v>
      </c>
      <c r="L253" cm="1">
        <f t="array" ref="L253">IFERROR(_xlfn.STDEV.S(IF((OutputTable[GroupByKey]=OutputTable[[#This Row],[GroupByKey]]),(OutputTable[GroupByKey]=OutputTable[[#This Row],[GroupByKey]])*OutputTable[RecordedValue])),0)</f>
        <v>3.5172818533154994E-2</v>
      </c>
      <c r="M253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2.5161118640145405E-2</v>
      </c>
      <c r="O253" cm="1">
        <f t="array" ref="O253">MIN(IF((OutputTable[GroupByKey]=OutputTable[[#This Row],[GroupByKey]]),(OutputTable[GroupByKey]=OutputTable[[#This Row],[GroupByKey]])*OutputTable[RecordedValue]))</f>
        <v>0.26933581669894202</v>
      </c>
      <c r="P253" cm="1">
        <f t="array" ref="P253">MAX(IF((OutputTable[GroupByKey]=OutputTable[[#This Row],[GroupByKey]]),(OutputTable[GroupByKey]=OutputTable[[#This Row],[GroupByKey]])*OutputTable[RecordedValue]))</f>
        <v>0.39321867243708603</v>
      </c>
    </row>
    <row r="254" spans="1:16" x14ac:dyDescent="0.25">
      <c r="A254" t="s">
        <v>67</v>
      </c>
      <c r="B254" t="s">
        <v>243</v>
      </c>
      <c r="C254">
        <v>3</v>
      </c>
      <c r="D254" t="s">
        <v>236</v>
      </c>
      <c r="E254" t="s">
        <v>158</v>
      </c>
      <c r="F254" t="s">
        <v>150</v>
      </c>
      <c r="G254">
        <v>2496</v>
      </c>
      <c r="H254">
        <v>0</v>
      </c>
      <c r="I254" t="str">
        <f>OutputTable[[#This Row],[ProjectName]]&amp;OutputTable[[#This Row],[Name]]&amp;OutputTable[[#This Row],[Type]]&amp;OutputTable[[#This Row],[Source]]</f>
        <v>Unnamed ProjectSystem.NumberOutNumber OutSystem</v>
      </c>
      <c r="J254" cm="1">
        <f t="array" ref="J254">MAX(IF((ProjectInfoTable[ProjectName]=OutputTable[[#This Row],[ProjectName]]),(ProjectInfoTable[ProjectName]=OutputTable[[#This Row],[ProjectName]])*ProjectInfoTable[NumberOfReplications]))</f>
        <v>10</v>
      </c>
      <c r="K254" cm="1">
        <f t="array" ref="K254">IFERROR(AVERAGE(IF((OutputTable[GroupByKey]=OutputTable[[#This Row],[GroupByKey]]),(OutputTable[GroupByKey]=OutputTable[[#This Row],[GroupByKey]])*OutputTable[RecordedValue])),0)</f>
        <v>2503.1</v>
      </c>
      <c r="L254" cm="1">
        <f t="array" ref="L254">IFERROR(_xlfn.STDEV.S(IF((OutputTable[GroupByKey]=OutputTable[[#This Row],[GroupByKey]]),(OutputTable[GroupByKey]=OutputTable[[#This Row],[GroupByKey]])*OutputTable[RecordedValue])),0)</f>
        <v>29.72260643573059</v>
      </c>
      <c r="M254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21.262271777248003</v>
      </c>
      <c r="O254" cm="1">
        <f t="array" ref="O254">MIN(IF((OutputTable[GroupByKey]=OutputTable[[#This Row],[GroupByKey]]),(OutputTable[GroupByKey]=OutputTable[[#This Row],[GroupByKey]])*OutputTable[RecordedValue]))</f>
        <v>2457</v>
      </c>
      <c r="P254" cm="1">
        <f t="array" ref="P254">MAX(IF((OutputTable[GroupByKey]=OutputTable[[#This Row],[GroupByKey]]),(OutputTable[GroupByKey]=OutputTable[[#This Row],[GroupByKey]])*OutputTable[RecordedValue]))</f>
        <v>2546</v>
      </c>
    </row>
    <row r="255" spans="1:16" x14ac:dyDescent="0.25">
      <c r="A255" t="s">
        <v>67</v>
      </c>
      <c r="B255" t="s">
        <v>243</v>
      </c>
      <c r="C255">
        <v>3</v>
      </c>
      <c r="D255" t="s">
        <v>237</v>
      </c>
      <c r="E255" t="s">
        <v>156</v>
      </c>
      <c r="F255" t="s">
        <v>76</v>
      </c>
      <c r="G255">
        <v>7832</v>
      </c>
      <c r="H255">
        <v>0</v>
      </c>
      <c r="I255" t="str">
        <f>OutputTable[[#This Row],[ProjectName]]&amp;OutputTable[[#This Row],[Name]]&amp;OutputTable[[#This Row],[Type]]&amp;OutputTable[[#This Row],[Source]]</f>
        <v>Unnamed ProjectWire Harness.NumberInNumber InEntity</v>
      </c>
      <c r="J255" cm="1">
        <f t="array" ref="J255">MAX(IF((ProjectInfoTable[ProjectName]=OutputTable[[#This Row],[ProjectName]]),(ProjectInfoTable[ProjectName]=OutputTable[[#This Row],[ProjectName]])*ProjectInfoTable[NumberOfReplications]))</f>
        <v>10</v>
      </c>
      <c r="K255" cm="1">
        <f t="array" ref="K255">IFERROR(AVERAGE(IF((OutputTable[GroupByKey]=OutputTable[[#This Row],[GroupByKey]]),(OutputTable[GroupByKey]=OutputTable[[#This Row],[GroupByKey]])*OutputTable[RecordedValue])),0)</f>
        <v>7832.8</v>
      </c>
      <c r="L255" cm="1">
        <f t="array" ref="L255">IFERROR(_xlfn.STDEV.S(IF((OutputTable[GroupByKey]=OutputTable[[#This Row],[GroupByKey]]),(OutputTable[GroupByKey]=OutputTable[[#This Row],[GroupByKey]])*OutputTable[RecordedValue])),0)</f>
        <v>7.8287220469811594</v>
      </c>
      <c r="M25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5.6003303812327712</v>
      </c>
      <c r="O255" cm="1">
        <f t="array" ref="O255">MIN(IF((OutputTable[GroupByKey]=OutputTable[[#This Row],[GroupByKey]]),(OutputTable[GroupByKey]=OutputTable[[#This Row],[GroupByKey]])*OutputTable[RecordedValue]))</f>
        <v>7818</v>
      </c>
      <c r="P255" cm="1">
        <f t="array" ref="P255">MAX(IF((OutputTable[GroupByKey]=OutputTable[[#This Row],[GroupByKey]]),(OutputTable[GroupByKey]=OutputTable[[#This Row],[GroupByKey]])*OutputTable[RecordedValue]))</f>
        <v>7845</v>
      </c>
    </row>
    <row r="256" spans="1:16" x14ac:dyDescent="0.25">
      <c r="A256" t="s">
        <v>67</v>
      </c>
      <c r="B256" t="s">
        <v>243</v>
      </c>
      <c r="C256">
        <v>3</v>
      </c>
      <c r="D256" t="s">
        <v>238</v>
      </c>
      <c r="E256" t="s">
        <v>158</v>
      </c>
      <c r="F256" t="s">
        <v>76</v>
      </c>
      <c r="G256">
        <v>7829</v>
      </c>
      <c r="H256">
        <v>0</v>
      </c>
      <c r="I256" t="str">
        <f>OutputTable[[#This Row],[ProjectName]]&amp;OutputTable[[#This Row],[Name]]&amp;OutputTable[[#This Row],[Type]]&amp;OutputTable[[#This Row],[Source]]</f>
        <v>Unnamed ProjectWire Harness.NumberOutNumber OutEntity</v>
      </c>
      <c r="J256" cm="1">
        <f t="array" ref="J256">MAX(IF((ProjectInfoTable[ProjectName]=OutputTable[[#This Row],[ProjectName]]),(ProjectInfoTable[ProjectName]=OutputTable[[#This Row],[ProjectName]])*ProjectInfoTable[NumberOfReplications]))</f>
        <v>10</v>
      </c>
      <c r="K256" cm="1">
        <f t="array" ref="K256">IFERROR(AVERAGE(IF((OutputTable[GroupByKey]=OutputTable[[#This Row],[GroupByKey]]),(OutputTable[GroupByKey]=OutputTable[[#This Row],[GroupByKey]])*OutputTable[RecordedValue])),0)</f>
        <v>7828.3</v>
      </c>
      <c r="L256" cm="1">
        <f t="array" ref="L256">IFERROR(_xlfn.STDEV.S(IF((OutputTable[GroupByKey]=OutputTable[[#This Row],[GroupByKey]]),(OutputTable[GroupByKey]=OutputTable[[#This Row],[GroupByKey]])*OutputTable[RecordedValue])),0)</f>
        <v>7.1032074132433696</v>
      </c>
      <c r="M256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5.0813284776056653</v>
      </c>
      <c r="O256" cm="1">
        <f t="array" ref="O256">MIN(IF((OutputTable[GroupByKey]=OutputTable[[#This Row],[GroupByKey]]),(OutputTable[GroupByKey]=OutputTable[[#This Row],[GroupByKey]])*OutputTable[RecordedValue]))</f>
        <v>7815</v>
      </c>
      <c r="P256" cm="1">
        <f t="array" ref="P256">MAX(IF((OutputTable[GroupByKey]=OutputTable[[#This Row],[GroupByKey]]),(OutputTable[GroupByKey]=OutputTable[[#This Row],[GroupByKey]])*OutputTable[RecordedValue]))</f>
        <v>7840</v>
      </c>
    </row>
    <row r="257" spans="1:16" x14ac:dyDescent="0.25">
      <c r="A257" t="s">
        <v>67</v>
      </c>
      <c r="B257" t="s">
        <v>243</v>
      </c>
      <c r="C257">
        <v>3</v>
      </c>
      <c r="D257" t="s">
        <v>239</v>
      </c>
      <c r="E257" t="s">
        <v>202</v>
      </c>
      <c r="F257" t="s">
        <v>87</v>
      </c>
      <c r="G257">
        <v>56937.316264817302</v>
      </c>
      <c r="H257">
        <v>0</v>
      </c>
      <c r="I257" t="str">
        <f>OutputTable[[#This Row],[ProjectName]]&amp;OutputTable[[#This Row],[Name]]&amp;OutputTable[[#This Row],[Type]]&amp;OutputTable[[#This Row],[Source]]</f>
        <v>Unnamed Projectsales Accum VA TimeAccum VA TimeProcess</v>
      </c>
      <c r="J257" cm="1">
        <f t="array" ref="J257">MAX(IF((ProjectInfoTable[ProjectName]=OutputTable[[#This Row],[ProjectName]]),(ProjectInfoTable[ProjectName]=OutputTable[[#This Row],[ProjectName]])*ProjectInfoTable[NumberOfReplications]))</f>
        <v>10</v>
      </c>
      <c r="K257" cm="1">
        <f t="array" ref="K257">IFERROR(AVERAGE(IF((OutputTable[GroupByKey]=OutputTable[[#This Row],[GroupByKey]]),(OutputTable[GroupByKey]=OutputTable[[#This Row],[GroupByKey]])*OutputTable[RecordedValue])),0)</f>
        <v>53031.528919588192</v>
      </c>
      <c r="L257" cm="1">
        <f t="array" ref="L257">IFERROR(_xlfn.STDEV.S(IF((OutputTable[GroupByKey]=OutputTable[[#This Row],[GroupByKey]]),(OutputTable[GroupByKey]=OutputTable[[#This Row],[GroupByKey]])*OutputTable[RecordedValue])),0)</f>
        <v>5697.9966023710867</v>
      </c>
      <c r="M257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4076.1012197035402</v>
      </c>
      <c r="O257" cm="1">
        <f t="array" ref="O257">MIN(IF((OutputTable[GroupByKey]=OutputTable[[#This Row],[GroupByKey]]),(OutputTable[GroupByKey]=OutputTable[[#This Row],[GroupByKey]])*OutputTable[RecordedValue]))</f>
        <v>43632.402305228599</v>
      </c>
      <c r="P257" cm="1">
        <f t="array" ref="P257">MAX(IF((OutputTable[GroupByKey]=OutputTable[[#This Row],[GroupByKey]]),(OutputTable[GroupByKey]=OutputTable[[#This Row],[GroupByKey]])*OutputTable[RecordedValue]))</f>
        <v>63701.424934807801</v>
      </c>
    </row>
    <row r="258" spans="1:16" x14ac:dyDescent="0.25">
      <c r="A258" t="s">
        <v>67</v>
      </c>
      <c r="B258" t="s">
        <v>243</v>
      </c>
      <c r="C258">
        <v>3</v>
      </c>
      <c r="D258" t="s">
        <v>240</v>
      </c>
      <c r="E258" t="s">
        <v>156</v>
      </c>
      <c r="F258" t="s">
        <v>87</v>
      </c>
      <c r="G258">
        <v>129</v>
      </c>
      <c r="H258">
        <v>0</v>
      </c>
      <c r="I258" t="str">
        <f>OutputTable[[#This Row],[ProjectName]]&amp;OutputTable[[#This Row],[Name]]&amp;OutputTable[[#This Row],[Type]]&amp;OutputTable[[#This Row],[Source]]</f>
        <v>Unnamed Projectsales Number InNumber InProcess</v>
      </c>
      <c r="J258" cm="1">
        <f t="array" ref="J258">MAX(IF((ProjectInfoTable[ProjectName]=OutputTable[[#This Row],[ProjectName]]),(ProjectInfoTable[ProjectName]=OutputTable[[#This Row],[ProjectName]])*ProjectInfoTable[NumberOfReplications]))</f>
        <v>10</v>
      </c>
      <c r="K258" cm="1">
        <f t="array" ref="K258">IFERROR(AVERAGE(IF((OutputTable[GroupByKey]=OutputTable[[#This Row],[GroupByKey]]),(OutputTable[GroupByKey]=OutputTable[[#This Row],[GroupByKey]])*OutputTable[RecordedValue])),0)</f>
        <v>118.7</v>
      </c>
      <c r="L258" cm="1">
        <f t="array" ref="L258">IFERROR(_xlfn.STDEV.S(IF((OutputTable[GroupByKey]=OutputTable[[#This Row],[GroupByKey]]),(OutputTable[GroupByKey]=OutputTable[[#This Row],[GroupByKey]])*OutputTable[RecordedValue])),0)</f>
        <v>12.587913073879887</v>
      </c>
      <c r="M258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258" cm="1">
        <f t="array" ref="O258">MIN(IF((OutputTable[GroupByKey]=OutputTable[[#This Row],[GroupByKey]]),(OutputTable[GroupByKey]=OutputTable[[#This Row],[GroupByKey]])*OutputTable[RecordedValue]))</f>
        <v>95</v>
      </c>
      <c r="P258" cm="1">
        <f t="array" ref="P258">MAX(IF((OutputTable[GroupByKey]=OutputTable[[#This Row],[GroupByKey]]),(OutputTable[GroupByKey]=OutputTable[[#This Row],[GroupByKey]])*OutputTable[RecordedValue]))</f>
        <v>141</v>
      </c>
    </row>
    <row r="259" spans="1:16" x14ac:dyDescent="0.25">
      <c r="A259" t="s">
        <v>67</v>
      </c>
      <c r="B259" t="s">
        <v>243</v>
      </c>
      <c r="C259">
        <v>3</v>
      </c>
      <c r="D259" t="s">
        <v>241</v>
      </c>
      <c r="E259" t="s">
        <v>158</v>
      </c>
      <c r="F259" t="s">
        <v>87</v>
      </c>
      <c r="G259">
        <v>129</v>
      </c>
      <c r="H259">
        <v>0</v>
      </c>
      <c r="I259" t="str">
        <f>OutputTable[[#This Row],[ProjectName]]&amp;OutputTable[[#This Row],[Name]]&amp;OutputTable[[#This Row],[Type]]&amp;OutputTable[[#This Row],[Source]]</f>
        <v>Unnamed Projectsales Number OutNumber OutProcess</v>
      </c>
      <c r="J259" cm="1">
        <f t="array" ref="J259">MAX(IF((ProjectInfoTable[ProjectName]=OutputTable[[#This Row],[ProjectName]]),(ProjectInfoTable[ProjectName]=OutputTable[[#This Row],[ProjectName]])*ProjectInfoTable[NumberOfReplications]))</f>
        <v>10</v>
      </c>
      <c r="K259" cm="1">
        <f t="array" ref="K259">IFERROR(AVERAGE(IF((OutputTable[GroupByKey]=OutputTable[[#This Row],[GroupByKey]]),(OutputTable[GroupByKey]=OutputTable[[#This Row],[GroupByKey]])*OutputTable[RecordedValue])),0)</f>
        <v>118.7</v>
      </c>
      <c r="L259" cm="1">
        <f t="array" ref="L259">IFERROR(_xlfn.STDEV.S(IF((OutputTable[GroupByKey]=OutputTable[[#This Row],[GroupByKey]]),(OutputTable[GroupByKey]=OutputTable[[#This Row],[GroupByKey]])*OutputTable[RecordedValue])),0)</f>
        <v>12.587913073879887</v>
      </c>
      <c r="M259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259" cm="1">
        <f t="array" ref="O259">MIN(IF((OutputTable[GroupByKey]=OutputTable[[#This Row],[GroupByKey]]),(OutputTable[GroupByKey]=OutputTable[[#This Row],[GroupByKey]])*OutputTable[RecordedValue]))</f>
        <v>95</v>
      </c>
      <c r="P259" cm="1">
        <f t="array" ref="P259">MAX(IF((OutputTable[GroupByKey]=OutputTable[[#This Row],[GroupByKey]]),(OutputTable[GroupByKey]=OutputTable[[#This Row],[GroupByKey]])*OutputTable[RecordedValue]))</f>
        <v>141</v>
      </c>
    </row>
    <row r="260" spans="1:16" x14ac:dyDescent="0.25">
      <c r="A260" t="s">
        <v>67</v>
      </c>
      <c r="B260" t="s">
        <v>243</v>
      </c>
      <c r="C260">
        <v>4</v>
      </c>
      <c r="D260" t="s">
        <v>151</v>
      </c>
      <c r="E260" t="s">
        <v>152</v>
      </c>
      <c r="F260" t="s">
        <v>113</v>
      </c>
      <c r="G260">
        <v>6540</v>
      </c>
      <c r="H260">
        <v>0</v>
      </c>
      <c r="I260" t="str">
        <f>OutputTable[[#This Row],[ProjectName]]&amp;OutputTable[[#This Row],[Name]]&amp;OutputTable[[#This Row],[Type]]&amp;OutputTable[[#This Row],[Source]]</f>
        <v>Unnamed ProjectAssembler.NumberSeizedTotal Number SeizedResource</v>
      </c>
      <c r="J260" cm="1">
        <f t="array" ref="J260">MAX(IF((ProjectInfoTable[ProjectName]=OutputTable[[#This Row],[ProjectName]]),(ProjectInfoTable[ProjectName]=OutputTable[[#This Row],[ProjectName]])*ProjectInfoTable[NumberOfReplications]))</f>
        <v>10</v>
      </c>
      <c r="K260" cm="1">
        <f t="array" ref="K260">IFERROR(AVERAGE(IF((OutputTable[GroupByKey]=OutputTable[[#This Row],[GroupByKey]]),(OutputTable[GroupByKey]=OutputTable[[#This Row],[GroupByKey]])*OutputTable[RecordedValue])),0)</f>
        <v>6547.7</v>
      </c>
      <c r="L260" cm="1">
        <f t="array" ref="L260">IFERROR(_xlfn.STDEV.S(IF((OutputTable[GroupByKey]=OutputTable[[#This Row],[GroupByKey]]),(OutputTable[GroupByKey]=OutputTable[[#This Row],[GroupByKey]])*OutputTable[RecordedValue])),0)</f>
        <v>5.735852159879995</v>
      </c>
      <c r="M260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260" cm="1">
        <f t="array" ref="O260">MIN(IF((OutputTable[GroupByKey]=OutputTable[[#This Row],[GroupByKey]]),(OutputTable[GroupByKey]=OutputTable[[#This Row],[GroupByKey]])*OutputTable[RecordedValue]))</f>
        <v>6540</v>
      </c>
      <c r="P260" cm="1">
        <f t="array" ref="P260">MAX(IF((OutputTable[GroupByKey]=OutputTable[[#This Row],[GroupByKey]]),(OutputTable[GroupByKey]=OutputTable[[#This Row],[GroupByKey]])*OutputTable[RecordedValue]))</f>
        <v>6557</v>
      </c>
    </row>
    <row r="261" spans="1:16" x14ac:dyDescent="0.25">
      <c r="A261" t="s">
        <v>67</v>
      </c>
      <c r="B261" t="s">
        <v>243</v>
      </c>
      <c r="C261">
        <v>4</v>
      </c>
      <c r="D261" t="s">
        <v>153</v>
      </c>
      <c r="E261" t="s">
        <v>154</v>
      </c>
      <c r="F261" t="s">
        <v>113</v>
      </c>
      <c r="G261">
        <v>7.5477645584878503E-2</v>
      </c>
      <c r="H261">
        <v>0</v>
      </c>
      <c r="I261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261" cm="1">
        <f t="array" ref="J261">MAX(IF((ProjectInfoTable[ProjectName]=OutputTable[[#This Row],[ProjectName]]),(ProjectInfoTable[ProjectName]=OutputTable[[#This Row],[ProjectName]])*ProjectInfoTable[NumberOfReplications]))</f>
        <v>10</v>
      </c>
      <c r="K261" cm="1">
        <f t="array" ref="K261">IFERROR(AVERAGE(IF((OutputTable[GroupByKey]=OutputTable[[#This Row],[GroupByKey]]),(OutputTable[GroupByKey]=OutputTable[[#This Row],[GroupByKey]])*OutputTable[RecordedValue])),0)</f>
        <v>7.575658911226775E-2</v>
      </c>
      <c r="L261" cm="1">
        <f t="array" ref="L261">IFERROR(_xlfn.STDEV.S(IF((OutputTable[GroupByKey]=OutputTable[[#This Row],[GroupByKey]]),(OutputTable[GroupByKey]=OutputTable[[#This Row],[GroupByKey]])*OutputTable[RecordedValue])),0)</f>
        <v>1.4019953141627205E-4</v>
      </c>
      <c r="M261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1.0029270301248135E-4</v>
      </c>
      <c r="O261" cm="1">
        <f t="array" ref="O261">MIN(IF((OutputTable[GroupByKey]=OutputTable[[#This Row],[GroupByKey]]),(OutputTable[GroupByKey]=OutputTable[[#This Row],[GroupByKey]])*OutputTable[RecordedValue]))</f>
        <v>7.5477645584878503E-2</v>
      </c>
      <c r="P261" cm="1">
        <f t="array" ref="P261">MAX(IF((OutputTable[GroupByKey]=OutputTable[[#This Row],[GroupByKey]]),(OutputTable[GroupByKey]=OutputTable[[#This Row],[GroupByKey]])*OutputTable[RecordedValue]))</f>
        <v>7.5973148639726207E-2</v>
      </c>
    </row>
    <row r="262" spans="1:16" x14ac:dyDescent="0.25">
      <c r="A262" t="s">
        <v>67</v>
      </c>
      <c r="B262" t="s">
        <v>243</v>
      </c>
      <c r="C262">
        <v>4</v>
      </c>
      <c r="D262" t="s">
        <v>155</v>
      </c>
      <c r="E262" t="s">
        <v>156</v>
      </c>
      <c r="F262" t="s">
        <v>76</v>
      </c>
      <c r="G262">
        <v>1045</v>
      </c>
      <c r="H262">
        <v>0</v>
      </c>
      <c r="I262" t="str">
        <f>OutputTable[[#This Row],[ProjectName]]&amp;OutputTable[[#This Row],[Name]]&amp;OutputTable[[#This Row],[Type]]&amp;OutputTable[[#This Row],[Source]]</f>
        <v>Unnamed ProjectCustomer.NumberInNumber InEntity</v>
      </c>
      <c r="J262" cm="1">
        <f t="array" ref="J262">MAX(IF((ProjectInfoTable[ProjectName]=OutputTable[[#This Row],[ProjectName]]),(ProjectInfoTable[ProjectName]=OutputTable[[#This Row],[ProjectName]])*ProjectInfoTable[NumberOfReplications]))</f>
        <v>10</v>
      </c>
      <c r="K262" cm="1">
        <f t="array" ref="K262">IFERROR(AVERAGE(IF((OutputTable[GroupByKey]=OutputTable[[#This Row],[GroupByKey]]),(OutputTable[GroupByKey]=OutputTable[[#This Row],[GroupByKey]])*OutputTable[RecordedValue])),0)</f>
        <v>1090.3</v>
      </c>
      <c r="L262" cm="1">
        <f t="array" ref="L262">IFERROR(_xlfn.STDEV.S(IF((OutputTable[GroupByKey]=OutputTable[[#This Row],[GroupByKey]]),(OutputTable[GroupByKey]=OutputTable[[#This Row],[GroupByKey]])*OutputTable[RecordedValue])),0)</f>
        <v>32.666836734251177</v>
      </c>
      <c r="M262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262" cm="1">
        <f t="array" ref="O262">MIN(IF((OutputTable[GroupByKey]=OutputTable[[#This Row],[GroupByKey]]),(OutputTable[GroupByKey]=OutputTable[[#This Row],[GroupByKey]])*OutputTable[RecordedValue]))</f>
        <v>1042</v>
      </c>
      <c r="P262" cm="1">
        <f t="array" ref="P262">MAX(IF((OutputTable[GroupByKey]=OutputTable[[#This Row],[GroupByKey]]),(OutputTable[GroupByKey]=OutputTable[[#This Row],[GroupByKey]])*OutputTable[RecordedValue]))</f>
        <v>1141</v>
      </c>
    </row>
    <row r="263" spans="1:16" x14ac:dyDescent="0.25">
      <c r="A263" t="s">
        <v>67</v>
      </c>
      <c r="B263" t="s">
        <v>243</v>
      </c>
      <c r="C263">
        <v>4</v>
      </c>
      <c r="D263" t="s">
        <v>157</v>
      </c>
      <c r="E263" t="s">
        <v>158</v>
      </c>
      <c r="F263" t="s">
        <v>76</v>
      </c>
      <c r="G263">
        <v>1045</v>
      </c>
      <c r="H263">
        <v>0</v>
      </c>
      <c r="I263" t="str">
        <f>OutputTable[[#This Row],[ProjectName]]&amp;OutputTable[[#This Row],[Name]]&amp;OutputTable[[#This Row],[Type]]&amp;OutputTable[[#This Row],[Source]]</f>
        <v>Unnamed ProjectCustomer.NumberOutNumber OutEntity</v>
      </c>
      <c r="J263" cm="1">
        <f t="array" ref="J263">MAX(IF((ProjectInfoTable[ProjectName]=OutputTable[[#This Row],[ProjectName]]),(ProjectInfoTable[ProjectName]=OutputTable[[#This Row],[ProjectName]])*ProjectInfoTable[NumberOfReplications]))</f>
        <v>10</v>
      </c>
      <c r="K263" cm="1">
        <f t="array" ref="K263">IFERROR(AVERAGE(IF((OutputTable[GroupByKey]=OutputTable[[#This Row],[GroupByKey]]),(OutputTable[GroupByKey]=OutputTable[[#This Row],[GroupByKey]])*OutputTable[RecordedValue])),0)</f>
        <v>1090.3</v>
      </c>
      <c r="L263" cm="1">
        <f t="array" ref="L263">IFERROR(_xlfn.STDEV.S(IF((OutputTable[GroupByKey]=OutputTable[[#This Row],[GroupByKey]]),(OutputTable[GroupByKey]=OutputTable[[#This Row],[GroupByKey]])*OutputTable[RecordedValue])),0)</f>
        <v>32.666836734251177</v>
      </c>
      <c r="M263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263" cm="1">
        <f t="array" ref="O263">MIN(IF((OutputTable[GroupByKey]=OutputTable[[#This Row],[GroupByKey]]),(OutputTable[GroupByKey]=OutputTable[[#This Row],[GroupByKey]])*OutputTable[RecordedValue]))</f>
        <v>1042</v>
      </c>
      <c r="P263" cm="1">
        <f t="array" ref="P263">MAX(IF((OutputTable[GroupByKey]=OutputTable[[#This Row],[GroupByKey]]),(OutputTable[GroupByKey]=OutputTable[[#This Row],[GroupByKey]])*OutputTable[RecordedValue]))</f>
        <v>1141</v>
      </c>
    </row>
    <row r="264" spans="1:16" x14ac:dyDescent="0.25">
      <c r="A264" t="s">
        <v>67</v>
      </c>
      <c r="B264" t="s">
        <v>243</v>
      </c>
      <c r="C264">
        <v>4</v>
      </c>
      <c r="D264" t="s">
        <v>159</v>
      </c>
      <c r="E264" t="s">
        <v>156</v>
      </c>
      <c r="F264" t="s">
        <v>76</v>
      </c>
      <c r="G264">
        <v>19812</v>
      </c>
      <c r="H264">
        <v>0</v>
      </c>
      <c r="I264" t="str">
        <f>OutputTable[[#This Row],[ProjectName]]&amp;OutputTable[[#This Row],[Name]]&amp;OutputTable[[#This Row],[Type]]&amp;OutputTable[[#This Row],[Source]]</f>
        <v>Unnamed ProjectEntity 1.NumberInNumber InEntity</v>
      </c>
      <c r="J264" cm="1">
        <f t="array" ref="J264">MAX(IF((ProjectInfoTable[ProjectName]=OutputTable[[#This Row],[ProjectName]]),(ProjectInfoTable[ProjectName]=OutputTable[[#This Row],[ProjectName]])*ProjectInfoTable[NumberOfReplications]))</f>
        <v>10</v>
      </c>
      <c r="K264" cm="1">
        <f t="array" ref="K264">IFERROR(AVERAGE(IF((OutputTable[GroupByKey]=OutputTable[[#This Row],[GroupByKey]]),(OutputTable[GroupByKey]=OutputTable[[#This Row],[GroupByKey]])*OutputTable[RecordedValue])),0)</f>
        <v>19822.900000000001</v>
      </c>
      <c r="L264" cm="1">
        <f t="array" ref="L264">IFERROR(_xlfn.STDEV.S(IF((OutputTable[GroupByKey]=OutputTable[[#This Row],[GroupByKey]]),(OutputTable[GroupByKey]=OutputTable[[#This Row],[GroupByKey]])*OutputTable[RecordedValue])),0)</f>
        <v>20.151922985164472</v>
      </c>
      <c r="M264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14.415817276026377</v>
      </c>
      <c r="O264" cm="1">
        <f t="array" ref="O264">MIN(IF((OutputTable[GroupByKey]=OutputTable[[#This Row],[GroupByKey]]),(OutputTable[GroupByKey]=OutputTable[[#This Row],[GroupByKey]])*OutputTable[RecordedValue]))</f>
        <v>19788</v>
      </c>
      <c r="P264" cm="1">
        <f t="array" ref="P264">MAX(IF((OutputTable[GroupByKey]=OutputTable[[#This Row],[GroupByKey]]),(OutputTable[GroupByKey]=OutputTable[[#This Row],[GroupByKey]])*OutputTable[RecordedValue]))</f>
        <v>19852</v>
      </c>
    </row>
    <row r="265" spans="1:16" x14ac:dyDescent="0.25">
      <c r="A265" t="s">
        <v>67</v>
      </c>
      <c r="B265" t="s">
        <v>243</v>
      </c>
      <c r="C265">
        <v>4</v>
      </c>
      <c r="D265" t="s">
        <v>160</v>
      </c>
      <c r="E265" t="s">
        <v>158</v>
      </c>
      <c r="F265" t="s">
        <v>76</v>
      </c>
      <c r="G265">
        <v>19617</v>
      </c>
      <c r="H265">
        <v>0</v>
      </c>
      <c r="I265" t="str">
        <f>OutputTable[[#This Row],[ProjectName]]&amp;OutputTable[[#This Row],[Name]]&amp;OutputTable[[#This Row],[Type]]&amp;OutputTable[[#This Row],[Source]]</f>
        <v>Unnamed ProjectEntity 1.NumberOutNumber OutEntity</v>
      </c>
      <c r="J265" cm="1">
        <f t="array" ref="J265">MAX(IF((ProjectInfoTable[ProjectName]=OutputTable[[#This Row],[ProjectName]]),(ProjectInfoTable[ProjectName]=OutputTable[[#This Row],[ProjectName]])*ProjectInfoTable[NumberOfReplications]))</f>
        <v>10</v>
      </c>
      <c r="K265" cm="1">
        <f t="array" ref="K265">IFERROR(AVERAGE(IF((OutputTable[GroupByKey]=OutputTable[[#This Row],[GroupByKey]]),(OutputTable[GroupByKey]=OutputTable[[#This Row],[GroupByKey]])*OutputTable[RecordedValue])),0)</f>
        <v>19635.599999999999</v>
      </c>
      <c r="L265" cm="1">
        <f t="array" ref="L265">IFERROR(_xlfn.STDEV.S(IF((OutputTable[GroupByKey]=OutputTable[[#This Row],[GroupByKey]]),(OutputTable[GroupByKey]=OutputTable[[#This Row],[GroupByKey]])*OutputTable[RecordedValue])),0)</f>
        <v>15.086417732516889</v>
      </c>
      <c r="M26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265" cm="1">
        <f t="array" ref="O265">MIN(IF((OutputTable[GroupByKey]=OutputTable[[#This Row],[GroupByKey]]),(OutputTable[GroupByKey]=OutputTable[[#This Row],[GroupByKey]])*OutputTable[RecordedValue]))</f>
        <v>19614</v>
      </c>
      <c r="P265" cm="1">
        <f t="array" ref="P265">MAX(IF((OutputTable[GroupByKey]=OutputTable[[#This Row],[GroupByKey]]),(OutputTable[GroupByKey]=OutputTable[[#This Row],[GroupByKey]])*OutputTable[RecordedValue]))</f>
        <v>19662</v>
      </c>
    </row>
    <row r="266" spans="1:16" x14ac:dyDescent="0.25">
      <c r="A266" t="s">
        <v>67</v>
      </c>
      <c r="B266" t="s">
        <v>243</v>
      </c>
      <c r="C266">
        <v>4</v>
      </c>
      <c r="D266" t="s">
        <v>161</v>
      </c>
      <c r="E266" t="s">
        <v>156</v>
      </c>
      <c r="F266" t="s">
        <v>76</v>
      </c>
      <c r="G266">
        <v>8386</v>
      </c>
      <c r="H266">
        <v>0</v>
      </c>
      <c r="I266" t="str">
        <f>OutputTable[[#This Row],[ProjectName]]&amp;OutputTable[[#This Row],[Name]]&amp;OutputTable[[#This Row],[Type]]&amp;OutputTable[[#This Row],[Source]]</f>
        <v>Unnamed ProjectEntity 2.NumberInNumber InEntity</v>
      </c>
      <c r="J266" cm="1">
        <f t="array" ref="J266">MAX(IF((ProjectInfoTable[ProjectName]=OutputTable[[#This Row],[ProjectName]]),(ProjectInfoTable[ProjectName]=OutputTable[[#This Row],[ProjectName]])*ProjectInfoTable[NumberOfReplications]))</f>
        <v>10</v>
      </c>
      <c r="K266" cm="1">
        <f t="array" ref="K266">IFERROR(AVERAGE(IF((OutputTable[GroupByKey]=OutputTable[[#This Row],[GroupByKey]]),(OutputTable[GroupByKey]=OutputTable[[#This Row],[GroupByKey]])*OutputTable[RecordedValue])),0)</f>
        <v>8398</v>
      </c>
      <c r="L266" cm="1">
        <f t="array" ref="L266">IFERROR(_xlfn.STDEV.S(IF((OutputTable[GroupByKey]=OutputTable[[#This Row],[GroupByKey]]),(OutputTable[GroupByKey]=OutputTable[[#This Row],[GroupByKey]])*OutputTable[RecordedValue])),0)</f>
        <v>24.133885813197271</v>
      </c>
      <c r="M266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17.264341884378119</v>
      </c>
      <c r="O266" cm="1">
        <f t="array" ref="O266">MIN(IF((OutputTable[GroupByKey]=OutputTable[[#This Row],[GroupByKey]]),(OutputTable[GroupByKey]=OutputTable[[#This Row],[GroupByKey]])*OutputTable[RecordedValue]))</f>
        <v>8353</v>
      </c>
      <c r="P266" cm="1">
        <f t="array" ref="P266">MAX(IF((OutputTable[GroupByKey]=OutputTable[[#This Row],[GroupByKey]]),(OutputTable[GroupByKey]=OutputTable[[#This Row],[GroupByKey]])*OutputTable[RecordedValue]))</f>
        <v>8437</v>
      </c>
    </row>
    <row r="267" spans="1:16" x14ac:dyDescent="0.25">
      <c r="A267" t="s">
        <v>67</v>
      </c>
      <c r="B267" t="s">
        <v>243</v>
      </c>
      <c r="C267">
        <v>4</v>
      </c>
      <c r="D267" t="s">
        <v>162</v>
      </c>
      <c r="E267" t="s">
        <v>158</v>
      </c>
      <c r="F267" t="s">
        <v>76</v>
      </c>
      <c r="G267">
        <v>6539</v>
      </c>
      <c r="H267">
        <v>0</v>
      </c>
      <c r="I267" t="str">
        <f>OutputTable[[#This Row],[ProjectName]]&amp;OutputTable[[#This Row],[Name]]&amp;OutputTable[[#This Row],[Type]]&amp;OutputTable[[#This Row],[Source]]</f>
        <v>Unnamed ProjectEntity 2.NumberOutNumber OutEntity</v>
      </c>
      <c r="J267" cm="1">
        <f t="array" ref="J267">MAX(IF((ProjectInfoTable[ProjectName]=OutputTable[[#This Row],[ProjectName]]),(ProjectInfoTable[ProjectName]=OutputTable[[#This Row],[ProjectName]])*ProjectInfoTable[NumberOfReplications]))</f>
        <v>10</v>
      </c>
      <c r="K267" cm="1">
        <f t="array" ref="K267">IFERROR(AVERAGE(IF((OutputTable[GroupByKey]=OutputTable[[#This Row],[GroupByKey]]),(OutputTable[GroupByKey]=OutputTable[[#This Row],[GroupByKey]])*OutputTable[RecordedValue])),0)</f>
        <v>6545.2</v>
      </c>
      <c r="L267" cm="1">
        <f t="array" ref="L267">IFERROR(_xlfn.STDEV.S(IF((OutputTable[GroupByKey]=OutputTable[[#This Row],[GroupByKey]]),(OutputTable[GroupByKey]=OutputTable[[#This Row],[GroupByKey]])*OutputTable[RecordedValue])),0)</f>
        <v>5.0288059108389627</v>
      </c>
      <c r="M267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3.5973910371047504</v>
      </c>
      <c r="O267" cm="1">
        <f t="array" ref="O267">MIN(IF((OutputTable[GroupByKey]=OutputTable[[#This Row],[GroupByKey]]),(OutputTable[GroupByKey]=OutputTable[[#This Row],[GroupByKey]])*OutputTable[RecordedValue]))</f>
        <v>6538</v>
      </c>
      <c r="P267" cm="1">
        <f t="array" ref="P267">MAX(IF((OutputTable[GroupByKey]=OutputTable[[#This Row],[GroupByKey]]),(OutputTable[GroupByKey]=OutputTable[[#This Row],[GroupByKey]])*OutputTable[RecordedValue]))</f>
        <v>6554</v>
      </c>
    </row>
    <row r="268" spans="1:16" x14ac:dyDescent="0.25">
      <c r="A268" t="s">
        <v>67</v>
      </c>
      <c r="B268" t="s">
        <v>243</v>
      </c>
      <c r="C268">
        <v>4</v>
      </c>
      <c r="D268" t="s">
        <v>163</v>
      </c>
      <c r="E268" t="s">
        <v>156</v>
      </c>
      <c r="F268" t="s">
        <v>76</v>
      </c>
      <c r="G268">
        <v>27775</v>
      </c>
      <c r="H268">
        <v>0</v>
      </c>
      <c r="I268" t="str">
        <f>OutputTable[[#This Row],[ProjectName]]&amp;OutputTable[[#This Row],[Name]]&amp;OutputTable[[#This Row],[Type]]&amp;OutputTable[[#This Row],[Source]]</f>
        <v>Unnamed ProjectEntity 3.NumberInNumber InEntity</v>
      </c>
      <c r="J268" cm="1">
        <f t="array" ref="J268">MAX(IF((ProjectInfoTable[ProjectName]=OutputTable[[#This Row],[ProjectName]]),(ProjectInfoTable[ProjectName]=OutputTable[[#This Row],[ProjectName]])*ProjectInfoTable[NumberOfReplications]))</f>
        <v>10</v>
      </c>
      <c r="K268" cm="1">
        <f t="array" ref="K268">IFERROR(AVERAGE(IF((OutputTable[GroupByKey]=OutputTable[[#This Row],[GroupByKey]]),(OutputTable[GroupByKey]=OutputTable[[#This Row],[GroupByKey]])*OutputTable[RecordedValue])),0)</f>
        <v>27753.7</v>
      </c>
      <c r="L268" cm="1">
        <f t="array" ref="L268">IFERROR(_xlfn.STDEV.S(IF((OutputTable[GroupByKey]=OutputTable[[#This Row],[GroupByKey]]),(OutputTable[GroupByKey]=OutputTable[[#This Row],[GroupByKey]])*OutputTable[RecordedValue])),0)</f>
        <v>25.447331228768697</v>
      </c>
      <c r="M268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18.203924133022646</v>
      </c>
      <c r="O268" cm="1">
        <f t="array" ref="O268">MIN(IF((OutputTable[GroupByKey]=OutputTable[[#This Row],[GroupByKey]]),(OutputTable[GroupByKey]=OutputTable[[#This Row],[GroupByKey]])*OutputTable[RecordedValue]))</f>
        <v>27724</v>
      </c>
      <c r="P268" cm="1">
        <f t="array" ref="P268">MAX(IF((OutputTable[GroupByKey]=OutputTable[[#This Row],[GroupByKey]]),(OutputTable[GroupByKey]=OutputTable[[#This Row],[GroupByKey]])*OutputTable[RecordedValue]))</f>
        <v>27792</v>
      </c>
    </row>
    <row r="269" spans="1:16" x14ac:dyDescent="0.25">
      <c r="A269" t="s">
        <v>67</v>
      </c>
      <c r="B269" t="s">
        <v>243</v>
      </c>
      <c r="C269">
        <v>4</v>
      </c>
      <c r="D269" t="s">
        <v>164</v>
      </c>
      <c r="E269" t="s">
        <v>158</v>
      </c>
      <c r="F269" t="s">
        <v>76</v>
      </c>
      <c r="G269">
        <v>19617</v>
      </c>
      <c r="H269">
        <v>0</v>
      </c>
      <c r="I269" t="str">
        <f>OutputTable[[#This Row],[ProjectName]]&amp;OutputTable[[#This Row],[Name]]&amp;OutputTable[[#This Row],[Type]]&amp;OutputTable[[#This Row],[Source]]</f>
        <v>Unnamed ProjectEntity 3.NumberOutNumber OutEntity</v>
      </c>
      <c r="J269" cm="1">
        <f t="array" ref="J269">MAX(IF((ProjectInfoTable[ProjectName]=OutputTable[[#This Row],[ProjectName]]),(ProjectInfoTable[ProjectName]=OutputTable[[#This Row],[ProjectName]])*ProjectInfoTable[NumberOfReplications]))</f>
        <v>10</v>
      </c>
      <c r="K269" cm="1">
        <f t="array" ref="K269">IFERROR(AVERAGE(IF((OutputTable[GroupByKey]=OutputTable[[#This Row],[GroupByKey]]),(OutputTable[GroupByKey]=OutputTable[[#This Row],[GroupByKey]])*OutputTable[RecordedValue])),0)</f>
        <v>19635.599999999999</v>
      </c>
      <c r="L269" cm="1">
        <f t="array" ref="L269">IFERROR(_xlfn.STDEV.S(IF((OutputTable[GroupByKey]=OutputTable[[#This Row],[GroupByKey]]),(OutputTable[GroupByKey]=OutputTable[[#This Row],[GroupByKey]])*OutputTable[RecordedValue])),0)</f>
        <v>15.086417732516889</v>
      </c>
      <c r="M269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269" cm="1">
        <f t="array" ref="O269">MIN(IF((OutputTable[GroupByKey]=OutputTable[[#This Row],[GroupByKey]]),(OutputTable[GroupByKey]=OutputTable[[#This Row],[GroupByKey]])*OutputTable[RecordedValue]))</f>
        <v>19614</v>
      </c>
      <c r="P269" cm="1">
        <f t="array" ref="P269">MAX(IF((OutputTable[GroupByKey]=OutputTable[[#This Row],[GroupByKey]]),(OutputTable[GroupByKey]=OutputTable[[#This Row],[GroupByKey]])*OutputTable[RecordedValue]))</f>
        <v>19662</v>
      </c>
    </row>
    <row r="270" spans="1:16" x14ac:dyDescent="0.25">
      <c r="A270" t="s">
        <v>67</v>
      </c>
      <c r="B270" t="s">
        <v>243</v>
      </c>
      <c r="C270">
        <v>4</v>
      </c>
      <c r="D270" t="s">
        <v>165</v>
      </c>
      <c r="E270" t="s">
        <v>152</v>
      </c>
      <c r="F270" t="s">
        <v>113</v>
      </c>
      <c r="G270">
        <v>13088</v>
      </c>
      <c r="H270">
        <v>0</v>
      </c>
      <c r="I270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270" cm="1">
        <f t="array" ref="J270">MAX(IF((ProjectInfoTable[ProjectName]=OutputTable[[#This Row],[ProjectName]]),(ProjectInfoTable[ProjectName]=OutputTable[[#This Row],[ProjectName]])*ProjectInfoTable[NumberOfReplications]))</f>
        <v>10</v>
      </c>
      <c r="K270" cm="1">
        <f t="array" ref="K270">IFERROR(AVERAGE(IF((OutputTable[GroupByKey]=OutputTable[[#This Row],[GroupByKey]]),(OutputTable[GroupByKey]=OutputTable[[#This Row],[GroupByKey]])*OutputTable[RecordedValue])),0)</f>
        <v>13103.5</v>
      </c>
      <c r="L270" cm="1">
        <f t="array" ref="L270">IFERROR(_xlfn.STDEV.S(IF((OutputTable[GroupByKey]=OutputTable[[#This Row],[GroupByKey]]),(OutputTable[GroupByKey]=OutputTable[[#This Row],[GroupByKey]])*OutputTable[RecordedValue])),0)</f>
        <v>11.443095929181249</v>
      </c>
      <c r="M270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270" cm="1">
        <f t="array" ref="O270">MIN(IF((OutputTable[GroupByKey]=OutputTable[[#This Row],[GroupByKey]]),(OutputTable[GroupByKey]=OutputTable[[#This Row],[GroupByKey]])*OutputTable[RecordedValue]))</f>
        <v>13087</v>
      </c>
      <c r="P270" cm="1">
        <f t="array" ref="P270">MAX(IF((OutputTable[GroupByKey]=OutputTable[[#This Row],[GroupByKey]]),(OutputTable[GroupByKey]=OutputTable[[#This Row],[GroupByKey]])*OutputTable[RecordedValue]))</f>
        <v>13120</v>
      </c>
    </row>
    <row r="271" spans="1:16" x14ac:dyDescent="0.25">
      <c r="A271" t="s">
        <v>67</v>
      </c>
      <c r="B271" t="s">
        <v>243</v>
      </c>
      <c r="C271">
        <v>4</v>
      </c>
      <c r="D271" t="s">
        <v>166</v>
      </c>
      <c r="E271" t="s">
        <v>154</v>
      </c>
      <c r="F271" t="s">
        <v>113</v>
      </c>
      <c r="G271">
        <v>0.292184201252493</v>
      </c>
      <c r="H271">
        <v>0</v>
      </c>
      <c r="I271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271" cm="1">
        <f t="array" ref="J271">MAX(IF((ProjectInfoTable[ProjectName]=OutputTable[[#This Row],[ProjectName]]),(ProjectInfoTable[ProjectName]=OutputTable[[#This Row],[ProjectName]])*ProjectInfoTable[NumberOfReplications]))</f>
        <v>10</v>
      </c>
      <c r="K271" cm="1">
        <f t="array" ref="K271">IFERROR(AVERAGE(IF((OutputTable[GroupByKey]=OutputTable[[#This Row],[GroupByKey]]),(OutputTable[GroupByKey]=OutputTable[[#This Row],[GroupByKey]])*OutputTable[RecordedValue])),0)</f>
        <v>0.48160620907873086</v>
      </c>
      <c r="L271" cm="1">
        <f t="array" ref="L271">IFERROR(_xlfn.STDEV.S(IF((OutputTable[GroupByKey]=OutputTable[[#This Row],[GroupByKey]]),(OutputTable[GroupByKey]=OutputTable[[#This Row],[GroupByKey]])*OutputTable[RecordedValue])),0)</f>
        <v>8.6686321722355061E-2</v>
      </c>
      <c r="M271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6.2011658897281531E-2</v>
      </c>
      <c r="O271" cm="1">
        <f t="array" ref="O271">MIN(IF((OutputTable[GroupByKey]=OutputTable[[#This Row],[GroupByKey]]),(OutputTable[GroupByKey]=OutputTable[[#This Row],[GroupByKey]])*OutputTable[RecordedValue]))</f>
        <v>0.292184201252493</v>
      </c>
      <c r="P271" cm="1">
        <f t="array" ref="P271">MAX(IF((OutputTable[GroupByKey]=OutputTable[[#This Row],[GroupByKey]]),(OutputTable[GroupByKey]=OutputTable[[#This Row],[GroupByKey]])*OutputTable[RecordedValue]))</f>
        <v>0.57167989674475905</v>
      </c>
    </row>
    <row r="272" spans="1:16" x14ac:dyDescent="0.25">
      <c r="A272" t="s">
        <v>67</v>
      </c>
      <c r="B272" t="s">
        <v>243</v>
      </c>
      <c r="C272">
        <v>4</v>
      </c>
      <c r="D272" t="s">
        <v>167</v>
      </c>
      <c r="E272" t="s">
        <v>152</v>
      </c>
      <c r="F272" t="s">
        <v>113</v>
      </c>
      <c r="G272">
        <v>13087</v>
      </c>
      <c r="H272">
        <v>0</v>
      </c>
      <c r="I272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272" cm="1">
        <f t="array" ref="J272">MAX(IF((ProjectInfoTable[ProjectName]=OutputTable[[#This Row],[ProjectName]]),(ProjectInfoTable[ProjectName]=OutputTable[[#This Row],[ProjectName]])*ProjectInfoTable[NumberOfReplications]))</f>
        <v>10</v>
      </c>
      <c r="K272" cm="1">
        <f t="array" ref="K272">IFERROR(AVERAGE(IF((OutputTable[GroupByKey]=OutputTable[[#This Row],[GroupByKey]]),(OutputTable[GroupByKey]=OutputTable[[#This Row],[GroupByKey]])*OutputTable[RecordedValue])),0)</f>
        <v>13100.1</v>
      </c>
      <c r="L272" cm="1">
        <f t="array" ref="L272">IFERROR(_xlfn.STDEV.S(IF((OutputTable[GroupByKey]=OutputTable[[#This Row],[GroupByKey]]),(OutputTable[GroupByKey]=OutputTable[[#This Row],[GroupByKey]])*OutputTable[RecordedValue])),0)</f>
        <v>11.46443776786866</v>
      </c>
      <c r="M272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272" cm="1">
        <f t="array" ref="O272">MIN(IF((OutputTable[GroupByKey]=OutputTable[[#This Row],[GroupByKey]]),(OutputTable[GroupByKey]=OutputTable[[#This Row],[GroupByKey]])*OutputTable[RecordedValue]))</f>
        <v>13083</v>
      </c>
      <c r="P272" cm="1">
        <f t="array" ref="P272">MAX(IF((OutputTable[GroupByKey]=OutputTable[[#This Row],[GroupByKey]]),(OutputTable[GroupByKey]=OutputTable[[#This Row],[GroupByKey]])*OutputTable[RecordedValue]))</f>
        <v>13118</v>
      </c>
    </row>
    <row r="273" spans="1:16" x14ac:dyDescent="0.25">
      <c r="A273" t="s">
        <v>67</v>
      </c>
      <c r="B273" t="s">
        <v>243</v>
      </c>
      <c r="C273">
        <v>4</v>
      </c>
      <c r="D273" t="s">
        <v>168</v>
      </c>
      <c r="E273" t="s">
        <v>154</v>
      </c>
      <c r="F273" t="s">
        <v>113</v>
      </c>
      <c r="G273">
        <v>0.327930580780531</v>
      </c>
      <c r="H273">
        <v>0</v>
      </c>
      <c r="I273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273" cm="1">
        <f t="array" ref="J273">MAX(IF((ProjectInfoTable[ProjectName]=OutputTable[[#This Row],[ProjectName]]),(ProjectInfoTable[ProjectName]=OutputTable[[#This Row],[ProjectName]])*ProjectInfoTable[NumberOfReplications]))</f>
        <v>10</v>
      </c>
      <c r="K273" cm="1">
        <f t="array" ref="K273">IFERROR(AVERAGE(IF((OutputTable[GroupByKey]=OutputTable[[#This Row],[GroupByKey]]),(OutputTable[GroupByKey]=OutputTable[[#This Row],[GroupByKey]])*OutputTable[RecordedValue])),0)</f>
        <v>0.25269289312392168</v>
      </c>
      <c r="L273" cm="1">
        <f t="array" ref="L273">IFERROR(_xlfn.STDEV.S(IF((OutputTable[GroupByKey]=OutputTable[[#This Row],[GroupByKey]]),(OutputTable[GroupByKey]=OutputTable[[#This Row],[GroupByKey]])*OutputTable[RecordedValue])),0)</f>
        <v>4.921401008308305E-2</v>
      </c>
      <c r="M273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3.5205581983443382E-2</v>
      </c>
      <c r="O273" cm="1">
        <f t="array" ref="O273">MIN(IF((OutputTable[GroupByKey]=OutputTable[[#This Row],[GroupByKey]]),(OutputTable[GroupByKey]=OutputTable[[#This Row],[GroupByKey]])*OutputTable[RecordedValue]))</f>
        <v>0.20500025225945601</v>
      </c>
      <c r="P273" cm="1">
        <f t="array" ref="P273">MAX(IF((OutputTable[GroupByKey]=OutputTable[[#This Row],[GroupByKey]]),(OutputTable[GroupByKey]=OutputTable[[#This Row],[GroupByKey]])*OutputTable[RecordedValue]))</f>
        <v>0.33570777662711399</v>
      </c>
    </row>
    <row r="274" spans="1:16" x14ac:dyDescent="0.25">
      <c r="A274" t="s">
        <v>67</v>
      </c>
      <c r="B274" t="s">
        <v>243</v>
      </c>
      <c r="C274">
        <v>4</v>
      </c>
      <c r="D274" t="s">
        <v>169</v>
      </c>
      <c r="E274" t="s">
        <v>152</v>
      </c>
      <c r="F274" t="s">
        <v>113</v>
      </c>
      <c r="G274">
        <v>13086</v>
      </c>
      <c r="H274">
        <v>0</v>
      </c>
      <c r="I274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274" cm="1">
        <f t="array" ref="J274">MAX(IF((ProjectInfoTable[ProjectName]=OutputTable[[#This Row],[ProjectName]]),(ProjectInfoTable[ProjectName]=OutputTable[[#This Row],[ProjectName]])*ProjectInfoTable[NumberOfReplications]))</f>
        <v>10</v>
      </c>
      <c r="K274" cm="1">
        <f t="array" ref="K274">IFERROR(AVERAGE(IF((OutputTable[GroupByKey]=OutputTable[[#This Row],[GroupByKey]]),(OutputTable[GroupByKey]=OutputTable[[#This Row],[GroupByKey]])*OutputTable[RecordedValue])),0)</f>
        <v>13099.9</v>
      </c>
      <c r="L274" cm="1">
        <f t="array" ref="L274">IFERROR(_xlfn.STDEV.S(IF((OutputTable[GroupByKey]=OutputTable[[#This Row],[GroupByKey]]),(OutputTable[GroupByKey]=OutputTable[[#This Row],[GroupByKey]])*OutputTable[RecordedValue])),0)</f>
        <v>11.761046816598522</v>
      </c>
      <c r="M274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274" cm="1">
        <f t="array" ref="O274">MIN(IF((OutputTable[GroupByKey]=OutputTable[[#This Row],[GroupByKey]]),(OutputTable[GroupByKey]=OutputTable[[#This Row],[GroupByKey]])*OutputTable[RecordedValue]))</f>
        <v>13082</v>
      </c>
      <c r="P274" cm="1">
        <f t="array" ref="P274">MAX(IF((OutputTable[GroupByKey]=OutputTable[[#This Row],[GroupByKey]]),(OutputTable[GroupByKey]=OutputTable[[#This Row],[GroupByKey]])*OutputTable[RecordedValue]))</f>
        <v>13118</v>
      </c>
    </row>
    <row r="275" spans="1:16" x14ac:dyDescent="0.25">
      <c r="A275" t="s">
        <v>67</v>
      </c>
      <c r="B275" t="s">
        <v>243</v>
      </c>
      <c r="C275">
        <v>4</v>
      </c>
      <c r="D275" t="s">
        <v>170</v>
      </c>
      <c r="E275" t="s">
        <v>154</v>
      </c>
      <c r="F275" t="s">
        <v>113</v>
      </c>
      <c r="G275">
        <v>0.15147736900268299</v>
      </c>
      <c r="H275">
        <v>0</v>
      </c>
      <c r="I275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275" cm="1">
        <f t="array" ref="J275">MAX(IF((ProjectInfoTable[ProjectName]=OutputTable[[#This Row],[ProjectName]]),(ProjectInfoTable[ProjectName]=OutputTable[[#This Row],[ProjectName]])*ProjectInfoTable[NumberOfReplications]))</f>
        <v>10</v>
      </c>
      <c r="K275" cm="1">
        <f t="array" ref="K275">IFERROR(AVERAGE(IF((OutputTable[GroupByKey]=OutputTable[[#This Row],[GroupByKey]]),(OutputTable[GroupByKey]=OutputTable[[#This Row],[GroupByKey]])*OutputTable[RecordedValue])),0)</f>
        <v>0.151561654865698</v>
      </c>
      <c r="L275" cm="1">
        <f t="array" ref="L275">IFERROR(_xlfn.STDEV.S(IF((OutputTable[GroupByKey]=OutputTable[[#This Row],[GroupByKey]]),(OutputTable[GroupByKey]=OutputTable[[#This Row],[GroupByKey]])*OutputTable[RecordedValue])),0)</f>
        <v>1.2198256688170919E-4</v>
      </c>
      <c r="M27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8.7261071626859165E-5</v>
      </c>
      <c r="O275" cm="1">
        <f t="array" ref="O275">MIN(IF((OutputTable[GroupByKey]=OutputTable[[#This Row],[GroupByKey]]),(OutputTable[GroupByKey]=OutputTable[[#This Row],[GroupByKey]])*OutputTable[RecordedValue]))</f>
        <v>0.15134711042770399</v>
      </c>
      <c r="P275" cm="1">
        <f t="array" ref="P275">MAX(IF((OutputTable[GroupByKey]=OutputTable[[#This Row],[GroupByKey]]),(OutputTable[GroupByKey]=OutputTable[[#This Row],[GroupByKey]])*OutputTable[RecordedValue]))</f>
        <v>0.15172806047441101</v>
      </c>
    </row>
    <row r="276" spans="1:16" x14ac:dyDescent="0.25">
      <c r="A276" t="s">
        <v>67</v>
      </c>
      <c r="B276" t="s">
        <v>243</v>
      </c>
      <c r="C276">
        <v>4</v>
      </c>
      <c r="D276" t="s">
        <v>171</v>
      </c>
      <c r="E276" t="s">
        <v>152</v>
      </c>
      <c r="F276" t="s">
        <v>113</v>
      </c>
      <c r="G276">
        <v>8234</v>
      </c>
      <c r="H276">
        <v>0</v>
      </c>
      <c r="I276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276" cm="1">
        <f t="array" ref="J276">MAX(IF((ProjectInfoTable[ProjectName]=OutputTable[[#This Row],[ProjectName]]),(ProjectInfoTable[ProjectName]=OutputTable[[#This Row],[ProjectName]])*ProjectInfoTable[NumberOfReplications]))</f>
        <v>10</v>
      </c>
      <c r="K276" cm="1">
        <f t="array" ref="K276">IFERROR(AVERAGE(IF((OutputTable[GroupByKey]=OutputTable[[#This Row],[GroupByKey]]),(OutputTable[GroupByKey]=OutputTable[[#This Row],[GroupByKey]])*OutputTable[RecordedValue])),0)</f>
        <v>8235</v>
      </c>
      <c r="L276" cm="1">
        <f t="array" ref="L276">IFERROR(_xlfn.STDEV.S(IF((OutputTable[GroupByKey]=OutputTable[[#This Row],[GroupByKey]]),(OutputTable[GroupByKey]=OutputTable[[#This Row],[GroupByKey]])*OutputTable[RecordedValue])),0)</f>
        <v>6.5659052011974035</v>
      </c>
      <c r="M276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276" cm="1">
        <f t="array" ref="O276">MIN(IF((OutputTable[GroupByKey]=OutputTable[[#This Row],[GroupByKey]]),(OutputTable[GroupByKey]=OutputTable[[#This Row],[GroupByKey]])*OutputTable[RecordedValue]))</f>
        <v>8223</v>
      </c>
      <c r="P276" cm="1">
        <f t="array" ref="P276">MAX(IF((OutputTable[GroupByKey]=OutputTable[[#This Row],[GroupByKey]]),(OutputTable[GroupByKey]=OutputTable[[#This Row],[GroupByKey]])*OutputTable[RecordedValue]))</f>
        <v>8245</v>
      </c>
    </row>
    <row r="277" spans="1:16" x14ac:dyDescent="0.25">
      <c r="A277" t="s">
        <v>67</v>
      </c>
      <c r="B277" t="s">
        <v>243</v>
      </c>
      <c r="C277">
        <v>4</v>
      </c>
      <c r="D277" t="s">
        <v>172</v>
      </c>
      <c r="E277" t="s">
        <v>154</v>
      </c>
      <c r="F277" t="s">
        <v>113</v>
      </c>
      <c r="G277">
        <v>0.90773078690034603</v>
      </c>
      <c r="H277">
        <v>0</v>
      </c>
      <c r="I277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277" cm="1">
        <f t="array" ref="J277">MAX(IF((ProjectInfoTable[ProjectName]=OutputTable[[#This Row],[ProjectName]]),(ProjectInfoTable[ProjectName]=OutputTable[[#This Row],[ProjectName]])*ProjectInfoTable[NumberOfReplications]))</f>
        <v>10</v>
      </c>
      <c r="K277" cm="1">
        <f t="array" ref="K277">IFERROR(AVERAGE(IF((OutputTable[GroupByKey]=OutputTable[[#This Row],[GroupByKey]]),(OutputTable[GroupByKey]=OutputTable[[#This Row],[GroupByKey]])*OutputTable[RecordedValue])),0)</f>
        <v>0.84558522180863771</v>
      </c>
      <c r="L277" cm="1">
        <f t="array" ref="L277">IFERROR(_xlfn.STDEV.S(IF((OutputTable[GroupByKey]=OutputTable[[#This Row],[GroupByKey]]),(OutputTable[GroupByKey]=OutputTable[[#This Row],[GroupByKey]])*OutputTable[RecordedValue])),0)</f>
        <v>0.11694354024491282</v>
      </c>
      <c r="M277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8.3656369122856733E-2</v>
      </c>
      <c r="O277" cm="1">
        <f t="array" ref="O277">MIN(IF((OutputTable[GroupByKey]=OutputTable[[#This Row],[GroupByKey]]),(OutputTable[GroupByKey]=OutputTable[[#This Row],[GroupByKey]])*OutputTable[RecordedValue]))</f>
        <v>0.625269422960122</v>
      </c>
      <c r="P277" cm="1">
        <f t="array" ref="P277">MAX(IF((OutputTable[GroupByKey]=OutputTable[[#This Row],[GroupByKey]]),(OutputTable[GroupByKey]=OutputTable[[#This Row],[GroupByKey]])*OutputTable[RecordedValue]))</f>
        <v>0.95234896906597499</v>
      </c>
    </row>
    <row r="278" spans="1:16" x14ac:dyDescent="0.25">
      <c r="A278" t="s">
        <v>67</v>
      </c>
      <c r="B278" t="s">
        <v>243</v>
      </c>
      <c r="C278">
        <v>4</v>
      </c>
      <c r="D278" t="s">
        <v>173</v>
      </c>
      <c r="E278" t="s">
        <v>152</v>
      </c>
      <c r="F278" t="s">
        <v>113</v>
      </c>
      <c r="G278">
        <v>8232</v>
      </c>
      <c r="H278">
        <v>0</v>
      </c>
      <c r="I278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278" cm="1">
        <f t="array" ref="J278">MAX(IF((ProjectInfoTable[ProjectName]=OutputTable[[#This Row],[ProjectName]]),(ProjectInfoTable[ProjectName]=OutputTable[[#This Row],[ProjectName]])*ProjectInfoTable[NumberOfReplications]))</f>
        <v>10</v>
      </c>
      <c r="K278" cm="1">
        <f t="array" ref="K278">IFERROR(AVERAGE(IF((OutputTable[GroupByKey]=OutputTable[[#This Row],[GroupByKey]]),(OutputTable[GroupByKey]=OutputTable[[#This Row],[GroupByKey]])*OutputTable[RecordedValue])),0)</f>
        <v>8233.5</v>
      </c>
      <c r="L278" cm="1">
        <f t="array" ref="L278">IFERROR(_xlfn.STDEV.S(IF((OutputTable[GroupByKey]=OutputTable[[#This Row],[GroupByKey]]),(OutputTable[GroupByKey]=OutputTable[[#This Row],[GroupByKey]])*OutputTable[RecordedValue])),0)</f>
        <v>6.5021364010437201</v>
      </c>
      <c r="M278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278" cm="1">
        <f t="array" ref="O278">MIN(IF((OutputTable[GroupByKey]=OutputTable[[#This Row],[GroupByKey]]),(OutputTable[GroupByKey]=OutputTable[[#This Row],[GroupByKey]])*OutputTable[RecordedValue]))</f>
        <v>8221</v>
      </c>
      <c r="P278" cm="1">
        <f t="array" ref="P278">MAX(IF((OutputTable[GroupByKey]=OutputTable[[#This Row],[GroupByKey]]),(OutputTable[GroupByKey]=OutputTable[[#This Row],[GroupByKey]])*OutputTable[RecordedValue]))</f>
        <v>8243</v>
      </c>
    </row>
    <row r="279" spans="1:16" x14ac:dyDescent="0.25">
      <c r="A279" t="s">
        <v>67</v>
      </c>
      <c r="B279" t="s">
        <v>243</v>
      </c>
      <c r="C279">
        <v>4</v>
      </c>
      <c r="D279" t="s">
        <v>174</v>
      </c>
      <c r="E279" t="s">
        <v>154</v>
      </c>
      <c r="F279" t="s">
        <v>113</v>
      </c>
      <c r="G279">
        <v>0.72518801126223198</v>
      </c>
      <c r="H279">
        <v>0</v>
      </c>
      <c r="I279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279" cm="1">
        <f t="array" ref="J279">MAX(IF((ProjectInfoTable[ProjectName]=OutputTable[[#This Row],[ProjectName]]),(ProjectInfoTable[ProjectName]=OutputTable[[#This Row],[ProjectName]])*ProjectInfoTable[NumberOfReplications]))</f>
        <v>10</v>
      </c>
      <c r="K279" cm="1">
        <f t="array" ref="K279">IFERROR(AVERAGE(IF((OutputTable[GroupByKey]=OutputTable[[#This Row],[GroupByKey]]),(OutputTable[GroupByKey]=OutputTable[[#This Row],[GroupByKey]])*OutputTable[RecordedValue])),0)</f>
        <v>0.74077431571180286</v>
      </c>
      <c r="L279" cm="1">
        <f t="array" ref="L279">IFERROR(_xlfn.STDEV.S(IF((OutputTable[GroupByKey]=OutputTable[[#This Row],[GroupByKey]]),(OutputTable[GroupByKey]=OutputTable[[#This Row],[GroupByKey]])*OutputTable[RecordedValue])),0)</f>
        <v>6.1280007141721847E-2</v>
      </c>
      <c r="M279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4.3837076306762375E-2</v>
      </c>
      <c r="O279" cm="1">
        <f t="array" ref="O279">MIN(IF((OutputTable[GroupByKey]=OutputTable[[#This Row],[GroupByKey]]),(OutputTable[GroupByKey]=OutputTable[[#This Row],[GroupByKey]])*OutputTable[RecordedValue]))</f>
        <v>0.67060354368791897</v>
      </c>
      <c r="P279" cm="1">
        <f t="array" ref="P279">MAX(IF((OutputTable[GroupByKey]=OutputTable[[#This Row],[GroupByKey]]),(OutputTable[GroupByKey]=OutputTable[[#This Row],[GroupByKey]])*OutputTable[RecordedValue]))</f>
        <v>0.87728997349342697</v>
      </c>
    </row>
    <row r="280" spans="1:16" x14ac:dyDescent="0.25">
      <c r="A280" t="s">
        <v>67</v>
      </c>
      <c r="B280" t="s">
        <v>243</v>
      </c>
      <c r="C280">
        <v>4</v>
      </c>
      <c r="D280" t="s">
        <v>175</v>
      </c>
      <c r="E280" t="s">
        <v>152</v>
      </c>
      <c r="F280" t="s">
        <v>113</v>
      </c>
      <c r="G280">
        <v>8230</v>
      </c>
      <c r="H280">
        <v>0</v>
      </c>
      <c r="I280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280" cm="1">
        <f t="array" ref="J280">MAX(IF((ProjectInfoTable[ProjectName]=OutputTable[[#This Row],[ProjectName]]),(ProjectInfoTable[ProjectName]=OutputTable[[#This Row],[ProjectName]])*ProjectInfoTable[NumberOfReplications]))</f>
        <v>10</v>
      </c>
      <c r="K280" cm="1">
        <f t="array" ref="K280">IFERROR(AVERAGE(IF((OutputTable[GroupByKey]=OutputTable[[#This Row],[GroupByKey]]),(OutputTable[GroupByKey]=OutputTable[[#This Row],[GroupByKey]])*OutputTable[RecordedValue])),0)</f>
        <v>8231.5</v>
      </c>
      <c r="L280" cm="1">
        <f t="array" ref="L280">IFERROR(_xlfn.STDEV.S(IF((OutputTable[GroupByKey]=OutputTable[[#This Row],[GroupByKey]]),(OutputTable[GroupByKey]=OutputTable[[#This Row],[GroupByKey]])*OutputTable[RecordedValue])),0)</f>
        <v>6.3464775882199236</v>
      </c>
      <c r="M280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280" cm="1">
        <f t="array" ref="O280">MIN(IF((OutputTable[GroupByKey]=OutputTable[[#This Row],[GroupByKey]]),(OutputTable[GroupByKey]=OutputTable[[#This Row],[GroupByKey]])*OutputTable[RecordedValue]))</f>
        <v>8220</v>
      </c>
      <c r="P280" cm="1">
        <f t="array" ref="P280">MAX(IF((OutputTable[GroupByKey]=OutputTable[[#This Row],[GroupByKey]]),(OutputTable[GroupByKey]=OutputTable[[#This Row],[GroupByKey]])*OutputTable[RecordedValue]))</f>
        <v>8241</v>
      </c>
    </row>
    <row r="281" spans="1:16" x14ac:dyDescent="0.25">
      <c r="A281" t="s">
        <v>67</v>
      </c>
      <c r="B281" t="s">
        <v>243</v>
      </c>
      <c r="C281">
        <v>4</v>
      </c>
      <c r="D281" t="s">
        <v>176</v>
      </c>
      <c r="E281" t="s">
        <v>154</v>
      </c>
      <c r="F281" t="s">
        <v>113</v>
      </c>
      <c r="G281">
        <v>0.55428007487619302</v>
      </c>
      <c r="H281">
        <v>0</v>
      </c>
      <c r="I281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281" cm="1">
        <f t="array" ref="J281">MAX(IF((ProjectInfoTable[ProjectName]=OutputTable[[#This Row],[ProjectName]]),(ProjectInfoTable[ProjectName]=OutputTable[[#This Row],[ProjectName]])*ProjectInfoTable[NumberOfReplications]))</f>
        <v>10</v>
      </c>
      <c r="K281" cm="1">
        <f t="array" ref="K281">IFERROR(AVERAGE(IF((OutputTable[GroupByKey]=OutputTable[[#This Row],[GroupByKey]]),(OutputTable[GroupByKey]=OutputTable[[#This Row],[GroupByKey]])*OutputTable[RecordedValue])),0)</f>
        <v>0.52391445815006699</v>
      </c>
      <c r="L281" cm="1">
        <f t="array" ref="L281">IFERROR(_xlfn.STDEV.S(IF((OutputTable[GroupByKey]=OutputTable[[#This Row],[GroupByKey]]),(OutputTable[GroupByKey]=OutputTable[[#This Row],[GroupByKey]])*OutputTable[RecordedValue])),0)</f>
        <v>7.0460308415606909E-2</v>
      </c>
      <c r="M281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5.0404268221927347E-2</v>
      </c>
      <c r="O281" cm="1">
        <f t="array" ref="O281">MIN(IF((OutputTable[GroupByKey]=OutputTable[[#This Row],[GroupByKey]]),(OutputTable[GroupByKey]=OutputTable[[#This Row],[GroupByKey]])*OutputTable[RecordedValue]))</f>
        <v>0.36555656561218303</v>
      </c>
      <c r="P281" cm="1">
        <f t="array" ref="P281">MAX(IF((OutputTable[GroupByKey]=OutputTable[[#This Row],[GroupByKey]]),(OutputTable[GroupByKey]=OutputTable[[#This Row],[GroupByKey]])*OutputTable[RecordedValue]))</f>
        <v>0.59886206518967</v>
      </c>
    </row>
    <row r="282" spans="1:16" x14ac:dyDescent="0.25">
      <c r="A282" t="s">
        <v>67</v>
      </c>
      <c r="B282" t="s">
        <v>243</v>
      </c>
      <c r="C282">
        <v>4</v>
      </c>
      <c r="D282" t="s">
        <v>177</v>
      </c>
      <c r="E282" t="s">
        <v>152</v>
      </c>
      <c r="F282" t="s">
        <v>113</v>
      </c>
      <c r="G282">
        <v>8226</v>
      </c>
      <c r="H282">
        <v>0</v>
      </c>
      <c r="I282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282" cm="1">
        <f t="array" ref="J282">MAX(IF((ProjectInfoTable[ProjectName]=OutputTable[[#This Row],[ProjectName]]),(ProjectInfoTable[ProjectName]=OutputTable[[#This Row],[ProjectName]])*ProjectInfoTable[NumberOfReplications]))</f>
        <v>10</v>
      </c>
      <c r="K282" cm="1">
        <f t="array" ref="K282">IFERROR(AVERAGE(IF((OutputTable[GroupByKey]=OutputTable[[#This Row],[GroupByKey]]),(OutputTable[GroupByKey]=OutputTable[[#This Row],[GroupByKey]])*OutputTable[RecordedValue])),0)</f>
        <v>8227.7000000000007</v>
      </c>
      <c r="L282" cm="1">
        <f t="array" ref="L282">IFERROR(_xlfn.STDEV.S(IF((OutputTable[GroupByKey]=OutputTable[[#This Row],[GroupByKey]]),(OutputTable[GroupByKey]=OutputTable[[#This Row],[GroupByKey]])*OutputTable[RecordedValue])),0)</f>
        <v>6.2902040242480748</v>
      </c>
      <c r="M282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282" cm="1">
        <f t="array" ref="O282">MIN(IF((OutputTable[GroupByKey]=OutputTable[[#This Row],[GroupByKey]]),(OutputTable[GroupByKey]=OutputTable[[#This Row],[GroupByKey]])*OutputTable[RecordedValue]))</f>
        <v>8216</v>
      </c>
      <c r="P282" cm="1">
        <f t="array" ref="P282">MAX(IF((OutputTable[GroupByKey]=OutputTable[[#This Row],[GroupByKey]]),(OutputTable[GroupByKey]=OutputTable[[#This Row],[GroupByKey]])*OutputTable[RecordedValue]))</f>
        <v>8237</v>
      </c>
    </row>
    <row r="283" spans="1:16" x14ac:dyDescent="0.25">
      <c r="A283" t="s">
        <v>67</v>
      </c>
      <c r="B283" t="s">
        <v>243</v>
      </c>
      <c r="C283">
        <v>4</v>
      </c>
      <c r="D283" t="s">
        <v>178</v>
      </c>
      <c r="E283" t="s">
        <v>154</v>
      </c>
      <c r="F283" t="s">
        <v>113</v>
      </c>
      <c r="G283">
        <v>0.149670197256767</v>
      </c>
      <c r="H283">
        <v>0</v>
      </c>
      <c r="I283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283" cm="1">
        <f t="array" ref="J283">MAX(IF((ProjectInfoTable[ProjectName]=OutputTable[[#This Row],[ProjectName]]),(ProjectInfoTable[ProjectName]=OutputTable[[#This Row],[ProjectName]])*ProjectInfoTable[NumberOfReplications]))</f>
        <v>10</v>
      </c>
      <c r="K283" cm="1">
        <f t="array" ref="K283">IFERROR(AVERAGE(IF((OutputTable[GroupByKey]=OutputTable[[#This Row],[GroupByKey]]),(OutputTable[GroupByKey]=OutputTable[[#This Row],[GroupByKey]])*OutputTable[RecordedValue])),0)</f>
        <v>0.14955853655775292</v>
      </c>
      <c r="L283" cm="1">
        <f t="array" ref="L283">IFERROR(_xlfn.STDEV.S(IF((OutputTable[GroupByKey]=OutputTable[[#This Row],[GroupByKey]]),(OutputTable[GroupByKey]=OutputTable[[#This Row],[GroupByKey]])*OutputTable[RecordedValue])),0)</f>
        <v>1.8487754554887928E-4</v>
      </c>
      <c r="M283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1.3225342896729691E-4</v>
      </c>
      <c r="O283" cm="1">
        <f t="array" ref="O283">MIN(IF((OutputTable[GroupByKey]=OutputTable[[#This Row],[GroupByKey]]),(OutputTable[GroupByKey]=OutputTable[[#This Row],[GroupByKey]])*OutputTable[RecordedValue]))</f>
        <v>0.14921189842985499</v>
      </c>
      <c r="P283" cm="1">
        <f t="array" ref="P283">MAX(IF((OutputTable[GroupByKey]=OutputTable[[#This Row],[GroupByKey]]),(OutputTable[GroupByKey]=OutputTable[[#This Row],[GroupByKey]])*OutputTable[RecordedValue]))</f>
        <v>0.14985050053976801</v>
      </c>
    </row>
    <row r="284" spans="1:16" x14ac:dyDescent="0.25">
      <c r="A284" t="s">
        <v>67</v>
      </c>
      <c r="B284" t="s">
        <v>243</v>
      </c>
      <c r="C284">
        <v>4</v>
      </c>
      <c r="D284" t="s">
        <v>179</v>
      </c>
      <c r="E284" t="s">
        <v>152</v>
      </c>
      <c r="F284" t="s">
        <v>113</v>
      </c>
      <c r="G284">
        <v>18402</v>
      </c>
      <c r="H284">
        <v>0</v>
      </c>
      <c r="I284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284" cm="1">
        <f t="array" ref="J284">MAX(IF((ProjectInfoTable[ProjectName]=OutputTable[[#This Row],[ProjectName]]),(ProjectInfoTable[ProjectName]=OutputTable[[#This Row],[ProjectName]])*ProjectInfoTable[NumberOfReplications]))</f>
        <v>10</v>
      </c>
      <c r="K284" cm="1">
        <f t="array" ref="K284">IFERROR(AVERAGE(IF((OutputTable[GroupByKey]=OutputTable[[#This Row],[GroupByKey]]),(OutputTable[GroupByKey]=OutputTable[[#This Row],[GroupByKey]])*OutputTable[RecordedValue])),0)</f>
        <v>18392</v>
      </c>
      <c r="L284" cm="1">
        <f t="array" ref="L284">IFERROR(_xlfn.STDEV.S(IF((OutputTable[GroupByKey]=OutputTable[[#This Row],[GroupByKey]]),(OutputTable[GroupByKey]=OutputTable[[#This Row],[GroupByKey]])*OutputTable[RecordedValue])),0)</f>
        <v>12.884098726725126</v>
      </c>
      <c r="M284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284" cm="1">
        <f t="array" ref="O284">MIN(IF((OutputTable[GroupByKey]=OutputTable[[#This Row],[GroupByKey]]),(OutputTable[GroupByKey]=OutputTable[[#This Row],[GroupByKey]])*OutputTable[RecordedValue]))</f>
        <v>18376</v>
      </c>
      <c r="P284" cm="1">
        <f t="array" ref="P284">MAX(IF((OutputTable[GroupByKey]=OutputTable[[#This Row],[GroupByKey]]),(OutputTable[GroupByKey]=OutputTable[[#This Row],[GroupByKey]])*OutputTable[RecordedValue]))</f>
        <v>18407</v>
      </c>
    </row>
    <row r="285" spans="1:16" x14ac:dyDescent="0.25">
      <c r="A285" t="s">
        <v>67</v>
      </c>
      <c r="B285" t="s">
        <v>243</v>
      </c>
      <c r="C285">
        <v>4</v>
      </c>
      <c r="D285" t="s">
        <v>180</v>
      </c>
      <c r="E285" t="s">
        <v>154</v>
      </c>
      <c r="F285" t="s">
        <v>113</v>
      </c>
      <c r="G285">
        <v>0.82680969033003804</v>
      </c>
      <c r="H285">
        <v>0</v>
      </c>
      <c r="I285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285" cm="1">
        <f t="array" ref="J285">MAX(IF((ProjectInfoTable[ProjectName]=OutputTable[[#This Row],[ProjectName]]),(ProjectInfoTable[ProjectName]=OutputTable[[#This Row],[ProjectName]])*ProjectInfoTable[NumberOfReplications]))</f>
        <v>10</v>
      </c>
      <c r="K285" cm="1">
        <f t="array" ref="K285">IFERROR(AVERAGE(IF((OutputTable[GroupByKey]=OutputTable[[#This Row],[GroupByKey]]),(OutputTable[GroupByKey]=OutputTable[[#This Row],[GroupByKey]])*OutputTable[RecordedValue])),0)</f>
        <v>0.78490250681152463</v>
      </c>
      <c r="L285" cm="1">
        <f t="array" ref="L285">IFERROR(_xlfn.STDEV.S(IF((OutputTable[GroupByKey]=OutputTable[[#This Row],[GroupByKey]]),(OutputTable[GroupByKey]=OutputTable[[#This Row],[GroupByKey]])*OutputTable[RecordedValue])),0)</f>
        <v>0.11345978752761485</v>
      </c>
      <c r="M28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8.1164242557843561E-2</v>
      </c>
      <c r="O285" cm="1">
        <f t="array" ref="O285">MIN(IF((OutputTable[GroupByKey]=OutputTable[[#This Row],[GroupByKey]]),(OutputTable[GroupByKey]=OutputTable[[#This Row],[GroupByKey]])*OutputTable[RecordedValue]))</f>
        <v>0.58338388917401596</v>
      </c>
      <c r="P285" cm="1">
        <f t="array" ref="P285">MAX(IF((OutputTable[GroupByKey]=OutputTable[[#This Row],[GroupByKey]]),(OutputTable[GroupByKey]=OutputTable[[#This Row],[GroupByKey]])*OutputTable[RecordedValue]))</f>
        <v>0.90111632059041802</v>
      </c>
    </row>
    <row r="286" spans="1:16" x14ac:dyDescent="0.25">
      <c r="A286" t="s">
        <v>67</v>
      </c>
      <c r="B286" t="s">
        <v>243</v>
      </c>
      <c r="C286">
        <v>4</v>
      </c>
      <c r="D286" t="s">
        <v>181</v>
      </c>
      <c r="E286" t="s">
        <v>152</v>
      </c>
      <c r="F286" t="s">
        <v>113</v>
      </c>
      <c r="G286">
        <v>18399</v>
      </c>
      <c r="H286">
        <v>0</v>
      </c>
      <c r="I286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286" cm="1">
        <f t="array" ref="J286">MAX(IF((ProjectInfoTable[ProjectName]=OutputTable[[#This Row],[ProjectName]]),(ProjectInfoTable[ProjectName]=OutputTable[[#This Row],[ProjectName]])*ProjectInfoTable[NumberOfReplications]))</f>
        <v>10</v>
      </c>
      <c r="K286" cm="1">
        <f t="array" ref="K286">IFERROR(AVERAGE(IF((OutputTable[GroupByKey]=OutputTable[[#This Row],[GroupByKey]]),(OutputTable[GroupByKey]=OutputTable[[#This Row],[GroupByKey]])*OutputTable[RecordedValue])),0)</f>
        <v>18389.400000000001</v>
      </c>
      <c r="L286" cm="1">
        <f t="array" ref="L286">IFERROR(_xlfn.STDEV.S(IF((OutputTable[GroupByKey]=OutputTable[[#This Row],[GroupByKey]]),(OutputTable[GroupByKey]=OutputTable[[#This Row],[GroupByKey]])*OutputTable[RecordedValue])),0)</f>
        <v>12.103259432437566</v>
      </c>
      <c r="M286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286" cm="1">
        <f t="array" ref="O286">MIN(IF((OutputTable[GroupByKey]=OutputTable[[#This Row],[GroupByKey]]),(OutputTable[GroupByKey]=OutputTable[[#This Row],[GroupByKey]])*OutputTable[RecordedValue]))</f>
        <v>18376</v>
      </c>
      <c r="P286" cm="1">
        <f t="array" ref="P286">MAX(IF((OutputTable[GroupByKey]=OutputTable[[#This Row],[GroupByKey]]),(OutputTable[GroupByKey]=OutputTable[[#This Row],[GroupByKey]])*OutputTable[RecordedValue]))</f>
        <v>18404</v>
      </c>
    </row>
    <row r="287" spans="1:16" x14ac:dyDescent="0.25">
      <c r="A287" t="s">
        <v>67</v>
      </c>
      <c r="B287" t="s">
        <v>243</v>
      </c>
      <c r="C287">
        <v>4</v>
      </c>
      <c r="D287" t="s">
        <v>182</v>
      </c>
      <c r="E287" t="s">
        <v>154</v>
      </c>
      <c r="F287" t="s">
        <v>113</v>
      </c>
      <c r="G287">
        <v>0.15878446251421399</v>
      </c>
      <c r="H287">
        <v>0</v>
      </c>
      <c r="I287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287" cm="1">
        <f t="array" ref="J287">MAX(IF((ProjectInfoTable[ProjectName]=OutputTable[[#This Row],[ProjectName]]),(ProjectInfoTable[ProjectName]=OutputTable[[#This Row],[ProjectName]])*ProjectInfoTable[NumberOfReplications]))</f>
        <v>10</v>
      </c>
      <c r="K287" cm="1">
        <f t="array" ref="K287">IFERROR(AVERAGE(IF((OutputTable[GroupByKey]=OutputTable[[#This Row],[GroupByKey]]),(OutputTable[GroupByKey]=OutputTable[[#This Row],[GroupByKey]])*OutputTable[RecordedValue])),0)</f>
        <v>0.15879210791146151</v>
      </c>
      <c r="L287" cm="1">
        <f t="array" ref="L287">IFERROR(_xlfn.STDEV.S(IF((OutputTable[GroupByKey]=OutputTable[[#This Row],[GroupByKey]]),(OutputTable[GroupByKey]=OutputTable[[#This Row],[GroupByKey]])*OutputTable[RecordedValue])),0)</f>
        <v>8.8786593843692651E-6</v>
      </c>
      <c r="M287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6.3514103063698042E-6</v>
      </c>
      <c r="O287" cm="1">
        <f t="array" ref="O287">MIN(IF((OutputTable[GroupByKey]=OutputTable[[#This Row],[GroupByKey]]),(OutputTable[GroupByKey]=OutputTable[[#This Row],[GroupByKey]])*OutputTable[RecordedValue]))</f>
        <v>0.15877821852350199</v>
      </c>
      <c r="P287" cm="1">
        <f t="array" ref="P287">MAX(IF((OutputTable[GroupByKey]=OutputTable[[#This Row],[GroupByKey]]),(OutputTable[GroupByKey]=OutputTable[[#This Row],[GroupByKey]])*OutputTable[RecordedValue]))</f>
        <v>0.15880443244107401</v>
      </c>
    </row>
    <row r="288" spans="1:16" x14ac:dyDescent="0.25">
      <c r="A288" t="s">
        <v>67</v>
      </c>
      <c r="B288" t="s">
        <v>243</v>
      </c>
      <c r="C288">
        <v>4</v>
      </c>
      <c r="D288" t="s">
        <v>183</v>
      </c>
      <c r="E288" t="s">
        <v>152</v>
      </c>
      <c r="F288" t="s">
        <v>113</v>
      </c>
      <c r="G288">
        <v>13088</v>
      </c>
      <c r="H288">
        <v>0</v>
      </c>
      <c r="I288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288" cm="1">
        <f t="array" ref="J288">MAX(IF((ProjectInfoTable[ProjectName]=OutputTable[[#This Row],[ProjectName]]),(ProjectInfoTable[ProjectName]=OutputTable[[#This Row],[ProjectName]])*ProjectInfoTable[NumberOfReplications]))</f>
        <v>10</v>
      </c>
      <c r="K288" cm="1">
        <f t="array" ref="K288">IFERROR(AVERAGE(IF((OutputTable[GroupByKey]=OutputTable[[#This Row],[GroupByKey]]),(OutputTable[GroupByKey]=OutputTable[[#This Row],[GroupByKey]])*OutputTable[RecordedValue])),0)</f>
        <v>13103.5</v>
      </c>
      <c r="L288" cm="1">
        <f t="array" ref="L288">IFERROR(_xlfn.STDEV.S(IF((OutputTable[GroupByKey]=OutputTable[[#This Row],[GroupByKey]]),(OutputTable[GroupByKey]=OutputTable[[#This Row],[GroupByKey]])*OutputTable[RecordedValue])),0)</f>
        <v>11.443095929181249</v>
      </c>
      <c r="M288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288" cm="1">
        <f t="array" ref="O288">MIN(IF((OutputTable[GroupByKey]=OutputTable[[#This Row],[GroupByKey]]),(OutputTable[GroupByKey]=OutputTable[[#This Row],[GroupByKey]])*OutputTable[RecordedValue]))</f>
        <v>13087</v>
      </c>
      <c r="P288" cm="1">
        <f t="array" ref="P288">MAX(IF((OutputTable[GroupByKey]=OutputTable[[#This Row],[GroupByKey]]),(OutputTable[GroupByKey]=OutputTable[[#This Row],[GroupByKey]])*OutputTable[RecordedValue]))</f>
        <v>13120</v>
      </c>
    </row>
    <row r="289" spans="1:16" x14ac:dyDescent="0.25">
      <c r="A289" t="s">
        <v>67</v>
      </c>
      <c r="B289" t="s">
        <v>243</v>
      </c>
      <c r="C289">
        <v>4</v>
      </c>
      <c r="D289" t="s">
        <v>184</v>
      </c>
      <c r="E289" t="s">
        <v>154</v>
      </c>
      <c r="F289" t="s">
        <v>113</v>
      </c>
      <c r="G289">
        <v>1.00039897320567</v>
      </c>
      <c r="H289">
        <v>0</v>
      </c>
      <c r="I289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289" cm="1">
        <f t="array" ref="J289">MAX(IF((ProjectInfoTable[ProjectName]=OutputTable[[#This Row],[ProjectName]]),(ProjectInfoTable[ProjectName]=OutputTable[[#This Row],[ProjectName]])*ProjectInfoTable[NumberOfReplications]))</f>
        <v>10</v>
      </c>
      <c r="K289" cm="1">
        <f t="array" ref="K289">IFERROR(AVERAGE(IF((OutputTable[GroupByKey]=OutputTable[[#This Row],[GroupByKey]]),(OutputTable[GroupByKey]=OutputTable[[#This Row],[GroupByKey]])*OutputTable[RecordedValue])),0)</f>
        <v>1.0004814685732331</v>
      </c>
      <c r="L289" cm="1">
        <f t="array" ref="L289">IFERROR(_xlfn.STDEV.S(IF((OutputTable[GroupByKey]=OutputTable[[#This Row],[GroupByKey]]),(OutputTable[GroupByKey]=OutputTable[[#This Row],[GroupByKey]])*OutputTable[RecordedValue])),0)</f>
        <v>7.4280555176725285E-5</v>
      </c>
      <c r="M289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5.3137108125005439E-5</v>
      </c>
      <c r="O289" cm="1">
        <f t="array" ref="O289">MIN(IF((OutputTable[GroupByKey]=OutputTable[[#This Row],[GroupByKey]]),(OutputTable[GroupByKey]=OutputTable[[#This Row],[GroupByKey]])*OutputTable[RecordedValue]))</f>
        <v>1.00039897320567</v>
      </c>
      <c r="P289" cm="1">
        <f t="array" ref="P289">MAX(IF((OutputTable[GroupByKey]=OutputTable[[#This Row],[GroupByKey]]),(OutputTable[GroupByKey]=OutputTable[[#This Row],[GroupByKey]])*OutputTable[RecordedValue]))</f>
        <v>1.00059414734778</v>
      </c>
    </row>
    <row r="290" spans="1:16" x14ac:dyDescent="0.25">
      <c r="A290" t="s">
        <v>67</v>
      </c>
      <c r="B290" t="s">
        <v>243</v>
      </c>
      <c r="C290">
        <v>4</v>
      </c>
      <c r="D290" t="s">
        <v>185</v>
      </c>
      <c r="E290" t="s">
        <v>152</v>
      </c>
      <c r="F290" t="s">
        <v>113</v>
      </c>
      <c r="G290">
        <v>13087</v>
      </c>
      <c r="H290">
        <v>0</v>
      </c>
      <c r="I290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290" cm="1">
        <f t="array" ref="J290">MAX(IF((ProjectInfoTable[ProjectName]=OutputTable[[#This Row],[ProjectName]]),(ProjectInfoTable[ProjectName]=OutputTable[[#This Row],[ProjectName]])*ProjectInfoTable[NumberOfReplications]))</f>
        <v>10</v>
      </c>
      <c r="K290" cm="1">
        <f t="array" ref="K290">IFERROR(AVERAGE(IF((OutputTable[GroupByKey]=OutputTable[[#This Row],[GroupByKey]]),(OutputTable[GroupByKey]=OutputTable[[#This Row],[GroupByKey]])*OutputTable[RecordedValue])),0)</f>
        <v>13100.1</v>
      </c>
      <c r="L290" cm="1">
        <f t="array" ref="L290">IFERROR(_xlfn.STDEV.S(IF((OutputTable[GroupByKey]=OutputTable[[#This Row],[GroupByKey]]),(OutputTable[GroupByKey]=OutputTable[[#This Row],[GroupByKey]])*OutputTable[RecordedValue])),0)</f>
        <v>11.46443776786866</v>
      </c>
      <c r="M290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290" cm="1">
        <f t="array" ref="O290">MIN(IF((OutputTable[GroupByKey]=OutputTable[[#This Row],[GroupByKey]]),(OutputTable[GroupByKey]=OutputTable[[#This Row],[GroupByKey]])*OutputTable[RecordedValue]))</f>
        <v>13083</v>
      </c>
      <c r="P290" cm="1">
        <f t="array" ref="P290">MAX(IF((OutputTable[GroupByKey]=OutputTable[[#This Row],[GroupByKey]]),(OutputTable[GroupByKey]=OutputTable[[#This Row],[GroupByKey]])*OutputTable[RecordedValue]))</f>
        <v>13118</v>
      </c>
    </row>
    <row r="291" spans="1:16" x14ac:dyDescent="0.25">
      <c r="A291" t="s">
        <v>67</v>
      </c>
      <c r="B291" t="s">
        <v>243</v>
      </c>
      <c r="C291">
        <v>4</v>
      </c>
      <c r="D291" t="s">
        <v>186</v>
      </c>
      <c r="E291" t="s">
        <v>154</v>
      </c>
      <c r="F291" t="s">
        <v>113</v>
      </c>
      <c r="G291">
        <v>0.72665767143328297</v>
      </c>
      <c r="H291">
        <v>0</v>
      </c>
      <c r="I291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291" cm="1">
        <f t="array" ref="J291">MAX(IF((ProjectInfoTable[ProjectName]=OutputTable[[#This Row],[ProjectName]]),(ProjectInfoTable[ProjectName]=OutputTable[[#This Row],[ProjectName]])*ProjectInfoTable[NumberOfReplications]))</f>
        <v>10</v>
      </c>
      <c r="K291" cm="1">
        <f t="array" ref="K291">IFERROR(AVERAGE(IF((OutputTable[GroupByKey]=OutputTable[[#This Row],[GroupByKey]]),(OutputTable[GroupByKey]=OutputTable[[#This Row],[GroupByKey]])*OutputTable[RecordedValue])),0)</f>
        <v>0.7279059511079462</v>
      </c>
      <c r="L291" cm="1">
        <f t="array" ref="L291">IFERROR(_xlfn.STDEV.S(IF((OutputTable[GroupByKey]=OutputTable[[#This Row],[GroupByKey]]),(OutputTable[GroupByKey]=OutputTable[[#This Row],[GroupByKey]])*OutputTable[RecordedValue])),0)</f>
        <v>7.0848304180243249E-4</v>
      </c>
      <c r="M291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5.0681823671647316E-4</v>
      </c>
      <c r="O291" cm="1">
        <f t="array" ref="O291">MIN(IF((OutputTable[GroupByKey]=OutputTable[[#This Row],[GroupByKey]]),(OutputTable[GroupByKey]=OutputTable[[#This Row],[GroupByKey]])*OutputTable[RecordedValue]))</f>
        <v>0.72665767143328297</v>
      </c>
      <c r="P291" cm="1">
        <f t="array" ref="P291">MAX(IF((OutputTable[GroupByKey]=OutputTable[[#This Row],[GroupByKey]]),(OutputTable[GroupByKey]=OutputTable[[#This Row],[GroupByKey]])*OutputTable[RecordedValue]))</f>
        <v>0.72896261310967603</v>
      </c>
    </row>
    <row r="292" spans="1:16" x14ac:dyDescent="0.25">
      <c r="A292" t="s">
        <v>67</v>
      </c>
      <c r="B292" t="s">
        <v>243</v>
      </c>
      <c r="C292">
        <v>4</v>
      </c>
      <c r="D292" t="s">
        <v>187</v>
      </c>
      <c r="E292" t="s">
        <v>152</v>
      </c>
      <c r="F292" t="s">
        <v>113</v>
      </c>
      <c r="G292">
        <v>13086</v>
      </c>
      <c r="H292">
        <v>0</v>
      </c>
      <c r="I292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292" cm="1">
        <f t="array" ref="J292">MAX(IF((ProjectInfoTable[ProjectName]=OutputTable[[#This Row],[ProjectName]]),(ProjectInfoTable[ProjectName]=OutputTable[[#This Row],[ProjectName]])*ProjectInfoTable[NumberOfReplications]))</f>
        <v>10</v>
      </c>
      <c r="K292" cm="1">
        <f t="array" ref="K292">IFERROR(AVERAGE(IF((OutputTable[GroupByKey]=OutputTable[[#This Row],[GroupByKey]]),(OutputTable[GroupByKey]=OutputTable[[#This Row],[GroupByKey]])*OutputTable[RecordedValue])),0)</f>
        <v>13099.9</v>
      </c>
      <c r="L292" cm="1">
        <f t="array" ref="L292">IFERROR(_xlfn.STDEV.S(IF((OutputTable[GroupByKey]=OutputTable[[#This Row],[GroupByKey]]),(OutputTable[GroupByKey]=OutputTable[[#This Row],[GroupByKey]])*OutputTable[RecordedValue])),0)</f>
        <v>11.761046816598522</v>
      </c>
      <c r="M292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292" cm="1">
        <f t="array" ref="O292">MIN(IF((OutputTable[GroupByKey]=OutputTable[[#This Row],[GroupByKey]]),(OutputTable[GroupByKey]=OutputTable[[#This Row],[GroupByKey]])*OutputTable[RecordedValue]))</f>
        <v>13082</v>
      </c>
      <c r="P292" cm="1">
        <f t="array" ref="P292">MAX(IF((OutputTable[GroupByKey]=OutputTable[[#This Row],[GroupByKey]]),(OutputTable[GroupByKey]=OutputTable[[#This Row],[GroupByKey]])*OutputTable[RecordedValue]))</f>
        <v>13118</v>
      </c>
    </row>
    <row r="293" spans="1:16" x14ac:dyDescent="0.25">
      <c r="A293" t="s">
        <v>67</v>
      </c>
      <c r="B293" t="s">
        <v>243</v>
      </c>
      <c r="C293">
        <v>4</v>
      </c>
      <c r="D293" t="s">
        <v>188</v>
      </c>
      <c r="E293" t="s">
        <v>154</v>
      </c>
      <c r="F293" t="s">
        <v>113</v>
      </c>
      <c r="G293">
        <v>0.954307424716902</v>
      </c>
      <c r="H293">
        <v>0</v>
      </c>
      <c r="I293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293" cm="1">
        <f t="array" ref="J293">MAX(IF((ProjectInfoTable[ProjectName]=OutputTable[[#This Row],[ProjectName]]),(ProjectInfoTable[ProjectName]=OutputTable[[#This Row],[ProjectName]])*ProjectInfoTable[NumberOfReplications]))</f>
        <v>10</v>
      </c>
      <c r="K293" cm="1">
        <f t="array" ref="K293">IFERROR(AVERAGE(IF((OutputTable[GroupByKey]=OutputTable[[#This Row],[GroupByKey]]),(OutputTable[GroupByKey]=OutputTable[[#This Row],[GroupByKey]])*OutputTable[RecordedValue])),0)</f>
        <v>0.95483842565389732</v>
      </c>
      <c r="L293" cm="1">
        <f t="array" ref="L293">IFERROR(_xlfn.STDEV.S(IF((OutputTable[GroupByKey]=OutputTable[[#This Row],[GroupByKey]]),(OutputTable[GroupByKey]=OutputTable[[#This Row],[GroupByKey]])*OutputTable[RecordedValue])),0)</f>
        <v>7.6849017135544289E-4</v>
      </c>
      <c r="M293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5.497447512496955E-4</v>
      </c>
      <c r="O293" cm="1">
        <f t="array" ref="O293">MIN(IF((OutputTable[GroupByKey]=OutputTable[[#This Row],[GroupByKey]]),(OutputTable[GroupByKey]=OutputTable[[#This Row],[GroupByKey]])*OutputTable[RecordedValue]))</f>
        <v>0.95348679569453398</v>
      </c>
      <c r="P293" cm="1">
        <f t="array" ref="P293">MAX(IF((OutputTable[GroupByKey]=OutputTable[[#This Row],[GroupByKey]]),(OutputTable[GroupByKey]=OutputTable[[#This Row],[GroupByKey]])*OutputTable[RecordedValue]))</f>
        <v>0.95588678098879198</v>
      </c>
    </row>
    <row r="294" spans="1:16" x14ac:dyDescent="0.25">
      <c r="A294" t="s">
        <v>67</v>
      </c>
      <c r="B294" t="s">
        <v>243</v>
      </c>
      <c r="C294">
        <v>4</v>
      </c>
      <c r="D294" t="s">
        <v>189</v>
      </c>
      <c r="E294" t="s">
        <v>152</v>
      </c>
      <c r="F294" t="s">
        <v>113</v>
      </c>
      <c r="G294">
        <v>8234</v>
      </c>
      <c r="H294">
        <v>0</v>
      </c>
      <c r="I294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294" cm="1">
        <f t="array" ref="J294">MAX(IF((ProjectInfoTable[ProjectName]=OutputTable[[#This Row],[ProjectName]]),(ProjectInfoTable[ProjectName]=OutputTable[[#This Row],[ProjectName]])*ProjectInfoTable[NumberOfReplications]))</f>
        <v>10</v>
      </c>
      <c r="K294" cm="1">
        <f t="array" ref="K294">IFERROR(AVERAGE(IF((OutputTable[GroupByKey]=OutputTable[[#This Row],[GroupByKey]]),(OutputTable[GroupByKey]=OutputTable[[#This Row],[GroupByKey]])*OutputTable[RecordedValue])),0)</f>
        <v>8235</v>
      </c>
      <c r="L294" cm="1">
        <f t="array" ref="L294">IFERROR(_xlfn.STDEV.S(IF((OutputTable[GroupByKey]=OutputTable[[#This Row],[GroupByKey]]),(OutputTable[GroupByKey]=OutputTable[[#This Row],[GroupByKey]])*OutputTable[RecordedValue])),0)</f>
        <v>6.5659052011974035</v>
      </c>
      <c r="M294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294" cm="1">
        <f t="array" ref="O294">MIN(IF((OutputTable[GroupByKey]=OutputTable[[#This Row],[GroupByKey]]),(OutputTable[GroupByKey]=OutputTable[[#This Row],[GroupByKey]])*OutputTable[RecordedValue]))</f>
        <v>8223</v>
      </c>
      <c r="P294" cm="1">
        <f t="array" ref="P294">MAX(IF((OutputTable[GroupByKey]=OutputTable[[#This Row],[GroupByKey]]),(OutputTable[GroupByKey]=OutputTable[[#This Row],[GroupByKey]])*OutputTable[RecordedValue]))</f>
        <v>8245</v>
      </c>
    </row>
    <row r="295" spans="1:16" x14ac:dyDescent="0.25">
      <c r="A295" t="s">
        <v>67</v>
      </c>
      <c r="B295" t="s">
        <v>243</v>
      </c>
      <c r="C295">
        <v>4</v>
      </c>
      <c r="D295" t="s">
        <v>190</v>
      </c>
      <c r="E295" t="s">
        <v>154</v>
      </c>
      <c r="F295" t="s">
        <v>113</v>
      </c>
      <c r="G295">
        <v>0.48607339026604302</v>
      </c>
      <c r="H295">
        <v>0</v>
      </c>
      <c r="I295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295" cm="1">
        <f t="array" ref="J295">MAX(IF((ProjectInfoTable[ProjectName]=OutputTable[[#This Row],[ProjectName]]),(ProjectInfoTable[ProjectName]=OutputTable[[#This Row],[ProjectName]])*ProjectInfoTable[NumberOfReplications]))</f>
        <v>10</v>
      </c>
      <c r="K295" cm="1">
        <f t="array" ref="K295">IFERROR(AVERAGE(IF((OutputTable[GroupByKey]=OutputTable[[#This Row],[GroupByKey]]),(OutputTable[GroupByKey]=OutputTable[[#This Row],[GroupByKey]])*OutputTable[RecordedValue])),0)</f>
        <v>0.48622459141633045</v>
      </c>
      <c r="L295" cm="1">
        <f t="array" ref="L295">IFERROR(_xlfn.STDEV.S(IF((OutputTable[GroupByKey]=OutputTable[[#This Row],[GroupByKey]]),(OutputTable[GroupByKey]=OutputTable[[#This Row],[GroupByKey]])*OutputTable[RecordedValue])),0)</f>
        <v>7.2585329819825151E-4</v>
      </c>
      <c r="M29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5.1924416958770345E-4</v>
      </c>
      <c r="O295" cm="1">
        <f t="array" ref="O295">MIN(IF((OutputTable[GroupByKey]=OutputTable[[#This Row],[GroupByKey]]),(OutputTable[GroupByKey]=OutputTable[[#This Row],[GroupByKey]])*OutputTable[RecordedValue]))</f>
        <v>0.48503601840289501</v>
      </c>
      <c r="P295" cm="1">
        <f t="array" ref="P295">MAX(IF((OutputTable[GroupByKey]=OutputTable[[#This Row],[GroupByKey]]),(OutputTable[GroupByKey]=OutputTable[[#This Row],[GroupByKey]])*OutputTable[RecordedValue]))</f>
        <v>0.48724920721519499</v>
      </c>
    </row>
    <row r="296" spans="1:16" x14ac:dyDescent="0.25">
      <c r="A296" t="s">
        <v>67</v>
      </c>
      <c r="B296" t="s">
        <v>243</v>
      </c>
      <c r="C296">
        <v>4</v>
      </c>
      <c r="D296" t="s">
        <v>191</v>
      </c>
      <c r="E296" t="s">
        <v>152</v>
      </c>
      <c r="F296" t="s">
        <v>113</v>
      </c>
      <c r="G296">
        <v>8232</v>
      </c>
      <c r="H296">
        <v>0</v>
      </c>
      <c r="I296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296" cm="1">
        <f t="array" ref="J296">MAX(IF((ProjectInfoTable[ProjectName]=OutputTable[[#This Row],[ProjectName]]),(ProjectInfoTable[ProjectName]=OutputTable[[#This Row],[ProjectName]])*ProjectInfoTable[NumberOfReplications]))</f>
        <v>10</v>
      </c>
      <c r="K296" cm="1">
        <f t="array" ref="K296">IFERROR(AVERAGE(IF((OutputTable[GroupByKey]=OutputTable[[#This Row],[GroupByKey]]),(OutputTable[GroupByKey]=OutputTable[[#This Row],[GroupByKey]])*OutputTable[RecordedValue])),0)</f>
        <v>8233.5</v>
      </c>
      <c r="L296" cm="1">
        <f t="array" ref="L296">IFERROR(_xlfn.STDEV.S(IF((OutputTable[GroupByKey]=OutputTable[[#This Row],[GroupByKey]]),(OutputTable[GroupByKey]=OutputTable[[#This Row],[GroupByKey]])*OutputTable[RecordedValue])),0)</f>
        <v>6.5021364010437201</v>
      </c>
      <c r="M296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296" cm="1">
        <f t="array" ref="O296">MIN(IF((OutputTable[GroupByKey]=OutputTable[[#This Row],[GroupByKey]]),(OutputTable[GroupByKey]=OutputTable[[#This Row],[GroupByKey]])*OutputTable[RecordedValue]))</f>
        <v>8221</v>
      </c>
      <c r="P296" cm="1">
        <f t="array" ref="P296">MAX(IF((OutputTable[GroupByKey]=OutputTable[[#This Row],[GroupByKey]]),(OutputTable[GroupByKey]=OutputTable[[#This Row],[GroupByKey]])*OutputTable[RecordedValue]))</f>
        <v>8243</v>
      </c>
    </row>
    <row r="297" spans="1:16" x14ac:dyDescent="0.25">
      <c r="A297" t="s">
        <v>67</v>
      </c>
      <c r="B297" t="s">
        <v>243</v>
      </c>
      <c r="C297">
        <v>4</v>
      </c>
      <c r="D297" t="s">
        <v>192</v>
      </c>
      <c r="E297" t="s">
        <v>154</v>
      </c>
      <c r="F297" t="s">
        <v>113</v>
      </c>
      <c r="G297">
        <v>0.57142815125120305</v>
      </c>
      <c r="H297">
        <v>0</v>
      </c>
      <c r="I297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297" cm="1">
        <f t="array" ref="J297">MAX(IF((ProjectInfoTable[ProjectName]=OutputTable[[#This Row],[ProjectName]]),(ProjectInfoTable[ProjectName]=OutputTable[[#This Row],[ProjectName]])*ProjectInfoTable[NumberOfReplications]))</f>
        <v>10</v>
      </c>
      <c r="K297" cm="1">
        <f t="array" ref="K297">IFERROR(AVERAGE(IF((OutputTable[GroupByKey]=OutputTable[[#This Row],[GroupByKey]]),(OutputTable[GroupByKey]=OutputTable[[#This Row],[GroupByKey]])*OutputTable[RecordedValue])),0)</f>
        <v>0.57195959594019841</v>
      </c>
      <c r="L297" cm="1">
        <f t="array" ref="L297">IFERROR(_xlfn.STDEV.S(IF((OutputTable[GroupByKey]=OutputTable[[#This Row],[GroupByKey]]),(OutputTable[GroupByKey]=OutputTable[[#This Row],[GroupByKey]])*OutputTable[RecordedValue])),0)</f>
        <v>5.0695895005827636E-4</v>
      </c>
      <c r="M297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3.6265658596782525E-4</v>
      </c>
      <c r="O297" cm="1">
        <f t="array" ref="O297">MIN(IF((OutputTable[GroupByKey]=OutputTable[[#This Row],[GroupByKey]]),(OutputTable[GroupByKey]=OutputTable[[#This Row],[GroupByKey]])*OutputTable[RecordedValue]))</f>
        <v>0.57115702440598504</v>
      </c>
      <c r="P297" cm="1">
        <f t="array" ref="P297">MAX(IF((OutputTable[GroupByKey]=OutputTable[[#This Row],[GroupByKey]]),(OutputTable[GroupByKey]=OutputTable[[#This Row],[GroupByKey]])*OutputTable[RecordedValue]))</f>
        <v>0.57294957522841605</v>
      </c>
    </row>
    <row r="298" spans="1:16" x14ac:dyDescent="0.25">
      <c r="A298" t="s">
        <v>67</v>
      </c>
      <c r="B298" t="s">
        <v>243</v>
      </c>
      <c r="C298">
        <v>4</v>
      </c>
      <c r="D298" t="s">
        <v>193</v>
      </c>
      <c r="E298" t="s">
        <v>152</v>
      </c>
      <c r="F298" t="s">
        <v>113</v>
      </c>
      <c r="G298">
        <v>8230</v>
      </c>
      <c r="H298">
        <v>0</v>
      </c>
      <c r="I298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298" cm="1">
        <f t="array" ref="J298">MAX(IF((ProjectInfoTable[ProjectName]=OutputTable[[#This Row],[ProjectName]]),(ProjectInfoTable[ProjectName]=OutputTable[[#This Row],[ProjectName]])*ProjectInfoTable[NumberOfReplications]))</f>
        <v>10</v>
      </c>
      <c r="K298" cm="1">
        <f t="array" ref="K298">IFERROR(AVERAGE(IF((OutputTable[GroupByKey]=OutputTable[[#This Row],[GroupByKey]]),(OutputTable[GroupByKey]=OutputTable[[#This Row],[GroupByKey]])*OutputTable[RecordedValue])),0)</f>
        <v>8231.5</v>
      </c>
      <c r="L298" cm="1">
        <f t="array" ref="L298">IFERROR(_xlfn.STDEV.S(IF((OutputTable[GroupByKey]=OutputTable[[#This Row],[GroupByKey]]),(OutputTable[GroupByKey]=OutputTable[[#This Row],[GroupByKey]])*OutputTable[RecordedValue])),0)</f>
        <v>6.3464775882199236</v>
      </c>
      <c r="M298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298" cm="1">
        <f t="array" ref="O298">MIN(IF((OutputTable[GroupByKey]=OutputTable[[#This Row],[GroupByKey]]),(OutputTable[GroupByKey]=OutputTable[[#This Row],[GroupByKey]])*OutputTable[RecordedValue]))</f>
        <v>8220</v>
      </c>
      <c r="P298" cm="1">
        <f t="array" ref="P298">MAX(IF((OutputTable[GroupByKey]=OutputTable[[#This Row],[GroupByKey]]),(OutputTable[GroupByKey]=OutputTable[[#This Row],[GroupByKey]])*OutputTable[RecordedValue]))</f>
        <v>8241</v>
      </c>
    </row>
    <row r="299" spans="1:16" x14ac:dyDescent="0.25">
      <c r="A299" t="s">
        <v>67</v>
      </c>
      <c r="B299" t="s">
        <v>243</v>
      </c>
      <c r="C299">
        <v>4</v>
      </c>
      <c r="D299" t="s">
        <v>194</v>
      </c>
      <c r="E299" t="s">
        <v>154</v>
      </c>
      <c r="F299" t="s">
        <v>113</v>
      </c>
      <c r="G299">
        <v>1.0004578926671299</v>
      </c>
      <c r="H299">
        <v>0</v>
      </c>
      <c r="I299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299" cm="1">
        <f t="array" ref="J299">MAX(IF((ProjectInfoTable[ProjectName]=OutputTable[[#This Row],[ProjectName]]),(ProjectInfoTable[ProjectName]=OutputTable[[#This Row],[ProjectName]])*ProjectInfoTable[NumberOfReplications]))</f>
        <v>10</v>
      </c>
      <c r="K299" cm="1">
        <f t="array" ref="K299">IFERROR(AVERAGE(IF((OutputTable[GroupByKey]=OutputTable[[#This Row],[GroupByKey]]),(OutputTable[GroupByKey]=OutputTable[[#This Row],[GroupByKey]])*OutputTable[RecordedValue])),0)</f>
        <v>1.0004557942559711</v>
      </c>
      <c r="L299" cm="1">
        <f t="array" ref="L299">IFERROR(_xlfn.STDEV.S(IF((OutputTable[GroupByKey]=OutputTable[[#This Row],[GroupByKey]]),(OutputTable[GroupByKey]=OutputTable[[#This Row],[GroupByKey]])*OutputTable[RecordedValue])),0)</f>
        <v>1.6760007580081014E-4</v>
      </c>
      <c r="M299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1.1989387166531641E-4</v>
      </c>
      <c r="O299" cm="1">
        <f t="array" ref="O299">MIN(IF((OutputTable[GroupByKey]=OutputTable[[#This Row],[GroupByKey]]),(OutputTable[GroupByKey]=OutputTable[[#This Row],[GroupByKey]])*OutputTable[RecordedValue]))</f>
        <v>1.0000655989645</v>
      </c>
      <c r="P299" cm="1">
        <f t="array" ref="P299">MAX(IF((OutputTable[GroupByKey]=OutputTable[[#This Row],[GroupByKey]]),(OutputTable[GroupByKey]=OutputTable[[#This Row],[GroupByKey]])*OutputTable[RecordedValue]))</f>
        <v>1.00068312738094</v>
      </c>
    </row>
    <row r="300" spans="1:16" x14ac:dyDescent="0.25">
      <c r="A300" t="s">
        <v>67</v>
      </c>
      <c r="B300" t="s">
        <v>243</v>
      </c>
      <c r="C300">
        <v>4</v>
      </c>
      <c r="D300" t="s">
        <v>195</v>
      </c>
      <c r="E300" t="s">
        <v>152</v>
      </c>
      <c r="F300" t="s">
        <v>113</v>
      </c>
      <c r="G300">
        <v>8226</v>
      </c>
      <c r="H300">
        <v>0</v>
      </c>
      <c r="I300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300" cm="1">
        <f t="array" ref="J300">MAX(IF((ProjectInfoTable[ProjectName]=OutputTable[[#This Row],[ProjectName]]),(ProjectInfoTable[ProjectName]=OutputTable[[#This Row],[ProjectName]])*ProjectInfoTable[NumberOfReplications]))</f>
        <v>10</v>
      </c>
      <c r="K300" cm="1">
        <f t="array" ref="K300">IFERROR(AVERAGE(IF((OutputTable[GroupByKey]=OutputTable[[#This Row],[GroupByKey]]),(OutputTable[GroupByKey]=OutputTable[[#This Row],[GroupByKey]])*OutputTable[RecordedValue])),0)</f>
        <v>8227.7000000000007</v>
      </c>
      <c r="L300" cm="1">
        <f t="array" ref="L300">IFERROR(_xlfn.STDEV.S(IF((OutputTable[GroupByKey]=OutputTable[[#This Row],[GroupByKey]]),(OutputTable[GroupByKey]=OutputTable[[#This Row],[GroupByKey]])*OutputTable[RecordedValue])),0)</f>
        <v>6.2902040242480748</v>
      </c>
      <c r="M300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300" cm="1">
        <f t="array" ref="O300">MIN(IF((OutputTable[GroupByKey]=OutputTable[[#This Row],[GroupByKey]]),(OutputTable[GroupByKey]=OutputTable[[#This Row],[GroupByKey]])*OutputTable[RecordedValue]))</f>
        <v>8216</v>
      </c>
      <c r="P300" cm="1">
        <f t="array" ref="P300">MAX(IF((OutputTable[GroupByKey]=OutputTable[[#This Row],[GroupByKey]]),(OutputTable[GroupByKey]=OutputTable[[#This Row],[GroupByKey]])*OutputTable[RecordedValue]))</f>
        <v>8237</v>
      </c>
    </row>
    <row r="301" spans="1:16" x14ac:dyDescent="0.25">
      <c r="A301" t="s">
        <v>67</v>
      </c>
      <c r="B301" t="s">
        <v>243</v>
      </c>
      <c r="C301">
        <v>4</v>
      </c>
      <c r="D301" t="s">
        <v>196</v>
      </c>
      <c r="E301" t="s">
        <v>154</v>
      </c>
      <c r="F301" t="s">
        <v>113</v>
      </c>
      <c r="G301">
        <v>0.62861482847842298</v>
      </c>
      <c r="H301">
        <v>0</v>
      </c>
      <c r="I301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301" cm="1">
        <f t="array" ref="J301">MAX(IF((ProjectInfoTable[ProjectName]=OutputTable[[#This Row],[ProjectName]]),(ProjectInfoTable[ProjectName]=OutputTable[[#This Row],[ProjectName]])*ProjectInfoTable[NumberOfReplications]))</f>
        <v>10</v>
      </c>
      <c r="K301" cm="1">
        <f t="array" ref="K301">IFERROR(AVERAGE(IF((OutputTable[GroupByKey]=OutputTable[[#This Row],[GroupByKey]]),(OutputTable[GroupByKey]=OutputTable[[#This Row],[GroupByKey]])*OutputTable[RecordedValue])),0)</f>
        <v>0.62814585354256225</v>
      </c>
      <c r="L301" cm="1">
        <f t="array" ref="L301">IFERROR(_xlfn.STDEV.S(IF((OutputTable[GroupByKey]=OutputTable[[#This Row],[GroupByKey]]),(OutputTable[GroupByKey]=OutputTable[[#This Row],[GroupByKey]])*OutputTable[RecordedValue])),0)</f>
        <v>7.7648569130547428E-4</v>
      </c>
      <c r="M301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5.5546440166277669E-4</v>
      </c>
      <c r="O301" cm="1">
        <f t="array" ref="O301">MIN(IF((OutputTable[GroupByKey]=OutputTable[[#This Row],[GroupByKey]]),(OutputTable[GroupByKey]=OutputTable[[#This Row],[GroupByKey]])*OutputTable[RecordedValue]))</f>
        <v>0.62668997340539101</v>
      </c>
      <c r="P301" cm="1">
        <f t="array" ref="P301">MAX(IF((OutputTable[GroupByKey]=OutputTable[[#This Row],[GroupByKey]]),(OutputTable[GroupByKey]=OutputTable[[#This Row],[GroupByKey]])*OutputTable[RecordedValue]))</f>
        <v>0.629372102267024</v>
      </c>
    </row>
    <row r="302" spans="1:16" x14ac:dyDescent="0.25">
      <c r="A302" t="s">
        <v>67</v>
      </c>
      <c r="B302" t="s">
        <v>243</v>
      </c>
      <c r="C302">
        <v>4</v>
      </c>
      <c r="D302" t="s">
        <v>197</v>
      </c>
      <c r="E302" t="s">
        <v>152</v>
      </c>
      <c r="F302" t="s">
        <v>113</v>
      </c>
      <c r="G302">
        <v>18402</v>
      </c>
      <c r="H302">
        <v>0</v>
      </c>
      <c r="I302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302" cm="1">
        <f t="array" ref="J302">MAX(IF((ProjectInfoTable[ProjectName]=OutputTable[[#This Row],[ProjectName]]),(ProjectInfoTable[ProjectName]=OutputTable[[#This Row],[ProjectName]])*ProjectInfoTable[NumberOfReplications]))</f>
        <v>10</v>
      </c>
      <c r="K302" cm="1">
        <f t="array" ref="K302">IFERROR(AVERAGE(IF((OutputTable[GroupByKey]=OutputTable[[#This Row],[GroupByKey]]),(OutputTable[GroupByKey]=OutputTable[[#This Row],[GroupByKey]])*OutputTable[RecordedValue])),0)</f>
        <v>18392</v>
      </c>
      <c r="L302" cm="1">
        <f t="array" ref="L302">IFERROR(_xlfn.STDEV.S(IF((OutputTable[GroupByKey]=OutputTable[[#This Row],[GroupByKey]]),(OutputTable[GroupByKey]=OutputTable[[#This Row],[GroupByKey]])*OutputTable[RecordedValue])),0)</f>
        <v>12.884098726725126</v>
      </c>
      <c r="M302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302" cm="1">
        <f t="array" ref="O302">MIN(IF((OutputTable[GroupByKey]=OutputTable[[#This Row],[GroupByKey]]),(OutputTable[GroupByKey]=OutputTable[[#This Row],[GroupByKey]])*OutputTable[RecordedValue]))</f>
        <v>18376</v>
      </c>
      <c r="P302" cm="1">
        <f t="array" ref="P302">MAX(IF((OutputTable[GroupByKey]=OutputTable[[#This Row],[GroupByKey]]),(OutputTable[GroupByKey]=OutputTable[[#This Row],[GroupByKey]])*OutputTable[RecordedValue]))</f>
        <v>18407</v>
      </c>
    </row>
    <row r="303" spans="1:16" x14ac:dyDescent="0.25">
      <c r="A303" t="s">
        <v>67</v>
      </c>
      <c r="B303" t="s">
        <v>243</v>
      </c>
      <c r="C303">
        <v>4</v>
      </c>
      <c r="D303" t="s">
        <v>198</v>
      </c>
      <c r="E303" t="s">
        <v>154</v>
      </c>
      <c r="F303" t="s">
        <v>113</v>
      </c>
      <c r="G303">
        <v>0.95841039008199003</v>
      </c>
      <c r="H303">
        <v>0</v>
      </c>
      <c r="I303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303" cm="1">
        <f t="array" ref="J303">MAX(IF((ProjectInfoTable[ProjectName]=OutputTable[[#This Row],[ProjectName]]),(ProjectInfoTable[ProjectName]=OutputTable[[#This Row],[ProjectName]])*ProjectInfoTable[NumberOfReplications]))</f>
        <v>10</v>
      </c>
      <c r="K303" cm="1">
        <f t="array" ref="K303">IFERROR(AVERAGE(IF((OutputTable[GroupByKey]=OutputTable[[#This Row],[GroupByKey]]),(OutputTable[GroupByKey]=OutputTable[[#This Row],[GroupByKey]])*OutputTable[RecordedValue])),0)</f>
        <v>0.9578548406389944</v>
      </c>
      <c r="L303" cm="1">
        <f t="array" ref="L303">IFERROR(_xlfn.STDEV.S(IF((OutputTable[GroupByKey]=OutputTable[[#This Row],[GroupByKey]]),(OutputTable[GroupByKey]=OutputTable[[#This Row],[GroupByKey]])*OutputTable[RecordedValue])),0)</f>
        <v>7.0772834598480485E-4</v>
      </c>
      <c r="M303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5.0627835985142609E-4</v>
      </c>
      <c r="O303" cm="1">
        <f t="array" ref="O303">MIN(IF((OutputTable[GroupByKey]=OutputTable[[#This Row],[GroupByKey]]),(OutputTable[GroupByKey]=OutputTable[[#This Row],[GroupByKey]])*OutputTable[RecordedValue]))</f>
        <v>0.95655010461043799</v>
      </c>
      <c r="P303" cm="1">
        <f t="array" ref="P303">MAX(IF((OutputTable[GroupByKey]=OutputTable[[#This Row],[GroupByKey]]),(OutputTable[GroupByKey]=OutputTable[[#This Row],[GroupByKey]])*OutputTable[RecordedValue]))</f>
        <v>0.95869742508961697</v>
      </c>
    </row>
    <row r="304" spans="1:16" x14ac:dyDescent="0.25">
      <c r="A304" t="s">
        <v>67</v>
      </c>
      <c r="B304" t="s">
        <v>243</v>
      </c>
      <c r="C304">
        <v>4</v>
      </c>
      <c r="D304" t="s">
        <v>199</v>
      </c>
      <c r="E304" t="s">
        <v>152</v>
      </c>
      <c r="F304" t="s">
        <v>113</v>
      </c>
      <c r="G304">
        <v>18399</v>
      </c>
      <c r="H304">
        <v>0</v>
      </c>
      <c r="I304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304" cm="1">
        <f t="array" ref="J304">MAX(IF((ProjectInfoTable[ProjectName]=OutputTable[[#This Row],[ProjectName]]),(ProjectInfoTable[ProjectName]=OutputTable[[#This Row],[ProjectName]])*ProjectInfoTable[NumberOfReplications]))</f>
        <v>10</v>
      </c>
      <c r="K304" cm="1">
        <f t="array" ref="K304">IFERROR(AVERAGE(IF((OutputTable[GroupByKey]=OutputTable[[#This Row],[GroupByKey]]),(OutputTable[GroupByKey]=OutputTable[[#This Row],[GroupByKey]])*OutputTable[RecordedValue])),0)</f>
        <v>18389.400000000001</v>
      </c>
      <c r="L304" cm="1">
        <f t="array" ref="L304">IFERROR(_xlfn.STDEV.S(IF((OutputTable[GroupByKey]=OutputTable[[#This Row],[GroupByKey]]),(OutputTable[GroupByKey]=OutputTable[[#This Row],[GroupByKey]])*OutputTable[RecordedValue])),0)</f>
        <v>12.103259432437566</v>
      </c>
      <c r="M304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304" cm="1">
        <f t="array" ref="O304">MIN(IF((OutputTable[GroupByKey]=OutputTable[[#This Row],[GroupByKey]]),(OutputTable[GroupByKey]=OutputTable[[#This Row],[GroupByKey]])*OutputTable[RecordedValue]))</f>
        <v>18376</v>
      </c>
      <c r="P304" cm="1">
        <f t="array" ref="P304">MAX(IF((OutputTable[GroupByKey]=OutputTable[[#This Row],[GroupByKey]]),(OutputTable[GroupByKey]=OutputTable[[#This Row],[GroupByKey]])*OutputTable[RecordedValue]))</f>
        <v>18404</v>
      </c>
    </row>
    <row r="305" spans="1:16" x14ac:dyDescent="0.25">
      <c r="A305" t="s">
        <v>67</v>
      </c>
      <c r="B305" t="s">
        <v>243</v>
      </c>
      <c r="C305">
        <v>4</v>
      </c>
      <c r="D305" t="s">
        <v>200</v>
      </c>
      <c r="E305" t="s">
        <v>154</v>
      </c>
      <c r="F305" t="s">
        <v>113</v>
      </c>
      <c r="G305">
        <v>1.0003421138395501</v>
      </c>
      <c r="H305">
        <v>0</v>
      </c>
      <c r="I305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305" cm="1">
        <f t="array" ref="J305">MAX(IF((ProjectInfoTable[ProjectName]=OutputTable[[#This Row],[ProjectName]]),(ProjectInfoTable[ProjectName]=OutputTable[[#This Row],[ProjectName]])*ProjectInfoTable[NumberOfReplications]))</f>
        <v>10</v>
      </c>
      <c r="K305" cm="1">
        <f t="array" ref="K305">IFERROR(AVERAGE(IF((OutputTable[GroupByKey]=OutputTable[[#This Row],[GroupByKey]]),(OutputTable[GroupByKey]=OutputTable[[#This Row],[GroupByKey]])*OutputTable[RecordedValue])),0)</f>
        <v>1.0003902798422071</v>
      </c>
      <c r="L305" cm="1">
        <f t="array" ref="L305">IFERROR(_xlfn.STDEV.S(IF((OutputTable[GroupByKey]=OutputTable[[#This Row],[GroupByKey]]),(OutputTable[GroupByKey]=OutputTable[[#This Row],[GroupByKey]])*OutputTable[RecordedValue])),0)</f>
        <v>5.593555412291058E-5</v>
      </c>
      <c r="M30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4.0013884931119971E-5</v>
      </c>
      <c r="O305" cm="1">
        <f t="array" ref="O305">MIN(IF((OutputTable[GroupByKey]=OutputTable[[#This Row],[GroupByKey]]),(OutputTable[GroupByKey]=OutputTable[[#This Row],[GroupByKey]])*OutputTable[RecordedValue]))</f>
        <v>1.0003027766980599</v>
      </c>
      <c r="P305" cm="1">
        <f t="array" ref="P305">MAX(IF((OutputTable[GroupByKey]=OutputTable[[#This Row],[GroupByKey]]),(OutputTable[GroupByKey]=OutputTable[[#This Row],[GroupByKey]])*OutputTable[RecordedValue]))</f>
        <v>1.00046792437877</v>
      </c>
    </row>
    <row r="306" spans="1:16" x14ac:dyDescent="0.25">
      <c r="A306" t="s">
        <v>67</v>
      </c>
      <c r="B306" t="s">
        <v>243</v>
      </c>
      <c r="C306">
        <v>4</v>
      </c>
      <c r="D306" t="s">
        <v>201</v>
      </c>
      <c r="E306" t="s">
        <v>202</v>
      </c>
      <c r="F306" t="s">
        <v>87</v>
      </c>
      <c r="G306">
        <v>157291.71743880899</v>
      </c>
      <c r="H306">
        <v>0</v>
      </c>
      <c r="I306" t="str">
        <f>OutputTable[[#This Row],[ProjectName]]&amp;OutputTable[[#This Row],[Name]]&amp;OutputTable[[#This Row],[Type]]&amp;OutputTable[[#This Row],[Source]]</f>
        <v>Unnamed ProjectProcess 1 Accum VA TimeAccum VA TimeProcess</v>
      </c>
      <c r="J306" cm="1">
        <f t="array" ref="J306">MAX(IF((ProjectInfoTable[ProjectName]=OutputTable[[#This Row],[ProjectName]]),(ProjectInfoTable[ProjectName]=OutputTable[[#This Row],[ProjectName]])*ProjectInfoTable[NumberOfReplications]))</f>
        <v>10</v>
      </c>
      <c r="K306" cm="1">
        <f t="array" ref="K306">IFERROR(AVERAGE(IF((OutputTable[GroupByKey]=OutputTable[[#This Row],[GroupByKey]]),(OutputTable[GroupByKey]=OutputTable[[#This Row],[GroupByKey]])*OutputTable[RecordedValue])),0)</f>
        <v>157133.73428655442</v>
      </c>
      <c r="L306" cm="1">
        <f t="array" ref="L306">IFERROR(_xlfn.STDEV.S(IF((OutputTable[GroupByKey]=OutputTable[[#This Row],[GroupByKey]]),(OutputTable[GroupByKey]=OutputTable[[#This Row],[GroupByKey]])*OutputTable[RecordedValue])),0)</f>
        <v>123.15330812839177</v>
      </c>
      <c r="M306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88.098569462778244</v>
      </c>
      <c r="O306" cm="1">
        <f t="array" ref="O306">MIN(IF((OutputTable[GroupByKey]=OutputTable[[#This Row],[GroupByKey]]),(OutputTable[GroupByKey]=OutputTable[[#This Row],[GroupByKey]])*OutputTable[RecordedValue]))</f>
        <v>156930.294881654</v>
      </c>
      <c r="P306" cm="1">
        <f t="array" ref="P306">MAX(IF((OutputTable[GroupByKey]=OutputTable[[#This Row],[GroupByKey]]),(OutputTable[GroupByKey]=OutputTable[[#This Row],[GroupByKey]])*OutputTable[RecordedValue]))</f>
        <v>157303.990839153</v>
      </c>
    </row>
    <row r="307" spans="1:16" x14ac:dyDescent="0.25">
      <c r="A307" t="s">
        <v>67</v>
      </c>
      <c r="B307" t="s">
        <v>243</v>
      </c>
      <c r="C307">
        <v>4</v>
      </c>
      <c r="D307" t="s">
        <v>203</v>
      </c>
      <c r="E307" t="s">
        <v>156</v>
      </c>
      <c r="F307" t="s">
        <v>87</v>
      </c>
      <c r="G307">
        <v>13088</v>
      </c>
      <c r="H307">
        <v>0</v>
      </c>
      <c r="I307" t="str">
        <f>OutputTable[[#This Row],[ProjectName]]&amp;OutputTable[[#This Row],[Name]]&amp;OutputTable[[#This Row],[Type]]&amp;OutputTable[[#This Row],[Source]]</f>
        <v>Unnamed ProjectProcess 1 Number InNumber InProcess</v>
      </c>
      <c r="J307" cm="1">
        <f t="array" ref="J307">MAX(IF((ProjectInfoTable[ProjectName]=OutputTable[[#This Row],[ProjectName]]),(ProjectInfoTable[ProjectName]=OutputTable[[#This Row],[ProjectName]])*ProjectInfoTable[NumberOfReplications]))</f>
        <v>10</v>
      </c>
      <c r="K307" cm="1">
        <f t="array" ref="K307">IFERROR(AVERAGE(IF((OutputTable[GroupByKey]=OutputTable[[#This Row],[GroupByKey]]),(OutputTable[GroupByKey]=OutputTable[[#This Row],[GroupByKey]])*OutputTable[RecordedValue])),0)</f>
        <v>13103.5</v>
      </c>
      <c r="L307" cm="1">
        <f t="array" ref="L307">IFERROR(_xlfn.STDEV.S(IF((OutputTable[GroupByKey]=OutputTable[[#This Row],[GroupByKey]]),(OutputTable[GroupByKey]=OutputTable[[#This Row],[GroupByKey]])*OutputTable[RecordedValue])),0)</f>
        <v>11.443095929181249</v>
      </c>
      <c r="M307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307" cm="1">
        <f t="array" ref="O307">MIN(IF((OutputTable[GroupByKey]=OutputTable[[#This Row],[GroupByKey]]),(OutputTable[GroupByKey]=OutputTable[[#This Row],[GroupByKey]])*OutputTable[RecordedValue]))</f>
        <v>13087</v>
      </c>
      <c r="P307" cm="1">
        <f t="array" ref="P307">MAX(IF((OutputTable[GroupByKey]=OutputTable[[#This Row],[GroupByKey]]),(OutputTable[GroupByKey]=OutputTable[[#This Row],[GroupByKey]])*OutputTable[RecordedValue]))</f>
        <v>13120</v>
      </c>
    </row>
    <row r="308" spans="1:16" x14ac:dyDescent="0.25">
      <c r="A308" t="s">
        <v>67</v>
      </c>
      <c r="B308" t="s">
        <v>243</v>
      </c>
      <c r="C308">
        <v>4</v>
      </c>
      <c r="D308" t="s">
        <v>204</v>
      </c>
      <c r="E308" t="s">
        <v>158</v>
      </c>
      <c r="F308" t="s">
        <v>87</v>
      </c>
      <c r="G308">
        <v>13088</v>
      </c>
      <c r="H308">
        <v>0</v>
      </c>
      <c r="I308" t="str">
        <f>OutputTable[[#This Row],[ProjectName]]&amp;OutputTable[[#This Row],[Name]]&amp;OutputTable[[#This Row],[Type]]&amp;OutputTable[[#This Row],[Source]]</f>
        <v>Unnamed ProjectProcess 1 Number OutNumber OutProcess</v>
      </c>
      <c r="J308" cm="1">
        <f t="array" ref="J308">MAX(IF((ProjectInfoTable[ProjectName]=OutputTable[[#This Row],[ProjectName]]),(ProjectInfoTable[ProjectName]=OutputTable[[#This Row],[ProjectName]])*ProjectInfoTable[NumberOfReplications]))</f>
        <v>10</v>
      </c>
      <c r="K308" cm="1">
        <f t="array" ref="K308">IFERROR(AVERAGE(IF((OutputTable[GroupByKey]=OutputTable[[#This Row],[GroupByKey]]),(OutputTable[GroupByKey]=OutputTable[[#This Row],[GroupByKey]])*OutputTable[RecordedValue])),0)</f>
        <v>13103.5</v>
      </c>
      <c r="L308" cm="1">
        <f t="array" ref="L308">IFERROR(_xlfn.STDEV.S(IF((OutputTable[GroupByKey]=OutputTable[[#This Row],[GroupByKey]]),(OutputTable[GroupByKey]=OutputTable[[#This Row],[GroupByKey]])*OutputTable[RecordedValue])),0)</f>
        <v>11.443095929181249</v>
      </c>
      <c r="M308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308" cm="1">
        <f t="array" ref="O308">MIN(IF((OutputTable[GroupByKey]=OutputTable[[#This Row],[GroupByKey]]),(OutputTable[GroupByKey]=OutputTable[[#This Row],[GroupByKey]])*OutputTable[RecordedValue]))</f>
        <v>13087</v>
      </c>
      <c r="P308" cm="1">
        <f t="array" ref="P308">MAX(IF((OutputTable[GroupByKey]=OutputTable[[#This Row],[GroupByKey]]),(OutputTable[GroupByKey]=OutputTable[[#This Row],[GroupByKey]])*OutputTable[RecordedValue]))</f>
        <v>13120</v>
      </c>
    </row>
    <row r="309" spans="1:16" x14ac:dyDescent="0.25">
      <c r="A309" t="s">
        <v>67</v>
      </c>
      <c r="B309" t="s">
        <v>243</v>
      </c>
      <c r="C309">
        <v>4</v>
      </c>
      <c r="D309" t="s">
        <v>205</v>
      </c>
      <c r="E309" t="s">
        <v>202</v>
      </c>
      <c r="F309" t="s">
        <v>87</v>
      </c>
      <c r="G309">
        <v>21737.561928445</v>
      </c>
      <c r="H309">
        <v>0</v>
      </c>
      <c r="I309" t="str">
        <f>OutputTable[[#This Row],[ProjectName]]&amp;OutputTable[[#This Row],[Name]]&amp;OutputTable[[#This Row],[Type]]&amp;OutputTable[[#This Row],[Source]]</f>
        <v>Unnamed ProjectProcess 14 Accum VA TimeAccum VA TimeProcess</v>
      </c>
      <c r="J309" cm="1">
        <f t="array" ref="J309">MAX(IF((ProjectInfoTable[ProjectName]=OutputTable[[#This Row],[ProjectName]]),(ProjectInfoTable[ProjectName]=OutputTable[[#This Row],[ProjectName]])*ProjectInfoTable[NumberOfReplications]))</f>
        <v>10</v>
      </c>
      <c r="K309" cm="1">
        <f t="array" ref="K309">IFERROR(AVERAGE(IF((OutputTable[GroupByKey]=OutputTable[[#This Row],[GroupByKey]]),(OutputTable[GroupByKey]=OutputTable[[#This Row],[GroupByKey]])*OutputTable[RecordedValue])),0)</f>
        <v>21817.897664333104</v>
      </c>
      <c r="L309" cm="1">
        <f t="array" ref="L309">IFERROR(_xlfn.STDEV.S(IF((OutputTable[GroupByKey]=OutputTable[[#This Row],[GroupByKey]]),(OutputTable[GroupByKey]=OutputTable[[#This Row],[GroupByKey]])*OutputTable[RecordedValue])),0)</f>
        <v>40.377465047897729</v>
      </c>
      <c r="M309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28.884298467602775</v>
      </c>
      <c r="O309" cm="1">
        <f t="array" ref="O309">MIN(IF((OutputTable[GroupByKey]=OutputTable[[#This Row],[GroupByKey]]),(OutputTable[GroupByKey]=OutputTable[[#This Row],[GroupByKey]])*OutputTable[RecordedValue]))</f>
        <v>21737.561928445</v>
      </c>
      <c r="P309" cm="1">
        <f t="array" ref="P309">MAX(IF((OutputTable[GroupByKey]=OutputTable[[#This Row],[GroupByKey]]),(OutputTable[GroupByKey]=OutputTable[[#This Row],[GroupByKey]])*OutputTable[RecordedValue]))</f>
        <v>21880.2668082411</v>
      </c>
    </row>
    <row r="310" spans="1:16" x14ac:dyDescent="0.25">
      <c r="A310" t="s">
        <v>67</v>
      </c>
      <c r="B310" t="s">
        <v>243</v>
      </c>
      <c r="C310">
        <v>4</v>
      </c>
      <c r="D310" t="s">
        <v>206</v>
      </c>
      <c r="E310" t="s">
        <v>156</v>
      </c>
      <c r="F310" t="s">
        <v>87</v>
      </c>
      <c r="G310">
        <v>6540</v>
      </c>
      <c r="H310">
        <v>0</v>
      </c>
      <c r="I310" t="str">
        <f>OutputTable[[#This Row],[ProjectName]]&amp;OutputTable[[#This Row],[Name]]&amp;OutputTable[[#This Row],[Type]]&amp;OutputTable[[#This Row],[Source]]</f>
        <v>Unnamed ProjectProcess 14 Number InNumber InProcess</v>
      </c>
      <c r="J310" cm="1">
        <f t="array" ref="J310">MAX(IF((ProjectInfoTable[ProjectName]=OutputTable[[#This Row],[ProjectName]]),(ProjectInfoTable[ProjectName]=OutputTable[[#This Row],[ProjectName]])*ProjectInfoTable[NumberOfReplications]))</f>
        <v>10</v>
      </c>
      <c r="K310" cm="1">
        <f t="array" ref="K310">IFERROR(AVERAGE(IF((OutputTable[GroupByKey]=OutputTable[[#This Row],[GroupByKey]]),(OutputTable[GroupByKey]=OutputTable[[#This Row],[GroupByKey]])*OutputTable[RecordedValue])),0)</f>
        <v>6547.7</v>
      </c>
      <c r="L310" cm="1">
        <f t="array" ref="L310">IFERROR(_xlfn.STDEV.S(IF((OutputTable[GroupByKey]=OutputTable[[#This Row],[GroupByKey]]),(OutputTable[GroupByKey]=OutputTable[[#This Row],[GroupByKey]])*OutputTable[RecordedValue])),0)</f>
        <v>5.735852159879995</v>
      </c>
      <c r="M310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310" cm="1">
        <f t="array" ref="O310">MIN(IF((OutputTable[GroupByKey]=OutputTable[[#This Row],[GroupByKey]]),(OutputTable[GroupByKey]=OutputTable[[#This Row],[GroupByKey]])*OutputTable[RecordedValue]))</f>
        <v>6540</v>
      </c>
      <c r="P310" cm="1">
        <f t="array" ref="P310">MAX(IF((OutputTable[GroupByKey]=OutputTable[[#This Row],[GroupByKey]]),(OutputTable[GroupByKey]=OutputTable[[#This Row],[GroupByKey]])*OutputTable[RecordedValue]))</f>
        <v>6557</v>
      </c>
    </row>
    <row r="311" spans="1:16" x14ac:dyDescent="0.25">
      <c r="A311" t="s">
        <v>67</v>
      </c>
      <c r="B311" t="s">
        <v>243</v>
      </c>
      <c r="C311">
        <v>4</v>
      </c>
      <c r="D311" t="s">
        <v>207</v>
      </c>
      <c r="E311" t="s">
        <v>158</v>
      </c>
      <c r="F311" t="s">
        <v>87</v>
      </c>
      <c r="G311">
        <v>6540</v>
      </c>
      <c r="H311">
        <v>0</v>
      </c>
      <c r="I311" t="str">
        <f>OutputTable[[#This Row],[ProjectName]]&amp;OutputTable[[#This Row],[Name]]&amp;OutputTable[[#This Row],[Type]]&amp;OutputTable[[#This Row],[Source]]</f>
        <v>Unnamed ProjectProcess 14 Number OutNumber OutProcess</v>
      </c>
      <c r="J311" cm="1">
        <f t="array" ref="J311">MAX(IF((ProjectInfoTable[ProjectName]=OutputTable[[#This Row],[ProjectName]]),(ProjectInfoTable[ProjectName]=OutputTable[[#This Row],[ProjectName]])*ProjectInfoTable[NumberOfReplications]))</f>
        <v>10</v>
      </c>
      <c r="K311" cm="1">
        <f t="array" ref="K311">IFERROR(AVERAGE(IF((OutputTable[GroupByKey]=OutputTable[[#This Row],[GroupByKey]]),(OutputTable[GroupByKey]=OutputTable[[#This Row],[GroupByKey]])*OutputTable[RecordedValue])),0)</f>
        <v>6547.3</v>
      </c>
      <c r="L311" cm="1">
        <f t="array" ref="L311">IFERROR(_xlfn.STDEV.S(IF((OutputTable[GroupByKey]=OutputTable[[#This Row],[GroupByKey]]),(OutputTable[GroupByKey]=OutputTable[[#This Row],[GroupByKey]])*OutputTable[RecordedValue])),0)</f>
        <v>5.7164480035925962</v>
      </c>
      <c r="M311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4.0893005569921828</v>
      </c>
      <c r="O311" cm="1">
        <f t="array" ref="O311">MIN(IF((OutputTable[GroupByKey]=OutputTable[[#This Row],[GroupByKey]]),(OutputTable[GroupByKey]=OutputTable[[#This Row],[GroupByKey]])*OutputTable[RecordedValue]))</f>
        <v>6539</v>
      </c>
      <c r="P311" cm="1">
        <f t="array" ref="P311">MAX(IF((OutputTable[GroupByKey]=OutputTable[[#This Row],[GroupByKey]]),(OutputTable[GroupByKey]=OutputTable[[#This Row],[GroupByKey]])*OutputTable[RecordedValue]))</f>
        <v>6556</v>
      </c>
    </row>
    <row r="312" spans="1:16" x14ac:dyDescent="0.25">
      <c r="A312" t="s">
        <v>67</v>
      </c>
      <c r="B312" t="s">
        <v>243</v>
      </c>
      <c r="C312">
        <v>4</v>
      </c>
      <c r="D312" t="s">
        <v>208</v>
      </c>
      <c r="E312" t="s">
        <v>202</v>
      </c>
      <c r="F312" t="s">
        <v>87</v>
      </c>
      <c r="G312">
        <v>78434.750255210005</v>
      </c>
      <c r="H312">
        <v>0</v>
      </c>
      <c r="I312" t="str">
        <f>OutputTable[[#This Row],[ProjectName]]&amp;OutputTable[[#This Row],[Name]]&amp;OutputTable[[#This Row],[Type]]&amp;OutputTable[[#This Row],[Source]]</f>
        <v>Unnamed ProjectProcess 2 Accum VA TimeAccum VA TimeProcess</v>
      </c>
      <c r="J312" cm="1">
        <f t="array" ref="J312">MAX(IF((ProjectInfoTable[ProjectName]=OutputTable[[#This Row],[ProjectName]]),(ProjectInfoTable[ProjectName]=OutputTable[[#This Row],[ProjectName]])*ProjectInfoTable[NumberOfReplications]))</f>
        <v>10</v>
      </c>
      <c r="K312" cm="1">
        <f t="array" ref="K312">IFERROR(AVERAGE(IF((OutputTable[GroupByKey]=OutputTable[[#This Row],[GroupByKey]]),(OutputTable[GroupByKey]=OutputTable[[#This Row],[GroupByKey]])*OutputTable[RecordedValue])),0)</f>
        <v>78656.282482549519</v>
      </c>
      <c r="L312" cm="1">
        <f t="array" ref="L312">IFERROR(_xlfn.STDEV.S(IF((OutputTable[GroupByKey]=OutputTable[[#This Row],[GroupByKey]]),(OutputTable[GroupByKey]=OutputTable[[#This Row],[GroupByKey]])*OutputTable[RecordedValue])),0)</f>
        <v>139.39621135358072</v>
      </c>
      <c r="M312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99.718042457930338</v>
      </c>
      <c r="O312" cm="1">
        <f t="array" ref="O312">MIN(IF((OutputTable[GroupByKey]=OutputTable[[#This Row],[GroupByKey]]),(OutputTable[GroupByKey]=OutputTable[[#This Row],[GroupByKey]])*OutputTable[RecordedValue]))</f>
        <v>78434.750255210005</v>
      </c>
      <c r="P312" cm="1">
        <f t="array" ref="P312">MAX(IF((OutputTable[GroupByKey]=OutputTable[[#This Row],[GroupByKey]]),(OutputTable[GroupByKey]=OutputTable[[#This Row],[GroupByKey]])*OutputTable[RecordedValue]))</f>
        <v>78879.0340749358</v>
      </c>
    </row>
    <row r="313" spans="1:16" x14ac:dyDescent="0.25">
      <c r="A313" t="s">
        <v>67</v>
      </c>
      <c r="B313" t="s">
        <v>243</v>
      </c>
      <c r="C313">
        <v>4</v>
      </c>
      <c r="D313" t="s">
        <v>209</v>
      </c>
      <c r="E313" t="s">
        <v>156</v>
      </c>
      <c r="F313" t="s">
        <v>87</v>
      </c>
      <c r="G313">
        <v>13087</v>
      </c>
      <c r="H313">
        <v>0</v>
      </c>
      <c r="I313" t="str">
        <f>OutputTable[[#This Row],[ProjectName]]&amp;OutputTable[[#This Row],[Name]]&amp;OutputTable[[#This Row],[Type]]&amp;OutputTable[[#This Row],[Source]]</f>
        <v>Unnamed ProjectProcess 2 Number InNumber InProcess</v>
      </c>
      <c r="J313" cm="1">
        <f t="array" ref="J313">MAX(IF((ProjectInfoTable[ProjectName]=OutputTable[[#This Row],[ProjectName]]),(ProjectInfoTable[ProjectName]=OutputTable[[#This Row],[ProjectName]])*ProjectInfoTable[NumberOfReplications]))</f>
        <v>10</v>
      </c>
      <c r="K313" cm="1">
        <f t="array" ref="K313">IFERROR(AVERAGE(IF((OutputTable[GroupByKey]=OutputTable[[#This Row],[GroupByKey]]),(OutputTable[GroupByKey]=OutputTable[[#This Row],[GroupByKey]])*OutputTable[RecordedValue])),0)</f>
        <v>13100.1</v>
      </c>
      <c r="L313" cm="1">
        <f t="array" ref="L313">IFERROR(_xlfn.STDEV.S(IF((OutputTable[GroupByKey]=OutputTable[[#This Row],[GroupByKey]]),(OutputTable[GroupByKey]=OutputTable[[#This Row],[GroupByKey]])*OutputTable[RecordedValue])),0)</f>
        <v>11.46443776786866</v>
      </c>
      <c r="M313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313" cm="1">
        <f t="array" ref="O313">MIN(IF((OutputTable[GroupByKey]=OutputTable[[#This Row],[GroupByKey]]),(OutputTable[GroupByKey]=OutputTable[[#This Row],[GroupByKey]])*OutputTable[RecordedValue]))</f>
        <v>13083</v>
      </c>
      <c r="P313" cm="1">
        <f t="array" ref="P313">MAX(IF((OutputTable[GroupByKey]=OutputTable[[#This Row],[GroupByKey]]),(OutputTable[GroupByKey]=OutputTable[[#This Row],[GroupByKey]])*OutputTable[RecordedValue]))</f>
        <v>13118</v>
      </c>
    </row>
    <row r="314" spans="1:16" x14ac:dyDescent="0.25">
      <c r="A314" t="s">
        <v>67</v>
      </c>
      <c r="B314" t="s">
        <v>243</v>
      </c>
      <c r="C314">
        <v>4</v>
      </c>
      <c r="D314" t="s">
        <v>210</v>
      </c>
      <c r="E314" t="s">
        <v>158</v>
      </c>
      <c r="F314" t="s">
        <v>87</v>
      </c>
      <c r="G314">
        <v>13087</v>
      </c>
      <c r="H314">
        <v>0</v>
      </c>
      <c r="I314" t="str">
        <f>OutputTable[[#This Row],[ProjectName]]&amp;OutputTable[[#This Row],[Name]]&amp;OutputTable[[#This Row],[Type]]&amp;OutputTable[[#This Row],[Source]]</f>
        <v>Unnamed ProjectProcess 2 Number OutNumber OutProcess</v>
      </c>
      <c r="J314" cm="1">
        <f t="array" ref="J314">MAX(IF((ProjectInfoTable[ProjectName]=OutputTable[[#This Row],[ProjectName]]),(ProjectInfoTable[ProjectName]=OutputTable[[#This Row],[ProjectName]])*ProjectInfoTable[NumberOfReplications]))</f>
        <v>10</v>
      </c>
      <c r="K314" cm="1">
        <f t="array" ref="K314">IFERROR(AVERAGE(IF((OutputTable[GroupByKey]=OutputTable[[#This Row],[GroupByKey]]),(OutputTable[GroupByKey]=OutputTable[[#This Row],[GroupByKey]])*OutputTable[RecordedValue])),0)</f>
        <v>13100.1</v>
      </c>
      <c r="L314" cm="1">
        <f t="array" ref="L314">IFERROR(_xlfn.STDEV.S(IF((OutputTable[GroupByKey]=OutputTable[[#This Row],[GroupByKey]]),(OutputTable[GroupByKey]=OutputTable[[#This Row],[GroupByKey]])*OutputTable[RecordedValue])),0)</f>
        <v>11.46443776786866</v>
      </c>
      <c r="M314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314" cm="1">
        <f t="array" ref="O314">MIN(IF((OutputTable[GroupByKey]=OutputTable[[#This Row],[GroupByKey]]),(OutputTable[GroupByKey]=OutputTable[[#This Row],[GroupByKey]])*OutputTable[RecordedValue]))</f>
        <v>13083</v>
      </c>
      <c r="P314" cm="1">
        <f t="array" ref="P314">MAX(IF((OutputTable[GroupByKey]=OutputTable[[#This Row],[GroupByKey]]),(OutputTable[GroupByKey]=OutputTable[[#This Row],[GroupByKey]])*OutputTable[RecordedValue]))</f>
        <v>13118</v>
      </c>
    </row>
    <row r="315" spans="1:16" x14ac:dyDescent="0.25">
      <c r="A315" t="s">
        <v>67</v>
      </c>
      <c r="B315" t="s">
        <v>243</v>
      </c>
      <c r="C315">
        <v>4</v>
      </c>
      <c r="D315" t="s">
        <v>211</v>
      </c>
      <c r="E315" t="s">
        <v>202</v>
      </c>
      <c r="F315" t="s">
        <v>87</v>
      </c>
      <c r="G315">
        <v>143902.275868511</v>
      </c>
      <c r="H315">
        <v>0</v>
      </c>
      <c r="I315" t="str">
        <f>OutputTable[[#This Row],[ProjectName]]&amp;OutputTable[[#This Row],[Name]]&amp;OutputTable[[#This Row],[Type]]&amp;OutputTable[[#This Row],[Source]]</f>
        <v>Unnamed ProjectProcess 3 Accum VA TimeAccum VA TimeProcess</v>
      </c>
      <c r="J315" cm="1">
        <f t="array" ref="J315">MAX(IF((ProjectInfoTable[ProjectName]=OutputTable[[#This Row],[ProjectName]]),(ProjectInfoTable[ProjectName]=OutputTable[[#This Row],[ProjectName]])*ProjectInfoTable[NumberOfReplications]))</f>
        <v>10</v>
      </c>
      <c r="K315" cm="1">
        <f t="array" ref="K315">IFERROR(AVERAGE(IF((OutputTable[GroupByKey]=OutputTable[[#This Row],[GroupByKey]]),(OutputTable[GroupByKey]=OutputTable[[#This Row],[GroupByKey]])*OutputTable[RecordedValue])),0)</f>
        <v>144088.31566564049</v>
      </c>
      <c r="L315" cm="1">
        <f t="array" ref="L315">IFERROR(_xlfn.STDEV.S(IF((OutputTable[GroupByKey]=OutputTable[[#This Row],[GroupByKey]]),(OutputTable[GroupByKey]=OutputTable[[#This Row],[GroupByKey]])*OutputTable[RecordedValue])),0)</f>
        <v>147.41980686592098</v>
      </c>
      <c r="M31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105.45777691839817</v>
      </c>
      <c r="O315" cm="1">
        <f t="array" ref="O315">MIN(IF((OutputTable[GroupByKey]=OutputTable[[#This Row],[GroupByKey]]),(OutputTable[GroupByKey]=OutputTable[[#This Row],[GroupByKey]])*OutputTable[RecordedValue]))</f>
        <v>143896.696561805</v>
      </c>
      <c r="P315" cm="1">
        <f t="array" ref="P315">MAX(IF((OutputTable[GroupByKey]=OutputTable[[#This Row],[GroupByKey]]),(OutputTable[GroupByKey]=OutputTable[[#This Row],[GroupByKey]])*OutputTable[RecordedValue]))</f>
        <v>144298.22507098701</v>
      </c>
    </row>
    <row r="316" spans="1:16" x14ac:dyDescent="0.25">
      <c r="A316" t="s">
        <v>67</v>
      </c>
      <c r="B316" t="s">
        <v>243</v>
      </c>
      <c r="C316">
        <v>4</v>
      </c>
      <c r="D316" t="s">
        <v>212</v>
      </c>
      <c r="E316" t="s">
        <v>156</v>
      </c>
      <c r="F316" t="s">
        <v>87</v>
      </c>
      <c r="G316">
        <v>13086</v>
      </c>
      <c r="H316">
        <v>0</v>
      </c>
      <c r="I316" t="str">
        <f>OutputTable[[#This Row],[ProjectName]]&amp;OutputTable[[#This Row],[Name]]&amp;OutputTable[[#This Row],[Type]]&amp;OutputTable[[#This Row],[Source]]</f>
        <v>Unnamed ProjectProcess 3 Number InNumber InProcess</v>
      </c>
      <c r="J316" cm="1">
        <f t="array" ref="J316">MAX(IF((ProjectInfoTable[ProjectName]=OutputTable[[#This Row],[ProjectName]]),(ProjectInfoTable[ProjectName]=OutputTable[[#This Row],[ProjectName]])*ProjectInfoTable[NumberOfReplications]))</f>
        <v>10</v>
      </c>
      <c r="K316" cm="1">
        <f t="array" ref="K316">IFERROR(AVERAGE(IF((OutputTable[GroupByKey]=OutputTable[[#This Row],[GroupByKey]]),(OutputTable[GroupByKey]=OutputTable[[#This Row],[GroupByKey]])*OutputTable[RecordedValue])),0)</f>
        <v>13099.9</v>
      </c>
      <c r="L316" cm="1">
        <f t="array" ref="L316">IFERROR(_xlfn.STDEV.S(IF((OutputTable[GroupByKey]=OutputTable[[#This Row],[GroupByKey]]),(OutputTable[GroupByKey]=OutputTable[[#This Row],[GroupByKey]])*OutputTable[RecordedValue])),0)</f>
        <v>11.761046816598522</v>
      </c>
      <c r="M316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316" cm="1">
        <f t="array" ref="O316">MIN(IF((OutputTable[GroupByKey]=OutputTable[[#This Row],[GroupByKey]]),(OutputTable[GroupByKey]=OutputTable[[#This Row],[GroupByKey]])*OutputTable[RecordedValue]))</f>
        <v>13082</v>
      </c>
      <c r="P316" cm="1">
        <f t="array" ref="P316">MAX(IF((OutputTable[GroupByKey]=OutputTable[[#This Row],[GroupByKey]]),(OutputTable[GroupByKey]=OutputTable[[#This Row],[GroupByKey]])*OutputTable[RecordedValue]))</f>
        <v>13118</v>
      </c>
    </row>
    <row r="317" spans="1:16" x14ac:dyDescent="0.25">
      <c r="A317" t="s">
        <v>67</v>
      </c>
      <c r="B317" t="s">
        <v>243</v>
      </c>
      <c r="C317">
        <v>4</v>
      </c>
      <c r="D317" t="s">
        <v>213</v>
      </c>
      <c r="E317" t="s">
        <v>158</v>
      </c>
      <c r="F317" t="s">
        <v>87</v>
      </c>
      <c r="G317">
        <v>13086</v>
      </c>
      <c r="H317">
        <v>0</v>
      </c>
      <c r="I317" t="str">
        <f>OutputTable[[#This Row],[ProjectName]]&amp;OutputTable[[#This Row],[Name]]&amp;OutputTable[[#This Row],[Type]]&amp;OutputTable[[#This Row],[Source]]</f>
        <v>Unnamed ProjectProcess 3 Number OutNumber OutProcess</v>
      </c>
      <c r="J317" cm="1">
        <f t="array" ref="J317">MAX(IF((ProjectInfoTable[ProjectName]=OutputTable[[#This Row],[ProjectName]]),(ProjectInfoTable[ProjectName]=OutputTable[[#This Row],[ProjectName]])*ProjectInfoTable[NumberOfReplications]))</f>
        <v>10</v>
      </c>
      <c r="K317" cm="1">
        <f t="array" ref="K317">IFERROR(AVERAGE(IF((OutputTable[GroupByKey]=OutputTable[[#This Row],[GroupByKey]]),(OutputTable[GroupByKey]=OutputTable[[#This Row],[GroupByKey]])*OutputTable[RecordedValue])),0)</f>
        <v>13099.9</v>
      </c>
      <c r="L317" cm="1">
        <f t="array" ref="L317">IFERROR(_xlfn.STDEV.S(IF((OutputTable[GroupByKey]=OutputTable[[#This Row],[GroupByKey]]),(OutputTable[GroupByKey]=OutputTable[[#This Row],[GroupByKey]])*OutputTable[RecordedValue])),0)</f>
        <v>11.761046816598522</v>
      </c>
      <c r="M317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317" cm="1">
        <f t="array" ref="O317">MIN(IF((OutputTable[GroupByKey]=OutputTable[[#This Row],[GroupByKey]]),(OutputTable[GroupByKey]=OutputTable[[#This Row],[GroupByKey]])*OutputTable[RecordedValue]))</f>
        <v>13082</v>
      </c>
      <c r="P317" cm="1">
        <f t="array" ref="P317">MAX(IF((OutputTable[GroupByKey]=OutputTable[[#This Row],[GroupByKey]]),(OutputTable[GroupByKey]=OutputTable[[#This Row],[GroupByKey]])*OutputTable[RecordedValue]))</f>
        <v>13118</v>
      </c>
    </row>
    <row r="318" spans="1:16" x14ac:dyDescent="0.25">
      <c r="A318" t="s">
        <v>67</v>
      </c>
      <c r="B318" t="s">
        <v>243</v>
      </c>
      <c r="C318">
        <v>4</v>
      </c>
      <c r="D318" t="s">
        <v>214</v>
      </c>
      <c r="E318" t="s">
        <v>202</v>
      </c>
      <c r="F318" t="s">
        <v>87</v>
      </c>
      <c r="G318">
        <v>57719.699277478503</v>
      </c>
      <c r="H318">
        <v>0</v>
      </c>
      <c r="I318" t="str">
        <f>OutputTable[[#This Row],[ProjectName]]&amp;OutputTable[[#This Row],[Name]]&amp;OutputTable[[#This Row],[Type]]&amp;OutputTable[[#This Row],[Source]]</f>
        <v>Unnamed ProjectProcess 4 Accum VA TimeAccum VA TimeProcess</v>
      </c>
      <c r="J318" cm="1">
        <f t="array" ref="J318">MAX(IF((ProjectInfoTable[ProjectName]=OutputTable[[#This Row],[ProjectName]]),(ProjectInfoTable[ProjectName]=OutputTable[[#This Row],[ProjectName]])*ProjectInfoTable[NumberOfReplications]))</f>
        <v>10</v>
      </c>
      <c r="K318" cm="1">
        <f t="array" ref="K318">IFERROR(AVERAGE(IF((OutputTable[GroupByKey]=OutputTable[[#This Row],[GroupByKey]]),(OutputTable[GroupByKey]=OutputTable[[#This Row],[GroupByKey]])*OutputTable[RecordedValue])),0)</f>
        <v>57657.842851106019</v>
      </c>
      <c r="L318" cm="1">
        <f t="array" ref="L318">IFERROR(_xlfn.STDEV.S(IF((OutputTable[GroupByKey]=OutputTable[[#This Row],[GroupByKey]]),(OutputTable[GroupByKey]=OutputTable[[#This Row],[GroupByKey]])*OutputTable[RecordedValue])),0)</f>
        <v>66.206976538127805</v>
      </c>
      <c r="M318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47.361617889987492</v>
      </c>
      <c r="O318" cm="1">
        <f t="array" ref="O318">MIN(IF((OutputTable[GroupByKey]=OutputTable[[#This Row],[GroupByKey]]),(OutputTable[GroupByKey]=OutputTable[[#This Row],[GroupByKey]])*OutputTable[RecordedValue]))</f>
        <v>57569.6670912306</v>
      </c>
      <c r="P318" cm="1">
        <f t="array" ref="P318">MAX(IF((OutputTable[GroupByKey]=OutputTable[[#This Row],[GroupByKey]]),(OutputTable[GroupByKey]=OutputTable[[#This Row],[GroupByKey]])*OutputTable[RecordedValue]))</f>
        <v>57778.887305354197</v>
      </c>
    </row>
    <row r="319" spans="1:16" x14ac:dyDescent="0.25">
      <c r="A319" t="s">
        <v>67</v>
      </c>
      <c r="B319" t="s">
        <v>243</v>
      </c>
      <c r="C319">
        <v>4</v>
      </c>
      <c r="D319" t="s">
        <v>215</v>
      </c>
      <c r="E319" t="s">
        <v>156</v>
      </c>
      <c r="F319" t="s">
        <v>87</v>
      </c>
      <c r="G319">
        <v>8234</v>
      </c>
      <c r="H319">
        <v>0</v>
      </c>
      <c r="I319" t="str">
        <f>OutputTable[[#This Row],[ProjectName]]&amp;OutputTable[[#This Row],[Name]]&amp;OutputTable[[#This Row],[Type]]&amp;OutputTable[[#This Row],[Source]]</f>
        <v>Unnamed ProjectProcess 4 Number InNumber InProcess</v>
      </c>
      <c r="J319" cm="1">
        <f t="array" ref="J319">MAX(IF((ProjectInfoTable[ProjectName]=OutputTable[[#This Row],[ProjectName]]),(ProjectInfoTable[ProjectName]=OutputTable[[#This Row],[ProjectName]])*ProjectInfoTable[NumberOfReplications]))</f>
        <v>10</v>
      </c>
      <c r="K319" cm="1">
        <f t="array" ref="K319">IFERROR(AVERAGE(IF((OutputTable[GroupByKey]=OutputTable[[#This Row],[GroupByKey]]),(OutputTable[GroupByKey]=OutputTable[[#This Row],[GroupByKey]])*OutputTable[RecordedValue])),0)</f>
        <v>8235</v>
      </c>
      <c r="L319" cm="1">
        <f t="array" ref="L319">IFERROR(_xlfn.STDEV.S(IF((OutputTable[GroupByKey]=OutputTable[[#This Row],[GroupByKey]]),(OutputTable[GroupByKey]=OutputTable[[#This Row],[GroupByKey]])*OutputTable[RecordedValue])),0)</f>
        <v>6.5659052011974035</v>
      </c>
      <c r="M319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319" cm="1">
        <f t="array" ref="O319">MIN(IF((OutputTable[GroupByKey]=OutputTable[[#This Row],[GroupByKey]]),(OutputTable[GroupByKey]=OutputTable[[#This Row],[GroupByKey]])*OutputTable[RecordedValue]))</f>
        <v>8223</v>
      </c>
      <c r="P319" cm="1">
        <f t="array" ref="P319">MAX(IF((OutputTable[GroupByKey]=OutputTable[[#This Row],[GroupByKey]]),(OutputTable[GroupByKey]=OutputTable[[#This Row],[GroupByKey]])*OutputTable[RecordedValue]))</f>
        <v>8245</v>
      </c>
    </row>
    <row r="320" spans="1:16" x14ac:dyDescent="0.25">
      <c r="A320" t="s">
        <v>67</v>
      </c>
      <c r="B320" t="s">
        <v>243</v>
      </c>
      <c r="C320">
        <v>4</v>
      </c>
      <c r="D320" t="s">
        <v>216</v>
      </c>
      <c r="E320" t="s">
        <v>158</v>
      </c>
      <c r="F320" t="s">
        <v>87</v>
      </c>
      <c r="G320">
        <v>8234</v>
      </c>
      <c r="H320">
        <v>0</v>
      </c>
      <c r="I320" t="str">
        <f>OutputTable[[#This Row],[ProjectName]]&amp;OutputTable[[#This Row],[Name]]&amp;OutputTable[[#This Row],[Type]]&amp;OutputTable[[#This Row],[Source]]</f>
        <v>Unnamed ProjectProcess 4 Number OutNumber OutProcess</v>
      </c>
      <c r="J320" cm="1">
        <f t="array" ref="J320">MAX(IF((ProjectInfoTable[ProjectName]=OutputTable[[#This Row],[ProjectName]]),(ProjectInfoTable[ProjectName]=OutputTable[[#This Row],[ProjectName]])*ProjectInfoTable[NumberOfReplications]))</f>
        <v>10</v>
      </c>
      <c r="K320" cm="1">
        <f t="array" ref="K320">IFERROR(AVERAGE(IF((OutputTable[GroupByKey]=OutputTable[[#This Row],[GroupByKey]]),(OutputTable[GroupByKey]=OutputTable[[#This Row],[GroupByKey]])*OutputTable[RecordedValue])),0)</f>
        <v>8235</v>
      </c>
      <c r="L320" cm="1">
        <f t="array" ref="L320">IFERROR(_xlfn.STDEV.S(IF((OutputTable[GroupByKey]=OutputTable[[#This Row],[GroupByKey]]),(OutputTable[GroupByKey]=OutputTable[[#This Row],[GroupByKey]])*OutputTable[RecordedValue])),0)</f>
        <v>6.5659052011974035</v>
      </c>
      <c r="M320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320" cm="1">
        <f t="array" ref="O320">MIN(IF((OutputTable[GroupByKey]=OutputTable[[#This Row],[GroupByKey]]),(OutputTable[GroupByKey]=OutputTable[[#This Row],[GroupByKey]])*OutputTable[RecordedValue]))</f>
        <v>8223</v>
      </c>
      <c r="P320" cm="1">
        <f t="array" ref="P320">MAX(IF((OutputTable[GroupByKey]=OutputTable[[#This Row],[GroupByKey]]),(OutputTable[GroupByKey]=OutputTable[[#This Row],[GroupByKey]])*OutputTable[RecordedValue]))</f>
        <v>8245</v>
      </c>
    </row>
    <row r="321" spans="1:16" x14ac:dyDescent="0.25">
      <c r="A321" t="s">
        <v>67</v>
      </c>
      <c r="B321" t="s">
        <v>243</v>
      </c>
      <c r="C321">
        <v>4</v>
      </c>
      <c r="D321" t="s">
        <v>217</v>
      </c>
      <c r="E321" t="s">
        <v>202</v>
      </c>
      <c r="F321" t="s">
        <v>87</v>
      </c>
      <c r="G321">
        <v>82354.253371216502</v>
      </c>
      <c r="H321">
        <v>0</v>
      </c>
      <c r="I321" t="str">
        <f>OutputTable[[#This Row],[ProjectName]]&amp;OutputTable[[#This Row],[Name]]&amp;OutputTable[[#This Row],[Type]]&amp;OutputTable[[#This Row],[Source]]</f>
        <v>Unnamed ProjectProcess 5 Accum VA TimeAccum VA TimeProcess</v>
      </c>
      <c r="J321" cm="1">
        <f t="array" ref="J321">MAX(IF((ProjectInfoTable[ProjectName]=OutputTable[[#This Row],[ProjectName]]),(ProjectInfoTable[ProjectName]=OutputTable[[#This Row],[ProjectName]])*ProjectInfoTable[NumberOfReplications]))</f>
        <v>10</v>
      </c>
      <c r="K321" cm="1">
        <f t="array" ref="K321">IFERROR(AVERAGE(IF((OutputTable[GroupByKey]=OutputTable[[#This Row],[GroupByKey]]),(OutputTable[GroupByKey]=OutputTable[[#This Row],[GroupByKey]])*OutputTable[RecordedValue])),0)</f>
        <v>82354.925585571807</v>
      </c>
      <c r="L321" cm="1">
        <f t="array" ref="L321">IFERROR(_xlfn.STDEV.S(IF((OutputTable[GroupByKey]=OutputTable[[#This Row],[GroupByKey]]),(OutputTable[GroupByKey]=OutputTable[[#This Row],[GroupByKey]])*OutputTable[RecordedValue])),0)</f>
        <v>74.759806822996126</v>
      </c>
      <c r="M321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53.479944099863097</v>
      </c>
      <c r="O321" cm="1">
        <f t="array" ref="O321">MIN(IF((OutputTable[GroupByKey]=OutputTable[[#This Row],[GroupByKey]]),(OutputTable[GroupByKey]=OutputTable[[#This Row],[GroupByKey]])*OutputTable[RecordedValue]))</f>
        <v>82287.012858407106</v>
      </c>
      <c r="P321" cm="1">
        <f t="array" ref="P321">MAX(IF((OutputTable[GroupByKey]=OutputTable[[#This Row],[GroupByKey]]),(OutputTable[GroupByKey]=OutputTable[[#This Row],[GroupByKey]])*OutputTable[RecordedValue]))</f>
        <v>82509.9089339692</v>
      </c>
    </row>
    <row r="322" spans="1:16" x14ac:dyDescent="0.25">
      <c r="A322" t="s">
        <v>67</v>
      </c>
      <c r="B322" t="s">
        <v>243</v>
      </c>
      <c r="C322">
        <v>4</v>
      </c>
      <c r="D322" t="s">
        <v>218</v>
      </c>
      <c r="E322" t="s">
        <v>156</v>
      </c>
      <c r="F322" t="s">
        <v>87</v>
      </c>
      <c r="G322">
        <v>8232</v>
      </c>
      <c r="H322">
        <v>0</v>
      </c>
      <c r="I322" t="str">
        <f>OutputTable[[#This Row],[ProjectName]]&amp;OutputTable[[#This Row],[Name]]&amp;OutputTable[[#This Row],[Type]]&amp;OutputTable[[#This Row],[Source]]</f>
        <v>Unnamed ProjectProcess 5 Number InNumber InProcess</v>
      </c>
      <c r="J322" cm="1">
        <f t="array" ref="J322">MAX(IF((ProjectInfoTable[ProjectName]=OutputTable[[#This Row],[ProjectName]]),(ProjectInfoTable[ProjectName]=OutputTable[[#This Row],[ProjectName]])*ProjectInfoTable[NumberOfReplications]))</f>
        <v>10</v>
      </c>
      <c r="K322" cm="1">
        <f t="array" ref="K322">IFERROR(AVERAGE(IF((OutputTable[GroupByKey]=OutputTable[[#This Row],[GroupByKey]]),(OutputTable[GroupByKey]=OutputTable[[#This Row],[GroupByKey]])*OutputTable[RecordedValue])),0)</f>
        <v>8233.5</v>
      </c>
      <c r="L322" cm="1">
        <f t="array" ref="L322">IFERROR(_xlfn.STDEV.S(IF((OutputTable[GroupByKey]=OutputTable[[#This Row],[GroupByKey]]),(OutputTable[GroupByKey]=OutputTable[[#This Row],[GroupByKey]])*OutputTable[RecordedValue])),0)</f>
        <v>6.5021364010437201</v>
      </c>
      <c r="M322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322" cm="1">
        <f t="array" ref="O322">MIN(IF((OutputTable[GroupByKey]=OutputTable[[#This Row],[GroupByKey]]),(OutputTable[GroupByKey]=OutputTable[[#This Row],[GroupByKey]])*OutputTable[RecordedValue]))</f>
        <v>8221</v>
      </c>
      <c r="P322" cm="1">
        <f t="array" ref="P322">MAX(IF((OutputTable[GroupByKey]=OutputTable[[#This Row],[GroupByKey]]),(OutputTable[GroupByKey]=OutputTable[[#This Row],[GroupByKey]])*OutputTable[RecordedValue]))</f>
        <v>8243</v>
      </c>
    </row>
    <row r="323" spans="1:16" x14ac:dyDescent="0.25">
      <c r="A323" t="s">
        <v>67</v>
      </c>
      <c r="B323" t="s">
        <v>243</v>
      </c>
      <c r="C323">
        <v>4</v>
      </c>
      <c r="D323" t="s">
        <v>219</v>
      </c>
      <c r="E323" t="s">
        <v>158</v>
      </c>
      <c r="F323" t="s">
        <v>87</v>
      </c>
      <c r="G323">
        <v>8232</v>
      </c>
      <c r="H323">
        <v>0</v>
      </c>
      <c r="I323" t="str">
        <f>OutputTable[[#This Row],[ProjectName]]&amp;OutputTable[[#This Row],[Name]]&amp;OutputTable[[#This Row],[Type]]&amp;OutputTable[[#This Row],[Source]]</f>
        <v>Unnamed ProjectProcess 5 Number OutNumber OutProcess</v>
      </c>
      <c r="J323" cm="1">
        <f t="array" ref="J323">MAX(IF((ProjectInfoTable[ProjectName]=OutputTable[[#This Row],[ProjectName]]),(ProjectInfoTable[ProjectName]=OutputTable[[#This Row],[ProjectName]])*ProjectInfoTable[NumberOfReplications]))</f>
        <v>10</v>
      </c>
      <c r="K323" cm="1">
        <f t="array" ref="K323">IFERROR(AVERAGE(IF((OutputTable[GroupByKey]=OutputTable[[#This Row],[GroupByKey]]),(OutputTable[GroupByKey]=OutputTable[[#This Row],[GroupByKey]])*OutputTable[RecordedValue])),0)</f>
        <v>8233.5</v>
      </c>
      <c r="L323" cm="1">
        <f t="array" ref="L323">IFERROR(_xlfn.STDEV.S(IF((OutputTable[GroupByKey]=OutputTable[[#This Row],[GroupByKey]]),(OutputTable[GroupByKey]=OutputTable[[#This Row],[GroupByKey]])*OutputTable[RecordedValue])),0)</f>
        <v>6.5021364010437201</v>
      </c>
      <c r="M323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323" cm="1">
        <f t="array" ref="O323">MIN(IF((OutputTable[GroupByKey]=OutputTable[[#This Row],[GroupByKey]]),(OutputTable[GroupByKey]=OutputTable[[#This Row],[GroupByKey]])*OutputTable[RecordedValue]))</f>
        <v>8221</v>
      </c>
      <c r="P323" cm="1">
        <f t="array" ref="P323">MAX(IF((OutputTable[GroupByKey]=OutputTable[[#This Row],[GroupByKey]]),(OutputTable[GroupByKey]=OutputTable[[#This Row],[GroupByKey]])*OutputTable[RecordedValue]))</f>
        <v>8243</v>
      </c>
    </row>
    <row r="324" spans="1:16" x14ac:dyDescent="0.25">
      <c r="A324" t="s">
        <v>67</v>
      </c>
      <c r="B324" t="s">
        <v>243</v>
      </c>
      <c r="C324">
        <v>4</v>
      </c>
      <c r="D324" t="s">
        <v>220</v>
      </c>
      <c r="E324" t="s">
        <v>202</v>
      </c>
      <c r="F324" t="s">
        <v>87</v>
      </c>
      <c r="G324">
        <v>205893.81887935</v>
      </c>
      <c r="H324">
        <v>0</v>
      </c>
      <c r="I324" t="str">
        <f>OutputTable[[#This Row],[ProjectName]]&amp;OutputTable[[#This Row],[Name]]&amp;OutputTable[[#This Row],[Type]]&amp;OutputTable[[#This Row],[Source]]</f>
        <v>Unnamed ProjectProcess 6 Accum VA TimeAccum VA TimeProcess</v>
      </c>
      <c r="J324" cm="1">
        <f t="array" ref="J324">MAX(IF((ProjectInfoTable[ProjectName]=OutputTable[[#This Row],[ProjectName]]),(ProjectInfoTable[ProjectName]=OutputTable[[#This Row],[ProjectName]])*ProjectInfoTable[NumberOfReplications]))</f>
        <v>10</v>
      </c>
      <c r="K324" cm="1">
        <f t="array" ref="K324">IFERROR(AVERAGE(IF((OutputTable[GroupByKey]=OutputTable[[#This Row],[GroupByKey]]),(OutputTable[GroupByKey]=OutputTable[[#This Row],[GroupByKey]])*OutputTable[RecordedValue])),0)</f>
        <v>205782.3721339902</v>
      </c>
      <c r="L324" cm="1">
        <f t="array" ref="L324">IFERROR(_xlfn.STDEV.S(IF((OutputTable[GroupByKey]=OutputTable[[#This Row],[GroupByKey]]),(OutputTable[GroupByKey]=OutputTable[[#This Row],[GroupByKey]])*OutputTable[RecordedValue])),0)</f>
        <v>135.17903819323379</v>
      </c>
      <c r="M324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96.701258514002035</v>
      </c>
      <c r="O324" cm="1">
        <f t="array" ref="O324">MIN(IF((OutputTable[GroupByKey]=OutputTable[[#This Row],[GroupByKey]]),(OutputTable[GroupByKey]=OutputTable[[#This Row],[GroupByKey]])*OutputTable[RecordedValue]))</f>
        <v>205554.00796082799</v>
      </c>
      <c r="P324" cm="1">
        <f t="array" ref="P324">MAX(IF((OutputTable[GroupByKey]=OutputTable[[#This Row],[GroupByKey]]),(OutputTable[GroupByKey]=OutputTable[[#This Row],[GroupByKey]])*OutputTable[RecordedValue]))</f>
        <v>205962.665291818</v>
      </c>
    </row>
    <row r="325" spans="1:16" x14ac:dyDescent="0.25">
      <c r="A325" t="s">
        <v>67</v>
      </c>
      <c r="B325" t="s">
        <v>243</v>
      </c>
      <c r="C325">
        <v>4</v>
      </c>
      <c r="D325" t="s">
        <v>221</v>
      </c>
      <c r="E325" t="s">
        <v>156</v>
      </c>
      <c r="F325" t="s">
        <v>87</v>
      </c>
      <c r="G325">
        <v>8230</v>
      </c>
      <c r="H325">
        <v>0</v>
      </c>
      <c r="I325" t="str">
        <f>OutputTable[[#This Row],[ProjectName]]&amp;OutputTable[[#This Row],[Name]]&amp;OutputTable[[#This Row],[Type]]&amp;OutputTable[[#This Row],[Source]]</f>
        <v>Unnamed ProjectProcess 6 Number InNumber InProcess</v>
      </c>
      <c r="J325" cm="1">
        <f t="array" ref="J325">MAX(IF((ProjectInfoTable[ProjectName]=OutputTable[[#This Row],[ProjectName]]),(ProjectInfoTable[ProjectName]=OutputTable[[#This Row],[ProjectName]])*ProjectInfoTable[NumberOfReplications]))</f>
        <v>10</v>
      </c>
      <c r="K325" cm="1">
        <f t="array" ref="K325">IFERROR(AVERAGE(IF((OutputTable[GroupByKey]=OutputTable[[#This Row],[GroupByKey]]),(OutputTable[GroupByKey]=OutputTable[[#This Row],[GroupByKey]])*OutputTable[RecordedValue])),0)</f>
        <v>8231.5</v>
      </c>
      <c r="L325" cm="1">
        <f t="array" ref="L325">IFERROR(_xlfn.STDEV.S(IF((OutputTable[GroupByKey]=OutputTable[[#This Row],[GroupByKey]]),(OutputTable[GroupByKey]=OutputTable[[#This Row],[GroupByKey]])*OutputTable[RecordedValue])),0)</f>
        <v>6.3464775882199236</v>
      </c>
      <c r="M32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325" cm="1">
        <f t="array" ref="O325">MIN(IF((OutputTable[GroupByKey]=OutputTable[[#This Row],[GroupByKey]]),(OutputTable[GroupByKey]=OutputTable[[#This Row],[GroupByKey]])*OutputTable[RecordedValue]))</f>
        <v>8220</v>
      </c>
      <c r="P325" cm="1">
        <f t="array" ref="P325">MAX(IF((OutputTable[GroupByKey]=OutputTable[[#This Row],[GroupByKey]]),(OutputTable[GroupByKey]=OutputTable[[#This Row],[GroupByKey]])*OutputTable[RecordedValue]))</f>
        <v>8241</v>
      </c>
    </row>
    <row r="326" spans="1:16" x14ac:dyDescent="0.25">
      <c r="A326" t="s">
        <v>67</v>
      </c>
      <c r="B326" t="s">
        <v>243</v>
      </c>
      <c r="C326">
        <v>4</v>
      </c>
      <c r="D326" t="s">
        <v>222</v>
      </c>
      <c r="E326" t="s">
        <v>158</v>
      </c>
      <c r="F326" t="s">
        <v>87</v>
      </c>
      <c r="G326">
        <v>8230</v>
      </c>
      <c r="H326">
        <v>0</v>
      </c>
      <c r="I326" t="str">
        <f>OutputTable[[#This Row],[ProjectName]]&amp;OutputTable[[#This Row],[Name]]&amp;OutputTable[[#This Row],[Type]]&amp;OutputTable[[#This Row],[Source]]</f>
        <v>Unnamed ProjectProcess 6 Number OutNumber OutProcess</v>
      </c>
      <c r="J326" cm="1">
        <f t="array" ref="J326">MAX(IF((ProjectInfoTable[ProjectName]=OutputTable[[#This Row],[ProjectName]]),(ProjectInfoTable[ProjectName]=OutputTable[[#This Row],[ProjectName]])*ProjectInfoTable[NumberOfReplications]))</f>
        <v>10</v>
      </c>
      <c r="K326" cm="1">
        <f t="array" ref="K326">IFERROR(AVERAGE(IF((OutputTable[GroupByKey]=OutputTable[[#This Row],[GroupByKey]]),(OutputTable[GroupByKey]=OutputTable[[#This Row],[GroupByKey]])*OutputTable[RecordedValue])),0)</f>
        <v>8231.5</v>
      </c>
      <c r="L326" cm="1">
        <f t="array" ref="L326">IFERROR(_xlfn.STDEV.S(IF((OutputTable[GroupByKey]=OutputTable[[#This Row],[GroupByKey]]),(OutputTable[GroupByKey]=OutputTable[[#This Row],[GroupByKey]])*OutputTable[RecordedValue])),0)</f>
        <v>6.3464775882199236</v>
      </c>
      <c r="M326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326" cm="1">
        <f t="array" ref="O326">MIN(IF((OutputTable[GroupByKey]=OutputTable[[#This Row],[GroupByKey]]),(OutputTable[GroupByKey]=OutputTable[[#This Row],[GroupByKey]])*OutputTable[RecordedValue]))</f>
        <v>8220</v>
      </c>
      <c r="P326" cm="1">
        <f t="array" ref="P326">MAX(IF((OutputTable[GroupByKey]=OutputTable[[#This Row],[GroupByKey]]),(OutputTable[GroupByKey]=OutputTable[[#This Row],[GroupByKey]])*OutputTable[RecordedValue]))</f>
        <v>8241</v>
      </c>
    </row>
    <row r="327" spans="1:16" x14ac:dyDescent="0.25">
      <c r="A327" t="s">
        <v>67</v>
      </c>
      <c r="B327" t="s">
        <v>243</v>
      </c>
      <c r="C327">
        <v>4</v>
      </c>
      <c r="D327" t="s">
        <v>223</v>
      </c>
      <c r="E327" t="s">
        <v>202</v>
      </c>
      <c r="F327" t="s">
        <v>87</v>
      </c>
      <c r="G327">
        <v>98590.187897980606</v>
      </c>
      <c r="H327">
        <v>0</v>
      </c>
      <c r="I327" t="str">
        <f>OutputTable[[#This Row],[ProjectName]]&amp;OutputTable[[#This Row],[Name]]&amp;OutputTable[[#This Row],[Type]]&amp;OutputTable[[#This Row],[Source]]</f>
        <v>Unnamed ProjectProcess 7 Accum VA TimeAccum VA TimeProcess</v>
      </c>
      <c r="J327" cm="1">
        <f t="array" ref="J327">MAX(IF((ProjectInfoTable[ProjectName]=OutputTable[[#This Row],[ProjectName]]),(ProjectInfoTable[ProjectName]=OutputTable[[#This Row],[ProjectName]])*ProjectInfoTable[NumberOfReplications]))</f>
        <v>10</v>
      </c>
      <c r="K327" cm="1">
        <f t="array" ref="K327">IFERROR(AVERAGE(IF((OutputTable[GroupByKey]=OutputTable[[#This Row],[GroupByKey]]),(OutputTable[GroupByKey]=OutputTable[[#This Row],[GroupByKey]])*OutputTable[RecordedValue])),0)</f>
        <v>98625.180720296266</v>
      </c>
      <c r="L327" cm="1">
        <f t="array" ref="L327">IFERROR(_xlfn.STDEV.S(IF((OutputTable[GroupByKey]=OutputTable[[#This Row],[GroupByKey]]),(OutputTable[GroupByKey]=OutputTable[[#This Row],[GroupByKey]])*OutputTable[RecordedValue])),0)</f>
        <v>166.97558012409817</v>
      </c>
      <c r="M327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119.44713437023168</v>
      </c>
      <c r="O327" cm="1">
        <f t="array" ref="O327">MIN(IF((OutputTable[GroupByKey]=OutputTable[[#This Row],[GroupByKey]]),(OutputTable[GroupByKey]=OutputTable[[#This Row],[GroupByKey]])*OutputTable[RecordedValue]))</f>
        <v>98434.330991768598</v>
      </c>
      <c r="P327" cm="1">
        <f t="array" ref="P327">MAX(IF((OutputTable[GroupByKey]=OutputTable[[#This Row],[GroupByKey]]),(OutputTable[GroupByKey]=OutputTable[[#This Row],[GroupByKey]])*OutputTable[RecordedValue]))</f>
        <v>98993.883345143302</v>
      </c>
    </row>
    <row r="328" spans="1:16" x14ac:dyDescent="0.25">
      <c r="A328" t="s">
        <v>67</v>
      </c>
      <c r="B328" t="s">
        <v>243</v>
      </c>
      <c r="C328">
        <v>4</v>
      </c>
      <c r="D328" t="s">
        <v>224</v>
      </c>
      <c r="E328" t="s">
        <v>156</v>
      </c>
      <c r="F328" t="s">
        <v>87</v>
      </c>
      <c r="G328">
        <v>8226</v>
      </c>
      <c r="H328">
        <v>0</v>
      </c>
      <c r="I328" t="str">
        <f>OutputTable[[#This Row],[ProjectName]]&amp;OutputTable[[#This Row],[Name]]&amp;OutputTable[[#This Row],[Type]]&amp;OutputTable[[#This Row],[Source]]</f>
        <v>Unnamed ProjectProcess 7 Number InNumber InProcess</v>
      </c>
      <c r="J328" cm="1">
        <f t="array" ref="J328">MAX(IF((ProjectInfoTable[ProjectName]=OutputTable[[#This Row],[ProjectName]]),(ProjectInfoTable[ProjectName]=OutputTable[[#This Row],[ProjectName]])*ProjectInfoTable[NumberOfReplications]))</f>
        <v>10</v>
      </c>
      <c r="K328" cm="1">
        <f t="array" ref="K328">IFERROR(AVERAGE(IF((OutputTable[GroupByKey]=OutputTable[[#This Row],[GroupByKey]]),(OutputTable[GroupByKey]=OutputTable[[#This Row],[GroupByKey]])*OutputTable[RecordedValue])),0)</f>
        <v>8227.7000000000007</v>
      </c>
      <c r="L328" cm="1">
        <f t="array" ref="L328">IFERROR(_xlfn.STDEV.S(IF((OutputTable[GroupByKey]=OutputTable[[#This Row],[GroupByKey]]),(OutputTable[GroupByKey]=OutputTable[[#This Row],[GroupByKey]])*OutputTable[RecordedValue])),0)</f>
        <v>6.2902040242480748</v>
      </c>
      <c r="M328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328" cm="1">
        <f t="array" ref="O328">MIN(IF((OutputTable[GroupByKey]=OutputTable[[#This Row],[GroupByKey]]),(OutputTable[GroupByKey]=OutputTable[[#This Row],[GroupByKey]])*OutputTable[RecordedValue]))</f>
        <v>8216</v>
      </c>
      <c r="P328" cm="1">
        <f t="array" ref="P328">MAX(IF((OutputTable[GroupByKey]=OutputTable[[#This Row],[GroupByKey]]),(OutputTable[GroupByKey]=OutputTable[[#This Row],[GroupByKey]])*OutputTable[RecordedValue]))</f>
        <v>8237</v>
      </c>
    </row>
    <row r="329" spans="1:16" x14ac:dyDescent="0.25">
      <c r="A329" t="s">
        <v>67</v>
      </c>
      <c r="B329" t="s">
        <v>243</v>
      </c>
      <c r="C329">
        <v>4</v>
      </c>
      <c r="D329" t="s">
        <v>225</v>
      </c>
      <c r="E329" t="s">
        <v>158</v>
      </c>
      <c r="F329" t="s">
        <v>87</v>
      </c>
      <c r="G329">
        <v>8226</v>
      </c>
      <c r="H329">
        <v>0</v>
      </c>
      <c r="I329" t="str">
        <f>OutputTable[[#This Row],[ProjectName]]&amp;OutputTable[[#This Row],[Name]]&amp;OutputTable[[#This Row],[Type]]&amp;OutputTable[[#This Row],[Source]]</f>
        <v>Unnamed ProjectProcess 7 Number OutNumber OutProcess</v>
      </c>
      <c r="J329" cm="1">
        <f t="array" ref="J329">MAX(IF((ProjectInfoTable[ProjectName]=OutputTable[[#This Row],[ProjectName]]),(ProjectInfoTable[ProjectName]=OutputTable[[#This Row],[ProjectName]])*ProjectInfoTable[NumberOfReplications]))</f>
        <v>10</v>
      </c>
      <c r="K329" cm="1">
        <f t="array" ref="K329">IFERROR(AVERAGE(IF((OutputTable[GroupByKey]=OutputTable[[#This Row],[GroupByKey]]),(OutputTable[GroupByKey]=OutputTable[[#This Row],[GroupByKey]])*OutputTable[RecordedValue])),0)</f>
        <v>8227.7000000000007</v>
      </c>
      <c r="L329" cm="1">
        <f t="array" ref="L329">IFERROR(_xlfn.STDEV.S(IF((OutputTable[GroupByKey]=OutputTable[[#This Row],[GroupByKey]]),(OutputTable[GroupByKey]=OutputTable[[#This Row],[GroupByKey]])*OutputTable[RecordedValue])),0)</f>
        <v>6.2902040242480748</v>
      </c>
      <c r="M329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329" cm="1">
        <f t="array" ref="O329">MIN(IF((OutputTable[GroupByKey]=OutputTable[[#This Row],[GroupByKey]]),(OutputTable[GroupByKey]=OutputTable[[#This Row],[GroupByKey]])*OutputTable[RecordedValue]))</f>
        <v>8216</v>
      </c>
      <c r="P329" cm="1">
        <f t="array" ref="P329">MAX(IF((OutputTable[GroupByKey]=OutputTable[[#This Row],[GroupByKey]]),(OutputTable[GroupByKey]=OutputTable[[#This Row],[GroupByKey]])*OutputTable[RecordedValue]))</f>
        <v>8237</v>
      </c>
    </row>
    <row r="330" spans="1:16" x14ac:dyDescent="0.25">
      <c r="A330" t="s">
        <v>67</v>
      </c>
      <c r="B330" t="s">
        <v>243</v>
      </c>
      <c r="C330">
        <v>4</v>
      </c>
      <c r="D330" t="s">
        <v>226</v>
      </c>
      <c r="E330" t="s">
        <v>202</v>
      </c>
      <c r="F330" t="s">
        <v>87</v>
      </c>
      <c r="G330">
        <v>91998.894900240295</v>
      </c>
      <c r="H330">
        <v>0</v>
      </c>
      <c r="I330" t="str">
        <f>OutputTable[[#This Row],[ProjectName]]&amp;OutputTable[[#This Row],[Name]]&amp;OutputTable[[#This Row],[Type]]&amp;OutputTable[[#This Row],[Source]]</f>
        <v>Unnamed ProjectProcess 8 Accum VA TimeAccum VA TimeProcess</v>
      </c>
      <c r="J330" cm="1">
        <f t="array" ref="J330">MAX(IF((ProjectInfoTable[ProjectName]=OutputTable[[#This Row],[ProjectName]]),(ProjectInfoTable[ProjectName]=OutputTable[[#This Row],[ProjectName]])*ProjectInfoTable[NumberOfReplications]))</f>
        <v>10</v>
      </c>
      <c r="K330" cm="1">
        <f t="array" ref="K330">IFERROR(AVERAGE(IF((OutputTable[GroupByKey]=OutputTable[[#This Row],[GroupByKey]]),(OutputTable[GroupByKey]=OutputTable[[#This Row],[GroupByKey]])*OutputTable[RecordedValue])),0)</f>
        <v>91917.034029149756</v>
      </c>
      <c r="L330" cm="1">
        <f t="array" ref="L330">IFERROR(_xlfn.STDEV.S(IF((OutputTable[GroupByKey]=OutputTable[[#This Row],[GroupByKey]]),(OutputTable[GroupByKey]=OutputTable[[#This Row],[GroupByKey]])*OutputTable[RecordedValue])),0)</f>
        <v>167.33037075092571</v>
      </c>
      <c r="M330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119.70093629530641</v>
      </c>
      <c r="O330" cm="1">
        <f t="array" ref="O330">MIN(IF((OutputTable[GroupByKey]=OutputTable[[#This Row],[GroupByKey]]),(OutputTable[GroupByKey]=OutputTable[[#This Row],[GroupByKey]])*OutputTable[RecordedValue]))</f>
        <v>91632.276670136605</v>
      </c>
      <c r="P330" cm="1">
        <f t="array" ref="P330">MAX(IF((OutputTable[GroupByKey]=OutputTable[[#This Row],[GroupByKey]]),(OutputTable[GroupByKey]=OutputTable[[#This Row],[GroupByKey]])*OutputTable[RecordedValue]))</f>
        <v>92162.594279262106</v>
      </c>
    </row>
    <row r="331" spans="1:16" x14ac:dyDescent="0.25">
      <c r="A331" t="s">
        <v>67</v>
      </c>
      <c r="B331" t="s">
        <v>243</v>
      </c>
      <c r="C331">
        <v>4</v>
      </c>
      <c r="D331" t="s">
        <v>227</v>
      </c>
      <c r="E331" t="s">
        <v>156</v>
      </c>
      <c r="F331" t="s">
        <v>87</v>
      </c>
      <c r="G331">
        <v>18402</v>
      </c>
      <c r="H331">
        <v>0</v>
      </c>
      <c r="I331" t="str">
        <f>OutputTable[[#This Row],[ProjectName]]&amp;OutputTable[[#This Row],[Name]]&amp;OutputTable[[#This Row],[Type]]&amp;OutputTable[[#This Row],[Source]]</f>
        <v>Unnamed ProjectProcess 8 Number InNumber InProcess</v>
      </c>
      <c r="J331" cm="1">
        <f t="array" ref="J331">MAX(IF((ProjectInfoTable[ProjectName]=OutputTable[[#This Row],[ProjectName]]),(ProjectInfoTable[ProjectName]=OutputTable[[#This Row],[ProjectName]])*ProjectInfoTable[NumberOfReplications]))</f>
        <v>10</v>
      </c>
      <c r="K331" cm="1">
        <f t="array" ref="K331">IFERROR(AVERAGE(IF((OutputTable[GroupByKey]=OutputTable[[#This Row],[GroupByKey]]),(OutputTable[GroupByKey]=OutputTable[[#This Row],[GroupByKey]])*OutputTable[RecordedValue])),0)</f>
        <v>18392</v>
      </c>
      <c r="L331" cm="1">
        <f t="array" ref="L331">IFERROR(_xlfn.STDEV.S(IF((OutputTable[GroupByKey]=OutputTable[[#This Row],[GroupByKey]]),(OutputTable[GroupByKey]=OutputTable[[#This Row],[GroupByKey]])*OutputTable[RecordedValue])),0)</f>
        <v>12.884098726725126</v>
      </c>
      <c r="M331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331" cm="1">
        <f t="array" ref="O331">MIN(IF((OutputTable[GroupByKey]=OutputTable[[#This Row],[GroupByKey]]),(OutputTable[GroupByKey]=OutputTable[[#This Row],[GroupByKey]])*OutputTable[RecordedValue]))</f>
        <v>18376</v>
      </c>
      <c r="P331" cm="1">
        <f t="array" ref="P331">MAX(IF((OutputTable[GroupByKey]=OutputTable[[#This Row],[GroupByKey]]),(OutputTable[GroupByKey]=OutputTable[[#This Row],[GroupByKey]])*OutputTable[RecordedValue]))</f>
        <v>18407</v>
      </c>
    </row>
    <row r="332" spans="1:16" x14ac:dyDescent="0.25">
      <c r="A332" t="s">
        <v>67</v>
      </c>
      <c r="B332" t="s">
        <v>243</v>
      </c>
      <c r="C332">
        <v>4</v>
      </c>
      <c r="D332" t="s">
        <v>228</v>
      </c>
      <c r="E332" t="s">
        <v>158</v>
      </c>
      <c r="F332" t="s">
        <v>87</v>
      </c>
      <c r="G332">
        <v>18402</v>
      </c>
      <c r="H332">
        <v>0</v>
      </c>
      <c r="I332" t="str">
        <f>OutputTable[[#This Row],[ProjectName]]&amp;OutputTable[[#This Row],[Name]]&amp;OutputTable[[#This Row],[Type]]&amp;OutputTable[[#This Row],[Source]]</f>
        <v>Unnamed ProjectProcess 8 Number OutNumber OutProcess</v>
      </c>
      <c r="J332" cm="1">
        <f t="array" ref="J332">MAX(IF((ProjectInfoTable[ProjectName]=OutputTable[[#This Row],[ProjectName]]),(ProjectInfoTable[ProjectName]=OutputTable[[#This Row],[ProjectName]])*ProjectInfoTable[NumberOfReplications]))</f>
        <v>10</v>
      </c>
      <c r="K332" cm="1">
        <f t="array" ref="K332">IFERROR(AVERAGE(IF((OutputTable[GroupByKey]=OutputTable[[#This Row],[GroupByKey]]),(OutputTable[GroupByKey]=OutputTable[[#This Row],[GroupByKey]])*OutputTable[RecordedValue])),0)</f>
        <v>18392</v>
      </c>
      <c r="L332" cm="1">
        <f t="array" ref="L332">IFERROR(_xlfn.STDEV.S(IF((OutputTable[GroupByKey]=OutputTable[[#This Row],[GroupByKey]]),(OutputTable[GroupByKey]=OutputTable[[#This Row],[GroupByKey]])*OutputTable[RecordedValue])),0)</f>
        <v>12.884098726725126</v>
      </c>
      <c r="M332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332" cm="1">
        <f t="array" ref="O332">MIN(IF((OutputTable[GroupByKey]=OutputTable[[#This Row],[GroupByKey]]),(OutputTable[GroupByKey]=OutputTable[[#This Row],[GroupByKey]])*OutputTable[RecordedValue]))</f>
        <v>18376</v>
      </c>
      <c r="P332" cm="1">
        <f t="array" ref="P332">MAX(IF((OutputTable[GroupByKey]=OutputTable[[#This Row],[GroupByKey]]),(OutputTable[GroupByKey]=OutputTable[[#This Row],[GroupByKey]])*OutputTable[RecordedValue]))</f>
        <v>18407</v>
      </c>
    </row>
    <row r="333" spans="1:16" x14ac:dyDescent="0.25">
      <c r="A333" t="s">
        <v>67</v>
      </c>
      <c r="B333" t="s">
        <v>243</v>
      </c>
      <c r="C333">
        <v>4</v>
      </c>
      <c r="D333" t="s">
        <v>229</v>
      </c>
      <c r="E333" t="s">
        <v>202</v>
      </c>
      <c r="F333" t="s">
        <v>87</v>
      </c>
      <c r="G333">
        <v>104335.096217932</v>
      </c>
      <c r="H333">
        <v>0</v>
      </c>
      <c r="I333" t="str">
        <f>OutputTable[[#This Row],[ProjectName]]&amp;OutputTable[[#This Row],[Name]]&amp;OutputTable[[#This Row],[Type]]&amp;OutputTable[[#This Row],[Source]]</f>
        <v>Unnamed ProjectProcess 9 Accum VA TimeAccum VA TimeProcess</v>
      </c>
      <c r="J333" cm="1">
        <f t="array" ref="J333">MAX(IF((ProjectInfoTable[ProjectName]=OutputTable[[#This Row],[ProjectName]]),(ProjectInfoTable[ProjectName]=OutputTable[[#This Row],[ProjectName]])*ProjectInfoTable[NumberOfReplications]))</f>
        <v>10</v>
      </c>
      <c r="K333" cm="1">
        <f t="array" ref="K333">IFERROR(AVERAGE(IF((OutputTable[GroupByKey]=OutputTable[[#This Row],[GroupByKey]]),(OutputTable[GroupByKey]=OutputTable[[#This Row],[GroupByKey]])*OutputTable[RecordedValue])),0)</f>
        <v>104198.44406523299</v>
      </c>
      <c r="L333" cm="1">
        <f t="array" ref="L333">IFERROR(_xlfn.STDEV.S(IF((OutputTable[GroupByKey]=OutputTable[[#This Row],[GroupByKey]]),(OutputTable[GroupByKey]=OutputTable[[#This Row],[GroupByKey]])*OutputTable[RecordedValue])),0)</f>
        <v>99.045608472383734</v>
      </c>
      <c r="M333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70.852960026786278</v>
      </c>
      <c r="O333" cm="1">
        <f t="array" ref="O333">MIN(IF((OutputTable[GroupByKey]=OutputTable[[#This Row],[GroupByKey]]),(OutputTable[GroupByKey]=OutputTable[[#This Row],[GroupByKey]])*OutputTable[RecordedValue]))</f>
        <v>104039.320720244</v>
      </c>
      <c r="P333" cm="1">
        <f t="array" ref="P333">MAX(IF((OutputTable[GroupByKey]=OutputTable[[#This Row],[GroupByKey]]),(OutputTable[GroupByKey]=OutputTable[[#This Row],[GroupByKey]])*OutputTable[RecordedValue]))</f>
        <v>104335.096217932</v>
      </c>
    </row>
    <row r="334" spans="1:16" x14ac:dyDescent="0.25">
      <c r="A334" t="s">
        <v>67</v>
      </c>
      <c r="B334" t="s">
        <v>243</v>
      </c>
      <c r="C334">
        <v>4</v>
      </c>
      <c r="D334" t="s">
        <v>230</v>
      </c>
      <c r="E334" t="s">
        <v>156</v>
      </c>
      <c r="F334" t="s">
        <v>87</v>
      </c>
      <c r="G334">
        <v>18399</v>
      </c>
      <c r="H334">
        <v>0</v>
      </c>
      <c r="I334" t="str">
        <f>OutputTable[[#This Row],[ProjectName]]&amp;OutputTable[[#This Row],[Name]]&amp;OutputTable[[#This Row],[Type]]&amp;OutputTable[[#This Row],[Source]]</f>
        <v>Unnamed ProjectProcess 9 Number InNumber InProcess</v>
      </c>
      <c r="J334" cm="1">
        <f t="array" ref="J334">MAX(IF((ProjectInfoTable[ProjectName]=OutputTable[[#This Row],[ProjectName]]),(ProjectInfoTable[ProjectName]=OutputTable[[#This Row],[ProjectName]])*ProjectInfoTable[NumberOfReplications]))</f>
        <v>10</v>
      </c>
      <c r="K334" cm="1">
        <f t="array" ref="K334">IFERROR(AVERAGE(IF((OutputTable[GroupByKey]=OutputTable[[#This Row],[GroupByKey]]),(OutputTable[GroupByKey]=OutputTable[[#This Row],[GroupByKey]])*OutputTable[RecordedValue])),0)</f>
        <v>18389.400000000001</v>
      </c>
      <c r="L334" cm="1">
        <f t="array" ref="L334">IFERROR(_xlfn.STDEV.S(IF((OutputTable[GroupByKey]=OutputTable[[#This Row],[GroupByKey]]),(OutputTable[GroupByKey]=OutputTable[[#This Row],[GroupByKey]])*OutputTable[RecordedValue])),0)</f>
        <v>12.103259432437566</v>
      </c>
      <c r="M334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334" cm="1">
        <f t="array" ref="O334">MIN(IF((OutputTable[GroupByKey]=OutputTable[[#This Row],[GroupByKey]]),(OutputTable[GroupByKey]=OutputTable[[#This Row],[GroupByKey]])*OutputTable[RecordedValue]))</f>
        <v>18376</v>
      </c>
      <c r="P334" cm="1">
        <f t="array" ref="P334">MAX(IF((OutputTable[GroupByKey]=OutputTable[[#This Row],[GroupByKey]]),(OutputTable[GroupByKey]=OutputTable[[#This Row],[GroupByKey]])*OutputTable[RecordedValue]))</f>
        <v>18404</v>
      </c>
    </row>
    <row r="335" spans="1:16" x14ac:dyDescent="0.25">
      <c r="A335" t="s">
        <v>67</v>
      </c>
      <c r="B335" t="s">
        <v>243</v>
      </c>
      <c r="C335">
        <v>4</v>
      </c>
      <c r="D335" t="s">
        <v>231</v>
      </c>
      <c r="E335" t="s">
        <v>158</v>
      </c>
      <c r="F335" t="s">
        <v>87</v>
      </c>
      <c r="G335">
        <v>18399</v>
      </c>
      <c r="H335">
        <v>0</v>
      </c>
      <c r="I335" t="str">
        <f>OutputTable[[#This Row],[ProjectName]]&amp;OutputTable[[#This Row],[Name]]&amp;OutputTable[[#This Row],[Type]]&amp;OutputTable[[#This Row],[Source]]</f>
        <v>Unnamed ProjectProcess 9 Number OutNumber OutProcess</v>
      </c>
      <c r="J335" cm="1">
        <f t="array" ref="J335">MAX(IF((ProjectInfoTable[ProjectName]=OutputTable[[#This Row],[ProjectName]]),(ProjectInfoTable[ProjectName]=OutputTable[[#This Row],[ProjectName]])*ProjectInfoTable[NumberOfReplications]))</f>
        <v>10</v>
      </c>
      <c r="K335" cm="1">
        <f t="array" ref="K335">IFERROR(AVERAGE(IF((OutputTable[GroupByKey]=OutputTable[[#This Row],[GroupByKey]]),(OutputTable[GroupByKey]=OutputTable[[#This Row],[GroupByKey]])*OutputTable[RecordedValue])),0)</f>
        <v>18389.400000000001</v>
      </c>
      <c r="L335" cm="1">
        <f t="array" ref="L335">IFERROR(_xlfn.STDEV.S(IF((OutputTable[GroupByKey]=OutputTable[[#This Row],[GroupByKey]]),(OutputTable[GroupByKey]=OutputTable[[#This Row],[GroupByKey]])*OutputTable[RecordedValue])),0)</f>
        <v>12.103259432437566</v>
      </c>
      <c r="M33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335" cm="1">
        <f t="array" ref="O335">MIN(IF((OutputTable[GroupByKey]=OutputTable[[#This Row],[GroupByKey]]),(OutputTable[GroupByKey]=OutputTable[[#This Row],[GroupByKey]])*OutputTable[RecordedValue]))</f>
        <v>18376</v>
      </c>
      <c r="P335" cm="1">
        <f t="array" ref="P335">MAX(IF((OutputTable[GroupByKey]=OutputTable[[#This Row],[GroupByKey]]),(OutputTable[GroupByKey]=OutputTable[[#This Row],[GroupByKey]])*OutputTable[RecordedValue]))</f>
        <v>18404</v>
      </c>
    </row>
    <row r="336" spans="1:16" x14ac:dyDescent="0.25">
      <c r="A336" t="s">
        <v>67</v>
      </c>
      <c r="B336" t="s">
        <v>243</v>
      </c>
      <c r="C336">
        <v>4</v>
      </c>
      <c r="D336" t="s">
        <v>232</v>
      </c>
      <c r="E336" t="s">
        <v>152</v>
      </c>
      <c r="F336" t="s">
        <v>113</v>
      </c>
      <c r="G336">
        <v>0</v>
      </c>
      <c r="H336">
        <v>0</v>
      </c>
      <c r="I336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336" cm="1">
        <f t="array" ref="J336">MAX(IF((ProjectInfoTable[ProjectName]=OutputTable[[#This Row],[ProjectName]]),(ProjectInfoTable[ProjectName]=OutputTable[[#This Row],[ProjectName]])*ProjectInfoTable[NumberOfReplications]))</f>
        <v>10</v>
      </c>
      <c r="K336" cm="1">
        <f t="array" ref="K336">IFERROR(AVERAGE(IF((OutputTable[GroupByKey]=OutputTable[[#This Row],[GroupByKey]]),(OutputTable[GroupByKey]=OutputTable[[#This Row],[GroupByKey]])*OutputTable[RecordedValue])),0)</f>
        <v>0</v>
      </c>
      <c r="L336" cm="1">
        <f t="array" ref="L336">IFERROR(_xlfn.STDEV.S(IF((OutputTable[GroupByKey]=OutputTable[[#This Row],[GroupByKey]]),(OutputTable[GroupByKey]=OutputTable[[#This Row],[GroupByKey]])*OutputTable[RecordedValue])),0)</f>
        <v>0</v>
      </c>
      <c r="M336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6" cm="1">
        <f t="array" ref="O336">MIN(IF((OutputTable[GroupByKey]=OutputTable[[#This Row],[GroupByKey]]),(OutputTable[GroupByKey]=OutputTable[[#This Row],[GroupByKey]])*OutputTable[RecordedValue]))</f>
        <v>0</v>
      </c>
      <c r="P336" cm="1">
        <f t="array" ref="P336">MAX(IF((OutputTable[GroupByKey]=OutputTable[[#This Row],[GroupByKey]]),(OutputTable[GroupByKey]=OutputTable[[#This Row],[GroupByKey]])*OutputTable[RecordedValue]))</f>
        <v>0</v>
      </c>
    </row>
    <row r="337" spans="1:16" x14ac:dyDescent="0.25">
      <c r="A337" t="s">
        <v>67</v>
      </c>
      <c r="B337" t="s">
        <v>243</v>
      </c>
      <c r="C337">
        <v>4</v>
      </c>
      <c r="D337" t="s">
        <v>233</v>
      </c>
      <c r="E337" t="s">
        <v>154</v>
      </c>
      <c r="F337" t="s">
        <v>113</v>
      </c>
      <c r="G337">
        <v>0</v>
      </c>
      <c r="H337">
        <v>0</v>
      </c>
      <c r="I337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337" cm="1">
        <f t="array" ref="J337">MAX(IF((ProjectInfoTable[ProjectName]=OutputTable[[#This Row],[ProjectName]]),(ProjectInfoTable[ProjectName]=OutputTable[[#This Row],[ProjectName]])*ProjectInfoTable[NumberOfReplications]))</f>
        <v>10</v>
      </c>
      <c r="K337" cm="1">
        <f t="array" ref="K337">IFERROR(AVERAGE(IF((OutputTable[GroupByKey]=OutputTable[[#This Row],[GroupByKey]]),(OutputTable[GroupByKey]=OutputTable[[#This Row],[GroupByKey]])*OutputTable[RecordedValue])),0)</f>
        <v>0</v>
      </c>
      <c r="L337" cm="1">
        <f t="array" ref="L337">IFERROR(_xlfn.STDEV.S(IF((OutputTable[GroupByKey]=OutputTable[[#This Row],[GroupByKey]]),(OutputTable[GroupByKey]=OutputTable[[#This Row],[GroupByKey]])*OutputTable[RecordedValue])),0)</f>
        <v>0</v>
      </c>
      <c r="M337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cm="1">
        <f t="array" ref="O337">MIN(IF((OutputTable[GroupByKey]=OutputTable[[#This Row],[GroupByKey]]),(OutputTable[GroupByKey]=OutputTable[[#This Row],[GroupByKey]])*OutputTable[RecordedValue]))</f>
        <v>0</v>
      </c>
      <c r="P337" cm="1">
        <f t="array" ref="P337">MAX(IF((OutputTable[GroupByKey]=OutputTable[[#This Row],[GroupByKey]]),(OutputTable[GroupByKey]=OutputTable[[#This Row],[GroupByKey]])*OutputTable[RecordedValue]))</f>
        <v>0</v>
      </c>
    </row>
    <row r="338" spans="1:16" x14ac:dyDescent="0.25">
      <c r="A338" t="s">
        <v>67</v>
      </c>
      <c r="B338" t="s">
        <v>243</v>
      </c>
      <c r="C338">
        <v>4</v>
      </c>
      <c r="D338" t="s">
        <v>234</v>
      </c>
      <c r="E338" t="s">
        <v>152</v>
      </c>
      <c r="F338" t="s">
        <v>113</v>
      </c>
      <c r="G338">
        <v>116</v>
      </c>
      <c r="H338">
        <v>0</v>
      </c>
      <c r="I338" t="str">
        <f>OutputTable[[#This Row],[ProjectName]]&amp;OutputTable[[#This Row],[Name]]&amp;OutputTable[[#This Row],[Type]]&amp;OutputTable[[#This Row],[Source]]</f>
        <v>Unnamed ProjectSales Rep.NumberSeizedTotal Number SeizedResource</v>
      </c>
      <c r="J338" cm="1">
        <f t="array" ref="J338">MAX(IF((ProjectInfoTable[ProjectName]=OutputTable[[#This Row],[ProjectName]]),(ProjectInfoTable[ProjectName]=OutputTable[[#This Row],[ProjectName]])*ProjectInfoTable[NumberOfReplications]))</f>
        <v>10</v>
      </c>
      <c r="K338" cm="1">
        <f t="array" ref="K338">IFERROR(AVERAGE(IF((OutputTable[GroupByKey]=OutputTable[[#This Row],[GroupByKey]]),(OutputTable[GroupByKey]=OutputTable[[#This Row],[GroupByKey]])*OutputTable[RecordedValue])),0)</f>
        <v>118.7</v>
      </c>
      <c r="L338" cm="1">
        <f t="array" ref="L338">IFERROR(_xlfn.STDEV.S(IF((OutputTable[GroupByKey]=OutputTable[[#This Row],[GroupByKey]]),(OutputTable[GroupByKey]=OutputTable[[#This Row],[GroupByKey]])*OutputTable[RecordedValue])),0)</f>
        <v>12.587913073879887</v>
      </c>
      <c r="M338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338" cm="1">
        <f t="array" ref="O338">MIN(IF((OutputTable[GroupByKey]=OutputTable[[#This Row],[GroupByKey]]),(OutputTable[GroupByKey]=OutputTable[[#This Row],[GroupByKey]])*OutputTable[RecordedValue]))</f>
        <v>95</v>
      </c>
      <c r="P338" cm="1">
        <f t="array" ref="P338">MAX(IF((OutputTable[GroupByKey]=OutputTable[[#This Row],[GroupByKey]]),(OutputTable[GroupByKey]=OutputTable[[#This Row],[GroupByKey]])*OutputTable[RecordedValue]))</f>
        <v>141</v>
      </c>
    </row>
    <row r="339" spans="1:16" x14ac:dyDescent="0.25">
      <c r="A339" t="s">
        <v>67</v>
      </c>
      <c r="B339" t="s">
        <v>243</v>
      </c>
      <c r="C339">
        <v>4</v>
      </c>
      <c r="D339" t="s">
        <v>235</v>
      </c>
      <c r="E339" t="s">
        <v>154</v>
      </c>
      <c r="F339" t="s">
        <v>113</v>
      </c>
      <c r="G339">
        <v>0.330224506198316</v>
      </c>
      <c r="H339">
        <v>0</v>
      </c>
      <c r="I339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339" cm="1">
        <f t="array" ref="J339">MAX(IF((ProjectInfoTable[ProjectName]=OutputTable[[#This Row],[ProjectName]]),(ProjectInfoTable[ProjectName]=OutputTable[[#This Row],[ProjectName]])*ProjectInfoTable[NumberOfReplications]))</f>
        <v>10</v>
      </c>
      <c r="K339" cm="1">
        <f t="array" ref="K339">IFERROR(AVERAGE(IF((OutputTable[GroupByKey]=OutputTable[[#This Row],[GroupByKey]]),(OutputTable[GroupByKey]=OutputTable[[#This Row],[GroupByKey]])*OutputTable[RecordedValue])),0)</f>
        <v>0.3273551167875815</v>
      </c>
      <c r="L339" cm="1">
        <f t="array" ref="L339">IFERROR(_xlfn.STDEV.S(IF((OutputTable[GroupByKey]=OutputTable[[#This Row],[GroupByKey]]),(OutputTable[GroupByKey]=OutputTable[[#This Row],[GroupByKey]])*OutputTable[RecordedValue])),0)</f>
        <v>3.5172818533154994E-2</v>
      </c>
      <c r="M339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2.5161118640145405E-2</v>
      </c>
      <c r="O339" cm="1">
        <f t="array" ref="O339">MIN(IF((OutputTable[GroupByKey]=OutputTable[[#This Row],[GroupByKey]]),(OutputTable[GroupByKey]=OutputTable[[#This Row],[GroupByKey]])*OutputTable[RecordedValue]))</f>
        <v>0.26933581669894202</v>
      </c>
      <c r="P339" cm="1">
        <f t="array" ref="P339">MAX(IF((OutputTable[GroupByKey]=OutputTable[[#This Row],[GroupByKey]]),(OutputTable[GroupByKey]=OutputTable[[#This Row],[GroupByKey]])*OutputTable[RecordedValue]))</f>
        <v>0.39321867243708603</v>
      </c>
    </row>
    <row r="340" spans="1:16" x14ac:dyDescent="0.25">
      <c r="A340" t="s">
        <v>67</v>
      </c>
      <c r="B340" t="s">
        <v>243</v>
      </c>
      <c r="C340">
        <v>4</v>
      </c>
      <c r="D340" t="s">
        <v>236</v>
      </c>
      <c r="E340" t="s">
        <v>158</v>
      </c>
      <c r="F340" t="s">
        <v>150</v>
      </c>
      <c r="G340">
        <v>2464</v>
      </c>
      <c r="H340">
        <v>0</v>
      </c>
      <c r="I340" t="str">
        <f>OutputTable[[#This Row],[ProjectName]]&amp;OutputTable[[#This Row],[Name]]&amp;OutputTable[[#This Row],[Type]]&amp;OutputTable[[#This Row],[Source]]</f>
        <v>Unnamed ProjectSystem.NumberOutNumber OutSystem</v>
      </c>
      <c r="J340" cm="1">
        <f t="array" ref="J340">MAX(IF((ProjectInfoTable[ProjectName]=OutputTable[[#This Row],[ProjectName]]),(ProjectInfoTable[ProjectName]=OutputTable[[#This Row],[ProjectName]])*ProjectInfoTable[NumberOfReplications]))</f>
        <v>10</v>
      </c>
      <c r="K340" cm="1">
        <f t="array" ref="K340">IFERROR(AVERAGE(IF((OutputTable[GroupByKey]=OutputTable[[#This Row],[GroupByKey]]),(OutputTable[GroupByKey]=OutputTable[[#This Row],[GroupByKey]])*OutputTable[RecordedValue])),0)</f>
        <v>2503.1</v>
      </c>
      <c r="L340" cm="1">
        <f t="array" ref="L340">IFERROR(_xlfn.STDEV.S(IF((OutputTable[GroupByKey]=OutputTable[[#This Row],[GroupByKey]]),(OutputTable[GroupByKey]=OutputTable[[#This Row],[GroupByKey]])*OutputTable[RecordedValue])),0)</f>
        <v>29.72260643573059</v>
      </c>
      <c r="M340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21.262271777248003</v>
      </c>
      <c r="O340" cm="1">
        <f t="array" ref="O340">MIN(IF((OutputTable[GroupByKey]=OutputTable[[#This Row],[GroupByKey]]),(OutputTable[GroupByKey]=OutputTable[[#This Row],[GroupByKey]])*OutputTable[RecordedValue]))</f>
        <v>2457</v>
      </c>
      <c r="P340" cm="1">
        <f t="array" ref="P340">MAX(IF((OutputTable[GroupByKey]=OutputTable[[#This Row],[GroupByKey]]),(OutputTable[GroupByKey]=OutputTable[[#This Row],[GroupByKey]])*OutputTable[RecordedValue]))</f>
        <v>2546</v>
      </c>
    </row>
    <row r="341" spans="1:16" x14ac:dyDescent="0.25">
      <c r="A341" t="s">
        <v>67</v>
      </c>
      <c r="B341" t="s">
        <v>243</v>
      </c>
      <c r="C341">
        <v>4</v>
      </c>
      <c r="D341" t="s">
        <v>237</v>
      </c>
      <c r="E341" t="s">
        <v>156</v>
      </c>
      <c r="F341" t="s">
        <v>76</v>
      </c>
      <c r="G341">
        <v>7823</v>
      </c>
      <c r="H341">
        <v>0</v>
      </c>
      <c r="I341" t="str">
        <f>OutputTable[[#This Row],[ProjectName]]&amp;OutputTable[[#This Row],[Name]]&amp;OutputTable[[#This Row],[Type]]&amp;OutputTable[[#This Row],[Source]]</f>
        <v>Unnamed ProjectWire Harness.NumberInNumber InEntity</v>
      </c>
      <c r="J341" cm="1">
        <f t="array" ref="J341">MAX(IF((ProjectInfoTable[ProjectName]=OutputTable[[#This Row],[ProjectName]]),(ProjectInfoTable[ProjectName]=OutputTable[[#This Row],[ProjectName]])*ProjectInfoTable[NumberOfReplications]))</f>
        <v>10</v>
      </c>
      <c r="K341" cm="1">
        <f t="array" ref="K341">IFERROR(AVERAGE(IF((OutputTable[GroupByKey]=OutputTable[[#This Row],[GroupByKey]]),(OutputTable[GroupByKey]=OutputTable[[#This Row],[GroupByKey]])*OutputTable[RecordedValue])),0)</f>
        <v>7832.8</v>
      </c>
      <c r="L341" cm="1">
        <f t="array" ref="L341">IFERROR(_xlfn.STDEV.S(IF((OutputTable[GroupByKey]=OutputTable[[#This Row],[GroupByKey]]),(OutputTable[GroupByKey]=OutputTable[[#This Row],[GroupByKey]])*OutputTable[RecordedValue])),0)</f>
        <v>7.8287220469811594</v>
      </c>
      <c r="M341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5.6003303812327712</v>
      </c>
      <c r="O341" cm="1">
        <f t="array" ref="O341">MIN(IF((OutputTable[GroupByKey]=OutputTable[[#This Row],[GroupByKey]]),(OutputTable[GroupByKey]=OutputTable[[#This Row],[GroupByKey]])*OutputTable[RecordedValue]))</f>
        <v>7818</v>
      </c>
      <c r="P341" cm="1">
        <f t="array" ref="P341">MAX(IF((OutputTable[GroupByKey]=OutputTable[[#This Row],[GroupByKey]]),(OutputTable[GroupByKey]=OutputTable[[#This Row],[GroupByKey]])*OutputTable[RecordedValue]))</f>
        <v>7845</v>
      </c>
    </row>
    <row r="342" spans="1:16" x14ac:dyDescent="0.25">
      <c r="A342" t="s">
        <v>67</v>
      </c>
      <c r="B342" t="s">
        <v>243</v>
      </c>
      <c r="C342">
        <v>4</v>
      </c>
      <c r="D342" t="s">
        <v>238</v>
      </c>
      <c r="E342" t="s">
        <v>158</v>
      </c>
      <c r="F342" t="s">
        <v>76</v>
      </c>
      <c r="G342">
        <v>7819</v>
      </c>
      <c r="H342">
        <v>0</v>
      </c>
      <c r="I342" t="str">
        <f>OutputTable[[#This Row],[ProjectName]]&amp;OutputTable[[#This Row],[Name]]&amp;OutputTable[[#This Row],[Type]]&amp;OutputTable[[#This Row],[Source]]</f>
        <v>Unnamed ProjectWire Harness.NumberOutNumber OutEntity</v>
      </c>
      <c r="J342" cm="1">
        <f t="array" ref="J342">MAX(IF((ProjectInfoTable[ProjectName]=OutputTable[[#This Row],[ProjectName]]),(ProjectInfoTable[ProjectName]=OutputTable[[#This Row],[ProjectName]])*ProjectInfoTable[NumberOfReplications]))</f>
        <v>10</v>
      </c>
      <c r="K342" cm="1">
        <f t="array" ref="K342">IFERROR(AVERAGE(IF((OutputTable[GroupByKey]=OutputTable[[#This Row],[GroupByKey]]),(OutputTable[GroupByKey]=OutputTable[[#This Row],[GroupByKey]])*OutputTable[RecordedValue])),0)</f>
        <v>7828.3</v>
      </c>
      <c r="L342" cm="1">
        <f t="array" ref="L342">IFERROR(_xlfn.STDEV.S(IF((OutputTable[GroupByKey]=OutputTable[[#This Row],[GroupByKey]]),(OutputTable[GroupByKey]=OutputTable[[#This Row],[GroupByKey]])*OutputTable[RecordedValue])),0)</f>
        <v>7.1032074132433696</v>
      </c>
      <c r="M342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5.0813284776056653</v>
      </c>
      <c r="O342" cm="1">
        <f t="array" ref="O342">MIN(IF((OutputTable[GroupByKey]=OutputTable[[#This Row],[GroupByKey]]),(OutputTable[GroupByKey]=OutputTable[[#This Row],[GroupByKey]])*OutputTable[RecordedValue]))</f>
        <v>7815</v>
      </c>
      <c r="P342" cm="1">
        <f t="array" ref="P342">MAX(IF((OutputTable[GroupByKey]=OutputTable[[#This Row],[GroupByKey]]),(OutputTable[GroupByKey]=OutputTable[[#This Row],[GroupByKey]])*OutputTable[RecordedValue]))</f>
        <v>7840</v>
      </c>
    </row>
    <row r="343" spans="1:16" x14ac:dyDescent="0.25">
      <c r="A343" t="s">
        <v>67</v>
      </c>
      <c r="B343" t="s">
        <v>243</v>
      </c>
      <c r="C343">
        <v>4</v>
      </c>
      <c r="D343" t="s">
        <v>239</v>
      </c>
      <c r="E343" t="s">
        <v>202</v>
      </c>
      <c r="F343" t="s">
        <v>87</v>
      </c>
      <c r="G343">
        <v>53496.370004127202</v>
      </c>
      <c r="H343">
        <v>0</v>
      </c>
      <c r="I343" t="str">
        <f>OutputTable[[#This Row],[ProjectName]]&amp;OutputTable[[#This Row],[Name]]&amp;OutputTable[[#This Row],[Type]]&amp;OutputTable[[#This Row],[Source]]</f>
        <v>Unnamed Projectsales Accum VA TimeAccum VA TimeProcess</v>
      </c>
      <c r="J343" cm="1">
        <f t="array" ref="J343">MAX(IF((ProjectInfoTable[ProjectName]=OutputTable[[#This Row],[ProjectName]]),(ProjectInfoTable[ProjectName]=OutputTable[[#This Row],[ProjectName]])*ProjectInfoTable[NumberOfReplications]))</f>
        <v>10</v>
      </c>
      <c r="K343" cm="1">
        <f t="array" ref="K343">IFERROR(AVERAGE(IF((OutputTable[GroupByKey]=OutputTable[[#This Row],[GroupByKey]]),(OutputTable[GroupByKey]=OutputTable[[#This Row],[GroupByKey]])*OutputTable[RecordedValue])),0)</f>
        <v>53031.528919588192</v>
      </c>
      <c r="L343" cm="1">
        <f t="array" ref="L343">IFERROR(_xlfn.STDEV.S(IF((OutputTable[GroupByKey]=OutputTable[[#This Row],[GroupByKey]]),(OutputTable[GroupByKey]=OutputTable[[#This Row],[GroupByKey]])*OutputTable[RecordedValue])),0)</f>
        <v>5697.9966023710867</v>
      </c>
      <c r="M343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4076.1012197035402</v>
      </c>
      <c r="O343" cm="1">
        <f t="array" ref="O343">MIN(IF((OutputTable[GroupByKey]=OutputTable[[#This Row],[GroupByKey]]),(OutputTable[GroupByKey]=OutputTable[[#This Row],[GroupByKey]])*OutputTable[RecordedValue]))</f>
        <v>43632.402305228599</v>
      </c>
      <c r="P343" cm="1">
        <f t="array" ref="P343">MAX(IF((OutputTable[GroupByKey]=OutputTable[[#This Row],[GroupByKey]]),(OutputTable[GroupByKey]=OutputTable[[#This Row],[GroupByKey]])*OutputTable[RecordedValue]))</f>
        <v>63701.424934807801</v>
      </c>
    </row>
    <row r="344" spans="1:16" x14ac:dyDescent="0.25">
      <c r="A344" t="s">
        <v>67</v>
      </c>
      <c r="B344" t="s">
        <v>243</v>
      </c>
      <c r="C344">
        <v>4</v>
      </c>
      <c r="D344" t="s">
        <v>240</v>
      </c>
      <c r="E344" t="s">
        <v>156</v>
      </c>
      <c r="F344" t="s">
        <v>87</v>
      </c>
      <c r="G344">
        <v>116</v>
      </c>
      <c r="H344">
        <v>0</v>
      </c>
      <c r="I344" t="str">
        <f>OutputTable[[#This Row],[ProjectName]]&amp;OutputTable[[#This Row],[Name]]&amp;OutputTable[[#This Row],[Type]]&amp;OutputTable[[#This Row],[Source]]</f>
        <v>Unnamed Projectsales Number InNumber InProcess</v>
      </c>
      <c r="J344" cm="1">
        <f t="array" ref="J344">MAX(IF((ProjectInfoTable[ProjectName]=OutputTable[[#This Row],[ProjectName]]),(ProjectInfoTable[ProjectName]=OutputTable[[#This Row],[ProjectName]])*ProjectInfoTable[NumberOfReplications]))</f>
        <v>10</v>
      </c>
      <c r="K344" cm="1">
        <f t="array" ref="K344">IFERROR(AVERAGE(IF((OutputTable[GroupByKey]=OutputTable[[#This Row],[GroupByKey]]),(OutputTable[GroupByKey]=OutputTable[[#This Row],[GroupByKey]])*OutputTable[RecordedValue])),0)</f>
        <v>118.7</v>
      </c>
      <c r="L344" cm="1">
        <f t="array" ref="L344">IFERROR(_xlfn.STDEV.S(IF((OutputTable[GroupByKey]=OutputTable[[#This Row],[GroupByKey]]),(OutputTable[GroupByKey]=OutputTable[[#This Row],[GroupByKey]])*OutputTable[RecordedValue])),0)</f>
        <v>12.587913073879887</v>
      </c>
      <c r="M344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344" cm="1">
        <f t="array" ref="O344">MIN(IF((OutputTable[GroupByKey]=OutputTable[[#This Row],[GroupByKey]]),(OutputTable[GroupByKey]=OutputTable[[#This Row],[GroupByKey]])*OutputTable[RecordedValue]))</f>
        <v>95</v>
      </c>
      <c r="P344" cm="1">
        <f t="array" ref="P344">MAX(IF((OutputTable[GroupByKey]=OutputTable[[#This Row],[GroupByKey]]),(OutputTable[GroupByKey]=OutputTable[[#This Row],[GroupByKey]])*OutputTable[RecordedValue]))</f>
        <v>141</v>
      </c>
    </row>
    <row r="345" spans="1:16" x14ac:dyDescent="0.25">
      <c r="A345" t="s">
        <v>67</v>
      </c>
      <c r="B345" t="s">
        <v>243</v>
      </c>
      <c r="C345">
        <v>4</v>
      </c>
      <c r="D345" t="s">
        <v>241</v>
      </c>
      <c r="E345" t="s">
        <v>158</v>
      </c>
      <c r="F345" t="s">
        <v>87</v>
      </c>
      <c r="G345">
        <v>116</v>
      </c>
      <c r="H345">
        <v>0</v>
      </c>
      <c r="I345" t="str">
        <f>OutputTable[[#This Row],[ProjectName]]&amp;OutputTable[[#This Row],[Name]]&amp;OutputTable[[#This Row],[Type]]&amp;OutputTable[[#This Row],[Source]]</f>
        <v>Unnamed Projectsales Number OutNumber OutProcess</v>
      </c>
      <c r="J345" cm="1">
        <f t="array" ref="J345">MAX(IF((ProjectInfoTable[ProjectName]=OutputTable[[#This Row],[ProjectName]]),(ProjectInfoTable[ProjectName]=OutputTable[[#This Row],[ProjectName]])*ProjectInfoTable[NumberOfReplications]))</f>
        <v>10</v>
      </c>
      <c r="K345" cm="1">
        <f t="array" ref="K345">IFERROR(AVERAGE(IF((OutputTable[GroupByKey]=OutputTable[[#This Row],[GroupByKey]]),(OutputTable[GroupByKey]=OutputTable[[#This Row],[GroupByKey]])*OutputTable[RecordedValue])),0)</f>
        <v>118.7</v>
      </c>
      <c r="L345" cm="1">
        <f t="array" ref="L345">IFERROR(_xlfn.STDEV.S(IF((OutputTable[GroupByKey]=OutputTable[[#This Row],[GroupByKey]]),(OutputTable[GroupByKey]=OutputTable[[#This Row],[GroupByKey]])*OutputTable[RecordedValue])),0)</f>
        <v>12.587913073879887</v>
      </c>
      <c r="M34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345" cm="1">
        <f t="array" ref="O345">MIN(IF((OutputTable[GroupByKey]=OutputTable[[#This Row],[GroupByKey]]),(OutputTable[GroupByKey]=OutputTable[[#This Row],[GroupByKey]])*OutputTable[RecordedValue]))</f>
        <v>95</v>
      </c>
      <c r="P345" cm="1">
        <f t="array" ref="P345">MAX(IF((OutputTable[GroupByKey]=OutputTable[[#This Row],[GroupByKey]]),(OutputTable[GroupByKey]=OutputTable[[#This Row],[GroupByKey]])*OutputTable[RecordedValue]))</f>
        <v>141</v>
      </c>
    </row>
    <row r="346" spans="1:16" x14ac:dyDescent="0.25">
      <c r="A346" t="s">
        <v>67</v>
      </c>
      <c r="B346" t="s">
        <v>243</v>
      </c>
      <c r="C346">
        <v>5</v>
      </c>
      <c r="D346" t="s">
        <v>151</v>
      </c>
      <c r="E346" t="s">
        <v>152</v>
      </c>
      <c r="F346" t="s">
        <v>113</v>
      </c>
      <c r="G346">
        <v>6553</v>
      </c>
      <c r="H346">
        <v>0</v>
      </c>
      <c r="I346" t="str">
        <f>OutputTable[[#This Row],[ProjectName]]&amp;OutputTable[[#This Row],[Name]]&amp;OutputTable[[#This Row],[Type]]&amp;OutputTable[[#This Row],[Source]]</f>
        <v>Unnamed ProjectAssembler.NumberSeizedTotal Number SeizedResource</v>
      </c>
      <c r="J346" cm="1">
        <f t="array" ref="J346">MAX(IF((ProjectInfoTable[ProjectName]=OutputTable[[#This Row],[ProjectName]]),(ProjectInfoTable[ProjectName]=OutputTable[[#This Row],[ProjectName]])*ProjectInfoTable[NumberOfReplications]))</f>
        <v>10</v>
      </c>
      <c r="K346" cm="1">
        <f t="array" ref="K346">IFERROR(AVERAGE(IF((OutputTable[GroupByKey]=OutputTable[[#This Row],[GroupByKey]]),(OutputTable[GroupByKey]=OutputTable[[#This Row],[GroupByKey]])*OutputTable[RecordedValue])),0)</f>
        <v>6547.7</v>
      </c>
      <c r="L346" cm="1">
        <f t="array" ref="L346">IFERROR(_xlfn.STDEV.S(IF((OutputTable[GroupByKey]=OutputTable[[#This Row],[GroupByKey]]),(OutputTable[GroupByKey]=OutputTable[[#This Row],[GroupByKey]])*OutputTable[RecordedValue])),0)</f>
        <v>5.735852159879995</v>
      </c>
      <c r="M346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346" cm="1">
        <f t="array" ref="O346">MIN(IF((OutputTable[GroupByKey]=OutputTable[[#This Row],[GroupByKey]]),(OutputTable[GroupByKey]=OutputTable[[#This Row],[GroupByKey]])*OutputTable[RecordedValue]))</f>
        <v>6540</v>
      </c>
      <c r="P346" cm="1">
        <f t="array" ref="P346">MAX(IF((OutputTable[GroupByKey]=OutputTable[[#This Row],[GroupByKey]]),(OutputTable[GroupByKey]=OutputTable[[#This Row],[GroupByKey]])*OutputTable[RecordedValue]))</f>
        <v>6557</v>
      </c>
    </row>
    <row r="347" spans="1:16" x14ac:dyDescent="0.25">
      <c r="A347" t="s">
        <v>67</v>
      </c>
      <c r="B347" t="s">
        <v>243</v>
      </c>
      <c r="C347">
        <v>5</v>
      </c>
      <c r="D347" t="s">
        <v>153</v>
      </c>
      <c r="E347" t="s">
        <v>154</v>
      </c>
      <c r="F347" t="s">
        <v>113</v>
      </c>
      <c r="G347">
        <v>7.5851796513499298E-2</v>
      </c>
      <c r="H347">
        <v>0</v>
      </c>
      <c r="I347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347" cm="1">
        <f t="array" ref="J347">MAX(IF((ProjectInfoTable[ProjectName]=OutputTable[[#This Row],[ProjectName]]),(ProjectInfoTable[ProjectName]=OutputTable[[#This Row],[ProjectName]])*ProjectInfoTable[NumberOfReplications]))</f>
        <v>10</v>
      </c>
      <c r="K347" cm="1">
        <f t="array" ref="K347">IFERROR(AVERAGE(IF((OutputTable[GroupByKey]=OutputTable[[#This Row],[GroupByKey]]),(OutputTable[GroupByKey]=OutputTable[[#This Row],[GroupByKey]])*OutputTable[RecordedValue])),0)</f>
        <v>7.575658911226775E-2</v>
      </c>
      <c r="L347" cm="1">
        <f t="array" ref="L347">IFERROR(_xlfn.STDEV.S(IF((OutputTable[GroupByKey]=OutputTable[[#This Row],[GroupByKey]]),(OutputTable[GroupByKey]=OutputTable[[#This Row],[GroupByKey]])*OutputTable[RecordedValue])),0)</f>
        <v>1.4019953141627205E-4</v>
      </c>
      <c r="M347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1.0029270301248135E-4</v>
      </c>
      <c r="O347" cm="1">
        <f t="array" ref="O347">MIN(IF((OutputTable[GroupByKey]=OutputTable[[#This Row],[GroupByKey]]),(OutputTable[GroupByKey]=OutputTable[[#This Row],[GroupByKey]])*OutputTable[RecordedValue]))</f>
        <v>7.5477645584878503E-2</v>
      </c>
      <c r="P347" cm="1">
        <f t="array" ref="P347">MAX(IF((OutputTable[GroupByKey]=OutputTable[[#This Row],[GroupByKey]]),(OutputTable[GroupByKey]=OutputTable[[#This Row],[GroupByKey]])*OutputTable[RecordedValue]))</f>
        <v>7.5973148639726207E-2</v>
      </c>
    </row>
    <row r="348" spans="1:16" x14ac:dyDescent="0.25">
      <c r="A348" t="s">
        <v>67</v>
      </c>
      <c r="B348" t="s">
        <v>243</v>
      </c>
      <c r="C348">
        <v>5</v>
      </c>
      <c r="D348" t="s">
        <v>155</v>
      </c>
      <c r="E348" t="s">
        <v>156</v>
      </c>
      <c r="F348" t="s">
        <v>76</v>
      </c>
      <c r="G348">
        <v>1122</v>
      </c>
      <c r="H348">
        <v>0</v>
      </c>
      <c r="I348" t="str">
        <f>OutputTable[[#This Row],[ProjectName]]&amp;OutputTable[[#This Row],[Name]]&amp;OutputTable[[#This Row],[Type]]&amp;OutputTable[[#This Row],[Source]]</f>
        <v>Unnamed ProjectCustomer.NumberInNumber InEntity</v>
      </c>
      <c r="J348" cm="1">
        <f t="array" ref="J348">MAX(IF((ProjectInfoTable[ProjectName]=OutputTable[[#This Row],[ProjectName]]),(ProjectInfoTable[ProjectName]=OutputTable[[#This Row],[ProjectName]])*ProjectInfoTable[NumberOfReplications]))</f>
        <v>10</v>
      </c>
      <c r="K348" cm="1">
        <f t="array" ref="K348">IFERROR(AVERAGE(IF((OutputTable[GroupByKey]=OutputTable[[#This Row],[GroupByKey]]),(OutputTable[GroupByKey]=OutputTable[[#This Row],[GroupByKey]])*OutputTable[RecordedValue])),0)</f>
        <v>1090.3</v>
      </c>
      <c r="L348" cm="1">
        <f t="array" ref="L348">IFERROR(_xlfn.STDEV.S(IF((OutputTable[GroupByKey]=OutputTable[[#This Row],[GroupByKey]]),(OutputTable[GroupByKey]=OutputTable[[#This Row],[GroupByKey]])*OutputTable[RecordedValue])),0)</f>
        <v>32.666836734251177</v>
      </c>
      <c r="M348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348" cm="1">
        <f t="array" ref="O348">MIN(IF((OutputTable[GroupByKey]=OutputTable[[#This Row],[GroupByKey]]),(OutputTable[GroupByKey]=OutputTable[[#This Row],[GroupByKey]])*OutputTable[RecordedValue]))</f>
        <v>1042</v>
      </c>
      <c r="P348" cm="1">
        <f t="array" ref="P348">MAX(IF((OutputTable[GroupByKey]=OutputTable[[#This Row],[GroupByKey]]),(OutputTable[GroupByKey]=OutputTable[[#This Row],[GroupByKey]])*OutputTable[RecordedValue]))</f>
        <v>1141</v>
      </c>
    </row>
    <row r="349" spans="1:16" x14ac:dyDescent="0.25">
      <c r="A349" t="s">
        <v>67</v>
      </c>
      <c r="B349" t="s">
        <v>243</v>
      </c>
      <c r="C349">
        <v>5</v>
      </c>
      <c r="D349" t="s">
        <v>157</v>
      </c>
      <c r="E349" t="s">
        <v>158</v>
      </c>
      <c r="F349" t="s">
        <v>76</v>
      </c>
      <c r="G349">
        <v>1122</v>
      </c>
      <c r="H349">
        <v>0</v>
      </c>
      <c r="I349" t="str">
        <f>OutputTable[[#This Row],[ProjectName]]&amp;OutputTable[[#This Row],[Name]]&amp;OutputTable[[#This Row],[Type]]&amp;OutputTable[[#This Row],[Source]]</f>
        <v>Unnamed ProjectCustomer.NumberOutNumber OutEntity</v>
      </c>
      <c r="J349" cm="1">
        <f t="array" ref="J349">MAX(IF((ProjectInfoTable[ProjectName]=OutputTable[[#This Row],[ProjectName]]),(ProjectInfoTable[ProjectName]=OutputTable[[#This Row],[ProjectName]])*ProjectInfoTable[NumberOfReplications]))</f>
        <v>10</v>
      </c>
      <c r="K349" cm="1">
        <f t="array" ref="K349">IFERROR(AVERAGE(IF((OutputTable[GroupByKey]=OutputTable[[#This Row],[GroupByKey]]),(OutputTable[GroupByKey]=OutputTable[[#This Row],[GroupByKey]])*OutputTable[RecordedValue])),0)</f>
        <v>1090.3</v>
      </c>
      <c r="L349" cm="1">
        <f t="array" ref="L349">IFERROR(_xlfn.STDEV.S(IF((OutputTable[GroupByKey]=OutputTable[[#This Row],[GroupByKey]]),(OutputTable[GroupByKey]=OutputTable[[#This Row],[GroupByKey]])*OutputTable[RecordedValue])),0)</f>
        <v>32.666836734251177</v>
      </c>
      <c r="M349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349" cm="1">
        <f t="array" ref="O349">MIN(IF((OutputTable[GroupByKey]=OutputTable[[#This Row],[GroupByKey]]),(OutputTable[GroupByKey]=OutputTable[[#This Row],[GroupByKey]])*OutputTable[RecordedValue]))</f>
        <v>1042</v>
      </c>
      <c r="P349" cm="1">
        <f t="array" ref="P349">MAX(IF((OutputTable[GroupByKey]=OutputTable[[#This Row],[GroupByKey]]),(OutputTable[GroupByKey]=OutputTable[[#This Row],[GroupByKey]])*OutputTable[RecordedValue]))</f>
        <v>1141</v>
      </c>
    </row>
    <row r="350" spans="1:16" x14ac:dyDescent="0.25">
      <c r="A350" t="s">
        <v>67</v>
      </c>
      <c r="B350" t="s">
        <v>243</v>
      </c>
      <c r="C350">
        <v>5</v>
      </c>
      <c r="D350" t="s">
        <v>159</v>
      </c>
      <c r="E350" t="s">
        <v>156</v>
      </c>
      <c r="F350" t="s">
        <v>76</v>
      </c>
      <c r="G350">
        <v>19832</v>
      </c>
      <c r="H350">
        <v>0</v>
      </c>
      <c r="I350" t="str">
        <f>OutputTable[[#This Row],[ProjectName]]&amp;OutputTable[[#This Row],[Name]]&amp;OutputTable[[#This Row],[Type]]&amp;OutputTable[[#This Row],[Source]]</f>
        <v>Unnamed ProjectEntity 1.NumberInNumber InEntity</v>
      </c>
      <c r="J350" cm="1">
        <f t="array" ref="J350">MAX(IF((ProjectInfoTable[ProjectName]=OutputTable[[#This Row],[ProjectName]]),(ProjectInfoTable[ProjectName]=OutputTable[[#This Row],[ProjectName]])*ProjectInfoTable[NumberOfReplications]))</f>
        <v>10</v>
      </c>
      <c r="K350" cm="1">
        <f t="array" ref="K350">IFERROR(AVERAGE(IF((OutputTable[GroupByKey]=OutputTable[[#This Row],[GroupByKey]]),(OutputTable[GroupByKey]=OutputTable[[#This Row],[GroupByKey]])*OutputTable[RecordedValue])),0)</f>
        <v>19822.900000000001</v>
      </c>
      <c r="L350" cm="1">
        <f t="array" ref="L350">IFERROR(_xlfn.STDEV.S(IF((OutputTable[GroupByKey]=OutputTable[[#This Row],[GroupByKey]]),(OutputTable[GroupByKey]=OutputTable[[#This Row],[GroupByKey]])*OutputTable[RecordedValue])),0)</f>
        <v>20.151922985164472</v>
      </c>
      <c r="M350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14.415817276026377</v>
      </c>
      <c r="O350" cm="1">
        <f t="array" ref="O350">MIN(IF((OutputTable[GroupByKey]=OutputTable[[#This Row],[GroupByKey]]),(OutputTable[GroupByKey]=OutputTable[[#This Row],[GroupByKey]])*OutputTable[RecordedValue]))</f>
        <v>19788</v>
      </c>
      <c r="P350" cm="1">
        <f t="array" ref="P350">MAX(IF((OutputTable[GroupByKey]=OutputTable[[#This Row],[GroupByKey]]),(OutputTable[GroupByKey]=OutputTable[[#This Row],[GroupByKey]])*OutputTable[RecordedValue]))</f>
        <v>19852</v>
      </c>
    </row>
    <row r="351" spans="1:16" x14ac:dyDescent="0.25">
      <c r="A351" t="s">
        <v>67</v>
      </c>
      <c r="B351" t="s">
        <v>243</v>
      </c>
      <c r="C351">
        <v>5</v>
      </c>
      <c r="D351" t="s">
        <v>160</v>
      </c>
      <c r="E351" t="s">
        <v>158</v>
      </c>
      <c r="F351" t="s">
        <v>76</v>
      </c>
      <c r="G351">
        <v>19650</v>
      </c>
      <c r="H351">
        <v>0</v>
      </c>
      <c r="I351" t="str">
        <f>OutputTable[[#This Row],[ProjectName]]&amp;OutputTable[[#This Row],[Name]]&amp;OutputTable[[#This Row],[Type]]&amp;OutputTable[[#This Row],[Source]]</f>
        <v>Unnamed ProjectEntity 1.NumberOutNumber OutEntity</v>
      </c>
      <c r="J351" cm="1">
        <f t="array" ref="J351">MAX(IF((ProjectInfoTable[ProjectName]=OutputTable[[#This Row],[ProjectName]]),(ProjectInfoTable[ProjectName]=OutputTable[[#This Row],[ProjectName]])*ProjectInfoTable[NumberOfReplications]))</f>
        <v>10</v>
      </c>
      <c r="K351" cm="1">
        <f t="array" ref="K351">IFERROR(AVERAGE(IF((OutputTable[GroupByKey]=OutputTable[[#This Row],[GroupByKey]]),(OutputTable[GroupByKey]=OutputTable[[#This Row],[GroupByKey]])*OutputTable[RecordedValue])),0)</f>
        <v>19635.599999999999</v>
      </c>
      <c r="L351" cm="1">
        <f t="array" ref="L351">IFERROR(_xlfn.STDEV.S(IF((OutputTable[GroupByKey]=OutputTable[[#This Row],[GroupByKey]]),(OutputTable[GroupByKey]=OutputTable[[#This Row],[GroupByKey]])*OutputTable[RecordedValue])),0)</f>
        <v>15.086417732516889</v>
      </c>
      <c r="M351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351" cm="1">
        <f t="array" ref="O351">MIN(IF((OutputTable[GroupByKey]=OutputTable[[#This Row],[GroupByKey]]),(OutputTable[GroupByKey]=OutputTable[[#This Row],[GroupByKey]])*OutputTable[RecordedValue]))</f>
        <v>19614</v>
      </c>
      <c r="P351" cm="1">
        <f t="array" ref="P351">MAX(IF((OutputTable[GroupByKey]=OutputTable[[#This Row],[GroupByKey]]),(OutputTable[GroupByKey]=OutputTable[[#This Row],[GroupByKey]])*OutputTable[RecordedValue]))</f>
        <v>19662</v>
      </c>
    </row>
    <row r="352" spans="1:16" x14ac:dyDescent="0.25">
      <c r="A352" t="s">
        <v>67</v>
      </c>
      <c r="B352" t="s">
        <v>243</v>
      </c>
      <c r="C352">
        <v>5</v>
      </c>
      <c r="D352" t="s">
        <v>161</v>
      </c>
      <c r="E352" t="s">
        <v>156</v>
      </c>
      <c r="F352" t="s">
        <v>76</v>
      </c>
      <c r="G352">
        <v>8431</v>
      </c>
      <c r="H352">
        <v>0</v>
      </c>
      <c r="I352" t="str">
        <f>OutputTable[[#This Row],[ProjectName]]&amp;OutputTable[[#This Row],[Name]]&amp;OutputTable[[#This Row],[Type]]&amp;OutputTable[[#This Row],[Source]]</f>
        <v>Unnamed ProjectEntity 2.NumberInNumber InEntity</v>
      </c>
      <c r="J352" cm="1">
        <f t="array" ref="J352">MAX(IF((ProjectInfoTable[ProjectName]=OutputTable[[#This Row],[ProjectName]]),(ProjectInfoTable[ProjectName]=OutputTable[[#This Row],[ProjectName]])*ProjectInfoTable[NumberOfReplications]))</f>
        <v>10</v>
      </c>
      <c r="K352" cm="1">
        <f t="array" ref="K352">IFERROR(AVERAGE(IF((OutputTable[GroupByKey]=OutputTable[[#This Row],[GroupByKey]]),(OutputTable[GroupByKey]=OutputTable[[#This Row],[GroupByKey]])*OutputTable[RecordedValue])),0)</f>
        <v>8398</v>
      </c>
      <c r="L352" cm="1">
        <f t="array" ref="L352">IFERROR(_xlfn.STDEV.S(IF((OutputTable[GroupByKey]=OutputTable[[#This Row],[GroupByKey]]),(OutputTable[GroupByKey]=OutputTable[[#This Row],[GroupByKey]])*OutputTable[RecordedValue])),0)</f>
        <v>24.133885813197271</v>
      </c>
      <c r="M352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17.264341884378119</v>
      </c>
      <c r="O352" cm="1">
        <f t="array" ref="O352">MIN(IF((OutputTable[GroupByKey]=OutputTable[[#This Row],[GroupByKey]]),(OutputTable[GroupByKey]=OutputTable[[#This Row],[GroupByKey]])*OutputTable[RecordedValue]))</f>
        <v>8353</v>
      </c>
      <c r="P352" cm="1">
        <f t="array" ref="P352">MAX(IF((OutputTable[GroupByKey]=OutputTable[[#This Row],[GroupByKey]]),(OutputTable[GroupByKey]=OutputTable[[#This Row],[GroupByKey]])*OutputTable[RecordedValue]))</f>
        <v>8437</v>
      </c>
    </row>
    <row r="353" spans="1:16" x14ac:dyDescent="0.25">
      <c r="A353" t="s">
        <v>67</v>
      </c>
      <c r="B353" t="s">
        <v>243</v>
      </c>
      <c r="C353">
        <v>5</v>
      </c>
      <c r="D353" t="s">
        <v>162</v>
      </c>
      <c r="E353" t="s">
        <v>158</v>
      </c>
      <c r="F353" t="s">
        <v>76</v>
      </c>
      <c r="G353">
        <v>6550</v>
      </c>
      <c r="H353">
        <v>0</v>
      </c>
      <c r="I353" t="str">
        <f>OutputTable[[#This Row],[ProjectName]]&amp;OutputTable[[#This Row],[Name]]&amp;OutputTable[[#This Row],[Type]]&amp;OutputTable[[#This Row],[Source]]</f>
        <v>Unnamed ProjectEntity 2.NumberOutNumber OutEntity</v>
      </c>
      <c r="J353" cm="1">
        <f t="array" ref="J353">MAX(IF((ProjectInfoTable[ProjectName]=OutputTable[[#This Row],[ProjectName]]),(ProjectInfoTable[ProjectName]=OutputTable[[#This Row],[ProjectName]])*ProjectInfoTable[NumberOfReplications]))</f>
        <v>10</v>
      </c>
      <c r="K353" cm="1">
        <f t="array" ref="K353">IFERROR(AVERAGE(IF((OutputTable[GroupByKey]=OutputTable[[#This Row],[GroupByKey]]),(OutputTable[GroupByKey]=OutputTable[[#This Row],[GroupByKey]])*OutputTable[RecordedValue])),0)</f>
        <v>6545.2</v>
      </c>
      <c r="L353" cm="1">
        <f t="array" ref="L353">IFERROR(_xlfn.STDEV.S(IF((OutputTable[GroupByKey]=OutputTable[[#This Row],[GroupByKey]]),(OutputTable[GroupByKey]=OutputTable[[#This Row],[GroupByKey]])*OutputTable[RecordedValue])),0)</f>
        <v>5.0288059108389627</v>
      </c>
      <c r="M353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3.5973910371047504</v>
      </c>
      <c r="O353" cm="1">
        <f t="array" ref="O353">MIN(IF((OutputTable[GroupByKey]=OutputTable[[#This Row],[GroupByKey]]),(OutputTable[GroupByKey]=OutputTable[[#This Row],[GroupByKey]])*OutputTable[RecordedValue]))</f>
        <v>6538</v>
      </c>
      <c r="P353" cm="1">
        <f t="array" ref="P353">MAX(IF((OutputTable[GroupByKey]=OutputTable[[#This Row],[GroupByKey]]),(OutputTable[GroupByKey]=OutputTable[[#This Row],[GroupByKey]])*OutputTable[RecordedValue]))</f>
        <v>6554</v>
      </c>
    </row>
    <row r="354" spans="1:16" x14ac:dyDescent="0.25">
      <c r="A354" t="s">
        <v>67</v>
      </c>
      <c r="B354" t="s">
        <v>243</v>
      </c>
      <c r="C354">
        <v>5</v>
      </c>
      <c r="D354" t="s">
        <v>163</v>
      </c>
      <c r="E354" t="s">
        <v>156</v>
      </c>
      <c r="F354" t="s">
        <v>76</v>
      </c>
      <c r="G354">
        <v>27746</v>
      </c>
      <c r="H354">
        <v>0</v>
      </c>
      <c r="I354" t="str">
        <f>OutputTable[[#This Row],[ProjectName]]&amp;OutputTable[[#This Row],[Name]]&amp;OutputTable[[#This Row],[Type]]&amp;OutputTable[[#This Row],[Source]]</f>
        <v>Unnamed ProjectEntity 3.NumberInNumber InEntity</v>
      </c>
      <c r="J354" cm="1">
        <f t="array" ref="J354">MAX(IF((ProjectInfoTable[ProjectName]=OutputTable[[#This Row],[ProjectName]]),(ProjectInfoTable[ProjectName]=OutputTable[[#This Row],[ProjectName]])*ProjectInfoTable[NumberOfReplications]))</f>
        <v>10</v>
      </c>
      <c r="K354" cm="1">
        <f t="array" ref="K354">IFERROR(AVERAGE(IF((OutputTable[GroupByKey]=OutputTable[[#This Row],[GroupByKey]]),(OutputTable[GroupByKey]=OutputTable[[#This Row],[GroupByKey]])*OutputTable[RecordedValue])),0)</f>
        <v>27753.7</v>
      </c>
      <c r="L354" cm="1">
        <f t="array" ref="L354">IFERROR(_xlfn.STDEV.S(IF((OutputTable[GroupByKey]=OutputTable[[#This Row],[GroupByKey]]),(OutputTable[GroupByKey]=OutputTable[[#This Row],[GroupByKey]])*OutputTable[RecordedValue])),0)</f>
        <v>25.447331228768697</v>
      </c>
      <c r="M354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18.203924133022646</v>
      </c>
      <c r="O354" cm="1">
        <f t="array" ref="O354">MIN(IF((OutputTable[GroupByKey]=OutputTable[[#This Row],[GroupByKey]]),(OutputTable[GroupByKey]=OutputTable[[#This Row],[GroupByKey]])*OutputTable[RecordedValue]))</f>
        <v>27724</v>
      </c>
      <c r="P354" cm="1">
        <f t="array" ref="P354">MAX(IF((OutputTable[GroupByKey]=OutputTable[[#This Row],[GroupByKey]]),(OutputTable[GroupByKey]=OutputTable[[#This Row],[GroupByKey]])*OutputTable[RecordedValue]))</f>
        <v>27792</v>
      </c>
    </row>
    <row r="355" spans="1:16" x14ac:dyDescent="0.25">
      <c r="A355" t="s">
        <v>67</v>
      </c>
      <c r="B355" t="s">
        <v>243</v>
      </c>
      <c r="C355">
        <v>5</v>
      </c>
      <c r="D355" t="s">
        <v>164</v>
      </c>
      <c r="E355" t="s">
        <v>158</v>
      </c>
      <c r="F355" t="s">
        <v>76</v>
      </c>
      <c r="G355">
        <v>19650</v>
      </c>
      <c r="H355">
        <v>0</v>
      </c>
      <c r="I355" t="str">
        <f>OutputTable[[#This Row],[ProjectName]]&amp;OutputTable[[#This Row],[Name]]&amp;OutputTable[[#This Row],[Type]]&amp;OutputTable[[#This Row],[Source]]</f>
        <v>Unnamed ProjectEntity 3.NumberOutNumber OutEntity</v>
      </c>
      <c r="J355" cm="1">
        <f t="array" ref="J355">MAX(IF((ProjectInfoTable[ProjectName]=OutputTable[[#This Row],[ProjectName]]),(ProjectInfoTable[ProjectName]=OutputTable[[#This Row],[ProjectName]])*ProjectInfoTable[NumberOfReplications]))</f>
        <v>10</v>
      </c>
      <c r="K355" cm="1">
        <f t="array" ref="K355">IFERROR(AVERAGE(IF((OutputTable[GroupByKey]=OutputTable[[#This Row],[GroupByKey]]),(OutputTable[GroupByKey]=OutputTable[[#This Row],[GroupByKey]])*OutputTable[RecordedValue])),0)</f>
        <v>19635.599999999999</v>
      </c>
      <c r="L355" cm="1">
        <f t="array" ref="L355">IFERROR(_xlfn.STDEV.S(IF((OutputTable[GroupByKey]=OutputTable[[#This Row],[GroupByKey]]),(OutputTable[GroupByKey]=OutputTable[[#This Row],[GroupByKey]])*OutputTable[RecordedValue])),0)</f>
        <v>15.086417732516889</v>
      </c>
      <c r="M35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355" cm="1">
        <f t="array" ref="O355">MIN(IF((OutputTable[GroupByKey]=OutputTable[[#This Row],[GroupByKey]]),(OutputTable[GroupByKey]=OutputTable[[#This Row],[GroupByKey]])*OutputTable[RecordedValue]))</f>
        <v>19614</v>
      </c>
      <c r="P355" cm="1">
        <f t="array" ref="P355">MAX(IF((OutputTable[GroupByKey]=OutputTable[[#This Row],[GroupByKey]]),(OutputTable[GroupByKey]=OutputTable[[#This Row],[GroupByKey]])*OutputTable[RecordedValue]))</f>
        <v>19662</v>
      </c>
    </row>
    <row r="356" spans="1:16" x14ac:dyDescent="0.25">
      <c r="A356" t="s">
        <v>67</v>
      </c>
      <c r="B356" t="s">
        <v>243</v>
      </c>
      <c r="C356">
        <v>5</v>
      </c>
      <c r="D356" t="s">
        <v>165</v>
      </c>
      <c r="E356" t="s">
        <v>152</v>
      </c>
      <c r="F356" t="s">
        <v>113</v>
      </c>
      <c r="G356">
        <v>13114</v>
      </c>
      <c r="H356">
        <v>0</v>
      </c>
      <c r="I356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356" cm="1">
        <f t="array" ref="J356">MAX(IF((ProjectInfoTable[ProjectName]=OutputTable[[#This Row],[ProjectName]]),(ProjectInfoTable[ProjectName]=OutputTable[[#This Row],[ProjectName]])*ProjectInfoTable[NumberOfReplications]))</f>
        <v>10</v>
      </c>
      <c r="K356" cm="1">
        <f t="array" ref="K356">IFERROR(AVERAGE(IF((OutputTable[GroupByKey]=OutputTable[[#This Row],[GroupByKey]]),(OutputTable[GroupByKey]=OutputTable[[#This Row],[GroupByKey]])*OutputTable[RecordedValue])),0)</f>
        <v>13103.5</v>
      </c>
      <c r="L356" cm="1">
        <f t="array" ref="L356">IFERROR(_xlfn.STDEV.S(IF((OutputTable[GroupByKey]=OutputTable[[#This Row],[GroupByKey]]),(OutputTable[GroupByKey]=OutputTable[[#This Row],[GroupByKey]])*OutputTable[RecordedValue])),0)</f>
        <v>11.443095929181249</v>
      </c>
      <c r="M356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356" cm="1">
        <f t="array" ref="O356">MIN(IF((OutputTable[GroupByKey]=OutputTable[[#This Row],[GroupByKey]]),(OutputTable[GroupByKey]=OutputTable[[#This Row],[GroupByKey]])*OutputTable[RecordedValue]))</f>
        <v>13087</v>
      </c>
      <c r="P356" cm="1">
        <f t="array" ref="P356">MAX(IF((OutputTable[GroupByKey]=OutputTable[[#This Row],[GroupByKey]]),(OutputTable[GroupByKey]=OutputTable[[#This Row],[GroupByKey]])*OutputTable[RecordedValue]))</f>
        <v>13120</v>
      </c>
    </row>
    <row r="357" spans="1:16" x14ac:dyDescent="0.25">
      <c r="A357" t="s">
        <v>67</v>
      </c>
      <c r="B357" t="s">
        <v>243</v>
      </c>
      <c r="C357">
        <v>5</v>
      </c>
      <c r="D357" t="s">
        <v>166</v>
      </c>
      <c r="E357" t="s">
        <v>154</v>
      </c>
      <c r="F357" t="s">
        <v>113</v>
      </c>
      <c r="G357">
        <v>0.43353510935495398</v>
      </c>
      <c r="H357">
        <v>0</v>
      </c>
      <c r="I357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357" cm="1">
        <f t="array" ref="J357">MAX(IF((ProjectInfoTable[ProjectName]=OutputTable[[#This Row],[ProjectName]]),(ProjectInfoTable[ProjectName]=OutputTable[[#This Row],[ProjectName]])*ProjectInfoTable[NumberOfReplications]))</f>
        <v>10</v>
      </c>
      <c r="K357" cm="1">
        <f t="array" ref="K357">IFERROR(AVERAGE(IF((OutputTable[GroupByKey]=OutputTable[[#This Row],[GroupByKey]]),(OutputTable[GroupByKey]=OutputTable[[#This Row],[GroupByKey]])*OutputTable[RecordedValue])),0)</f>
        <v>0.48160620907873086</v>
      </c>
      <c r="L357" cm="1">
        <f t="array" ref="L357">IFERROR(_xlfn.STDEV.S(IF((OutputTable[GroupByKey]=OutputTable[[#This Row],[GroupByKey]]),(OutputTable[GroupByKey]=OutputTable[[#This Row],[GroupByKey]])*OutputTable[RecordedValue])),0)</f>
        <v>8.6686321722355061E-2</v>
      </c>
      <c r="M357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6.2011658897281531E-2</v>
      </c>
      <c r="O357" cm="1">
        <f t="array" ref="O357">MIN(IF((OutputTable[GroupByKey]=OutputTable[[#This Row],[GroupByKey]]),(OutputTable[GroupByKey]=OutputTable[[#This Row],[GroupByKey]])*OutputTable[RecordedValue]))</f>
        <v>0.292184201252493</v>
      </c>
      <c r="P357" cm="1">
        <f t="array" ref="P357">MAX(IF((OutputTable[GroupByKey]=OutputTable[[#This Row],[GroupByKey]]),(OutputTable[GroupByKey]=OutputTable[[#This Row],[GroupByKey]])*OutputTable[RecordedValue]))</f>
        <v>0.57167989674475905</v>
      </c>
    </row>
    <row r="358" spans="1:16" x14ac:dyDescent="0.25">
      <c r="A358" t="s">
        <v>67</v>
      </c>
      <c r="B358" t="s">
        <v>243</v>
      </c>
      <c r="C358">
        <v>5</v>
      </c>
      <c r="D358" t="s">
        <v>167</v>
      </c>
      <c r="E358" t="s">
        <v>152</v>
      </c>
      <c r="F358" t="s">
        <v>113</v>
      </c>
      <c r="G358">
        <v>13111</v>
      </c>
      <c r="H358">
        <v>0</v>
      </c>
      <c r="I358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358" cm="1">
        <f t="array" ref="J358">MAX(IF((ProjectInfoTable[ProjectName]=OutputTable[[#This Row],[ProjectName]]),(ProjectInfoTable[ProjectName]=OutputTable[[#This Row],[ProjectName]])*ProjectInfoTable[NumberOfReplications]))</f>
        <v>10</v>
      </c>
      <c r="K358" cm="1">
        <f t="array" ref="K358">IFERROR(AVERAGE(IF((OutputTable[GroupByKey]=OutputTable[[#This Row],[GroupByKey]]),(OutputTable[GroupByKey]=OutputTable[[#This Row],[GroupByKey]])*OutputTable[RecordedValue])),0)</f>
        <v>13100.1</v>
      </c>
      <c r="L358" cm="1">
        <f t="array" ref="L358">IFERROR(_xlfn.STDEV.S(IF((OutputTable[GroupByKey]=OutputTable[[#This Row],[GroupByKey]]),(OutputTable[GroupByKey]=OutputTable[[#This Row],[GroupByKey]])*OutputTable[RecordedValue])),0)</f>
        <v>11.46443776786866</v>
      </c>
      <c r="M358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358" cm="1">
        <f t="array" ref="O358">MIN(IF((OutputTable[GroupByKey]=OutputTable[[#This Row],[GroupByKey]]),(OutputTable[GroupByKey]=OutputTable[[#This Row],[GroupByKey]])*OutputTable[RecordedValue]))</f>
        <v>13083</v>
      </c>
      <c r="P358" cm="1">
        <f t="array" ref="P358">MAX(IF((OutputTable[GroupByKey]=OutputTable[[#This Row],[GroupByKey]]),(OutputTable[GroupByKey]=OutputTable[[#This Row],[GroupByKey]])*OutputTable[RecordedValue]))</f>
        <v>13118</v>
      </c>
    </row>
    <row r="359" spans="1:16" x14ac:dyDescent="0.25">
      <c r="A359" t="s">
        <v>67</v>
      </c>
      <c r="B359" t="s">
        <v>243</v>
      </c>
      <c r="C359">
        <v>5</v>
      </c>
      <c r="D359" t="s">
        <v>168</v>
      </c>
      <c r="E359" t="s">
        <v>154</v>
      </c>
      <c r="F359" t="s">
        <v>113</v>
      </c>
      <c r="G359">
        <v>0.23696449062414601</v>
      </c>
      <c r="H359">
        <v>0</v>
      </c>
      <c r="I359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359" cm="1">
        <f t="array" ref="J359">MAX(IF((ProjectInfoTable[ProjectName]=OutputTable[[#This Row],[ProjectName]]),(ProjectInfoTable[ProjectName]=OutputTable[[#This Row],[ProjectName]])*ProjectInfoTable[NumberOfReplications]))</f>
        <v>10</v>
      </c>
      <c r="K359" cm="1">
        <f t="array" ref="K359">IFERROR(AVERAGE(IF((OutputTable[GroupByKey]=OutputTable[[#This Row],[GroupByKey]]),(OutputTable[GroupByKey]=OutputTable[[#This Row],[GroupByKey]])*OutputTable[RecordedValue])),0)</f>
        <v>0.25269289312392168</v>
      </c>
      <c r="L359" cm="1">
        <f t="array" ref="L359">IFERROR(_xlfn.STDEV.S(IF((OutputTable[GroupByKey]=OutputTable[[#This Row],[GroupByKey]]),(OutputTable[GroupByKey]=OutputTable[[#This Row],[GroupByKey]])*OutputTable[RecordedValue])),0)</f>
        <v>4.921401008308305E-2</v>
      </c>
      <c r="M359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3.5205581983443382E-2</v>
      </c>
      <c r="O359" cm="1">
        <f t="array" ref="O359">MIN(IF((OutputTable[GroupByKey]=OutputTable[[#This Row],[GroupByKey]]),(OutputTable[GroupByKey]=OutputTable[[#This Row],[GroupByKey]])*OutputTable[RecordedValue]))</f>
        <v>0.20500025225945601</v>
      </c>
      <c r="P359" cm="1">
        <f t="array" ref="P359">MAX(IF((OutputTable[GroupByKey]=OutputTable[[#This Row],[GroupByKey]]),(OutputTable[GroupByKey]=OutputTable[[#This Row],[GroupByKey]])*OutputTable[RecordedValue]))</f>
        <v>0.33570777662711399</v>
      </c>
    </row>
    <row r="360" spans="1:16" x14ac:dyDescent="0.25">
      <c r="A360" t="s">
        <v>67</v>
      </c>
      <c r="B360" t="s">
        <v>243</v>
      </c>
      <c r="C360">
        <v>5</v>
      </c>
      <c r="D360" t="s">
        <v>169</v>
      </c>
      <c r="E360" t="s">
        <v>152</v>
      </c>
      <c r="F360" t="s">
        <v>113</v>
      </c>
      <c r="G360">
        <v>13111</v>
      </c>
      <c r="H360">
        <v>0</v>
      </c>
      <c r="I360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360" cm="1">
        <f t="array" ref="J360">MAX(IF((ProjectInfoTable[ProjectName]=OutputTable[[#This Row],[ProjectName]]),(ProjectInfoTable[ProjectName]=OutputTable[[#This Row],[ProjectName]])*ProjectInfoTable[NumberOfReplications]))</f>
        <v>10</v>
      </c>
      <c r="K360" cm="1">
        <f t="array" ref="K360">IFERROR(AVERAGE(IF((OutputTable[GroupByKey]=OutputTable[[#This Row],[GroupByKey]]),(OutputTable[GroupByKey]=OutputTable[[#This Row],[GroupByKey]])*OutputTable[RecordedValue])),0)</f>
        <v>13099.9</v>
      </c>
      <c r="L360" cm="1">
        <f t="array" ref="L360">IFERROR(_xlfn.STDEV.S(IF((OutputTable[GroupByKey]=OutputTable[[#This Row],[GroupByKey]]),(OutputTable[GroupByKey]=OutputTable[[#This Row],[GroupByKey]])*OutputTable[RecordedValue])),0)</f>
        <v>11.761046816598522</v>
      </c>
      <c r="M360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360" cm="1">
        <f t="array" ref="O360">MIN(IF((OutputTable[GroupByKey]=OutputTable[[#This Row],[GroupByKey]]),(OutputTable[GroupByKey]=OutputTable[[#This Row],[GroupByKey]])*OutputTable[RecordedValue]))</f>
        <v>13082</v>
      </c>
      <c r="P360" cm="1">
        <f t="array" ref="P360">MAX(IF((OutputTable[GroupByKey]=OutputTable[[#This Row],[GroupByKey]]),(OutputTable[GroupByKey]=OutputTable[[#This Row],[GroupByKey]])*OutputTable[RecordedValue]))</f>
        <v>13118</v>
      </c>
    </row>
    <row r="361" spans="1:16" x14ac:dyDescent="0.25">
      <c r="A361" t="s">
        <v>67</v>
      </c>
      <c r="B361" t="s">
        <v>243</v>
      </c>
      <c r="C361">
        <v>5</v>
      </c>
      <c r="D361" t="s">
        <v>170</v>
      </c>
      <c r="E361" t="s">
        <v>154</v>
      </c>
      <c r="F361" t="s">
        <v>113</v>
      </c>
      <c r="G361">
        <v>0.151658430645772</v>
      </c>
      <c r="H361">
        <v>0</v>
      </c>
      <c r="I361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361" cm="1">
        <f t="array" ref="J361">MAX(IF((ProjectInfoTable[ProjectName]=OutputTable[[#This Row],[ProjectName]]),(ProjectInfoTable[ProjectName]=OutputTable[[#This Row],[ProjectName]])*ProjectInfoTable[NumberOfReplications]))</f>
        <v>10</v>
      </c>
      <c r="K361" cm="1">
        <f t="array" ref="K361">IFERROR(AVERAGE(IF((OutputTable[GroupByKey]=OutputTable[[#This Row],[GroupByKey]]),(OutputTable[GroupByKey]=OutputTable[[#This Row],[GroupByKey]])*OutputTable[RecordedValue])),0)</f>
        <v>0.151561654865698</v>
      </c>
      <c r="L361" cm="1">
        <f t="array" ref="L361">IFERROR(_xlfn.STDEV.S(IF((OutputTable[GroupByKey]=OutputTable[[#This Row],[GroupByKey]]),(OutputTable[GroupByKey]=OutputTable[[#This Row],[GroupByKey]])*OutputTable[RecordedValue])),0)</f>
        <v>1.2198256688170919E-4</v>
      </c>
      <c r="M361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8.7261071626859165E-5</v>
      </c>
      <c r="O361" cm="1">
        <f t="array" ref="O361">MIN(IF((OutputTable[GroupByKey]=OutputTable[[#This Row],[GroupByKey]]),(OutputTable[GroupByKey]=OutputTable[[#This Row],[GroupByKey]])*OutputTable[RecordedValue]))</f>
        <v>0.15134711042770399</v>
      </c>
      <c r="P361" cm="1">
        <f t="array" ref="P361">MAX(IF((OutputTable[GroupByKey]=OutputTable[[#This Row],[GroupByKey]]),(OutputTable[GroupByKey]=OutputTable[[#This Row],[GroupByKey]])*OutputTable[RecordedValue]))</f>
        <v>0.15172806047441101</v>
      </c>
    </row>
    <row r="362" spans="1:16" x14ac:dyDescent="0.25">
      <c r="A362" t="s">
        <v>67</v>
      </c>
      <c r="B362" t="s">
        <v>243</v>
      </c>
      <c r="C362">
        <v>5</v>
      </c>
      <c r="D362" t="s">
        <v>171</v>
      </c>
      <c r="E362" t="s">
        <v>152</v>
      </c>
      <c r="F362" t="s">
        <v>113</v>
      </c>
      <c r="G362">
        <v>8245</v>
      </c>
      <c r="H362">
        <v>0</v>
      </c>
      <c r="I362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362" cm="1">
        <f t="array" ref="J362">MAX(IF((ProjectInfoTable[ProjectName]=OutputTable[[#This Row],[ProjectName]]),(ProjectInfoTable[ProjectName]=OutputTable[[#This Row],[ProjectName]])*ProjectInfoTable[NumberOfReplications]))</f>
        <v>10</v>
      </c>
      <c r="K362" cm="1">
        <f t="array" ref="K362">IFERROR(AVERAGE(IF((OutputTable[GroupByKey]=OutputTable[[#This Row],[GroupByKey]]),(OutputTable[GroupByKey]=OutputTable[[#This Row],[GroupByKey]])*OutputTable[RecordedValue])),0)</f>
        <v>8235</v>
      </c>
      <c r="L362" cm="1">
        <f t="array" ref="L362">IFERROR(_xlfn.STDEV.S(IF((OutputTable[GroupByKey]=OutputTable[[#This Row],[GroupByKey]]),(OutputTable[GroupByKey]=OutputTable[[#This Row],[GroupByKey]])*OutputTable[RecordedValue])),0)</f>
        <v>6.5659052011974035</v>
      </c>
      <c r="M362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362" cm="1">
        <f t="array" ref="O362">MIN(IF((OutputTable[GroupByKey]=OutputTable[[#This Row],[GroupByKey]]),(OutputTable[GroupByKey]=OutputTable[[#This Row],[GroupByKey]])*OutputTable[RecordedValue]))</f>
        <v>8223</v>
      </c>
      <c r="P362" cm="1">
        <f t="array" ref="P362">MAX(IF((OutputTable[GroupByKey]=OutputTable[[#This Row],[GroupByKey]]),(OutputTable[GroupByKey]=OutputTable[[#This Row],[GroupByKey]])*OutputTable[RecordedValue]))</f>
        <v>8245</v>
      </c>
    </row>
    <row r="363" spans="1:16" x14ac:dyDescent="0.25">
      <c r="A363" t="s">
        <v>67</v>
      </c>
      <c r="B363" t="s">
        <v>243</v>
      </c>
      <c r="C363">
        <v>5</v>
      </c>
      <c r="D363" t="s">
        <v>172</v>
      </c>
      <c r="E363" t="s">
        <v>154</v>
      </c>
      <c r="F363" t="s">
        <v>113</v>
      </c>
      <c r="G363">
        <v>0.95234896906597499</v>
      </c>
      <c r="H363">
        <v>0</v>
      </c>
      <c r="I363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363" cm="1">
        <f t="array" ref="J363">MAX(IF((ProjectInfoTable[ProjectName]=OutputTable[[#This Row],[ProjectName]]),(ProjectInfoTable[ProjectName]=OutputTable[[#This Row],[ProjectName]])*ProjectInfoTable[NumberOfReplications]))</f>
        <v>10</v>
      </c>
      <c r="K363" cm="1">
        <f t="array" ref="K363">IFERROR(AVERAGE(IF((OutputTable[GroupByKey]=OutputTable[[#This Row],[GroupByKey]]),(OutputTable[GroupByKey]=OutputTable[[#This Row],[GroupByKey]])*OutputTable[RecordedValue])),0)</f>
        <v>0.84558522180863771</v>
      </c>
      <c r="L363" cm="1">
        <f t="array" ref="L363">IFERROR(_xlfn.STDEV.S(IF((OutputTable[GroupByKey]=OutputTable[[#This Row],[GroupByKey]]),(OutputTable[GroupByKey]=OutputTable[[#This Row],[GroupByKey]])*OutputTable[RecordedValue])),0)</f>
        <v>0.11694354024491282</v>
      </c>
      <c r="M363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8.3656369122856733E-2</v>
      </c>
      <c r="O363" cm="1">
        <f t="array" ref="O363">MIN(IF((OutputTable[GroupByKey]=OutputTable[[#This Row],[GroupByKey]]),(OutputTable[GroupByKey]=OutputTable[[#This Row],[GroupByKey]])*OutputTable[RecordedValue]))</f>
        <v>0.625269422960122</v>
      </c>
      <c r="P363" cm="1">
        <f t="array" ref="P363">MAX(IF((OutputTable[GroupByKey]=OutputTable[[#This Row],[GroupByKey]]),(OutputTable[GroupByKey]=OutputTable[[#This Row],[GroupByKey]])*OutputTable[RecordedValue]))</f>
        <v>0.95234896906597499</v>
      </c>
    </row>
    <row r="364" spans="1:16" x14ac:dyDescent="0.25">
      <c r="A364" t="s">
        <v>67</v>
      </c>
      <c r="B364" t="s">
        <v>243</v>
      </c>
      <c r="C364">
        <v>5</v>
      </c>
      <c r="D364" t="s">
        <v>173</v>
      </c>
      <c r="E364" t="s">
        <v>152</v>
      </c>
      <c r="F364" t="s">
        <v>113</v>
      </c>
      <c r="G364">
        <v>8243</v>
      </c>
      <c r="H364">
        <v>0</v>
      </c>
      <c r="I364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364" cm="1">
        <f t="array" ref="J364">MAX(IF((ProjectInfoTable[ProjectName]=OutputTable[[#This Row],[ProjectName]]),(ProjectInfoTable[ProjectName]=OutputTable[[#This Row],[ProjectName]])*ProjectInfoTable[NumberOfReplications]))</f>
        <v>10</v>
      </c>
      <c r="K364" cm="1">
        <f t="array" ref="K364">IFERROR(AVERAGE(IF((OutputTable[GroupByKey]=OutputTable[[#This Row],[GroupByKey]]),(OutputTable[GroupByKey]=OutputTable[[#This Row],[GroupByKey]])*OutputTable[RecordedValue])),0)</f>
        <v>8233.5</v>
      </c>
      <c r="L364" cm="1">
        <f t="array" ref="L364">IFERROR(_xlfn.STDEV.S(IF((OutputTable[GroupByKey]=OutputTable[[#This Row],[GroupByKey]]),(OutputTable[GroupByKey]=OutputTable[[#This Row],[GroupByKey]])*OutputTable[RecordedValue])),0)</f>
        <v>6.5021364010437201</v>
      </c>
      <c r="M364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364" cm="1">
        <f t="array" ref="O364">MIN(IF((OutputTable[GroupByKey]=OutputTable[[#This Row],[GroupByKey]]),(OutputTable[GroupByKey]=OutputTable[[#This Row],[GroupByKey]])*OutputTable[RecordedValue]))</f>
        <v>8221</v>
      </c>
      <c r="P364" cm="1">
        <f t="array" ref="P364">MAX(IF((OutputTable[GroupByKey]=OutputTable[[#This Row],[GroupByKey]]),(OutputTable[GroupByKey]=OutputTable[[#This Row],[GroupByKey]])*OutputTable[RecordedValue]))</f>
        <v>8243</v>
      </c>
    </row>
    <row r="365" spans="1:16" x14ac:dyDescent="0.25">
      <c r="A365" t="s">
        <v>67</v>
      </c>
      <c r="B365" t="s">
        <v>243</v>
      </c>
      <c r="C365">
        <v>5</v>
      </c>
      <c r="D365" t="s">
        <v>174</v>
      </c>
      <c r="E365" t="s">
        <v>154</v>
      </c>
      <c r="F365" t="s">
        <v>113</v>
      </c>
      <c r="G365">
        <v>0.69066103263237899</v>
      </c>
      <c r="H365">
        <v>0</v>
      </c>
      <c r="I365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365" cm="1">
        <f t="array" ref="J365">MAX(IF((ProjectInfoTable[ProjectName]=OutputTable[[#This Row],[ProjectName]]),(ProjectInfoTable[ProjectName]=OutputTable[[#This Row],[ProjectName]])*ProjectInfoTable[NumberOfReplications]))</f>
        <v>10</v>
      </c>
      <c r="K365" cm="1">
        <f t="array" ref="K365">IFERROR(AVERAGE(IF((OutputTable[GroupByKey]=OutputTable[[#This Row],[GroupByKey]]),(OutputTable[GroupByKey]=OutputTable[[#This Row],[GroupByKey]])*OutputTable[RecordedValue])),0)</f>
        <v>0.74077431571180286</v>
      </c>
      <c r="L365" cm="1">
        <f t="array" ref="L365">IFERROR(_xlfn.STDEV.S(IF((OutputTable[GroupByKey]=OutputTable[[#This Row],[GroupByKey]]),(OutputTable[GroupByKey]=OutputTable[[#This Row],[GroupByKey]])*OutputTable[RecordedValue])),0)</f>
        <v>6.1280007141721847E-2</v>
      </c>
      <c r="M36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4.3837076306762375E-2</v>
      </c>
      <c r="O365" cm="1">
        <f t="array" ref="O365">MIN(IF((OutputTable[GroupByKey]=OutputTable[[#This Row],[GroupByKey]]),(OutputTable[GroupByKey]=OutputTable[[#This Row],[GroupByKey]])*OutputTable[RecordedValue]))</f>
        <v>0.67060354368791897</v>
      </c>
      <c r="P365" cm="1">
        <f t="array" ref="P365">MAX(IF((OutputTable[GroupByKey]=OutputTable[[#This Row],[GroupByKey]]),(OutputTable[GroupByKey]=OutputTable[[#This Row],[GroupByKey]])*OutputTable[RecordedValue]))</f>
        <v>0.87728997349342697</v>
      </c>
    </row>
    <row r="366" spans="1:16" x14ac:dyDescent="0.25">
      <c r="A366" t="s">
        <v>67</v>
      </c>
      <c r="B366" t="s">
        <v>243</v>
      </c>
      <c r="C366">
        <v>5</v>
      </c>
      <c r="D366" t="s">
        <v>175</v>
      </c>
      <c r="E366" t="s">
        <v>152</v>
      </c>
      <c r="F366" t="s">
        <v>113</v>
      </c>
      <c r="G366">
        <v>8241</v>
      </c>
      <c r="H366">
        <v>0</v>
      </c>
      <c r="I366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366" cm="1">
        <f t="array" ref="J366">MAX(IF((ProjectInfoTable[ProjectName]=OutputTable[[#This Row],[ProjectName]]),(ProjectInfoTable[ProjectName]=OutputTable[[#This Row],[ProjectName]])*ProjectInfoTable[NumberOfReplications]))</f>
        <v>10</v>
      </c>
      <c r="K366" cm="1">
        <f t="array" ref="K366">IFERROR(AVERAGE(IF((OutputTable[GroupByKey]=OutputTable[[#This Row],[GroupByKey]]),(OutputTable[GroupByKey]=OutputTable[[#This Row],[GroupByKey]])*OutputTable[RecordedValue])),0)</f>
        <v>8231.5</v>
      </c>
      <c r="L366" cm="1">
        <f t="array" ref="L366">IFERROR(_xlfn.STDEV.S(IF((OutputTable[GroupByKey]=OutputTable[[#This Row],[GroupByKey]]),(OutputTable[GroupByKey]=OutputTable[[#This Row],[GroupByKey]])*OutputTable[RecordedValue])),0)</f>
        <v>6.3464775882199236</v>
      </c>
      <c r="M366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366" cm="1">
        <f t="array" ref="O366">MIN(IF((OutputTable[GroupByKey]=OutputTable[[#This Row],[GroupByKey]]),(OutputTable[GroupByKey]=OutputTable[[#This Row],[GroupByKey]])*OutputTable[RecordedValue]))</f>
        <v>8220</v>
      </c>
      <c r="P366" cm="1">
        <f t="array" ref="P366">MAX(IF((OutputTable[GroupByKey]=OutputTable[[#This Row],[GroupByKey]]),(OutputTable[GroupByKey]=OutputTable[[#This Row],[GroupByKey]])*OutputTable[RecordedValue]))</f>
        <v>8241</v>
      </c>
    </row>
    <row r="367" spans="1:16" x14ac:dyDescent="0.25">
      <c r="A367" t="s">
        <v>67</v>
      </c>
      <c r="B367" t="s">
        <v>243</v>
      </c>
      <c r="C367">
        <v>5</v>
      </c>
      <c r="D367" t="s">
        <v>176</v>
      </c>
      <c r="E367" t="s">
        <v>154</v>
      </c>
      <c r="F367" t="s">
        <v>113</v>
      </c>
      <c r="G367">
        <v>0.59886206518967</v>
      </c>
      <c r="H367">
        <v>0</v>
      </c>
      <c r="I367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367" cm="1">
        <f t="array" ref="J367">MAX(IF((ProjectInfoTable[ProjectName]=OutputTable[[#This Row],[ProjectName]]),(ProjectInfoTable[ProjectName]=OutputTable[[#This Row],[ProjectName]])*ProjectInfoTable[NumberOfReplications]))</f>
        <v>10</v>
      </c>
      <c r="K367" cm="1">
        <f t="array" ref="K367">IFERROR(AVERAGE(IF((OutputTable[GroupByKey]=OutputTable[[#This Row],[GroupByKey]]),(OutputTable[GroupByKey]=OutputTable[[#This Row],[GroupByKey]])*OutputTable[RecordedValue])),0)</f>
        <v>0.52391445815006699</v>
      </c>
      <c r="L367" cm="1">
        <f t="array" ref="L367">IFERROR(_xlfn.STDEV.S(IF((OutputTable[GroupByKey]=OutputTable[[#This Row],[GroupByKey]]),(OutputTable[GroupByKey]=OutputTable[[#This Row],[GroupByKey]])*OutputTable[RecordedValue])),0)</f>
        <v>7.0460308415606909E-2</v>
      </c>
      <c r="M367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5.0404268221927347E-2</v>
      </c>
      <c r="O367" cm="1">
        <f t="array" ref="O367">MIN(IF((OutputTable[GroupByKey]=OutputTable[[#This Row],[GroupByKey]]),(OutputTable[GroupByKey]=OutputTable[[#This Row],[GroupByKey]])*OutputTable[RecordedValue]))</f>
        <v>0.36555656561218303</v>
      </c>
      <c r="P367" cm="1">
        <f t="array" ref="P367">MAX(IF((OutputTable[GroupByKey]=OutputTable[[#This Row],[GroupByKey]]),(OutputTable[GroupByKey]=OutputTable[[#This Row],[GroupByKey]])*OutputTable[RecordedValue]))</f>
        <v>0.59886206518967</v>
      </c>
    </row>
    <row r="368" spans="1:16" x14ac:dyDescent="0.25">
      <c r="A368" t="s">
        <v>67</v>
      </c>
      <c r="B368" t="s">
        <v>243</v>
      </c>
      <c r="C368">
        <v>5</v>
      </c>
      <c r="D368" t="s">
        <v>177</v>
      </c>
      <c r="E368" t="s">
        <v>152</v>
      </c>
      <c r="F368" t="s">
        <v>113</v>
      </c>
      <c r="G368">
        <v>8237</v>
      </c>
      <c r="H368">
        <v>0</v>
      </c>
      <c r="I368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368" cm="1">
        <f t="array" ref="J368">MAX(IF((ProjectInfoTable[ProjectName]=OutputTable[[#This Row],[ProjectName]]),(ProjectInfoTable[ProjectName]=OutputTable[[#This Row],[ProjectName]])*ProjectInfoTable[NumberOfReplications]))</f>
        <v>10</v>
      </c>
      <c r="K368" cm="1">
        <f t="array" ref="K368">IFERROR(AVERAGE(IF((OutputTable[GroupByKey]=OutputTable[[#This Row],[GroupByKey]]),(OutputTable[GroupByKey]=OutputTable[[#This Row],[GroupByKey]])*OutputTable[RecordedValue])),0)</f>
        <v>8227.7000000000007</v>
      </c>
      <c r="L368" cm="1">
        <f t="array" ref="L368">IFERROR(_xlfn.STDEV.S(IF((OutputTable[GroupByKey]=OutputTable[[#This Row],[GroupByKey]]),(OutputTable[GroupByKey]=OutputTable[[#This Row],[GroupByKey]])*OutputTable[RecordedValue])),0)</f>
        <v>6.2902040242480748</v>
      </c>
      <c r="M368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368" cm="1">
        <f t="array" ref="O368">MIN(IF((OutputTable[GroupByKey]=OutputTable[[#This Row],[GroupByKey]]),(OutputTable[GroupByKey]=OutputTable[[#This Row],[GroupByKey]])*OutputTable[RecordedValue]))</f>
        <v>8216</v>
      </c>
      <c r="P368" cm="1">
        <f t="array" ref="P368">MAX(IF((OutputTable[GroupByKey]=OutputTable[[#This Row],[GroupByKey]]),(OutputTable[GroupByKey]=OutputTable[[#This Row],[GroupByKey]])*OutputTable[RecordedValue]))</f>
        <v>8237</v>
      </c>
    </row>
    <row r="369" spans="1:16" x14ac:dyDescent="0.25">
      <c r="A369" t="s">
        <v>67</v>
      </c>
      <c r="B369" t="s">
        <v>243</v>
      </c>
      <c r="C369">
        <v>5</v>
      </c>
      <c r="D369" t="s">
        <v>178</v>
      </c>
      <c r="E369" t="s">
        <v>154</v>
      </c>
      <c r="F369" t="s">
        <v>113</v>
      </c>
      <c r="G369">
        <v>0.14985050053976801</v>
      </c>
      <c r="H369">
        <v>0</v>
      </c>
      <c r="I369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369" cm="1">
        <f t="array" ref="J369">MAX(IF((ProjectInfoTable[ProjectName]=OutputTable[[#This Row],[ProjectName]]),(ProjectInfoTable[ProjectName]=OutputTable[[#This Row],[ProjectName]])*ProjectInfoTable[NumberOfReplications]))</f>
        <v>10</v>
      </c>
      <c r="K369" cm="1">
        <f t="array" ref="K369">IFERROR(AVERAGE(IF((OutputTable[GroupByKey]=OutputTable[[#This Row],[GroupByKey]]),(OutputTable[GroupByKey]=OutputTable[[#This Row],[GroupByKey]])*OutputTable[RecordedValue])),0)</f>
        <v>0.14955853655775292</v>
      </c>
      <c r="L369" cm="1">
        <f t="array" ref="L369">IFERROR(_xlfn.STDEV.S(IF((OutputTable[GroupByKey]=OutputTable[[#This Row],[GroupByKey]]),(OutputTable[GroupByKey]=OutputTable[[#This Row],[GroupByKey]])*OutputTable[RecordedValue])),0)</f>
        <v>1.8487754554887928E-4</v>
      </c>
      <c r="M369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1.3225342896729691E-4</v>
      </c>
      <c r="O369" cm="1">
        <f t="array" ref="O369">MIN(IF((OutputTable[GroupByKey]=OutputTable[[#This Row],[GroupByKey]]),(OutputTable[GroupByKey]=OutputTable[[#This Row],[GroupByKey]])*OutputTable[RecordedValue]))</f>
        <v>0.14921189842985499</v>
      </c>
      <c r="P369" cm="1">
        <f t="array" ref="P369">MAX(IF((OutputTable[GroupByKey]=OutputTable[[#This Row],[GroupByKey]]),(OutputTable[GroupByKey]=OutputTable[[#This Row],[GroupByKey]])*OutputTable[RecordedValue]))</f>
        <v>0.14985050053976801</v>
      </c>
    </row>
    <row r="370" spans="1:16" x14ac:dyDescent="0.25">
      <c r="A370" t="s">
        <v>67</v>
      </c>
      <c r="B370" t="s">
        <v>243</v>
      </c>
      <c r="C370">
        <v>5</v>
      </c>
      <c r="D370" t="s">
        <v>179</v>
      </c>
      <c r="E370" t="s">
        <v>152</v>
      </c>
      <c r="F370" t="s">
        <v>113</v>
      </c>
      <c r="G370">
        <v>18405</v>
      </c>
      <c r="H370">
        <v>0</v>
      </c>
      <c r="I370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370" cm="1">
        <f t="array" ref="J370">MAX(IF((ProjectInfoTable[ProjectName]=OutputTable[[#This Row],[ProjectName]]),(ProjectInfoTable[ProjectName]=OutputTable[[#This Row],[ProjectName]])*ProjectInfoTable[NumberOfReplications]))</f>
        <v>10</v>
      </c>
      <c r="K370" cm="1">
        <f t="array" ref="K370">IFERROR(AVERAGE(IF((OutputTable[GroupByKey]=OutputTable[[#This Row],[GroupByKey]]),(OutputTable[GroupByKey]=OutputTable[[#This Row],[GroupByKey]])*OutputTable[RecordedValue])),0)</f>
        <v>18392</v>
      </c>
      <c r="L370" cm="1">
        <f t="array" ref="L370">IFERROR(_xlfn.STDEV.S(IF((OutputTable[GroupByKey]=OutputTable[[#This Row],[GroupByKey]]),(OutputTable[GroupByKey]=OutputTable[[#This Row],[GroupByKey]])*OutputTable[RecordedValue])),0)</f>
        <v>12.884098726725126</v>
      </c>
      <c r="M370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370" cm="1">
        <f t="array" ref="O370">MIN(IF((OutputTable[GroupByKey]=OutputTable[[#This Row],[GroupByKey]]),(OutputTable[GroupByKey]=OutputTable[[#This Row],[GroupByKey]])*OutputTable[RecordedValue]))</f>
        <v>18376</v>
      </c>
      <c r="P370" cm="1">
        <f t="array" ref="P370">MAX(IF((OutputTable[GroupByKey]=OutputTable[[#This Row],[GroupByKey]]),(OutputTable[GroupByKey]=OutputTable[[#This Row],[GroupByKey]])*OutputTable[RecordedValue]))</f>
        <v>18407</v>
      </c>
    </row>
    <row r="371" spans="1:16" x14ac:dyDescent="0.25">
      <c r="A371" t="s">
        <v>67</v>
      </c>
      <c r="B371" t="s">
        <v>243</v>
      </c>
      <c r="C371">
        <v>5</v>
      </c>
      <c r="D371" t="s">
        <v>180</v>
      </c>
      <c r="E371" t="s">
        <v>154</v>
      </c>
      <c r="F371" t="s">
        <v>113</v>
      </c>
      <c r="G371">
        <v>0.90105208693160599</v>
      </c>
      <c r="H371">
        <v>0</v>
      </c>
      <c r="I371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371" cm="1">
        <f t="array" ref="J371">MAX(IF((ProjectInfoTable[ProjectName]=OutputTable[[#This Row],[ProjectName]]),(ProjectInfoTable[ProjectName]=OutputTable[[#This Row],[ProjectName]])*ProjectInfoTable[NumberOfReplications]))</f>
        <v>10</v>
      </c>
      <c r="K371" cm="1">
        <f t="array" ref="K371">IFERROR(AVERAGE(IF((OutputTable[GroupByKey]=OutputTable[[#This Row],[GroupByKey]]),(OutputTable[GroupByKey]=OutputTable[[#This Row],[GroupByKey]])*OutputTable[RecordedValue])),0)</f>
        <v>0.78490250681152463</v>
      </c>
      <c r="L371" cm="1">
        <f t="array" ref="L371">IFERROR(_xlfn.STDEV.S(IF((OutputTable[GroupByKey]=OutputTable[[#This Row],[GroupByKey]]),(OutputTable[GroupByKey]=OutputTable[[#This Row],[GroupByKey]])*OutputTable[RecordedValue])),0)</f>
        <v>0.11345978752761485</v>
      </c>
      <c r="M371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8.1164242557843561E-2</v>
      </c>
      <c r="O371" cm="1">
        <f t="array" ref="O371">MIN(IF((OutputTable[GroupByKey]=OutputTable[[#This Row],[GroupByKey]]),(OutputTable[GroupByKey]=OutputTable[[#This Row],[GroupByKey]])*OutputTable[RecordedValue]))</f>
        <v>0.58338388917401596</v>
      </c>
      <c r="P371" cm="1">
        <f t="array" ref="P371">MAX(IF((OutputTable[GroupByKey]=OutputTable[[#This Row],[GroupByKey]]),(OutputTable[GroupByKey]=OutputTable[[#This Row],[GroupByKey]])*OutputTable[RecordedValue]))</f>
        <v>0.90111632059041802</v>
      </c>
    </row>
    <row r="372" spans="1:16" x14ac:dyDescent="0.25">
      <c r="A372" t="s">
        <v>67</v>
      </c>
      <c r="B372" t="s">
        <v>243</v>
      </c>
      <c r="C372">
        <v>5</v>
      </c>
      <c r="D372" t="s">
        <v>181</v>
      </c>
      <c r="E372" t="s">
        <v>152</v>
      </c>
      <c r="F372" t="s">
        <v>113</v>
      </c>
      <c r="G372">
        <v>18401</v>
      </c>
      <c r="H372">
        <v>0</v>
      </c>
      <c r="I372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372" cm="1">
        <f t="array" ref="J372">MAX(IF((ProjectInfoTable[ProjectName]=OutputTable[[#This Row],[ProjectName]]),(ProjectInfoTable[ProjectName]=OutputTable[[#This Row],[ProjectName]])*ProjectInfoTable[NumberOfReplications]))</f>
        <v>10</v>
      </c>
      <c r="K372" cm="1">
        <f t="array" ref="K372">IFERROR(AVERAGE(IF((OutputTable[GroupByKey]=OutputTable[[#This Row],[GroupByKey]]),(OutputTable[GroupByKey]=OutputTable[[#This Row],[GroupByKey]])*OutputTable[RecordedValue])),0)</f>
        <v>18389.400000000001</v>
      </c>
      <c r="L372" cm="1">
        <f t="array" ref="L372">IFERROR(_xlfn.STDEV.S(IF((OutputTable[GroupByKey]=OutputTable[[#This Row],[GroupByKey]]),(OutputTable[GroupByKey]=OutputTable[[#This Row],[GroupByKey]])*OutputTable[RecordedValue])),0)</f>
        <v>12.103259432437566</v>
      </c>
      <c r="M372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372" cm="1">
        <f t="array" ref="O372">MIN(IF((OutputTable[GroupByKey]=OutputTable[[#This Row],[GroupByKey]]),(OutputTable[GroupByKey]=OutputTable[[#This Row],[GroupByKey]])*OutputTable[RecordedValue]))</f>
        <v>18376</v>
      </c>
      <c r="P372" cm="1">
        <f t="array" ref="P372">MAX(IF((OutputTable[GroupByKey]=OutputTable[[#This Row],[GroupByKey]]),(OutputTable[GroupByKey]=OutputTable[[#This Row],[GroupByKey]])*OutputTable[RecordedValue]))</f>
        <v>18404</v>
      </c>
    </row>
    <row r="373" spans="1:16" x14ac:dyDescent="0.25">
      <c r="A373" t="s">
        <v>67</v>
      </c>
      <c r="B373" t="s">
        <v>243</v>
      </c>
      <c r="C373">
        <v>5</v>
      </c>
      <c r="D373" t="s">
        <v>182</v>
      </c>
      <c r="E373" t="s">
        <v>154</v>
      </c>
      <c r="F373" t="s">
        <v>113</v>
      </c>
      <c r="G373">
        <v>0.15880301819842199</v>
      </c>
      <c r="H373">
        <v>0</v>
      </c>
      <c r="I373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373" cm="1">
        <f t="array" ref="J373">MAX(IF((ProjectInfoTable[ProjectName]=OutputTable[[#This Row],[ProjectName]]),(ProjectInfoTable[ProjectName]=OutputTable[[#This Row],[ProjectName]])*ProjectInfoTable[NumberOfReplications]))</f>
        <v>10</v>
      </c>
      <c r="K373" cm="1">
        <f t="array" ref="K373">IFERROR(AVERAGE(IF((OutputTable[GroupByKey]=OutputTable[[#This Row],[GroupByKey]]),(OutputTable[GroupByKey]=OutputTable[[#This Row],[GroupByKey]])*OutputTable[RecordedValue])),0)</f>
        <v>0.15879210791146151</v>
      </c>
      <c r="L373" cm="1">
        <f t="array" ref="L373">IFERROR(_xlfn.STDEV.S(IF((OutputTable[GroupByKey]=OutputTable[[#This Row],[GroupByKey]]),(OutputTable[GroupByKey]=OutputTable[[#This Row],[GroupByKey]])*OutputTable[RecordedValue])),0)</f>
        <v>8.8786593843692651E-6</v>
      </c>
      <c r="M373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6.3514103063698042E-6</v>
      </c>
      <c r="O373" cm="1">
        <f t="array" ref="O373">MIN(IF((OutputTable[GroupByKey]=OutputTable[[#This Row],[GroupByKey]]),(OutputTable[GroupByKey]=OutputTable[[#This Row],[GroupByKey]])*OutputTable[RecordedValue]))</f>
        <v>0.15877821852350199</v>
      </c>
      <c r="P373" cm="1">
        <f t="array" ref="P373">MAX(IF((OutputTable[GroupByKey]=OutputTable[[#This Row],[GroupByKey]]),(OutputTable[GroupByKey]=OutputTable[[#This Row],[GroupByKey]])*OutputTable[RecordedValue]))</f>
        <v>0.15880443244107401</v>
      </c>
    </row>
    <row r="374" spans="1:16" x14ac:dyDescent="0.25">
      <c r="A374" t="s">
        <v>67</v>
      </c>
      <c r="B374" t="s">
        <v>243</v>
      </c>
      <c r="C374">
        <v>5</v>
      </c>
      <c r="D374" t="s">
        <v>183</v>
      </c>
      <c r="E374" t="s">
        <v>152</v>
      </c>
      <c r="F374" t="s">
        <v>113</v>
      </c>
      <c r="G374">
        <v>13114</v>
      </c>
      <c r="H374">
        <v>0</v>
      </c>
      <c r="I374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374" cm="1">
        <f t="array" ref="J374">MAX(IF((ProjectInfoTable[ProjectName]=OutputTable[[#This Row],[ProjectName]]),(ProjectInfoTable[ProjectName]=OutputTable[[#This Row],[ProjectName]])*ProjectInfoTable[NumberOfReplications]))</f>
        <v>10</v>
      </c>
      <c r="K374" cm="1">
        <f t="array" ref="K374">IFERROR(AVERAGE(IF((OutputTable[GroupByKey]=OutputTable[[#This Row],[GroupByKey]]),(OutputTable[GroupByKey]=OutputTable[[#This Row],[GroupByKey]])*OutputTable[RecordedValue])),0)</f>
        <v>13103.5</v>
      </c>
      <c r="L374" cm="1">
        <f t="array" ref="L374">IFERROR(_xlfn.STDEV.S(IF((OutputTable[GroupByKey]=OutputTable[[#This Row],[GroupByKey]]),(OutputTable[GroupByKey]=OutputTable[[#This Row],[GroupByKey]])*OutputTable[RecordedValue])),0)</f>
        <v>11.443095929181249</v>
      </c>
      <c r="M374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374" cm="1">
        <f t="array" ref="O374">MIN(IF((OutputTable[GroupByKey]=OutputTable[[#This Row],[GroupByKey]]),(OutputTable[GroupByKey]=OutputTable[[#This Row],[GroupByKey]])*OutputTable[RecordedValue]))</f>
        <v>13087</v>
      </c>
      <c r="P374" cm="1">
        <f t="array" ref="P374">MAX(IF((OutputTable[GroupByKey]=OutputTable[[#This Row],[GroupByKey]]),(OutputTable[GroupByKey]=OutputTable[[#This Row],[GroupByKey]])*OutputTable[RecordedValue]))</f>
        <v>13120</v>
      </c>
    </row>
    <row r="375" spans="1:16" x14ac:dyDescent="0.25">
      <c r="A375" t="s">
        <v>67</v>
      </c>
      <c r="B375" t="s">
        <v>243</v>
      </c>
      <c r="C375">
        <v>5</v>
      </c>
      <c r="D375" t="s">
        <v>184</v>
      </c>
      <c r="E375" t="s">
        <v>154</v>
      </c>
      <c r="F375" t="s">
        <v>113</v>
      </c>
      <c r="G375">
        <v>1.00041794935483</v>
      </c>
      <c r="H375">
        <v>0</v>
      </c>
      <c r="I375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375" cm="1">
        <f t="array" ref="J375">MAX(IF((ProjectInfoTable[ProjectName]=OutputTable[[#This Row],[ProjectName]]),(ProjectInfoTable[ProjectName]=OutputTable[[#This Row],[ProjectName]])*ProjectInfoTable[NumberOfReplications]))</f>
        <v>10</v>
      </c>
      <c r="K375" cm="1">
        <f t="array" ref="K375">IFERROR(AVERAGE(IF((OutputTable[GroupByKey]=OutputTable[[#This Row],[GroupByKey]]),(OutputTable[GroupByKey]=OutputTable[[#This Row],[GroupByKey]])*OutputTable[RecordedValue])),0)</f>
        <v>1.0004814685732331</v>
      </c>
      <c r="L375" cm="1">
        <f t="array" ref="L375">IFERROR(_xlfn.STDEV.S(IF((OutputTable[GroupByKey]=OutputTable[[#This Row],[GroupByKey]]),(OutputTable[GroupByKey]=OutputTable[[#This Row],[GroupByKey]])*OutputTable[RecordedValue])),0)</f>
        <v>7.4280555176725285E-5</v>
      </c>
      <c r="M37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5.3137108125005439E-5</v>
      </c>
      <c r="O375" cm="1">
        <f t="array" ref="O375">MIN(IF((OutputTable[GroupByKey]=OutputTable[[#This Row],[GroupByKey]]),(OutputTable[GroupByKey]=OutputTable[[#This Row],[GroupByKey]])*OutputTable[RecordedValue]))</f>
        <v>1.00039897320567</v>
      </c>
      <c r="P375" cm="1">
        <f t="array" ref="P375">MAX(IF((OutputTable[GroupByKey]=OutputTable[[#This Row],[GroupByKey]]),(OutputTable[GroupByKey]=OutputTable[[#This Row],[GroupByKey]])*OutputTable[RecordedValue]))</f>
        <v>1.00059414734778</v>
      </c>
    </row>
    <row r="376" spans="1:16" x14ac:dyDescent="0.25">
      <c r="A376" t="s">
        <v>67</v>
      </c>
      <c r="B376" t="s">
        <v>243</v>
      </c>
      <c r="C376">
        <v>5</v>
      </c>
      <c r="D376" t="s">
        <v>185</v>
      </c>
      <c r="E376" t="s">
        <v>152</v>
      </c>
      <c r="F376" t="s">
        <v>113</v>
      </c>
      <c r="G376">
        <v>13111</v>
      </c>
      <c r="H376">
        <v>0</v>
      </c>
      <c r="I376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376" cm="1">
        <f t="array" ref="J376">MAX(IF((ProjectInfoTable[ProjectName]=OutputTable[[#This Row],[ProjectName]]),(ProjectInfoTable[ProjectName]=OutputTable[[#This Row],[ProjectName]])*ProjectInfoTable[NumberOfReplications]))</f>
        <v>10</v>
      </c>
      <c r="K376" cm="1">
        <f t="array" ref="K376">IFERROR(AVERAGE(IF((OutputTable[GroupByKey]=OutputTable[[#This Row],[GroupByKey]]),(OutputTable[GroupByKey]=OutputTable[[#This Row],[GroupByKey]])*OutputTable[RecordedValue])),0)</f>
        <v>13100.1</v>
      </c>
      <c r="L376" cm="1">
        <f t="array" ref="L376">IFERROR(_xlfn.STDEV.S(IF((OutputTable[GroupByKey]=OutputTable[[#This Row],[GroupByKey]]),(OutputTable[GroupByKey]=OutputTable[[#This Row],[GroupByKey]])*OutputTable[RecordedValue])),0)</f>
        <v>11.46443776786866</v>
      </c>
      <c r="M376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376" cm="1">
        <f t="array" ref="O376">MIN(IF((OutputTable[GroupByKey]=OutputTable[[#This Row],[GroupByKey]]),(OutputTable[GroupByKey]=OutputTable[[#This Row],[GroupByKey]])*OutputTable[RecordedValue]))</f>
        <v>13083</v>
      </c>
      <c r="P376" cm="1">
        <f t="array" ref="P376">MAX(IF((OutputTable[GroupByKey]=OutputTable[[#This Row],[GroupByKey]]),(OutputTable[GroupByKey]=OutputTable[[#This Row],[GroupByKey]])*OutputTable[RecordedValue]))</f>
        <v>13118</v>
      </c>
    </row>
    <row r="377" spans="1:16" x14ac:dyDescent="0.25">
      <c r="A377" t="s">
        <v>67</v>
      </c>
      <c r="B377" t="s">
        <v>243</v>
      </c>
      <c r="C377">
        <v>5</v>
      </c>
      <c r="D377" t="s">
        <v>186</v>
      </c>
      <c r="E377" t="s">
        <v>154</v>
      </c>
      <c r="F377" t="s">
        <v>113</v>
      </c>
      <c r="G377">
        <v>0.72896261310967603</v>
      </c>
      <c r="H377">
        <v>0</v>
      </c>
      <c r="I377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377" cm="1">
        <f t="array" ref="J377">MAX(IF((ProjectInfoTable[ProjectName]=OutputTable[[#This Row],[ProjectName]]),(ProjectInfoTable[ProjectName]=OutputTable[[#This Row],[ProjectName]])*ProjectInfoTable[NumberOfReplications]))</f>
        <v>10</v>
      </c>
      <c r="K377" cm="1">
        <f t="array" ref="K377">IFERROR(AVERAGE(IF((OutputTable[GroupByKey]=OutputTable[[#This Row],[GroupByKey]]),(OutputTable[GroupByKey]=OutputTable[[#This Row],[GroupByKey]])*OutputTable[RecordedValue])),0)</f>
        <v>0.7279059511079462</v>
      </c>
      <c r="L377" cm="1">
        <f t="array" ref="L377">IFERROR(_xlfn.STDEV.S(IF((OutputTable[GroupByKey]=OutputTable[[#This Row],[GroupByKey]]),(OutputTable[GroupByKey]=OutputTable[[#This Row],[GroupByKey]])*OutputTable[RecordedValue])),0)</f>
        <v>7.0848304180243249E-4</v>
      </c>
      <c r="M377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5.0681823671647316E-4</v>
      </c>
      <c r="O377" cm="1">
        <f t="array" ref="O377">MIN(IF((OutputTable[GroupByKey]=OutputTable[[#This Row],[GroupByKey]]),(OutputTable[GroupByKey]=OutputTable[[#This Row],[GroupByKey]])*OutputTable[RecordedValue]))</f>
        <v>0.72665767143328297</v>
      </c>
      <c r="P377" cm="1">
        <f t="array" ref="P377">MAX(IF((OutputTable[GroupByKey]=OutputTable[[#This Row],[GroupByKey]]),(OutputTable[GroupByKey]=OutputTable[[#This Row],[GroupByKey]])*OutputTable[RecordedValue]))</f>
        <v>0.72896261310967603</v>
      </c>
    </row>
    <row r="378" spans="1:16" x14ac:dyDescent="0.25">
      <c r="A378" t="s">
        <v>67</v>
      </c>
      <c r="B378" t="s">
        <v>243</v>
      </c>
      <c r="C378">
        <v>5</v>
      </c>
      <c r="D378" t="s">
        <v>187</v>
      </c>
      <c r="E378" t="s">
        <v>152</v>
      </c>
      <c r="F378" t="s">
        <v>113</v>
      </c>
      <c r="G378">
        <v>13111</v>
      </c>
      <c r="H378">
        <v>0</v>
      </c>
      <c r="I378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378" cm="1">
        <f t="array" ref="J378">MAX(IF((ProjectInfoTable[ProjectName]=OutputTable[[#This Row],[ProjectName]]),(ProjectInfoTable[ProjectName]=OutputTable[[#This Row],[ProjectName]])*ProjectInfoTable[NumberOfReplications]))</f>
        <v>10</v>
      </c>
      <c r="K378" cm="1">
        <f t="array" ref="K378">IFERROR(AVERAGE(IF((OutputTable[GroupByKey]=OutputTable[[#This Row],[GroupByKey]]),(OutputTable[GroupByKey]=OutputTable[[#This Row],[GroupByKey]])*OutputTable[RecordedValue])),0)</f>
        <v>13099.9</v>
      </c>
      <c r="L378" cm="1">
        <f t="array" ref="L378">IFERROR(_xlfn.STDEV.S(IF((OutputTable[GroupByKey]=OutputTable[[#This Row],[GroupByKey]]),(OutputTable[GroupByKey]=OutputTable[[#This Row],[GroupByKey]])*OutputTable[RecordedValue])),0)</f>
        <v>11.761046816598522</v>
      </c>
      <c r="M378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378" cm="1">
        <f t="array" ref="O378">MIN(IF((OutputTable[GroupByKey]=OutputTable[[#This Row],[GroupByKey]]),(OutputTable[GroupByKey]=OutputTable[[#This Row],[GroupByKey]])*OutputTable[RecordedValue]))</f>
        <v>13082</v>
      </c>
      <c r="P378" cm="1">
        <f t="array" ref="P378">MAX(IF((OutputTable[GroupByKey]=OutputTable[[#This Row],[GroupByKey]]),(OutputTable[GroupByKey]=OutputTable[[#This Row],[GroupByKey]])*OutputTable[RecordedValue]))</f>
        <v>13118</v>
      </c>
    </row>
    <row r="379" spans="1:16" x14ac:dyDescent="0.25">
      <c r="A379" t="s">
        <v>67</v>
      </c>
      <c r="B379" t="s">
        <v>243</v>
      </c>
      <c r="C379">
        <v>5</v>
      </c>
      <c r="D379" t="s">
        <v>188</v>
      </c>
      <c r="E379" t="s">
        <v>154</v>
      </c>
      <c r="F379" t="s">
        <v>113</v>
      </c>
      <c r="G379">
        <v>0.95544811306836497</v>
      </c>
      <c r="H379">
        <v>0</v>
      </c>
      <c r="I379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379" cm="1">
        <f t="array" ref="J379">MAX(IF((ProjectInfoTable[ProjectName]=OutputTable[[#This Row],[ProjectName]]),(ProjectInfoTable[ProjectName]=OutputTable[[#This Row],[ProjectName]])*ProjectInfoTable[NumberOfReplications]))</f>
        <v>10</v>
      </c>
      <c r="K379" cm="1">
        <f t="array" ref="K379">IFERROR(AVERAGE(IF((OutputTable[GroupByKey]=OutputTable[[#This Row],[GroupByKey]]),(OutputTable[GroupByKey]=OutputTable[[#This Row],[GroupByKey]])*OutputTable[RecordedValue])),0)</f>
        <v>0.95483842565389732</v>
      </c>
      <c r="L379" cm="1">
        <f t="array" ref="L379">IFERROR(_xlfn.STDEV.S(IF((OutputTable[GroupByKey]=OutputTable[[#This Row],[GroupByKey]]),(OutputTable[GroupByKey]=OutputTable[[#This Row],[GroupByKey]])*OutputTable[RecordedValue])),0)</f>
        <v>7.6849017135544289E-4</v>
      </c>
      <c r="M379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5.497447512496955E-4</v>
      </c>
      <c r="O379" cm="1">
        <f t="array" ref="O379">MIN(IF((OutputTable[GroupByKey]=OutputTable[[#This Row],[GroupByKey]]),(OutputTable[GroupByKey]=OutputTable[[#This Row],[GroupByKey]])*OutputTable[RecordedValue]))</f>
        <v>0.95348679569453398</v>
      </c>
      <c r="P379" cm="1">
        <f t="array" ref="P379">MAX(IF((OutputTable[GroupByKey]=OutputTable[[#This Row],[GroupByKey]]),(OutputTable[GroupByKey]=OutputTable[[#This Row],[GroupByKey]])*OutputTable[RecordedValue]))</f>
        <v>0.95588678098879198</v>
      </c>
    </row>
    <row r="380" spans="1:16" x14ac:dyDescent="0.25">
      <c r="A380" t="s">
        <v>67</v>
      </c>
      <c r="B380" t="s">
        <v>243</v>
      </c>
      <c r="C380">
        <v>5</v>
      </c>
      <c r="D380" t="s">
        <v>189</v>
      </c>
      <c r="E380" t="s">
        <v>152</v>
      </c>
      <c r="F380" t="s">
        <v>113</v>
      </c>
      <c r="G380">
        <v>8245</v>
      </c>
      <c r="H380">
        <v>0</v>
      </c>
      <c r="I380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380" cm="1">
        <f t="array" ref="J380">MAX(IF((ProjectInfoTable[ProjectName]=OutputTable[[#This Row],[ProjectName]]),(ProjectInfoTable[ProjectName]=OutputTable[[#This Row],[ProjectName]])*ProjectInfoTable[NumberOfReplications]))</f>
        <v>10</v>
      </c>
      <c r="K380" cm="1">
        <f t="array" ref="K380">IFERROR(AVERAGE(IF((OutputTable[GroupByKey]=OutputTable[[#This Row],[GroupByKey]]),(OutputTable[GroupByKey]=OutputTable[[#This Row],[GroupByKey]])*OutputTable[RecordedValue])),0)</f>
        <v>8235</v>
      </c>
      <c r="L380" cm="1">
        <f t="array" ref="L380">IFERROR(_xlfn.STDEV.S(IF((OutputTable[GroupByKey]=OutputTable[[#This Row],[GroupByKey]]),(OutputTable[GroupByKey]=OutputTable[[#This Row],[GroupByKey]])*OutputTable[RecordedValue])),0)</f>
        <v>6.5659052011974035</v>
      </c>
      <c r="M380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380" cm="1">
        <f t="array" ref="O380">MIN(IF((OutputTable[GroupByKey]=OutputTable[[#This Row],[GroupByKey]]),(OutputTable[GroupByKey]=OutputTable[[#This Row],[GroupByKey]])*OutputTable[RecordedValue]))</f>
        <v>8223</v>
      </c>
      <c r="P380" cm="1">
        <f t="array" ref="P380">MAX(IF((OutputTable[GroupByKey]=OutputTable[[#This Row],[GroupByKey]]),(OutputTable[GroupByKey]=OutputTable[[#This Row],[GroupByKey]])*OutputTable[RecordedValue]))</f>
        <v>8245</v>
      </c>
    </row>
    <row r="381" spans="1:16" x14ac:dyDescent="0.25">
      <c r="A381" t="s">
        <v>67</v>
      </c>
      <c r="B381" t="s">
        <v>243</v>
      </c>
      <c r="C381">
        <v>5</v>
      </c>
      <c r="D381" t="s">
        <v>190</v>
      </c>
      <c r="E381" t="s">
        <v>154</v>
      </c>
      <c r="F381" t="s">
        <v>113</v>
      </c>
      <c r="G381">
        <v>0.48724920721519499</v>
      </c>
      <c r="H381">
        <v>0</v>
      </c>
      <c r="I381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381" cm="1">
        <f t="array" ref="J381">MAX(IF((ProjectInfoTable[ProjectName]=OutputTable[[#This Row],[ProjectName]]),(ProjectInfoTable[ProjectName]=OutputTable[[#This Row],[ProjectName]])*ProjectInfoTable[NumberOfReplications]))</f>
        <v>10</v>
      </c>
      <c r="K381" cm="1">
        <f t="array" ref="K381">IFERROR(AVERAGE(IF((OutputTable[GroupByKey]=OutputTable[[#This Row],[GroupByKey]]),(OutputTable[GroupByKey]=OutputTable[[#This Row],[GroupByKey]])*OutputTable[RecordedValue])),0)</f>
        <v>0.48622459141633045</v>
      </c>
      <c r="L381" cm="1">
        <f t="array" ref="L381">IFERROR(_xlfn.STDEV.S(IF((OutputTable[GroupByKey]=OutputTable[[#This Row],[GroupByKey]]),(OutputTable[GroupByKey]=OutputTable[[#This Row],[GroupByKey]])*OutputTable[RecordedValue])),0)</f>
        <v>7.2585329819825151E-4</v>
      </c>
      <c r="M381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5.1924416958770345E-4</v>
      </c>
      <c r="O381" cm="1">
        <f t="array" ref="O381">MIN(IF((OutputTable[GroupByKey]=OutputTable[[#This Row],[GroupByKey]]),(OutputTable[GroupByKey]=OutputTable[[#This Row],[GroupByKey]])*OutputTable[RecordedValue]))</f>
        <v>0.48503601840289501</v>
      </c>
      <c r="P381" cm="1">
        <f t="array" ref="P381">MAX(IF((OutputTable[GroupByKey]=OutputTable[[#This Row],[GroupByKey]]),(OutputTable[GroupByKey]=OutputTable[[#This Row],[GroupByKey]])*OutputTable[RecordedValue]))</f>
        <v>0.48724920721519499</v>
      </c>
    </row>
    <row r="382" spans="1:16" x14ac:dyDescent="0.25">
      <c r="A382" t="s">
        <v>67</v>
      </c>
      <c r="B382" t="s">
        <v>243</v>
      </c>
      <c r="C382">
        <v>5</v>
      </c>
      <c r="D382" t="s">
        <v>191</v>
      </c>
      <c r="E382" t="s">
        <v>152</v>
      </c>
      <c r="F382" t="s">
        <v>113</v>
      </c>
      <c r="G382">
        <v>8243</v>
      </c>
      <c r="H382">
        <v>0</v>
      </c>
      <c r="I382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382" cm="1">
        <f t="array" ref="J382">MAX(IF((ProjectInfoTable[ProjectName]=OutputTable[[#This Row],[ProjectName]]),(ProjectInfoTable[ProjectName]=OutputTable[[#This Row],[ProjectName]])*ProjectInfoTable[NumberOfReplications]))</f>
        <v>10</v>
      </c>
      <c r="K382" cm="1">
        <f t="array" ref="K382">IFERROR(AVERAGE(IF((OutputTable[GroupByKey]=OutputTable[[#This Row],[GroupByKey]]),(OutputTable[GroupByKey]=OutputTable[[#This Row],[GroupByKey]])*OutputTable[RecordedValue])),0)</f>
        <v>8233.5</v>
      </c>
      <c r="L382" cm="1">
        <f t="array" ref="L382">IFERROR(_xlfn.STDEV.S(IF((OutputTable[GroupByKey]=OutputTable[[#This Row],[GroupByKey]]),(OutputTable[GroupByKey]=OutputTable[[#This Row],[GroupByKey]])*OutputTable[RecordedValue])),0)</f>
        <v>6.5021364010437201</v>
      </c>
      <c r="M382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382" cm="1">
        <f t="array" ref="O382">MIN(IF((OutputTable[GroupByKey]=OutputTable[[#This Row],[GroupByKey]]),(OutputTable[GroupByKey]=OutputTable[[#This Row],[GroupByKey]])*OutputTable[RecordedValue]))</f>
        <v>8221</v>
      </c>
      <c r="P382" cm="1">
        <f t="array" ref="P382">MAX(IF((OutputTable[GroupByKey]=OutputTable[[#This Row],[GroupByKey]]),(OutputTable[GroupByKey]=OutputTable[[#This Row],[GroupByKey]])*OutputTable[RecordedValue]))</f>
        <v>8243</v>
      </c>
    </row>
    <row r="383" spans="1:16" x14ac:dyDescent="0.25">
      <c r="A383" t="s">
        <v>67</v>
      </c>
      <c r="B383" t="s">
        <v>243</v>
      </c>
      <c r="C383">
        <v>5</v>
      </c>
      <c r="D383" t="s">
        <v>192</v>
      </c>
      <c r="E383" t="s">
        <v>154</v>
      </c>
      <c r="F383" t="s">
        <v>113</v>
      </c>
      <c r="G383">
        <v>0.57170935216893504</v>
      </c>
      <c r="H383">
        <v>0</v>
      </c>
      <c r="I383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383" cm="1">
        <f t="array" ref="J383">MAX(IF((ProjectInfoTable[ProjectName]=OutputTable[[#This Row],[ProjectName]]),(ProjectInfoTable[ProjectName]=OutputTable[[#This Row],[ProjectName]])*ProjectInfoTable[NumberOfReplications]))</f>
        <v>10</v>
      </c>
      <c r="K383" cm="1">
        <f t="array" ref="K383">IFERROR(AVERAGE(IF((OutputTable[GroupByKey]=OutputTable[[#This Row],[GroupByKey]]),(OutputTable[GroupByKey]=OutputTable[[#This Row],[GroupByKey]])*OutputTable[RecordedValue])),0)</f>
        <v>0.57195959594019841</v>
      </c>
      <c r="L383" cm="1">
        <f t="array" ref="L383">IFERROR(_xlfn.STDEV.S(IF((OutputTable[GroupByKey]=OutputTable[[#This Row],[GroupByKey]]),(OutputTable[GroupByKey]=OutputTable[[#This Row],[GroupByKey]])*OutputTable[RecordedValue])),0)</f>
        <v>5.0695895005827636E-4</v>
      </c>
      <c r="M383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3.6265658596782525E-4</v>
      </c>
      <c r="O383" cm="1">
        <f t="array" ref="O383">MIN(IF((OutputTable[GroupByKey]=OutputTable[[#This Row],[GroupByKey]]),(OutputTable[GroupByKey]=OutputTable[[#This Row],[GroupByKey]])*OutputTable[RecordedValue]))</f>
        <v>0.57115702440598504</v>
      </c>
      <c r="P383" cm="1">
        <f t="array" ref="P383">MAX(IF((OutputTable[GroupByKey]=OutputTable[[#This Row],[GroupByKey]]),(OutputTable[GroupByKey]=OutputTable[[#This Row],[GroupByKey]])*OutputTable[RecordedValue]))</f>
        <v>0.57294957522841605</v>
      </c>
    </row>
    <row r="384" spans="1:16" x14ac:dyDescent="0.25">
      <c r="A384" t="s">
        <v>67</v>
      </c>
      <c r="B384" t="s">
        <v>243</v>
      </c>
      <c r="C384">
        <v>5</v>
      </c>
      <c r="D384" t="s">
        <v>193</v>
      </c>
      <c r="E384" t="s">
        <v>152</v>
      </c>
      <c r="F384" t="s">
        <v>113</v>
      </c>
      <c r="G384">
        <v>8241</v>
      </c>
      <c r="H384">
        <v>0</v>
      </c>
      <c r="I384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384" cm="1">
        <f t="array" ref="J384">MAX(IF((ProjectInfoTable[ProjectName]=OutputTable[[#This Row],[ProjectName]]),(ProjectInfoTable[ProjectName]=OutputTable[[#This Row],[ProjectName]])*ProjectInfoTable[NumberOfReplications]))</f>
        <v>10</v>
      </c>
      <c r="K384" cm="1">
        <f t="array" ref="K384">IFERROR(AVERAGE(IF((OutputTable[GroupByKey]=OutputTable[[#This Row],[GroupByKey]]),(OutputTable[GroupByKey]=OutputTable[[#This Row],[GroupByKey]])*OutputTable[RecordedValue])),0)</f>
        <v>8231.5</v>
      </c>
      <c r="L384" cm="1">
        <f t="array" ref="L384">IFERROR(_xlfn.STDEV.S(IF((OutputTable[GroupByKey]=OutputTable[[#This Row],[GroupByKey]]),(OutputTable[GroupByKey]=OutputTable[[#This Row],[GroupByKey]])*OutputTable[RecordedValue])),0)</f>
        <v>6.3464775882199236</v>
      </c>
      <c r="M384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384" cm="1">
        <f t="array" ref="O384">MIN(IF((OutputTable[GroupByKey]=OutputTable[[#This Row],[GroupByKey]]),(OutputTable[GroupByKey]=OutputTable[[#This Row],[GroupByKey]])*OutputTable[RecordedValue]))</f>
        <v>8220</v>
      </c>
      <c r="P384" cm="1">
        <f t="array" ref="P384">MAX(IF((OutputTable[GroupByKey]=OutputTable[[#This Row],[GroupByKey]]),(OutputTable[GroupByKey]=OutputTable[[#This Row],[GroupByKey]])*OutputTable[RecordedValue]))</f>
        <v>8241</v>
      </c>
    </row>
    <row r="385" spans="1:16" x14ac:dyDescent="0.25">
      <c r="A385" t="s">
        <v>67</v>
      </c>
      <c r="B385" t="s">
        <v>243</v>
      </c>
      <c r="C385">
        <v>5</v>
      </c>
      <c r="D385" t="s">
        <v>194</v>
      </c>
      <c r="E385" t="s">
        <v>154</v>
      </c>
      <c r="F385" t="s">
        <v>113</v>
      </c>
      <c r="G385">
        <v>1.0000655989645</v>
      </c>
      <c r="H385">
        <v>0</v>
      </c>
      <c r="I385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385" cm="1">
        <f t="array" ref="J385">MAX(IF((ProjectInfoTable[ProjectName]=OutputTable[[#This Row],[ProjectName]]),(ProjectInfoTable[ProjectName]=OutputTable[[#This Row],[ProjectName]])*ProjectInfoTable[NumberOfReplications]))</f>
        <v>10</v>
      </c>
      <c r="K385" cm="1">
        <f t="array" ref="K385">IFERROR(AVERAGE(IF((OutputTable[GroupByKey]=OutputTable[[#This Row],[GroupByKey]]),(OutputTable[GroupByKey]=OutputTable[[#This Row],[GroupByKey]])*OutputTable[RecordedValue])),0)</f>
        <v>1.0004557942559711</v>
      </c>
      <c r="L385" cm="1">
        <f t="array" ref="L385">IFERROR(_xlfn.STDEV.S(IF((OutputTable[GroupByKey]=OutputTable[[#This Row],[GroupByKey]]),(OutputTable[GroupByKey]=OutputTable[[#This Row],[GroupByKey]])*OutputTable[RecordedValue])),0)</f>
        <v>1.6760007580081014E-4</v>
      </c>
      <c r="M38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1.1989387166531641E-4</v>
      </c>
      <c r="O385" cm="1">
        <f t="array" ref="O385">MIN(IF((OutputTable[GroupByKey]=OutputTable[[#This Row],[GroupByKey]]),(OutputTable[GroupByKey]=OutputTable[[#This Row],[GroupByKey]])*OutputTable[RecordedValue]))</f>
        <v>1.0000655989645</v>
      </c>
      <c r="P385" cm="1">
        <f t="array" ref="P385">MAX(IF((OutputTable[GroupByKey]=OutputTable[[#This Row],[GroupByKey]]),(OutputTable[GroupByKey]=OutputTable[[#This Row],[GroupByKey]])*OutputTable[RecordedValue]))</f>
        <v>1.00068312738094</v>
      </c>
    </row>
    <row r="386" spans="1:16" x14ac:dyDescent="0.25">
      <c r="A386" t="s">
        <v>67</v>
      </c>
      <c r="B386" t="s">
        <v>243</v>
      </c>
      <c r="C386">
        <v>5</v>
      </c>
      <c r="D386" t="s">
        <v>195</v>
      </c>
      <c r="E386" t="s">
        <v>152</v>
      </c>
      <c r="F386" t="s">
        <v>113</v>
      </c>
      <c r="G386">
        <v>8237</v>
      </c>
      <c r="H386">
        <v>0</v>
      </c>
      <c r="I386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386" cm="1">
        <f t="array" ref="J386">MAX(IF((ProjectInfoTable[ProjectName]=OutputTable[[#This Row],[ProjectName]]),(ProjectInfoTable[ProjectName]=OutputTable[[#This Row],[ProjectName]])*ProjectInfoTable[NumberOfReplications]))</f>
        <v>10</v>
      </c>
      <c r="K386" cm="1">
        <f t="array" ref="K386">IFERROR(AVERAGE(IF((OutputTable[GroupByKey]=OutputTable[[#This Row],[GroupByKey]]),(OutputTable[GroupByKey]=OutputTable[[#This Row],[GroupByKey]])*OutputTable[RecordedValue])),0)</f>
        <v>8227.7000000000007</v>
      </c>
      <c r="L386" cm="1">
        <f t="array" ref="L386">IFERROR(_xlfn.STDEV.S(IF((OutputTable[GroupByKey]=OutputTable[[#This Row],[GroupByKey]]),(OutputTable[GroupByKey]=OutputTable[[#This Row],[GroupByKey]])*OutputTable[RecordedValue])),0)</f>
        <v>6.2902040242480748</v>
      </c>
      <c r="M386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386" cm="1">
        <f t="array" ref="O386">MIN(IF((OutputTable[GroupByKey]=OutputTable[[#This Row],[GroupByKey]]),(OutputTable[GroupByKey]=OutputTable[[#This Row],[GroupByKey]])*OutputTable[RecordedValue]))</f>
        <v>8216</v>
      </c>
      <c r="P386" cm="1">
        <f t="array" ref="P386">MAX(IF((OutputTable[GroupByKey]=OutputTable[[#This Row],[GroupByKey]]),(OutputTable[GroupByKey]=OutputTable[[#This Row],[GroupByKey]])*OutputTable[RecordedValue]))</f>
        <v>8237</v>
      </c>
    </row>
    <row r="387" spans="1:16" x14ac:dyDescent="0.25">
      <c r="A387" t="s">
        <v>67</v>
      </c>
      <c r="B387" t="s">
        <v>243</v>
      </c>
      <c r="C387">
        <v>5</v>
      </c>
      <c r="D387" t="s">
        <v>196</v>
      </c>
      <c r="E387" t="s">
        <v>154</v>
      </c>
      <c r="F387" t="s">
        <v>113</v>
      </c>
      <c r="G387">
        <v>0.629372102267024</v>
      </c>
      <c r="H387">
        <v>0</v>
      </c>
      <c r="I387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387" cm="1">
        <f t="array" ref="J387">MAX(IF((ProjectInfoTable[ProjectName]=OutputTable[[#This Row],[ProjectName]]),(ProjectInfoTable[ProjectName]=OutputTable[[#This Row],[ProjectName]])*ProjectInfoTable[NumberOfReplications]))</f>
        <v>10</v>
      </c>
      <c r="K387" cm="1">
        <f t="array" ref="K387">IFERROR(AVERAGE(IF((OutputTable[GroupByKey]=OutputTable[[#This Row],[GroupByKey]]),(OutputTable[GroupByKey]=OutputTable[[#This Row],[GroupByKey]])*OutputTable[RecordedValue])),0)</f>
        <v>0.62814585354256225</v>
      </c>
      <c r="L387" cm="1">
        <f t="array" ref="L387">IFERROR(_xlfn.STDEV.S(IF((OutputTable[GroupByKey]=OutputTable[[#This Row],[GroupByKey]]),(OutputTable[GroupByKey]=OutputTable[[#This Row],[GroupByKey]])*OutputTable[RecordedValue])),0)</f>
        <v>7.7648569130547428E-4</v>
      </c>
      <c r="M387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5.5546440166277669E-4</v>
      </c>
      <c r="O387" cm="1">
        <f t="array" ref="O387">MIN(IF((OutputTable[GroupByKey]=OutputTable[[#This Row],[GroupByKey]]),(OutputTable[GroupByKey]=OutputTable[[#This Row],[GroupByKey]])*OutputTable[RecordedValue]))</f>
        <v>0.62668997340539101</v>
      </c>
      <c r="P387" cm="1">
        <f t="array" ref="P387">MAX(IF((OutputTable[GroupByKey]=OutputTable[[#This Row],[GroupByKey]]),(OutputTable[GroupByKey]=OutputTable[[#This Row],[GroupByKey]])*OutputTable[RecordedValue]))</f>
        <v>0.629372102267024</v>
      </c>
    </row>
    <row r="388" spans="1:16" x14ac:dyDescent="0.25">
      <c r="A388" t="s">
        <v>67</v>
      </c>
      <c r="B388" t="s">
        <v>243</v>
      </c>
      <c r="C388">
        <v>5</v>
      </c>
      <c r="D388" t="s">
        <v>197</v>
      </c>
      <c r="E388" t="s">
        <v>152</v>
      </c>
      <c r="F388" t="s">
        <v>113</v>
      </c>
      <c r="G388">
        <v>18405</v>
      </c>
      <c r="H388">
        <v>0</v>
      </c>
      <c r="I388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388" cm="1">
        <f t="array" ref="J388">MAX(IF((ProjectInfoTable[ProjectName]=OutputTable[[#This Row],[ProjectName]]),(ProjectInfoTable[ProjectName]=OutputTable[[#This Row],[ProjectName]])*ProjectInfoTable[NumberOfReplications]))</f>
        <v>10</v>
      </c>
      <c r="K388" cm="1">
        <f t="array" ref="K388">IFERROR(AVERAGE(IF((OutputTable[GroupByKey]=OutputTable[[#This Row],[GroupByKey]]),(OutputTable[GroupByKey]=OutputTable[[#This Row],[GroupByKey]])*OutputTable[RecordedValue])),0)</f>
        <v>18392</v>
      </c>
      <c r="L388" cm="1">
        <f t="array" ref="L388">IFERROR(_xlfn.STDEV.S(IF((OutputTable[GroupByKey]=OutputTable[[#This Row],[GroupByKey]]),(OutputTable[GroupByKey]=OutputTable[[#This Row],[GroupByKey]])*OutputTable[RecordedValue])),0)</f>
        <v>12.884098726725126</v>
      </c>
      <c r="M388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388" cm="1">
        <f t="array" ref="O388">MIN(IF((OutputTable[GroupByKey]=OutputTable[[#This Row],[GroupByKey]]),(OutputTable[GroupByKey]=OutputTable[[#This Row],[GroupByKey]])*OutputTable[RecordedValue]))</f>
        <v>18376</v>
      </c>
      <c r="P388" cm="1">
        <f t="array" ref="P388">MAX(IF((OutputTable[GroupByKey]=OutputTable[[#This Row],[GroupByKey]]),(OutputTable[GroupByKey]=OutputTable[[#This Row],[GroupByKey]])*OutputTable[RecordedValue]))</f>
        <v>18407</v>
      </c>
    </row>
    <row r="389" spans="1:16" x14ac:dyDescent="0.25">
      <c r="A389" t="s">
        <v>67</v>
      </c>
      <c r="B389" t="s">
        <v>243</v>
      </c>
      <c r="C389">
        <v>5</v>
      </c>
      <c r="D389" t="s">
        <v>198</v>
      </c>
      <c r="E389" t="s">
        <v>154</v>
      </c>
      <c r="F389" t="s">
        <v>113</v>
      </c>
      <c r="G389">
        <v>0.95824164385305599</v>
      </c>
      <c r="H389">
        <v>0</v>
      </c>
      <c r="I389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389" cm="1">
        <f t="array" ref="J389">MAX(IF((ProjectInfoTable[ProjectName]=OutputTable[[#This Row],[ProjectName]]),(ProjectInfoTable[ProjectName]=OutputTable[[#This Row],[ProjectName]])*ProjectInfoTable[NumberOfReplications]))</f>
        <v>10</v>
      </c>
      <c r="K389" cm="1">
        <f t="array" ref="K389">IFERROR(AVERAGE(IF((OutputTable[GroupByKey]=OutputTable[[#This Row],[GroupByKey]]),(OutputTable[GroupByKey]=OutputTable[[#This Row],[GroupByKey]])*OutputTable[RecordedValue])),0)</f>
        <v>0.9578548406389944</v>
      </c>
      <c r="L389" cm="1">
        <f t="array" ref="L389">IFERROR(_xlfn.STDEV.S(IF((OutputTable[GroupByKey]=OutputTable[[#This Row],[GroupByKey]]),(OutputTable[GroupByKey]=OutputTable[[#This Row],[GroupByKey]])*OutputTable[RecordedValue])),0)</f>
        <v>7.0772834598480485E-4</v>
      </c>
      <c r="M389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5.0627835985142609E-4</v>
      </c>
      <c r="O389" cm="1">
        <f t="array" ref="O389">MIN(IF((OutputTable[GroupByKey]=OutputTable[[#This Row],[GroupByKey]]),(OutputTable[GroupByKey]=OutputTable[[#This Row],[GroupByKey]])*OutputTable[RecordedValue]))</f>
        <v>0.95655010461043799</v>
      </c>
      <c r="P389" cm="1">
        <f t="array" ref="P389">MAX(IF((OutputTable[GroupByKey]=OutputTable[[#This Row],[GroupByKey]]),(OutputTable[GroupByKey]=OutputTable[[#This Row],[GroupByKey]])*OutputTable[RecordedValue]))</f>
        <v>0.95869742508961697</v>
      </c>
    </row>
    <row r="390" spans="1:16" x14ac:dyDescent="0.25">
      <c r="A390" t="s">
        <v>67</v>
      </c>
      <c r="B390" t="s">
        <v>243</v>
      </c>
      <c r="C390">
        <v>5</v>
      </c>
      <c r="D390" t="s">
        <v>199</v>
      </c>
      <c r="E390" t="s">
        <v>152</v>
      </c>
      <c r="F390" t="s">
        <v>113</v>
      </c>
      <c r="G390">
        <v>18401</v>
      </c>
      <c r="H390">
        <v>0</v>
      </c>
      <c r="I390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390" cm="1">
        <f t="array" ref="J390">MAX(IF((ProjectInfoTable[ProjectName]=OutputTable[[#This Row],[ProjectName]]),(ProjectInfoTable[ProjectName]=OutputTable[[#This Row],[ProjectName]])*ProjectInfoTable[NumberOfReplications]))</f>
        <v>10</v>
      </c>
      <c r="K390" cm="1">
        <f t="array" ref="K390">IFERROR(AVERAGE(IF((OutputTable[GroupByKey]=OutputTable[[#This Row],[GroupByKey]]),(OutputTable[GroupByKey]=OutputTable[[#This Row],[GroupByKey]])*OutputTable[RecordedValue])),0)</f>
        <v>18389.400000000001</v>
      </c>
      <c r="L390" cm="1">
        <f t="array" ref="L390">IFERROR(_xlfn.STDEV.S(IF((OutputTable[GroupByKey]=OutputTable[[#This Row],[GroupByKey]]),(OutputTable[GroupByKey]=OutputTable[[#This Row],[GroupByKey]])*OutputTable[RecordedValue])),0)</f>
        <v>12.103259432437566</v>
      </c>
      <c r="M390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390" cm="1">
        <f t="array" ref="O390">MIN(IF((OutputTable[GroupByKey]=OutputTable[[#This Row],[GroupByKey]]),(OutputTable[GroupByKey]=OutputTable[[#This Row],[GroupByKey]])*OutputTable[RecordedValue]))</f>
        <v>18376</v>
      </c>
      <c r="P390" cm="1">
        <f t="array" ref="P390">MAX(IF((OutputTable[GroupByKey]=OutputTable[[#This Row],[GroupByKey]]),(OutputTable[GroupByKey]=OutputTable[[#This Row],[GroupByKey]])*OutputTable[RecordedValue]))</f>
        <v>18404</v>
      </c>
    </row>
    <row r="391" spans="1:16" x14ac:dyDescent="0.25">
      <c r="A391" t="s">
        <v>67</v>
      </c>
      <c r="B391" t="s">
        <v>243</v>
      </c>
      <c r="C391">
        <v>5</v>
      </c>
      <c r="D391" t="s">
        <v>200</v>
      </c>
      <c r="E391" t="s">
        <v>154</v>
      </c>
      <c r="F391" t="s">
        <v>113</v>
      </c>
      <c r="G391">
        <v>1.00045901465006</v>
      </c>
      <c r="H391">
        <v>0</v>
      </c>
      <c r="I391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391" cm="1">
        <f t="array" ref="J391">MAX(IF((ProjectInfoTable[ProjectName]=OutputTable[[#This Row],[ProjectName]]),(ProjectInfoTable[ProjectName]=OutputTable[[#This Row],[ProjectName]])*ProjectInfoTable[NumberOfReplications]))</f>
        <v>10</v>
      </c>
      <c r="K391" cm="1">
        <f t="array" ref="K391">IFERROR(AVERAGE(IF((OutputTable[GroupByKey]=OutputTable[[#This Row],[GroupByKey]]),(OutputTable[GroupByKey]=OutputTable[[#This Row],[GroupByKey]])*OutputTable[RecordedValue])),0)</f>
        <v>1.0003902798422071</v>
      </c>
      <c r="L391" cm="1">
        <f t="array" ref="L391">IFERROR(_xlfn.STDEV.S(IF((OutputTable[GroupByKey]=OutputTable[[#This Row],[GroupByKey]]),(OutputTable[GroupByKey]=OutputTable[[#This Row],[GroupByKey]])*OutputTable[RecordedValue])),0)</f>
        <v>5.593555412291058E-5</v>
      </c>
      <c r="M391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4.0013884931119971E-5</v>
      </c>
      <c r="O391" cm="1">
        <f t="array" ref="O391">MIN(IF((OutputTable[GroupByKey]=OutputTable[[#This Row],[GroupByKey]]),(OutputTable[GroupByKey]=OutputTable[[#This Row],[GroupByKey]])*OutputTable[RecordedValue]))</f>
        <v>1.0003027766980599</v>
      </c>
      <c r="P391" cm="1">
        <f t="array" ref="P391">MAX(IF((OutputTable[GroupByKey]=OutputTable[[#This Row],[GroupByKey]]),(OutputTable[GroupByKey]=OutputTable[[#This Row],[GroupByKey]])*OutputTable[RecordedValue]))</f>
        <v>1.00046792437877</v>
      </c>
    </row>
    <row r="392" spans="1:16" x14ac:dyDescent="0.25">
      <c r="A392" t="s">
        <v>67</v>
      </c>
      <c r="B392" t="s">
        <v>243</v>
      </c>
      <c r="C392">
        <v>5</v>
      </c>
      <c r="D392" t="s">
        <v>201</v>
      </c>
      <c r="E392" t="s">
        <v>202</v>
      </c>
      <c r="F392" t="s">
        <v>87</v>
      </c>
      <c r="G392">
        <v>157168.28512127799</v>
      </c>
      <c r="H392">
        <v>0</v>
      </c>
      <c r="I392" t="str">
        <f>OutputTable[[#This Row],[ProjectName]]&amp;OutputTable[[#This Row],[Name]]&amp;OutputTable[[#This Row],[Type]]&amp;OutputTable[[#This Row],[Source]]</f>
        <v>Unnamed ProjectProcess 1 Accum VA TimeAccum VA TimeProcess</v>
      </c>
      <c r="J392" cm="1">
        <f t="array" ref="J392">MAX(IF((ProjectInfoTable[ProjectName]=OutputTable[[#This Row],[ProjectName]]),(ProjectInfoTable[ProjectName]=OutputTable[[#This Row],[ProjectName]])*ProjectInfoTable[NumberOfReplications]))</f>
        <v>10</v>
      </c>
      <c r="K392" cm="1">
        <f t="array" ref="K392">IFERROR(AVERAGE(IF((OutputTable[GroupByKey]=OutputTable[[#This Row],[GroupByKey]]),(OutputTable[GroupByKey]=OutputTable[[#This Row],[GroupByKey]])*OutputTable[RecordedValue])),0)</f>
        <v>157133.73428655442</v>
      </c>
      <c r="L392" cm="1">
        <f t="array" ref="L392">IFERROR(_xlfn.STDEV.S(IF((OutputTable[GroupByKey]=OutputTable[[#This Row],[GroupByKey]]),(OutputTable[GroupByKey]=OutputTable[[#This Row],[GroupByKey]])*OutputTable[RecordedValue])),0)</f>
        <v>123.15330812839177</v>
      </c>
      <c r="M392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88.098569462778244</v>
      </c>
      <c r="O392" cm="1">
        <f t="array" ref="O392">MIN(IF((OutputTable[GroupByKey]=OutputTable[[#This Row],[GroupByKey]]),(OutputTable[GroupByKey]=OutputTable[[#This Row],[GroupByKey]])*OutputTable[RecordedValue]))</f>
        <v>156930.294881654</v>
      </c>
      <c r="P392" cm="1">
        <f t="array" ref="P392">MAX(IF((OutputTable[GroupByKey]=OutputTable[[#This Row],[GroupByKey]]),(OutputTable[GroupByKey]=OutputTable[[#This Row],[GroupByKey]])*OutputTable[RecordedValue]))</f>
        <v>157303.990839153</v>
      </c>
    </row>
    <row r="393" spans="1:16" x14ac:dyDescent="0.25">
      <c r="A393" t="s">
        <v>67</v>
      </c>
      <c r="B393" t="s">
        <v>243</v>
      </c>
      <c r="C393">
        <v>5</v>
      </c>
      <c r="D393" t="s">
        <v>203</v>
      </c>
      <c r="E393" t="s">
        <v>156</v>
      </c>
      <c r="F393" t="s">
        <v>87</v>
      </c>
      <c r="G393">
        <v>13114</v>
      </c>
      <c r="H393">
        <v>0</v>
      </c>
      <c r="I393" t="str">
        <f>OutputTable[[#This Row],[ProjectName]]&amp;OutputTable[[#This Row],[Name]]&amp;OutputTable[[#This Row],[Type]]&amp;OutputTable[[#This Row],[Source]]</f>
        <v>Unnamed ProjectProcess 1 Number InNumber InProcess</v>
      </c>
      <c r="J393" cm="1">
        <f t="array" ref="J393">MAX(IF((ProjectInfoTable[ProjectName]=OutputTable[[#This Row],[ProjectName]]),(ProjectInfoTable[ProjectName]=OutputTable[[#This Row],[ProjectName]])*ProjectInfoTable[NumberOfReplications]))</f>
        <v>10</v>
      </c>
      <c r="K393" cm="1">
        <f t="array" ref="K393">IFERROR(AVERAGE(IF((OutputTable[GroupByKey]=OutputTable[[#This Row],[GroupByKey]]),(OutputTable[GroupByKey]=OutputTable[[#This Row],[GroupByKey]])*OutputTable[RecordedValue])),0)</f>
        <v>13103.5</v>
      </c>
      <c r="L393" cm="1">
        <f t="array" ref="L393">IFERROR(_xlfn.STDEV.S(IF((OutputTable[GroupByKey]=OutputTable[[#This Row],[GroupByKey]]),(OutputTable[GroupByKey]=OutputTable[[#This Row],[GroupByKey]])*OutputTable[RecordedValue])),0)</f>
        <v>11.443095929181249</v>
      </c>
      <c r="M393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393" cm="1">
        <f t="array" ref="O393">MIN(IF((OutputTable[GroupByKey]=OutputTable[[#This Row],[GroupByKey]]),(OutputTable[GroupByKey]=OutputTable[[#This Row],[GroupByKey]])*OutputTable[RecordedValue]))</f>
        <v>13087</v>
      </c>
      <c r="P393" cm="1">
        <f t="array" ref="P393">MAX(IF((OutputTable[GroupByKey]=OutputTable[[#This Row],[GroupByKey]]),(OutputTable[GroupByKey]=OutputTable[[#This Row],[GroupByKey]])*OutputTable[RecordedValue]))</f>
        <v>13120</v>
      </c>
    </row>
    <row r="394" spans="1:16" x14ac:dyDescent="0.25">
      <c r="A394" t="s">
        <v>67</v>
      </c>
      <c r="B394" t="s">
        <v>243</v>
      </c>
      <c r="C394">
        <v>5</v>
      </c>
      <c r="D394" t="s">
        <v>204</v>
      </c>
      <c r="E394" t="s">
        <v>158</v>
      </c>
      <c r="F394" t="s">
        <v>87</v>
      </c>
      <c r="G394">
        <v>13114</v>
      </c>
      <c r="H394">
        <v>0</v>
      </c>
      <c r="I394" t="str">
        <f>OutputTable[[#This Row],[ProjectName]]&amp;OutputTable[[#This Row],[Name]]&amp;OutputTable[[#This Row],[Type]]&amp;OutputTable[[#This Row],[Source]]</f>
        <v>Unnamed ProjectProcess 1 Number OutNumber OutProcess</v>
      </c>
      <c r="J394" cm="1">
        <f t="array" ref="J394">MAX(IF((ProjectInfoTable[ProjectName]=OutputTable[[#This Row],[ProjectName]]),(ProjectInfoTable[ProjectName]=OutputTable[[#This Row],[ProjectName]])*ProjectInfoTable[NumberOfReplications]))</f>
        <v>10</v>
      </c>
      <c r="K394" cm="1">
        <f t="array" ref="K394">IFERROR(AVERAGE(IF((OutputTable[GroupByKey]=OutputTable[[#This Row],[GroupByKey]]),(OutputTable[GroupByKey]=OutputTable[[#This Row],[GroupByKey]])*OutputTable[RecordedValue])),0)</f>
        <v>13103.5</v>
      </c>
      <c r="L394" cm="1">
        <f t="array" ref="L394">IFERROR(_xlfn.STDEV.S(IF((OutputTable[GroupByKey]=OutputTable[[#This Row],[GroupByKey]]),(OutputTable[GroupByKey]=OutputTable[[#This Row],[GroupByKey]])*OutputTable[RecordedValue])),0)</f>
        <v>11.443095929181249</v>
      </c>
      <c r="M394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394" cm="1">
        <f t="array" ref="O394">MIN(IF((OutputTable[GroupByKey]=OutputTable[[#This Row],[GroupByKey]]),(OutputTable[GroupByKey]=OutputTable[[#This Row],[GroupByKey]])*OutputTable[RecordedValue]))</f>
        <v>13087</v>
      </c>
      <c r="P394" cm="1">
        <f t="array" ref="P394">MAX(IF((OutputTable[GroupByKey]=OutputTable[[#This Row],[GroupByKey]]),(OutputTable[GroupByKey]=OutputTable[[#This Row],[GroupByKey]])*OutputTable[RecordedValue]))</f>
        <v>13120</v>
      </c>
    </row>
    <row r="395" spans="1:16" x14ac:dyDescent="0.25">
      <c r="A395" t="s">
        <v>67</v>
      </c>
      <c r="B395" t="s">
        <v>243</v>
      </c>
      <c r="C395">
        <v>5</v>
      </c>
      <c r="D395" t="s">
        <v>205</v>
      </c>
      <c r="E395" t="s">
        <v>202</v>
      </c>
      <c r="F395" t="s">
        <v>87</v>
      </c>
      <c r="G395">
        <v>21845.3173958878</v>
      </c>
      <c r="H395">
        <v>0</v>
      </c>
      <c r="I395" t="str">
        <f>OutputTable[[#This Row],[ProjectName]]&amp;OutputTable[[#This Row],[Name]]&amp;OutputTable[[#This Row],[Type]]&amp;OutputTable[[#This Row],[Source]]</f>
        <v>Unnamed ProjectProcess 14 Accum VA TimeAccum VA TimeProcess</v>
      </c>
      <c r="J395" cm="1">
        <f t="array" ref="J395">MAX(IF((ProjectInfoTable[ProjectName]=OutputTable[[#This Row],[ProjectName]]),(ProjectInfoTable[ProjectName]=OutputTable[[#This Row],[ProjectName]])*ProjectInfoTable[NumberOfReplications]))</f>
        <v>10</v>
      </c>
      <c r="K395" cm="1">
        <f t="array" ref="K395">IFERROR(AVERAGE(IF((OutputTable[GroupByKey]=OutputTable[[#This Row],[GroupByKey]]),(OutputTable[GroupByKey]=OutputTable[[#This Row],[GroupByKey]])*OutputTable[RecordedValue])),0)</f>
        <v>21817.897664333104</v>
      </c>
      <c r="L395" cm="1">
        <f t="array" ref="L395">IFERROR(_xlfn.STDEV.S(IF((OutputTable[GroupByKey]=OutputTable[[#This Row],[GroupByKey]]),(OutputTable[GroupByKey]=OutputTable[[#This Row],[GroupByKey]])*OutputTable[RecordedValue])),0)</f>
        <v>40.377465047897729</v>
      </c>
      <c r="M39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28.884298467602775</v>
      </c>
      <c r="O395" cm="1">
        <f t="array" ref="O395">MIN(IF((OutputTable[GroupByKey]=OutputTable[[#This Row],[GroupByKey]]),(OutputTable[GroupByKey]=OutputTable[[#This Row],[GroupByKey]])*OutputTable[RecordedValue]))</f>
        <v>21737.561928445</v>
      </c>
      <c r="P395" cm="1">
        <f t="array" ref="P395">MAX(IF((OutputTable[GroupByKey]=OutputTable[[#This Row],[GroupByKey]]),(OutputTable[GroupByKey]=OutputTable[[#This Row],[GroupByKey]])*OutputTable[RecordedValue]))</f>
        <v>21880.2668082411</v>
      </c>
    </row>
    <row r="396" spans="1:16" x14ac:dyDescent="0.25">
      <c r="A396" t="s">
        <v>67</v>
      </c>
      <c r="B396" t="s">
        <v>243</v>
      </c>
      <c r="C396">
        <v>5</v>
      </c>
      <c r="D396" t="s">
        <v>206</v>
      </c>
      <c r="E396" t="s">
        <v>156</v>
      </c>
      <c r="F396" t="s">
        <v>87</v>
      </c>
      <c r="G396">
        <v>6553</v>
      </c>
      <c r="H396">
        <v>0</v>
      </c>
      <c r="I396" t="str">
        <f>OutputTable[[#This Row],[ProjectName]]&amp;OutputTable[[#This Row],[Name]]&amp;OutputTable[[#This Row],[Type]]&amp;OutputTable[[#This Row],[Source]]</f>
        <v>Unnamed ProjectProcess 14 Number InNumber InProcess</v>
      </c>
      <c r="J396" cm="1">
        <f t="array" ref="J396">MAX(IF((ProjectInfoTable[ProjectName]=OutputTable[[#This Row],[ProjectName]]),(ProjectInfoTable[ProjectName]=OutputTable[[#This Row],[ProjectName]])*ProjectInfoTable[NumberOfReplications]))</f>
        <v>10</v>
      </c>
      <c r="K396" cm="1">
        <f t="array" ref="K396">IFERROR(AVERAGE(IF((OutputTable[GroupByKey]=OutputTable[[#This Row],[GroupByKey]]),(OutputTable[GroupByKey]=OutputTable[[#This Row],[GroupByKey]])*OutputTable[RecordedValue])),0)</f>
        <v>6547.7</v>
      </c>
      <c r="L396" cm="1">
        <f t="array" ref="L396">IFERROR(_xlfn.STDEV.S(IF((OutputTable[GroupByKey]=OutputTable[[#This Row],[GroupByKey]]),(OutputTable[GroupByKey]=OutputTable[[#This Row],[GroupByKey]])*OutputTable[RecordedValue])),0)</f>
        <v>5.735852159879995</v>
      </c>
      <c r="M396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396" cm="1">
        <f t="array" ref="O396">MIN(IF((OutputTable[GroupByKey]=OutputTable[[#This Row],[GroupByKey]]),(OutputTable[GroupByKey]=OutputTable[[#This Row],[GroupByKey]])*OutputTable[RecordedValue]))</f>
        <v>6540</v>
      </c>
      <c r="P396" cm="1">
        <f t="array" ref="P396">MAX(IF((OutputTable[GroupByKey]=OutputTable[[#This Row],[GroupByKey]]),(OutputTable[GroupByKey]=OutputTable[[#This Row],[GroupByKey]])*OutputTable[RecordedValue]))</f>
        <v>6557</v>
      </c>
    </row>
    <row r="397" spans="1:16" x14ac:dyDescent="0.25">
      <c r="A397" t="s">
        <v>67</v>
      </c>
      <c r="B397" t="s">
        <v>243</v>
      </c>
      <c r="C397">
        <v>5</v>
      </c>
      <c r="D397" t="s">
        <v>207</v>
      </c>
      <c r="E397" t="s">
        <v>158</v>
      </c>
      <c r="F397" t="s">
        <v>87</v>
      </c>
      <c r="G397">
        <v>6553</v>
      </c>
      <c r="H397">
        <v>0</v>
      </c>
      <c r="I397" t="str">
        <f>OutputTable[[#This Row],[ProjectName]]&amp;OutputTable[[#This Row],[Name]]&amp;OutputTable[[#This Row],[Type]]&amp;OutputTable[[#This Row],[Source]]</f>
        <v>Unnamed ProjectProcess 14 Number OutNumber OutProcess</v>
      </c>
      <c r="J397" cm="1">
        <f t="array" ref="J397">MAX(IF((ProjectInfoTable[ProjectName]=OutputTable[[#This Row],[ProjectName]]),(ProjectInfoTable[ProjectName]=OutputTable[[#This Row],[ProjectName]])*ProjectInfoTable[NumberOfReplications]))</f>
        <v>10</v>
      </c>
      <c r="K397" cm="1">
        <f t="array" ref="K397">IFERROR(AVERAGE(IF((OutputTable[GroupByKey]=OutputTable[[#This Row],[GroupByKey]]),(OutputTable[GroupByKey]=OutputTable[[#This Row],[GroupByKey]])*OutputTable[RecordedValue])),0)</f>
        <v>6547.3</v>
      </c>
      <c r="L397" cm="1">
        <f t="array" ref="L397">IFERROR(_xlfn.STDEV.S(IF((OutputTable[GroupByKey]=OutputTable[[#This Row],[GroupByKey]]),(OutputTable[GroupByKey]=OutputTable[[#This Row],[GroupByKey]])*OutputTable[RecordedValue])),0)</f>
        <v>5.7164480035925962</v>
      </c>
      <c r="M397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4.0893005569921828</v>
      </c>
      <c r="O397" cm="1">
        <f t="array" ref="O397">MIN(IF((OutputTable[GroupByKey]=OutputTable[[#This Row],[GroupByKey]]),(OutputTable[GroupByKey]=OutputTable[[#This Row],[GroupByKey]])*OutputTable[RecordedValue]))</f>
        <v>6539</v>
      </c>
      <c r="P397" cm="1">
        <f t="array" ref="P397">MAX(IF((OutputTable[GroupByKey]=OutputTable[[#This Row],[GroupByKey]]),(OutputTable[GroupByKey]=OutputTable[[#This Row],[GroupByKey]])*OutputTable[RecordedValue]))</f>
        <v>6556</v>
      </c>
    </row>
    <row r="398" spans="1:16" x14ac:dyDescent="0.25">
      <c r="A398" t="s">
        <v>67</v>
      </c>
      <c r="B398" t="s">
        <v>243</v>
      </c>
      <c r="C398">
        <v>5</v>
      </c>
      <c r="D398" t="s">
        <v>208</v>
      </c>
      <c r="E398" t="s">
        <v>202</v>
      </c>
      <c r="F398" t="s">
        <v>87</v>
      </c>
      <c r="G398">
        <v>78795.634631101901</v>
      </c>
      <c r="H398">
        <v>0</v>
      </c>
      <c r="I398" t="str">
        <f>OutputTable[[#This Row],[ProjectName]]&amp;OutputTable[[#This Row],[Name]]&amp;OutputTable[[#This Row],[Type]]&amp;OutputTable[[#This Row],[Source]]</f>
        <v>Unnamed ProjectProcess 2 Accum VA TimeAccum VA TimeProcess</v>
      </c>
      <c r="J398" cm="1">
        <f t="array" ref="J398">MAX(IF((ProjectInfoTable[ProjectName]=OutputTable[[#This Row],[ProjectName]]),(ProjectInfoTable[ProjectName]=OutputTable[[#This Row],[ProjectName]])*ProjectInfoTable[NumberOfReplications]))</f>
        <v>10</v>
      </c>
      <c r="K398" cm="1">
        <f t="array" ref="K398">IFERROR(AVERAGE(IF((OutputTable[GroupByKey]=OutputTable[[#This Row],[GroupByKey]]),(OutputTable[GroupByKey]=OutputTable[[#This Row],[GroupByKey]])*OutputTable[RecordedValue])),0)</f>
        <v>78656.282482549519</v>
      </c>
      <c r="L398" cm="1">
        <f t="array" ref="L398">IFERROR(_xlfn.STDEV.S(IF((OutputTable[GroupByKey]=OutputTable[[#This Row],[GroupByKey]]),(OutputTable[GroupByKey]=OutputTable[[#This Row],[GroupByKey]])*OutputTable[RecordedValue])),0)</f>
        <v>139.39621135358072</v>
      </c>
      <c r="M398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99.718042457930338</v>
      </c>
      <c r="O398" cm="1">
        <f t="array" ref="O398">MIN(IF((OutputTable[GroupByKey]=OutputTable[[#This Row],[GroupByKey]]),(OutputTable[GroupByKey]=OutputTable[[#This Row],[GroupByKey]])*OutputTable[RecordedValue]))</f>
        <v>78434.750255210005</v>
      </c>
      <c r="P398" cm="1">
        <f t="array" ref="P398">MAX(IF((OutputTable[GroupByKey]=OutputTable[[#This Row],[GroupByKey]]),(OutputTable[GroupByKey]=OutputTable[[#This Row],[GroupByKey]])*OutputTable[RecordedValue]))</f>
        <v>78879.0340749358</v>
      </c>
    </row>
    <row r="399" spans="1:16" x14ac:dyDescent="0.25">
      <c r="A399" t="s">
        <v>67</v>
      </c>
      <c r="B399" t="s">
        <v>243</v>
      </c>
      <c r="C399">
        <v>5</v>
      </c>
      <c r="D399" t="s">
        <v>209</v>
      </c>
      <c r="E399" t="s">
        <v>156</v>
      </c>
      <c r="F399" t="s">
        <v>87</v>
      </c>
      <c r="G399">
        <v>13111</v>
      </c>
      <c r="H399">
        <v>0</v>
      </c>
      <c r="I399" t="str">
        <f>OutputTable[[#This Row],[ProjectName]]&amp;OutputTable[[#This Row],[Name]]&amp;OutputTable[[#This Row],[Type]]&amp;OutputTable[[#This Row],[Source]]</f>
        <v>Unnamed ProjectProcess 2 Number InNumber InProcess</v>
      </c>
      <c r="J399" cm="1">
        <f t="array" ref="J399">MAX(IF((ProjectInfoTable[ProjectName]=OutputTable[[#This Row],[ProjectName]]),(ProjectInfoTable[ProjectName]=OutputTable[[#This Row],[ProjectName]])*ProjectInfoTable[NumberOfReplications]))</f>
        <v>10</v>
      </c>
      <c r="K399" cm="1">
        <f t="array" ref="K399">IFERROR(AVERAGE(IF((OutputTable[GroupByKey]=OutputTable[[#This Row],[GroupByKey]]),(OutputTable[GroupByKey]=OutputTable[[#This Row],[GroupByKey]])*OutputTable[RecordedValue])),0)</f>
        <v>13100.1</v>
      </c>
      <c r="L399" cm="1">
        <f t="array" ref="L399">IFERROR(_xlfn.STDEV.S(IF((OutputTable[GroupByKey]=OutputTable[[#This Row],[GroupByKey]]),(OutputTable[GroupByKey]=OutputTable[[#This Row],[GroupByKey]])*OutputTable[RecordedValue])),0)</f>
        <v>11.46443776786866</v>
      </c>
      <c r="M399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399" cm="1">
        <f t="array" ref="O399">MIN(IF((OutputTable[GroupByKey]=OutputTable[[#This Row],[GroupByKey]]),(OutputTable[GroupByKey]=OutputTable[[#This Row],[GroupByKey]])*OutputTable[RecordedValue]))</f>
        <v>13083</v>
      </c>
      <c r="P399" cm="1">
        <f t="array" ref="P399">MAX(IF((OutputTable[GroupByKey]=OutputTable[[#This Row],[GroupByKey]]),(OutputTable[GroupByKey]=OutputTable[[#This Row],[GroupByKey]])*OutputTable[RecordedValue]))</f>
        <v>13118</v>
      </c>
    </row>
    <row r="400" spans="1:16" x14ac:dyDescent="0.25">
      <c r="A400" t="s">
        <v>67</v>
      </c>
      <c r="B400" t="s">
        <v>243</v>
      </c>
      <c r="C400">
        <v>5</v>
      </c>
      <c r="D400" t="s">
        <v>210</v>
      </c>
      <c r="E400" t="s">
        <v>158</v>
      </c>
      <c r="F400" t="s">
        <v>87</v>
      </c>
      <c r="G400">
        <v>13111</v>
      </c>
      <c r="H400">
        <v>0</v>
      </c>
      <c r="I400" t="str">
        <f>OutputTable[[#This Row],[ProjectName]]&amp;OutputTable[[#This Row],[Name]]&amp;OutputTable[[#This Row],[Type]]&amp;OutputTable[[#This Row],[Source]]</f>
        <v>Unnamed ProjectProcess 2 Number OutNumber OutProcess</v>
      </c>
      <c r="J400" cm="1">
        <f t="array" ref="J400">MAX(IF((ProjectInfoTable[ProjectName]=OutputTable[[#This Row],[ProjectName]]),(ProjectInfoTable[ProjectName]=OutputTable[[#This Row],[ProjectName]])*ProjectInfoTable[NumberOfReplications]))</f>
        <v>10</v>
      </c>
      <c r="K400" cm="1">
        <f t="array" ref="K400">IFERROR(AVERAGE(IF((OutputTable[GroupByKey]=OutputTable[[#This Row],[GroupByKey]]),(OutputTable[GroupByKey]=OutputTable[[#This Row],[GroupByKey]])*OutputTable[RecordedValue])),0)</f>
        <v>13100.1</v>
      </c>
      <c r="L400" cm="1">
        <f t="array" ref="L400">IFERROR(_xlfn.STDEV.S(IF((OutputTable[GroupByKey]=OutputTable[[#This Row],[GroupByKey]]),(OutputTable[GroupByKey]=OutputTable[[#This Row],[GroupByKey]])*OutputTable[RecordedValue])),0)</f>
        <v>11.46443776786866</v>
      </c>
      <c r="M400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400" cm="1">
        <f t="array" ref="O400">MIN(IF((OutputTable[GroupByKey]=OutputTable[[#This Row],[GroupByKey]]),(OutputTable[GroupByKey]=OutputTable[[#This Row],[GroupByKey]])*OutputTable[RecordedValue]))</f>
        <v>13083</v>
      </c>
      <c r="P400" cm="1">
        <f t="array" ref="P400">MAX(IF((OutputTable[GroupByKey]=OutputTable[[#This Row],[GroupByKey]]),(OutputTable[GroupByKey]=OutputTable[[#This Row],[GroupByKey]])*OutputTable[RecordedValue]))</f>
        <v>13118</v>
      </c>
    </row>
    <row r="401" spans="1:16" x14ac:dyDescent="0.25">
      <c r="A401" t="s">
        <v>67</v>
      </c>
      <c r="B401" t="s">
        <v>243</v>
      </c>
      <c r="C401">
        <v>5</v>
      </c>
      <c r="D401" t="s">
        <v>211</v>
      </c>
      <c r="E401" t="s">
        <v>202</v>
      </c>
      <c r="F401" t="s">
        <v>87</v>
      </c>
      <c r="G401">
        <v>144131.964076345</v>
      </c>
      <c r="H401">
        <v>0</v>
      </c>
      <c r="I401" t="str">
        <f>OutputTable[[#This Row],[ProjectName]]&amp;OutputTable[[#This Row],[Name]]&amp;OutputTable[[#This Row],[Type]]&amp;OutputTable[[#This Row],[Source]]</f>
        <v>Unnamed ProjectProcess 3 Accum VA TimeAccum VA TimeProcess</v>
      </c>
      <c r="J401" cm="1">
        <f t="array" ref="J401">MAX(IF((ProjectInfoTable[ProjectName]=OutputTable[[#This Row],[ProjectName]]),(ProjectInfoTable[ProjectName]=OutputTable[[#This Row],[ProjectName]])*ProjectInfoTable[NumberOfReplications]))</f>
        <v>10</v>
      </c>
      <c r="K401" cm="1">
        <f t="array" ref="K401">IFERROR(AVERAGE(IF((OutputTable[GroupByKey]=OutputTable[[#This Row],[GroupByKey]]),(OutputTable[GroupByKey]=OutputTable[[#This Row],[GroupByKey]])*OutputTable[RecordedValue])),0)</f>
        <v>144088.31566564049</v>
      </c>
      <c r="L401" cm="1">
        <f t="array" ref="L401">IFERROR(_xlfn.STDEV.S(IF((OutputTable[GroupByKey]=OutputTable[[#This Row],[GroupByKey]]),(OutputTable[GroupByKey]=OutputTable[[#This Row],[GroupByKey]])*OutputTable[RecordedValue])),0)</f>
        <v>147.41980686592098</v>
      </c>
      <c r="M401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105.45777691839817</v>
      </c>
      <c r="O401" cm="1">
        <f t="array" ref="O401">MIN(IF((OutputTable[GroupByKey]=OutputTable[[#This Row],[GroupByKey]]),(OutputTable[GroupByKey]=OutputTable[[#This Row],[GroupByKey]])*OutputTable[RecordedValue]))</f>
        <v>143896.696561805</v>
      </c>
      <c r="P401" cm="1">
        <f t="array" ref="P401">MAX(IF((OutputTable[GroupByKey]=OutputTable[[#This Row],[GroupByKey]]),(OutputTable[GroupByKey]=OutputTable[[#This Row],[GroupByKey]])*OutputTable[RecordedValue]))</f>
        <v>144298.22507098701</v>
      </c>
    </row>
    <row r="402" spans="1:16" x14ac:dyDescent="0.25">
      <c r="A402" t="s">
        <v>67</v>
      </c>
      <c r="B402" t="s">
        <v>243</v>
      </c>
      <c r="C402">
        <v>5</v>
      </c>
      <c r="D402" t="s">
        <v>212</v>
      </c>
      <c r="E402" t="s">
        <v>156</v>
      </c>
      <c r="F402" t="s">
        <v>87</v>
      </c>
      <c r="G402">
        <v>13111</v>
      </c>
      <c r="H402">
        <v>0</v>
      </c>
      <c r="I402" t="str">
        <f>OutputTable[[#This Row],[ProjectName]]&amp;OutputTable[[#This Row],[Name]]&amp;OutputTable[[#This Row],[Type]]&amp;OutputTable[[#This Row],[Source]]</f>
        <v>Unnamed ProjectProcess 3 Number InNumber InProcess</v>
      </c>
      <c r="J402" cm="1">
        <f t="array" ref="J402">MAX(IF((ProjectInfoTable[ProjectName]=OutputTable[[#This Row],[ProjectName]]),(ProjectInfoTable[ProjectName]=OutputTable[[#This Row],[ProjectName]])*ProjectInfoTable[NumberOfReplications]))</f>
        <v>10</v>
      </c>
      <c r="K402" cm="1">
        <f t="array" ref="K402">IFERROR(AVERAGE(IF((OutputTable[GroupByKey]=OutputTable[[#This Row],[GroupByKey]]),(OutputTable[GroupByKey]=OutputTable[[#This Row],[GroupByKey]])*OutputTable[RecordedValue])),0)</f>
        <v>13099.9</v>
      </c>
      <c r="L402" cm="1">
        <f t="array" ref="L402">IFERROR(_xlfn.STDEV.S(IF((OutputTable[GroupByKey]=OutputTable[[#This Row],[GroupByKey]]),(OutputTable[GroupByKey]=OutputTable[[#This Row],[GroupByKey]])*OutputTable[RecordedValue])),0)</f>
        <v>11.761046816598522</v>
      </c>
      <c r="M402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402" cm="1">
        <f t="array" ref="O402">MIN(IF((OutputTable[GroupByKey]=OutputTable[[#This Row],[GroupByKey]]),(OutputTable[GroupByKey]=OutputTable[[#This Row],[GroupByKey]])*OutputTable[RecordedValue]))</f>
        <v>13082</v>
      </c>
      <c r="P402" cm="1">
        <f t="array" ref="P402">MAX(IF((OutputTable[GroupByKey]=OutputTable[[#This Row],[GroupByKey]]),(OutputTable[GroupByKey]=OutputTable[[#This Row],[GroupByKey]])*OutputTable[RecordedValue]))</f>
        <v>13118</v>
      </c>
    </row>
    <row r="403" spans="1:16" x14ac:dyDescent="0.25">
      <c r="A403" t="s">
        <v>67</v>
      </c>
      <c r="B403" t="s">
        <v>243</v>
      </c>
      <c r="C403">
        <v>5</v>
      </c>
      <c r="D403" t="s">
        <v>213</v>
      </c>
      <c r="E403" t="s">
        <v>158</v>
      </c>
      <c r="F403" t="s">
        <v>87</v>
      </c>
      <c r="G403">
        <v>13111</v>
      </c>
      <c r="H403">
        <v>0</v>
      </c>
      <c r="I403" t="str">
        <f>OutputTable[[#This Row],[ProjectName]]&amp;OutputTable[[#This Row],[Name]]&amp;OutputTable[[#This Row],[Type]]&amp;OutputTable[[#This Row],[Source]]</f>
        <v>Unnamed ProjectProcess 3 Number OutNumber OutProcess</v>
      </c>
      <c r="J403" cm="1">
        <f t="array" ref="J403">MAX(IF((ProjectInfoTable[ProjectName]=OutputTable[[#This Row],[ProjectName]]),(ProjectInfoTable[ProjectName]=OutputTable[[#This Row],[ProjectName]])*ProjectInfoTable[NumberOfReplications]))</f>
        <v>10</v>
      </c>
      <c r="K403" cm="1">
        <f t="array" ref="K403">IFERROR(AVERAGE(IF((OutputTable[GroupByKey]=OutputTable[[#This Row],[GroupByKey]]),(OutputTable[GroupByKey]=OutputTable[[#This Row],[GroupByKey]])*OutputTable[RecordedValue])),0)</f>
        <v>13099.9</v>
      </c>
      <c r="L403" cm="1">
        <f t="array" ref="L403">IFERROR(_xlfn.STDEV.S(IF((OutputTable[GroupByKey]=OutputTable[[#This Row],[GroupByKey]]),(OutputTable[GroupByKey]=OutputTable[[#This Row],[GroupByKey]])*OutputTable[RecordedValue])),0)</f>
        <v>11.761046816598522</v>
      </c>
      <c r="M403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403" cm="1">
        <f t="array" ref="O403">MIN(IF((OutputTable[GroupByKey]=OutputTable[[#This Row],[GroupByKey]]),(OutputTable[GroupByKey]=OutputTable[[#This Row],[GroupByKey]])*OutputTable[RecordedValue]))</f>
        <v>13082</v>
      </c>
      <c r="P403" cm="1">
        <f t="array" ref="P403">MAX(IF((OutputTable[GroupByKey]=OutputTable[[#This Row],[GroupByKey]]),(OutputTable[GroupByKey]=OutputTable[[#This Row],[GroupByKey]])*OutputTable[RecordedValue]))</f>
        <v>13118</v>
      </c>
    </row>
    <row r="404" spans="1:16" x14ac:dyDescent="0.25">
      <c r="A404" t="s">
        <v>67</v>
      </c>
      <c r="B404" t="s">
        <v>243</v>
      </c>
      <c r="C404">
        <v>5</v>
      </c>
      <c r="D404" t="s">
        <v>214</v>
      </c>
      <c r="E404" t="s">
        <v>202</v>
      </c>
      <c r="F404" t="s">
        <v>87</v>
      </c>
      <c r="G404">
        <v>57698.785472968797</v>
      </c>
      <c r="H404">
        <v>0</v>
      </c>
      <c r="I404" t="str">
        <f>OutputTable[[#This Row],[ProjectName]]&amp;OutputTable[[#This Row],[Name]]&amp;OutputTable[[#This Row],[Type]]&amp;OutputTable[[#This Row],[Source]]</f>
        <v>Unnamed ProjectProcess 4 Accum VA TimeAccum VA TimeProcess</v>
      </c>
      <c r="J404" cm="1">
        <f t="array" ref="J404">MAX(IF((ProjectInfoTable[ProjectName]=OutputTable[[#This Row],[ProjectName]]),(ProjectInfoTable[ProjectName]=OutputTable[[#This Row],[ProjectName]])*ProjectInfoTable[NumberOfReplications]))</f>
        <v>10</v>
      </c>
      <c r="K404" cm="1">
        <f t="array" ref="K404">IFERROR(AVERAGE(IF((OutputTable[GroupByKey]=OutputTable[[#This Row],[GroupByKey]]),(OutputTable[GroupByKey]=OutputTable[[#This Row],[GroupByKey]])*OutputTable[RecordedValue])),0)</f>
        <v>57657.842851106019</v>
      </c>
      <c r="L404" cm="1">
        <f t="array" ref="L404">IFERROR(_xlfn.STDEV.S(IF((OutputTable[GroupByKey]=OutputTable[[#This Row],[GroupByKey]]),(OutputTable[GroupByKey]=OutputTable[[#This Row],[GroupByKey]])*OutputTable[RecordedValue])),0)</f>
        <v>66.206976538127805</v>
      </c>
      <c r="M404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47.361617889987492</v>
      </c>
      <c r="O404" cm="1">
        <f t="array" ref="O404">MIN(IF((OutputTable[GroupByKey]=OutputTable[[#This Row],[GroupByKey]]),(OutputTable[GroupByKey]=OutputTable[[#This Row],[GroupByKey]])*OutputTable[RecordedValue]))</f>
        <v>57569.6670912306</v>
      </c>
      <c r="P404" cm="1">
        <f t="array" ref="P404">MAX(IF((OutputTable[GroupByKey]=OutputTable[[#This Row],[GroupByKey]]),(OutputTable[GroupByKey]=OutputTable[[#This Row],[GroupByKey]])*OutputTable[RecordedValue]))</f>
        <v>57778.887305354197</v>
      </c>
    </row>
    <row r="405" spans="1:16" x14ac:dyDescent="0.25">
      <c r="A405" t="s">
        <v>67</v>
      </c>
      <c r="B405" t="s">
        <v>243</v>
      </c>
      <c r="C405">
        <v>5</v>
      </c>
      <c r="D405" t="s">
        <v>215</v>
      </c>
      <c r="E405" t="s">
        <v>156</v>
      </c>
      <c r="F405" t="s">
        <v>87</v>
      </c>
      <c r="G405">
        <v>8245</v>
      </c>
      <c r="H405">
        <v>0</v>
      </c>
      <c r="I405" t="str">
        <f>OutputTable[[#This Row],[ProjectName]]&amp;OutputTable[[#This Row],[Name]]&amp;OutputTable[[#This Row],[Type]]&amp;OutputTable[[#This Row],[Source]]</f>
        <v>Unnamed ProjectProcess 4 Number InNumber InProcess</v>
      </c>
      <c r="J405" cm="1">
        <f t="array" ref="J405">MAX(IF((ProjectInfoTable[ProjectName]=OutputTable[[#This Row],[ProjectName]]),(ProjectInfoTable[ProjectName]=OutputTable[[#This Row],[ProjectName]])*ProjectInfoTable[NumberOfReplications]))</f>
        <v>10</v>
      </c>
      <c r="K405" cm="1">
        <f t="array" ref="K405">IFERROR(AVERAGE(IF((OutputTable[GroupByKey]=OutputTable[[#This Row],[GroupByKey]]),(OutputTable[GroupByKey]=OutputTable[[#This Row],[GroupByKey]])*OutputTable[RecordedValue])),0)</f>
        <v>8235</v>
      </c>
      <c r="L405" cm="1">
        <f t="array" ref="L405">IFERROR(_xlfn.STDEV.S(IF((OutputTable[GroupByKey]=OutputTable[[#This Row],[GroupByKey]]),(OutputTable[GroupByKey]=OutputTable[[#This Row],[GroupByKey]])*OutputTable[RecordedValue])),0)</f>
        <v>6.5659052011974035</v>
      </c>
      <c r="M40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405" cm="1">
        <f t="array" ref="O405">MIN(IF((OutputTable[GroupByKey]=OutputTable[[#This Row],[GroupByKey]]),(OutputTable[GroupByKey]=OutputTable[[#This Row],[GroupByKey]])*OutputTable[RecordedValue]))</f>
        <v>8223</v>
      </c>
      <c r="P405" cm="1">
        <f t="array" ref="P405">MAX(IF((OutputTable[GroupByKey]=OutputTable[[#This Row],[GroupByKey]]),(OutputTable[GroupByKey]=OutputTable[[#This Row],[GroupByKey]])*OutputTable[RecordedValue]))</f>
        <v>8245</v>
      </c>
    </row>
    <row r="406" spans="1:16" x14ac:dyDescent="0.25">
      <c r="A406" t="s">
        <v>67</v>
      </c>
      <c r="B406" t="s">
        <v>243</v>
      </c>
      <c r="C406">
        <v>5</v>
      </c>
      <c r="D406" t="s">
        <v>216</v>
      </c>
      <c r="E406" t="s">
        <v>158</v>
      </c>
      <c r="F406" t="s">
        <v>87</v>
      </c>
      <c r="G406">
        <v>8245</v>
      </c>
      <c r="H406">
        <v>0</v>
      </c>
      <c r="I406" t="str">
        <f>OutputTable[[#This Row],[ProjectName]]&amp;OutputTable[[#This Row],[Name]]&amp;OutputTable[[#This Row],[Type]]&amp;OutputTable[[#This Row],[Source]]</f>
        <v>Unnamed ProjectProcess 4 Number OutNumber OutProcess</v>
      </c>
      <c r="J406" cm="1">
        <f t="array" ref="J406">MAX(IF((ProjectInfoTable[ProjectName]=OutputTable[[#This Row],[ProjectName]]),(ProjectInfoTable[ProjectName]=OutputTable[[#This Row],[ProjectName]])*ProjectInfoTable[NumberOfReplications]))</f>
        <v>10</v>
      </c>
      <c r="K406" cm="1">
        <f t="array" ref="K406">IFERROR(AVERAGE(IF((OutputTable[GroupByKey]=OutputTable[[#This Row],[GroupByKey]]),(OutputTable[GroupByKey]=OutputTable[[#This Row],[GroupByKey]])*OutputTable[RecordedValue])),0)</f>
        <v>8235</v>
      </c>
      <c r="L406" cm="1">
        <f t="array" ref="L406">IFERROR(_xlfn.STDEV.S(IF((OutputTable[GroupByKey]=OutputTable[[#This Row],[GroupByKey]]),(OutputTable[GroupByKey]=OutputTable[[#This Row],[GroupByKey]])*OutputTable[RecordedValue])),0)</f>
        <v>6.5659052011974035</v>
      </c>
      <c r="M406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406" cm="1">
        <f t="array" ref="O406">MIN(IF((OutputTable[GroupByKey]=OutputTable[[#This Row],[GroupByKey]]),(OutputTable[GroupByKey]=OutputTable[[#This Row],[GroupByKey]])*OutputTable[RecordedValue]))</f>
        <v>8223</v>
      </c>
      <c r="P406" cm="1">
        <f t="array" ref="P406">MAX(IF((OutputTable[GroupByKey]=OutputTable[[#This Row],[GroupByKey]]),(OutputTable[GroupByKey]=OutputTable[[#This Row],[GroupByKey]])*OutputTable[RecordedValue]))</f>
        <v>8245</v>
      </c>
    </row>
    <row r="407" spans="1:16" x14ac:dyDescent="0.25">
      <c r="A407" t="s">
        <v>67</v>
      </c>
      <c r="B407" t="s">
        <v>243</v>
      </c>
      <c r="C407">
        <v>5</v>
      </c>
      <c r="D407" t="s">
        <v>217</v>
      </c>
      <c r="E407" t="s">
        <v>202</v>
      </c>
      <c r="F407" t="s">
        <v>87</v>
      </c>
      <c r="G407">
        <v>82463.395096232998</v>
      </c>
      <c r="H407">
        <v>0</v>
      </c>
      <c r="I407" t="str">
        <f>OutputTable[[#This Row],[ProjectName]]&amp;OutputTable[[#This Row],[Name]]&amp;OutputTable[[#This Row],[Type]]&amp;OutputTable[[#This Row],[Source]]</f>
        <v>Unnamed ProjectProcess 5 Accum VA TimeAccum VA TimeProcess</v>
      </c>
      <c r="J407" cm="1">
        <f t="array" ref="J407">MAX(IF((ProjectInfoTable[ProjectName]=OutputTable[[#This Row],[ProjectName]]),(ProjectInfoTable[ProjectName]=OutputTable[[#This Row],[ProjectName]])*ProjectInfoTable[NumberOfReplications]))</f>
        <v>10</v>
      </c>
      <c r="K407" cm="1">
        <f t="array" ref="K407">IFERROR(AVERAGE(IF((OutputTable[GroupByKey]=OutputTable[[#This Row],[GroupByKey]]),(OutputTable[GroupByKey]=OutputTable[[#This Row],[GroupByKey]])*OutputTable[RecordedValue])),0)</f>
        <v>82354.925585571807</v>
      </c>
      <c r="L407" cm="1">
        <f t="array" ref="L407">IFERROR(_xlfn.STDEV.S(IF((OutputTable[GroupByKey]=OutputTable[[#This Row],[GroupByKey]]),(OutputTable[GroupByKey]=OutputTable[[#This Row],[GroupByKey]])*OutputTable[RecordedValue])),0)</f>
        <v>74.759806822996126</v>
      </c>
      <c r="M407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53.479944099863097</v>
      </c>
      <c r="O407" cm="1">
        <f t="array" ref="O407">MIN(IF((OutputTable[GroupByKey]=OutputTable[[#This Row],[GroupByKey]]),(OutputTable[GroupByKey]=OutputTable[[#This Row],[GroupByKey]])*OutputTable[RecordedValue]))</f>
        <v>82287.012858407106</v>
      </c>
      <c r="P407" cm="1">
        <f t="array" ref="P407">MAX(IF((OutputTable[GroupByKey]=OutputTable[[#This Row],[GroupByKey]]),(OutputTable[GroupByKey]=OutputTable[[#This Row],[GroupByKey]])*OutputTable[RecordedValue]))</f>
        <v>82509.9089339692</v>
      </c>
    </row>
    <row r="408" spans="1:16" x14ac:dyDescent="0.25">
      <c r="A408" t="s">
        <v>67</v>
      </c>
      <c r="B408" t="s">
        <v>243</v>
      </c>
      <c r="C408">
        <v>5</v>
      </c>
      <c r="D408" t="s">
        <v>218</v>
      </c>
      <c r="E408" t="s">
        <v>156</v>
      </c>
      <c r="F408" t="s">
        <v>87</v>
      </c>
      <c r="G408">
        <v>8243</v>
      </c>
      <c r="H408">
        <v>0</v>
      </c>
      <c r="I408" t="str">
        <f>OutputTable[[#This Row],[ProjectName]]&amp;OutputTable[[#This Row],[Name]]&amp;OutputTable[[#This Row],[Type]]&amp;OutputTable[[#This Row],[Source]]</f>
        <v>Unnamed ProjectProcess 5 Number InNumber InProcess</v>
      </c>
      <c r="J408" cm="1">
        <f t="array" ref="J408">MAX(IF((ProjectInfoTable[ProjectName]=OutputTable[[#This Row],[ProjectName]]),(ProjectInfoTable[ProjectName]=OutputTable[[#This Row],[ProjectName]])*ProjectInfoTable[NumberOfReplications]))</f>
        <v>10</v>
      </c>
      <c r="K408" cm="1">
        <f t="array" ref="K408">IFERROR(AVERAGE(IF((OutputTable[GroupByKey]=OutputTable[[#This Row],[GroupByKey]]),(OutputTable[GroupByKey]=OutputTable[[#This Row],[GroupByKey]])*OutputTable[RecordedValue])),0)</f>
        <v>8233.5</v>
      </c>
      <c r="L408" cm="1">
        <f t="array" ref="L408">IFERROR(_xlfn.STDEV.S(IF((OutputTable[GroupByKey]=OutputTable[[#This Row],[GroupByKey]]),(OutputTable[GroupByKey]=OutputTable[[#This Row],[GroupByKey]])*OutputTable[RecordedValue])),0)</f>
        <v>6.5021364010437201</v>
      </c>
      <c r="M408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408" cm="1">
        <f t="array" ref="O408">MIN(IF((OutputTable[GroupByKey]=OutputTable[[#This Row],[GroupByKey]]),(OutputTable[GroupByKey]=OutputTable[[#This Row],[GroupByKey]])*OutputTable[RecordedValue]))</f>
        <v>8221</v>
      </c>
      <c r="P408" cm="1">
        <f t="array" ref="P408">MAX(IF((OutputTable[GroupByKey]=OutputTable[[#This Row],[GroupByKey]]),(OutputTable[GroupByKey]=OutputTable[[#This Row],[GroupByKey]])*OutputTable[RecordedValue]))</f>
        <v>8243</v>
      </c>
    </row>
    <row r="409" spans="1:16" x14ac:dyDescent="0.25">
      <c r="A409" t="s">
        <v>67</v>
      </c>
      <c r="B409" t="s">
        <v>243</v>
      </c>
      <c r="C409">
        <v>5</v>
      </c>
      <c r="D409" t="s">
        <v>219</v>
      </c>
      <c r="E409" t="s">
        <v>158</v>
      </c>
      <c r="F409" t="s">
        <v>87</v>
      </c>
      <c r="G409">
        <v>8243</v>
      </c>
      <c r="H409">
        <v>0</v>
      </c>
      <c r="I409" t="str">
        <f>OutputTable[[#This Row],[ProjectName]]&amp;OutputTable[[#This Row],[Name]]&amp;OutputTable[[#This Row],[Type]]&amp;OutputTable[[#This Row],[Source]]</f>
        <v>Unnamed ProjectProcess 5 Number OutNumber OutProcess</v>
      </c>
      <c r="J409" cm="1">
        <f t="array" ref="J409">MAX(IF((ProjectInfoTable[ProjectName]=OutputTable[[#This Row],[ProjectName]]),(ProjectInfoTable[ProjectName]=OutputTable[[#This Row],[ProjectName]])*ProjectInfoTable[NumberOfReplications]))</f>
        <v>10</v>
      </c>
      <c r="K409" cm="1">
        <f t="array" ref="K409">IFERROR(AVERAGE(IF((OutputTable[GroupByKey]=OutputTable[[#This Row],[GroupByKey]]),(OutputTable[GroupByKey]=OutputTable[[#This Row],[GroupByKey]])*OutputTable[RecordedValue])),0)</f>
        <v>8233.5</v>
      </c>
      <c r="L409" cm="1">
        <f t="array" ref="L409">IFERROR(_xlfn.STDEV.S(IF((OutputTable[GroupByKey]=OutputTable[[#This Row],[GroupByKey]]),(OutputTable[GroupByKey]=OutputTable[[#This Row],[GroupByKey]])*OutputTable[RecordedValue])),0)</f>
        <v>6.5021364010437201</v>
      </c>
      <c r="M409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409" cm="1">
        <f t="array" ref="O409">MIN(IF((OutputTable[GroupByKey]=OutputTable[[#This Row],[GroupByKey]]),(OutputTable[GroupByKey]=OutputTable[[#This Row],[GroupByKey]])*OutputTable[RecordedValue]))</f>
        <v>8221</v>
      </c>
      <c r="P409" cm="1">
        <f t="array" ref="P409">MAX(IF((OutputTable[GroupByKey]=OutputTable[[#This Row],[GroupByKey]]),(OutputTable[GroupByKey]=OutputTable[[#This Row],[GroupByKey]])*OutputTable[RecordedValue]))</f>
        <v>8243</v>
      </c>
    </row>
    <row r="410" spans="1:16" x14ac:dyDescent="0.25">
      <c r="A410" t="s">
        <v>67</v>
      </c>
      <c r="B410" t="s">
        <v>243</v>
      </c>
      <c r="C410">
        <v>5</v>
      </c>
      <c r="D410" t="s">
        <v>220</v>
      </c>
      <c r="E410" t="s">
        <v>202</v>
      </c>
      <c r="F410" t="s">
        <v>87</v>
      </c>
      <c r="G410">
        <v>205554.00796082799</v>
      </c>
      <c r="H410">
        <v>0</v>
      </c>
      <c r="I410" t="str">
        <f>OutputTable[[#This Row],[ProjectName]]&amp;OutputTable[[#This Row],[Name]]&amp;OutputTable[[#This Row],[Type]]&amp;OutputTable[[#This Row],[Source]]</f>
        <v>Unnamed ProjectProcess 6 Accum VA TimeAccum VA TimeProcess</v>
      </c>
      <c r="J410" cm="1">
        <f t="array" ref="J410">MAX(IF((ProjectInfoTable[ProjectName]=OutputTable[[#This Row],[ProjectName]]),(ProjectInfoTable[ProjectName]=OutputTable[[#This Row],[ProjectName]])*ProjectInfoTable[NumberOfReplications]))</f>
        <v>10</v>
      </c>
      <c r="K410" cm="1">
        <f t="array" ref="K410">IFERROR(AVERAGE(IF((OutputTable[GroupByKey]=OutputTable[[#This Row],[GroupByKey]]),(OutputTable[GroupByKey]=OutputTable[[#This Row],[GroupByKey]])*OutputTable[RecordedValue])),0)</f>
        <v>205782.3721339902</v>
      </c>
      <c r="L410" cm="1">
        <f t="array" ref="L410">IFERROR(_xlfn.STDEV.S(IF((OutputTable[GroupByKey]=OutputTable[[#This Row],[GroupByKey]]),(OutputTable[GroupByKey]=OutputTable[[#This Row],[GroupByKey]])*OutputTable[RecordedValue])),0)</f>
        <v>135.17903819323379</v>
      </c>
      <c r="M410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96.701258514002035</v>
      </c>
      <c r="O410" cm="1">
        <f t="array" ref="O410">MIN(IF((OutputTable[GroupByKey]=OutputTable[[#This Row],[GroupByKey]]),(OutputTable[GroupByKey]=OutputTable[[#This Row],[GroupByKey]])*OutputTable[RecordedValue]))</f>
        <v>205554.00796082799</v>
      </c>
      <c r="P410" cm="1">
        <f t="array" ref="P410">MAX(IF((OutputTable[GroupByKey]=OutputTable[[#This Row],[GroupByKey]]),(OutputTable[GroupByKey]=OutputTable[[#This Row],[GroupByKey]])*OutputTable[RecordedValue]))</f>
        <v>205962.665291818</v>
      </c>
    </row>
    <row r="411" spans="1:16" x14ac:dyDescent="0.25">
      <c r="A411" t="s">
        <v>67</v>
      </c>
      <c r="B411" t="s">
        <v>243</v>
      </c>
      <c r="C411">
        <v>5</v>
      </c>
      <c r="D411" t="s">
        <v>221</v>
      </c>
      <c r="E411" t="s">
        <v>156</v>
      </c>
      <c r="F411" t="s">
        <v>87</v>
      </c>
      <c r="G411">
        <v>8241</v>
      </c>
      <c r="H411">
        <v>0</v>
      </c>
      <c r="I411" t="str">
        <f>OutputTable[[#This Row],[ProjectName]]&amp;OutputTable[[#This Row],[Name]]&amp;OutputTable[[#This Row],[Type]]&amp;OutputTable[[#This Row],[Source]]</f>
        <v>Unnamed ProjectProcess 6 Number InNumber InProcess</v>
      </c>
      <c r="J411" cm="1">
        <f t="array" ref="J411">MAX(IF((ProjectInfoTable[ProjectName]=OutputTable[[#This Row],[ProjectName]]),(ProjectInfoTable[ProjectName]=OutputTable[[#This Row],[ProjectName]])*ProjectInfoTable[NumberOfReplications]))</f>
        <v>10</v>
      </c>
      <c r="K411" cm="1">
        <f t="array" ref="K411">IFERROR(AVERAGE(IF((OutputTable[GroupByKey]=OutputTable[[#This Row],[GroupByKey]]),(OutputTable[GroupByKey]=OutputTable[[#This Row],[GroupByKey]])*OutputTable[RecordedValue])),0)</f>
        <v>8231.5</v>
      </c>
      <c r="L411" cm="1">
        <f t="array" ref="L411">IFERROR(_xlfn.STDEV.S(IF((OutputTable[GroupByKey]=OutputTable[[#This Row],[GroupByKey]]),(OutputTable[GroupByKey]=OutputTable[[#This Row],[GroupByKey]])*OutputTable[RecordedValue])),0)</f>
        <v>6.3464775882199236</v>
      </c>
      <c r="M411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411" cm="1">
        <f t="array" ref="O411">MIN(IF((OutputTable[GroupByKey]=OutputTable[[#This Row],[GroupByKey]]),(OutputTable[GroupByKey]=OutputTable[[#This Row],[GroupByKey]])*OutputTable[RecordedValue]))</f>
        <v>8220</v>
      </c>
      <c r="P411" cm="1">
        <f t="array" ref="P411">MAX(IF((OutputTable[GroupByKey]=OutputTable[[#This Row],[GroupByKey]]),(OutputTable[GroupByKey]=OutputTable[[#This Row],[GroupByKey]])*OutputTable[RecordedValue]))</f>
        <v>8241</v>
      </c>
    </row>
    <row r="412" spans="1:16" x14ac:dyDescent="0.25">
      <c r="A412" t="s">
        <v>67</v>
      </c>
      <c r="B412" t="s">
        <v>243</v>
      </c>
      <c r="C412">
        <v>5</v>
      </c>
      <c r="D412" t="s">
        <v>222</v>
      </c>
      <c r="E412" t="s">
        <v>158</v>
      </c>
      <c r="F412" t="s">
        <v>87</v>
      </c>
      <c r="G412">
        <v>8241</v>
      </c>
      <c r="H412">
        <v>0</v>
      </c>
      <c r="I412" t="str">
        <f>OutputTable[[#This Row],[ProjectName]]&amp;OutputTable[[#This Row],[Name]]&amp;OutputTable[[#This Row],[Type]]&amp;OutputTable[[#This Row],[Source]]</f>
        <v>Unnamed ProjectProcess 6 Number OutNumber OutProcess</v>
      </c>
      <c r="J412" cm="1">
        <f t="array" ref="J412">MAX(IF((ProjectInfoTable[ProjectName]=OutputTable[[#This Row],[ProjectName]]),(ProjectInfoTable[ProjectName]=OutputTable[[#This Row],[ProjectName]])*ProjectInfoTable[NumberOfReplications]))</f>
        <v>10</v>
      </c>
      <c r="K412" cm="1">
        <f t="array" ref="K412">IFERROR(AVERAGE(IF((OutputTable[GroupByKey]=OutputTable[[#This Row],[GroupByKey]]),(OutputTable[GroupByKey]=OutputTable[[#This Row],[GroupByKey]])*OutputTable[RecordedValue])),0)</f>
        <v>8231.5</v>
      </c>
      <c r="L412" cm="1">
        <f t="array" ref="L412">IFERROR(_xlfn.STDEV.S(IF((OutputTable[GroupByKey]=OutputTable[[#This Row],[GroupByKey]]),(OutputTable[GroupByKey]=OutputTable[[#This Row],[GroupByKey]])*OutputTable[RecordedValue])),0)</f>
        <v>6.3464775882199236</v>
      </c>
      <c r="M412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412" cm="1">
        <f t="array" ref="O412">MIN(IF((OutputTable[GroupByKey]=OutputTable[[#This Row],[GroupByKey]]),(OutputTable[GroupByKey]=OutputTable[[#This Row],[GroupByKey]])*OutputTable[RecordedValue]))</f>
        <v>8220</v>
      </c>
      <c r="P412" cm="1">
        <f t="array" ref="P412">MAX(IF((OutputTable[GroupByKey]=OutputTable[[#This Row],[GroupByKey]]),(OutputTable[GroupByKey]=OutputTable[[#This Row],[GroupByKey]])*OutputTable[RecordedValue]))</f>
        <v>8241</v>
      </c>
    </row>
    <row r="413" spans="1:16" x14ac:dyDescent="0.25">
      <c r="A413" t="s">
        <v>67</v>
      </c>
      <c r="B413" t="s">
        <v>243</v>
      </c>
      <c r="C413">
        <v>5</v>
      </c>
      <c r="D413" t="s">
        <v>223</v>
      </c>
      <c r="E413" t="s">
        <v>202</v>
      </c>
      <c r="F413" t="s">
        <v>87</v>
      </c>
      <c r="G413">
        <v>98993.883345143302</v>
      </c>
      <c r="H413">
        <v>0</v>
      </c>
      <c r="I413" t="str">
        <f>OutputTable[[#This Row],[ProjectName]]&amp;OutputTable[[#This Row],[Name]]&amp;OutputTable[[#This Row],[Type]]&amp;OutputTable[[#This Row],[Source]]</f>
        <v>Unnamed ProjectProcess 7 Accum VA TimeAccum VA TimeProcess</v>
      </c>
      <c r="J413" cm="1">
        <f t="array" ref="J413">MAX(IF((ProjectInfoTable[ProjectName]=OutputTable[[#This Row],[ProjectName]]),(ProjectInfoTable[ProjectName]=OutputTable[[#This Row],[ProjectName]])*ProjectInfoTable[NumberOfReplications]))</f>
        <v>10</v>
      </c>
      <c r="K413" cm="1">
        <f t="array" ref="K413">IFERROR(AVERAGE(IF((OutputTable[GroupByKey]=OutputTable[[#This Row],[GroupByKey]]),(OutputTable[GroupByKey]=OutputTable[[#This Row],[GroupByKey]])*OutputTable[RecordedValue])),0)</f>
        <v>98625.180720296266</v>
      </c>
      <c r="L413" cm="1">
        <f t="array" ref="L413">IFERROR(_xlfn.STDEV.S(IF((OutputTable[GroupByKey]=OutputTable[[#This Row],[GroupByKey]]),(OutputTable[GroupByKey]=OutputTable[[#This Row],[GroupByKey]])*OutputTable[RecordedValue])),0)</f>
        <v>166.97558012409817</v>
      </c>
      <c r="M413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119.44713437023168</v>
      </c>
      <c r="O413" cm="1">
        <f t="array" ref="O413">MIN(IF((OutputTable[GroupByKey]=OutputTable[[#This Row],[GroupByKey]]),(OutputTable[GroupByKey]=OutputTable[[#This Row],[GroupByKey]])*OutputTable[RecordedValue]))</f>
        <v>98434.330991768598</v>
      </c>
      <c r="P413" cm="1">
        <f t="array" ref="P413">MAX(IF((OutputTable[GroupByKey]=OutputTable[[#This Row],[GroupByKey]]),(OutputTable[GroupByKey]=OutputTable[[#This Row],[GroupByKey]])*OutputTable[RecordedValue]))</f>
        <v>98993.883345143302</v>
      </c>
    </row>
    <row r="414" spans="1:16" x14ac:dyDescent="0.25">
      <c r="A414" t="s">
        <v>67</v>
      </c>
      <c r="B414" t="s">
        <v>243</v>
      </c>
      <c r="C414">
        <v>5</v>
      </c>
      <c r="D414" t="s">
        <v>224</v>
      </c>
      <c r="E414" t="s">
        <v>156</v>
      </c>
      <c r="F414" t="s">
        <v>87</v>
      </c>
      <c r="G414">
        <v>8237</v>
      </c>
      <c r="H414">
        <v>0</v>
      </c>
      <c r="I414" t="str">
        <f>OutputTable[[#This Row],[ProjectName]]&amp;OutputTable[[#This Row],[Name]]&amp;OutputTable[[#This Row],[Type]]&amp;OutputTable[[#This Row],[Source]]</f>
        <v>Unnamed ProjectProcess 7 Number InNumber InProcess</v>
      </c>
      <c r="J414" cm="1">
        <f t="array" ref="J414">MAX(IF((ProjectInfoTable[ProjectName]=OutputTable[[#This Row],[ProjectName]]),(ProjectInfoTable[ProjectName]=OutputTable[[#This Row],[ProjectName]])*ProjectInfoTable[NumberOfReplications]))</f>
        <v>10</v>
      </c>
      <c r="K414" cm="1">
        <f t="array" ref="K414">IFERROR(AVERAGE(IF((OutputTable[GroupByKey]=OutputTable[[#This Row],[GroupByKey]]),(OutputTable[GroupByKey]=OutputTable[[#This Row],[GroupByKey]])*OutputTable[RecordedValue])),0)</f>
        <v>8227.7000000000007</v>
      </c>
      <c r="L414" cm="1">
        <f t="array" ref="L414">IFERROR(_xlfn.STDEV.S(IF((OutputTable[GroupByKey]=OutputTable[[#This Row],[GroupByKey]]),(OutputTable[GroupByKey]=OutputTable[[#This Row],[GroupByKey]])*OutputTable[RecordedValue])),0)</f>
        <v>6.2902040242480748</v>
      </c>
      <c r="M414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414" cm="1">
        <f t="array" ref="O414">MIN(IF((OutputTable[GroupByKey]=OutputTable[[#This Row],[GroupByKey]]),(OutputTable[GroupByKey]=OutputTable[[#This Row],[GroupByKey]])*OutputTable[RecordedValue]))</f>
        <v>8216</v>
      </c>
      <c r="P414" cm="1">
        <f t="array" ref="P414">MAX(IF((OutputTable[GroupByKey]=OutputTable[[#This Row],[GroupByKey]]),(OutputTable[GroupByKey]=OutputTable[[#This Row],[GroupByKey]])*OutputTable[RecordedValue]))</f>
        <v>8237</v>
      </c>
    </row>
    <row r="415" spans="1:16" x14ac:dyDescent="0.25">
      <c r="A415" t="s">
        <v>67</v>
      </c>
      <c r="B415" t="s">
        <v>243</v>
      </c>
      <c r="C415">
        <v>5</v>
      </c>
      <c r="D415" t="s">
        <v>225</v>
      </c>
      <c r="E415" t="s">
        <v>158</v>
      </c>
      <c r="F415" t="s">
        <v>87</v>
      </c>
      <c r="G415">
        <v>8237</v>
      </c>
      <c r="H415">
        <v>0</v>
      </c>
      <c r="I415" t="str">
        <f>OutputTable[[#This Row],[ProjectName]]&amp;OutputTable[[#This Row],[Name]]&amp;OutputTable[[#This Row],[Type]]&amp;OutputTable[[#This Row],[Source]]</f>
        <v>Unnamed ProjectProcess 7 Number OutNumber OutProcess</v>
      </c>
      <c r="J415" cm="1">
        <f t="array" ref="J415">MAX(IF((ProjectInfoTable[ProjectName]=OutputTable[[#This Row],[ProjectName]]),(ProjectInfoTable[ProjectName]=OutputTable[[#This Row],[ProjectName]])*ProjectInfoTable[NumberOfReplications]))</f>
        <v>10</v>
      </c>
      <c r="K415" cm="1">
        <f t="array" ref="K415">IFERROR(AVERAGE(IF((OutputTable[GroupByKey]=OutputTable[[#This Row],[GroupByKey]]),(OutputTable[GroupByKey]=OutputTable[[#This Row],[GroupByKey]])*OutputTable[RecordedValue])),0)</f>
        <v>8227.7000000000007</v>
      </c>
      <c r="L415" cm="1">
        <f t="array" ref="L415">IFERROR(_xlfn.STDEV.S(IF((OutputTable[GroupByKey]=OutputTable[[#This Row],[GroupByKey]]),(OutputTable[GroupByKey]=OutputTable[[#This Row],[GroupByKey]])*OutputTable[RecordedValue])),0)</f>
        <v>6.2902040242480748</v>
      </c>
      <c r="M41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415" cm="1">
        <f t="array" ref="O415">MIN(IF((OutputTable[GroupByKey]=OutputTable[[#This Row],[GroupByKey]]),(OutputTable[GroupByKey]=OutputTable[[#This Row],[GroupByKey]])*OutputTable[RecordedValue]))</f>
        <v>8216</v>
      </c>
      <c r="P415" cm="1">
        <f t="array" ref="P415">MAX(IF((OutputTable[GroupByKey]=OutputTable[[#This Row],[GroupByKey]]),(OutputTable[GroupByKey]=OutputTable[[#This Row],[GroupByKey]])*OutputTable[RecordedValue]))</f>
        <v>8237</v>
      </c>
    </row>
    <row r="416" spans="1:16" x14ac:dyDescent="0.25">
      <c r="A416" t="s">
        <v>67</v>
      </c>
      <c r="B416" t="s">
        <v>243</v>
      </c>
      <c r="C416">
        <v>5</v>
      </c>
      <c r="D416" t="s">
        <v>226</v>
      </c>
      <c r="E416" t="s">
        <v>202</v>
      </c>
      <c r="F416" t="s">
        <v>87</v>
      </c>
      <c r="G416">
        <v>91922.639276753995</v>
      </c>
      <c r="H416">
        <v>0</v>
      </c>
      <c r="I416" t="str">
        <f>OutputTable[[#This Row],[ProjectName]]&amp;OutputTable[[#This Row],[Name]]&amp;OutputTable[[#This Row],[Type]]&amp;OutputTable[[#This Row],[Source]]</f>
        <v>Unnamed ProjectProcess 8 Accum VA TimeAccum VA TimeProcess</v>
      </c>
      <c r="J416" cm="1">
        <f t="array" ref="J416">MAX(IF((ProjectInfoTable[ProjectName]=OutputTable[[#This Row],[ProjectName]]),(ProjectInfoTable[ProjectName]=OutputTable[[#This Row],[ProjectName]])*ProjectInfoTable[NumberOfReplications]))</f>
        <v>10</v>
      </c>
      <c r="K416" cm="1">
        <f t="array" ref="K416">IFERROR(AVERAGE(IF((OutputTable[GroupByKey]=OutputTable[[#This Row],[GroupByKey]]),(OutputTable[GroupByKey]=OutputTable[[#This Row],[GroupByKey]])*OutputTable[RecordedValue])),0)</f>
        <v>91917.034029149756</v>
      </c>
      <c r="L416" cm="1">
        <f t="array" ref="L416">IFERROR(_xlfn.STDEV.S(IF((OutputTable[GroupByKey]=OutputTable[[#This Row],[GroupByKey]]),(OutputTable[GroupByKey]=OutputTable[[#This Row],[GroupByKey]])*OutputTable[RecordedValue])),0)</f>
        <v>167.33037075092571</v>
      </c>
      <c r="M416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119.70093629530641</v>
      </c>
      <c r="O416" cm="1">
        <f t="array" ref="O416">MIN(IF((OutputTable[GroupByKey]=OutputTable[[#This Row],[GroupByKey]]),(OutputTable[GroupByKey]=OutputTable[[#This Row],[GroupByKey]])*OutputTable[RecordedValue]))</f>
        <v>91632.276670136605</v>
      </c>
      <c r="P416" cm="1">
        <f t="array" ref="P416">MAX(IF((OutputTable[GroupByKey]=OutputTable[[#This Row],[GroupByKey]]),(OutputTable[GroupByKey]=OutputTable[[#This Row],[GroupByKey]])*OutputTable[RecordedValue]))</f>
        <v>92162.594279262106</v>
      </c>
    </row>
    <row r="417" spans="1:16" x14ac:dyDescent="0.25">
      <c r="A417" t="s">
        <v>67</v>
      </c>
      <c r="B417" t="s">
        <v>243</v>
      </c>
      <c r="C417">
        <v>5</v>
      </c>
      <c r="D417" t="s">
        <v>227</v>
      </c>
      <c r="E417" t="s">
        <v>156</v>
      </c>
      <c r="F417" t="s">
        <v>87</v>
      </c>
      <c r="G417">
        <v>18405</v>
      </c>
      <c r="H417">
        <v>0</v>
      </c>
      <c r="I417" t="str">
        <f>OutputTable[[#This Row],[ProjectName]]&amp;OutputTable[[#This Row],[Name]]&amp;OutputTable[[#This Row],[Type]]&amp;OutputTable[[#This Row],[Source]]</f>
        <v>Unnamed ProjectProcess 8 Number InNumber InProcess</v>
      </c>
      <c r="J417" cm="1">
        <f t="array" ref="J417">MAX(IF((ProjectInfoTable[ProjectName]=OutputTable[[#This Row],[ProjectName]]),(ProjectInfoTable[ProjectName]=OutputTable[[#This Row],[ProjectName]])*ProjectInfoTable[NumberOfReplications]))</f>
        <v>10</v>
      </c>
      <c r="K417" cm="1">
        <f t="array" ref="K417">IFERROR(AVERAGE(IF((OutputTable[GroupByKey]=OutputTable[[#This Row],[GroupByKey]]),(OutputTable[GroupByKey]=OutputTable[[#This Row],[GroupByKey]])*OutputTable[RecordedValue])),0)</f>
        <v>18392</v>
      </c>
      <c r="L417" cm="1">
        <f t="array" ref="L417">IFERROR(_xlfn.STDEV.S(IF((OutputTable[GroupByKey]=OutputTable[[#This Row],[GroupByKey]]),(OutputTable[GroupByKey]=OutputTable[[#This Row],[GroupByKey]])*OutputTable[RecordedValue])),0)</f>
        <v>12.884098726725126</v>
      </c>
      <c r="M417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417" cm="1">
        <f t="array" ref="O417">MIN(IF((OutputTable[GroupByKey]=OutputTable[[#This Row],[GroupByKey]]),(OutputTable[GroupByKey]=OutputTable[[#This Row],[GroupByKey]])*OutputTable[RecordedValue]))</f>
        <v>18376</v>
      </c>
      <c r="P417" cm="1">
        <f t="array" ref="P417">MAX(IF((OutputTable[GroupByKey]=OutputTable[[#This Row],[GroupByKey]]),(OutputTable[GroupByKey]=OutputTable[[#This Row],[GroupByKey]])*OutputTable[RecordedValue]))</f>
        <v>18407</v>
      </c>
    </row>
    <row r="418" spans="1:16" x14ac:dyDescent="0.25">
      <c r="A418" t="s">
        <v>67</v>
      </c>
      <c r="B418" t="s">
        <v>243</v>
      </c>
      <c r="C418">
        <v>5</v>
      </c>
      <c r="D418" t="s">
        <v>228</v>
      </c>
      <c r="E418" t="s">
        <v>158</v>
      </c>
      <c r="F418" t="s">
        <v>87</v>
      </c>
      <c r="G418">
        <v>18405</v>
      </c>
      <c r="H418">
        <v>0</v>
      </c>
      <c r="I418" t="str">
        <f>OutputTable[[#This Row],[ProjectName]]&amp;OutputTable[[#This Row],[Name]]&amp;OutputTable[[#This Row],[Type]]&amp;OutputTable[[#This Row],[Source]]</f>
        <v>Unnamed ProjectProcess 8 Number OutNumber OutProcess</v>
      </c>
      <c r="J418" cm="1">
        <f t="array" ref="J418">MAX(IF((ProjectInfoTable[ProjectName]=OutputTable[[#This Row],[ProjectName]]),(ProjectInfoTable[ProjectName]=OutputTable[[#This Row],[ProjectName]])*ProjectInfoTable[NumberOfReplications]))</f>
        <v>10</v>
      </c>
      <c r="K418" cm="1">
        <f t="array" ref="K418">IFERROR(AVERAGE(IF((OutputTable[GroupByKey]=OutputTable[[#This Row],[GroupByKey]]),(OutputTable[GroupByKey]=OutputTable[[#This Row],[GroupByKey]])*OutputTable[RecordedValue])),0)</f>
        <v>18392</v>
      </c>
      <c r="L418" cm="1">
        <f t="array" ref="L418">IFERROR(_xlfn.STDEV.S(IF((OutputTable[GroupByKey]=OutputTable[[#This Row],[GroupByKey]]),(OutputTable[GroupByKey]=OutputTable[[#This Row],[GroupByKey]])*OutputTable[RecordedValue])),0)</f>
        <v>12.884098726725126</v>
      </c>
      <c r="M418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418" cm="1">
        <f t="array" ref="O418">MIN(IF((OutputTable[GroupByKey]=OutputTable[[#This Row],[GroupByKey]]),(OutputTable[GroupByKey]=OutputTable[[#This Row],[GroupByKey]])*OutputTable[RecordedValue]))</f>
        <v>18376</v>
      </c>
      <c r="P418" cm="1">
        <f t="array" ref="P418">MAX(IF((OutputTable[GroupByKey]=OutputTable[[#This Row],[GroupByKey]]),(OutputTable[GroupByKey]=OutputTable[[#This Row],[GroupByKey]])*OutputTable[RecordedValue]))</f>
        <v>18407</v>
      </c>
    </row>
    <row r="419" spans="1:16" x14ac:dyDescent="0.25">
      <c r="A419" t="s">
        <v>67</v>
      </c>
      <c r="B419" t="s">
        <v>243</v>
      </c>
      <c r="C419">
        <v>5</v>
      </c>
      <c r="D419" t="s">
        <v>229</v>
      </c>
      <c r="E419" t="s">
        <v>202</v>
      </c>
      <c r="F419" t="s">
        <v>87</v>
      </c>
      <c r="G419">
        <v>104123.830349454</v>
      </c>
      <c r="H419">
        <v>0</v>
      </c>
      <c r="I419" t="str">
        <f>OutputTable[[#This Row],[ProjectName]]&amp;OutputTable[[#This Row],[Name]]&amp;OutputTable[[#This Row],[Type]]&amp;OutputTable[[#This Row],[Source]]</f>
        <v>Unnamed ProjectProcess 9 Accum VA TimeAccum VA TimeProcess</v>
      </c>
      <c r="J419" cm="1">
        <f t="array" ref="J419">MAX(IF((ProjectInfoTable[ProjectName]=OutputTable[[#This Row],[ProjectName]]),(ProjectInfoTable[ProjectName]=OutputTable[[#This Row],[ProjectName]])*ProjectInfoTable[NumberOfReplications]))</f>
        <v>10</v>
      </c>
      <c r="K419" cm="1">
        <f t="array" ref="K419">IFERROR(AVERAGE(IF((OutputTable[GroupByKey]=OutputTable[[#This Row],[GroupByKey]]),(OutputTable[GroupByKey]=OutputTable[[#This Row],[GroupByKey]])*OutputTable[RecordedValue])),0)</f>
        <v>104198.44406523299</v>
      </c>
      <c r="L419" cm="1">
        <f t="array" ref="L419">IFERROR(_xlfn.STDEV.S(IF((OutputTable[GroupByKey]=OutputTable[[#This Row],[GroupByKey]]),(OutputTable[GroupByKey]=OutputTable[[#This Row],[GroupByKey]])*OutputTable[RecordedValue])),0)</f>
        <v>99.045608472383734</v>
      </c>
      <c r="M419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70.852960026786278</v>
      </c>
      <c r="O419" cm="1">
        <f t="array" ref="O419">MIN(IF((OutputTable[GroupByKey]=OutputTable[[#This Row],[GroupByKey]]),(OutputTable[GroupByKey]=OutputTable[[#This Row],[GroupByKey]])*OutputTable[RecordedValue]))</f>
        <v>104039.320720244</v>
      </c>
      <c r="P419" cm="1">
        <f t="array" ref="P419">MAX(IF((OutputTable[GroupByKey]=OutputTable[[#This Row],[GroupByKey]]),(OutputTable[GroupByKey]=OutputTable[[#This Row],[GroupByKey]])*OutputTable[RecordedValue]))</f>
        <v>104335.096217932</v>
      </c>
    </row>
    <row r="420" spans="1:16" x14ac:dyDescent="0.25">
      <c r="A420" t="s">
        <v>67</v>
      </c>
      <c r="B420" t="s">
        <v>243</v>
      </c>
      <c r="C420">
        <v>5</v>
      </c>
      <c r="D420" t="s">
        <v>230</v>
      </c>
      <c r="E420" t="s">
        <v>156</v>
      </c>
      <c r="F420" t="s">
        <v>87</v>
      </c>
      <c r="G420">
        <v>18401</v>
      </c>
      <c r="H420">
        <v>0</v>
      </c>
      <c r="I420" t="str">
        <f>OutputTable[[#This Row],[ProjectName]]&amp;OutputTable[[#This Row],[Name]]&amp;OutputTable[[#This Row],[Type]]&amp;OutputTable[[#This Row],[Source]]</f>
        <v>Unnamed ProjectProcess 9 Number InNumber InProcess</v>
      </c>
      <c r="J420" cm="1">
        <f t="array" ref="J420">MAX(IF((ProjectInfoTable[ProjectName]=OutputTable[[#This Row],[ProjectName]]),(ProjectInfoTable[ProjectName]=OutputTable[[#This Row],[ProjectName]])*ProjectInfoTable[NumberOfReplications]))</f>
        <v>10</v>
      </c>
      <c r="K420" cm="1">
        <f t="array" ref="K420">IFERROR(AVERAGE(IF((OutputTable[GroupByKey]=OutputTable[[#This Row],[GroupByKey]]),(OutputTable[GroupByKey]=OutputTable[[#This Row],[GroupByKey]])*OutputTable[RecordedValue])),0)</f>
        <v>18389.400000000001</v>
      </c>
      <c r="L420" cm="1">
        <f t="array" ref="L420">IFERROR(_xlfn.STDEV.S(IF((OutputTable[GroupByKey]=OutputTable[[#This Row],[GroupByKey]]),(OutputTable[GroupByKey]=OutputTable[[#This Row],[GroupByKey]])*OutputTable[RecordedValue])),0)</f>
        <v>12.103259432437566</v>
      </c>
      <c r="M420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420" cm="1">
        <f t="array" ref="O420">MIN(IF((OutputTable[GroupByKey]=OutputTable[[#This Row],[GroupByKey]]),(OutputTable[GroupByKey]=OutputTable[[#This Row],[GroupByKey]])*OutputTable[RecordedValue]))</f>
        <v>18376</v>
      </c>
      <c r="P420" cm="1">
        <f t="array" ref="P420">MAX(IF((OutputTable[GroupByKey]=OutputTable[[#This Row],[GroupByKey]]),(OutputTable[GroupByKey]=OutputTable[[#This Row],[GroupByKey]])*OutputTable[RecordedValue]))</f>
        <v>18404</v>
      </c>
    </row>
    <row r="421" spans="1:16" x14ac:dyDescent="0.25">
      <c r="A421" t="s">
        <v>67</v>
      </c>
      <c r="B421" t="s">
        <v>243</v>
      </c>
      <c r="C421">
        <v>5</v>
      </c>
      <c r="D421" t="s">
        <v>231</v>
      </c>
      <c r="E421" t="s">
        <v>158</v>
      </c>
      <c r="F421" t="s">
        <v>87</v>
      </c>
      <c r="G421">
        <v>18401</v>
      </c>
      <c r="H421">
        <v>0</v>
      </c>
      <c r="I421" t="str">
        <f>OutputTable[[#This Row],[ProjectName]]&amp;OutputTable[[#This Row],[Name]]&amp;OutputTable[[#This Row],[Type]]&amp;OutputTable[[#This Row],[Source]]</f>
        <v>Unnamed ProjectProcess 9 Number OutNumber OutProcess</v>
      </c>
      <c r="J421" cm="1">
        <f t="array" ref="J421">MAX(IF((ProjectInfoTable[ProjectName]=OutputTable[[#This Row],[ProjectName]]),(ProjectInfoTable[ProjectName]=OutputTable[[#This Row],[ProjectName]])*ProjectInfoTable[NumberOfReplications]))</f>
        <v>10</v>
      </c>
      <c r="K421" cm="1">
        <f t="array" ref="K421">IFERROR(AVERAGE(IF((OutputTable[GroupByKey]=OutputTable[[#This Row],[GroupByKey]]),(OutputTable[GroupByKey]=OutputTable[[#This Row],[GroupByKey]])*OutputTable[RecordedValue])),0)</f>
        <v>18389.400000000001</v>
      </c>
      <c r="L421" cm="1">
        <f t="array" ref="L421">IFERROR(_xlfn.STDEV.S(IF((OutputTable[GroupByKey]=OutputTable[[#This Row],[GroupByKey]]),(OutputTable[GroupByKey]=OutputTable[[#This Row],[GroupByKey]])*OutputTable[RecordedValue])),0)</f>
        <v>12.103259432437566</v>
      </c>
      <c r="M421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421" cm="1">
        <f t="array" ref="O421">MIN(IF((OutputTable[GroupByKey]=OutputTable[[#This Row],[GroupByKey]]),(OutputTable[GroupByKey]=OutputTable[[#This Row],[GroupByKey]])*OutputTable[RecordedValue]))</f>
        <v>18376</v>
      </c>
      <c r="P421" cm="1">
        <f t="array" ref="P421">MAX(IF((OutputTable[GroupByKey]=OutputTable[[#This Row],[GroupByKey]]),(OutputTable[GroupByKey]=OutputTable[[#This Row],[GroupByKey]])*OutputTable[RecordedValue]))</f>
        <v>18404</v>
      </c>
    </row>
    <row r="422" spans="1:16" x14ac:dyDescent="0.25">
      <c r="A422" t="s">
        <v>67</v>
      </c>
      <c r="B422" t="s">
        <v>243</v>
      </c>
      <c r="C422">
        <v>5</v>
      </c>
      <c r="D422" t="s">
        <v>232</v>
      </c>
      <c r="E422" t="s">
        <v>152</v>
      </c>
      <c r="F422" t="s">
        <v>113</v>
      </c>
      <c r="G422">
        <v>0</v>
      </c>
      <c r="H422">
        <v>0</v>
      </c>
      <c r="I422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422" cm="1">
        <f t="array" ref="J422">MAX(IF((ProjectInfoTable[ProjectName]=OutputTable[[#This Row],[ProjectName]]),(ProjectInfoTable[ProjectName]=OutputTable[[#This Row],[ProjectName]])*ProjectInfoTable[NumberOfReplications]))</f>
        <v>10</v>
      </c>
      <c r="K422" cm="1">
        <f t="array" ref="K422">IFERROR(AVERAGE(IF((OutputTable[GroupByKey]=OutputTable[[#This Row],[GroupByKey]]),(OutputTable[GroupByKey]=OutputTable[[#This Row],[GroupByKey]])*OutputTable[RecordedValue])),0)</f>
        <v>0</v>
      </c>
      <c r="L422" cm="1">
        <f t="array" ref="L422">IFERROR(_xlfn.STDEV.S(IF((OutputTable[GroupByKey]=OutputTable[[#This Row],[GroupByKey]]),(OutputTable[GroupByKey]=OutputTable[[#This Row],[GroupByKey]])*OutputTable[RecordedValue])),0)</f>
        <v>0</v>
      </c>
      <c r="M422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2" cm="1">
        <f t="array" ref="O422">MIN(IF((OutputTable[GroupByKey]=OutputTable[[#This Row],[GroupByKey]]),(OutputTable[GroupByKey]=OutputTable[[#This Row],[GroupByKey]])*OutputTable[RecordedValue]))</f>
        <v>0</v>
      </c>
      <c r="P422" cm="1">
        <f t="array" ref="P422">MAX(IF((OutputTable[GroupByKey]=OutputTable[[#This Row],[GroupByKey]]),(OutputTable[GroupByKey]=OutputTable[[#This Row],[GroupByKey]])*OutputTable[RecordedValue]))</f>
        <v>0</v>
      </c>
    </row>
    <row r="423" spans="1:16" x14ac:dyDescent="0.25">
      <c r="A423" t="s">
        <v>67</v>
      </c>
      <c r="B423" t="s">
        <v>243</v>
      </c>
      <c r="C423">
        <v>5</v>
      </c>
      <c r="D423" t="s">
        <v>233</v>
      </c>
      <c r="E423" t="s">
        <v>154</v>
      </c>
      <c r="F423" t="s">
        <v>113</v>
      </c>
      <c r="G423">
        <v>0</v>
      </c>
      <c r="H423">
        <v>0</v>
      </c>
      <c r="I423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423" cm="1">
        <f t="array" ref="J423">MAX(IF((ProjectInfoTable[ProjectName]=OutputTable[[#This Row],[ProjectName]]),(ProjectInfoTable[ProjectName]=OutputTable[[#This Row],[ProjectName]])*ProjectInfoTable[NumberOfReplications]))</f>
        <v>10</v>
      </c>
      <c r="K423" cm="1">
        <f t="array" ref="K423">IFERROR(AVERAGE(IF((OutputTable[GroupByKey]=OutputTable[[#This Row],[GroupByKey]]),(OutputTable[GroupByKey]=OutputTable[[#This Row],[GroupByKey]])*OutputTable[RecordedValue])),0)</f>
        <v>0</v>
      </c>
      <c r="L423" cm="1">
        <f t="array" ref="L423">IFERROR(_xlfn.STDEV.S(IF((OutputTable[GroupByKey]=OutputTable[[#This Row],[GroupByKey]]),(OutputTable[GroupByKey]=OutputTable[[#This Row],[GroupByKey]])*OutputTable[RecordedValue])),0)</f>
        <v>0</v>
      </c>
      <c r="M423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3" cm="1">
        <f t="array" ref="O423">MIN(IF((OutputTable[GroupByKey]=OutputTable[[#This Row],[GroupByKey]]),(OutputTable[GroupByKey]=OutputTable[[#This Row],[GroupByKey]])*OutputTable[RecordedValue]))</f>
        <v>0</v>
      </c>
      <c r="P423" cm="1">
        <f t="array" ref="P423">MAX(IF((OutputTable[GroupByKey]=OutputTable[[#This Row],[GroupByKey]]),(OutputTable[GroupByKey]=OutputTable[[#This Row],[GroupByKey]])*OutputTable[RecordedValue]))</f>
        <v>0</v>
      </c>
    </row>
    <row r="424" spans="1:16" x14ac:dyDescent="0.25">
      <c r="A424" t="s">
        <v>67</v>
      </c>
      <c r="B424" t="s">
        <v>243</v>
      </c>
      <c r="C424">
        <v>5</v>
      </c>
      <c r="D424" t="s">
        <v>234</v>
      </c>
      <c r="E424" t="s">
        <v>152</v>
      </c>
      <c r="F424" t="s">
        <v>113</v>
      </c>
      <c r="G424">
        <v>116</v>
      </c>
      <c r="H424">
        <v>0</v>
      </c>
      <c r="I424" t="str">
        <f>OutputTable[[#This Row],[ProjectName]]&amp;OutputTable[[#This Row],[Name]]&amp;OutputTable[[#This Row],[Type]]&amp;OutputTable[[#This Row],[Source]]</f>
        <v>Unnamed ProjectSales Rep.NumberSeizedTotal Number SeizedResource</v>
      </c>
      <c r="J424" cm="1">
        <f t="array" ref="J424">MAX(IF((ProjectInfoTable[ProjectName]=OutputTable[[#This Row],[ProjectName]]),(ProjectInfoTable[ProjectName]=OutputTable[[#This Row],[ProjectName]])*ProjectInfoTable[NumberOfReplications]))</f>
        <v>10</v>
      </c>
      <c r="K424" cm="1">
        <f t="array" ref="K424">IFERROR(AVERAGE(IF((OutputTable[GroupByKey]=OutputTable[[#This Row],[GroupByKey]]),(OutputTable[GroupByKey]=OutputTable[[#This Row],[GroupByKey]])*OutputTable[RecordedValue])),0)</f>
        <v>118.7</v>
      </c>
      <c r="L424" cm="1">
        <f t="array" ref="L424">IFERROR(_xlfn.STDEV.S(IF((OutputTable[GroupByKey]=OutputTable[[#This Row],[GroupByKey]]),(OutputTable[GroupByKey]=OutputTable[[#This Row],[GroupByKey]])*OutputTable[RecordedValue])),0)</f>
        <v>12.587913073879887</v>
      </c>
      <c r="M424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424" cm="1">
        <f t="array" ref="O424">MIN(IF((OutputTable[GroupByKey]=OutputTable[[#This Row],[GroupByKey]]),(OutputTable[GroupByKey]=OutputTable[[#This Row],[GroupByKey]])*OutputTable[RecordedValue]))</f>
        <v>95</v>
      </c>
      <c r="P424" cm="1">
        <f t="array" ref="P424">MAX(IF((OutputTable[GroupByKey]=OutputTable[[#This Row],[GroupByKey]]),(OutputTable[GroupByKey]=OutputTable[[#This Row],[GroupByKey]])*OutputTable[RecordedValue]))</f>
        <v>141</v>
      </c>
    </row>
    <row r="425" spans="1:16" x14ac:dyDescent="0.25">
      <c r="A425" t="s">
        <v>67</v>
      </c>
      <c r="B425" t="s">
        <v>243</v>
      </c>
      <c r="C425">
        <v>5</v>
      </c>
      <c r="D425" t="s">
        <v>235</v>
      </c>
      <c r="E425" t="s">
        <v>154</v>
      </c>
      <c r="F425" t="s">
        <v>113</v>
      </c>
      <c r="G425">
        <v>0.32214962244370399</v>
      </c>
      <c r="H425">
        <v>0</v>
      </c>
      <c r="I425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425" cm="1">
        <f t="array" ref="J425">MAX(IF((ProjectInfoTable[ProjectName]=OutputTable[[#This Row],[ProjectName]]),(ProjectInfoTable[ProjectName]=OutputTable[[#This Row],[ProjectName]])*ProjectInfoTable[NumberOfReplications]))</f>
        <v>10</v>
      </c>
      <c r="K425" cm="1">
        <f t="array" ref="K425">IFERROR(AVERAGE(IF((OutputTable[GroupByKey]=OutputTable[[#This Row],[GroupByKey]]),(OutputTable[GroupByKey]=OutputTable[[#This Row],[GroupByKey]])*OutputTable[RecordedValue])),0)</f>
        <v>0.3273551167875815</v>
      </c>
      <c r="L425" cm="1">
        <f t="array" ref="L425">IFERROR(_xlfn.STDEV.S(IF((OutputTable[GroupByKey]=OutputTable[[#This Row],[GroupByKey]]),(OutputTable[GroupByKey]=OutputTable[[#This Row],[GroupByKey]])*OutputTable[RecordedValue])),0)</f>
        <v>3.5172818533154994E-2</v>
      </c>
      <c r="M42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2.5161118640145405E-2</v>
      </c>
      <c r="O425" cm="1">
        <f t="array" ref="O425">MIN(IF((OutputTable[GroupByKey]=OutputTable[[#This Row],[GroupByKey]]),(OutputTable[GroupByKey]=OutputTable[[#This Row],[GroupByKey]])*OutputTable[RecordedValue]))</f>
        <v>0.26933581669894202</v>
      </c>
      <c r="P425" cm="1">
        <f t="array" ref="P425">MAX(IF((OutputTable[GroupByKey]=OutputTable[[#This Row],[GroupByKey]]),(OutputTable[GroupByKey]=OutputTable[[#This Row],[GroupByKey]])*OutputTable[RecordedValue]))</f>
        <v>0.39321867243708603</v>
      </c>
    </row>
    <row r="426" spans="1:16" x14ac:dyDescent="0.25">
      <c r="A426" t="s">
        <v>67</v>
      </c>
      <c r="B426" t="s">
        <v>243</v>
      </c>
      <c r="C426">
        <v>5</v>
      </c>
      <c r="D426" t="s">
        <v>236</v>
      </c>
      <c r="E426" t="s">
        <v>158</v>
      </c>
      <c r="F426" t="s">
        <v>150</v>
      </c>
      <c r="G426">
        <v>2540</v>
      </c>
      <c r="H426">
        <v>0</v>
      </c>
      <c r="I426" t="str">
        <f>OutputTable[[#This Row],[ProjectName]]&amp;OutputTable[[#This Row],[Name]]&amp;OutputTable[[#This Row],[Type]]&amp;OutputTable[[#This Row],[Source]]</f>
        <v>Unnamed ProjectSystem.NumberOutNumber OutSystem</v>
      </c>
      <c r="J426" cm="1">
        <f t="array" ref="J426">MAX(IF((ProjectInfoTable[ProjectName]=OutputTable[[#This Row],[ProjectName]]),(ProjectInfoTable[ProjectName]=OutputTable[[#This Row],[ProjectName]])*ProjectInfoTable[NumberOfReplications]))</f>
        <v>10</v>
      </c>
      <c r="K426" cm="1">
        <f t="array" ref="K426">IFERROR(AVERAGE(IF((OutputTable[GroupByKey]=OutputTable[[#This Row],[GroupByKey]]),(OutputTable[GroupByKey]=OutputTable[[#This Row],[GroupByKey]])*OutputTable[RecordedValue])),0)</f>
        <v>2503.1</v>
      </c>
      <c r="L426" cm="1">
        <f t="array" ref="L426">IFERROR(_xlfn.STDEV.S(IF((OutputTable[GroupByKey]=OutputTable[[#This Row],[GroupByKey]]),(OutputTable[GroupByKey]=OutputTable[[#This Row],[GroupByKey]])*OutputTable[RecordedValue])),0)</f>
        <v>29.72260643573059</v>
      </c>
      <c r="M426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21.262271777248003</v>
      </c>
      <c r="O426" cm="1">
        <f t="array" ref="O426">MIN(IF((OutputTable[GroupByKey]=OutputTable[[#This Row],[GroupByKey]]),(OutputTable[GroupByKey]=OutputTable[[#This Row],[GroupByKey]])*OutputTable[RecordedValue]))</f>
        <v>2457</v>
      </c>
      <c r="P426" cm="1">
        <f t="array" ref="P426">MAX(IF((OutputTable[GroupByKey]=OutputTable[[#This Row],[GroupByKey]]),(OutputTable[GroupByKey]=OutputTable[[#This Row],[GroupByKey]])*OutputTable[RecordedValue]))</f>
        <v>2546</v>
      </c>
    </row>
    <row r="427" spans="1:16" x14ac:dyDescent="0.25">
      <c r="A427" t="s">
        <v>67</v>
      </c>
      <c r="B427" t="s">
        <v>243</v>
      </c>
      <c r="C427">
        <v>5</v>
      </c>
      <c r="D427" t="s">
        <v>237</v>
      </c>
      <c r="E427" t="s">
        <v>156</v>
      </c>
      <c r="F427" t="s">
        <v>76</v>
      </c>
      <c r="G427">
        <v>7838</v>
      </c>
      <c r="H427">
        <v>0</v>
      </c>
      <c r="I427" t="str">
        <f>OutputTable[[#This Row],[ProjectName]]&amp;OutputTable[[#This Row],[Name]]&amp;OutputTable[[#This Row],[Type]]&amp;OutputTable[[#This Row],[Source]]</f>
        <v>Unnamed ProjectWire Harness.NumberInNumber InEntity</v>
      </c>
      <c r="J427" cm="1">
        <f t="array" ref="J427">MAX(IF((ProjectInfoTable[ProjectName]=OutputTable[[#This Row],[ProjectName]]),(ProjectInfoTable[ProjectName]=OutputTable[[#This Row],[ProjectName]])*ProjectInfoTable[NumberOfReplications]))</f>
        <v>10</v>
      </c>
      <c r="K427" cm="1">
        <f t="array" ref="K427">IFERROR(AVERAGE(IF((OutputTable[GroupByKey]=OutputTable[[#This Row],[GroupByKey]]),(OutputTable[GroupByKey]=OutputTable[[#This Row],[GroupByKey]])*OutputTable[RecordedValue])),0)</f>
        <v>7832.8</v>
      </c>
      <c r="L427" cm="1">
        <f t="array" ref="L427">IFERROR(_xlfn.STDEV.S(IF((OutputTable[GroupByKey]=OutputTable[[#This Row],[GroupByKey]]),(OutputTable[GroupByKey]=OutputTable[[#This Row],[GroupByKey]])*OutputTable[RecordedValue])),0)</f>
        <v>7.8287220469811594</v>
      </c>
      <c r="M427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5.6003303812327712</v>
      </c>
      <c r="O427" cm="1">
        <f t="array" ref="O427">MIN(IF((OutputTable[GroupByKey]=OutputTable[[#This Row],[GroupByKey]]),(OutputTable[GroupByKey]=OutputTable[[#This Row],[GroupByKey]])*OutputTable[RecordedValue]))</f>
        <v>7818</v>
      </c>
      <c r="P427" cm="1">
        <f t="array" ref="P427">MAX(IF((OutputTable[GroupByKey]=OutputTable[[#This Row],[GroupByKey]]),(OutputTable[GroupByKey]=OutputTable[[#This Row],[GroupByKey]])*OutputTable[RecordedValue]))</f>
        <v>7845</v>
      </c>
    </row>
    <row r="428" spans="1:16" x14ac:dyDescent="0.25">
      <c r="A428" t="s">
        <v>67</v>
      </c>
      <c r="B428" t="s">
        <v>243</v>
      </c>
      <c r="C428">
        <v>5</v>
      </c>
      <c r="D428" t="s">
        <v>238</v>
      </c>
      <c r="E428" t="s">
        <v>158</v>
      </c>
      <c r="F428" t="s">
        <v>76</v>
      </c>
      <c r="G428">
        <v>7833</v>
      </c>
      <c r="H428">
        <v>0</v>
      </c>
      <c r="I428" t="str">
        <f>OutputTable[[#This Row],[ProjectName]]&amp;OutputTable[[#This Row],[Name]]&amp;OutputTable[[#This Row],[Type]]&amp;OutputTable[[#This Row],[Source]]</f>
        <v>Unnamed ProjectWire Harness.NumberOutNumber OutEntity</v>
      </c>
      <c r="J428" cm="1">
        <f t="array" ref="J428">MAX(IF((ProjectInfoTable[ProjectName]=OutputTable[[#This Row],[ProjectName]]),(ProjectInfoTable[ProjectName]=OutputTable[[#This Row],[ProjectName]])*ProjectInfoTable[NumberOfReplications]))</f>
        <v>10</v>
      </c>
      <c r="K428" cm="1">
        <f t="array" ref="K428">IFERROR(AVERAGE(IF((OutputTable[GroupByKey]=OutputTable[[#This Row],[GroupByKey]]),(OutputTable[GroupByKey]=OutputTable[[#This Row],[GroupByKey]])*OutputTable[RecordedValue])),0)</f>
        <v>7828.3</v>
      </c>
      <c r="L428" cm="1">
        <f t="array" ref="L428">IFERROR(_xlfn.STDEV.S(IF((OutputTable[GroupByKey]=OutputTable[[#This Row],[GroupByKey]]),(OutputTable[GroupByKey]=OutputTable[[#This Row],[GroupByKey]])*OutputTable[RecordedValue])),0)</f>
        <v>7.1032074132433696</v>
      </c>
      <c r="M428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5.0813284776056653</v>
      </c>
      <c r="O428" cm="1">
        <f t="array" ref="O428">MIN(IF((OutputTable[GroupByKey]=OutputTable[[#This Row],[GroupByKey]]),(OutputTable[GroupByKey]=OutputTable[[#This Row],[GroupByKey]])*OutputTable[RecordedValue]))</f>
        <v>7815</v>
      </c>
      <c r="P428" cm="1">
        <f t="array" ref="P428">MAX(IF((OutputTable[GroupByKey]=OutputTable[[#This Row],[GroupByKey]]),(OutputTable[GroupByKey]=OutputTable[[#This Row],[GroupByKey]])*OutputTable[RecordedValue]))</f>
        <v>7840</v>
      </c>
    </row>
    <row r="429" spans="1:16" x14ac:dyDescent="0.25">
      <c r="A429" t="s">
        <v>67</v>
      </c>
      <c r="B429" t="s">
        <v>243</v>
      </c>
      <c r="C429">
        <v>5</v>
      </c>
      <c r="D429" t="s">
        <v>239</v>
      </c>
      <c r="E429" t="s">
        <v>202</v>
      </c>
      <c r="F429" t="s">
        <v>87</v>
      </c>
      <c r="G429">
        <v>52188.238835880104</v>
      </c>
      <c r="H429">
        <v>0</v>
      </c>
      <c r="I429" t="str">
        <f>OutputTable[[#This Row],[ProjectName]]&amp;OutputTable[[#This Row],[Name]]&amp;OutputTable[[#This Row],[Type]]&amp;OutputTable[[#This Row],[Source]]</f>
        <v>Unnamed Projectsales Accum VA TimeAccum VA TimeProcess</v>
      </c>
      <c r="J429" cm="1">
        <f t="array" ref="J429">MAX(IF((ProjectInfoTable[ProjectName]=OutputTable[[#This Row],[ProjectName]]),(ProjectInfoTable[ProjectName]=OutputTable[[#This Row],[ProjectName]])*ProjectInfoTable[NumberOfReplications]))</f>
        <v>10</v>
      </c>
      <c r="K429" cm="1">
        <f t="array" ref="K429">IFERROR(AVERAGE(IF((OutputTable[GroupByKey]=OutputTable[[#This Row],[GroupByKey]]),(OutputTable[GroupByKey]=OutputTable[[#This Row],[GroupByKey]])*OutputTable[RecordedValue])),0)</f>
        <v>53031.528919588192</v>
      </c>
      <c r="L429" cm="1">
        <f t="array" ref="L429">IFERROR(_xlfn.STDEV.S(IF((OutputTable[GroupByKey]=OutputTable[[#This Row],[GroupByKey]]),(OutputTable[GroupByKey]=OutputTable[[#This Row],[GroupByKey]])*OutputTable[RecordedValue])),0)</f>
        <v>5697.9966023710867</v>
      </c>
      <c r="M429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4076.1012197035402</v>
      </c>
      <c r="O429" cm="1">
        <f t="array" ref="O429">MIN(IF((OutputTable[GroupByKey]=OutputTable[[#This Row],[GroupByKey]]),(OutputTable[GroupByKey]=OutputTable[[#This Row],[GroupByKey]])*OutputTable[RecordedValue]))</f>
        <v>43632.402305228599</v>
      </c>
      <c r="P429" cm="1">
        <f t="array" ref="P429">MAX(IF((OutputTable[GroupByKey]=OutputTable[[#This Row],[GroupByKey]]),(OutputTable[GroupByKey]=OutputTable[[#This Row],[GroupByKey]])*OutputTable[RecordedValue]))</f>
        <v>63701.424934807801</v>
      </c>
    </row>
    <row r="430" spans="1:16" x14ac:dyDescent="0.25">
      <c r="A430" t="s">
        <v>67</v>
      </c>
      <c r="B430" t="s">
        <v>243</v>
      </c>
      <c r="C430">
        <v>5</v>
      </c>
      <c r="D430" t="s">
        <v>240</v>
      </c>
      <c r="E430" t="s">
        <v>156</v>
      </c>
      <c r="F430" t="s">
        <v>87</v>
      </c>
      <c r="G430">
        <v>116</v>
      </c>
      <c r="H430">
        <v>0</v>
      </c>
      <c r="I430" t="str">
        <f>OutputTable[[#This Row],[ProjectName]]&amp;OutputTable[[#This Row],[Name]]&amp;OutputTable[[#This Row],[Type]]&amp;OutputTable[[#This Row],[Source]]</f>
        <v>Unnamed Projectsales Number InNumber InProcess</v>
      </c>
      <c r="J430" cm="1">
        <f t="array" ref="J430">MAX(IF((ProjectInfoTable[ProjectName]=OutputTable[[#This Row],[ProjectName]]),(ProjectInfoTable[ProjectName]=OutputTable[[#This Row],[ProjectName]])*ProjectInfoTable[NumberOfReplications]))</f>
        <v>10</v>
      </c>
      <c r="K430" cm="1">
        <f t="array" ref="K430">IFERROR(AVERAGE(IF((OutputTable[GroupByKey]=OutputTable[[#This Row],[GroupByKey]]),(OutputTable[GroupByKey]=OutputTable[[#This Row],[GroupByKey]])*OutputTable[RecordedValue])),0)</f>
        <v>118.7</v>
      </c>
      <c r="L430" cm="1">
        <f t="array" ref="L430">IFERROR(_xlfn.STDEV.S(IF((OutputTable[GroupByKey]=OutputTable[[#This Row],[GroupByKey]]),(OutputTable[GroupByKey]=OutputTable[[#This Row],[GroupByKey]])*OutputTable[RecordedValue])),0)</f>
        <v>12.587913073879887</v>
      </c>
      <c r="M430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430" cm="1">
        <f t="array" ref="O430">MIN(IF((OutputTable[GroupByKey]=OutputTable[[#This Row],[GroupByKey]]),(OutputTable[GroupByKey]=OutputTable[[#This Row],[GroupByKey]])*OutputTable[RecordedValue]))</f>
        <v>95</v>
      </c>
      <c r="P430" cm="1">
        <f t="array" ref="P430">MAX(IF((OutputTable[GroupByKey]=OutputTable[[#This Row],[GroupByKey]]),(OutputTable[GroupByKey]=OutputTable[[#This Row],[GroupByKey]])*OutputTable[RecordedValue]))</f>
        <v>141</v>
      </c>
    </row>
    <row r="431" spans="1:16" x14ac:dyDescent="0.25">
      <c r="A431" t="s">
        <v>67</v>
      </c>
      <c r="B431" t="s">
        <v>243</v>
      </c>
      <c r="C431">
        <v>5</v>
      </c>
      <c r="D431" t="s">
        <v>241</v>
      </c>
      <c r="E431" t="s">
        <v>158</v>
      </c>
      <c r="F431" t="s">
        <v>87</v>
      </c>
      <c r="G431">
        <v>116</v>
      </c>
      <c r="H431">
        <v>0</v>
      </c>
      <c r="I431" t="str">
        <f>OutputTable[[#This Row],[ProjectName]]&amp;OutputTable[[#This Row],[Name]]&amp;OutputTable[[#This Row],[Type]]&amp;OutputTable[[#This Row],[Source]]</f>
        <v>Unnamed Projectsales Number OutNumber OutProcess</v>
      </c>
      <c r="J431" cm="1">
        <f t="array" ref="J431">MAX(IF((ProjectInfoTable[ProjectName]=OutputTable[[#This Row],[ProjectName]]),(ProjectInfoTable[ProjectName]=OutputTable[[#This Row],[ProjectName]])*ProjectInfoTable[NumberOfReplications]))</f>
        <v>10</v>
      </c>
      <c r="K431" cm="1">
        <f t="array" ref="K431">IFERROR(AVERAGE(IF((OutputTable[GroupByKey]=OutputTable[[#This Row],[GroupByKey]]),(OutputTable[GroupByKey]=OutputTable[[#This Row],[GroupByKey]])*OutputTable[RecordedValue])),0)</f>
        <v>118.7</v>
      </c>
      <c r="L431" cm="1">
        <f t="array" ref="L431">IFERROR(_xlfn.STDEV.S(IF((OutputTable[GroupByKey]=OutputTable[[#This Row],[GroupByKey]]),(OutputTable[GroupByKey]=OutputTable[[#This Row],[GroupByKey]])*OutputTable[RecordedValue])),0)</f>
        <v>12.587913073879887</v>
      </c>
      <c r="M431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431" cm="1">
        <f t="array" ref="O431">MIN(IF((OutputTable[GroupByKey]=OutputTable[[#This Row],[GroupByKey]]),(OutputTable[GroupByKey]=OutputTable[[#This Row],[GroupByKey]])*OutputTable[RecordedValue]))</f>
        <v>95</v>
      </c>
      <c r="P431" cm="1">
        <f t="array" ref="P431">MAX(IF((OutputTable[GroupByKey]=OutputTable[[#This Row],[GroupByKey]]),(OutputTable[GroupByKey]=OutputTable[[#This Row],[GroupByKey]])*OutputTable[RecordedValue]))</f>
        <v>141</v>
      </c>
    </row>
    <row r="432" spans="1:16" x14ac:dyDescent="0.25">
      <c r="A432" t="s">
        <v>67</v>
      </c>
      <c r="B432" t="s">
        <v>243</v>
      </c>
      <c r="C432">
        <v>6</v>
      </c>
      <c r="D432" t="s">
        <v>151</v>
      </c>
      <c r="E432" t="s">
        <v>152</v>
      </c>
      <c r="F432" t="s">
        <v>113</v>
      </c>
      <c r="G432">
        <v>6550</v>
      </c>
      <c r="H432">
        <v>0</v>
      </c>
      <c r="I432" t="str">
        <f>OutputTable[[#This Row],[ProjectName]]&amp;OutputTable[[#This Row],[Name]]&amp;OutputTable[[#This Row],[Type]]&amp;OutputTable[[#This Row],[Source]]</f>
        <v>Unnamed ProjectAssembler.NumberSeizedTotal Number SeizedResource</v>
      </c>
      <c r="J432" cm="1">
        <f t="array" ref="J432">MAX(IF((ProjectInfoTable[ProjectName]=OutputTable[[#This Row],[ProjectName]]),(ProjectInfoTable[ProjectName]=OutputTable[[#This Row],[ProjectName]])*ProjectInfoTable[NumberOfReplications]))</f>
        <v>10</v>
      </c>
      <c r="K432" cm="1">
        <f t="array" ref="K432">IFERROR(AVERAGE(IF((OutputTable[GroupByKey]=OutputTable[[#This Row],[GroupByKey]]),(OutputTable[GroupByKey]=OutputTable[[#This Row],[GroupByKey]])*OutputTable[RecordedValue])),0)</f>
        <v>6547.7</v>
      </c>
      <c r="L432" cm="1">
        <f t="array" ref="L432">IFERROR(_xlfn.STDEV.S(IF((OutputTable[GroupByKey]=OutputTable[[#This Row],[GroupByKey]]),(OutputTable[GroupByKey]=OutputTable[[#This Row],[GroupByKey]])*OutputTable[RecordedValue])),0)</f>
        <v>5.735852159879995</v>
      </c>
      <c r="M432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432" cm="1">
        <f t="array" ref="O432">MIN(IF((OutputTable[GroupByKey]=OutputTable[[#This Row],[GroupByKey]]),(OutputTable[GroupByKey]=OutputTable[[#This Row],[GroupByKey]])*OutputTable[RecordedValue]))</f>
        <v>6540</v>
      </c>
      <c r="P432" cm="1">
        <f t="array" ref="P432">MAX(IF((OutputTable[GroupByKey]=OutputTable[[#This Row],[GroupByKey]]),(OutputTable[GroupByKey]=OutputTable[[#This Row],[GroupByKey]])*OutputTable[RecordedValue]))</f>
        <v>6557</v>
      </c>
    </row>
    <row r="433" spans="1:16" x14ac:dyDescent="0.25">
      <c r="A433" t="s">
        <v>67</v>
      </c>
      <c r="B433" t="s">
        <v>243</v>
      </c>
      <c r="C433">
        <v>6</v>
      </c>
      <c r="D433" t="s">
        <v>153</v>
      </c>
      <c r="E433" t="s">
        <v>154</v>
      </c>
      <c r="F433" t="s">
        <v>113</v>
      </c>
      <c r="G433">
        <v>7.5821070233143606E-2</v>
      </c>
      <c r="H433">
        <v>0</v>
      </c>
      <c r="I433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433" cm="1">
        <f t="array" ref="J433">MAX(IF((ProjectInfoTable[ProjectName]=OutputTable[[#This Row],[ProjectName]]),(ProjectInfoTable[ProjectName]=OutputTable[[#This Row],[ProjectName]])*ProjectInfoTable[NumberOfReplications]))</f>
        <v>10</v>
      </c>
      <c r="K433" cm="1">
        <f t="array" ref="K433">IFERROR(AVERAGE(IF((OutputTable[GroupByKey]=OutputTable[[#This Row],[GroupByKey]]),(OutputTable[GroupByKey]=OutputTable[[#This Row],[GroupByKey]])*OutputTable[RecordedValue])),0)</f>
        <v>7.575658911226775E-2</v>
      </c>
      <c r="L433" cm="1">
        <f t="array" ref="L433">IFERROR(_xlfn.STDEV.S(IF((OutputTable[GroupByKey]=OutputTable[[#This Row],[GroupByKey]]),(OutputTable[GroupByKey]=OutputTable[[#This Row],[GroupByKey]])*OutputTable[RecordedValue])),0)</f>
        <v>1.4019953141627205E-4</v>
      </c>
      <c r="M433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1.0029270301248135E-4</v>
      </c>
      <c r="O433" cm="1">
        <f t="array" ref="O433">MIN(IF((OutputTable[GroupByKey]=OutputTable[[#This Row],[GroupByKey]]),(OutputTable[GroupByKey]=OutputTable[[#This Row],[GroupByKey]])*OutputTable[RecordedValue]))</f>
        <v>7.5477645584878503E-2</v>
      </c>
      <c r="P433" cm="1">
        <f t="array" ref="P433">MAX(IF((OutputTable[GroupByKey]=OutputTable[[#This Row],[GroupByKey]]),(OutputTable[GroupByKey]=OutputTable[[#This Row],[GroupByKey]])*OutputTable[RecordedValue]))</f>
        <v>7.5973148639726207E-2</v>
      </c>
    </row>
    <row r="434" spans="1:16" x14ac:dyDescent="0.25">
      <c r="A434" t="s">
        <v>67</v>
      </c>
      <c r="B434" t="s">
        <v>243</v>
      </c>
      <c r="C434">
        <v>6</v>
      </c>
      <c r="D434" t="s">
        <v>155</v>
      </c>
      <c r="E434" t="s">
        <v>156</v>
      </c>
      <c r="F434" t="s">
        <v>76</v>
      </c>
      <c r="G434">
        <v>1141</v>
      </c>
      <c r="H434">
        <v>0</v>
      </c>
      <c r="I434" t="str">
        <f>OutputTable[[#This Row],[ProjectName]]&amp;OutputTable[[#This Row],[Name]]&amp;OutputTable[[#This Row],[Type]]&amp;OutputTable[[#This Row],[Source]]</f>
        <v>Unnamed ProjectCustomer.NumberInNumber InEntity</v>
      </c>
      <c r="J434" cm="1">
        <f t="array" ref="J434">MAX(IF((ProjectInfoTable[ProjectName]=OutputTable[[#This Row],[ProjectName]]),(ProjectInfoTable[ProjectName]=OutputTable[[#This Row],[ProjectName]])*ProjectInfoTable[NumberOfReplications]))</f>
        <v>10</v>
      </c>
      <c r="K434" cm="1">
        <f t="array" ref="K434">IFERROR(AVERAGE(IF((OutputTable[GroupByKey]=OutputTable[[#This Row],[GroupByKey]]),(OutputTable[GroupByKey]=OutputTable[[#This Row],[GroupByKey]])*OutputTable[RecordedValue])),0)</f>
        <v>1090.3</v>
      </c>
      <c r="L434" cm="1">
        <f t="array" ref="L434">IFERROR(_xlfn.STDEV.S(IF((OutputTable[GroupByKey]=OutputTable[[#This Row],[GroupByKey]]),(OutputTable[GroupByKey]=OutputTable[[#This Row],[GroupByKey]])*OutputTable[RecordedValue])),0)</f>
        <v>32.666836734251177</v>
      </c>
      <c r="M434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434" cm="1">
        <f t="array" ref="O434">MIN(IF((OutputTable[GroupByKey]=OutputTable[[#This Row],[GroupByKey]]),(OutputTable[GroupByKey]=OutputTable[[#This Row],[GroupByKey]])*OutputTable[RecordedValue]))</f>
        <v>1042</v>
      </c>
      <c r="P434" cm="1">
        <f t="array" ref="P434">MAX(IF((OutputTable[GroupByKey]=OutputTable[[#This Row],[GroupByKey]]),(OutputTable[GroupByKey]=OutputTable[[#This Row],[GroupByKey]])*OutputTable[RecordedValue]))</f>
        <v>1141</v>
      </c>
    </row>
    <row r="435" spans="1:16" x14ac:dyDescent="0.25">
      <c r="A435" t="s">
        <v>67</v>
      </c>
      <c r="B435" t="s">
        <v>243</v>
      </c>
      <c r="C435">
        <v>6</v>
      </c>
      <c r="D435" t="s">
        <v>157</v>
      </c>
      <c r="E435" t="s">
        <v>158</v>
      </c>
      <c r="F435" t="s">
        <v>76</v>
      </c>
      <c r="G435">
        <v>1141</v>
      </c>
      <c r="H435">
        <v>0</v>
      </c>
      <c r="I435" t="str">
        <f>OutputTable[[#This Row],[ProjectName]]&amp;OutputTable[[#This Row],[Name]]&amp;OutputTable[[#This Row],[Type]]&amp;OutputTable[[#This Row],[Source]]</f>
        <v>Unnamed ProjectCustomer.NumberOutNumber OutEntity</v>
      </c>
      <c r="J435" cm="1">
        <f t="array" ref="J435">MAX(IF((ProjectInfoTable[ProjectName]=OutputTable[[#This Row],[ProjectName]]),(ProjectInfoTable[ProjectName]=OutputTable[[#This Row],[ProjectName]])*ProjectInfoTable[NumberOfReplications]))</f>
        <v>10</v>
      </c>
      <c r="K435" cm="1">
        <f t="array" ref="K435">IFERROR(AVERAGE(IF((OutputTable[GroupByKey]=OutputTable[[#This Row],[GroupByKey]]),(OutputTable[GroupByKey]=OutputTable[[#This Row],[GroupByKey]])*OutputTable[RecordedValue])),0)</f>
        <v>1090.3</v>
      </c>
      <c r="L435" cm="1">
        <f t="array" ref="L435">IFERROR(_xlfn.STDEV.S(IF((OutputTable[GroupByKey]=OutputTable[[#This Row],[GroupByKey]]),(OutputTable[GroupByKey]=OutputTable[[#This Row],[GroupByKey]])*OutputTable[RecordedValue])),0)</f>
        <v>32.666836734251177</v>
      </c>
      <c r="M43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435" cm="1">
        <f t="array" ref="O435">MIN(IF((OutputTable[GroupByKey]=OutputTable[[#This Row],[GroupByKey]]),(OutputTable[GroupByKey]=OutputTable[[#This Row],[GroupByKey]])*OutputTable[RecordedValue]))</f>
        <v>1042</v>
      </c>
      <c r="P435" cm="1">
        <f t="array" ref="P435">MAX(IF((OutputTable[GroupByKey]=OutputTable[[#This Row],[GroupByKey]]),(OutputTable[GroupByKey]=OutputTable[[#This Row],[GroupByKey]])*OutputTable[RecordedValue]))</f>
        <v>1141</v>
      </c>
    </row>
    <row r="436" spans="1:16" x14ac:dyDescent="0.25">
      <c r="A436" t="s">
        <v>67</v>
      </c>
      <c r="B436" t="s">
        <v>243</v>
      </c>
      <c r="C436">
        <v>6</v>
      </c>
      <c r="D436" t="s">
        <v>159</v>
      </c>
      <c r="E436" t="s">
        <v>156</v>
      </c>
      <c r="F436" t="s">
        <v>76</v>
      </c>
      <c r="G436">
        <v>19829</v>
      </c>
      <c r="H436">
        <v>0</v>
      </c>
      <c r="I436" t="str">
        <f>OutputTable[[#This Row],[ProjectName]]&amp;OutputTable[[#This Row],[Name]]&amp;OutputTable[[#This Row],[Type]]&amp;OutputTable[[#This Row],[Source]]</f>
        <v>Unnamed ProjectEntity 1.NumberInNumber InEntity</v>
      </c>
      <c r="J436" cm="1">
        <f t="array" ref="J436">MAX(IF((ProjectInfoTable[ProjectName]=OutputTable[[#This Row],[ProjectName]]),(ProjectInfoTable[ProjectName]=OutputTable[[#This Row],[ProjectName]])*ProjectInfoTable[NumberOfReplications]))</f>
        <v>10</v>
      </c>
      <c r="K436" cm="1">
        <f t="array" ref="K436">IFERROR(AVERAGE(IF((OutputTable[GroupByKey]=OutputTable[[#This Row],[GroupByKey]]),(OutputTable[GroupByKey]=OutputTable[[#This Row],[GroupByKey]])*OutputTable[RecordedValue])),0)</f>
        <v>19822.900000000001</v>
      </c>
      <c r="L436" cm="1">
        <f t="array" ref="L436">IFERROR(_xlfn.STDEV.S(IF((OutputTable[GroupByKey]=OutputTable[[#This Row],[GroupByKey]]),(OutputTable[GroupByKey]=OutputTable[[#This Row],[GroupByKey]])*OutputTable[RecordedValue])),0)</f>
        <v>20.151922985164472</v>
      </c>
      <c r="M436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14.415817276026377</v>
      </c>
      <c r="O436" cm="1">
        <f t="array" ref="O436">MIN(IF((OutputTable[GroupByKey]=OutputTable[[#This Row],[GroupByKey]]),(OutputTable[GroupByKey]=OutputTable[[#This Row],[GroupByKey]])*OutputTable[RecordedValue]))</f>
        <v>19788</v>
      </c>
      <c r="P436" cm="1">
        <f t="array" ref="P436">MAX(IF((OutputTable[GroupByKey]=OutputTable[[#This Row],[GroupByKey]]),(OutputTable[GroupByKey]=OutputTable[[#This Row],[GroupByKey]])*OutputTable[RecordedValue]))</f>
        <v>19852</v>
      </c>
    </row>
    <row r="437" spans="1:16" x14ac:dyDescent="0.25">
      <c r="A437" t="s">
        <v>67</v>
      </c>
      <c r="B437" t="s">
        <v>243</v>
      </c>
      <c r="C437">
        <v>6</v>
      </c>
      <c r="D437" t="s">
        <v>160</v>
      </c>
      <c r="E437" t="s">
        <v>158</v>
      </c>
      <c r="F437" t="s">
        <v>76</v>
      </c>
      <c r="G437">
        <v>19635</v>
      </c>
      <c r="H437">
        <v>0</v>
      </c>
      <c r="I437" t="str">
        <f>OutputTable[[#This Row],[ProjectName]]&amp;OutputTable[[#This Row],[Name]]&amp;OutputTable[[#This Row],[Type]]&amp;OutputTable[[#This Row],[Source]]</f>
        <v>Unnamed ProjectEntity 1.NumberOutNumber OutEntity</v>
      </c>
      <c r="J437" cm="1">
        <f t="array" ref="J437">MAX(IF((ProjectInfoTable[ProjectName]=OutputTable[[#This Row],[ProjectName]]),(ProjectInfoTable[ProjectName]=OutputTable[[#This Row],[ProjectName]])*ProjectInfoTable[NumberOfReplications]))</f>
        <v>10</v>
      </c>
      <c r="K437" cm="1">
        <f t="array" ref="K437">IFERROR(AVERAGE(IF((OutputTable[GroupByKey]=OutputTable[[#This Row],[GroupByKey]]),(OutputTable[GroupByKey]=OutputTable[[#This Row],[GroupByKey]])*OutputTable[RecordedValue])),0)</f>
        <v>19635.599999999999</v>
      </c>
      <c r="L437" cm="1">
        <f t="array" ref="L437">IFERROR(_xlfn.STDEV.S(IF((OutputTable[GroupByKey]=OutputTable[[#This Row],[GroupByKey]]),(OutputTable[GroupByKey]=OutputTable[[#This Row],[GroupByKey]])*OutputTable[RecordedValue])),0)</f>
        <v>15.086417732516889</v>
      </c>
      <c r="M437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437" cm="1">
        <f t="array" ref="O437">MIN(IF((OutputTable[GroupByKey]=OutputTable[[#This Row],[GroupByKey]]),(OutputTable[GroupByKey]=OutputTable[[#This Row],[GroupByKey]])*OutputTable[RecordedValue]))</f>
        <v>19614</v>
      </c>
      <c r="P437" cm="1">
        <f t="array" ref="P437">MAX(IF((OutputTable[GroupByKey]=OutputTable[[#This Row],[GroupByKey]]),(OutputTable[GroupByKey]=OutputTable[[#This Row],[GroupByKey]])*OutputTable[RecordedValue]))</f>
        <v>19662</v>
      </c>
    </row>
    <row r="438" spans="1:16" x14ac:dyDescent="0.25">
      <c r="A438" t="s">
        <v>67</v>
      </c>
      <c r="B438" t="s">
        <v>243</v>
      </c>
      <c r="C438">
        <v>6</v>
      </c>
      <c r="D438" t="s">
        <v>161</v>
      </c>
      <c r="E438" t="s">
        <v>156</v>
      </c>
      <c r="F438" t="s">
        <v>76</v>
      </c>
      <c r="G438">
        <v>8353</v>
      </c>
      <c r="H438">
        <v>0</v>
      </c>
      <c r="I438" t="str">
        <f>OutputTable[[#This Row],[ProjectName]]&amp;OutputTable[[#This Row],[Name]]&amp;OutputTable[[#This Row],[Type]]&amp;OutputTable[[#This Row],[Source]]</f>
        <v>Unnamed ProjectEntity 2.NumberInNumber InEntity</v>
      </c>
      <c r="J438" cm="1">
        <f t="array" ref="J438">MAX(IF((ProjectInfoTable[ProjectName]=OutputTable[[#This Row],[ProjectName]]),(ProjectInfoTable[ProjectName]=OutputTable[[#This Row],[ProjectName]])*ProjectInfoTable[NumberOfReplications]))</f>
        <v>10</v>
      </c>
      <c r="K438" cm="1">
        <f t="array" ref="K438">IFERROR(AVERAGE(IF((OutputTable[GroupByKey]=OutputTable[[#This Row],[GroupByKey]]),(OutputTable[GroupByKey]=OutputTable[[#This Row],[GroupByKey]])*OutputTable[RecordedValue])),0)</f>
        <v>8398</v>
      </c>
      <c r="L438" cm="1">
        <f t="array" ref="L438">IFERROR(_xlfn.STDEV.S(IF((OutputTable[GroupByKey]=OutputTable[[#This Row],[GroupByKey]]),(OutputTable[GroupByKey]=OutputTable[[#This Row],[GroupByKey]])*OutputTable[RecordedValue])),0)</f>
        <v>24.133885813197271</v>
      </c>
      <c r="M438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17.264341884378119</v>
      </c>
      <c r="O438" cm="1">
        <f t="array" ref="O438">MIN(IF((OutputTable[GroupByKey]=OutputTable[[#This Row],[GroupByKey]]),(OutputTable[GroupByKey]=OutputTable[[#This Row],[GroupByKey]])*OutputTable[RecordedValue]))</f>
        <v>8353</v>
      </c>
      <c r="P438" cm="1">
        <f t="array" ref="P438">MAX(IF((OutputTable[GroupByKey]=OutputTable[[#This Row],[GroupByKey]]),(OutputTable[GroupByKey]=OutputTable[[#This Row],[GroupByKey]])*OutputTable[RecordedValue]))</f>
        <v>8437</v>
      </c>
    </row>
    <row r="439" spans="1:16" x14ac:dyDescent="0.25">
      <c r="A439" t="s">
        <v>67</v>
      </c>
      <c r="B439" t="s">
        <v>243</v>
      </c>
      <c r="C439">
        <v>6</v>
      </c>
      <c r="D439" t="s">
        <v>162</v>
      </c>
      <c r="E439" t="s">
        <v>158</v>
      </c>
      <c r="F439" t="s">
        <v>76</v>
      </c>
      <c r="G439">
        <v>6545</v>
      </c>
      <c r="H439">
        <v>0</v>
      </c>
      <c r="I439" t="str">
        <f>OutputTable[[#This Row],[ProjectName]]&amp;OutputTable[[#This Row],[Name]]&amp;OutputTable[[#This Row],[Type]]&amp;OutputTable[[#This Row],[Source]]</f>
        <v>Unnamed ProjectEntity 2.NumberOutNumber OutEntity</v>
      </c>
      <c r="J439" cm="1">
        <f t="array" ref="J439">MAX(IF((ProjectInfoTable[ProjectName]=OutputTable[[#This Row],[ProjectName]]),(ProjectInfoTable[ProjectName]=OutputTable[[#This Row],[ProjectName]])*ProjectInfoTable[NumberOfReplications]))</f>
        <v>10</v>
      </c>
      <c r="K439" cm="1">
        <f t="array" ref="K439">IFERROR(AVERAGE(IF((OutputTable[GroupByKey]=OutputTable[[#This Row],[GroupByKey]]),(OutputTable[GroupByKey]=OutputTable[[#This Row],[GroupByKey]])*OutputTable[RecordedValue])),0)</f>
        <v>6545.2</v>
      </c>
      <c r="L439" cm="1">
        <f t="array" ref="L439">IFERROR(_xlfn.STDEV.S(IF((OutputTable[GroupByKey]=OutputTable[[#This Row],[GroupByKey]]),(OutputTable[GroupByKey]=OutputTable[[#This Row],[GroupByKey]])*OutputTable[RecordedValue])),0)</f>
        <v>5.0288059108389627</v>
      </c>
      <c r="M439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3.5973910371047504</v>
      </c>
      <c r="O439" cm="1">
        <f t="array" ref="O439">MIN(IF((OutputTable[GroupByKey]=OutputTable[[#This Row],[GroupByKey]]),(OutputTable[GroupByKey]=OutputTable[[#This Row],[GroupByKey]])*OutputTable[RecordedValue]))</f>
        <v>6538</v>
      </c>
      <c r="P439" cm="1">
        <f t="array" ref="P439">MAX(IF((OutputTable[GroupByKey]=OutputTable[[#This Row],[GroupByKey]]),(OutputTable[GroupByKey]=OutputTable[[#This Row],[GroupByKey]])*OutputTable[RecordedValue]))</f>
        <v>6554</v>
      </c>
    </row>
    <row r="440" spans="1:16" x14ac:dyDescent="0.25">
      <c r="A440" t="s">
        <v>67</v>
      </c>
      <c r="B440" t="s">
        <v>243</v>
      </c>
      <c r="C440">
        <v>6</v>
      </c>
      <c r="D440" t="s">
        <v>163</v>
      </c>
      <c r="E440" t="s">
        <v>156</v>
      </c>
      <c r="F440" t="s">
        <v>76</v>
      </c>
      <c r="G440">
        <v>27729</v>
      </c>
      <c r="H440">
        <v>0</v>
      </c>
      <c r="I440" t="str">
        <f>OutputTable[[#This Row],[ProjectName]]&amp;OutputTable[[#This Row],[Name]]&amp;OutputTable[[#This Row],[Type]]&amp;OutputTable[[#This Row],[Source]]</f>
        <v>Unnamed ProjectEntity 3.NumberInNumber InEntity</v>
      </c>
      <c r="J440" cm="1">
        <f t="array" ref="J440">MAX(IF((ProjectInfoTable[ProjectName]=OutputTable[[#This Row],[ProjectName]]),(ProjectInfoTable[ProjectName]=OutputTable[[#This Row],[ProjectName]])*ProjectInfoTable[NumberOfReplications]))</f>
        <v>10</v>
      </c>
      <c r="K440" cm="1">
        <f t="array" ref="K440">IFERROR(AVERAGE(IF((OutputTable[GroupByKey]=OutputTable[[#This Row],[GroupByKey]]),(OutputTable[GroupByKey]=OutputTable[[#This Row],[GroupByKey]])*OutputTable[RecordedValue])),0)</f>
        <v>27753.7</v>
      </c>
      <c r="L440" cm="1">
        <f t="array" ref="L440">IFERROR(_xlfn.STDEV.S(IF((OutputTable[GroupByKey]=OutputTable[[#This Row],[GroupByKey]]),(OutputTable[GroupByKey]=OutputTable[[#This Row],[GroupByKey]])*OutputTable[RecordedValue])),0)</f>
        <v>25.447331228768697</v>
      </c>
      <c r="M440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18.203924133022646</v>
      </c>
      <c r="O440" cm="1">
        <f t="array" ref="O440">MIN(IF((OutputTable[GroupByKey]=OutputTable[[#This Row],[GroupByKey]]),(OutputTable[GroupByKey]=OutputTable[[#This Row],[GroupByKey]])*OutputTable[RecordedValue]))</f>
        <v>27724</v>
      </c>
      <c r="P440" cm="1">
        <f t="array" ref="P440">MAX(IF((OutputTable[GroupByKey]=OutputTable[[#This Row],[GroupByKey]]),(OutputTable[GroupByKey]=OutputTable[[#This Row],[GroupByKey]])*OutputTable[RecordedValue]))</f>
        <v>27792</v>
      </c>
    </row>
    <row r="441" spans="1:16" x14ac:dyDescent="0.25">
      <c r="A441" t="s">
        <v>67</v>
      </c>
      <c r="B441" t="s">
        <v>243</v>
      </c>
      <c r="C441">
        <v>6</v>
      </c>
      <c r="D441" t="s">
        <v>164</v>
      </c>
      <c r="E441" t="s">
        <v>158</v>
      </c>
      <c r="F441" t="s">
        <v>76</v>
      </c>
      <c r="G441">
        <v>19635</v>
      </c>
      <c r="H441">
        <v>0</v>
      </c>
      <c r="I441" t="str">
        <f>OutputTable[[#This Row],[ProjectName]]&amp;OutputTable[[#This Row],[Name]]&amp;OutputTable[[#This Row],[Type]]&amp;OutputTable[[#This Row],[Source]]</f>
        <v>Unnamed ProjectEntity 3.NumberOutNumber OutEntity</v>
      </c>
      <c r="J441" cm="1">
        <f t="array" ref="J441">MAX(IF((ProjectInfoTable[ProjectName]=OutputTable[[#This Row],[ProjectName]]),(ProjectInfoTable[ProjectName]=OutputTable[[#This Row],[ProjectName]])*ProjectInfoTable[NumberOfReplications]))</f>
        <v>10</v>
      </c>
      <c r="K441" cm="1">
        <f t="array" ref="K441">IFERROR(AVERAGE(IF((OutputTable[GroupByKey]=OutputTable[[#This Row],[GroupByKey]]),(OutputTable[GroupByKey]=OutputTable[[#This Row],[GroupByKey]])*OutputTable[RecordedValue])),0)</f>
        <v>19635.599999999999</v>
      </c>
      <c r="L441" cm="1">
        <f t="array" ref="L441">IFERROR(_xlfn.STDEV.S(IF((OutputTable[GroupByKey]=OutputTable[[#This Row],[GroupByKey]]),(OutputTable[GroupByKey]=OutputTable[[#This Row],[GroupByKey]])*OutputTable[RecordedValue])),0)</f>
        <v>15.086417732516889</v>
      </c>
      <c r="M441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441" cm="1">
        <f t="array" ref="O441">MIN(IF((OutputTable[GroupByKey]=OutputTable[[#This Row],[GroupByKey]]),(OutputTable[GroupByKey]=OutputTable[[#This Row],[GroupByKey]])*OutputTable[RecordedValue]))</f>
        <v>19614</v>
      </c>
      <c r="P441" cm="1">
        <f t="array" ref="P441">MAX(IF((OutputTable[GroupByKey]=OutputTable[[#This Row],[GroupByKey]]),(OutputTable[GroupByKey]=OutputTable[[#This Row],[GroupByKey]])*OutputTable[RecordedValue]))</f>
        <v>19662</v>
      </c>
    </row>
    <row r="442" spans="1:16" x14ac:dyDescent="0.25">
      <c r="A442" t="s">
        <v>67</v>
      </c>
      <c r="B442" t="s">
        <v>243</v>
      </c>
      <c r="C442">
        <v>6</v>
      </c>
      <c r="D442" t="s">
        <v>165</v>
      </c>
      <c r="E442" t="s">
        <v>152</v>
      </c>
      <c r="F442" t="s">
        <v>113</v>
      </c>
      <c r="G442">
        <v>13107</v>
      </c>
      <c r="H442">
        <v>0</v>
      </c>
      <c r="I442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442" cm="1">
        <f t="array" ref="J442">MAX(IF((ProjectInfoTable[ProjectName]=OutputTable[[#This Row],[ProjectName]]),(ProjectInfoTable[ProjectName]=OutputTable[[#This Row],[ProjectName]])*ProjectInfoTable[NumberOfReplications]))</f>
        <v>10</v>
      </c>
      <c r="K442" cm="1">
        <f t="array" ref="K442">IFERROR(AVERAGE(IF((OutputTable[GroupByKey]=OutputTable[[#This Row],[GroupByKey]]),(OutputTable[GroupByKey]=OutputTable[[#This Row],[GroupByKey]])*OutputTable[RecordedValue])),0)</f>
        <v>13103.5</v>
      </c>
      <c r="L442" cm="1">
        <f t="array" ref="L442">IFERROR(_xlfn.STDEV.S(IF((OutputTable[GroupByKey]=OutputTable[[#This Row],[GroupByKey]]),(OutputTable[GroupByKey]=OutputTable[[#This Row],[GroupByKey]])*OutputTable[RecordedValue])),0)</f>
        <v>11.443095929181249</v>
      </c>
      <c r="M442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442" cm="1">
        <f t="array" ref="O442">MIN(IF((OutputTable[GroupByKey]=OutputTable[[#This Row],[GroupByKey]]),(OutputTable[GroupByKey]=OutputTable[[#This Row],[GroupByKey]])*OutputTable[RecordedValue]))</f>
        <v>13087</v>
      </c>
      <c r="P442" cm="1">
        <f t="array" ref="P442">MAX(IF((OutputTable[GroupByKey]=OutputTable[[#This Row],[GroupByKey]]),(OutputTable[GroupByKey]=OutputTable[[#This Row],[GroupByKey]])*OutputTable[RecordedValue]))</f>
        <v>13120</v>
      </c>
    </row>
    <row r="443" spans="1:16" x14ac:dyDescent="0.25">
      <c r="A443" t="s">
        <v>67</v>
      </c>
      <c r="B443" t="s">
        <v>243</v>
      </c>
      <c r="C443">
        <v>6</v>
      </c>
      <c r="D443" t="s">
        <v>166</v>
      </c>
      <c r="E443" t="s">
        <v>154</v>
      </c>
      <c r="F443" t="s">
        <v>113</v>
      </c>
      <c r="G443">
        <v>0.57167989674475905</v>
      </c>
      <c r="H443">
        <v>0</v>
      </c>
      <c r="I443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443" cm="1">
        <f t="array" ref="J443">MAX(IF((ProjectInfoTable[ProjectName]=OutputTable[[#This Row],[ProjectName]]),(ProjectInfoTable[ProjectName]=OutputTable[[#This Row],[ProjectName]])*ProjectInfoTable[NumberOfReplications]))</f>
        <v>10</v>
      </c>
      <c r="K443" cm="1">
        <f t="array" ref="K443">IFERROR(AVERAGE(IF((OutputTable[GroupByKey]=OutputTable[[#This Row],[GroupByKey]]),(OutputTable[GroupByKey]=OutputTable[[#This Row],[GroupByKey]])*OutputTable[RecordedValue])),0)</f>
        <v>0.48160620907873086</v>
      </c>
      <c r="L443" cm="1">
        <f t="array" ref="L443">IFERROR(_xlfn.STDEV.S(IF((OutputTable[GroupByKey]=OutputTable[[#This Row],[GroupByKey]]),(OutputTable[GroupByKey]=OutputTable[[#This Row],[GroupByKey]])*OutputTable[RecordedValue])),0)</f>
        <v>8.6686321722355061E-2</v>
      </c>
      <c r="M443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6.2011658897281531E-2</v>
      </c>
      <c r="O443" cm="1">
        <f t="array" ref="O443">MIN(IF((OutputTable[GroupByKey]=OutputTable[[#This Row],[GroupByKey]]),(OutputTable[GroupByKey]=OutputTable[[#This Row],[GroupByKey]])*OutputTable[RecordedValue]))</f>
        <v>0.292184201252493</v>
      </c>
      <c r="P443" cm="1">
        <f t="array" ref="P443">MAX(IF((OutputTable[GroupByKey]=OutputTable[[#This Row],[GroupByKey]]),(OutputTable[GroupByKey]=OutputTable[[#This Row],[GroupByKey]])*OutputTable[RecordedValue]))</f>
        <v>0.57167989674475905</v>
      </c>
    </row>
    <row r="444" spans="1:16" x14ac:dyDescent="0.25">
      <c r="A444" t="s">
        <v>67</v>
      </c>
      <c r="B444" t="s">
        <v>243</v>
      </c>
      <c r="C444">
        <v>6</v>
      </c>
      <c r="D444" t="s">
        <v>167</v>
      </c>
      <c r="E444" t="s">
        <v>152</v>
      </c>
      <c r="F444" t="s">
        <v>113</v>
      </c>
      <c r="G444">
        <v>13103</v>
      </c>
      <c r="H444">
        <v>0</v>
      </c>
      <c r="I444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444" cm="1">
        <f t="array" ref="J444">MAX(IF((ProjectInfoTable[ProjectName]=OutputTable[[#This Row],[ProjectName]]),(ProjectInfoTable[ProjectName]=OutputTable[[#This Row],[ProjectName]])*ProjectInfoTable[NumberOfReplications]))</f>
        <v>10</v>
      </c>
      <c r="K444" cm="1">
        <f t="array" ref="K444">IFERROR(AVERAGE(IF((OutputTable[GroupByKey]=OutputTable[[#This Row],[GroupByKey]]),(OutputTable[GroupByKey]=OutputTable[[#This Row],[GroupByKey]])*OutputTable[RecordedValue])),0)</f>
        <v>13100.1</v>
      </c>
      <c r="L444" cm="1">
        <f t="array" ref="L444">IFERROR(_xlfn.STDEV.S(IF((OutputTable[GroupByKey]=OutputTable[[#This Row],[GroupByKey]]),(OutputTable[GroupByKey]=OutputTable[[#This Row],[GroupByKey]])*OutputTable[RecordedValue])),0)</f>
        <v>11.46443776786866</v>
      </c>
      <c r="M444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444" cm="1">
        <f t="array" ref="O444">MIN(IF((OutputTable[GroupByKey]=OutputTable[[#This Row],[GroupByKey]]),(OutputTable[GroupByKey]=OutputTable[[#This Row],[GroupByKey]])*OutputTable[RecordedValue]))</f>
        <v>13083</v>
      </c>
      <c r="P444" cm="1">
        <f t="array" ref="P444">MAX(IF((OutputTable[GroupByKey]=OutputTable[[#This Row],[GroupByKey]]),(OutputTable[GroupByKey]=OutputTable[[#This Row],[GroupByKey]])*OutputTable[RecordedValue]))</f>
        <v>13118</v>
      </c>
    </row>
    <row r="445" spans="1:16" x14ac:dyDescent="0.25">
      <c r="A445" t="s">
        <v>67</v>
      </c>
      <c r="B445" t="s">
        <v>243</v>
      </c>
      <c r="C445">
        <v>6</v>
      </c>
      <c r="D445" t="s">
        <v>168</v>
      </c>
      <c r="E445" t="s">
        <v>154</v>
      </c>
      <c r="F445" t="s">
        <v>113</v>
      </c>
      <c r="G445">
        <v>0.20846694968872201</v>
      </c>
      <c r="H445">
        <v>0</v>
      </c>
      <c r="I445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445" cm="1">
        <f t="array" ref="J445">MAX(IF((ProjectInfoTable[ProjectName]=OutputTable[[#This Row],[ProjectName]]),(ProjectInfoTable[ProjectName]=OutputTable[[#This Row],[ProjectName]])*ProjectInfoTable[NumberOfReplications]))</f>
        <v>10</v>
      </c>
      <c r="K445" cm="1">
        <f t="array" ref="K445">IFERROR(AVERAGE(IF((OutputTable[GroupByKey]=OutputTable[[#This Row],[GroupByKey]]),(OutputTable[GroupByKey]=OutputTable[[#This Row],[GroupByKey]])*OutputTable[RecordedValue])),0)</f>
        <v>0.25269289312392168</v>
      </c>
      <c r="L445" cm="1">
        <f t="array" ref="L445">IFERROR(_xlfn.STDEV.S(IF((OutputTable[GroupByKey]=OutputTable[[#This Row],[GroupByKey]]),(OutputTable[GroupByKey]=OutputTable[[#This Row],[GroupByKey]])*OutputTable[RecordedValue])),0)</f>
        <v>4.921401008308305E-2</v>
      </c>
      <c r="M44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3.5205581983443382E-2</v>
      </c>
      <c r="O445" cm="1">
        <f t="array" ref="O445">MIN(IF((OutputTable[GroupByKey]=OutputTable[[#This Row],[GroupByKey]]),(OutputTable[GroupByKey]=OutputTable[[#This Row],[GroupByKey]])*OutputTable[RecordedValue]))</f>
        <v>0.20500025225945601</v>
      </c>
      <c r="P445" cm="1">
        <f t="array" ref="P445">MAX(IF((OutputTable[GroupByKey]=OutputTable[[#This Row],[GroupByKey]]),(OutputTable[GroupByKey]=OutputTable[[#This Row],[GroupByKey]])*OutputTable[RecordedValue]))</f>
        <v>0.33570777662711399</v>
      </c>
    </row>
    <row r="446" spans="1:16" x14ac:dyDescent="0.25">
      <c r="A446" t="s">
        <v>67</v>
      </c>
      <c r="B446" t="s">
        <v>243</v>
      </c>
      <c r="C446">
        <v>6</v>
      </c>
      <c r="D446" t="s">
        <v>169</v>
      </c>
      <c r="E446" t="s">
        <v>152</v>
      </c>
      <c r="F446" t="s">
        <v>113</v>
      </c>
      <c r="G446">
        <v>13103</v>
      </c>
      <c r="H446">
        <v>0</v>
      </c>
      <c r="I446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446" cm="1">
        <f t="array" ref="J446">MAX(IF((ProjectInfoTable[ProjectName]=OutputTable[[#This Row],[ProjectName]]),(ProjectInfoTable[ProjectName]=OutputTable[[#This Row],[ProjectName]])*ProjectInfoTable[NumberOfReplications]))</f>
        <v>10</v>
      </c>
      <c r="K446" cm="1">
        <f t="array" ref="K446">IFERROR(AVERAGE(IF((OutputTable[GroupByKey]=OutputTable[[#This Row],[GroupByKey]]),(OutputTable[GroupByKey]=OutputTable[[#This Row],[GroupByKey]])*OutputTable[RecordedValue])),0)</f>
        <v>13099.9</v>
      </c>
      <c r="L446" cm="1">
        <f t="array" ref="L446">IFERROR(_xlfn.STDEV.S(IF((OutputTable[GroupByKey]=OutputTable[[#This Row],[GroupByKey]]),(OutputTable[GroupByKey]=OutputTable[[#This Row],[GroupByKey]])*OutputTable[RecordedValue])),0)</f>
        <v>11.761046816598522</v>
      </c>
      <c r="M446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446" cm="1">
        <f t="array" ref="O446">MIN(IF((OutputTable[GroupByKey]=OutputTable[[#This Row],[GroupByKey]]),(OutputTable[GroupByKey]=OutputTable[[#This Row],[GroupByKey]])*OutputTable[RecordedValue]))</f>
        <v>13082</v>
      </c>
      <c r="P446" cm="1">
        <f t="array" ref="P446">MAX(IF((OutputTable[GroupByKey]=OutputTable[[#This Row],[GroupByKey]]),(OutputTable[GroupByKey]=OutputTable[[#This Row],[GroupByKey]])*OutputTable[RecordedValue]))</f>
        <v>13118</v>
      </c>
    </row>
    <row r="447" spans="1:16" x14ac:dyDescent="0.25">
      <c r="A447" t="s">
        <v>67</v>
      </c>
      <c r="B447" t="s">
        <v>243</v>
      </c>
      <c r="C447">
        <v>6</v>
      </c>
      <c r="D447" t="s">
        <v>170</v>
      </c>
      <c r="E447" t="s">
        <v>154</v>
      </c>
      <c r="F447" t="s">
        <v>113</v>
      </c>
      <c r="G447">
        <v>0.151561235045161</v>
      </c>
      <c r="H447">
        <v>0</v>
      </c>
      <c r="I447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447" cm="1">
        <f t="array" ref="J447">MAX(IF((ProjectInfoTable[ProjectName]=OutputTable[[#This Row],[ProjectName]]),(ProjectInfoTable[ProjectName]=OutputTable[[#This Row],[ProjectName]])*ProjectInfoTable[NumberOfReplications]))</f>
        <v>10</v>
      </c>
      <c r="K447" cm="1">
        <f t="array" ref="K447">IFERROR(AVERAGE(IF((OutputTable[GroupByKey]=OutputTable[[#This Row],[GroupByKey]]),(OutputTable[GroupByKey]=OutputTable[[#This Row],[GroupByKey]])*OutputTable[RecordedValue])),0)</f>
        <v>0.151561654865698</v>
      </c>
      <c r="L447" cm="1">
        <f t="array" ref="L447">IFERROR(_xlfn.STDEV.S(IF((OutputTable[GroupByKey]=OutputTable[[#This Row],[GroupByKey]]),(OutputTable[GroupByKey]=OutputTable[[#This Row],[GroupByKey]])*OutputTable[RecordedValue])),0)</f>
        <v>1.2198256688170919E-4</v>
      </c>
      <c r="M447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8.7261071626859165E-5</v>
      </c>
      <c r="O447" cm="1">
        <f t="array" ref="O447">MIN(IF((OutputTable[GroupByKey]=OutputTable[[#This Row],[GroupByKey]]),(OutputTable[GroupByKey]=OutputTable[[#This Row],[GroupByKey]])*OutputTable[RecordedValue]))</f>
        <v>0.15134711042770399</v>
      </c>
      <c r="P447" cm="1">
        <f t="array" ref="P447">MAX(IF((OutputTable[GroupByKey]=OutputTable[[#This Row],[GroupByKey]]),(OutputTable[GroupByKey]=OutputTable[[#This Row],[GroupByKey]])*OutputTable[RecordedValue]))</f>
        <v>0.15172806047441101</v>
      </c>
    </row>
    <row r="448" spans="1:16" x14ac:dyDescent="0.25">
      <c r="A448" t="s">
        <v>67</v>
      </c>
      <c r="B448" t="s">
        <v>243</v>
      </c>
      <c r="C448">
        <v>6</v>
      </c>
      <c r="D448" t="s">
        <v>171</v>
      </c>
      <c r="E448" t="s">
        <v>152</v>
      </c>
      <c r="F448" t="s">
        <v>113</v>
      </c>
      <c r="G448">
        <v>8223</v>
      </c>
      <c r="H448">
        <v>0</v>
      </c>
      <c r="I448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448" cm="1">
        <f t="array" ref="J448">MAX(IF((ProjectInfoTable[ProjectName]=OutputTable[[#This Row],[ProjectName]]),(ProjectInfoTable[ProjectName]=OutputTable[[#This Row],[ProjectName]])*ProjectInfoTable[NumberOfReplications]))</f>
        <v>10</v>
      </c>
      <c r="K448" cm="1">
        <f t="array" ref="K448">IFERROR(AVERAGE(IF((OutputTable[GroupByKey]=OutputTable[[#This Row],[GroupByKey]]),(OutputTable[GroupByKey]=OutputTable[[#This Row],[GroupByKey]])*OutputTable[RecordedValue])),0)</f>
        <v>8235</v>
      </c>
      <c r="L448" cm="1">
        <f t="array" ref="L448">IFERROR(_xlfn.STDEV.S(IF((OutputTable[GroupByKey]=OutputTable[[#This Row],[GroupByKey]]),(OutputTable[GroupByKey]=OutputTable[[#This Row],[GroupByKey]])*OutputTable[RecordedValue])),0)</f>
        <v>6.5659052011974035</v>
      </c>
      <c r="M448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448" cm="1">
        <f t="array" ref="O448">MIN(IF((OutputTable[GroupByKey]=OutputTable[[#This Row],[GroupByKey]]),(OutputTable[GroupByKey]=OutputTable[[#This Row],[GroupByKey]])*OutputTable[RecordedValue]))</f>
        <v>8223</v>
      </c>
      <c r="P448" cm="1">
        <f t="array" ref="P448">MAX(IF((OutputTable[GroupByKey]=OutputTable[[#This Row],[GroupByKey]]),(OutputTable[GroupByKey]=OutputTable[[#This Row],[GroupByKey]])*OutputTable[RecordedValue]))</f>
        <v>8245</v>
      </c>
    </row>
    <row r="449" spans="1:16" x14ac:dyDescent="0.25">
      <c r="A449" t="s">
        <v>67</v>
      </c>
      <c r="B449" t="s">
        <v>243</v>
      </c>
      <c r="C449">
        <v>6</v>
      </c>
      <c r="D449" t="s">
        <v>172</v>
      </c>
      <c r="E449" t="s">
        <v>154</v>
      </c>
      <c r="F449" t="s">
        <v>113</v>
      </c>
      <c r="G449">
        <v>0.91069583094839002</v>
      </c>
      <c r="H449">
        <v>0</v>
      </c>
      <c r="I449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449" cm="1">
        <f t="array" ref="J449">MAX(IF((ProjectInfoTable[ProjectName]=OutputTable[[#This Row],[ProjectName]]),(ProjectInfoTable[ProjectName]=OutputTable[[#This Row],[ProjectName]])*ProjectInfoTable[NumberOfReplications]))</f>
        <v>10</v>
      </c>
      <c r="K449" cm="1">
        <f t="array" ref="K449">IFERROR(AVERAGE(IF((OutputTable[GroupByKey]=OutputTable[[#This Row],[GroupByKey]]),(OutputTable[GroupByKey]=OutputTable[[#This Row],[GroupByKey]])*OutputTable[RecordedValue])),0)</f>
        <v>0.84558522180863771</v>
      </c>
      <c r="L449" cm="1">
        <f t="array" ref="L449">IFERROR(_xlfn.STDEV.S(IF((OutputTable[GroupByKey]=OutputTable[[#This Row],[GroupByKey]]),(OutputTable[GroupByKey]=OutputTable[[#This Row],[GroupByKey]])*OutputTable[RecordedValue])),0)</f>
        <v>0.11694354024491282</v>
      </c>
      <c r="M449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8.3656369122856733E-2</v>
      </c>
      <c r="O449" cm="1">
        <f t="array" ref="O449">MIN(IF((OutputTable[GroupByKey]=OutputTable[[#This Row],[GroupByKey]]),(OutputTable[GroupByKey]=OutputTable[[#This Row],[GroupByKey]])*OutputTable[RecordedValue]))</f>
        <v>0.625269422960122</v>
      </c>
      <c r="P449" cm="1">
        <f t="array" ref="P449">MAX(IF((OutputTable[GroupByKey]=OutputTable[[#This Row],[GroupByKey]]),(OutputTable[GroupByKey]=OutputTable[[#This Row],[GroupByKey]])*OutputTable[RecordedValue]))</f>
        <v>0.95234896906597499</v>
      </c>
    </row>
    <row r="450" spans="1:16" x14ac:dyDescent="0.25">
      <c r="A450" t="s">
        <v>67</v>
      </c>
      <c r="B450" t="s">
        <v>243</v>
      </c>
      <c r="C450">
        <v>6</v>
      </c>
      <c r="D450" t="s">
        <v>173</v>
      </c>
      <c r="E450" t="s">
        <v>152</v>
      </c>
      <c r="F450" t="s">
        <v>113</v>
      </c>
      <c r="G450">
        <v>8221</v>
      </c>
      <c r="H450">
        <v>0</v>
      </c>
      <c r="I450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450" cm="1">
        <f t="array" ref="J450">MAX(IF((ProjectInfoTable[ProjectName]=OutputTable[[#This Row],[ProjectName]]),(ProjectInfoTable[ProjectName]=OutputTable[[#This Row],[ProjectName]])*ProjectInfoTable[NumberOfReplications]))</f>
        <v>10</v>
      </c>
      <c r="K450" cm="1">
        <f t="array" ref="K450">IFERROR(AVERAGE(IF((OutputTable[GroupByKey]=OutputTable[[#This Row],[GroupByKey]]),(OutputTable[GroupByKey]=OutputTable[[#This Row],[GroupByKey]])*OutputTable[RecordedValue])),0)</f>
        <v>8233.5</v>
      </c>
      <c r="L450" cm="1">
        <f t="array" ref="L450">IFERROR(_xlfn.STDEV.S(IF((OutputTable[GroupByKey]=OutputTable[[#This Row],[GroupByKey]]),(OutputTable[GroupByKey]=OutputTable[[#This Row],[GroupByKey]])*OutputTable[RecordedValue])),0)</f>
        <v>6.5021364010437201</v>
      </c>
      <c r="M450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450" cm="1">
        <f t="array" ref="O450">MIN(IF((OutputTable[GroupByKey]=OutputTable[[#This Row],[GroupByKey]]),(OutputTable[GroupByKey]=OutputTable[[#This Row],[GroupByKey]])*OutputTable[RecordedValue]))</f>
        <v>8221</v>
      </c>
      <c r="P450" cm="1">
        <f t="array" ref="P450">MAX(IF((OutputTable[GroupByKey]=OutputTable[[#This Row],[GroupByKey]]),(OutputTable[GroupByKey]=OutputTable[[#This Row],[GroupByKey]])*OutputTable[RecordedValue]))</f>
        <v>8243</v>
      </c>
    </row>
    <row r="451" spans="1:16" x14ac:dyDescent="0.25">
      <c r="A451" t="s">
        <v>67</v>
      </c>
      <c r="B451" t="s">
        <v>243</v>
      </c>
      <c r="C451">
        <v>6</v>
      </c>
      <c r="D451" t="s">
        <v>174</v>
      </c>
      <c r="E451" t="s">
        <v>154</v>
      </c>
      <c r="F451" t="s">
        <v>113</v>
      </c>
      <c r="G451">
        <v>0.69080851286508305</v>
      </c>
      <c r="H451">
        <v>0</v>
      </c>
      <c r="I451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451" cm="1">
        <f t="array" ref="J451">MAX(IF((ProjectInfoTable[ProjectName]=OutputTable[[#This Row],[ProjectName]]),(ProjectInfoTable[ProjectName]=OutputTable[[#This Row],[ProjectName]])*ProjectInfoTable[NumberOfReplications]))</f>
        <v>10</v>
      </c>
      <c r="K451" cm="1">
        <f t="array" ref="K451">IFERROR(AVERAGE(IF((OutputTable[GroupByKey]=OutputTable[[#This Row],[GroupByKey]]),(OutputTable[GroupByKey]=OutputTable[[#This Row],[GroupByKey]])*OutputTable[RecordedValue])),0)</f>
        <v>0.74077431571180286</v>
      </c>
      <c r="L451" cm="1">
        <f t="array" ref="L451">IFERROR(_xlfn.STDEV.S(IF((OutputTable[GroupByKey]=OutputTable[[#This Row],[GroupByKey]]),(OutputTable[GroupByKey]=OutputTable[[#This Row],[GroupByKey]])*OutputTable[RecordedValue])),0)</f>
        <v>6.1280007141721847E-2</v>
      </c>
      <c r="M451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4.3837076306762375E-2</v>
      </c>
      <c r="O451" cm="1">
        <f t="array" ref="O451">MIN(IF((OutputTable[GroupByKey]=OutputTable[[#This Row],[GroupByKey]]),(OutputTable[GroupByKey]=OutputTable[[#This Row],[GroupByKey]])*OutputTable[RecordedValue]))</f>
        <v>0.67060354368791897</v>
      </c>
      <c r="P451" cm="1">
        <f t="array" ref="P451">MAX(IF((OutputTable[GroupByKey]=OutputTable[[#This Row],[GroupByKey]]),(OutputTable[GroupByKey]=OutputTable[[#This Row],[GroupByKey]])*OutputTable[RecordedValue]))</f>
        <v>0.87728997349342697</v>
      </c>
    </row>
    <row r="452" spans="1:16" x14ac:dyDescent="0.25">
      <c r="A452" t="s">
        <v>67</v>
      </c>
      <c r="B452" t="s">
        <v>243</v>
      </c>
      <c r="C452">
        <v>6</v>
      </c>
      <c r="D452" t="s">
        <v>175</v>
      </c>
      <c r="E452" t="s">
        <v>152</v>
      </c>
      <c r="F452" t="s">
        <v>113</v>
      </c>
      <c r="G452">
        <v>8220</v>
      </c>
      <c r="H452">
        <v>0</v>
      </c>
      <c r="I452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452" cm="1">
        <f t="array" ref="J452">MAX(IF((ProjectInfoTable[ProjectName]=OutputTable[[#This Row],[ProjectName]]),(ProjectInfoTable[ProjectName]=OutputTable[[#This Row],[ProjectName]])*ProjectInfoTable[NumberOfReplications]))</f>
        <v>10</v>
      </c>
      <c r="K452" cm="1">
        <f t="array" ref="K452">IFERROR(AVERAGE(IF((OutputTable[GroupByKey]=OutputTable[[#This Row],[GroupByKey]]),(OutputTable[GroupByKey]=OutputTable[[#This Row],[GroupByKey]])*OutputTable[RecordedValue])),0)</f>
        <v>8231.5</v>
      </c>
      <c r="L452" cm="1">
        <f t="array" ref="L452">IFERROR(_xlfn.STDEV.S(IF((OutputTable[GroupByKey]=OutputTable[[#This Row],[GroupByKey]]),(OutputTable[GroupByKey]=OutputTable[[#This Row],[GroupByKey]])*OutputTable[RecordedValue])),0)</f>
        <v>6.3464775882199236</v>
      </c>
      <c r="M452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452" cm="1">
        <f t="array" ref="O452">MIN(IF((OutputTable[GroupByKey]=OutputTable[[#This Row],[GroupByKey]]),(OutputTable[GroupByKey]=OutputTable[[#This Row],[GroupByKey]])*OutputTable[RecordedValue]))</f>
        <v>8220</v>
      </c>
      <c r="P452" cm="1">
        <f t="array" ref="P452">MAX(IF((OutputTable[GroupByKey]=OutputTable[[#This Row],[GroupByKey]]),(OutputTable[GroupByKey]=OutputTable[[#This Row],[GroupByKey]])*OutputTable[RecordedValue]))</f>
        <v>8241</v>
      </c>
    </row>
    <row r="453" spans="1:16" x14ac:dyDescent="0.25">
      <c r="A453" t="s">
        <v>67</v>
      </c>
      <c r="B453" t="s">
        <v>243</v>
      </c>
      <c r="C453">
        <v>6</v>
      </c>
      <c r="D453" t="s">
        <v>176</v>
      </c>
      <c r="E453" t="s">
        <v>154</v>
      </c>
      <c r="F453" t="s">
        <v>113</v>
      </c>
      <c r="G453">
        <v>0.47990655912621799</v>
      </c>
      <c r="H453">
        <v>0</v>
      </c>
      <c r="I453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453" cm="1">
        <f t="array" ref="J453">MAX(IF((ProjectInfoTable[ProjectName]=OutputTable[[#This Row],[ProjectName]]),(ProjectInfoTable[ProjectName]=OutputTable[[#This Row],[ProjectName]])*ProjectInfoTable[NumberOfReplications]))</f>
        <v>10</v>
      </c>
      <c r="K453" cm="1">
        <f t="array" ref="K453">IFERROR(AVERAGE(IF((OutputTable[GroupByKey]=OutputTable[[#This Row],[GroupByKey]]),(OutputTable[GroupByKey]=OutputTable[[#This Row],[GroupByKey]])*OutputTable[RecordedValue])),0)</f>
        <v>0.52391445815006699</v>
      </c>
      <c r="L453" cm="1">
        <f t="array" ref="L453">IFERROR(_xlfn.STDEV.S(IF((OutputTable[GroupByKey]=OutputTable[[#This Row],[GroupByKey]]),(OutputTable[GroupByKey]=OutputTable[[#This Row],[GroupByKey]])*OutputTable[RecordedValue])),0)</f>
        <v>7.0460308415606909E-2</v>
      </c>
      <c r="M453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5.0404268221927347E-2</v>
      </c>
      <c r="O453" cm="1">
        <f t="array" ref="O453">MIN(IF((OutputTable[GroupByKey]=OutputTable[[#This Row],[GroupByKey]]),(OutputTable[GroupByKey]=OutputTable[[#This Row],[GroupByKey]])*OutputTable[RecordedValue]))</f>
        <v>0.36555656561218303</v>
      </c>
      <c r="P453" cm="1">
        <f t="array" ref="P453">MAX(IF((OutputTable[GroupByKey]=OutputTable[[#This Row],[GroupByKey]]),(OutputTable[GroupByKey]=OutputTable[[#This Row],[GroupByKey]])*OutputTable[RecordedValue]))</f>
        <v>0.59886206518967</v>
      </c>
    </row>
    <row r="454" spans="1:16" x14ac:dyDescent="0.25">
      <c r="A454" t="s">
        <v>67</v>
      </c>
      <c r="B454" t="s">
        <v>243</v>
      </c>
      <c r="C454">
        <v>6</v>
      </c>
      <c r="D454" t="s">
        <v>177</v>
      </c>
      <c r="E454" t="s">
        <v>152</v>
      </c>
      <c r="F454" t="s">
        <v>113</v>
      </c>
      <c r="G454">
        <v>8216</v>
      </c>
      <c r="H454">
        <v>0</v>
      </c>
      <c r="I454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454" cm="1">
        <f t="array" ref="J454">MAX(IF((ProjectInfoTable[ProjectName]=OutputTable[[#This Row],[ProjectName]]),(ProjectInfoTable[ProjectName]=OutputTable[[#This Row],[ProjectName]])*ProjectInfoTable[NumberOfReplications]))</f>
        <v>10</v>
      </c>
      <c r="K454" cm="1">
        <f t="array" ref="K454">IFERROR(AVERAGE(IF((OutputTable[GroupByKey]=OutputTable[[#This Row],[GroupByKey]]),(OutputTable[GroupByKey]=OutputTable[[#This Row],[GroupByKey]])*OutputTable[RecordedValue])),0)</f>
        <v>8227.7000000000007</v>
      </c>
      <c r="L454" cm="1">
        <f t="array" ref="L454">IFERROR(_xlfn.STDEV.S(IF((OutputTable[GroupByKey]=OutputTable[[#This Row],[GroupByKey]]),(OutputTable[GroupByKey]=OutputTable[[#This Row],[GroupByKey]])*OutputTable[RecordedValue])),0)</f>
        <v>6.2902040242480748</v>
      </c>
      <c r="M454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454" cm="1">
        <f t="array" ref="O454">MIN(IF((OutputTable[GroupByKey]=OutputTable[[#This Row],[GroupByKey]]),(OutputTable[GroupByKey]=OutputTable[[#This Row],[GroupByKey]])*OutputTable[RecordedValue]))</f>
        <v>8216</v>
      </c>
      <c r="P454" cm="1">
        <f t="array" ref="P454">MAX(IF((OutputTable[GroupByKey]=OutputTable[[#This Row],[GroupByKey]]),(OutputTable[GroupByKey]=OutputTable[[#This Row],[GroupByKey]])*OutputTable[RecordedValue]))</f>
        <v>8237</v>
      </c>
    </row>
    <row r="455" spans="1:16" x14ac:dyDescent="0.25">
      <c r="A455" t="s">
        <v>67</v>
      </c>
      <c r="B455" t="s">
        <v>243</v>
      </c>
      <c r="C455">
        <v>6</v>
      </c>
      <c r="D455" t="s">
        <v>178</v>
      </c>
      <c r="E455" t="s">
        <v>154</v>
      </c>
      <c r="F455" t="s">
        <v>113</v>
      </c>
      <c r="G455">
        <v>0.149379358330504</v>
      </c>
      <c r="H455">
        <v>0</v>
      </c>
      <c r="I455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455" cm="1">
        <f t="array" ref="J455">MAX(IF((ProjectInfoTable[ProjectName]=OutputTable[[#This Row],[ProjectName]]),(ProjectInfoTable[ProjectName]=OutputTable[[#This Row],[ProjectName]])*ProjectInfoTable[NumberOfReplications]))</f>
        <v>10</v>
      </c>
      <c r="K455" cm="1">
        <f t="array" ref="K455">IFERROR(AVERAGE(IF((OutputTable[GroupByKey]=OutputTable[[#This Row],[GroupByKey]]),(OutputTable[GroupByKey]=OutputTable[[#This Row],[GroupByKey]])*OutputTable[RecordedValue])),0)</f>
        <v>0.14955853655775292</v>
      </c>
      <c r="L455" cm="1">
        <f t="array" ref="L455">IFERROR(_xlfn.STDEV.S(IF((OutputTable[GroupByKey]=OutputTable[[#This Row],[GroupByKey]]),(OutputTable[GroupByKey]=OutputTable[[#This Row],[GroupByKey]])*OutputTable[RecordedValue])),0)</f>
        <v>1.8487754554887928E-4</v>
      </c>
      <c r="M45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1.3225342896729691E-4</v>
      </c>
      <c r="O455" cm="1">
        <f t="array" ref="O455">MIN(IF((OutputTable[GroupByKey]=OutputTable[[#This Row],[GroupByKey]]),(OutputTable[GroupByKey]=OutputTable[[#This Row],[GroupByKey]])*OutputTable[RecordedValue]))</f>
        <v>0.14921189842985499</v>
      </c>
      <c r="P455" cm="1">
        <f t="array" ref="P455">MAX(IF((OutputTable[GroupByKey]=OutputTable[[#This Row],[GroupByKey]]),(OutputTable[GroupByKey]=OutputTable[[#This Row],[GroupByKey]])*OutputTable[RecordedValue]))</f>
        <v>0.14985050053976801</v>
      </c>
    </row>
    <row r="456" spans="1:16" x14ac:dyDescent="0.25">
      <c r="A456" t="s">
        <v>67</v>
      </c>
      <c r="B456" t="s">
        <v>243</v>
      </c>
      <c r="C456">
        <v>6</v>
      </c>
      <c r="D456" t="s">
        <v>179</v>
      </c>
      <c r="E456" t="s">
        <v>152</v>
      </c>
      <c r="F456" t="s">
        <v>113</v>
      </c>
      <c r="G456">
        <v>18376</v>
      </c>
      <c r="H456">
        <v>0</v>
      </c>
      <c r="I456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456" cm="1">
        <f t="array" ref="J456">MAX(IF((ProjectInfoTable[ProjectName]=OutputTable[[#This Row],[ProjectName]]),(ProjectInfoTable[ProjectName]=OutputTable[[#This Row],[ProjectName]])*ProjectInfoTable[NumberOfReplications]))</f>
        <v>10</v>
      </c>
      <c r="K456" cm="1">
        <f t="array" ref="K456">IFERROR(AVERAGE(IF((OutputTable[GroupByKey]=OutputTable[[#This Row],[GroupByKey]]),(OutputTable[GroupByKey]=OutputTable[[#This Row],[GroupByKey]])*OutputTable[RecordedValue])),0)</f>
        <v>18392</v>
      </c>
      <c r="L456" cm="1">
        <f t="array" ref="L456">IFERROR(_xlfn.STDEV.S(IF((OutputTable[GroupByKey]=OutputTable[[#This Row],[GroupByKey]]),(OutputTable[GroupByKey]=OutputTable[[#This Row],[GroupByKey]])*OutputTable[RecordedValue])),0)</f>
        <v>12.884098726725126</v>
      </c>
      <c r="M456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456" cm="1">
        <f t="array" ref="O456">MIN(IF((OutputTable[GroupByKey]=OutputTable[[#This Row],[GroupByKey]]),(OutputTable[GroupByKey]=OutputTable[[#This Row],[GroupByKey]])*OutputTable[RecordedValue]))</f>
        <v>18376</v>
      </c>
      <c r="P456" cm="1">
        <f t="array" ref="P456">MAX(IF((OutputTable[GroupByKey]=OutputTable[[#This Row],[GroupByKey]]),(OutputTable[GroupByKey]=OutputTable[[#This Row],[GroupByKey]])*OutputTable[RecordedValue]))</f>
        <v>18407</v>
      </c>
    </row>
    <row r="457" spans="1:16" x14ac:dyDescent="0.25">
      <c r="A457" t="s">
        <v>67</v>
      </c>
      <c r="B457" t="s">
        <v>243</v>
      </c>
      <c r="C457">
        <v>6</v>
      </c>
      <c r="D457" t="s">
        <v>180</v>
      </c>
      <c r="E457" t="s">
        <v>154</v>
      </c>
      <c r="F457" t="s">
        <v>113</v>
      </c>
      <c r="G457">
        <v>0.62044759961596896</v>
      </c>
      <c r="H457">
        <v>0</v>
      </c>
      <c r="I457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457" cm="1">
        <f t="array" ref="J457">MAX(IF((ProjectInfoTable[ProjectName]=OutputTable[[#This Row],[ProjectName]]),(ProjectInfoTable[ProjectName]=OutputTable[[#This Row],[ProjectName]])*ProjectInfoTable[NumberOfReplications]))</f>
        <v>10</v>
      </c>
      <c r="K457" cm="1">
        <f t="array" ref="K457">IFERROR(AVERAGE(IF((OutputTable[GroupByKey]=OutputTable[[#This Row],[GroupByKey]]),(OutputTable[GroupByKey]=OutputTable[[#This Row],[GroupByKey]])*OutputTable[RecordedValue])),0)</f>
        <v>0.78490250681152463</v>
      </c>
      <c r="L457" cm="1">
        <f t="array" ref="L457">IFERROR(_xlfn.STDEV.S(IF((OutputTable[GroupByKey]=OutputTable[[#This Row],[GroupByKey]]),(OutputTable[GroupByKey]=OutputTable[[#This Row],[GroupByKey]])*OutputTable[RecordedValue])),0)</f>
        <v>0.11345978752761485</v>
      </c>
      <c r="M457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8.1164242557843561E-2</v>
      </c>
      <c r="O457" cm="1">
        <f t="array" ref="O457">MIN(IF((OutputTable[GroupByKey]=OutputTable[[#This Row],[GroupByKey]]),(OutputTable[GroupByKey]=OutputTable[[#This Row],[GroupByKey]])*OutputTable[RecordedValue]))</f>
        <v>0.58338388917401596</v>
      </c>
      <c r="P457" cm="1">
        <f t="array" ref="P457">MAX(IF((OutputTable[GroupByKey]=OutputTable[[#This Row],[GroupByKey]]),(OutputTable[GroupByKey]=OutputTable[[#This Row],[GroupByKey]])*OutputTable[RecordedValue]))</f>
        <v>0.90111632059041802</v>
      </c>
    </row>
    <row r="458" spans="1:16" x14ac:dyDescent="0.25">
      <c r="A458" t="s">
        <v>67</v>
      </c>
      <c r="B458" t="s">
        <v>243</v>
      </c>
      <c r="C458">
        <v>6</v>
      </c>
      <c r="D458" t="s">
        <v>181</v>
      </c>
      <c r="E458" t="s">
        <v>152</v>
      </c>
      <c r="F458" t="s">
        <v>113</v>
      </c>
      <c r="G458">
        <v>18376</v>
      </c>
      <c r="H458">
        <v>0</v>
      </c>
      <c r="I458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458" cm="1">
        <f t="array" ref="J458">MAX(IF((ProjectInfoTable[ProjectName]=OutputTable[[#This Row],[ProjectName]]),(ProjectInfoTable[ProjectName]=OutputTable[[#This Row],[ProjectName]])*ProjectInfoTable[NumberOfReplications]))</f>
        <v>10</v>
      </c>
      <c r="K458" cm="1">
        <f t="array" ref="K458">IFERROR(AVERAGE(IF((OutputTable[GroupByKey]=OutputTable[[#This Row],[GroupByKey]]),(OutputTable[GroupByKey]=OutputTable[[#This Row],[GroupByKey]])*OutputTable[RecordedValue])),0)</f>
        <v>18389.400000000001</v>
      </c>
      <c r="L458" cm="1">
        <f t="array" ref="L458">IFERROR(_xlfn.STDEV.S(IF((OutputTable[GroupByKey]=OutputTable[[#This Row],[GroupByKey]]),(OutputTable[GroupByKey]=OutputTable[[#This Row],[GroupByKey]])*OutputTable[RecordedValue])),0)</f>
        <v>12.103259432437566</v>
      </c>
      <c r="M458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458" cm="1">
        <f t="array" ref="O458">MIN(IF((OutputTable[GroupByKey]=OutputTable[[#This Row],[GroupByKey]]),(OutputTable[GroupByKey]=OutputTable[[#This Row],[GroupByKey]])*OutputTable[RecordedValue]))</f>
        <v>18376</v>
      </c>
      <c r="P458" cm="1">
        <f t="array" ref="P458">MAX(IF((OutputTable[GroupByKey]=OutputTable[[#This Row],[GroupByKey]]),(OutputTable[GroupByKey]=OutputTable[[#This Row],[GroupByKey]])*OutputTable[RecordedValue]))</f>
        <v>18404</v>
      </c>
    </row>
    <row r="459" spans="1:16" x14ac:dyDescent="0.25">
      <c r="A459" t="s">
        <v>67</v>
      </c>
      <c r="B459" t="s">
        <v>243</v>
      </c>
      <c r="C459">
        <v>6</v>
      </c>
      <c r="D459" t="s">
        <v>182</v>
      </c>
      <c r="E459" t="s">
        <v>154</v>
      </c>
      <c r="F459" t="s">
        <v>113</v>
      </c>
      <c r="G459">
        <v>0.15880182157992101</v>
      </c>
      <c r="H459">
        <v>0</v>
      </c>
      <c r="I459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459" cm="1">
        <f t="array" ref="J459">MAX(IF((ProjectInfoTable[ProjectName]=OutputTable[[#This Row],[ProjectName]]),(ProjectInfoTable[ProjectName]=OutputTable[[#This Row],[ProjectName]])*ProjectInfoTable[NumberOfReplications]))</f>
        <v>10</v>
      </c>
      <c r="K459" cm="1">
        <f t="array" ref="K459">IFERROR(AVERAGE(IF((OutputTable[GroupByKey]=OutputTable[[#This Row],[GroupByKey]]),(OutputTable[GroupByKey]=OutputTable[[#This Row],[GroupByKey]])*OutputTable[RecordedValue])),0)</f>
        <v>0.15879210791146151</v>
      </c>
      <c r="L459" cm="1">
        <f t="array" ref="L459">IFERROR(_xlfn.STDEV.S(IF((OutputTable[GroupByKey]=OutputTable[[#This Row],[GroupByKey]]),(OutputTable[GroupByKey]=OutputTable[[#This Row],[GroupByKey]])*OutputTable[RecordedValue])),0)</f>
        <v>8.8786593843692651E-6</v>
      </c>
      <c r="M459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6.3514103063698042E-6</v>
      </c>
      <c r="O459" cm="1">
        <f t="array" ref="O459">MIN(IF((OutputTable[GroupByKey]=OutputTable[[#This Row],[GroupByKey]]),(OutputTable[GroupByKey]=OutputTable[[#This Row],[GroupByKey]])*OutputTable[RecordedValue]))</f>
        <v>0.15877821852350199</v>
      </c>
      <c r="P459" cm="1">
        <f t="array" ref="P459">MAX(IF((OutputTable[GroupByKey]=OutputTable[[#This Row],[GroupByKey]]),(OutputTable[GroupByKey]=OutputTable[[#This Row],[GroupByKey]])*OutputTable[RecordedValue]))</f>
        <v>0.15880443244107401</v>
      </c>
    </row>
    <row r="460" spans="1:16" x14ac:dyDescent="0.25">
      <c r="A460" t="s">
        <v>67</v>
      </c>
      <c r="B460" t="s">
        <v>243</v>
      </c>
      <c r="C460">
        <v>6</v>
      </c>
      <c r="D460" t="s">
        <v>183</v>
      </c>
      <c r="E460" t="s">
        <v>152</v>
      </c>
      <c r="F460" t="s">
        <v>113</v>
      </c>
      <c r="G460">
        <v>13107</v>
      </c>
      <c r="H460">
        <v>0</v>
      </c>
      <c r="I460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460" cm="1">
        <f t="array" ref="J460">MAX(IF((ProjectInfoTable[ProjectName]=OutputTable[[#This Row],[ProjectName]]),(ProjectInfoTable[ProjectName]=OutputTable[[#This Row],[ProjectName]])*ProjectInfoTable[NumberOfReplications]))</f>
        <v>10</v>
      </c>
      <c r="K460" cm="1">
        <f t="array" ref="K460">IFERROR(AVERAGE(IF((OutputTable[GroupByKey]=OutputTable[[#This Row],[GroupByKey]]),(OutputTable[GroupByKey]=OutputTable[[#This Row],[GroupByKey]])*OutputTable[RecordedValue])),0)</f>
        <v>13103.5</v>
      </c>
      <c r="L460" cm="1">
        <f t="array" ref="L460">IFERROR(_xlfn.STDEV.S(IF((OutputTable[GroupByKey]=OutputTable[[#This Row],[GroupByKey]]),(OutputTable[GroupByKey]=OutputTable[[#This Row],[GroupByKey]])*OutputTable[RecordedValue])),0)</f>
        <v>11.443095929181249</v>
      </c>
      <c r="M460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460" cm="1">
        <f t="array" ref="O460">MIN(IF((OutputTable[GroupByKey]=OutputTable[[#This Row],[GroupByKey]]),(OutputTable[GroupByKey]=OutputTable[[#This Row],[GroupByKey]])*OutputTable[RecordedValue]))</f>
        <v>13087</v>
      </c>
      <c r="P460" cm="1">
        <f t="array" ref="P460">MAX(IF((OutputTable[GroupByKey]=OutputTable[[#This Row],[GroupByKey]]),(OutputTable[GroupByKey]=OutputTable[[#This Row],[GroupByKey]])*OutputTable[RecordedValue]))</f>
        <v>13120</v>
      </c>
    </row>
    <row r="461" spans="1:16" x14ac:dyDescent="0.25">
      <c r="A461" t="s">
        <v>67</v>
      </c>
      <c r="B461" t="s">
        <v>243</v>
      </c>
      <c r="C461">
        <v>6</v>
      </c>
      <c r="D461" t="s">
        <v>184</v>
      </c>
      <c r="E461" t="s">
        <v>154</v>
      </c>
      <c r="F461" t="s">
        <v>113</v>
      </c>
      <c r="G461">
        <v>1.00040272459251</v>
      </c>
      <c r="H461">
        <v>0</v>
      </c>
      <c r="I461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461" cm="1">
        <f t="array" ref="J461">MAX(IF((ProjectInfoTable[ProjectName]=OutputTable[[#This Row],[ProjectName]]),(ProjectInfoTable[ProjectName]=OutputTable[[#This Row],[ProjectName]])*ProjectInfoTable[NumberOfReplications]))</f>
        <v>10</v>
      </c>
      <c r="K461" cm="1">
        <f t="array" ref="K461">IFERROR(AVERAGE(IF((OutputTable[GroupByKey]=OutputTable[[#This Row],[GroupByKey]]),(OutputTable[GroupByKey]=OutputTable[[#This Row],[GroupByKey]])*OutputTable[RecordedValue])),0)</f>
        <v>1.0004814685732331</v>
      </c>
      <c r="L461" cm="1">
        <f t="array" ref="L461">IFERROR(_xlfn.STDEV.S(IF((OutputTable[GroupByKey]=OutputTable[[#This Row],[GroupByKey]]),(OutputTable[GroupByKey]=OutputTable[[#This Row],[GroupByKey]])*OutputTable[RecordedValue])),0)</f>
        <v>7.4280555176725285E-5</v>
      </c>
      <c r="M461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5.3137108125005439E-5</v>
      </c>
      <c r="O461" cm="1">
        <f t="array" ref="O461">MIN(IF((OutputTable[GroupByKey]=OutputTable[[#This Row],[GroupByKey]]),(OutputTable[GroupByKey]=OutputTable[[#This Row],[GroupByKey]])*OutputTable[RecordedValue]))</f>
        <v>1.00039897320567</v>
      </c>
      <c r="P461" cm="1">
        <f t="array" ref="P461">MAX(IF((OutputTable[GroupByKey]=OutputTable[[#This Row],[GroupByKey]]),(OutputTable[GroupByKey]=OutputTable[[#This Row],[GroupByKey]])*OutputTable[RecordedValue]))</f>
        <v>1.00059414734778</v>
      </c>
    </row>
    <row r="462" spans="1:16" x14ac:dyDescent="0.25">
      <c r="A462" t="s">
        <v>67</v>
      </c>
      <c r="B462" t="s">
        <v>243</v>
      </c>
      <c r="C462">
        <v>6</v>
      </c>
      <c r="D462" t="s">
        <v>185</v>
      </c>
      <c r="E462" t="s">
        <v>152</v>
      </c>
      <c r="F462" t="s">
        <v>113</v>
      </c>
      <c r="G462">
        <v>13103</v>
      </c>
      <c r="H462">
        <v>0</v>
      </c>
      <c r="I462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462" cm="1">
        <f t="array" ref="J462">MAX(IF((ProjectInfoTable[ProjectName]=OutputTable[[#This Row],[ProjectName]]),(ProjectInfoTable[ProjectName]=OutputTable[[#This Row],[ProjectName]])*ProjectInfoTable[NumberOfReplications]))</f>
        <v>10</v>
      </c>
      <c r="K462" cm="1">
        <f t="array" ref="K462">IFERROR(AVERAGE(IF((OutputTable[GroupByKey]=OutputTable[[#This Row],[GroupByKey]]),(OutputTable[GroupByKey]=OutputTable[[#This Row],[GroupByKey]])*OutputTable[RecordedValue])),0)</f>
        <v>13100.1</v>
      </c>
      <c r="L462" cm="1">
        <f t="array" ref="L462">IFERROR(_xlfn.STDEV.S(IF((OutputTable[GroupByKey]=OutputTable[[#This Row],[GroupByKey]]),(OutputTable[GroupByKey]=OutputTable[[#This Row],[GroupByKey]])*OutputTable[RecordedValue])),0)</f>
        <v>11.46443776786866</v>
      </c>
      <c r="M462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462" cm="1">
        <f t="array" ref="O462">MIN(IF((OutputTable[GroupByKey]=OutputTable[[#This Row],[GroupByKey]]),(OutputTable[GroupByKey]=OutputTable[[#This Row],[GroupByKey]])*OutputTable[RecordedValue]))</f>
        <v>13083</v>
      </c>
      <c r="P462" cm="1">
        <f t="array" ref="P462">MAX(IF((OutputTable[GroupByKey]=OutputTable[[#This Row],[GroupByKey]]),(OutputTable[GroupByKey]=OutputTable[[#This Row],[GroupByKey]])*OutputTable[RecordedValue]))</f>
        <v>13118</v>
      </c>
    </row>
    <row r="463" spans="1:16" x14ac:dyDescent="0.25">
      <c r="A463" t="s">
        <v>67</v>
      </c>
      <c r="B463" t="s">
        <v>243</v>
      </c>
      <c r="C463">
        <v>6</v>
      </c>
      <c r="D463" t="s">
        <v>186</v>
      </c>
      <c r="E463" t="s">
        <v>154</v>
      </c>
      <c r="F463" t="s">
        <v>113</v>
      </c>
      <c r="G463">
        <v>0.72754929177134597</v>
      </c>
      <c r="H463">
        <v>0</v>
      </c>
      <c r="I463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463" cm="1">
        <f t="array" ref="J463">MAX(IF((ProjectInfoTable[ProjectName]=OutputTable[[#This Row],[ProjectName]]),(ProjectInfoTable[ProjectName]=OutputTable[[#This Row],[ProjectName]])*ProjectInfoTable[NumberOfReplications]))</f>
        <v>10</v>
      </c>
      <c r="K463" cm="1">
        <f t="array" ref="K463">IFERROR(AVERAGE(IF((OutputTable[GroupByKey]=OutputTable[[#This Row],[GroupByKey]]),(OutputTable[GroupByKey]=OutputTable[[#This Row],[GroupByKey]])*OutputTable[RecordedValue])),0)</f>
        <v>0.7279059511079462</v>
      </c>
      <c r="L463" cm="1">
        <f t="array" ref="L463">IFERROR(_xlfn.STDEV.S(IF((OutputTable[GroupByKey]=OutputTable[[#This Row],[GroupByKey]]),(OutputTable[GroupByKey]=OutputTable[[#This Row],[GroupByKey]])*OutputTable[RecordedValue])),0)</f>
        <v>7.0848304180243249E-4</v>
      </c>
      <c r="M463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5.0681823671647316E-4</v>
      </c>
      <c r="O463" cm="1">
        <f t="array" ref="O463">MIN(IF((OutputTable[GroupByKey]=OutputTable[[#This Row],[GroupByKey]]),(OutputTable[GroupByKey]=OutputTable[[#This Row],[GroupByKey]])*OutputTable[RecordedValue]))</f>
        <v>0.72665767143328297</v>
      </c>
      <c r="P463" cm="1">
        <f t="array" ref="P463">MAX(IF((OutputTable[GroupByKey]=OutputTable[[#This Row],[GroupByKey]]),(OutputTable[GroupByKey]=OutputTable[[#This Row],[GroupByKey]])*OutputTable[RecordedValue]))</f>
        <v>0.72896261310967603</v>
      </c>
    </row>
    <row r="464" spans="1:16" x14ac:dyDescent="0.25">
      <c r="A464" t="s">
        <v>67</v>
      </c>
      <c r="B464" t="s">
        <v>243</v>
      </c>
      <c r="C464">
        <v>6</v>
      </c>
      <c r="D464" t="s">
        <v>187</v>
      </c>
      <c r="E464" t="s">
        <v>152</v>
      </c>
      <c r="F464" t="s">
        <v>113</v>
      </c>
      <c r="G464">
        <v>13103</v>
      </c>
      <c r="H464">
        <v>0</v>
      </c>
      <c r="I464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464" cm="1">
        <f t="array" ref="J464">MAX(IF((ProjectInfoTable[ProjectName]=OutputTable[[#This Row],[ProjectName]]),(ProjectInfoTable[ProjectName]=OutputTable[[#This Row],[ProjectName]])*ProjectInfoTable[NumberOfReplications]))</f>
        <v>10</v>
      </c>
      <c r="K464" cm="1">
        <f t="array" ref="K464">IFERROR(AVERAGE(IF((OutputTable[GroupByKey]=OutputTable[[#This Row],[GroupByKey]]),(OutputTable[GroupByKey]=OutputTable[[#This Row],[GroupByKey]])*OutputTable[RecordedValue])),0)</f>
        <v>13099.9</v>
      </c>
      <c r="L464" cm="1">
        <f t="array" ref="L464">IFERROR(_xlfn.STDEV.S(IF((OutputTable[GroupByKey]=OutputTable[[#This Row],[GroupByKey]]),(OutputTable[GroupByKey]=OutputTable[[#This Row],[GroupByKey]])*OutputTable[RecordedValue])),0)</f>
        <v>11.761046816598522</v>
      </c>
      <c r="M464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464" cm="1">
        <f t="array" ref="O464">MIN(IF((OutputTable[GroupByKey]=OutputTable[[#This Row],[GroupByKey]]),(OutputTable[GroupByKey]=OutputTable[[#This Row],[GroupByKey]])*OutputTable[RecordedValue]))</f>
        <v>13082</v>
      </c>
      <c r="P464" cm="1">
        <f t="array" ref="P464">MAX(IF((OutputTable[GroupByKey]=OutputTable[[#This Row],[GroupByKey]]),(OutputTable[GroupByKey]=OutputTable[[#This Row],[GroupByKey]])*OutputTable[RecordedValue]))</f>
        <v>13118</v>
      </c>
    </row>
    <row r="465" spans="1:16" x14ac:dyDescent="0.25">
      <c r="A465" t="s">
        <v>67</v>
      </c>
      <c r="B465" t="s">
        <v>243</v>
      </c>
      <c r="C465">
        <v>6</v>
      </c>
      <c r="D465" t="s">
        <v>188</v>
      </c>
      <c r="E465" t="s">
        <v>154</v>
      </c>
      <c r="F465" t="s">
        <v>113</v>
      </c>
      <c r="G465">
        <v>0.95483578078451303</v>
      </c>
      <c r="H465">
        <v>0</v>
      </c>
      <c r="I465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465" cm="1">
        <f t="array" ref="J465">MAX(IF((ProjectInfoTable[ProjectName]=OutputTable[[#This Row],[ProjectName]]),(ProjectInfoTable[ProjectName]=OutputTable[[#This Row],[ProjectName]])*ProjectInfoTable[NumberOfReplications]))</f>
        <v>10</v>
      </c>
      <c r="K465" cm="1">
        <f t="array" ref="K465">IFERROR(AVERAGE(IF((OutputTable[GroupByKey]=OutputTable[[#This Row],[GroupByKey]]),(OutputTable[GroupByKey]=OutputTable[[#This Row],[GroupByKey]])*OutputTable[RecordedValue])),0)</f>
        <v>0.95483842565389732</v>
      </c>
      <c r="L465" cm="1">
        <f t="array" ref="L465">IFERROR(_xlfn.STDEV.S(IF((OutputTable[GroupByKey]=OutputTable[[#This Row],[GroupByKey]]),(OutputTable[GroupByKey]=OutputTable[[#This Row],[GroupByKey]])*OutputTable[RecordedValue])),0)</f>
        <v>7.6849017135544289E-4</v>
      </c>
      <c r="M46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5.497447512496955E-4</v>
      </c>
      <c r="O465" cm="1">
        <f t="array" ref="O465">MIN(IF((OutputTable[GroupByKey]=OutputTable[[#This Row],[GroupByKey]]),(OutputTable[GroupByKey]=OutputTable[[#This Row],[GroupByKey]])*OutputTable[RecordedValue]))</f>
        <v>0.95348679569453398</v>
      </c>
      <c r="P465" cm="1">
        <f t="array" ref="P465">MAX(IF((OutputTable[GroupByKey]=OutputTable[[#This Row],[GroupByKey]]),(OutputTable[GroupByKey]=OutputTable[[#This Row],[GroupByKey]])*OutputTable[RecordedValue]))</f>
        <v>0.95588678098879198</v>
      </c>
    </row>
    <row r="466" spans="1:16" x14ac:dyDescent="0.25">
      <c r="A466" t="s">
        <v>67</v>
      </c>
      <c r="B466" t="s">
        <v>243</v>
      </c>
      <c r="C466">
        <v>6</v>
      </c>
      <c r="D466" t="s">
        <v>189</v>
      </c>
      <c r="E466" t="s">
        <v>152</v>
      </c>
      <c r="F466" t="s">
        <v>113</v>
      </c>
      <c r="G466">
        <v>8223</v>
      </c>
      <c r="H466">
        <v>0</v>
      </c>
      <c r="I466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466" cm="1">
        <f t="array" ref="J466">MAX(IF((ProjectInfoTable[ProjectName]=OutputTable[[#This Row],[ProjectName]]),(ProjectInfoTable[ProjectName]=OutputTable[[#This Row],[ProjectName]])*ProjectInfoTable[NumberOfReplications]))</f>
        <v>10</v>
      </c>
      <c r="K466" cm="1">
        <f t="array" ref="K466">IFERROR(AVERAGE(IF((OutputTable[GroupByKey]=OutputTable[[#This Row],[GroupByKey]]),(OutputTable[GroupByKey]=OutputTable[[#This Row],[GroupByKey]])*OutputTable[RecordedValue])),0)</f>
        <v>8235</v>
      </c>
      <c r="L466" cm="1">
        <f t="array" ref="L466">IFERROR(_xlfn.STDEV.S(IF((OutputTable[GroupByKey]=OutputTable[[#This Row],[GroupByKey]]),(OutputTable[GroupByKey]=OutputTable[[#This Row],[GroupByKey]])*OutputTable[RecordedValue])),0)</f>
        <v>6.5659052011974035</v>
      </c>
      <c r="M466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466" cm="1">
        <f t="array" ref="O466">MIN(IF((OutputTable[GroupByKey]=OutputTable[[#This Row],[GroupByKey]]),(OutputTable[GroupByKey]=OutputTable[[#This Row],[GroupByKey]])*OutputTable[RecordedValue]))</f>
        <v>8223</v>
      </c>
      <c r="P466" cm="1">
        <f t="array" ref="P466">MAX(IF((OutputTable[GroupByKey]=OutputTable[[#This Row],[GroupByKey]]),(OutputTable[GroupByKey]=OutputTable[[#This Row],[GroupByKey]])*OutputTable[RecordedValue]))</f>
        <v>8245</v>
      </c>
    </row>
    <row r="467" spans="1:16" x14ac:dyDescent="0.25">
      <c r="A467" t="s">
        <v>67</v>
      </c>
      <c r="B467" t="s">
        <v>243</v>
      </c>
      <c r="C467">
        <v>6</v>
      </c>
      <c r="D467" t="s">
        <v>190</v>
      </c>
      <c r="E467" t="s">
        <v>154</v>
      </c>
      <c r="F467" t="s">
        <v>113</v>
      </c>
      <c r="G467">
        <v>0.48503601840289501</v>
      </c>
      <c r="H467">
        <v>0</v>
      </c>
      <c r="I467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467" cm="1">
        <f t="array" ref="J467">MAX(IF((ProjectInfoTable[ProjectName]=OutputTable[[#This Row],[ProjectName]]),(ProjectInfoTable[ProjectName]=OutputTable[[#This Row],[ProjectName]])*ProjectInfoTable[NumberOfReplications]))</f>
        <v>10</v>
      </c>
      <c r="K467" cm="1">
        <f t="array" ref="K467">IFERROR(AVERAGE(IF((OutputTable[GroupByKey]=OutputTable[[#This Row],[GroupByKey]]),(OutputTable[GroupByKey]=OutputTable[[#This Row],[GroupByKey]])*OutputTable[RecordedValue])),0)</f>
        <v>0.48622459141633045</v>
      </c>
      <c r="L467" cm="1">
        <f t="array" ref="L467">IFERROR(_xlfn.STDEV.S(IF((OutputTable[GroupByKey]=OutputTable[[#This Row],[GroupByKey]]),(OutputTable[GroupByKey]=OutputTable[[#This Row],[GroupByKey]])*OutputTable[RecordedValue])),0)</f>
        <v>7.2585329819825151E-4</v>
      </c>
      <c r="M467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5.1924416958770345E-4</v>
      </c>
      <c r="O467" cm="1">
        <f t="array" ref="O467">MIN(IF((OutputTable[GroupByKey]=OutputTable[[#This Row],[GroupByKey]]),(OutputTable[GroupByKey]=OutputTable[[#This Row],[GroupByKey]])*OutputTable[RecordedValue]))</f>
        <v>0.48503601840289501</v>
      </c>
      <c r="P467" cm="1">
        <f t="array" ref="P467">MAX(IF((OutputTable[GroupByKey]=OutputTable[[#This Row],[GroupByKey]]),(OutputTable[GroupByKey]=OutputTable[[#This Row],[GroupByKey]])*OutputTable[RecordedValue]))</f>
        <v>0.48724920721519499</v>
      </c>
    </row>
    <row r="468" spans="1:16" x14ac:dyDescent="0.25">
      <c r="A468" t="s">
        <v>67</v>
      </c>
      <c r="B468" t="s">
        <v>243</v>
      </c>
      <c r="C468">
        <v>6</v>
      </c>
      <c r="D468" t="s">
        <v>191</v>
      </c>
      <c r="E468" t="s">
        <v>152</v>
      </c>
      <c r="F468" t="s">
        <v>113</v>
      </c>
      <c r="G468">
        <v>8221</v>
      </c>
      <c r="H468">
        <v>0</v>
      </c>
      <c r="I468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468" cm="1">
        <f t="array" ref="J468">MAX(IF((ProjectInfoTable[ProjectName]=OutputTable[[#This Row],[ProjectName]]),(ProjectInfoTable[ProjectName]=OutputTable[[#This Row],[ProjectName]])*ProjectInfoTable[NumberOfReplications]))</f>
        <v>10</v>
      </c>
      <c r="K468" cm="1">
        <f t="array" ref="K468">IFERROR(AVERAGE(IF((OutputTable[GroupByKey]=OutputTable[[#This Row],[GroupByKey]]),(OutputTable[GroupByKey]=OutputTable[[#This Row],[GroupByKey]])*OutputTable[RecordedValue])),0)</f>
        <v>8233.5</v>
      </c>
      <c r="L468" cm="1">
        <f t="array" ref="L468">IFERROR(_xlfn.STDEV.S(IF((OutputTable[GroupByKey]=OutputTable[[#This Row],[GroupByKey]]),(OutputTable[GroupByKey]=OutputTable[[#This Row],[GroupByKey]])*OutputTable[RecordedValue])),0)</f>
        <v>6.5021364010437201</v>
      </c>
      <c r="M468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468" cm="1">
        <f t="array" ref="O468">MIN(IF((OutputTable[GroupByKey]=OutputTable[[#This Row],[GroupByKey]]),(OutputTable[GroupByKey]=OutputTable[[#This Row],[GroupByKey]])*OutputTable[RecordedValue]))</f>
        <v>8221</v>
      </c>
      <c r="P468" cm="1">
        <f t="array" ref="P468">MAX(IF((OutputTable[GroupByKey]=OutputTable[[#This Row],[GroupByKey]]),(OutputTable[GroupByKey]=OutputTable[[#This Row],[GroupByKey]])*OutputTable[RecordedValue]))</f>
        <v>8243</v>
      </c>
    </row>
    <row r="469" spans="1:16" x14ac:dyDescent="0.25">
      <c r="A469" t="s">
        <v>67</v>
      </c>
      <c r="B469" t="s">
        <v>243</v>
      </c>
      <c r="C469">
        <v>6</v>
      </c>
      <c r="D469" t="s">
        <v>192</v>
      </c>
      <c r="E469" t="s">
        <v>154</v>
      </c>
      <c r="F469" t="s">
        <v>113</v>
      </c>
      <c r="G469">
        <v>0.57166809327927304</v>
      </c>
      <c r="H469">
        <v>0</v>
      </c>
      <c r="I469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469" cm="1">
        <f t="array" ref="J469">MAX(IF((ProjectInfoTable[ProjectName]=OutputTable[[#This Row],[ProjectName]]),(ProjectInfoTable[ProjectName]=OutputTable[[#This Row],[ProjectName]])*ProjectInfoTable[NumberOfReplications]))</f>
        <v>10</v>
      </c>
      <c r="K469" cm="1">
        <f t="array" ref="K469">IFERROR(AVERAGE(IF((OutputTable[GroupByKey]=OutputTable[[#This Row],[GroupByKey]]),(OutputTable[GroupByKey]=OutputTable[[#This Row],[GroupByKey]])*OutputTable[RecordedValue])),0)</f>
        <v>0.57195959594019841</v>
      </c>
      <c r="L469" cm="1">
        <f t="array" ref="L469">IFERROR(_xlfn.STDEV.S(IF((OutputTable[GroupByKey]=OutputTable[[#This Row],[GroupByKey]]),(OutputTable[GroupByKey]=OutputTable[[#This Row],[GroupByKey]])*OutputTable[RecordedValue])),0)</f>
        <v>5.0695895005827636E-4</v>
      </c>
      <c r="M469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3.6265658596782525E-4</v>
      </c>
      <c r="O469" cm="1">
        <f t="array" ref="O469">MIN(IF((OutputTable[GroupByKey]=OutputTable[[#This Row],[GroupByKey]]),(OutputTable[GroupByKey]=OutputTable[[#This Row],[GroupByKey]])*OutputTable[RecordedValue]))</f>
        <v>0.57115702440598504</v>
      </c>
      <c r="P469" cm="1">
        <f t="array" ref="P469">MAX(IF((OutputTable[GroupByKey]=OutputTable[[#This Row],[GroupByKey]]),(OutputTable[GroupByKey]=OutputTable[[#This Row],[GroupByKey]])*OutputTable[RecordedValue]))</f>
        <v>0.57294957522841605</v>
      </c>
    </row>
    <row r="470" spans="1:16" x14ac:dyDescent="0.25">
      <c r="A470" t="s">
        <v>67</v>
      </c>
      <c r="B470" t="s">
        <v>243</v>
      </c>
      <c r="C470">
        <v>6</v>
      </c>
      <c r="D470" t="s">
        <v>193</v>
      </c>
      <c r="E470" t="s">
        <v>152</v>
      </c>
      <c r="F470" t="s">
        <v>113</v>
      </c>
      <c r="G470">
        <v>8220</v>
      </c>
      <c r="H470">
        <v>0</v>
      </c>
      <c r="I470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470" cm="1">
        <f t="array" ref="J470">MAX(IF((ProjectInfoTable[ProjectName]=OutputTable[[#This Row],[ProjectName]]),(ProjectInfoTable[ProjectName]=OutputTable[[#This Row],[ProjectName]])*ProjectInfoTable[NumberOfReplications]))</f>
        <v>10</v>
      </c>
      <c r="K470" cm="1">
        <f t="array" ref="K470">IFERROR(AVERAGE(IF((OutputTable[GroupByKey]=OutputTable[[#This Row],[GroupByKey]]),(OutputTable[GroupByKey]=OutputTable[[#This Row],[GroupByKey]])*OutputTable[RecordedValue])),0)</f>
        <v>8231.5</v>
      </c>
      <c r="L470" cm="1">
        <f t="array" ref="L470">IFERROR(_xlfn.STDEV.S(IF((OutputTable[GroupByKey]=OutputTable[[#This Row],[GroupByKey]]),(OutputTable[GroupByKey]=OutputTable[[#This Row],[GroupByKey]])*OutputTable[RecordedValue])),0)</f>
        <v>6.3464775882199236</v>
      </c>
      <c r="M470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470" cm="1">
        <f t="array" ref="O470">MIN(IF((OutputTable[GroupByKey]=OutputTable[[#This Row],[GroupByKey]]),(OutputTable[GroupByKey]=OutputTable[[#This Row],[GroupByKey]])*OutputTable[RecordedValue]))</f>
        <v>8220</v>
      </c>
      <c r="P470" cm="1">
        <f t="array" ref="P470">MAX(IF((OutputTable[GroupByKey]=OutputTable[[#This Row],[GroupByKey]]),(OutputTable[GroupByKey]=OutputTable[[#This Row],[GroupByKey]])*OutputTable[RecordedValue]))</f>
        <v>8241</v>
      </c>
    </row>
    <row r="471" spans="1:16" x14ac:dyDescent="0.25">
      <c r="A471" t="s">
        <v>67</v>
      </c>
      <c r="B471" t="s">
        <v>243</v>
      </c>
      <c r="C471">
        <v>6</v>
      </c>
      <c r="D471" t="s">
        <v>194</v>
      </c>
      <c r="E471" t="s">
        <v>154</v>
      </c>
      <c r="F471" t="s">
        <v>113</v>
      </c>
      <c r="G471">
        <v>1.00068312738094</v>
      </c>
      <c r="H471">
        <v>0</v>
      </c>
      <c r="I471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471" cm="1">
        <f t="array" ref="J471">MAX(IF((ProjectInfoTable[ProjectName]=OutputTable[[#This Row],[ProjectName]]),(ProjectInfoTable[ProjectName]=OutputTable[[#This Row],[ProjectName]])*ProjectInfoTable[NumberOfReplications]))</f>
        <v>10</v>
      </c>
      <c r="K471" cm="1">
        <f t="array" ref="K471">IFERROR(AVERAGE(IF((OutputTable[GroupByKey]=OutputTable[[#This Row],[GroupByKey]]),(OutputTable[GroupByKey]=OutputTable[[#This Row],[GroupByKey]])*OutputTable[RecordedValue])),0)</f>
        <v>1.0004557942559711</v>
      </c>
      <c r="L471" cm="1">
        <f t="array" ref="L471">IFERROR(_xlfn.STDEV.S(IF((OutputTable[GroupByKey]=OutputTable[[#This Row],[GroupByKey]]),(OutputTable[GroupByKey]=OutputTable[[#This Row],[GroupByKey]])*OutputTable[RecordedValue])),0)</f>
        <v>1.6760007580081014E-4</v>
      </c>
      <c r="M471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1.1989387166531641E-4</v>
      </c>
      <c r="O471" cm="1">
        <f t="array" ref="O471">MIN(IF((OutputTable[GroupByKey]=OutputTable[[#This Row],[GroupByKey]]),(OutputTable[GroupByKey]=OutputTable[[#This Row],[GroupByKey]])*OutputTable[RecordedValue]))</f>
        <v>1.0000655989645</v>
      </c>
      <c r="P471" cm="1">
        <f t="array" ref="P471">MAX(IF((OutputTable[GroupByKey]=OutputTable[[#This Row],[GroupByKey]]),(OutputTable[GroupByKey]=OutputTable[[#This Row],[GroupByKey]])*OutputTable[RecordedValue]))</f>
        <v>1.00068312738094</v>
      </c>
    </row>
    <row r="472" spans="1:16" x14ac:dyDescent="0.25">
      <c r="A472" t="s">
        <v>67</v>
      </c>
      <c r="B472" t="s">
        <v>243</v>
      </c>
      <c r="C472">
        <v>6</v>
      </c>
      <c r="D472" t="s">
        <v>195</v>
      </c>
      <c r="E472" t="s">
        <v>152</v>
      </c>
      <c r="F472" t="s">
        <v>113</v>
      </c>
      <c r="G472">
        <v>8216</v>
      </c>
      <c r="H472">
        <v>0</v>
      </c>
      <c r="I472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472" cm="1">
        <f t="array" ref="J472">MAX(IF((ProjectInfoTable[ProjectName]=OutputTable[[#This Row],[ProjectName]]),(ProjectInfoTable[ProjectName]=OutputTable[[#This Row],[ProjectName]])*ProjectInfoTable[NumberOfReplications]))</f>
        <v>10</v>
      </c>
      <c r="K472" cm="1">
        <f t="array" ref="K472">IFERROR(AVERAGE(IF((OutputTable[GroupByKey]=OutputTable[[#This Row],[GroupByKey]]),(OutputTable[GroupByKey]=OutputTable[[#This Row],[GroupByKey]])*OutputTable[RecordedValue])),0)</f>
        <v>8227.7000000000007</v>
      </c>
      <c r="L472" cm="1">
        <f t="array" ref="L472">IFERROR(_xlfn.STDEV.S(IF((OutputTable[GroupByKey]=OutputTable[[#This Row],[GroupByKey]]),(OutputTable[GroupByKey]=OutputTable[[#This Row],[GroupByKey]])*OutputTable[RecordedValue])),0)</f>
        <v>6.2902040242480748</v>
      </c>
      <c r="M472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472" cm="1">
        <f t="array" ref="O472">MIN(IF((OutputTable[GroupByKey]=OutputTable[[#This Row],[GroupByKey]]),(OutputTable[GroupByKey]=OutputTable[[#This Row],[GroupByKey]])*OutputTable[RecordedValue]))</f>
        <v>8216</v>
      </c>
      <c r="P472" cm="1">
        <f t="array" ref="P472">MAX(IF((OutputTable[GroupByKey]=OutputTable[[#This Row],[GroupByKey]]),(OutputTable[GroupByKey]=OutputTable[[#This Row],[GroupByKey]])*OutputTable[RecordedValue]))</f>
        <v>8237</v>
      </c>
    </row>
    <row r="473" spans="1:16" x14ac:dyDescent="0.25">
      <c r="A473" t="s">
        <v>67</v>
      </c>
      <c r="B473" t="s">
        <v>243</v>
      </c>
      <c r="C473">
        <v>6</v>
      </c>
      <c r="D473" t="s">
        <v>196</v>
      </c>
      <c r="E473" t="s">
        <v>154</v>
      </c>
      <c r="F473" t="s">
        <v>113</v>
      </c>
      <c r="G473">
        <v>0.62739330498811596</v>
      </c>
      <c r="H473">
        <v>0</v>
      </c>
      <c r="I473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473" cm="1">
        <f t="array" ref="J473">MAX(IF((ProjectInfoTable[ProjectName]=OutputTable[[#This Row],[ProjectName]]),(ProjectInfoTable[ProjectName]=OutputTable[[#This Row],[ProjectName]])*ProjectInfoTable[NumberOfReplications]))</f>
        <v>10</v>
      </c>
      <c r="K473" cm="1">
        <f t="array" ref="K473">IFERROR(AVERAGE(IF((OutputTable[GroupByKey]=OutputTable[[#This Row],[GroupByKey]]),(OutputTable[GroupByKey]=OutputTable[[#This Row],[GroupByKey]])*OutputTable[RecordedValue])),0)</f>
        <v>0.62814585354256225</v>
      </c>
      <c r="L473" cm="1">
        <f t="array" ref="L473">IFERROR(_xlfn.STDEV.S(IF((OutputTable[GroupByKey]=OutputTable[[#This Row],[GroupByKey]]),(OutputTable[GroupByKey]=OutputTable[[#This Row],[GroupByKey]])*OutputTable[RecordedValue])),0)</f>
        <v>7.7648569130547428E-4</v>
      </c>
      <c r="M473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5.5546440166277669E-4</v>
      </c>
      <c r="O473" cm="1">
        <f t="array" ref="O473">MIN(IF((OutputTable[GroupByKey]=OutputTable[[#This Row],[GroupByKey]]),(OutputTable[GroupByKey]=OutputTable[[#This Row],[GroupByKey]])*OutputTable[RecordedValue]))</f>
        <v>0.62668997340539101</v>
      </c>
      <c r="P473" cm="1">
        <f t="array" ref="P473">MAX(IF((OutputTable[GroupByKey]=OutputTable[[#This Row],[GroupByKey]]),(OutputTable[GroupByKey]=OutputTable[[#This Row],[GroupByKey]])*OutputTable[RecordedValue]))</f>
        <v>0.629372102267024</v>
      </c>
    </row>
    <row r="474" spans="1:16" x14ac:dyDescent="0.25">
      <c r="A474" t="s">
        <v>67</v>
      </c>
      <c r="B474" t="s">
        <v>243</v>
      </c>
      <c r="C474">
        <v>6</v>
      </c>
      <c r="D474" t="s">
        <v>197</v>
      </c>
      <c r="E474" t="s">
        <v>152</v>
      </c>
      <c r="F474" t="s">
        <v>113</v>
      </c>
      <c r="G474">
        <v>18376</v>
      </c>
      <c r="H474">
        <v>0</v>
      </c>
      <c r="I474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474" cm="1">
        <f t="array" ref="J474">MAX(IF((ProjectInfoTable[ProjectName]=OutputTable[[#This Row],[ProjectName]]),(ProjectInfoTable[ProjectName]=OutputTable[[#This Row],[ProjectName]])*ProjectInfoTable[NumberOfReplications]))</f>
        <v>10</v>
      </c>
      <c r="K474" cm="1">
        <f t="array" ref="K474">IFERROR(AVERAGE(IF((OutputTable[GroupByKey]=OutputTable[[#This Row],[GroupByKey]]),(OutputTable[GroupByKey]=OutputTable[[#This Row],[GroupByKey]])*OutputTable[RecordedValue])),0)</f>
        <v>18392</v>
      </c>
      <c r="L474" cm="1">
        <f t="array" ref="L474">IFERROR(_xlfn.STDEV.S(IF((OutputTable[GroupByKey]=OutputTable[[#This Row],[GroupByKey]]),(OutputTable[GroupByKey]=OutputTable[[#This Row],[GroupByKey]])*OutputTable[RecordedValue])),0)</f>
        <v>12.884098726725126</v>
      </c>
      <c r="M474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474" cm="1">
        <f t="array" ref="O474">MIN(IF((OutputTable[GroupByKey]=OutputTable[[#This Row],[GroupByKey]]),(OutputTable[GroupByKey]=OutputTable[[#This Row],[GroupByKey]])*OutputTable[RecordedValue]))</f>
        <v>18376</v>
      </c>
      <c r="P474" cm="1">
        <f t="array" ref="P474">MAX(IF((OutputTable[GroupByKey]=OutputTable[[#This Row],[GroupByKey]]),(OutputTable[GroupByKey]=OutputTable[[#This Row],[GroupByKey]])*OutputTable[RecordedValue]))</f>
        <v>18407</v>
      </c>
    </row>
    <row r="475" spans="1:16" x14ac:dyDescent="0.25">
      <c r="A475" t="s">
        <v>67</v>
      </c>
      <c r="B475" t="s">
        <v>243</v>
      </c>
      <c r="C475">
        <v>6</v>
      </c>
      <c r="D475" t="s">
        <v>198</v>
      </c>
      <c r="E475" t="s">
        <v>154</v>
      </c>
      <c r="F475" t="s">
        <v>113</v>
      </c>
      <c r="G475">
        <v>0.95773186307206104</v>
      </c>
      <c r="H475">
        <v>0</v>
      </c>
      <c r="I475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475" cm="1">
        <f t="array" ref="J475">MAX(IF((ProjectInfoTable[ProjectName]=OutputTable[[#This Row],[ProjectName]]),(ProjectInfoTable[ProjectName]=OutputTable[[#This Row],[ProjectName]])*ProjectInfoTable[NumberOfReplications]))</f>
        <v>10</v>
      </c>
      <c r="K475" cm="1">
        <f t="array" ref="K475">IFERROR(AVERAGE(IF((OutputTable[GroupByKey]=OutputTable[[#This Row],[GroupByKey]]),(OutputTable[GroupByKey]=OutputTable[[#This Row],[GroupByKey]])*OutputTable[RecordedValue])),0)</f>
        <v>0.9578548406389944</v>
      </c>
      <c r="L475" cm="1">
        <f t="array" ref="L475">IFERROR(_xlfn.STDEV.S(IF((OutputTable[GroupByKey]=OutputTable[[#This Row],[GroupByKey]]),(OutputTable[GroupByKey]=OutputTable[[#This Row],[GroupByKey]])*OutputTable[RecordedValue])),0)</f>
        <v>7.0772834598480485E-4</v>
      </c>
      <c r="M47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5.0627835985142609E-4</v>
      </c>
      <c r="O475" cm="1">
        <f t="array" ref="O475">MIN(IF((OutputTable[GroupByKey]=OutputTable[[#This Row],[GroupByKey]]),(OutputTable[GroupByKey]=OutputTable[[#This Row],[GroupByKey]])*OutputTable[RecordedValue]))</f>
        <v>0.95655010461043799</v>
      </c>
      <c r="P475" cm="1">
        <f t="array" ref="P475">MAX(IF((OutputTable[GroupByKey]=OutputTable[[#This Row],[GroupByKey]]),(OutputTable[GroupByKey]=OutputTable[[#This Row],[GroupByKey]])*OutputTable[RecordedValue]))</f>
        <v>0.95869742508961697</v>
      </c>
    </row>
    <row r="476" spans="1:16" x14ac:dyDescent="0.25">
      <c r="A476" t="s">
        <v>67</v>
      </c>
      <c r="B476" t="s">
        <v>243</v>
      </c>
      <c r="C476">
        <v>6</v>
      </c>
      <c r="D476" t="s">
        <v>199</v>
      </c>
      <c r="E476" t="s">
        <v>152</v>
      </c>
      <c r="F476" t="s">
        <v>113</v>
      </c>
      <c r="G476">
        <v>18376</v>
      </c>
      <c r="H476">
        <v>0</v>
      </c>
      <c r="I476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476" cm="1">
        <f t="array" ref="J476">MAX(IF((ProjectInfoTable[ProjectName]=OutputTable[[#This Row],[ProjectName]]),(ProjectInfoTable[ProjectName]=OutputTable[[#This Row],[ProjectName]])*ProjectInfoTable[NumberOfReplications]))</f>
        <v>10</v>
      </c>
      <c r="K476" cm="1">
        <f t="array" ref="K476">IFERROR(AVERAGE(IF((OutputTable[GroupByKey]=OutputTable[[#This Row],[GroupByKey]]),(OutputTable[GroupByKey]=OutputTable[[#This Row],[GroupByKey]])*OutputTable[RecordedValue])),0)</f>
        <v>18389.400000000001</v>
      </c>
      <c r="L476" cm="1">
        <f t="array" ref="L476">IFERROR(_xlfn.STDEV.S(IF((OutputTable[GroupByKey]=OutputTable[[#This Row],[GroupByKey]]),(OutputTable[GroupByKey]=OutputTable[[#This Row],[GroupByKey]])*OutputTable[RecordedValue])),0)</f>
        <v>12.103259432437566</v>
      </c>
      <c r="M476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476" cm="1">
        <f t="array" ref="O476">MIN(IF((OutputTable[GroupByKey]=OutputTable[[#This Row],[GroupByKey]]),(OutputTable[GroupByKey]=OutputTable[[#This Row],[GroupByKey]])*OutputTable[RecordedValue]))</f>
        <v>18376</v>
      </c>
      <c r="P476" cm="1">
        <f t="array" ref="P476">MAX(IF((OutputTable[GroupByKey]=OutputTable[[#This Row],[GroupByKey]]),(OutputTable[GroupByKey]=OutputTable[[#This Row],[GroupByKey]])*OutputTable[RecordedValue]))</f>
        <v>18404</v>
      </c>
    </row>
    <row r="477" spans="1:16" x14ac:dyDescent="0.25">
      <c r="A477" t="s">
        <v>67</v>
      </c>
      <c r="B477" t="s">
        <v>243</v>
      </c>
      <c r="C477">
        <v>6</v>
      </c>
      <c r="D477" t="s">
        <v>200</v>
      </c>
      <c r="E477" t="s">
        <v>154</v>
      </c>
      <c r="F477" t="s">
        <v>113</v>
      </c>
      <c r="G477">
        <v>1.0004514759534999</v>
      </c>
      <c r="H477">
        <v>0</v>
      </c>
      <c r="I477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477" cm="1">
        <f t="array" ref="J477">MAX(IF((ProjectInfoTable[ProjectName]=OutputTable[[#This Row],[ProjectName]]),(ProjectInfoTable[ProjectName]=OutputTable[[#This Row],[ProjectName]])*ProjectInfoTable[NumberOfReplications]))</f>
        <v>10</v>
      </c>
      <c r="K477" cm="1">
        <f t="array" ref="K477">IFERROR(AVERAGE(IF((OutputTable[GroupByKey]=OutputTable[[#This Row],[GroupByKey]]),(OutputTable[GroupByKey]=OutputTable[[#This Row],[GroupByKey]])*OutputTable[RecordedValue])),0)</f>
        <v>1.0003902798422071</v>
      </c>
      <c r="L477" cm="1">
        <f t="array" ref="L477">IFERROR(_xlfn.STDEV.S(IF((OutputTable[GroupByKey]=OutputTable[[#This Row],[GroupByKey]]),(OutputTable[GroupByKey]=OutputTable[[#This Row],[GroupByKey]])*OutputTable[RecordedValue])),0)</f>
        <v>5.593555412291058E-5</v>
      </c>
      <c r="M477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4.0013884931119971E-5</v>
      </c>
      <c r="O477" cm="1">
        <f t="array" ref="O477">MIN(IF((OutputTable[GroupByKey]=OutputTable[[#This Row],[GroupByKey]]),(OutputTable[GroupByKey]=OutputTable[[#This Row],[GroupByKey]])*OutputTable[RecordedValue]))</f>
        <v>1.0003027766980599</v>
      </c>
      <c r="P477" cm="1">
        <f t="array" ref="P477">MAX(IF((OutputTable[GroupByKey]=OutputTable[[#This Row],[GroupByKey]]),(OutputTable[GroupByKey]=OutputTable[[#This Row],[GroupByKey]])*OutputTable[RecordedValue]))</f>
        <v>1.00046792437877</v>
      </c>
    </row>
    <row r="478" spans="1:16" x14ac:dyDescent="0.25">
      <c r="A478" t="s">
        <v>67</v>
      </c>
      <c r="B478" t="s">
        <v>243</v>
      </c>
      <c r="C478">
        <v>6</v>
      </c>
      <c r="D478" t="s">
        <v>201</v>
      </c>
      <c r="E478" t="s">
        <v>202</v>
      </c>
      <c r="F478" t="s">
        <v>87</v>
      </c>
      <c r="G478">
        <v>157191.09564744099</v>
      </c>
      <c r="H478">
        <v>0</v>
      </c>
      <c r="I478" t="str">
        <f>OutputTable[[#This Row],[ProjectName]]&amp;OutputTable[[#This Row],[Name]]&amp;OutputTable[[#This Row],[Type]]&amp;OutputTable[[#This Row],[Source]]</f>
        <v>Unnamed ProjectProcess 1 Accum VA TimeAccum VA TimeProcess</v>
      </c>
      <c r="J478" cm="1">
        <f t="array" ref="J478">MAX(IF((ProjectInfoTable[ProjectName]=OutputTable[[#This Row],[ProjectName]]),(ProjectInfoTable[ProjectName]=OutputTable[[#This Row],[ProjectName]])*ProjectInfoTable[NumberOfReplications]))</f>
        <v>10</v>
      </c>
      <c r="K478" cm="1">
        <f t="array" ref="K478">IFERROR(AVERAGE(IF((OutputTable[GroupByKey]=OutputTable[[#This Row],[GroupByKey]]),(OutputTable[GroupByKey]=OutputTable[[#This Row],[GroupByKey]])*OutputTable[RecordedValue])),0)</f>
        <v>157133.73428655442</v>
      </c>
      <c r="L478" cm="1">
        <f t="array" ref="L478">IFERROR(_xlfn.STDEV.S(IF((OutputTable[GroupByKey]=OutputTable[[#This Row],[GroupByKey]]),(OutputTable[GroupByKey]=OutputTable[[#This Row],[GroupByKey]])*OutputTable[RecordedValue])),0)</f>
        <v>123.15330812839177</v>
      </c>
      <c r="M478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88.098569462778244</v>
      </c>
      <c r="O478" cm="1">
        <f t="array" ref="O478">MIN(IF((OutputTable[GroupByKey]=OutputTable[[#This Row],[GroupByKey]]),(OutputTable[GroupByKey]=OutputTable[[#This Row],[GroupByKey]])*OutputTable[RecordedValue]))</f>
        <v>156930.294881654</v>
      </c>
      <c r="P478" cm="1">
        <f t="array" ref="P478">MAX(IF((OutputTable[GroupByKey]=OutputTable[[#This Row],[GroupByKey]]),(OutputTable[GroupByKey]=OutputTable[[#This Row],[GroupByKey]])*OutputTable[RecordedValue]))</f>
        <v>157303.990839153</v>
      </c>
    </row>
    <row r="479" spans="1:16" x14ac:dyDescent="0.25">
      <c r="A479" t="s">
        <v>67</v>
      </c>
      <c r="B479" t="s">
        <v>243</v>
      </c>
      <c r="C479">
        <v>6</v>
      </c>
      <c r="D479" t="s">
        <v>203</v>
      </c>
      <c r="E479" t="s">
        <v>156</v>
      </c>
      <c r="F479" t="s">
        <v>87</v>
      </c>
      <c r="G479">
        <v>13107</v>
      </c>
      <c r="H479">
        <v>0</v>
      </c>
      <c r="I479" t="str">
        <f>OutputTable[[#This Row],[ProjectName]]&amp;OutputTable[[#This Row],[Name]]&amp;OutputTable[[#This Row],[Type]]&amp;OutputTable[[#This Row],[Source]]</f>
        <v>Unnamed ProjectProcess 1 Number InNumber InProcess</v>
      </c>
      <c r="J479" cm="1">
        <f t="array" ref="J479">MAX(IF((ProjectInfoTable[ProjectName]=OutputTable[[#This Row],[ProjectName]]),(ProjectInfoTable[ProjectName]=OutputTable[[#This Row],[ProjectName]])*ProjectInfoTable[NumberOfReplications]))</f>
        <v>10</v>
      </c>
      <c r="K479" cm="1">
        <f t="array" ref="K479">IFERROR(AVERAGE(IF((OutputTable[GroupByKey]=OutputTable[[#This Row],[GroupByKey]]),(OutputTable[GroupByKey]=OutputTable[[#This Row],[GroupByKey]])*OutputTable[RecordedValue])),0)</f>
        <v>13103.5</v>
      </c>
      <c r="L479" cm="1">
        <f t="array" ref="L479">IFERROR(_xlfn.STDEV.S(IF((OutputTable[GroupByKey]=OutputTable[[#This Row],[GroupByKey]]),(OutputTable[GroupByKey]=OutputTable[[#This Row],[GroupByKey]])*OutputTable[RecordedValue])),0)</f>
        <v>11.443095929181249</v>
      </c>
      <c r="M479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479" cm="1">
        <f t="array" ref="O479">MIN(IF((OutputTable[GroupByKey]=OutputTable[[#This Row],[GroupByKey]]),(OutputTable[GroupByKey]=OutputTable[[#This Row],[GroupByKey]])*OutputTable[RecordedValue]))</f>
        <v>13087</v>
      </c>
      <c r="P479" cm="1">
        <f t="array" ref="P479">MAX(IF((OutputTable[GroupByKey]=OutputTable[[#This Row],[GroupByKey]]),(OutputTable[GroupByKey]=OutputTable[[#This Row],[GroupByKey]])*OutputTable[RecordedValue]))</f>
        <v>13120</v>
      </c>
    </row>
    <row r="480" spans="1:16" x14ac:dyDescent="0.25">
      <c r="A480" t="s">
        <v>67</v>
      </c>
      <c r="B480" t="s">
        <v>243</v>
      </c>
      <c r="C480">
        <v>6</v>
      </c>
      <c r="D480" t="s">
        <v>204</v>
      </c>
      <c r="E480" t="s">
        <v>158</v>
      </c>
      <c r="F480" t="s">
        <v>87</v>
      </c>
      <c r="G480">
        <v>13107</v>
      </c>
      <c r="H480">
        <v>0</v>
      </c>
      <c r="I480" t="str">
        <f>OutputTable[[#This Row],[ProjectName]]&amp;OutputTable[[#This Row],[Name]]&amp;OutputTable[[#This Row],[Type]]&amp;OutputTable[[#This Row],[Source]]</f>
        <v>Unnamed ProjectProcess 1 Number OutNumber OutProcess</v>
      </c>
      <c r="J480" cm="1">
        <f t="array" ref="J480">MAX(IF((ProjectInfoTable[ProjectName]=OutputTable[[#This Row],[ProjectName]]),(ProjectInfoTable[ProjectName]=OutputTable[[#This Row],[ProjectName]])*ProjectInfoTable[NumberOfReplications]))</f>
        <v>10</v>
      </c>
      <c r="K480" cm="1">
        <f t="array" ref="K480">IFERROR(AVERAGE(IF((OutputTable[GroupByKey]=OutputTable[[#This Row],[GroupByKey]]),(OutputTable[GroupByKey]=OutputTable[[#This Row],[GroupByKey]])*OutputTable[RecordedValue])),0)</f>
        <v>13103.5</v>
      </c>
      <c r="L480" cm="1">
        <f t="array" ref="L480">IFERROR(_xlfn.STDEV.S(IF((OutputTable[GroupByKey]=OutputTable[[#This Row],[GroupByKey]]),(OutputTable[GroupByKey]=OutputTable[[#This Row],[GroupByKey]])*OutputTable[RecordedValue])),0)</f>
        <v>11.443095929181249</v>
      </c>
      <c r="M480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480" cm="1">
        <f t="array" ref="O480">MIN(IF((OutputTable[GroupByKey]=OutputTable[[#This Row],[GroupByKey]]),(OutputTable[GroupByKey]=OutputTable[[#This Row],[GroupByKey]])*OutputTable[RecordedValue]))</f>
        <v>13087</v>
      </c>
      <c r="P480" cm="1">
        <f t="array" ref="P480">MAX(IF((OutputTable[GroupByKey]=OutputTable[[#This Row],[GroupByKey]]),(OutputTable[GroupByKey]=OutputTable[[#This Row],[GroupByKey]])*OutputTable[RecordedValue]))</f>
        <v>13120</v>
      </c>
    </row>
    <row r="481" spans="1:16" x14ac:dyDescent="0.25">
      <c r="A481" t="s">
        <v>67</v>
      </c>
      <c r="B481" t="s">
        <v>243</v>
      </c>
      <c r="C481">
        <v>6</v>
      </c>
      <c r="D481" t="s">
        <v>205</v>
      </c>
      <c r="E481" t="s">
        <v>202</v>
      </c>
      <c r="F481" t="s">
        <v>87</v>
      </c>
      <c r="G481">
        <v>21836.4682271454</v>
      </c>
      <c r="H481">
        <v>0</v>
      </c>
      <c r="I481" t="str">
        <f>OutputTable[[#This Row],[ProjectName]]&amp;OutputTable[[#This Row],[Name]]&amp;OutputTable[[#This Row],[Type]]&amp;OutputTable[[#This Row],[Source]]</f>
        <v>Unnamed ProjectProcess 14 Accum VA TimeAccum VA TimeProcess</v>
      </c>
      <c r="J481" cm="1">
        <f t="array" ref="J481">MAX(IF((ProjectInfoTable[ProjectName]=OutputTable[[#This Row],[ProjectName]]),(ProjectInfoTable[ProjectName]=OutputTable[[#This Row],[ProjectName]])*ProjectInfoTable[NumberOfReplications]))</f>
        <v>10</v>
      </c>
      <c r="K481" cm="1">
        <f t="array" ref="K481">IFERROR(AVERAGE(IF((OutputTable[GroupByKey]=OutputTable[[#This Row],[GroupByKey]]),(OutputTable[GroupByKey]=OutputTable[[#This Row],[GroupByKey]])*OutputTable[RecordedValue])),0)</f>
        <v>21817.897664333104</v>
      </c>
      <c r="L481" cm="1">
        <f t="array" ref="L481">IFERROR(_xlfn.STDEV.S(IF((OutputTable[GroupByKey]=OutputTable[[#This Row],[GroupByKey]]),(OutputTable[GroupByKey]=OutputTable[[#This Row],[GroupByKey]])*OutputTable[RecordedValue])),0)</f>
        <v>40.377465047897729</v>
      </c>
      <c r="M481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28.884298467602775</v>
      </c>
      <c r="O481" cm="1">
        <f t="array" ref="O481">MIN(IF((OutputTable[GroupByKey]=OutputTable[[#This Row],[GroupByKey]]),(OutputTable[GroupByKey]=OutputTable[[#This Row],[GroupByKey]])*OutputTable[RecordedValue]))</f>
        <v>21737.561928445</v>
      </c>
      <c r="P481" cm="1">
        <f t="array" ref="P481">MAX(IF((OutputTable[GroupByKey]=OutputTable[[#This Row],[GroupByKey]]),(OutputTable[GroupByKey]=OutputTable[[#This Row],[GroupByKey]])*OutputTable[RecordedValue]))</f>
        <v>21880.2668082411</v>
      </c>
    </row>
    <row r="482" spans="1:16" x14ac:dyDescent="0.25">
      <c r="A482" t="s">
        <v>67</v>
      </c>
      <c r="B482" t="s">
        <v>243</v>
      </c>
      <c r="C482">
        <v>6</v>
      </c>
      <c r="D482" t="s">
        <v>206</v>
      </c>
      <c r="E482" t="s">
        <v>156</v>
      </c>
      <c r="F482" t="s">
        <v>87</v>
      </c>
      <c r="G482">
        <v>6550</v>
      </c>
      <c r="H482">
        <v>0</v>
      </c>
      <c r="I482" t="str">
        <f>OutputTable[[#This Row],[ProjectName]]&amp;OutputTable[[#This Row],[Name]]&amp;OutputTable[[#This Row],[Type]]&amp;OutputTable[[#This Row],[Source]]</f>
        <v>Unnamed ProjectProcess 14 Number InNumber InProcess</v>
      </c>
      <c r="J482" cm="1">
        <f t="array" ref="J482">MAX(IF((ProjectInfoTable[ProjectName]=OutputTable[[#This Row],[ProjectName]]),(ProjectInfoTable[ProjectName]=OutputTable[[#This Row],[ProjectName]])*ProjectInfoTable[NumberOfReplications]))</f>
        <v>10</v>
      </c>
      <c r="K482" cm="1">
        <f t="array" ref="K482">IFERROR(AVERAGE(IF((OutputTable[GroupByKey]=OutputTable[[#This Row],[GroupByKey]]),(OutputTable[GroupByKey]=OutputTable[[#This Row],[GroupByKey]])*OutputTable[RecordedValue])),0)</f>
        <v>6547.7</v>
      </c>
      <c r="L482" cm="1">
        <f t="array" ref="L482">IFERROR(_xlfn.STDEV.S(IF((OutputTable[GroupByKey]=OutputTable[[#This Row],[GroupByKey]]),(OutputTable[GroupByKey]=OutputTable[[#This Row],[GroupByKey]])*OutputTable[RecordedValue])),0)</f>
        <v>5.735852159879995</v>
      </c>
      <c r="M482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482" cm="1">
        <f t="array" ref="O482">MIN(IF((OutputTable[GroupByKey]=OutputTable[[#This Row],[GroupByKey]]),(OutputTable[GroupByKey]=OutputTable[[#This Row],[GroupByKey]])*OutputTable[RecordedValue]))</f>
        <v>6540</v>
      </c>
      <c r="P482" cm="1">
        <f t="array" ref="P482">MAX(IF((OutputTable[GroupByKey]=OutputTable[[#This Row],[GroupByKey]]),(OutputTable[GroupByKey]=OutputTable[[#This Row],[GroupByKey]])*OutputTable[RecordedValue]))</f>
        <v>6557</v>
      </c>
    </row>
    <row r="483" spans="1:16" x14ac:dyDescent="0.25">
      <c r="A483" t="s">
        <v>67</v>
      </c>
      <c r="B483" t="s">
        <v>243</v>
      </c>
      <c r="C483">
        <v>6</v>
      </c>
      <c r="D483" t="s">
        <v>207</v>
      </c>
      <c r="E483" t="s">
        <v>158</v>
      </c>
      <c r="F483" t="s">
        <v>87</v>
      </c>
      <c r="G483">
        <v>6549</v>
      </c>
      <c r="H483">
        <v>0</v>
      </c>
      <c r="I483" t="str">
        <f>OutputTable[[#This Row],[ProjectName]]&amp;OutputTable[[#This Row],[Name]]&amp;OutputTable[[#This Row],[Type]]&amp;OutputTable[[#This Row],[Source]]</f>
        <v>Unnamed ProjectProcess 14 Number OutNumber OutProcess</v>
      </c>
      <c r="J483" cm="1">
        <f t="array" ref="J483">MAX(IF((ProjectInfoTable[ProjectName]=OutputTable[[#This Row],[ProjectName]]),(ProjectInfoTable[ProjectName]=OutputTable[[#This Row],[ProjectName]])*ProjectInfoTable[NumberOfReplications]))</f>
        <v>10</v>
      </c>
      <c r="K483" cm="1">
        <f t="array" ref="K483">IFERROR(AVERAGE(IF((OutputTable[GroupByKey]=OutputTable[[#This Row],[GroupByKey]]),(OutputTable[GroupByKey]=OutputTable[[#This Row],[GroupByKey]])*OutputTable[RecordedValue])),0)</f>
        <v>6547.3</v>
      </c>
      <c r="L483" cm="1">
        <f t="array" ref="L483">IFERROR(_xlfn.STDEV.S(IF((OutputTable[GroupByKey]=OutputTable[[#This Row],[GroupByKey]]),(OutputTable[GroupByKey]=OutputTable[[#This Row],[GroupByKey]])*OutputTable[RecordedValue])),0)</f>
        <v>5.7164480035925962</v>
      </c>
      <c r="M483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4.0893005569921828</v>
      </c>
      <c r="O483" cm="1">
        <f t="array" ref="O483">MIN(IF((OutputTable[GroupByKey]=OutputTable[[#This Row],[GroupByKey]]),(OutputTable[GroupByKey]=OutputTable[[#This Row],[GroupByKey]])*OutputTable[RecordedValue]))</f>
        <v>6539</v>
      </c>
      <c r="P483" cm="1">
        <f t="array" ref="P483">MAX(IF((OutputTable[GroupByKey]=OutputTable[[#This Row],[GroupByKey]]),(OutputTable[GroupByKey]=OutputTable[[#This Row],[GroupByKey]])*OutputTable[RecordedValue]))</f>
        <v>6556</v>
      </c>
    </row>
    <row r="484" spans="1:16" x14ac:dyDescent="0.25">
      <c r="A484" t="s">
        <v>67</v>
      </c>
      <c r="B484" t="s">
        <v>243</v>
      </c>
      <c r="C484">
        <v>6</v>
      </c>
      <c r="D484" t="s">
        <v>208</v>
      </c>
      <c r="E484" t="s">
        <v>202</v>
      </c>
      <c r="F484" t="s">
        <v>87</v>
      </c>
      <c r="G484">
        <v>78575.6151880947</v>
      </c>
      <c r="H484">
        <v>0</v>
      </c>
      <c r="I484" t="str">
        <f>OutputTable[[#This Row],[ProjectName]]&amp;OutputTable[[#This Row],[Name]]&amp;OutputTable[[#This Row],[Type]]&amp;OutputTable[[#This Row],[Source]]</f>
        <v>Unnamed ProjectProcess 2 Accum VA TimeAccum VA TimeProcess</v>
      </c>
      <c r="J484" cm="1">
        <f t="array" ref="J484">MAX(IF((ProjectInfoTable[ProjectName]=OutputTable[[#This Row],[ProjectName]]),(ProjectInfoTable[ProjectName]=OutputTable[[#This Row],[ProjectName]])*ProjectInfoTable[NumberOfReplications]))</f>
        <v>10</v>
      </c>
      <c r="K484" cm="1">
        <f t="array" ref="K484">IFERROR(AVERAGE(IF((OutputTable[GroupByKey]=OutputTable[[#This Row],[GroupByKey]]),(OutputTable[GroupByKey]=OutputTable[[#This Row],[GroupByKey]])*OutputTable[RecordedValue])),0)</f>
        <v>78656.282482549519</v>
      </c>
      <c r="L484" cm="1">
        <f t="array" ref="L484">IFERROR(_xlfn.STDEV.S(IF((OutputTable[GroupByKey]=OutputTable[[#This Row],[GroupByKey]]),(OutputTable[GroupByKey]=OutputTable[[#This Row],[GroupByKey]])*OutputTable[RecordedValue])),0)</f>
        <v>139.39621135358072</v>
      </c>
      <c r="M484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99.718042457930338</v>
      </c>
      <c r="O484" cm="1">
        <f t="array" ref="O484">MIN(IF((OutputTable[GroupByKey]=OutputTable[[#This Row],[GroupByKey]]),(OutputTable[GroupByKey]=OutputTable[[#This Row],[GroupByKey]])*OutputTable[RecordedValue]))</f>
        <v>78434.750255210005</v>
      </c>
      <c r="P484" cm="1">
        <f t="array" ref="P484">MAX(IF((OutputTable[GroupByKey]=OutputTable[[#This Row],[GroupByKey]]),(OutputTable[GroupByKey]=OutputTable[[#This Row],[GroupByKey]])*OutputTable[RecordedValue]))</f>
        <v>78879.0340749358</v>
      </c>
    </row>
    <row r="485" spans="1:16" x14ac:dyDescent="0.25">
      <c r="A485" t="s">
        <v>67</v>
      </c>
      <c r="B485" t="s">
        <v>243</v>
      </c>
      <c r="C485">
        <v>6</v>
      </c>
      <c r="D485" t="s">
        <v>209</v>
      </c>
      <c r="E485" t="s">
        <v>156</v>
      </c>
      <c r="F485" t="s">
        <v>87</v>
      </c>
      <c r="G485">
        <v>13103</v>
      </c>
      <c r="H485">
        <v>0</v>
      </c>
      <c r="I485" t="str">
        <f>OutputTable[[#This Row],[ProjectName]]&amp;OutputTable[[#This Row],[Name]]&amp;OutputTable[[#This Row],[Type]]&amp;OutputTable[[#This Row],[Source]]</f>
        <v>Unnamed ProjectProcess 2 Number InNumber InProcess</v>
      </c>
      <c r="J485" cm="1">
        <f t="array" ref="J485">MAX(IF((ProjectInfoTable[ProjectName]=OutputTable[[#This Row],[ProjectName]]),(ProjectInfoTable[ProjectName]=OutputTable[[#This Row],[ProjectName]])*ProjectInfoTable[NumberOfReplications]))</f>
        <v>10</v>
      </c>
      <c r="K485" cm="1">
        <f t="array" ref="K485">IFERROR(AVERAGE(IF((OutputTable[GroupByKey]=OutputTable[[#This Row],[GroupByKey]]),(OutputTable[GroupByKey]=OutputTable[[#This Row],[GroupByKey]])*OutputTable[RecordedValue])),0)</f>
        <v>13100.1</v>
      </c>
      <c r="L485" cm="1">
        <f t="array" ref="L485">IFERROR(_xlfn.STDEV.S(IF((OutputTable[GroupByKey]=OutputTable[[#This Row],[GroupByKey]]),(OutputTable[GroupByKey]=OutputTable[[#This Row],[GroupByKey]])*OutputTable[RecordedValue])),0)</f>
        <v>11.46443776786866</v>
      </c>
      <c r="M48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485" cm="1">
        <f t="array" ref="O485">MIN(IF((OutputTable[GroupByKey]=OutputTable[[#This Row],[GroupByKey]]),(OutputTable[GroupByKey]=OutputTable[[#This Row],[GroupByKey]])*OutputTable[RecordedValue]))</f>
        <v>13083</v>
      </c>
      <c r="P485" cm="1">
        <f t="array" ref="P485">MAX(IF((OutputTable[GroupByKey]=OutputTable[[#This Row],[GroupByKey]]),(OutputTable[GroupByKey]=OutputTable[[#This Row],[GroupByKey]])*OutputTable[RecordedValue]))</f>
        <v>13118</v>
      </c>
    </row>
    <row r="486" spans="1:16" x14ac:dyDescent="0.25">
      <c r="A486" t="s">
        <v>67</v>
      </c>
      <c r="B486" t="s">
        <v>243</v>
      </c>
      <c r="C486">
        <v>6</v>
      </c>
      <c r="D486" t="s">
        <v>210</v>
      </c>
      <c r="E486" t="s">
        <v>158</v>
      </c>
      <c r="F486" t="s">
        <v>87</v>
      </c>
      <c r="G486">
        <v>13103</v>
      </c>
      <c r="H486">
        <v>0</v>
      </c>
      <c r="I486" t="str">
        <f>OutputTable[[#This Row],[ProjectName]]&amp;OutputTable[[#This Row],[Name]]&amp;OutputTable[[#This Row],[Type]]&amp;OutputTable[[#This Row],[Source]]</f>
        <v>Unnamed ProjectProcess 2 Number OutNumber OutProcess</v>
      </c>
      <c r="J486" cm="1">
        <f t="array" ref="J486">MAX(IF((ProjectInfoTable[ProjectName]=OutputTable[[#This Row],[ProjectName]]),(ProjectInfoTable[ProjectName]=OutputTable[[#This Row],[ProjectName]])*ProjectInfoTable[NumberOfReplications]))</f>
        <v>10</v>
      </c>
      <c r="K486" cm="1">
        <f t="array" ref="K486">IFERROR(AVERAGE(IF((OutputTable[GroupByKey]=OutputTable[[#This Row],[GroupByKey]]),(OutputTable[GroupByKey]=OutputTable[[#This Row],[GroupByKey]])*OutputTable[RecordedValue])),0)</f>
        <v>13100.1</v>
      </c>
      <c r="L486" cm="1">
        <f t="array" ref="L486">IFERROR(_xlfn.STDEV.S(IF((OutputTable[GroupByKey]=OutputTable[[#This Row],[GroupByKey]]),(OutputTable[GroupByKey]=OutputTable[[#This Row],[GroupByKey]])*OutputTable[RecordedValue])),0)</f>
        <v>11.46443776786866</v>
      </c>
      <c r="M486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486" cm="1">
        <f t="array" ref="O486">MIN(IF((OutputTable[GroupByKey]=OutputTable[[#This Row],[GroupByKey]]),(OutputTable[GroupByKey]=OutputTable[[#This Row],[GroupByKey]])*OutputTable[RecordedValue]))</f>
        <v>13083</v>
      </c>
      <c r="P486" cm="1">
        <f t="array" ref="P486">MAX(IF((OutputTable[GroupByKey]=OutputTable[[#This Row],[GroupByKey]]),(OutputTable[GroupByKey]=OutputTable[[#This Row],[GroupByKey]])*OutputTable[RecordedValue]))</f>
        <v>13118</v>
      </c>
    </row>
    <row r="487" spans="1:16" x14ac:dyDescent="0.25">
      <c r="A487" t="s">
        <v>67</v>
      </c>
      <c r="B487" t="s">
        <v>243</v>
      </c>
      <c r="C487">
        <v>6</v>
      </c>
      <c r="D487" t="s">
        <v>211</v>
      </c>
      <c r="E487" t="s">
        <v>202</v>
      </c>
      <c r="F487" t="s">
        <v>87</v>
      </c>
      <c r="G487">
        <v>144121.27580189201</v>
      </c>
      <c r="H487">
        <v>0</v>
      </c>
      <c r="I487" t="str">
        <f>OutputTable[[#This Row],[ProjectName]]&amp;OutputTable[[#This Row],[Name]]&amp;OutputTable[[#This Row],[Type]]&amp;OutputTable[[#This Row],[Source]]</f>
        <v>Unnamed ProjectProcess 3 Accum VA TimeAccum VA TimeProcess</v>
      </c>
      <c r="J487" cm="1">
        <f t="array" ref="J487">MAX(IF((ProjectInfoTable[ProjectName]=OutputTable[[#This Row],[ProjectName]]),(ProjectInfoTable[ProjectName]=OutputTable[[#This Row],[ProjectName]])*ProjectInfoTable[NumberOfReplications]))</f>
        <v>10</v>
      </c>
      <c r="K487" cm="1">
        <f t="array" ref="K487">IFERROR(AVERAGE(IF((OutputTable[GroupByKey]=OutputTable[[#This Row],[GroupByKey]]),(OutputTable[GroupByKey]=OutputTable[[#This Row],[GroupByKey]])*OutputTable[RecordedValue])),0)</f>
        <v>144088.31566564049</v>
      </c>
      <c r="L487" cm="1">
        <f t="array" ref="L487">IFERROR(_xlfn.STDEV.S(IF((OutputTable[GroupByKey]=OutputTable[[#This Row],[GroupByKey]]),(OutputTable[GroupByKey]=OutputTable[[#This Row],[GroupByKey]])*OutputTable[RecordedValue])),0)</f>
        <v>147.41980686592098</v>
      </c>
      <c r="M487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105.45777691839817</v>
      </c>
      <c r="O487" cm="1">
        <f t="array" ref="O487">MIN(IF((OutputTable[GroupByKey]=OutputTable[[#This Row],[GroupByKey]]),(OutputTable[GroupByKey]=OutputTable[[#This Row],[GroupByKey]])*OutputTable[RecordedValue]))</f>
        <v>143896.696561805</v>
      </c>
      <c r="P487" cm="1">
        <f t="array" ref="P487">MAX(IF((OutputTable[GroupByKey]=OutputTable[[#This Row],[GroupByKey]]),(OutputTable[GroupByKey]=OutputTable[[#This Row],[GroupByKey]])*OutputTable[RecordedValue]))</f>
        <v>144298.22507098701</v>
      </c>
    </row>
    <row r="488" spans="1:16" x14ac:dyDescent="0.25">
      <c r="A488" t="s">
        <v>67</v>
      </c>
      <c r="B488" t="s">
        <v>243</v>
      </c>
      <c r="C488">
        <v>6</v>
      </c>
      <c r="D488" t="s">
        <v>212</v>
      </c>
      <c r="E488" t="s">
        <v>156</v>
      </c>
      <c r="F488" t="s">
        <v>87</v>
      </c>
      <c r="G488">
        <v>13103</v>
      </c>
      <c r="H488">
        <v>0</v>
      </c>
      <c r="I488" t="str">
        <f>OutputTable[[#This Row],[ProjectName]]&amp;OutputTable[[#This Row],[Name]]&amp;OutputTable[[#This Row],[Type]]&amp;OutputTable[[#This Row],[Source]]</f>
        <v>Unnamed ProjectProcess 3 Number InNumber InProcess</v>
      </c>
      <c r="J488" cm="1">
        <f t="array" ref="J488">MAX(IF((ProjectInfoTable[ProjectName]=OutputTable[[#This Row],[ProjectName]]),(ProjectInfoTable[ProjectName]=OutputTable[[#This Row],[ProjectName]])*ProjectInfoTable[NumberOfReplications]))</f>
        <v>10</v>
      </c>
      <c r="K488" cm="1">
        <f t="array" ref="K488">IFERROR(AVERAGE(IF((OutputTable[GroupByKey]=OutputTable[[#This Row],[GroupByKey]]),(OutputTable[GroupByKey]=OutputTable[[#This Row],[GroupByKey]])*OutputTable[RecordedValue])),0)</f>
        <v>13099.9</v>
      </c>
      <c r="L488" cm="1">
        <f t="array" ref="L488">IFERROR(_xlfn.STDEV.S(IF((OutputTable[GroupByKey]=OutputTable[[#This Row],[GroupByKey]]),(OutputTable[GroupByKey]=OutputTable[[#This Row],[GroupByKey]])*OutputTable[RecordedValue])),0)</f>
        <v>11.761046816598522</v>
      </c>
      <c r="M488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488" cm="1">
        <f t="array" ref="O488">MIN(IF((OutputTable[GroupByKey]=OutputTable[[#This Row],[GroupByKey]]),(OutputTable[GroupByKey]=OutputTable[[#This Row],[GroupByKey]])*OutputTable[RecordedValue]))</f>
        <v>13082</v>
      </c>
      <c r="P488" cm="1">
        <f t="array" ref="P488">MAX(IF((OutputTable[GroupByKey]=OutputTable[[#This Row],[GroupByKey]]),(OutputTable[GroupByKey]=OutputTable[[#This Row],[GroupByKey]])*OutputTable[RecordedValue]))</f>
        <v>13118</v>
      </c>
    </row>
    <row r="489" spans="1:16" x14ac:dyDescent="0.25">
      <c r="A489" t="s">
        <v>67</v>
      </c>
      <c r="B489" t="s">
        <v>243</v>
      </c>
      <c r="C489">
        <v>6</v>
      </c>
      <c r="D489" t="s">
        <v>213</v>
      </c>
      <c r="E489" t="s">
        <v>158</v>
      </c>
      <c r="F489" t="s">
        <v>87</v>
      </c>
      <c r="G489">
        <v>13103</v>
      </c>
      <c r="H489">
        <v>0</v>
      </c>
      <c r="I489" t="str">
        <f>OutputTable[[#This Row],[ProjectName]]&amp;OutputTable[[#This Row],[Name]]&amp;OutputTable[[#This Row],[Type]]&amp;OutputTable[[#This Row],[Source]]</f>
        <v>Unnamed ProjectProcess 3 Number OutNumber OutProcess</v>
      </c>
      <c r="J489" cm="1">
        <f t="array" ref="J489">MAX(IF((ProjectInfoTable[ProjectName]=OutputTable[[#This Row],[ProjectName]]),(ProjectInfoTable[ProjectName]=OutputTable[[#This Row],[ProjectName]])*ProjectInfoTable[NumberOfReplications]))</f>
        <v>10</v>
      </c>
      <c r="K489" cm="1">
        <f t="array" ref="K489">IFERROR(AVERAGE(IF((OutputTable[GroupByKey]=OutputTable[[#This Row],[GroupByKey]]),(OutputTable[GroupByKey]=OutputTable[[#This Row],[GroupByKey]])*OutputTable[RecordedValue])),0)</f>
        <v>13099.9</v>
      </c>
      <c r="L489" cm="1">
        <f t="array" ref="L489">IFERROR(_xlfn.STDEV.S(IF((OutputTable[GroupByKey]=OutputTable[[#This Row],[GroupByKey]]),(OutputTable[GroupByKey]=OutputTable[[#This Row],[GroupByKey]])*OutputTable[RecordedValue])),0)</f>
        <v>11.761046816598522</v>
      </c>
      <c r="M489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489" cm="1">
        <f t="array" ref="O489">MIN(IF((OutputTable[GroupByKey]=OutputTable[[#This Row],[GroupByKey]]),(OutputTable[GroupByKey]=OutputTable[[#This Row],[GroupByKey]])*OutputTable[RecordedValue]))</f>
        <v>13082</v>
      </c>
      <c r="P489" cm="1">
        <f t="array" ref="P489">MAX(IF((OutputTable[GroupByKey]=OutputTable[[#This Row],[GroupByKey]]),(OutputTable[GroupByKey]=OutputTable[[#This Row],[GroupByKey]])*OutputTable[RecordedValue]))</f>
        <v>13118</v>
      </c>
    </row>
    <row r="490" spans="1:16" x14ac:dyDescent="0.25">
      <c r="A490" t="s">
        <v>67</v>
      </c>
      <c r="B490" t="s">
        <v>243</v>
      </c>
      <c r="C490">
        <v>6</v>
      </c>
      <c r="D490" t="s">
        <v>214</v>
      </c>
      <c r="E490" t="s">
        <v>202</v>
      </c>
      <c r="F490" t="s">
        <v>87</v>
      </c>
      <c r="G490">
        <v>57591.928795891799</v>
      </c>
      <c r="H490">
        <v>0</v>
      </c>
      <c r="I490" t="str">
        <f>OutputTable[[#This Row],[ProjectName]]&amp;OutputTable[[#This Row],[Name]]&amp;OutputTable[[#This Row],[Type]]&amp;OutputTable[[#This Row],[Source]]</f>
        <v>Unnamed ProjectProcess 4 Accum VA TimeAccum VA TimeProcess</v>
      </c>
      <c r="J490" cm="1">
        <f t="array" ref="J490">MAX(IF((ProjectInfoTable[ProjectName]=OutputTable[[#This Row],[ProjectName]]),(ProjectInfoTable[ProjectName]=OutputTable[[#This Row],[ProjectName]])*ProjectInfoTable[NumberOfReplications]))</f>
        <v>10</v>
      </c>
      <c r="K490" cm="1">
        <f t="array" ref="K490">IFERROR(AVERAGE(IF((OutputTable[GroupByKey]=OutputTable[[#This Row],[GroupByKey]]),(OutputTable[GroupByKey]=OutputTable[[#This Row],[GroupByKey]])*OutputTable[RecordedValue])),0)</f>
        <v>57657.842851106019</v>
      </c>
      <c r="L490" cm="1">
        <f t="array" ref="L490">IFERROR(_xlfn.STDEV.S(IF((OutputTable[GroupByKey]=OutputTable[[#This Row],[GroupByKey]]),(OutputTable[GroupByKey]=OutputTable[[#This Row],[GroupByKey]])*OutputTable[RecordedValue])),0)</f>
        <v>66.206976538127805</v>
      </c>
      <c r="M490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47.361617889987492</v>
      </c>
      <c r="O490" cm="1">
        <f t="array" ref="O490">MIN(IF((OutputTable[GroupByKey]=OutputTable[[#This Row],[GroupByKey]]),(OutputTable[GroupByKey]=OutputTable[[#This Row],[GroupByKey]])*OutputTable[RecordedValue]))</f>
        <v>57569.6670912306</v>
      </c>
      <c r="P490" cm="1">
        <f t="array" ref="P490">MAX(IF((OutputTable[GroupByKey]=OutputTable[[#This Row],[GroupByKey]]),(OutputTable[GroupByKey]=OutputTable[[#This Row],[GroupByKey]])*OutputTable[RecordedValue]))</f>
        <v>57778.887305354197</v>
      </c>
    </row>
    <row r="491" spans="1:16" x14ac:dyDescent="0.25">
      <c r="A491" t="s">
        <v>67</v>
      </c>
      <c r="B491" t="s">
        <v>243</v>
      </c>
      <c r="C491">
        <v>6</v>
      </c>
      <c r="D491" t="s">
        <v>215</v>
      </c>
      <c r="E491" t="s">
        <v>156</v>
      </c>
      <c r="F491" t="s">
        <v>87</v>
      </c>
      <c r="G491">
        <v>8223</v>
      </c>
      <c r="H491">
        <v>0</v>
      </c>
      <c r="I491" t="str">
        <f>OutputTable[[#This Row],[ProjectName]]&amp;OutputTable[[#This Row],[Name]]&amp;OutputTable[[#This Row],[Type]]&amp;OutputTable[[#This Row],[Source]]</f>
        <v>Unnamed ProjectProcess 4 Number InNumber InProcess</v>
      </c>
      <c r="J491" cm="1">
        <f t="array" ref="J491">MAX(IF((ProjectInfoTable[ProjectName]=OutputTable[[#This Row],[ProjectName]]),(ProjectInfoTable[ProjectName]=OutputTable[[#This Row],[ProjectName]])*ProjectInfoTable[NumberOfReplications]))</f>
        <v>10</v>
      </c>
      <c r="K491" cm="1">
        <f t="array" ref="K491">IFERROR(AVERAGE(IF((OutputTable[GroupByKey]=OutputTable[[#This Row],[GroupByKey]]),(OutputTable[GroupByKey]=OutputTable[[#This Row],[GroupByKey]])*OutputTable[RecordedValue])),0)</f>
        <v>8235</v>
      </c>
      <c r="L491" cm="1">
        <f t="array" ref="L491">IFERROR(_xlfn.STDEV.S(IF((OutputTable[GroupByKey]=OutputTable[[#This Row],[GroupByKey]]),(OutputTable[GroupByKey]=OutputTable[[#This Row],[GroupByKey]])*OutputTable[RecordedValue])),0)</f>
        <v>6.5659052011974035</v>
      </c>
      <c r="M491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491" cm="1">
        <f t="array" ref="O491">MIN(IF((OutputTable[GroupByKey]=OutputTable[[#This Row],[GroupByKey]]),(OutputTable[GroupByKey]=OutputTable[[#This Row],[GroupByKey]])*OutputTable[RecordedValue]))</f>
        <v>8223</v>
      </c>
      <c r="P491" cm="1">
        <f t="array" ref="P491">MAX(IF((OutputTable[GroupByKey]=OutputTable[[#This Row],[GroupByKey]]),(OutputTable[GroupByKey]=OutputTable[[#This Row],[GroupByKey]])*OutputTable[RecordedValue]))</f>
        <v>8245</v>
      </c>
    </row>
    <row r="492" spans="1:16" x14ac:dyDescent="0.25">
      <c r="A492" t="s">
        <v>67</v>
      </c>
      <c r="B492" t="s">
        <v>243</v>
      </c>
      <c r="C492">
        <v>6</v>
      </c>
      <c r="D492" t="s">
        <v>216</v>
      </c>
      <c r="E492" t="s">
        <v>158</v>
      </c>
      <c r="F492" t="s">
        <v>87</v>
      </c>
      <c r="G492">
        <v>8223</v>
      </c>
      <c r="H492">
        <v>0</v>
      </c>
      <c r="I492" t="str">
        <f>OutputTable[[#This Row],[ProjectName]]&amp;OutputTable[[#This Row],[Name]]&amp;OutputTable[[#This Row],[Type]]&amp;OutputTable[[#This Row],[Source]]</f>
        <v>Unnamed ProjectProcess 4 Number OutNumber OutProcess</v>
      </c>
      <c r="J492" cm="1">
        <f t="array" ref="J492">MAX(IF((ProjectInfoTable[ProjectName]=OutputTable[[#This Row],[ProjectName]]),(ProjectInfoTable[ProjectName]=OutputTable[[#This Row],[ProjectName]])*ProjectInfoTable[NumberOfReplications]))</f>
        <v>10</v>
      </c>
      <c r="K492" cm="1">
        <f t="array" ref="K492">IFERROR(AVERAGE(IF((OutputTable[GroupByKey]=OutputTable[[#This Row],[GroupByKey]]),(OutputTable[GroupByKey]=OutputTable[[#This Row],[GroupByKey]])*OutputTable[RecordedValue])),0)</f>
        <v>8235</v>
      </c>
      <c r="L492" cm="1">
        <f t="array" ref="L492">IFERROR(_xlfn.STDEV.S(IF((OutputTable[GroupByKey]=OutputTable[[#This Row],[GroupByKey]]),(OutputTable[GroupByKey]=OutputTable[[#This Row],[GroupByKey]])*OutputTable[RecordedValue])),0)</f>
        <v>6.5659052011974035</v>
      </c>
      <c r="M492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492" cm="1">
        <f t="array" ref="O492">MIN(IF((OutputTable[GroupByKey]=OutputTable[[#This Row],[GroupByKey]]),(OutputTable[GroupByKey]=OutputTable[[#This Row],[GroupByKey]])*OutputTable[RecordedValue]))</f>
        <v>8223</v>
      </c>
      <c r="P492" cm="1">
        <f t="array" ref="P492">MAX(IF((OutputTable[GroupByKey]=OutputTable[[#This Row],[GroupByKey]]),(OutputTable[GroupByKey]=OutputTable[[#This Row],[GroupByKey]])*OutputTable[RecordedValue]))</f>
        <v>8245</v>
      </c>
    </row>
    <row r="493" spans="1:16" x14ac:dyDescent="0.25">
      <c r="A493" t="s">
        <v>67</v>
      </c>
      <c r="B493" t="s">
        <v>243</v>
      </c>
      <c r="C493">
        <v>6</v>
      </c>
      <c r="D493" t="s">
        <v>217</v>
      </c>
      <c r="E493" t="s">
        <v>202</v>
      </c>
      <c r="F493" t="s">
        <v>87</v>
      </c>
      <c r="G493">
        <v>82308.443218053799</v>
      </c>
      <c r="H493">
        <v>0</v>
      </c>
      <c r="I493" t="str">
        <f>OutputTable[[#This Row],[ProjectName]]&amp;OutputTable[[#This Row],[Name]]&amp;OutputTable[[#This Row],[Type]]&amp;OutputTable[[#This Row],[Source]]</f>
        <v>Unnamed ProjectProcess 5 Accum VA TimeAccum VA TimeProcess</v>
      </c>
      <c r="J493" cm="1">
        <f t="array" ref="J493">MAX(IF((ProjectInfoTable[ProjectName]=OutputTable[[#This Row],[ProjectName]]),(ProjectInfoTable[ProjectName]=OutputTable[[#This Row],[ProjectName]])*ProjectInfoTable[NumberOfReplications]))</f>
        <v>10</v>
      </c>
      <c r="K493" cm="1">
        <f t="array" ref="K493">IFERROR(AVERAGE(IF((OutputTable[GroupByKey]=OutputTable[[#This Row],[GroupByKey]]),(OutputTable[GroupByKey]=OutputTable[[#This Row],[GroupByKey]])*OutputTable[RecordedValue])),0)</f>
        <v>82354.925585571807</v>
      </c>
      <c r="L493" cm="1">
        <f t="array" ref="L493">IFERROR(_xlfn.STDEV.S(IF((OutputTable[GroupByKey]=OutputTable[[#This Row],[GroupByKey]]),(OutputTable[GroupByKey]=OutputTable[[#This Row],[GroupByKey]])*OutputTable[RecordedValue])),0)</f>
        <v>74.759806822996126</v>
      </c>
      <c r="M493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53.479944099863097</v>
      </c>
      <c r="O493" cm="1">
        <f t="array" ref="O493">MIN(IF((OutputTable[GroupByKey]=OutputTable[[#This Row],[GroupByKey]]),(OutputTable[GroupByKey]=OutputTable[[#This Row],[GroupByKey]])*OutputTable[RecordedValue]))</f>
        <v>82287.012858407106</v>
      </c>
      <c r="P493" cm="1">
        <f t="array" ref="P493">MAX(IF((OutputTable[GroupByKey]=OutputTable[[#This Row],[GroupByKey]]),(OutputTable[GroupByKey]=OutputTable[[#This Row],[GroupByKey]])*OutputTable[RecordedValue]))</f>
        <v>82509.9089339692</v>
      </c>
    </row>
    <row r="494" spans="1:16" x14ac:dyDescent="0.25">
      <c r="A494" t="s">
        <v>67</v>
      </c>
      <c r="B494" t="s">
        <v>243</v>
      </c>
      <c r="C494">
        <v>6</v>
      </c>
      <c r="D494" t="s">
        <v>218</v>
      </c>
      <c r="E494" t="s">
        <v>156</v>
      </c>
      <c r="F494" t="s">
        <v>87</v>
      </c>
      <c r="G494">
        <v>8221</v>
      </c>
      <c r="H494">
        <v>0</v>
      </c>
      <c r="I494" t="str">
        <f>OutputTable[[#This Row],[ProjectName]]&amp;OutputTable[[#This Row],[Name]]&amp;OutputTable[[#This Row],[Type]]&amp;OutputTable[[#This Row],[Source]]</f>
        <v>Unnamed ProjectProcess 5 Number InNumber InProcess</v>
      </c>
      <c r="J494" cm="1">
        <f t="array" ref="J494">MAX(IF((ProjectInfoTable[ProjectName]=OutputTable[[#This Row],[ProjectName]]),(ProjectInfoTable[ProjectName]=OutputTable[[#This Row],[ProjectName]])*ProjectInfoTable[NumberOfReplications]))</f>
        <v>10</v>
      </c>
      <c r="K494" cm="1">
        <f t="array" ref="K494">IFERROR(AVERAGE(IF((OutputTable[GroupByKey]=OutputTable[[#This Row],[GroupByKey]]),(OutputTable[GroupByKey]=OutputTable[[#This Row],[GroupByKey]])*OutputTable[RecordedValue])),0)</f>
        <v>8233.5</v>
      </c>
      <c r="L494" cm="1">
        <f t="array" ref="L494">IFERROR(_xlfn.STDEV.S(IF((OutputTable[GroupByKey]=OutputTable[[#This Row],[GroupByKey]]),(OutputTable[GroupByKey]=OutputTable[[#This Row],[GroupByKey]])*OutputTable[RecordedValue])),0)</f>
        <v>6.5021364010437201</v>
      </c>
      <c r="M494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494" cm="1">
        <f t="array" ref="O494">MIN(IF((OutputTable[GroupByKey]=OutputTable[[#This Row],[GroupByKey]]),(OutputTable[GroupByKey]=OutputTable[[#This Row],[GroupByKey]])*OutputTable[RecordedValue]))</f>
        <v>8221</v>
      </c>
      <c r="P494" cm="1">
        <f t="array" ref="P494">MAX(IF((OutputTable[GroupByKey]=OutputTable[[#This Row],[GroupByKey]]),(OutputTable[GroupByKey]=OutputTable[[#This Row],[GroupByKey]])*OutputTable[RecordedValue]))</f>
        <v>8243</v>
      </c>
    </row>
    <row r="495" spans="1:16" x14ac:dyDescent="0.25">
      <c r="A495" t="s">
        <v>67</v>
      </c>
      <c r="B495" t="s">
        <v>243</v>
      </c>
      <c r="C495">
        <v>6</v>
      </c>
      <c r="D495" t="s">
        <v>219</v>
      </c>
      <c r="E495" t="s">
        <v>158</v>
      </c>
      <c r="F495" t="s">
        <v>87</v>
      </c>
      <c r="G495">
        <v>8221</v>
      </c>
      <c r="H495">
        <v>0</v>
      </c>
      <c r="I495" t="str">
        <f>OutputTable[[#This Row],[ProjectName]]&amp;OutputTable[[#This Row],[Name]]&amp;OutputTable[[#This Row],[Type]]&amp;OutputTable[[#This Row],[Source]]</f>
        <v>Unnamed ProjectProcess 5 Number OutNumber OutProcess</v>
      </c>
      <c r="J495" cm="1">
        <f t="array" ref="J495">MAX(IF((ProjectInfoTable[ProjectName]=OutputTable[[#This Row],[ProjectName]]),(ProjectInfoTable[ProjectName]=OutputTable[[#This Row],[ProjectName]])*ProjectInfoTable[NumberOfReplications]))</f>
        <v>10</v>
      </c>
      <c r="K495" cm="1">
        <f t="array" ref="K495">IFERROR(AVERAGE(IF((OutputTable[GroupByKey]=OutputTable[[#This Row],[GroupByKey]]),(OutputTable[GroupByKey]=OutputTable[[#This Row],[GroupByKey]])*OutputTable[RecordedValue])),0)</f>
        <v>8233.5</v>
      </c>
      <c r="L495" cm="1">
        <f t="array" ref="L495">IFERROR(_xlfn.STDEV.S(IF((OutputTable[GroupByKey]=OutputTable[[#This Row],[GroupByKey]]),(OutputTable[GroupByKey]=OutputTable[[#This Row],[GroupByKey]])*OutputTable[RecordedValue])),0)</f>
        <v>6.5021364010437201</v>
      </c>
      <c r="M49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495" cm="1">
        <f t="array" ref="O495">MIN(IF((OutputTable[GroupByKey]=OutputTable[[#This Row],[GroupByKey]]),(OutputTable[GroupByKey]=OutputTable[[#This Row],[GroupByKey]])*OutputTable[RecordedValue]))</f>
        <v>8221</v>
      </c>
      <c r="P495" cm="1">
        <f t="array" ref="P495">MAX(IF((OutputTable[GroupByKey]=OutputTable[[#This Row],[GroupByKey]]),(OutputTable[GroupByKey]=OutputTable[[#This Row],[GroupByKey]])*OutputTable[RecordedValue]))</f>
        <v>8243</v>
      </c>
    </row>
    <row r="496" spans="1:16" x14ac:dyDescent="0.25">
      <c r="A496" t="s">
        <v>67</v>
      </c>
      <c r="B496" t="s">
        <v>243</v>
      </c>
      <c r="C496">
        <v>6</v>
      </c>
      <c r="D496" t="s">
        <v>220</v>
      </c>
      <c r="E496" t="s">
        <v>202</v>
      </c>
      <c r="F496" t="s">
        <v>87</v>
      </c>
      <c r="G496">
        <v>205962.665291818</v>
      </c>
      <c r="H496">
        <v>0</v>
      </c>
      <c r="I496" t="str">
        <f>OutputTable[[#This Row],[ProjectName]]&amp;OutputTable[[#This Row],[Name]]&amp;OutputTable[[#This Row],[Type]]&amp;OutputTable[[#This Row],[Source]]</f>
        <v>Unnamed ProjectProcess 6 Accum VA TimeAccum VA TimeProcess</v>
      </c>
      <c r="J496" cm="1">
        <f t="array" ref="J496">MAX(IF((ProjectInfoTable[ProjectName]=OutputTable[[#This Row],[ProjectName]]),(ProjectInfoTable[ProjectName]=OutputTable[[#This Row],[ProjectName]])*ProjectInfoTable[NumberOfReplications]))</f>
        <v>10</v>
      </c>
      <c r="K496" cm="1">
        <f t="array" ref="K496">IFERROR(AVERAGE(IF((OutputTable[GroupByKey]=OutputTable[[#This Row],[GroupByKey]]),(OutputTable[GroupByKey]=OutputTable[[#This Row],[GroupByKey]])*OutputTable[RecordedValue])),0)</f>
        <v>205782.3721339902</v>
      </c>
      <c r="L496" cm="1">
        <f t="array" ref="L496">IFERROR(_xlfn.STDEV.S(IF((OutputTable[GroupByKey]=OutputTable[[#This Row],[GroupByKey]]),(OutputTable[GroupByKey]=OutputTable[[#This Row],[GroupByKey]])*OutputTable[RecordedValue])),0)</f>
        <v>135.17903819323379</v>
      </c>
      <c r="M496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96.701258514002035</v>
      </c>
      <c r="O496" cm="1">
        <f t="array" ref="O496">MIN(IF((OutputTable[GroupByKey]=OutputTable[[#This Row],[GroupByKey]]),(OutputTable[GroupByKey]=OutputTable[[#This Row],[GroupByKey]])*OutputTable[RecordedValue]))</f>
        <v>205554.00796082799</v>
      </c>
      <c r="P496" cm="1">
        <f t="array" ref="P496">MAX(IF((OutputTable[GroupByKey]=OutputTable[[#This Row],[GroupByKey]]),(OutputTable[GroupByKey]=OutputTable[[#This Row],[GroupByKey]])*OutputTable[RecordedValue]))</f>
        <v>205962.665291818</v>
      </c>
    </row>
    <row r="497" spans="1:16" x14ac:dyDescent="0.25">
      <c r="A497" t="s">
        <v>67</v>
      </c>
      <c r="B497" t="s">
        <v>243</v>
      </c>
      <c r="C497">
        <v>6</v>
      </c>
      <c r="D497" t="s">
        <v>221</v>
      </c>
      <c r="E497" t="s">
        <v>156</v>
      </c>
      <c r="F497" t="s">
        <v>87</v>
      </c>
      <c r="G497">
        <v>8220</v>
      </c>
      <c r="H497">
        <v>0</v>
      </c>
      <c r="I497" t="str">
        <f>OutputTable[[#This Row],[ProjectName]]&amp;OutputTable[[#This Row],[Name]]&amp;OutputTable[[#This Row],[Type]]&amp;OutputTable[[#This Row],[Source]]</f>
        <v>Unnamed ProjectProcess 6 Number InNumber InProcess</v>
      </c>
      <c r="J497" cm="1">
        <f t="array" ref="J497">MAX(IF((ProjectInfoTable[ProjectName]=OutputTable[[#This Row],[ProjectName]]),(ProjectInfoTable[ProjectName]=OutputTable[[#This Row],[ProjectName]])*ProjectInfoTable[NumberOfReplications]))</f>
        <v>10</v>
      </c>
      <c r="K497" cm="1">
        <f t="array" ref="K497">IFERROR(AVERAGE(IF((OutputTable[GroupByKey]=OutputTable[[#This Row],[GroupByKey]]),(OutputTable[GroupByKey]=OutputTable[[#This Row],[GroupByKey]])*OutputTable[RecordedValue])),0)</f>
        <v>8231.5</v>
      </c>
      <c r="L497" cm="1">
        <f t="array" ref="L497">IFERROR(_xlfn.STDEV.S(IF((OutputTable[GroupByKey]=OutputTable[[#This Row],[GroupByKey]]),(OutputTable[GroupByKey]=OutputTable[[#This Row],[GroupByKey]])*OutputTable[RecordedValue])),0)</f>
        <v>6.3464775882199236</v>
      </c>
      <c r="M497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497" cm="1">
        <f t="array" ref="O497">MIN(IF((OutputTable[GroupByKey]=OutputTable[[#This Row],[GroupByKey]]),(OutputTable[GroupByKey]=OutputTable[[#This Row],[GroupByKey]])*OutputTable[RecordedValue]))</f>
        <v>8220</v>
      </c>
      <c r="P497" cm="1">
        <f t="array" ref="P497">MAX(IF((OutputTable[GroupByKey]=OutputTable[[#This Row],[GroupByKey]]),(OutputTable[GroupByKey]=OutputTable[[#This Row],[GroupByKey]])*OutputTable[RecordedValue]))</f>
        <v>8241</v>
      </c>
    </row>
    <row r="498" spans="1:16" x14ac:dyDescent="0.25">
      <c r="A498" t="s">
        <v>67</v>
      </c>
      <c r="B498" t="s">
        <v>243</v>
      </c>
      <c r="C498">
        <v>6</v>
      </c>
      <c r="D498" t="s">
        <v>222</v>
      </c>
      <c r="E498" t="s">
        <v>158</v>
      </c>
      <c r="F498" t="s">
        <v>87</v>
      </c>
      <c r="G498">
        <v>8220</v>
      </c>
      <c r="H498">
        <v>0</v>
      </c>
      <c r="I498" t="str">
        <f>OutputTable[[#This Row],[ProjectName]]&amp;OutputTable[[#This Row],[Name]]&amp;OutputTable[[#This Row],[Type]]&amp;OutputTable[[#This Row],[Source]]</f>
        <v>Unnamed ProjectProcess 6 Number OutNumber OutProcess</v>
      </c>
      <c r="J498" cm="1">
        <f t="array" ref="J498">MAX(IF((ProjectInfoTable[ProjectName]=OutputTable[[#This Row],[ProjectName]]),(ProjectInfoTable[ProjectName]=OutputTable[[#This Row],[ProjectName]])*ProjectInfoTable[NumberOfReplications]))</f>
        <v>10</v>
      </c>
      <c r="K498" cm="1">
        <f t="array" ref="K498">IFERROR(AVERAGE(IF((OutputTable[GroupByKey]=OutputTable[[#This Row],[GroupByKey]]),(OutputTable[GroupByKey]=OutputTable[[#This Row],[GroupByKey]])*OutputTable[RecordedValue])),0)</f>
        <v>8231.5</v>
      </c>
      <c r="L498" cm="1">
        <f t="array" ref="L498">IFERROR(_xlfn.STDEV.S(IF((OutputTable[GroupByKey]=OutputTable[[#This Row],[GroupByKey]]),(OutputTable[GroupByKey]=OutputTable[[#This Row],[GroupByKey]])*OutputTable[RecordedValue])),0)</f>
        <v>6.3464775882199236</v>
      </c>
      <c r="M498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498" cm="1">
        <f t="array" ref="O498">MIN(IF((OutputTable[GroupByKey]=OutputTable[[#This Row],[GroupByKey]]),(OutputTable[GroupByKey]=OutputTable[[#This Row],[GroupByKey]])*OutputTable[RecordedValue]))</f>
        <v>8220</v>
      </c>
      <c r="P498" cm="1">
        <f t="array" ref="P498">MAX(IF((OutputTable[GroupByKey]=OutputTable[[#This Row],[GroupByKey]]),(OutputTable[GroupByKey]=OutputTable[[#This Row],[GroupByKey]])*OutputTable[RecordedValue]))</f>
        <v>8241</v>
      </c>
    </row>
    <row r="499" spans="1:16" x14ac:dyDescent="0.25">
      <c r="A499" t="s">
        <v>67</v>
      </c>
      <c r="B499" t="s">
        <v>243</v>
      </c>
      <c r="C499">
        <v>6</v>
      </c>
      <c r="D499" t="s">
        <v>223</v>
      </c>
      <c r="E499" t="s">
        <v>202</v>
      </c>
      <c r="F499" t="s">
        <v>87</v>
      </c>
      <c r="G499">
        <v>98434.330991768598</v>
      </c>
      <c r="H499">
        <v>0</v>
      </c>
      <c r="I499" t="str">
        <f>OutputTable[[#This Row],[ProjectName]]&amp;OutputTable[[#This Row],[Name]]&amp;OutputTable[[#This Row],[Type]]&amp;OutputTable[[#This Row],[Source]]</f>
        <v>Unnamed ProjectProcess 7 Accum VA TimeAccum VA TimeProcess</v>
      </c>
      <c r="J499" cm="1">
        <f t="array" ref="J499">MAX(IF((ProjectInfoTable[ProjectName]=OutputTable[[#This Row],[ProjectName]]),(ProjectInfoTable[ProjectName]=OutputTable[[#This Row],[ProjectName]])*ProjectInfoTable[NumberOfReplications]))</f>
        <v>10</v>
      </c>
      <c r="K499" cm="1">
        <f t="array" ref="K499">IFERROR(AVERAGE(IF((OutputTable[GroupByKey]=OutputTable[[#This Row],[GroupByKey]]),(OutputTable[GroupByKey]=OutputTable[[#This Row],[GroupByKey]])*OutputTable[RecordedValue])),0)</f>
        <v>98625.180720296266</v>
      </c>
      <c r="L499" cm="1">
        <f t="array" ref="L499">IFERROR(_xlfn.STDEV.S(IF((OutputTable[GroupByKey]=OutputTable[[#This Row],[GroupByKey]]),(OutputTable[GroupByKey]=OutputTable[[#This Row],[GroupByKey]])*OutputTable[RecordedValue])),0)</f>
        <v>166.97558012409817</v>
      </c>
      <c r="M499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119.44713437023168</v>
      </c>
      <c r="O499" cm="1">
        <f t="array" ref="O499">MIN(IF((OutputTable[GroupByKey]=OutputTable[[#This Row],[GroupByKey]]),(OutputTable[GroupByKey]=OutputTable[[#This Row],[GroupByKey]])*OutputTable[RecordedValue]))</f>
        <v>98434.330991768598</v>
      </c>
      <c r="P499" cm="1">
        <f t="array" ref="P499">MAX(IF((OutputTable[GroupByKey]=OutputTable[[#This Row],[GroupByKey]]),(OutputTable[GroupByKey]=OutputTable[[#This Row],[GroupByKey]])*OutputTable[RecordedValue]))</f>
        <v>98993.883345143302</v>
      </c>
    </row>
    <row r="500" spans="1:16" x14ac:dyDescent="0.25">
      <c r="A500" t="s">
        <v>67</v>
      </c>
      <c r="B500" t="s">
        <v>243</v>
      </c>
      <c r="C500">
        <v>6</v>
      </c>
      <c r="D500" t="s">
        <v>224</v>
      </c>
      <c r="E500" t="s">
        <v>156</v>
      </c>
      <c r="F500" t="s">
        <v>87</v>
      </c>
      <c r="G500">
        <v>8216</v>
      </c>
      <c r="H500">
        <v>0</v>
      </c>
      <c r="I500" t="str">
        <f>OutputTable[[#This Row],[ProjectName]]&amp;OutputTable[[#This Row],[Name]]&amp;OutputTable[[#This Row],[Type]]&amp;OutputTable[[#This Row],[Source]]</f>
        <v>Unnamed ProjectProcess 7 Number InNumber InProcess</v>
      </c>
      <c r="J500" cm="1">
        <f t="array" ref="J500">MAX(IF((ProjectInfoTable[ProjectName]=OutputTable[[#This Row],[ProjectName]]),(ProjectInfoTable[ProjectName]=OutputTable[[#This Row],[ProjectName]])*ProjectInfoTable[NumberOfReplications]))</f>
        <v>10</v>
      </c>
      <c r="K500" cm="1">
        <f t="array" ref="K500">IFERROR(AVERAGE(IF((OutputTable[GroupByKey]=OutputTable[[#This Row],[GroupByKey]]),(OutputTable[GroupByKey]=OutputTable[[#This Row],[GroupByKey]])*OutputTable[RecordedValue])),0)</f>
        <v>8227.7000000000007</v>
      </c>
      <c r="L500" cm="1">
        <f t="array" ref="L500">IFERROR(_xlfn.STDEV.S(IF((OutputTable[GroupByKey]=OutputTable[[#This Row],[GroupByKey]]),(OutputTable[GroupByKey]=OutputTable[[#This Row],[GroupByKey]])*OutputTable[RecordedValue])),0)</f>
        <v>6.2902040242480748</v>
      </c>
      <c r="M500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500" cm="1">
        <f t="array" ref="O500">MIN(IF((OutputTable[GroupByKey]=OutputTable[[#This Row],[GroupByKey]]),(OutputTable[GroupByKey]=OutputTable[[#This Row],[GroupByKey]])*OutputTable[RecordedValue]))</f>
        <v>8216</v>
      </c>
      <c r="P500" cm="1">
        <f t="array" ref="P500">MAX(IF((OutputTable[GroupByKey]=OutputTable[[#This Row],[GroupByKey]]),(OutputTable[GroupByKey]=OutputTable[[#This Row],[GroupByKey]])*OutputTable[RecordedValue]))</f>
        <v>8237</v>
      </c>
    </row>
    <row r="501" spans="1:16" x14ac:dyDescent="0.25">
      <c r="A501" t="s">
        <v>67</v>
      </c>
      <c r="B501" t="s">
        <v>243</v>
      </c>
      <c r="C501">
        <v>6</v>
      </c>
      <c r="D501" t="s">
        <v>225</v>
      </c>
      <c r="E501" t="s">
        <v>158</v>
      </c>
      <c r="F501" t="s">
        <v>87</v>
      </c>
      <c r="G501">
        <v>8216</v>
      </c>
      <c r="H501">
        <v>0</v>
      </c>
      <c r="I501" t="str">
        <f>OutputTable[[#This Row],[ProjectName]]&amp;OutputTable[[#This Row],[Name]]&amp;OutputTable[[#This Row],[Type]]&amp;OutputTable[[#This Row],[Source]]</f>
        <v>Unnamed ProjectProcess 7 Number OutNumber OutProcess</v>
      </c>
      <c r="J501" cm="1">
        <f t="array" ref="J501">MAX(IF((ProjectInfoTable[ProjectName]=OutputTable[[#This Row],[ProjectName]]),(ProjectInfoTable[ProjectName]=OutputTable[[#This Row],[ProjectName]])*ProjectInfoTable[NumberOfReplications]))</f>
        <v>10</v>
      </c>
      <c r="K501" cm="1">
        <f t="array" ref="K501">IFERROR(AVERAGE(IF((OutputTable[GroupByKey]=OutputTable[[#This Row],[GroupByKey]]),(OutputTable[GroupByKey]=OutputTable[[#This Row],[GroupByKey]])*OutputTable[RecordedValue])),0)</f>
        <v>8227.7000000000007</v>
      </c>
      <c r="L501" cm="1">
        <f t="array" ref="L501">IFERROR(_xlfn.STDEV.S(IF((OutputTable[GroupByKey]=OutputTable[[#This Row],[GroupByKey]]),(OutputTable[GroupByKey]=OutputTable[[#This Row],[GroupByKey]])*OutputTable[RecordedValue])),0)</f>
        <v>6.2902040242480748</v>
      </c>
      <c r="M501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501" cm="1">
        <f t="array" ref="O501">MIN(IF((OutputTable[GroupByKey]=OutputTable[[#This Row],[GroupByKey]]),(OutputTable[GroupByKey]=OutputTable[[#This Row],[GroupByKey]])*OutputTable[RecordedValue]))</f>
        <v>8216</v>
      </c>
      <c r="P501" cm="1">
        <f t="array" ref="P501">MAX(IF((OutputTable[GroupByKey]=OutputTable[[#This Row],[GroupByKey]]),(OutputTable[GroupByKey]=OutputTable[[#This Row],[GroupByKey]])*OutputTable[RecordedValue]))</f>
        <v>8237</v>
      </c>
    </row>
    <row r="502" spans="1:16" x14ac:dyDescent="0.25">
      <c r="A502" t="s">
        <v>67</v>
      </c>
      <c r="B502" t="s">
        <v>243</v>
      </c>
      <c r="C502">
        <v>6</v>
      </c>
      <c r="D502" t="s">
        <v>226</v>
      </c>
      <c r="E502" t="s">
        <v>202</v>
      </c>
      <c r="F502" t="s">
        <v>87</v>
      </c>
      <c r="G502">
        <v>91818.172838960294</v>
      </c>
      <c r="H502">
        <v>0</v>
      </c>
      <c r="I502" t="str">
        <f>OutputTable[[#This Row],[ProjectName]]&amp;OutputTable[[#This Row],[Name]]&amp;OutputTable[[#This Row],[Type]]&amp;OutputTable[[#This Row],[Source]]</f>
        <v>Unnamed ProjectProcess 8 Accum VA TimeAccum VA TimeProcess</v>
      </c>
      <c r="J502" cm="1">
        <f t="array" ref="J502">MAX(IF((ProjectInfoTable[ProjectName]=OutputTable[[#This Row],[ProjectName]]),(ProjectInfoTable[ProjectName]=OutputTable[[#This Row],[ProjectName]])*ProjectInfoTable[NumberOfReplications]))</f>
        <v>10</v>
      </c>
      <c r="K502" cm="1">
        <f t="array" ref="K502">IFERROR(AVERAGE(IF((OutputTable[GroupByKey]=OutputTable[[#This Row],[GroupByKey]]),(OutputTable[GroupByKey]=OutputTable[[#This Row],[GroupByKey]])*OutputTable[RecordedValue])),0)</f>
        <v>91917.034029149756</v>
      </c>
      <c r="L502" cm="1">
        <f t="array" ref="L502">IFERROR(_xlfn.STDEV.S(IF((OutputTable[GroupByKey]=OutputTable[[#This Row],[GroupByKey]]),(OutputTable[GroupByKey]=OutputTable[[#This Row],[GroupByKey]])*OutputTable[RecordedValue])),0)</f>
        <v>167.33037075092571</v>
      </c>
      <c r="M502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119.70093629530641</v>
      </c>
      <c r="O502" cm="1">
        <f t="array" ref="O502">MIN(IF((OutputTable[GroupByKey]=OutputTable[[#This Row],[GroupByKey]]),(OutputTable[GroupByKey]=OutputTable[[#This Row],[GroupByKey]])*OutputTable[RecordedValue]))</f>
        <v>91632.276670136605</v>
      </c>
      <c r="P502" cm="1">
        <f t="array" ref="P502">MAX(IF((OutputTable[GroupByKey]=OutputTable[[#This Row],[GroupByKey]]),(OutputTable[GroupByKey]=OutputTable[[#This Row],[GroupByKey]])*OutputTable[RecordedValue]))</f>
        <v>92162.594279262106</v>
      </c>
    </row>
    <row r="503" spans="1:16" x14ac:dyDescent="0.25">
      <c r="A503" t="s">
        <v>67</v>
      </c>
      <c r="B503" t="s">
        <v>243</v>
      </c>
      <c r="C503">
        <v>6</v>
      </c>
      <c r="D503" t="s">
        <v>227</v>
      </c>
      <c r="E503" t="s">
        <v>156</v>
      </c>
      <c r="F503" t="s">
        <v>87</v>
      </c>
      <c r="G503">
        <v>18376</v>
      </c>
      <c r="H503">
        <v>0</v>
      </c>
      <c r="I503" t="str">
        <f>OutputTable[[#This Row],[ProjectName]]&amp;OutputTable[[#This Row],[Name]]&amp;OutputTable[[#This Row],[Type]]&amp;OutputTable[[#This Row],[Source]]</f>
        <v>Unnamed ProjectProcess 8 Number InNumber InProcess</v>
      </c>
      <c r="J503" cm="1">
        <f t="array" ref="J503">MAX(IF((ProjectInfoTable[ProjectName]=OutputTable[[#This Row],[ProjectName]]),(ProjectInfoTable[ProjectName]=OutputTable[[#This Row],[ProjectName]])*ProjectInfoTable[NumberOfReplications]))</f>
        <v>10</v>
      </c>
      <c r="K503" cm="1">
        <f t="array" ref="K503">IFERROR(AVERAGE(IF((OutputTable[GroupByKey]=OutputTable[[#This Row],[GroupByKey]]),(OutputTable[GroupByKey]=OutputTable[[#This Row],[GroupByKey]])*OutputTable[RecordedValue])),0)</f>
        <v>18392</v>
      </c>
      <c r="L503" cm="1">
        <f t="array" ref="L503">IFERROR(_xlfn.STDEV.S(IF((OutputTable[GroupByKey]=OutputTable[[#This Row],[GroupByKey]]),(OutputTable[GroupByKey]=OutputTable[[#This Row],[GroupByKey]])*OutputTable[RecordedValue])),0)</f>
        <v>12.884098726725126</v>
      </c>
      <c r="M503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503" cm="1">
        <f t="array" ref="O503">MIN(IF((OutputTable[GroupByKey]=OutputTable[[#This Row],[GroupByKey]]),(OutputTable[GroupByKey]=OutputTable[[#This Row],[GroupByKey]])*OutputTable[RecordedValue]))</f>
        <v>18376</v>
      </c>
      <c r="P503" cm="1">
        <f t="array" ref="P503">MAX(IF((OutputTable[GroupByKey]=OutputTable[[#This Row],[GroupByKey]]),(OutputTable[GroupByKey]=OutputTable[[#This Row],[GroupByKey]])*OutputTable[RecordedValue]))</f>
        <v>18407</v>
      </c>
    </row>
    <row r="504" spans="1:16" x14ac:dyDescent="0.25">
      <c r="A504" t="s">
        <v>67</v>
      </c>
      <c r="B504" t="s">
        <v>243</v>
      </c>
      <c r="C504">
        <v>6</v>
      </c>
      <c r="D504" t="s">
        <v>228</v>
      </c>
      <c r="E504" t="s">
        <v>158</v>
      </c>
      <c r="F504" t="s">
        <v>87</v>
      </c>
      <c r="G504">
        <v>18376</v>
      </c>
      <c r="H504">
        <v>0</v>
      </c>
      <c r="I504" t="str">
        <f>OutputTable[[#This Row],[ProjectName]]&amp;OutputTable[[#This Row],[Name]]&amp;OutputTable[[#This Row],[Type]]&amp;OutputTable[[#This Row],[Source]]</f>
        <v>Unnamed ProjectProcess 8 Number OutNumber OutProcess</v>
      </c>
      <c r="J504" cm="1">
        <f t="array" ref="J504">MAX(IF((ProjectInfoTable[ProjectName]=OutputTable[[#This Row],[ProjectName]]),(ProjectInfoTable[ProjectName]=OutputTable[[#This Row],[ProjectName]])*ProjectInfoTable[NumberOfReplications]))</f>
        <v>10</v>
      </c>
      <c r="K504" cm="1">
        <f t="array" ref="K504">IFERROR(AVERAGE(IF((OutputTable[GroupByKey]=OutputTable[[#This Row],[GroupByKey]]),(OutputTable[GroupByKey]=OutputTable[[#This Row],[GroupByKey]])*OutputTable[RecordedValue])),0)</f>
        <v>18392</v>
      </c>
      <c r="L504" cm="1">
        <f t="array" ref="L504">IFERROR(_xlfn.STDEV.S(IF((OutputTable[GroupByKey]=OutputTable[[#This Row],[GroupByKey]]),(OutputTable[GroupByKey]=OutputTable[[#This Row],[GroupByKey]])*OutputTable[RecordedValue])),0)</f>
        <v>12.884098726725126</v>
      </c>
      <c r="M504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504" cm="1">
        <f t="array" ref="O504">MIN(IF((OutputTable[GroupByKey]=OutputTable[[#This Row],[GroupByKey]]),(OutputTable[GroupByKey]=OutputTable[[#This Row],[GroupByKey]])*OutputTable[RecordedValue]))</f>
        <v>18376</v>
      </c>
      <c r="P504" cm="1">
        <f t="array" ref="P504">MAX(IF((OutputTable[GroupByKey]=OutputTable[[#This Row],[GroupByKey]]),(OutputTable[GroupByKey]=OutputTable[[#This Row],[GroupByKey]])*OutputTable[RecordedValue]))</f>
        <v>18407</v>
      </c>
    </row>
    <row r="505" spans="1:16" x14ac:dyDescent="0.25">
      <c r="A505" t="s">
        <v>67</v>
      </c>
      <c r="B505" t="s">
        <v>243</v>
      </c>
      <c r="C505">
        <v>6</v>
      </c>
      <c r="D505" t="s">
        <v>229</v>
      </c>
      <c r="E505" t="s">
        <v>202</v>
      </c>
      <c r="F505" t="s">
        <v>87</v>
      </c>
      <c r="G505">
        <v>104278.360238451</v>
      </c>
      <c r="H505">
        <v>0</v>
      </c>
      <c r="I505" t="str">
        <f>OutputTable[[#This Row],[ProjectName]]&amp;OutputTable[[#This Row],[Name]]&amp;OutputTable[[#This Row],[Type]]&amp;OutputTable[[#This Row],[Source]]</f>
        <v>Unnamed ProjectProcess 9 Accum VA TimeAccum VA TimeProcess</v>
      </c>
      <c r="J505" cm="1">
        <f t="array" ref="J505">MAX(IF((ProjectInfoTable[ProjectName]=OutputTable[[#This Row],[ProjectName]]),(ProjectInfoTable[ProjectName]=OutputTable[[#This Row],[ProjectName]])*ProjectInfoTable[NumberOfReplications]))</f>
        <v>10</v>
      </c>
      <c r="K505" cm="1">
        <f t="array" ref="K505">IFERROR(AVERAGE(IF((OutputTable[GroupByKey]=OutputTable[[#This Row],[GroupByKey]]),(OutputTable[GroupByKey]=OutputTable[[#This Row],[GroupByKey]])*OutputTable[RecordedValue])),0)</f>
        <v>104198.44406523299</v>
      </c>
      <c r="L505" cm="1">
        <f t="array" ref="L505">IFERROR(_xlfn.STDEV.S(IF((OutputTable[GroupByKey]=OutputTable[[#This Row],[GroupByKey]]),(OutputTable[GroupByKey]=OutputTable[[#This Row],[GroupByKey]])*OutputTable[RecordedValue])),0)</f>
        <v>99.045608472383734</v>
      </c>
      <c r="M50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70.852960026786278</v>
      </c>
      <c r="O505" cm="1">
        <f t="array" ref="O505">MIN(IF((OutputTable[GroupByKey]=OutputTable[[#This Row],[GroupByKey]]),(OutputTable[GroupByKey]=OutputTable[[#This Row],[GroupByKey]])*OutputTable[RecordedValue]))</f>
        <v>104039.320720244</v>
      </c>
      <c r="P505" cm="1">
        <f t="array" ref="P505">MAX(IF((OutputTable[GroupByKey]=OutputTable[[#This Row],[GroupByKey]]),(OutputTable[GroupByKey]=OutputTable[[#This Row],[GroupByKey]])*OutputTable[RecordedValue]))</f>
        <v>104335.096217932</v>
      </c>
    </row>
    <row r="506" spans="1:16" x14ac:dyDescent="0.25">
      <c r="A506" t="s">
        <v>67</v>
      </c>
      <c r="B506" t="s">
        <v>243</v>
      </c>
      <c r="C506">
        <v>6</v>
      </c>
      <c r="D506" t="s">
        <v>230</v>
      </c>
      <c r="E506" t="s">
        <v>156</v>
      </c>
      <c r="F506" t="s">
        <v>87</v>
      </c>
      <c r="G506">
        <v>18376</v>
      </c>
      <c r="H506">
        <v>0</v>
      </c>
      <c r="I506" t="str">
        <f>OutputTable[[#This Row],[ProjectName]]&amp;OutputTable[[#This Row],[Name]]&amp;OutputTable[[#This Row],[Type]]&amp;OutputTable[[#This Row],[Source]]</f>
        <v>Unnamed ProjectProcess 9 Number InNumber InProcess</v>
      </c>
      <c r="J506" cm="1">
        <f t="array" ref="J506">MAX(IF((ProjectInfoTable[ProjectName]=OutputTable[[#This Row],[ProjectName]]),(ProjectInfoTable[ProjectName]=OutputTable[[#This Row],[ProjectName]])*ProjectInfoTable[NumberOfReplications]))</f>
        <v>10</v>
      </c>
      <c r="K506" cm="1">
        <f t="array" ref="K506">IFERROR(AVERAGE(IF((OutputTable[GroupByKey]=OutputTable[[#This Row],[GroupByKey]]),(OutputTable[GroupByKey]=OutputTable[[#This Row],[GroupByKey]])*OutputTable[RecordedValue])),0)</f>
        <v>18389.400000000001</v>
      </c>
      <c r="L506" cm="1">
        <f t="array" ref="L506">IFERROR(_xlfn.STDEV.S(IF((OutputTable[GroupByKey]=OutputTable[[#This Row],[GroupByKey]]),(OutputTable[GroupByKey]=OutputTable[[#This Row],[GroupByKey]])*OutputTable[RecordedValue])),0)</f>
        <v>12.103259432437566</v>
      </c>
      <c r="M506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506" cm="1">
        <f t="array" ref="O506">MIN(IF((OutputTable[GroupByKey]=OutputTable[[#This Row],[GroupByKey]]),(OutputTable[GroupByKey]=OutputTable[[#This Row],[GroupByKey]])*OutputTable[RecordedValue]))</f>
        <v>18376</v>
      </c>
      <c r="P506" cm="1">
        <f t="array" ref="P506">MAX(IF((OutputTable[GroupByKey]=OutputTable[[#This Row],[GroupByKey]]),(OutputTable[GroupByKey]=OutputTable[[#This Row],[GroupByKey]])*OutputTable[RecordedValue]))</f>
        <v>18404</v>
      </c>
    </row>
    <row r="507" spans="1:16" x14ac:dyDescent="0.25">
      <c r="A507" t="s">
        <v>67</v>
      </c>
      <c r="B507" t="s">
        <v>243</v>
      </c>
      <c r="C507">
        <v>6</v>
      </c>
      <c r="D507" t="s">
        <v>231</v>
      </c>
      <c r="E507" t="s">
        <v>158</v>
      </c>
      <c r="F507" t="s">
        <v>87</v>
      </c>
      <c r="G507">
        <v>18376</v>
      </c>
      <c r="H507">
        <v>0</v>
      </c>
      <c r="I507" t="str">
        <f>OutputTable[[#This Row],[ProjectName]]&amp;OutputTable[[#This Row],[Name]]&amp;OutputTable[[#This Row],[Type]]&amp;OutputTable[[#This Row],[Source]]</f>
        <v>Unnamed ProjectProcess 9 Number OutNumber OutProcess</v>
      </c>
      <c r="J507" cm="1">
        <f t="array" ref="J507">MAX(IF((ProjectInfoTable[ProjectName]=OutputTable[[#This Row],[ProjectName]]),(ProjectInfoTable[ProjectName]=OutputTable[[#This Row],[ProjectName]])*ProjectInfoTable[NumberOfReplications]))</f>
        <v>10</v>
      </c>
      <c r="K507" cm="1">
        <f t="array" ref="K507">IFERROR(AVERAGE(IF((OutputTable[GroupByKey]=OutputTable[[#This Row],[GroupByKey]]),(OutputTable[GroupByKey]=OutputTable[[#This Row],[GroupByKey]])*OutputTable[RecordedValue])),0)</f>
        <v>18389.400000000001</v>
      </c>
      <c r="L507" cm="1">
        <f t="array" ref="L507">IFERROR(_xlfn.STDEV.S(IF((OutputTable[GroupByKey]=OutputTable[[#This Row],[GroupByKey]]),(OutputTable[GroupByKey]=OutputTable[[#This Row],[GroupByKey]])*OutputTable[RecordedValue])),0)</f>
        <v>12.103259432437566</v>
      </c>
      <c r="M507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507" cm="1">
        <f t="array" ref="O507">MIN(IF((OutputTable[GroupByKey]=OutputTable[[#This Row],[GroupByKey]]),(OutputTable[GroupByKey]=OutputTable[[#This Row],[GroupByKey]])*OutputTable[RecordedValue]))</f>
        <v>18376</v>
      </c>
      <c r="P507" cm="1">
        <f t="array" ref="P507">MAX(IF((OutputTable[GroupByKey]=OutputTable[[#This Row],[GroupByKey]]),(OutputTable[GroupByKey]=OutputTable[[#This Row],[GroupByKey]])*OutputTable[RecordedValue]))</f>
        <v>18404</v>
      </c>
    </row>
    <row r="508" spans="1:16" x14ac:dyDescent="0.25">
      <c r="A508" t="s">
        <v>67</v>
      </c>
      <c r="B508" t="s">
        <v>243</v>
      </c>
      <c r="C508">
        <v>6</v>
      </c>
      <c r="D508" t="s">
        <v>232</v>
      </c>
      <c r="E508" t="s">
        <v>152</v>
      </c>
      <c r="F508" t="s">
        <v>113</v>
      </c>
      <c r="G508">
        <v>0</v>
      </c>
      <c r="H508">
        <v>0</v>
      </c>
      <c r="I508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508" cm="1">
        <f t="array" ref="J508">MAX(IF((ProjectInfoTable[ProjectName]=OutputTable[[#This Row],[ProjectName]]),(ProjectInfoTable[ProjectName]=OutputTable[[#This Row],[ProjectName]])*ProjectInfoTable[NumberOfReplications]))</f>
        <v>10</v>
      </c>
      <c r="K508" cm="1">
        <f t="array" ref="K508">IFERROR(AVERAGE(IF((OutputTable[GroupByKey]=OutputTable[[#This Row],[GroupByKey]]),(OutputTable[GroupByKey]=OutputTable[[#This Row],[GroupByKey]])*OutputTable[RecordedValue])),0)</f>
        <v>0</v>
      </c>
      <c r="L508" cm="1">
        <f t="array" ref="L508">IFERROR(_xlfn.STDEV.S(IF((OutputTable[GroupByKey]=OutputTable[[#This Row],[GroupByKey]]),(OutputTable[GroupByKey]=OutputTable[[#This Row],[GroupByKey]])*OutputTable[RecordedValue])),0)</f>
        <v>0</v>
      </c>
      <c r="M508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8" cm="1">
        <f t="array" ref="O508">MIN(IF((OutputTable[GroupByKey]=OutputTable[[#This Row],[GroupByKey]]),(OutputTable[GroupByKey]=OutputTable[[#This Row],[GroupByKey]])*OutputTable[RecordedValue]))</f>
        <v>0</v>
      </c>
      <c r="P508" cm="1">
        <f t="array" ref="P508">MAX(IF((OutputTable[GroupByKey]=OutputTable[[#This Row],[GroupByKey]]),(OutputTable[GroupByKey]=OutputTable[[#This Row],[GroupByKey]])*OutputTable[RecordedValue]))</f>
        <v>0</v>
      </c>
    </row>
    <row r="509" spans="1:16" x14ac:dyDescent="0.25">
      <c r="A509" t="s">
        <v>67</v>
      </c>
      <c r="B509" t="s">
        <v>243</v>
      </c>
      <c r="C509">
        <v>6</v>
      </c>
      <c r="D509" t="s">
        <v>233</v>
      </c>
      <c r="E509" t="s">
        <v>154</v>
      </c>
      <c r="F509" t="s">
        <v>113</v>
      </c>
      <c r="G509">
        <v>0</v>
      </c>
      <c r="H509">
        <v>0</v>
      </c>
      <c r="I509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509" cm="1">
        <f t="array" ref="J509">MAX(IF((ProjectInfoTable[ProjectName]=OutputTable[[#This Row],[ProjectName]]),(ProjectInfoTable[ProjectName]=OutputTable[[#This Row],[ProjectName]])*ProjectInfoTable[NumberOfReplications]))</f>
        <v>10</v>
      </c>
      <c r="K509" cm="1">
        <f t="array" ref="K509">IFERROR(AVERAGE(IF((OutputTable[GroupByKey]=OutputTable[[#This Row],[GroupByKey]]),(OutputTable[GroupByKey]=OutputTable[[#This Row],[GroupByKey]])*OutputTable[RecordedValue])),0)</f>
        <v>0</v>
      </c>
      <c r="L509" cm="1">
        <f t="array" ref="L509">IFERROR(_xlfn.STDEV.S(IF((OutputTable[GroupByKey]=OutputTable[[#This Row],[GroupByKey]]),(OutputTable[GroupByKey]=OutputTable[[#This Row],[GroupByKey]])*OutputTable[RecordedValue])),0)</f>
        <v>0</v>
      </c>
      <c r="M509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9" cm="1">
        <f t="array" ref="O509">MIN(IF((OutputTable[GroupByKey]=OutputTable[[#This Row],[GroupByKey]]),(OutputTable[GroupByKey]=OutputTable[[#This Row],[GroupByKey]])*OutputTable[RecordedValue]))</f>
        <v>0</v>
      </c>
      <c r="P509" cm="1">
        <f t="array" ref="P509">MAX(IF((OutputTable[GroupByKey]=OutputTable[[#This Row],[GroupByKey]]),(OutputTable[GroupByKey]=OutputTable[[#This Row],[GroupByKey]])*OutputTable[RecordedValue]))</f>
        <v>0</v>
      </c>
    </row>
    <row r="510" spans="1:16" x14ac:dyDescent="0.25">
      <c r="A510" t="s">
        <v>67</v>
      </c>
      <c r="B510" t="s">
        <v>243</v>
      </c>
      <c r="C510">
        <v>6</v>
      </c>
      <c r="D510" t="s">
        <v>234</v>
      </c>
      <c r="E510" t="s">
        <v>152</v>
      </c>
      <c r="F510" t="s">
        <v>113</v>
      </c>
      <c r="G510">
        <v>129</v>
      </c>
      <c r="H510">
        <v>0</v>
      </c>
      <c r="I510" t="str">
        <f>OutputTable[[#This Row],[ProjectName]]&amp;OutputTable[[#This Row],[Name]]&amp;OutputTable[[#This Row],[Type]]&amp;OutputTable[[#This Row],[Source]]</f>
        <v>Unnamed ProjectSales Rep.NumberSeizedTotal Number SeizedResource</v>
      </c>
      <c r="J510" cm="1">
        <f t="array" ref="J510">MAX(IF((ProjectInfoTable[ProjectName]=OutputTable[[#This Row],[ProjectName]]),(ProjectInfoTable[ProjectName]=OutputTable[[#This Row],[ProjectName]])*ProjectInfoTable[NumberOfReplications]))</f>
        <v>10</v>
      </c>
      <c r="K510" cm="1">
        <f t="array" ref="K510">IFERROR(AVERAGE(IF((OutputTable[GroupByKey]=OutputTable[[#This Row],[GroupByKey]]),(OutputTable[GroupByKey]=OutputTable[[#This Row],[GroupByKey]])*OutputTable[RecordedValue])),0)</f>
        <v>118.7</v>
      </c>
      <c r="L510" cm="1">
        <f t="array" ref="L510">IFERROR(_xlfn.STDEV.S(IF((OutputTable[GroupByKey]=OutputTable[[#This Row],[GroupByKey]]),(OutputTable[GroupByKey]=OutputTable[[#This Row],[GroupByKey]])*OutputTable[RecordedValue])),0)</f>
        <v>12.587913073879887</v>
      </c>
      <c r="M510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510" cm="1">
        <f t="array" ref="O510">MIN(IF((OutputTable[GroupByKey]=OutputTable[[#This Row],[GroupByKey]]),(OutputTable[GroupByKey]=OutputTable[[#This Row],[GroupByKey]])*OutputTable[RecordedValue]))</f>
        <v>95</v>
      </c>
      <c r="P510" cm="1">
        <f t="array" ref="P510">MAX(IF((OutputTable[GroupByKey]=OutputTable[[#This Row],[GroupByKey]]),(OutputTable[GroupByKey]=OutputTable[[#This Row],[GroupByKey]])*OutputTable[RecordedValue]))</f>
        <v>141</v>
      </c>
    </row>
    <row r="511" spans="1:16" x14ac:dyDescent="0.25">
      <c r="A511" t="s">
        <v>67</v>
      </c>
      <c r="B511" t="s">
        <v>243</v>
      </c>
      <c r="C511">
        <v>6</v>
      </c>
      <c r="D511" t="s">
        <v>235</v>
      </c>
      <c r="E511" t="s">
        <v>154</v>
      </c>
      <c r="F511" t="s">
        <v>113</v>
      </c>
      <c r="G511">
        <v>0.36088783142915698</v>
      </c>
      <c r="H511">
        <v>0</v>
      </c>
      <c r="I511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511" cm="1">
        <f t="array" ref="J511">MAX(IF((ProjectInfoTable[ProjectName]=OutputTable[[#This Row],[ProjectName]]),(ProjectInfoTable[ProjectName]=OutputTable[[#This Row],[ProjectName]])*ProjectInfoTable[NumberOfReplications]))</f>
        <v>10</v>
      </c>
      <c r="K511" cm="1">
        <f t="array" ref="K511">IFERROR(AVERAGE(IF((OutputTable[GroupByKey]=OutputTable[[#This Row],[GroupByKey]]),(OutputTable[GroupByKey]=OutputTable[[#This Row],[GroupByKey]])*OutputTable[RecordedValue])),0)</f>
        <v>0.3273551167875815</v>
      </c>
      <c r="L511" cm="1">
        <f t="array" ref="L511">IFERROR(_xlfn.STDEV.S(IF((OutputTable[GroupByKey]=OutputTable[[#This Row],[GroupByKey]]),(OutputTable[GroupByKey]=OutputTable[[#This Row],[GroupByKey]])*OutputTable[RecordedValue])),0)</f>
        <v>3.5172818533154994E-2</v>
      </c>
      <c r="M511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2.5161118640145405E-2</v>
      </c>
      <c r="O511" cm="1">
        <f t="array" ref="O511">MIN(IF((OutputTable[GroupByKey]=OutputTable[[#This Row],[GroupByKey]]),(OutputTable[GroupByKey]=OutputTable[[#This Row],[GroupByKey]])*OutputTable[RecordedValue]))</f>
        <v>0.26933581669894202</v>
      </c>
      <c r="P511" cm="1">
        <f t="array" ref="P511">MAX(IF((OutputTable[GroupByKey]=OutputTable[[#This Row],[GroupByKey]]),(OutputTable[GroupByKey]=OutputTable[[#This Row],[GroupByKey]])*OutputTable[RecordedValue]))</f>
        <v>0.39321867243708603</v>
      </c>
    </row>
    <row r="512" spans="1:16" x14ac:dyDescent="0.25">
      <c r="A512" t="s">
        <v>67</v>
      </c>
      <c r="B512" t="s">
        <v>243</v>
      </c>
      <c r="C512">
        <v>6</v>
      </c>
      <c r="D512" t="s">
        <v>236</v>
      </c>
      <c r="E512" t="s">
        <v>158</v>
      </c>
      <c r="F512" t="s">
        <v>150</v>
      </c>
      <c r="G512">
        <v>2534</v>
      </c>
      <c r="H512">
        <v>0</v>
      </c>
      <c r="I512" t="str">
        <f>OutputTable[[#This Row],[ProjectName]]&amp;OutputTable[[#This Row],[Name]]&amp;OutputTable[[#This Row],[Type]]&amp;OutputTable[[#This Row],[Source]]</f>
        <v>Unnamed ProjectSystem.NumberOutNumber OutSystem</v>
      </c>
      <c r="J512" cm="1">
        <f t="array" ref="J512">MAX(IF((ProjectInfoTable[ProjectName]=OutputTable[[#This Row],[ProjectName]]),(ProjectInfoTable[ProjectName]=OutputTable[[#This Row],[ProjectName]])*ProjectInfoTable[NumberOfReplications]))</f>
        <v>10</v>
      </c>
      <c r="K512" cm="1">
        <f t="array" ref="K512">IFERROR(AVERAGE(IF((OutputTable[GroupByKey]=OutputTable[[#This Row],[GroupByKey]]),(OutputTable[GroupByKey]=OutputTable[[#This Row],[GroupByKey]])*OutputTable[RecordedValue])),0)</f>
        <v>2503.1</v>
      </c>
      <c r="L512" cm="1">
        <f t="array" ref="L512">IFERROR(_xlfn.STDEV.S(IF((OutputTable[GroupByKey]=OutputTable[[#This Row],[GroupByKey]]),(OutputTable[GroupByKey]=OutputTable[[#This Row],[GroupByKey]])*OutputTable[RecordedValue])),0)</f>
        <v>29.72260643573059</v>
      </c>
      <c r="M512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21.262271777248003</v>
      </c>
      <c r="O512" cm="1">
        <f t="array" ref="O512">MIN(IF((OutputTable[GroupByKey]=OutputTable[[#This Row],[GroupByKey]]),(OutputTable[GroupByKey]=OutputTable[[#This Row],[GroupByKey]])*OutputTable[RecordedValue]))</f>
        <v>2457</v>
      </c>
      <c r="P512" cm="1">
        <f t="array" ref="P512">MAX(IF((OutputTable[GroupByKey]=OutputTable[[#This Row],[GroupByKey]]),(OutputTable[GroupByKey]=OutputTable[[#This Row],[GroupByKey]])*OutputTable[RecordedValue]))</f>
        <v>2546</v>
      </c>
    </row>
    <row r="513" spans="1:16" x14ac:dyDescent="0.25">
      <c r="A513" t="s">
        <v>67</v>
      </c>
      <c r="B513" t="s">
        <v>243</v>
      </c>
      <c r="C513">
        <v>6</v>
      </c>
      <c r="D513" t="s">
        <v>237</v>
      </c>
      <c r="E513" t="s">
        <v>156</v>
      </c>
      <c r="F513" t="s">
        <v>76</v>
      </c>
      <c r="G513">
        <v>7839</v>
      </c>
      <c r="H513">
        <v>0</v>
      </c>
      <c r="I513" t="str">
        <f>OutputTable[[#This Row],[ProjectName]]&amp;OutputTable[[#This Row],[Name]]&amp;OutputTable[[#This Row],[Type]]&amp;OutputTable[[#This Row],[Source]]</f>
        <v>Unnamed ProjectWire Harness.NumberInNumber InEntity</v>
      </c>
      <c r="J513" cm="1">
        <f t="array" ref="J513">MAX(IF((ProjectInfoTable[ProjectName]=OutputTable[[#This Row],[ProjectName]]),(ProjectInfoTable[ProjectName]=OutputTable[[#This Row],[ProjectName]])*ProjectInfoTable[NumberOfReplications]))</f>
        <v>10</v>
      </c>
      <c r="K513" cm="1">
        <f t="array" ref="K513">IFERROR(AVERAGE(IF((OutputTable[GroupByKey]=OutputTable[[#This Row],[GroupByKey]]),(OutputTable[GroupByKey]=OutputTable[[#This Row],[GroupByKey]])*OutputTable[RecordedValue])),0)</f>
        <v>7832.8</v>
      </c>
      <c r="L513" cm="1">
        <f t="array" ref="L513">IFERROR(_xlfn.STDEV.S(IF((OutputTable[GroupByKey]=OutputTable[[#This Row],[GroupByKey]]),(OutputTable[GroupByKey]=OutputTable[[#This Row],[GroupByKey]])*OutputTable[RecordedValue])),0)</f>
        <v>7.8287220469811594</v>
      </c>
      <c r="M513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5.6003303812327712</v>
      </c>
      <c r="O513" cm="1">
        <f t="array" ref="O513">MIN(IF((OutputTable[GroupByKey]=OutputTable[[#This Row],[GroupByKey]]),(OutputTable[GroupByKey]=OutputTable[[#This Row],[GroupByKey]])*OutputTable[RecordedValue]))</f>
        <v>7818</v>
      </c>
      <c r="P513" cm="1">
        <f t="array" ref="P513">MAX(IF((OutputTable[GroupByKey]=OutputTable[[#This Row],[GroupByKey]]),(OutputTable[GroupByKey]=OutputTable[[#This Row],[GroupByKey]])*OutputTable[RecordedValue]))</f>
        <v>7845</v>
      </c>
    </row>
    <row r="514" spans="1:16" x14ac:dyDescent="0.25">
      <c r="A514" t="s">
        <v>67</v>
      </c>
      <c r="B514" t="s">
        <v>243</v>
      </c>
      <c r="C514">
        <v>6</v>
      </c>
      <c r="D514" t="s">
        <v>238</v>
      </c>
      <c r="E514" t="s">
        <v>158</v>
      </c>
      <c r="F514" t="s">
        <v>76</v>
      </c>
      <c r="G514">
        <v>7833</v>
      </c>
      <c r="H514">
        <v>0</v>
      </c>
      <c r="I514" t="str">
        <f>OutputTable[[#This Row],[ProjectName]]&amp;OutputTable[[#This Row],[Name]]&amp;OutputTable[[#This Row],[Type]]&amp;OutputTable[[#This Row],[Source]]</f>
        <v>Unnamed ProjectWire Harness.NumberOutNumber OutEntity</v>
      </c>
      <c r="J514" cm="1">
        <f t="array" ref="J514">MAX(IF((ProjectInfoTable[ProjectName]=OutputTable[[#This Row],[ProjectName]]),(ProjectInfoTable[ProjectName]=OutputTable[[#This Row],[ProjectName]])*ProjectInfoTable[NumberOfReplications]))</f>
        <v>10</v>
      </c>
      <c r="K514" cm="1">
        <f t="array" ref="K514">IFERROR(AVERAGE(IF((OutputTable[GroupByKey]=OutputTable[[#This Row],[GroupByKey]]),(OutputTable[GroupByKey]=OutputTable[[#This Row],[GroupByKey]])*OutputTable[RecordedValue])),0)</f>
        <v>7828.3</v>
      </c>
      <c r="L514" cm="1">
        <f t="array" ref="L514">IFERROR(_xlfn.STDEV.S(IF((OutputTable[GroupByKey]=OutputTable[[#This Row],[GroupByKey]]),(OutputTable[GroupByKey]=OutputTable[[#This Row],[GroupByKey]])*OutputTable[RecordedValue])),0)</f>
        <v>7.1032074132433696</v>
      </c>
      <c r="M514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5.0813284776056653</v>
      </c>
      <c r="O514" cm="1">
        <f t="array" ref="O514">MIN(IF((OutputTable[GroupByKey]=OutputTable[[#This Row],[GroupByKey]]),(OutputTable[GroupByKey]=OutputTable[[#This Row],[GroupByKey]])*OutputTable[RecordedValue]))</f>
        <v>7815</v>
      </c>
      <c r="P514" cm="1">
        <f t="array" ref="P514">MAX(IF((OutputTable[GroupByKey]=OutputTable[[#This Row],[GroupByKey]]),(OutputTable[GroupByKey]=OutputTable[[#This Row],[GroupByKey]])*OutputTable[RecordedValue]))</f>
        <v>7840</v>
      </c>
    </row>
    <row r="515" spans="1:16" x14ac:dyDescent="0.25">
      <c r="A515" t="s">
        <v>67</v>
      </c>
      <c r="B515" t="s">
        <v>243</v>
      </c>
      <c r="C515">
        <v>6</v>
      </c>
      <c r="D515" t="s">
        <v>239</v>
      </c>
      <c r="E515" t="s">
        <v>202</v>
      </c>
      <c r="F515" t="s">
        <v>87</v>
      </c>
      <c r="G515">
        <v>58463.828691523398</v>
      </c>
      <c r="H515">
        <v>0</v>
      </c>
      <c r="I515" t="str">
        <f>OutputTable[[#This Row],[ProjectName]]&amp;OutputTable[[#This Row],[Name]]&amp;OutputTable[[#This Row],[Type]]&amp;OutputTable[[#This Row],[Source]]</f>
        <v>Unnamed Projectsales Accum VA TimeAccum VA TimeProcess</v>
      </c>
      <c r="J515" cm="1">
        <f t="array" ref="J515">MAX(IF((ProjectInfoTable[ProjectName]=OutputTable[[#This Row],[ProjectName]]),(ProjectInfoTable[ProjectName]=OutputTable[[#This Row],[ProjectName]])*ProjectInfoTable[NumberOfReplications]))</f>
        <v>10</v>
      </c>
      <c r="K515" cm="1">
        <f t="array" ref="K515">IFERROR(AVERAGE(IF((OutputTable[GroupByKey]=OutputTable[[#This Row],[GroupByKey]]),(OutputTable[GroupByKey]=OutputTable[[#This Row],[GroupByKey]])*OutputTable[RecordedValue])),0)</f>
        <v>53031.528919588192</v>
      </c>
      <c r="L515" cm="1">
        <f t="array" ref="L515">IFERROR(_xlfn.STDEV.S(IF((OutputTable[GroupByKey]=OutputTable[[#This Row],[GroupByKey]]),(OutputTable[GroupByKey]=OutputTable[[#This Row],[GroupByKey]])*OutputTable[RecordedValue])),0)</f>
        <v>5697.9966023710867</v>
      </c>
      <c r="M51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4076.1012197035402</v>
      </c>
      <c r="O515" cm="1">
        <f t="array" ref="O515">MIN(IF((OutputTable[GroupByKey]=OutputTable[[#This Row],[GroupByKey]]),(OutputTable[GroupByKey]=OutputTable[[#This Row],[GroupByKey]])*OutputTable[RecordedValue]))</f>
        <v>43632.402305228599</v>
      </c>
      <c r="P515" cm="1">
        <f t="array" ref="P515">MAX(IF((OutputTable[GroupByKey]=OutputTable[[#This Row],[GroupByKey]]),(OutputTable[GroupByKey]=OutputTable[[#This Row],[GroupByKey]])*OutputTable[RecordedValue]))</f>
        <v>63701.424934807801</v>
      </c>
    </row>
    <row r="516" spans="1:16" x14ac:dyDescent="0.25">
      <c r="A516" t="s">
        <v>67</v>
      </c>
      <c r="B516" t="s">
        <v>243</v>
      </c>
      <c r="C516">
        <v>6</v>
      </c>
      <c r="D516" t="s">
        <v>240</v>
      </c>
      <c r="E516" t="s">
        <v>156</v>
      </c>
      <c r="F516" t="s">
        <v>87</v>
      </c>
      <c r="G516">
        <v>129</v>
      </c>
      <c r="H516">
        <v>0</v>
      </c>
      <c r="I516" t="str">
        <f>OutputTable[[#This Row],[ProjectName]]&amp;OutputTable[[#This Row],[Name]]&amp;OutputTable[[#This Row],[Type]]&amp;OutputTable[[#This Row],[Source]]</f>
        <v>Unnamed Projectsales Number InNumber InProcess</v>
      </c>
      <c r="J516" cm="1">
        <f t="array" ref="J516">MAX(IF((ProjectInfoTable[ProjectName]=OutputTable[[#This Row],[ProjectName]]),(ProjectInfoTable[ProjectName]=OutputTable[[#This Row],[ProjectName]])*ProjectInfoTable[NumberOfReplications]))</f>
        <v>10</v>
      </c>
      <c r="K516" cm="1">
        <f t="array" ref="K516">IFERROR(AVERAGE(IF((OutputTable[GroupByKey]=OutputTable[[#This Row],[GroupByKey]]),(OutputTable[GroupByKey]=OutputTable[[#This Row],[GroupByKey]])*OutputTable[RecordedValue])),0)</f>
        <v>118.7</v>
      </c>
      <c r="L516" cm="1">
        <f t="array" ref="L516">IFERROR(_xlfn.STDEV.S(IF((OutputTable[GroupByKey]=OutputTable[[#This Row],[GroupByKey]]),(OutputTable[GroupByKey]=OutputTable[[#This Row],[GroupByKey]])*OutputTable[RecordedValue])),0)</f>
        <v>12.587913073879887</v>
      </c>
      <c r="M516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516" cm="1">
        <f t="array" ref="O516">MIN(IF((OutputTable[GroupByKey]=OutputTable[[#This Row],[GroupByKey]]),(OutputTable[GroupByKey]=OutputTable[[#This Row],[GroupByKey]])*OutputTable[RecordedValue]))</f>
        <v>95</v>
      </c>
      <c r="P516" cm="1">
        <f t="array" ref="P516">MAX(IF((OutputTable[GroupByKey]=OutputTable[[#This Row],[GroupByKey]]),(OutputTable[GroupByKey]=OutputTable[[#This Row],[GroupByKey]])*OutputTable[RecordedValue]))</f>
        <v>141</v>
      </c>
    </row>
    <row r="517" spans="1:16" x14ac:dyDescent="0.25">
      <c r="A517" t="s">
        <v>67</v>
      </c>
      <c r="B517" t="s">
        <v>243</v>
      </c>
      <c r="C517">
        <v>6</v>
      </c>
      <c r="D517" t="s">
        <v>241</v>
      </c>
      <c r="E517" t="s">
        <v>158</v>
      </c>
      <c r="F517" t="s">
        <v>87</v>
      </c>
      <c r="G517">
        <v>129</v>
      </c>
      <c r="H517">
        <v>0</v>
      </c>
      <c r="I517" t="str">
        <f>OutputTable[[#This Row],[ProjectName]]&amp;OutputTable[[#This Row],[Name]]&amp;OutputTable[[#This Row],[Type]]&amp;OutputTable[[#This Row],[Source]]</f>
        <v>Unnamed Projectsales Number OutNumber OutProcess</v>
      </c>
      <c r="J517" cm="1">
        <f t="array" ref="J517">MAX(IF((ProjectInfoTable[ProjectName]=OutputTable[[#This Row],[ProjectName]]),(ProjectInfoTable[ProjectName]=OutputTable[[#This Row],[ProjectName]])*ProjectInfoTable[NumberOfReplications]))</f>
        <v>10</v>
      </c>
      <c r="K517" cm="1">
        <f t="array" ref="K517">IFERROR(AVERAGE(IF((OutputTable[GroupByKey]=OutputTable[[#This Row],[GroupByKey]]),(OutputTable[GroupByKey]=OutputTable[[#This Row],[GroupByKey]])*OutputTable[RecordedValue])),0)</f>
        <v>118.7</v>
      </c>
      <c r="L517" cm="1">
        <f t="array" ref="L517">IFERROR(_xlfn.STDEV.S(IF((OutputTable[GroupByKey]=OutputTable[[#This Row],[GroupByKey]]),(OutputTable[GroupByKey]=OutputTable[[#This Row],[GroupByKey]])*OutputTable[RecordedValue])),0)</f>
        <v>12.587913073879887</v>
      </c>
      <c r="M517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517" cm="1">
        <f t="array" ref="O517">MIN(IF((OutputTable[GroupByKey]=OutputTable[[#This Row],[GroupByKey]]),(OutputTable[GroupByKey]=OutputTable[[#This Row],[GroupByKey]])*OutputTable[RecordedValue]))</f>
        <v>95</v>
      </c>
      <c r="P517" cm="1">
        <f t="array" ref="P517">MAX(IF((OutputTable[GroupByKey]=OutputTable[[#This Row],[GroupByKey]]),(OutputTable[GroupByKey]=OutputTable[[#This Row],[GroupByKey]])*OutputTable[RecordedValue]))</f>
        <v>141</v>
      </c>
    </row>
    <row r="518" spans="1:16" x14ac:dyDescent="0.25">
      <c r="A518" t="s">
        <v>67</v>
      </c>
      <c r="B518" t="s">
        <v>243</v>
      </c>
      <c r="C518">
        <v>7</v>
      </c>
      <c r="D518" t="s">
        <v>151</v>
      </c>
      <c r="E518" t="s">
        <v>152</v>
      </c>
      <c r="F518" t="s">
        <v>113</v>
      </c>
      <c r="G518">
        <v>6553</v>
      </c>
      <c r="H518">
        <v>0</v>
      </c>
      <c r="I518" t="str">
        <f>OutputTable[[#This Row],[ProjectName]]&amp;OutputTable[[#This Row],[Name]]&amp;OutputTable[[#This Row],[Type]]&amp;OutputTable[[#This Row],[Source]]</f>
        <v>Unnamed ProjectAssembler.NumberSeizedTotal Number SeizedResource</v>
      </c>
      <c r="J518" cm="1">
        <f t="array" ref="J518">MAX(IF((ProjectInfoTable[ProjectName]=OutputTable[[#This Row],[ProjectName]]),(ProjectInfoTable[ProjectName]=OutputTable[[#This Row],[ProjectName]])*ProjectInfoTable[NumberOfReplications]))</f>
        <v>10</v>
      </c>
      <c r="K518" cm="1">
        <f t="array" ref="K518">IFERROR(AVERAGE(IF((OutputTable[GroupByKey]=OutputTable[[#This Row],[GroupByKey]]),(OutputTable[GroupByKey]=OutputTable[[#This Row],[GroupByKey]])*OutputTable[RecordedValue])),0)</f>
        <v>6547.7</v>
      </c>
      <c r="L518" cm="1">
        <f t="array" ref="L518">IFERROR(_xlfn.STDEV.S(IF((OutputTable[GroupByKey]=OutputTable[[#This Row],[GroupByKey]]),(OutputTable[GroupByKey]=OutputTable[[#This Row],[GroupByKey]])*OutputTable[RecordedValue])),0)</f>
        <v>5.735852159879995</v>
      </c>
      <c r="M518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518" cm="1">
        <f t="array" ref="O518">MIN(IF((OutputTable[GroupByKey]=OutputTable[[#This Row],[GroupByKey]]),(OutputTable[GroupByKey]=OutputTable[[#This Row],[GroupByKey]])*OutputTable[RecordedValue]))</f>
        <v>6540</v>
      </c>
      <c r="P518" cm="1">
        <f t="array" ref="P518">MAX(IF((OutputTable[GroupByKey]=OutputTable[[#This Row],[GroupByKey]]),(OutputTable[GroupByKey]=OutputTable[[#This Row],[GroupByKey]])*OutputTable[RecordedValue]))</f>
        <v>6557</v>
      </c>
    </row>
    <row r="519" spans="1:16" x14ac:dyDescent="0.25">
      <c r="A519" t="s">
        <v>67</v>
      </c>
      <c r="B519" t="s">
        <v>243</v>
      </c>
      <c r="C519">
        <v>7</v>
      </c>
      <c r="D519" t="s">
        <v>153</v>
      </c>
      <c r="E519" t="s">
        <v>154</v>
      </c>
      <c r="F519" t="s">
        <v>113</v>
      </c>
      <c r="G519">
        <v>7.5801140762371502E-2</v>
      </c>
      <c r="H519">
        <v>0</v>
      </c>
      <c r="I519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519" cm="1">
        <f t="array" ref="J519">MAX(IF((ProjectInfoTable[ProjectName]=OutputTable[[#This Row],[ProjectName]]),(ProjectInfoTable[ProjectName]=OutputTable[[#This Row],[ProjectName]])*ProjectInfoTable[NumberOfReplications]))</f>
        <v>10</v>
      </c>
      <c r="K519" cm="1">
        <f t="array" ref="K519">IFERROR(AVERAGE(IF((OutputTable[GroupByKey]=OutputTable[[#This Row],[GroupByKey]]),(OutputTable[GroupByKey]=OutputTable[[#This Row],[GroupByKey]])*OutputTable[RecordedValue])),0)</f>
        <v>7.575658911226775E-2</v>
      </c>
      <c r="L519" cm="1">
        <f t="array" ref="L519">IFERROR(_xlfn.STDEV.S(IF((OutputTable[GroupByKey]=OutputTable[[#This Row],[GroupByKey]]),(OutputTable[GroupByKey]=OutputTable[[#This Row],[GroupByKey]])*OutputTable[RecordedValue])),0)</f>
        <v>1.4019953141627205E-4</v>
      </c>
      <c r="M519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1.0029270301248135E-4</v>
      </c>
      <c r="O519" cm="1">
        <f t="array" ref="O519">MIN(IF((OutputTable[GroupByKey]=OutputTable[[#This Row],[GroupByKey]]),(OutputTable[GroupByKey]=OutputTable[[#This Row],[GroupByKey]])*OutputTable[RecordedValue]))</f>
        <v>7.5477645584878503E-2</v>
      </c>
      <c r="P519" cm="1">
        <f t="array" ref="P519">MAX(IF((OutputTable[GroupByKey]=OutputTable[[#This Row],[GroupByKey]]),(OutputTable[GroupByKey]=OutputTable[[#This Row],[GroupByKey]])*OutputTable[RecordedValue]))</f>
        <v>7.5973148639726207E-2</v>
      </c>
    </row>
    <row r="520" spans="1:16" x14ac:dyDescent="0.25">
      <c r="A520" t="s">
        <v>67</v>
      </c>
      <c r="B520" t="s">
        <v>243</v>
      </c>
      <c r="C520">
        <v>7</v>
      </c>
      <c r="D520" t="s">
        <v>155</v>
      </c>
      <c r="E520" t="s">
        <v>156</v>
      </c>
      <c r="F520" t="s">
        <v>76</v>
      </c>
      <c r="G520">
        <v>1121</v>
      </c>
      <c r="H520">
        <v>0</v>
      </c>
      <c r="I520" t="str">
        <f>OutputTable[[#This Row],[ProjectName]]&amp;OutputTable[[#This Row],[Name]]&amp;OutputTable[[#This Row],[Type]]&amp;OutputTable[[#This Row],[Source]]</f>
        <v>Unnamed ProjectCustomer.NumberInNumber InEntity</v>
      </c>
      <c r="J520" cm="1">
        <f t="array" ref="J520">MAX(IF((ProjectInfoTable[ProjectName]=OutputTable[[#This Row],[ProjectName]]),(ProjectInfoTable[ProjectName]=OutputTable[[#This Row],[ProjectName]])*ProjectInfoTable[NumberOfReplications]))</f>
        <v>10</v>
      </c>
      <c r="K520" cm="1">
        <f t="array" ref="K520">IFERROR(AVERAGE(IF((OutputTable[GroupByKey]=OutputTable[[#This Row],[GroupByKey]]),(OutputTable[GroupByKey]=OutputTable[[#This Row],[GroupByKey]])*OutputTable[RecordedValue])),0)</f>
        <v>1090.3</v>
      </c>
      <c r="L520" cm="1">
        <f t="array" ref="L520">IFERROR(_xlfn.STDEV.S(IF((OutputTable[GroupByKey]=OutputTable[[#This Row],[GroupByKey]]),(OutputTable[GroupByKey]=OutputTable[[#This Row],[GroupByKey]])*OutputTable[RecordedValue])),0)</f>
        <v>32.666836734251177</v>
      </c>
      <c r="M520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520" cm="1">
        <f t="array" ref="O520">MIN(IF((OutputTable[GroupByKey]=OutputTable[[#This Row],[GroupByKey]]),(OutputTable[GroupByKey]=OutputTable[[#This Row],[GroupByKey]])*OutputTable[RecordedValue]))</f>
        <v>1042</v>
      </c>
      <c r="P520" cm="1">
        <f t="array" ref="P520">MAX(IF((OutputTable[GroupByKey]=OutputTable[[#This Row],[GroupByKey]]),(OutputTable[GroupByKey]=OutputTable[[#This Row],[GroupByKey]])*OutputTable[RecordedValue]))</f>
        <v>1141</v>
      </c>
    </row>
    <row r="521" spans="1:16" x14ac:dyDescent="0.25">
      <c r="A521" t="s">
        <v>67</v>
      </c>
      <c r="B521" t="s">
        <v>243</v>
      </c>
      <c r="C521">
        <v>7</v>
      </c>
      <c r="D521" t="s">
        <v>157</v>
      </c>
      <c r="E521" t="s">
        <v>158</v>
      </c>
      <c r="F521" t="s">
        <v>76</v>
      </c>
      <c r="G521">
        <v>1121</v>
      </c>
      <c r="H521">
        <v>0</v>
      </c>
      <c r="I521" t="str">
        <f>OutputTable[[#This Row],[ProjectName]]&amp;OutputTable[[#This Row],[Name]]&amp;OutputTable[[#This Row],[Type]]&amp;OutputTable[[#This Row],[Source]]</f>
        <v>Unnamed ProjectCustomer.NumberOutNumber OutEntity</v>
      </c>
      <c r="J521" cm="1">
        <f t="array" ref="J521">MAX(IF((ProjectInfoTable[ProjectName]=OutputTable[[#This Row],[ProjectName]]),(ProjectInfoTable[ProjectName]=OutputTable[[#This Row],[ProjectName]])*ProjectInfoTable[NumberOfReplications]))</f>
        <v>10</v>
      </c>
      <c r="K521" cm="1">
        <f t="array" ref="K521">IFERROR(AVERAGE(IF((OutputTable[GroupByKey]=OutputTable[[#This Row],[GroupByKey]]),(OutputTable[GroupByKey]=OutputTable[[#This Row],[GroupByKey]])*OutputTable[RecordedValue])),0)</f>
        <v>1090.3</v>
      </c>
      <c r="L521" cm="1">
        <f t="array" ref="L521">IFERROR(_xlfn.STDEV.S(IF((OutputTable[GroupByKey]=OutputTable[[#This Row],[GroupByKey]]),(OutputTable[GroupByKey]=OutputTable[[#This Row],[GroupByKey]])*OutputTable[RecordedValue])),0)</f>
        <v>32.666836734251177</v>
      </c>
      <c r="M521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521" cm="1">
        <f t="array" ref="O521">MIN(IF((OutputTable[GroupByKey]=OutputTable[[#This Row],[GroupByKey]]),(OutputTable[GroupByKey]=OutputTable[[#This Row],[GroupByKey]])*OutputTable[RecordedValue]))</f>
        <v>1042</v>
      </c>
      <c r="P521" cm="1">
        <f t="array" ref="P521">MAX(IF((OutputTable[GroupByKey]=OutputTable[[#This Row],[GroupByKey]]),(OutputTable[GroupByKey]=OutputTable[[#This Row],[GroupByKey]])*OutputTable[RecordedValue]))</f>
        <v>1141</v>
      </c>
    </row>
    <row r="522" spans="1:16" x14ac:dyDescent="0.25">
      <c r="A522" t="s">
        <v>67</v>
      </c>
      <c r="B522" t="s">
        <v>243</v>
      </c>
      <c r="C522">
        <v>7</v>
      </c>
      <c r="D522" t="s">
        <v>159</v>
      </c>
      <c r="E522" t="s">
        <v>156</v>
      </c>
      <c r="F522" t="s">
        <v>76</v>
      </c>
      <c r="G522">
        <v>19837</v>
      </c>
      <c r="H522">
        <v>0</v>
      </c>
      <c r="I522" t="str">
        <f>OutputTable[[#This Row],[ProjectName]]&amp;OutputTable[[#This Row],[Name]]&amp;OutputTable[[#This Row],[Type]]&amp;OutputTable[[#This Row],[Source]]</f>
        <v>Unnamed ProjectEntity 1.NumberInNumber InEntity</v>
      </c>
      <c r="J522" cm="1">
        <f t="array" ref="J522">MAX(IF((ProjectInfoTable[ProjectName]=OutputTable[[#This Row],[ProjectName]]),(ProjectInfoTable[ProjectName]=OutputTable[[#This Row],[ProjectName]])*ProjectInfoTable[NumberOfReplications]))</f>
        <v>10</v>
      </c>
      <c r="K522" cm="1">
        <f t="array" ref="K522">IFERROR(AVERAGE(IF((OutputTable[GroupByKey]=OutputTable[[#This Row],[GroupByKey]]),(OutputTable[GroupByKey]=OutputTable[[#This Row],[GroupByKey]])*OutputTable[RecordedValue])),0)</f>
        <v>19822.900000000001</v>
      </c>
      <c r="L522" cm="1">
        <f t="array" ref="L522">IFERROR(_xlfn.STDEV.S(IF((OutputTable[GroupByKey]=OutputTable[[#This Row],[GroupByKey]]),(OutputTable[GroupByKey]=OutputTable[[#This Row],[GroupByKey]])*OutputTable[RecordedValue])),0)</f>
        <v>20.151922985164472</v>
      </c>
      <c r="M522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14.415817276026377</v>
      </c>
      <c r="O522" cm="1">
        <f t="array" ref="O522">MIN(IF((OutputTable[GroupByKey]=OutputTable[[#This Row],[GroupByKey]]),(OutputTable[GroupByKey]=OutputTable[[#This Row],[GroupByKey]])*OutputTable[RecordedValue]))</f>
        <v>19788</v>
      </c>
      <c r="P522" cm="1">
        <f t="array" ref="P522">MAX(IF((OutputTable[GroupByKey]=OutputTable[[#This Row],[GroupByKey]]),(OutputTable[GroupByKey]=OutputTable[[#This Row],[GroupByKey]])*OutputTable[RecordedValue]))</f>
        <v>19852</v>
      </c>
    </row>
    <row r="523" spans="1:16" x14ac:dyDescent="0.25">
      <c r="A523" t="s">
        <v>67</v>
      </c>
      <c r="B523" t="s">
        <v>243</v>
      </c>
      <c r="C523">
        <v>7</v>
      </c>
      <c r="D523" t="s">
        <v>160</v>
      </c>
      <c r="E523" t="s">
        <v>158</v>
      </c>
      <c r="F523" t="s">
        <v>76</v>
      </c>
      <c r="G523">
        <v>19647</v>
      </c>
      <c r="H523">
        <v>0</v>
      </c>
      <c r="I523" t="str">
        <f>OutputTable[[#This Row],[ProjectName]]&amp;OutputTable[[#This Row],[Name]]&amp;OutputTable[[#This Row],[Type]]&amp;OutputTable[[#This Row],[Source]]</f>
        <v>Unnamed ProjectEntity 1.NumberOutNumber OutEntity</v>
      </c>
      <c r="J523" cm="1">
        <f t="array" ref="J523">MAX(IF((ProjectInfoTable[ProjectName]=OutputTable[[#This Row],[ProjectName]]),(ProjectInfoTable[ProjectName]=OutputTable[[#This Row],[ProjectName]])*ProjectInfoTable[NumberOfReplications]))</f>
        <v>10</v>
      </c>
      <c r="K523" cm="1">
        <f t="array" ref="K523">IFERROR(AVERAGE(IF((OutputTable[GroupByKey]=OutputTable[[#This Row],[GroupByKey]]),(OutputTable[GroupByKey]=OutputTable[[#This Row],[GroupByKey]])*OutputTable[RecordedValue])),0)</f>
        <v>19635.599999999999</v>
      </c>
      <c r="L523" cm="1">
        <f t="array" ref="L523">IFERROR(_xlfn.STDEV.S(IF((OutputTable[GroupByKey]=OutputTable[[#This Row],[GroupByKey]]),(OutputTable[GroupByKey]=OutputTable[[#This Row],[GroupByKey]])*OutputTable[RecordedValue])),0)</f>
        <v>15.086417732516889</v>
      </c>
      <c r="M523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523" cm="1">
        <f t="array" ref="O523">MIN(IF((OutputTable[GroupByKey]=OutputTable[[#This Row],[GroupByKey]]),(OutputTable[GroupByKey]=OutputTable[[#This Row],[GroupByKey]])*OutputTable[RecordedValue]))</f>
        <v>19614</v>
      </c>
      <c r="P523" cm="1">
        <f t="array" ref="P523">MAX(IF((OutputTable[GroupByKey]=OutputTable[[#This Row],[GroupByKey]]),(OutputTable[GroupByKey]=OutputTable[[#This Row],[GroupByKey]])*OutputTable[RecordedValue]))</f>
        <v>19662</v>
      </c>
    </row>
    <row r="524" spans="1:16" x14ac:dyDescent="0.25">
      <c r="A524" t="s">
        <v>67</v>
      </c>
      <c r="B524" t="s">
        <v>243</v>
      </c>
      <c r="C524">
        <v>7</v>
      </c>
      <c r="D524" t="s">
        <v>161</v>
      </c>
      <c r="E524" t="s">
        <v>156</v>
      </c>
      <c r="F524" t="s">
        <v>76</v>
      </c>
      <c r="G524">
        <v>8401</v>
      </c>
      <c r="H524">
        <v>0</v>
      </c>
      <c r="I524" t="str">
        <f>OutputTable[[#This Row],[ProjectName]]&amp;OutputTable[[#This Row],[Name]]&amp;OutputTable[[#This Row],[Type]]&amp;OutputTable[[#This Row],[Source]]</f>
        <v>Unnamed ProjectEntity 2.NumberInNumber InEntity</v>
      </c>
      <c r="J524" cm="1">
        <f t="array" ref="J524">MAX(IF((ProjectInfoTable[ProjectName]=OutputTable[[#This Row],[ProjectName]]),(ProjectInfoTable[ProjectName]=OutputTable[[#This Row],[ProjectName]])*ProjectInfoTable[NumberOfReplications]))</f>
        <v>10</v>
      </c>
      <c r="K524" cm="1">
        <f t="array" ref="K524">IFERROR(AVERAGE(IF((OutputTable[GroupByKey]=OutputTable[[#This Row],[GroupByKey]]),(OutputTable[GroupByKey]=OutputTable[[#This Row],[GroupByKey]])*OutputTable[RecordedValue])),0)</f>
        <v>8398</v>
      </c>
      <c r="L524" cm="1">
        <f t="array" ref="L524">IFERROR(_xlfn.STDEV.S(IF((OutputTable[GroupByKey]=OutputTable[[#This Row],[GroupByKey]]),(OutputTable[GroupByKey]=OutputTable[[#This Row],[GroupByKey]])*OutputTable[RecordedValue])),0)</f>
        <v>24.133885813197271</v>
      </c>
      <c r="M524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17.264341884378119</v>
      </c>
      <c r="O524" cm="1">
        <f t="array" ref="O524">MIN(IF((OutputTable[GroupByKey]=OutputTable[[#This Row],[GroupByKey]]),(OutputTable[GroupByKey]=OutputTable[[#This Row],[GroupByKey]])*OutputTable[RecordedValue]))</f>
        <v>8353</v>
      </c>
      <c r="P524" cm="1">
        <f t="array" ref="P524">MAX(IF((OutputTable[GroupByKey]=OutputTable[[#This Row],[GroupByKey]]),(OutputTable[GroupByKey]=OutputTable[[#This Row],[GroupByKey]])*OutputTable[RecordedValue]))</f>
        <v>8437</v>
      </c>
    </row>
    <row r="525" spans="1:16" x14ac:dyDescent="0.25">
      <c r="A525" t="s">
        <v>67</v>
      </c>
      <c r="B525" t="s">
        <v>243</v>
      </c>
      <c r="C525">
        <v>7</v>
      </c>
      <c r="D525" t="s">
        <v>162</v>
      </c>
      <c r="E525" t="s">
        <v>158</v>
      </c>
      <c r="F525" t="s">
        <v>76</v>
      </c>
      <c r="G525">
        <v>6549</v>
      </c>
      <c r="H525">
        <v>0</v>
      </c>
      <c r="I525" t="str">
        <f>OutputTable[[#This Row],[ProjectName]]&amp;OutputTable[[#This Row],[Name]]&amp;OutputTable[[#This Row],[Type]]&amp;OutputTable[[#This Row],[Source]]</f>
        <v>Unnamed ProjectEntity 2.NumberOutNumber OutEntity</v>
      </c>
      <c r="J525" cm="1">
        <f t="array" ref="J525">MAX(IF((ProjectInfoTable[ProjectName]=OutputTable[[#This Row],[ProjectName]]),(ProjectInfoTable[ProjectName]=OutputTable[[#This Row],[ProjectName]])*ProjectInfoTable[NumberOfReplications]))</f>
        <v>10</v>
      </c>
      <c r="K525" cm="1">
        <f t="array" ref="K525">IFERROR(AVERAGE(IF((OutputTable[GroupByKey]=OutputTable[[#This Row],[GroupByKey]]),(OutputTable[GroupByKey]=OutputTable[[#This Row],[GroupByKey]])*OutputTable[RecordedValue])),0)</f>
        <v>6545.2</v>
      </c>
      <c r="L525" cm="1">
        <f t="array" ref="L525">IFERROR(_xlfn.STDEV.S(IF((OutputTable[GroupByKey]=OutputTable[[#This Row],[GroupByKey]]),(OutputTable[GroupByKey]=OutputTable[[#This Row],[GroupByKey]])*OutputTable[RecordedValue])),0)</f>
        <v>5.0288059108389627</v>
      </c>
      <c r="M52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3.5973910371047504</v>
      </c>
      <c r="O525" cm="1">
        <f t="array" ref="O525">MIN(IF((OutputTable[GroupByKey]=OutputTable[[#This Row],[GroupByKey]]),(OutputTable[GroupByKey]=OutputTable[[#This Row],[GroupByKey]])*OutputTable[RecordedValue]))</f>
        <v>6538</v>
      </c>
      <c r="P525" cm="1">
        <f t="array" ref="P525">MAX(IF((OutputTable[GroupByKey]=OutputTable[[#This Row],[GroupByKey]]),(OutputTable[GroupByKey]=OutputTable[[#This Row],[GroupByKey]])*OutputTable[RecordedValue]))</f>
        <v>6554</v>
      </c>
    </row>
    <row r="526" spans="1:16" x14ac:dyDescent="0.25">
      <c r="A526" t="s">
        <v>67</v>
      </c>
      <c r="B526" t="s">
        <v>243</v>
      </c>
      <c r="C526">
        <v>7</v>
      </c>
      <c r="D526" t="s">
        <v>163</v>
      </c>
      <c r="E526" t="s">
        <v>156</v>
      </c>
      <c r="F526" t="s">
        <v>76</v>
      </c>
      <c r="G526">
        <v>27773</v>
      </c>
      <c r="H526">
        <v>0</v>
      </c>
      <c r="I526" t="str">
        <f>OutputTable[[#This Row],[ProjectName]]&amp;OutputTable[[#This Row],[Name]]&amp;OutputTable[[#This Row],[Type]]&amp;OutputTable[[#This Row],[Source]]</f>
        <v>Unnamed ProjectEntity 3.NumberInNumber InEntity</v>
      </c>
      <c r="J526" cm="1">
        <f t="array" ref="J526">MAX(IF((ProjectInfoTable[ProjectName]=OutputTable[[#This Row],[ProjectName]]),(ProjectInfoTable[ProjectName]=OutputTable[[#This Row],[ProjectName]])*ProjectInfoTable[NumberOfReplications]))</f>
        <v>10</v>
      </c>
      <c r="K526" cm="1">
        <f t="array" ref="K526">IFERROR(AVERAGE(IF((OutputTable[GroupByKey]=OutputTable[[#This Row],[GroupByKey]]),(OutputTable[GroupByKey]=OutputTable[[#This Row],[GroupByKey]])*OutputTable[RecordedValue])),0)</f>
        <v>27753.7</v>
      </c>
      <c r="L526" cm="1">
        <f t="array" ref="L526">IFERROR(_xlfn.STDEV.S(IF((OutputTable[GroupByKey]=OutputTable[[#This Row],[GroupByKey]]),(OutputTable[GroupByKey]=OutputTable[[#This Row],[GroupByKey]])*OutputTable[RecordedValue])),0)</f>
        <v>25.447331228768697</v>
      </c>
      <c r="M526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18.203924133022646</v>
      </c>
      <c r="O526" cm="1">
        <f t="array" ref="O526">MIN(IF((OutputTable[GroupByKey]=OutputTable[[#This Row],[GroupByKey]]),(OutputTable[GroupByKey]=OutputTable[[#This Row],[GroupByKey]])*OutputTable[RecordedValue]))</f>
        <v>27724</v>
      </c>
      <c r="P526" cm="1">
        <f t="array" ref="P526">MAX(IF((OutputTable[GroupByKey]=OutputTable[[#This Row],[GroupByKey]]),(OutputTable[GroupByKey]=OutputTable[[#This Row],[GroupByKey]])*OutputTable[RecordedValue]))</f>
        <v>27792</v>
      </c>
    </row>
    <row r="527" spans="1:16" x14ac:dyDescent="0.25">
      <c r="A527" t="s">
        <v>67</v>
      </c>
      <c r="B527" t="s">
        <v>243</v>
      </c>
      <c r="C527">
        <v>7</v>
      </c>
      <c r="D527" t="s">
        <v>164</v>
      </c>
      <c r="E527" t="s">
        <v>158</v>
      </c>
      <c r="F527" t="s">
        <v>76</v>
      </c>
      <c r="G527">
        <v>19647</v>
      </c>
      <c r="H527">
        <v>0</v>
      </c>
      <c r="I527" t="str">
        <f>OutputTable[[#This Row],[ProjectName]]&amp;OutputTable[[#This Row],[Name]]&amp;OutputTable[[#This Row],[Type]]&amp;OutputTable[[#This Row],[Source]]</f>
        <v>Unnamed ProjectEntity 3.NumberOutNumber OutEntity</v>
      </c>
      <c r="J527" cm="1">
        <f t="array" ref="J527">MAX(IF((ProjectInfoTable[ProjectName]=OutputTable[[#This Row],[ProjectName]]),(ProjectInfoTable[ProjectName]=OutputTable[[#This Row],[ProjectName]])*ProjectInfoTable[NumberOfReplications]))</f>
        <v>10</v>
      </c>
      <c r="K527" cm="1">
        <f t="array" ref="K527">IFERROR(AVERAGE(IF((OutputTable[GroupByKey]=OutputTable[[#This Row],[GroupByKey]]),(OutputTable[GroupByKey]=OutputTable[[#This Row],[GroupByKey]])*OutputTable[RecordedValue])),0)</f>
        <v>19635.599999999999</v>
      </c>
      <c r="L527" cm="1">
        <f t="array" ref="L527">IFERROR(_xlfn.STDEV.S(IF((OutputTable[GroupByKey]=OutputTable[[#This Row],[GroupByKey]]),(OutputTable[GroupByKey]=OutputTable[[#This Row],[GroupByKey]])*OutputTable[RecordedValue])),0)</f>
        <v>15.086417732516889</v>
      </c>
      <c r="M527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527" cm="1">
        <f t="array" ref="O527">MIN(IF((OutputTable[GroupByKey]=OutputTable[[#This Row],[GroupByKey]]),(OutputTable[GroupByKey]=OutputTable[[#This Row],[GroupByKey]])*OutputTable[RecordedValue]))</f>
        <v>19614</v>
      </c>
      <c r="P527" cm="1">
        <f t="array" ref="P527">MAX(IF((OutputTable[GroupByKey]=OutputTable[[#This Row],[GroupByKey]]),(OutputTable[GroupByKey]=OutputTable[[#This Row],[GroupByKey]])*OutputTable[RecordedValue]))</f>
        <v>19662</v>
      </c>
    </row>
    <row r="528" spans="1:16" x14ac:dyDescent="0.25">
      <c r="A528" t="s">
        <v>67</v>
      </c>
      <c r="B528" t="s">
        <v>243</v>
      </c>
      <c r="C528">
        <v>7</v>
      </c>
      <c r="D528" t="s">
        <v>165</v>
      </c>
      <c r="E528" t="s">
        <v>152</v>
      </c>
      <c r="F528" t="s">
        <v>113</v>
      </c>
      <c r="G528">
        <v>13115</v>
      </c>
      <c r="H528">
        <v>0</v>
      </c>
      <c r="I528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528" cm="1">
        <f t="array" ref="J528">MAX(IF((ProjectInfoTable[ProjectName]=OutputTable[[#This Row],[ProjectName]]),(ProjectInfoTable[ProjectName]=OutputTable[[#This Row],[ProjectName]])*ProjectInfoTable[NumberOfReplications]))</f>
        <v>10</v>
      </c>
      <c r="K528" cm="1">
        <f t="array" ref="K528">IFERROR(AVERAGE(IF((OutputTable[GroupByKey]=OutputTable[[#This Row],[GroupByKey]]),(OutputTable[GroupByKey]=OutputTable[[#This Row],[GroupByKey]])*OutputTable[RecordedValue])),0)</f>
        <v>13103.5</v>
      </c>
      <c r="L528" cm="1">
        <f t="array" ref="L528">IFERROR(_xlfn.STDEV.S(IF((OutputTable[GroupByKey]=OutputTable[[#This Row],[GroupByKey]]),(OutputTable[GroupByKey]=OutputTable[[#This Row],[GroupByKey]])*OutputTable[RecordedValue])),0)</f>
        <v>11.443095929181249</v>
      </c>
      <c r="M528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528" cm="1">
        <f t="array" ref="O528">MIN(IF((OutputTable[GroupByKey]=OutputTable[[#This Row],[GroupByKey]]),(OutputTable[GroupByKey]=OutputTable[[#This Row],[GroupByKey]])*OutputTable[RecordedValue]))</f>
        <v>13087</v>
      </c>
      <c r="P528" cm="1">
        <f t="array" ref="P528">MAX(IF((OutputTable[GroupByKey]=OutputTable[[#This Row],[GroupByKey]]),(OutputTable[GroupByKey]=OutputTable[[#This Row],[GroupByKey]])*OutputTable[RecordedValue]))</f>
        <v>13120</v>
      </c>
    </row>
    <row r="529" spans="1:16" x14ac:dyDescent="0.25">
      <c r="A529" t="s">
        <v>67</v>
      </c>
      <c r="B529" t="s">
        <v>243</v>
      </c>
      <c r="C529">
        <v>7</v>
      </c>
      <c r="D529" t="s">
        <v>166</v>
      </c>
      <c r="E529" t="s">
        <v>154</v>
      </c>
      <c r="F529" t="s">
        <v>113</v>
      </c>
      <c r="G529">
        <v>0.503322475256885</v>
      </c>
      <c r="H529">
        <v>0</v>
      </c>
      <c r="I529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529" cm="1">
        <f t="array" ref="J529">MAX(IF((ProjectInfoTable[ProjectName]=OutputTable[[#This Row],[ProjectName]]),(ProjectInfoTable[ProjectName]=OutputTable[[#This Row],[ProjectName]])*ProjectInfoTable[NumberOfReplications]))</f>
        <v>10</v>
      </c>
      <c r="K529" cm="1">
        <f t="array" ref="K529">IFERROR(AVERAGE(IF((OutputTable[GroupByKey]=OutputTable[[#This Row],[GroupByKey]]),(OutputTable[GroupByKey]=OutputTable[[#This Row],[GroupByKey]])*OutputTable[RecordedValue])),0)</f>
        <v>0.48160620907873086</v>
      </c>
      <c r="L529" cm="1">
        <f t="array" ref="L529">IFERROR(_xlfn.STDEV.S(IF((OutputTable[GroupByKey]=OutputTable[[#This Row],[GroupByKey]]),(OutputTable[GroupByKey]=OutputTable[[#This Row],[GroupByKey]])*OutputTable[RecordedValue])),0)</f>
        <v>8.6686321722355061E-2</v>
      </c>
      <c r="M529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6.2011658897281531E-2</v>
      </c>
      <c r="O529" cm="1">
        <f t="array" ref="O529">MIN(IF((OutputTable[GroupByKey]=OutputTable[[#This Row],[GroupByKey]]),(OutputTable[GroupByKey]=OutputTable[[#This Row],[GroupByKey]])*OutputTable[RecordedValue]))</f>
        <v>0.292184201252493</v>
      </c>
      <c r="P529" cm="1">
        <f t="array" ref="P529">MAX(IF((OutputTable[GroupByKey]=OutputTable[[#This Row],[GroupByKey]]),(OutputTable[GroupByKey]=OutputTable[[#This Row],[GroupByKey]])*OutputTable[RecordedValue]))</f>
        <v>0.57167989674475905</v>
      </c>
    </row>
    <row r="530" spans="1:16" x14ac:dyDescent="0.25">
      <c r="A530" t="s">
        <v>67</v>
      </c>
      <c r="B530" t="s">
        <v>243</v>
      </c>
      <c r="C530">
        <v>7</v>
      </c>
      <c r="D530" t="s">
        <v>167</v>
      </c>
      <c r="E530" t="s">
        <v>152</v>
      </c>
      <c r="F530" t="s">
        <v>113</v>
      </c>
      <c r="G530">
        <v>13111</v>
      </c>
      <c r="H530">
        <v>0</v>
      </c>
      <c r="I530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530" cm="1">
        <f t="array" ref="J530">MAX(IF((ProjectInfoTable[ProjectName]=OutputTable[[#This Row],[ProjectName]]),(ProjectInfoTable[ProjectName]=OutputTable[[#This Row],[ProjectName]])*ProjectInfoTable[NumberOfReplications]))</f>
        <v>10</v>
      </c>
      <c r="K530" cm="1">
        <f t="array" ref="K530">IFERROR(AVERAGE(IF((OutputTable[GroupByKey]=OutputTable[[#This Row],[GroupByKey]]),(OutputTable[GroupByKey]=OutputTable[[#This Row],[GroupByKey]])*OutputTable[RecordedValue])),0)</f>
        <v>13100.1</v>
      </c>
      <c r="L530" cm="1">
        <f t="array" ref="L530">IFERROR(_xlfn.STDEV.S(IF((OutputTable[GroupByKey]=OutputTable[[#This Row],[GroupByKey]]),(OutputTable[GroupByKey]=OutputTable[[#This Row],[GroupByKey]])*OutputTable[RecordedValue])),0)</f>
        <v>11.46443776786866</v>
      </c>
      <c r="M530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530" cm="1">
        <f t="array" ref="O530">MIN(IF((OutputTable[GroupByKey]=OutputTable[[#This Row],[GroupByKey]]),(OutputTable[GroupByKey]=OutputTable[[#This Row],[GroupByKey]])*OutputTable[RecordedValue]))</f>
        <v>13083</v>
      </c>
      <c r="P530" cm="1">
        <f t="array" ref="P530">MAX(IF((OutputTable[GroupByKey]=OutputTable[[#This Row],[GroupByKey]]),(OutputTable[GroupByKey]=OutputTable[[#This Row],[GroupByKey]])*OutputTable[RecordedValue]))</f>
        <v>13118</v>
      </c>
    </row>
    <row r="531" spans="1:16" x14ac:dyDescent="0.25">
      <c r="A531" t="s">
        <v>67</v>
      </c>
      <c r="B531" t="s">
        <v>243</v>
      </c>
      <c r="C531">
        <v>7</v>
      </c>
      <c r="D531" t="s">
        <v>168</v>
      </c>
      <c r="E531" t="s">
        <v>154</v>
      </c>
      <c r="F531" t="s">
        <v>113</v>
      </c>
      <c r="G531">
        <v>0.33570777662711399</v>
      </c>
      <c r="H531">
        <v>0</v>
      </c>
      <c r="I531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531" cm="1">
        <f t="array" ref="J531">MAX(IF((ProjectInfoTable[ProjectName]=OutputTable[[#This Row],[ProjectName]]),(ProjectInfoTable[ProjectName]=OutputTable[[#This Row],[ProjectName]])*ProjectInfoTable[NumberOfReplications]))</f>
        <v>10</v>
      </c>
      <c r="K531" cm="1">
        <f t="array" ref="K531">IFERROR(AVERAGE(IF((OutputTable[GroupByKey]=OutputTable[[#This Row],[GroupByKey]]),(OutputTable[GroupByKey]=OutputTable[[#This Row],[GroupByKey]])*OutputTable[RecordedValue])),0)</f>
        <v>0.25269289312392168</v>
      </c>
      <c r="L531" cm="1">
        <f t="array" ref="L531">IFERROR(_xlfn.STDEV.S(IF((OutputTable[GroupByKey]=OutputTable[[#This Row],[GroupByKey]]),(OutputTable[GroupByKey]=OutputTable[[#This Row],[GroupByKey]])*OutputTable[RecordedValue])),0)</f>
        <v>4.921401008308305E-2</v>
      </c>
      <c r="M531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3.5205581983443382E-2</v>
      </c>
      <c r="O531" cm="1">
        <f t="array" ref="O531">MIN(IF((OutputTable[GroupByKey]=OutputTable[[#This Row],[GroupByKey]]),(OutputTable[GroupByKey]=OutputTable[[#This Row],[GroupByKey]])*OutputTable[RecordedValue]))</f>
        <v>0.20500025225945601</v>
      </c>
      <c r="P531" cm="1">
        <f t="array" ref="P531">MAX(IF((OutputTable[GroupByKey]=OutputTable[[#This Row],[GroupByKey]]),(OutputTable[GroupByKey]=OutputTable[[#This Row],[GroupByKey]])*OutputTable[RecordedValue]))</f>
        <v>0.33570777662711399</v>
      </c>
    </row>
    <row r="532" spans="1:16" x14ac:dyDescent="0.25">
      <c r="A532" t="s">
        <v>67</v>
      </c>
      <c r="B532" t="s">
        <v>243</v>
      </c>
      <c r="C532">
        <v>7</v>
      </c>
      <c r="D532" t="s">
        <v>169</v>
      </c>
      <c r="E532" t="s">
        <v>152</v>
      </c>
      <c r="F532" t="s">
        <v>113</v>
      </c>
      <c r="G532">
        <v>13111</v>
      </c>
      <c r="H532">
        <v>0</v>
      </c>
      <c r="I532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532" cm="1">
        <f t="array" ref="J532">MAX(IF((ProjectInfoTable[ProjectName]=OutputTable[[#This Row],[ProjectName]]),(ProjectInfoTable[ProjectName]=OutputTable[[#This Row],[ProjectName]])*ProjectInfoTable[NumberOfReplications]))</f>
        <v>10</v>
      </c>
      <c r="K532" cm="1">
        <f t="array" ref="K532">IFERROR(AVERAGE(IF((OutputTable[GroupByKey]=OutputTable[[#This Row],[GroupByKey]]),(OutputTable[GroupByKey]=OutputTable[[#This Row],[GroupByKey]])*OutputTable[RecordedValue])),0)</f>
        <v>13099.9</v>
      </c>
      <c r="L532" cm="1">
        <f t="array" ref="L532">IFERROR(_xlfn.STDEV.S(IF((OutputTable[GroupByKey]=OutputTable[[#This Row],[GroupByKey]]),(OutputTable[GroupByKey]=OutputTable[[#This Row],[GroupByKey]])*OutputTable[RecordedValue])),0)</f>
        <v>11.761046816598522</v>
      </c>
      <c r="M532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532" cm="1">
        <f t="array" ref="O532">MIN(IF((OutputTable[GroupByKey]=OutputTable[[#This Row],[GroupByKey]]),(OutputTable[GroupByKey]=OutputTable[[#This Row],[GroupByKey]])*OutputTable[RecordedValue]))</f>
        <v>13082</v>
      </c>
      <c r="P532" cm="1">
        <f t="array" ref="P532">MAX(IF((OutputTable[GroupByKey]=OutputTable[[#This Row],[GroupByKey]]),(OutputTable[GroupByKey]=OutputTable[[#This Row],[GroupByKey]])*OutputTable[RecordedValue]))</f>
        <v>13118</v>
      </c>
    </row>
    <row r="533" spans="1:16" x14ac:dyDescent="0.25">
      <c r="A533" t="s">
        <v>67</v>
      </c>
      <c r="B533" t="s">
        <v>243</v>
      </c>
      <c r="C533">
        <v>7</v>
      </c>
      <c r="D533" t="s">
        <v>170</v>
      </c>
      <c r="E533" t="s">
        <v>154</v>
      </c>
      <c r="F533" t="s">
        <v>113</v>
      </c>
      <c r="G533">
        <v>0.15167485045888399</v>
      </c>
      <c r="H533">
        <v>0</v>
      </c>
      <c r="I533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533" cm="1">
        <f t="array" ref="J533">MAX(IF((ProjectInfoTable[ProjectName]=OutputTable[[#This Row],[ProjectName]]),(ProjectInfoTable[ProjectName]=OutputTable[[#This Row],[ProjectName]])*ProjectInfoTable[NumberOfReplications]))</f>
        <v>10</v>
      </c>
      <c r="K533" cm="1">
        <f t="array" ref="K533">IFERROR(AVERAGE(IF((OutputTable[GroupByKey]=OutputTable[[#This Row],[GroupByKey]]),(OutputTable[GroupByKey]=OutputTable[[#This Row],[GroupByKey]])*OutputTable[RecordedValue])),0)</f>
        <v>0.151561654865698</v>
      </c>
      <c r="L533" cm="1">
        <f t="array" ref="L533">IFERROR(_xlfn.STDEV.S(IF((OutputTable[GroupByKey]=OutputTable[[#This Row],[GroupByKey]]),(OutputTable[GroupByKey]=OutputTable[[#This Row],[GroupByKey]])*OutputTable[RecordedValue])),0)</f>
        <v>1.2198256688170919E-4</v>
      </c>
      <c r="M533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8.7261071626859165E-5</v>
      </c>
      <c r="O533" cm="1">
        <f t="array" ref="O533">MIN(IF((OutputTable[GroupByKey]=OutputTable[[#This Row],[GroupByKey]]),(OutputTable[GroupByKey]=OutputTable[[#This Row],[GroupByKey]])*OutputTable[RecordedValue]))</f>
        <v>0.15134711042770399</v>
      </c>
      <c r="P533" cm="1">
        <f t="array" ref="P533">MAX(IF((OutputTable[GroupByKey]=OutputTable[[#This Row],[GroupByKey]]),(OutputTable[GroupByKey]=OutputTable[[#This Row],[GroupByKey]])*OutputTable[RecordedValue]))</f>
        <v>0.15172806047441101</v>
      </c>
    </row>
    <row r="534" spans="1:16" x14ac:dyDescent="0.25">
      <c r="A534" t="s">
        <v>67</v>
      </c>
      <c r="B534" t="s">
        <v>243</v>
      </c>
      <c r="C534">
        <v>7</v>
      </c>
      <c r="D534" t="s">
        <v>171</v>
      </c>
      <c r="E534" t="s">
        <v>152</v>
      </c>
      <c r="F534" t="s">
        <v>113</v>
      </c>
      <c r="G534">
        <v>8238</v>
      </c>
      <c r="H534">
        <v>0</v>
      </c>
      <c r="I534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534" cm="1">
        <f t="array" ref="J534">MAX(IF((ProjectInfoTable[ProjectName]=OutputTable[[#This Row],[ProjectName]]),(ProjectInfoTable[ProjectName]=OutputTable[[#This Row],[ProjectName]])*ProjectInfoTable[NumberOfReplications]))</f>
        <v>10</v>
      </c>
      <c r="K534" cm="1">
        <f t="array" ref="K534">IFERROR(AVERAGE(IF((OutputTable[GroupByKey]=OutputTable[[#This Row],[GroupByKey]]),(OutputTable[GroupByKey]=OutputTable[[#This Row],[GroupByKey]])*OutputTable[RecordedValue])),0)</f>
        <v>8235</v>
      </c>
      <c r="L534" cm="1">
        <f t="array" ref="L534">IFERROR(_xlfn.STDEV.S(IF((OutputTable[GroupByKey]=OutputTable[[#This Row],[GroupByKey]]),(OutputTable[GroupByKey]=OutputTable[[#This Row],[GroupByKey]])*OutputTable[RecordedValue])),0)</f>
        <v>6.5659052011974035</v>
      </c>
      <c r="M534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534" cm="1">
        <f t="array" ref="O534">MIN(IF((OutputTable[GroupByKey]=OutputTable[[#This Row],[GroupByKey]]),(OutputTable[GroupByKey]=OutputTable[[#This Row],[GroupByKey]])*OutputTable[RecordedValue]))</f>
        <v>8223</v>
      </c>
      <c r="P534" cm="1">
        <f t="array" ref="P534">MAX(IF((OutputTable[GroupByKey]=OutputTable[[#This Row],[GroupByKey]]),(OutputTable[GroupByKey]=OutputTable[[#This Row],[GroupByKey]])*OutputTable[RecordedValue]))</f>
        <v>8245</v>
      </c>
    </row>
    <row r="535" spans="1:16" x14ac:dyDescent="0.25">
      <c r="A535" t="s">
        <v>67</v>
      </c>
      <c r="B535" t="s">
        <v>243</v>
      </c>
      <c r="C535">
        <v>7</v>
      </c>
      <c r="D535" t="s">
        <v>172</v>
      </c>
      <c r="E535" t="s">
        <v>154</v>
      </c>
      <c r="F535" t="s">
        <v>113</v>
      </c>
      <c r="G535">
        <v>0.94640294028002103</v>
      </c>
      <c r="H535">
        <v>0</v>
      </c>
      <c r="I535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535" cm="1">
        <f t="array" ref="J535">MAX(IF((ProjectInfoTable[ProjectName]=OutputTable[[#This Row],[ProjectName]]),(ProjectInfoTable[ProjectName]=OutputTable[[#This Row],[ProjectName]])*ProjectInfoTable[NumberOfReplications]))</f>
        <v>10</v>
      </c>
      <c r="K535" cm="1">
        <f t="array" ref="K535">IFERROR(AVERAGE(IF((OutputTable[GroupByKey]=OutputTable[[#This Row],[GroupByKey]]),(OutputTable[GroupByKey]=OutputTable[[#This Row],[GroupByKey]])*OutputTable[RecordedValue])),0)</f>
        <v>0.84558522180863771</v>
      </c>
      <c r="L535" cm="1">
        <f t="array" ref="L535">IFERROR(_xlfn.STDEV.S(IF((OutputTable[GroupByKey]=OutputTable[[#This Row],[GroupByKey]]),(OutputTable[GroupByKey]=OutputTable[[#This Row],[GroupByKey]])*OutputTable[RecordedValue])),0)</f>
        <v>0.11694354024491282</v>
      </c>
      <c r="M53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8.3656369122856733E-2</v>
      </c>
      <c r="O535" cm="1">
        <f t="array" ref="O535">MIN(IF((OutputTable[GroupByKey]=OutputTable[[#This Row],[GroupByKey]]),(OutputTable[GroupByKey]=OutputTable[[#This Row],[GroupByKey]])*OutputTable[RecordedValue]))</f>
        <v>0.625269422960122</v>
      </c>
      <c r="P535" cm="1">
        <f t="array" ref="P535">MAX(IF((OutputTable[GroupByKey]=OutputTable[[#This Row],[GroupByKey]]),(OutputTable[GroupByKey]=OutputTable[[#This Row],[GroupByKey]])*OutputTable[RecordedValue]))</f>
        <v>0.95234896906597499</v>
      </c>
    </row>
    <row r="536" spans="1:16" x14ac:dyDescent="0.25">
      <c r="A536" t="s">
        <v>67</v>
      </c>
      <c r="B536" t="s">
        <v>243</v>
      </c>
      <c r="C536">
        <v>7</v>
      </c>
      <c r="D536" t="s">
        <v>173</v>
      </c>
      <c r="E536" t="s">
        <v>152</v>
      </c>
      <c r="F536" t="s">
        <v>113</v>
      </c>
      <c r="G536">
        <v>8236</v>
      </c>
      <c r="H536">
        <v>0</v>
      </c>
      <c r="I536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536" cm="1">
        <f t="array" ref="J536">MAX(IF((ProjectInfoTable[ProjectName]=OutputTable[[#This Row],[ProjectName]]),(ProjectInfoTable[ProjectName]=OutputTable[[#This Row],[ProjectName]])*ProjectInfoTable[NumberOfReplications]))</f>
        <v>10</v>
      </c>
      <c r="K536" cm="1">
        <f t="array" ref="K536">IFERROR(AVERAGE(IF((OutputTable[GroupByKey]=OutputTable[[#This Row],[GroupByKey]]),(OutputTable[GroupByKey]=OutputTable[[#This Row],[GroupByKey]])*OutputTable[RecordedValue])),0)</f>
        <v>8233.5</v>
      </c>
      <c r="L536" cm="1">
        <f t="array" ref="L536">IFERROR(_xlfn.STDEV.S(IF((OutputTable[GroupByKey]=OutputTable[[#This Row],[GroupByKey]]),(OutputTable[GroupByKey]=OutputTable[[#This Row],[GroupByKey]])*OutputTable[RecordedValue])),0)</f>
        <v>6.5021364010437201</v>
      </c>
      <c r="M536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536" cm="1">
        <f t="array" ref="O536">MIN(IF((OutputTable[GroupByKey]=OutputTable[[#This Row],[GroupByKey]]),(OutputTable[GroupByKey]=OutputTable[[#This Row],[GroupByKey]])*OutputTable[RecordedValue]))</f>
        <v>8221</v>
      </c>
      <c r="P536" cm="1">
        <f t="array" ref="P536">MAX(IF((OutputTable[GroupByKey]=OutputTable[[#This Row],[GroupByKey]]),(OutputTable[GroupByKey]=OutputTable[[#This Row],[GroupByKey]])*OutputTable[RecordedValue]))</f>
        <v>8243</v>
      </c>
    </row>
    <row r="537" spans="1:16" x14ac:dyDescent="0.25">
      <c r="A537" t="s">
        <v>67</v>
      </c>
      <c r="B537" t="s">
        <v>243</v>
      </c>
      <c r="C537">
        <v>7</v>
      </c>
      <c r="D537" t="s">
        <v>174</v>
      </c>
      <c r="E537" t="s">
        <v>154</v>
      </c>
      <c r="F537" t="s">
        <v>113</v>
      </c>
      <c r="G537">
        <v>0.80367374551252302</v>
      </c>
      <c r="H537">
        <v>0</v>
      </c>
      <c r="I537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537" cm="1">
        <f t="array" ref="J537">MAX(IF((ProjectInfoTable[ProjectName]=OutputTable[[#This Row],[ProjectName]]),(ProjectInfoTable[ProjectName]=OutputTable[[#This Row],[ProjectName]])*ProjectInfoTable[NumberOfReplications]))</f>
        <v>10</v>
      </c>
      <c r="K537" cm="1">
        <f t="array" ref="K537">IFERROR(AVERAGE(IF((OutputTable[GroupByKey]=OutputTable[[#This Row],[GroupByKey]]),(OutputTable[GroupByKey]=OutputTable[[#This Row],[GroupByKey]])*OutputTable[RecordedValue])),0)</f>
        <v>0.74077431571180286</v>
      </c>
      <c r="L537" cm="1">
        <f t="array" ref="L537">IFERROR(_xlfn.STDEV.S(IF((OutputTable[GroupByKey]=OutputTable[[#This Row],[GroupByKey]]),(OutputTable[GroupByKey]=OutputTable[[#This Row],[GroupByKey]])*OutputTable[RecordedValue])),0)</f>
        <v>6.1280007141721847E-2</v>
      </c>
      <c r="M537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4.3837076306762375E-2</v>
      </c>
      <c r="O537" cm="1">
        <f t="array" ref="O537">MIN(IF((OutputTable[GroupByKey]=OutputTable[[#This Row],[GroupByKey]]),(OutputTable[GroupByKey]=OutputTable[[#This Row],[GroupByKey]])*OutputTable[RecordedValue]))</f>
        <v>0.67060354368791897</v>
      </c>
      <c r="P537" cm="1">
        <f t="array" ref="P537">MAX(IF((OutputTable[GroupByKey]=OutputTable[[#This Row],[GroupByKey]]),(OutputTable[GroupByKey]=OutputTable[[#This Row],[GroupByKey]])*OutputTable[RecordedValue]))</f>
        <v>0.87728997349342697</v>
      </c>
    </row>
    <row r="538" spans="1:16" x14ac:dyDescent="0.25">
      <c r="A538" t="s">
        <v>67</v>
      </c>
      <c r="B538" t="s">
        <v>243</v>
      </c>
      <c r="C538">
        <v>7</v>
      </c>
      <c r="D538" t="s">
        <v>175</v>
      </c>
      <c r="E538" t="s">
        <v>152</v>
      </c>
      <c r="F538" t="s">
        <v>113</v>
      </c>
      <c r="G538">
        <v>8234</v>
      </c>
      <c r="H538">
        <v>0</v>
      </c>
      <c r="I538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538" cm="1">
        <f t="array" ref="J538">MAX(IF((ProjectInfoTable[ProjectName]=OutputTable[[#This Row],[ProjectName]]),(ProjectInfoTable[ProjectName]=OutputTable[[#This Row],[ProjectName]])*ProjectInfoTable[NumberOfReplications]))</f>
        <v>10</v>
      </c>
      <c r="K538" cm="1">
        <f t="array" ref="K538">IFERROR(AVERAGE(IF((OutputTable[GroupByKey]=OutputTable[[#This Row],[GroupByKey]]),(OutputTable[GroupByKey]=OutputTable[[#This Row],[GroupByKey]])*OutputTable[RecordedValue])),0)</f>
        <v>8231.5</v>
      </c>
      <c r="L538" cm="1">
        <f t="array" ref="L538">IFERROR(_xlfn.STDEV.S(IF((OutputTable[GroupByKey]=OutputTable[[#This Row],[GroupByKey]]),(OutputTable[GroupByKey]=OutputTable[[#This Row],[GroupByKey]])*OutputTable[RecordedValue])),0)</f>
        <v>6.3464775882199236</v>
      </c>
      <c r="M538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538" cm="1">
        <f t="array" ref="O538">MIN(IF((OutputTable[GroupByKey]=OutputTable[[#This Row],[GroupByKey]]),(OutputTable[GroupByKey]=OutputTable[[#This Row],[GroupByKey]])*OutputTable[RecordedValue]))</f>
        <v>8220</v>
      </c>
      <c r="P538" cm="1">
        <f t="array" ref="P538">MAX(IF((OutputTable[GroupByKey]=OutputTable[[#This Row],[GroupByKey]]),(OutputTable[GroupByKey]=OutputTable[[#This Row],[GroupByKey]])*OutputTable[RecordedValue]))</f>
        <v>8241</v>
      </c>
    </row>
    <row r="539" spans="1:16" x14ac:dyDescent="0.25">
      <c r="A539" t="s">
        <v>67</v>
      </c>
      <c r="B539" t="s">
        <v>243</v>
      </c>
      <c r="C539">
        <v>7</v>
      </c>
      <c r="D539" t="s">
        <v>176</v>
      </c>
      <c r="E539" t="s">
        <v>154</v>
      </c>
      <c r="F539" t="s">
        <v>113</v>
      </c>
      <c r="G539">
        <v>0.45750763212080597</v>
      </c>
      <c r="H539">
        <v>0</v>
      </c>
      <c r="I539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539" cm="1">
        <f t="array" ref="J539">MAX(IF((ProjectInfoTable[ProjectName]=OutputTable[[#This Row],[ProjectName]]),(ProjectInfoTable[ProjectName]=OutputTable[[#This Row],[ProjectName]])*ProjectInfoTable[NumberOfReplications]))</f>
        <v>10</v>
      </c>
      <c r="K539" cm="1">
        <f t="array" ref="K539">IFERROR(AVERAGE(IF((OutputTable[GroupByKey]=OutputTable[[#This Row],[GroupByKey]]),(OutputTable[GroupByKey]=OutputTable[[#This Row],[GroupByKey]])*OutputTable[RecordedValue])),0)</f>
        <v>0.52391445815006699</v>
      </c>
      <c r="L539" cm="1">
        <f t="array" ref="L539">IFERROR(_xlfn.STDEV.S(IF((OutputTable[GroupByKey]=OutputTable[[#This Row],[GroupByKey]]),(OutputTable[GroupByKey]=OutputTable[[#This Row],[GroupByKey]])*OutputTable[RecordedValue])),0)</f>
        <v>7.0460308415606909E-2</v>
      </c>
      <c r="M539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5.0404268221927347E-2</v>
      </c>
      <c r="O539" cm="1">
        <f t="array" ref="O539">MIN(IF((OutputTable[GroupByKey]=OutputTable[[#This Row],[GroupByKey]]),(OutputTable[GroupByKey]=OutputTable[[#This Row],[GroupByKey]])*OutputTable[RecordedValue]))</f>
        <v>0.36555656561218303</v>
      </c>
      <c r="P539" cm="1">
        <f t="array" ref="P539">MAX(IF((OutputTable[GroupByKey]=OutputTable[[#This Row],[GroupByKey]]),(OutputTable[GroupByKey]=OutputTable[[#This Row],[GroupByKey]])*OutputTable[RecordedValue]))</f>
        <v>0.59886206518967</v>
      </c>
    </row>
    <row r="540" spans="1:16" x14ac:dyDescent="0.25">
      <c r="A540" t="s">
        <v>67</v>
      </c>
      <c r="B540" t="s">
        <v>243</v>
      </c>
      <c r="C540">
        <v>7</v>
      </c>
      <c r="D540" t="s">
        <v>177</v>
      </c>
      <c r="E540" t="s">
        <v>152</v>
      </c>
      <c r="F540" t="s">
        <v>113</v>
      </c>
      <c r="G540">
        <v>8230</v>
      </c>
      <c r="H540">
        <v>0</v>
      </c>
      <c r="I540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540" cm="1">
        <f t="array" ref="J540">MAX(IF((ProjectInfoTable[ProjectName]=OutputTable[[#This Row],[ProjectName]]),(ProjectInfoTable[ProjectName]=OutputTable[[#This Row],[ProjectName]])*ProjectInfoTable[NumberOfReplications]))</f>
        <v>10</v>
      </c>
      <c r="K540" cm="1">
        <f t="array" ref="K540">IFERROR(AVERAGE(IF((OutputTable[GroupByKey]=OutputTable[[#This Row],[GroupByKey]]),(OutputTable[GroupByKey]=OutputTable[[#This Row],[GroupByKey]])*OutputTable[RecordedValue])),0)</f>
        <v>8227.7000000000007</v>
      </c>
      <c r="L540" cm="1">
        <f t="array" ref="L540">IFERROR(_xlfn.STDEV.S(IF((OutputTable[GroupByKey]=OutputTable[[#This Row],[GroupByKey]]),(OutputTable[GroupByKey]=OutputTable[[#This Row],[GroupByKey]])*OutputTable[RecordedValue])),0)</f>
        <v>6.2902040242480748</v>
      </c>
      <c r="M540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540" cm="1">
        <f t="array" ref="O540">MIN(IF((OutputTable[GroupByKey]=OutputTable[[#This Row],[GroupByKey]]),(OutputTable[GroupByKey]=OutputTable[[#This Row],[GroupByKey]])*OutputTable[RecordedValue]))</f>
        <v>8216</v>
      </c>
      <c r="P540" cm="1">
        <f t="array" ref="P540">MAX(IF((OutputTable[GroupByKey]=OutputTable[[#This Row],[GroupByKey]]),(OutputTable[GroupByKey]=OutputTable[[#This Row],[GroupByKey]])*OutputTable[RecordedValue]))</f>
        <v>8237</v>
      </c>
    </row>
    <row r="541" spans="1:16" x14ac:dyDescent="0.25">
      <c r="A541" t="s">
        <v>67</v>
      </c>
      <c r="B541" t="s">
        <v>243</v>
      </c>
      <c r="C541">
        <v>7</v>
      </c>
      <c r="D541" t="s">
        <v>178</v>
      </c>
      <c r="E541" t="s">
        <v>154</v>
      </c>
      <c r="F541" t="s">
        <v>113</v>
      </c>
      <c r="G541">
        <v>0.14921189842985499</v>
      </c>
      <c r="H541">
        <v>0</v>
      </c>
      <c r="I541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541" cm="1">
        <f t="array" ref="J541">MAX(IF((ProjectInfoTable[ProjectName]=OutputTable[[#This Row],[ProjectName]]),(ProjectInfoTable[ProjectName]=OutputTable[[#This Row],[ProjectName]])*ProjectInfoTable[NumberOfReplications]))</f>
        <v>10</v>
      </c>
      <c r="K541" cm="1">
        <f t="array" ref="K541">IFERROR(AVERAGE(IF((OutputTable[GroupByKey]=OutputTable[[#This Row],[GroupByKey]]),(OutputTable[GroupByKey]=OutputTable[[#This Row],[GroupByKey]])*OutputTable[RecordedValue])),0)</f>
        <v>0.14955853655775292</v>
      </c>
      <c r="L541" cm="1">
        <f t="array" ref="L541">IFERROR(_xlfn.STDEV.S(IF((OutputTable[GroupByKey]=OutputTable[[#This Row],[GroupByKey]]),(OutputTable[GroupByKey]=OutputTable[[#This Row],[GroupByKey]])*OutputTable[RecordedValue])),0)</f>
        <v>1.8487754554887928E-4</v>
      </c>
      <c r="M541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1.3225342896729691E-4</v>
      </c>
      <c r="O541" cm="1">
        <f t="array" ref="O541">MIN(IF((OutputTable[GroupByKey]=OutputTable[[#This Row],[GroupByKey]]),(OutputTable[GroupByKey]=OutputTable[[#This Row],[GroupByKey]])*OutputTable[RecordedValue]))</f>
        <v>0.14921189842985499</v>
      </c>
      <c r="P541" cm="1">
        <f t="array" ref="P541">MAX(IF((OutputTable[GroupByKey]=OutputTable[[#This Row],[GroupByKey]]),(OutputTable[GroupByKey]=OutputTable[[#This Row],[GroupByKey]])*OutputTable[RecordedValue]))</f>
        <v>0.14985050053976801</v>
      </c>
    </row>
    <row r="542" spans="1:16" x14ac:dyDescent="0.25">
      <c r="A542" t="s">
        <v>67</v>
      </c>
      <c r="B542" t="s">
        <v>243</v>
      </c>
      <c r="C542">
        <v>7</v>
      </c>
      <c r="D542" t="s">
        <v>179</v>
      </c>
      <c r="E542" t="s">
        <v>152</v>
      </c>
      <c r="F542" t="s">
        <v>113</v>
      </c>
      <c r="G542">
        <v>18398</v>
      </c>
      <c r="H542">
        <v>0</v>
      </c>
      <c r="I542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542" cm="1">
        <f t="array" ref="J542">MAX(IF((ProjectInfoTable[ProjectName]=OutputTable[[#This Row],[ProjectName]]),(ProjectInfoTable[ProjectName]=OutputTable[[#This Row],[ProjectName]])*ProjectInfoTable[NumberOfReplications]))</f>
        <v>10</v>
      </c>
      <c r="K542" cm="1">
        <f t="array" ref="K542">IFERROR(AVERAGE(IF((OutputTable[GroupByKey]=OutputTable[[#This Row],[GroupByKey]]),(OutputTable[GroupByKey]=OutputTable[[#This Row],[GroupByKey]])*OutputTable[RecordedValue])),0)</f>
        <v>18392</v>
      </c>
      <c r="L542" cm="1">
        <f t="array" ref="L542">IFERROR(_xlfn.STDEV.S(IF((OutputTable[GroupByKey]=OutputTable[[#This Row],[GroupByKey]]),(OutputTable[GroupByKey]=OutputTable[[#This Row],[GroupByKey]])*OutputTable[RecordedValue])),0)</f>
        <v>12.884098726725126</v>
      </c>
      <c r="M542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542" cm="1">
        <f t="array" ref="O542">MIN(IF((OutputTable[GroupByKey]=OutputTable[[#This Row],[GroupByKey]]),(OutputTable[GroupByKey]=OutputTable[[#This Row],[GroupByKey]])*OutputTable[RecordedValue]))</f>
        <v>18376</v>
      </c>
      <c r="P542" cm="1">
        <f t="array" ref="P542">MAX(IF((OutputTable[GroupByKey]=OutputTable[[#This Row],[GroupByKey]]),(OutputTable[GroupByKey]=OutputTable[[#This Row],[GroupByKey]])*OutputTable[RecordedValue]))</f>
        <v>18407</v>
      </c>
    </row>
    <row r="543" spans="1:16" x14ac:dyDescent="0.25">
      <c r="A543" t="s">
        <v>67</v>
      </c>
      <c r="B543" t="s">
        <v>243</v>
      </c>
      <c r="C543">
        <v>7</v>
      </c>
      <c r="D543" t="s">
        <v>180</v>
      </c>
      <c r="E543" t="s">
        <v>154</v>
      </c>
      <c r="F543" t="s">
        <v>113</v>
      </c>
      <c r="G543">
        <v>0.89992010424272495</v>
      </c>
      <c r="H543">
        <v>0</v>
      </c>
      <c r="I543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543" cm="1">
        <f t="array" ref="J543">MAX(IF((ProjectInfoTable[ProjectName]=OutputTable[[#This Row],[ProjectName]]),(ProjectInfoTable[ProjectName]=OutputTable[[#This Row],[ProjectName]])*ProjectInfoTable[NumberOfReplications]))</f>
        <v>10</v>
      </c>
      <c r="K543" cm="1">
        <f t="array" ref="K543">IFERROR(AVERAGE(IF((OutputTable[GroupByKey]=OutputTable[[#This Row],[GroupByKey]]),(OutputTable[GroupByKey]=OutputTable[[#This Row],[GroupByKey]])*OutputTable[RecordedValue])),0)</f>
        <v>0.78490250681152463</v>
      </c>
      <c r="L543" cm="1">
        <f t="array" ref="L543">IFERROR(_xlfn.STDEV.S(IF((OutputTable[GroupByKey]=OutputTable[[#This Row],[GroupByKey]]),(OutputTable[GroupByKey]=OutputTable[[#This Row],[GroupByKey]])*OutputTable[RecordedValue])),0)</f>
        <v>0.11345978752761485</v>
      </c>
      <c r="M543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8.1164242557843561E-2</v>
      </c>
      <c r="O543" cm="1">
        <f t="array" ref="O543">MIN(IF((OutputTable[GroupByKey]=OutputTable[[#This Row],[GroupByKey]]),(OutputTable[GroupByKey]=OutputTable[[#This Row],[GroupByKey]])*OutputTable[RecordedValue]))</f>
        <v>0.58338388917401596</v>
      </c>
      <c r="P543" cm="1">
        <f t="array" ref="P543">MAX(IF((OutputTable[GroupByKey]=OutputTable[[#This Row],[GroupByKey]]),(OutputTable[GroupByKey]=OutputTable[[#This Row],[GroupByKey]])*OutputTable[RecordedValue]))</f>
        <v>0.90111632059041802</v>
      </c>
    </row>
    <row r="544" spans="1:16" x14ac:dyDescent="0.25">
      <c r="A544" t="s">
        <v>67</v>
      </c>
      <c r="B544" t="s">
        <v>243</v>
      </c>
      <c r="C544">
        <v>7</v>
      </c>
      <c r="D544" t="s">
        <v>181</v>
      </c>
      <c r="E544" t="s">
        <v>152</v>
      </c>
      <c r="F544" t="s">
        <v>113</v>
      </c>
      <c r="G544">
        <v>18394</v>
      </c>
      <c r="H544">
        <v>0</v>
      </c>
      <c r="I544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544" cm="1">
        <f t="array" ref="J544">MAX(IF((ProjectInfoTable[ProjectName]=OutputTable[[#This Row],[ProjectName]]),(ProjectInfoTable[ProjectName]=OutputTable[[#This Row],[ProjectName]])*ProjectInfoTable[NumberOfReplications]))</f>
        <v>10</v>
      </c>
      <c r="K544" cm="1">
        <f t="array" ref="K544">IFERROR(AVERAGE(IF((OutputTable[GroupByKey]=OutputTable[[#This Row],[GroupByKey]]),(OutputTable[GroupByKey]=OutputTable[[#This Row],[GroupByKey]])*OutputTable[RecordedValue])),0)</f>
        <v>18389.400000000001</v>
      </c>
      <c r="L544" cm="1">
        <f t="array" ref="L544">IFERROR(_xlfn.STDEV.S(IF((OutputTable[GroupByKey]=OutputTable[[#This Row],[GroupByKey]]),(OutputTable[GroupByKey]=OutputTable[[#This Row],[GroupByKey]])*OutputTable[RecordedValue])),0)</f>
        <v>12.103259432437566</v>
      </c>
      <c r="M544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544" cm="1">
        <f t="array" ref="O544">MIN(IF((OutputTable[GroupByKey]=OutputTable[[#This Row],[GroupByKey]]),(OutputTable[GroupByKey]=OutputTable[[#This Row],[GroupByKey]])*OutputTable[RecordedValue]))</f>
        <v>18376</v>
      </c>
      <c r="P544" cm="1">
        <f t="array" ref="P544">MAX(IF((OutputTable[GroupByKey]=OutputTable[[#This Row],[GroupByKey]]),(OutputTable[GroupByKey]=OutputTable[[#This Row],[GroupByKey]])*OutputTable[RecordedValue]))</f>
        <v>18404</v>
      </c>
    </row>
    <row r="545" spans="1:16" x14ac:dyDescent="0.25">
      <c r="A545" t="s">
        <v>67</v>
      </c>
      <c r="B545" t="s">
        <v>243</v>
      </c>
      <c r="C545">
        <v>7</v>
      </c>
      <c r="D545" t="s">
        <v>182</v>
      </c>
      <c r="E545" t="s">
        <v>154</v>
      </c>
      <c r="F545" t="s">
        <v>113</v>
      </c>
      <c r="G545">
        <v>0.15878533453201499</v>
      </c>
      <c r="H545">
        <v>0</v>
      </c>
      <c r="I545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545" cm="1">
        <f t="array" ref="J545">MAX(IF((ProjectInfoTable[ProjectName]=OutputTable[[#This Row],[ProjectName]]),(ProjectInfoTable[ProjectName]=OutputTable[[#This Row],[ProjectName]])*ProjectInfoTable[NumberOfReplications]))</f>
        <v>10</v>
      </c>
      <c r="K545" cm="1">
        <f t="array" ref="K545">IFERROR(AVERAGE(IF((OutputTable[GroupByKey]=OutputTable[[#This Row],[GroupByKey]]),(OutputTable[GroupByKey]=OutputTable[[#This Row],[GroupByKey]])*OutputTable[RecordedValue])),0)</f>
        <v>0.15879210791146151</v>
      </c>
      <c r="L545" cm="1">
        <f t="array" ref="L545">IFERROR(_xlfn.STDEV.S(IF((OutputTable[GroupByKey]=OutputTable[[#This Row],[GroupByKey]]),(OutputTable[GroupByKey]=OutputTable[[#This Row],[GroupByKey]])*OutputTable[RecordedValue])),0)</f>
        <v>8.8786593843692651E-6</v>
      </c>
      <c r="M54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6.3514103063698042E-6</v>
      </c>
      <c r="O545" cm="1">
        <f t="array" ref="O545">MIN(IF((OutputTable[GroupByKey]=OutputTable[[#This Row],[GroupByKey]]),(OutputTable[GroupByKey]=OutputTable[[#This Row],[GroupByKey]])*OutputTable[RecordedValue]))</f>
        <v>0.15877821852350199</v>
      </c>
      <c r="P545" cm="1">
        <f t="array" ref="P545">MAX(IF((OutputTable[GroupByKey]=OutputTable[[#This Row],[GroupByKey]]),(OutputTable[GroupByKey]=OutputTable[[#This Row],[GroupByKey]])*OutputTable[RecordedValue]))</f>
        <v>0.15880443244107401</v>
      </c>
    </row>
    <row r="546" spans="1:16" x14ac:dyDescent="0.25">
      <c r="A546" t="s">
        <v>67</v>
      </c>
      <c r="B546" t="s">
        <v>243</v>
      </c>
      <c r="C546">
        <v>7</v>
      </c>
      <c r="D546" t="s">
        <v>183</v>
      </c>
      <c r="E546" t="s">
        <v>152</v>
      </c>
      <c r="F546" t="s">
        <v>113</v>
      </c>
      <c r="G546">
        <v>13115</v>
      </c>
      <c r="H546">
        <v>0</v>
      </c>
      <c r="I546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546" cm="1">
        <f t="array" ref="J546">MAX(IF((ProjectInfoTable[ProjectName]=OutputTable[[#This Row],[ProjectName]]),(ProjectInfoTable[ProjectName]=OutputTable[[#This Row],[ProjectName]])*ProjectInfoTable[NumberOfReplications]))</f>
        <v>10</v>
      </c>
      <c r="K546" cm="1">
        <f t="array" ref="K546">IFERROR(AVERAGE(IF((OutputTable[GroupByKey]=OutputTable[[#This Row],[GroupByKey]]),(OutputTable[GroupByKey]=OutputTable[[#This Row],[GroupByKey]])*OutputTable[RecordedValue])),0)</f>
        <v>13103.5</v>
      </c>
      <c r="L546" cm="1">
        <f t="array" ref="L546">IFERROR(_xlfn.STDEV.S(IF((OutputTable[GroupByKey]=OutputTable[[#This Row],[GroupByKey]]),(OutputTable[GroupByKey]=OutputTable[[#This Row],[GroupByKey]])*OutputTable[RecordedValue])),0)</f>
        <v>11.443095929181249</v>
      </c>
      <c r="M546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546" cm="1">
        <f t="array" ref="O546">MIN(IF((OutputTable[GroupByKey]=OutputTable[[#This Row],[GroupByKey]]),(OutputTable[GroupByKey]=OutputTable[[#This Row],[GroupByKey]])*OutputTable[RecordedValue]))</f>
        <v>13087</v>
      </c>
      <c r="P546" cm="1">
        <f t="array" ref="P546">MAX(IF((OutputTable[GroupByKey]=OutputTable[[#This Row],[GroupByKey]]),(OutputTable[GroupByKey]=OutputTable[[#This Row],[GroupByKey]])*OutputTable[RecordedValue]))</f>
        <v>13120</v>
      </c>
    </row>
    <row r="547" spans="1:16" x14ac:dyDescent="0.25">
      <c r="A547" t="s">
        <v>67</v>
      </c>
      <c r="B547" t="s">
        <v>243</v>
      </c>
      <c r="C547">
        <v>7</v>
      </c>
      <c r="D547" t="s">
        <v>184</v>
      </c>
      <c r="E547" t="s">
        <v>154</v>
      </c>
      <c r="F547" t="s">
        <v>113</v>
      </c>
      <c r="G547">
        <v>1.0005802224770399</v>
      </c>
      <c r="H547">
        <v>0</v>
      </c>
      <c r="I547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547" cm="1">
        <f t="array" ref="J547">MAX(IF((ProjectInfoTable[ProjectName]=OutputTable[[#This Row],[ProjectName]]),(ProjectInfoTable[ProjectName]=OutputTable[[#This Row],[ProjectName]])*ProjectInfoTable[NumberOfReplications]))</f>
        <v>10</v>
      </c>
      <c r="K547" cm="1">
        <f t="array" ref="K547">IFERROR(AVERAGE(IF((OutputTable[GroupByKey]=OutputTable[[#This Row],[GroupByKey]]),(OutputTable[GroupByKey]=OutputTable[[#This Row],[GroupByKey]])*OutputTable[RecordedValue])),0)</f>
        <v>1.0004814685732331</v>
      </c>
      <c r="L547" cm="1">
        <f t="array" ref="L547">IFERROR(_xlfn.STDEV.S(IF((OutputTable[GroupByKey]=OutputTable[[#This Row],[GroupByKey]]),(OutputTable[GroupByKey]=OutputTable[[#This Row],[GroupByKey]])*OutputTable[RecordedValue])),0)</f>
        <v>7.4280555176725285E-5</v>
      </c>
      <c r="M547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5.3137108125005439E-5</v>
      </c>
      <c r="O547" cm="1">
        <f t="array" ref="O547">MIN(IF((OutputTable[GroupByKey]=OutputTable[[#This Row],[GroupByKey]]),(OutputTable[GroupByKey]=OutputTable[[#This Row],[GroupByKey]])*OutputTable[RecordedValue]))</f>
        <v>1.00039897320567</v>
      </c>
      <c r="P547" cm="1">
        <f t="array" ref="P547">MAX(IF((OutputTable[GroupByKey]=OutputTable[[#This Row],[GroupByKey]]),(OutputTable[GroupByKey]=OutputTable[[#This Row],[GroupByKey]])*OutputTable[RecordedValue]))</f>
        <v>1.00059414734778</v>
      </c>
    </row>
    <row r="548" spans="1:16" x14ac:dyDescent="0.25">
      <c r="A548" t="s">
        <v>67</v>
      </c>
      <c r="B548" t="s">
        <v>243</v>
      </c>
      <c r="C548">
        <v>7</v>
      </c>
      <c r="D548" t="s">
        <v>185</v>
      </c>
      <c r="E548" t="s">
        <v>152</v>
      </c>
      <c r="F548" t="s">
        <v>113</v>
      </c>
      <c r="G548">
        <v>13111</v>
      </c>
      <c r="H548">
        <v>0</v>
      </c>
      <c r="I548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548" cm="1">
        <f t="array" ref="J548">MAX(IF((ProjectInfoTable[ProjectName]=OutputTable[[#This Row],[ProjectName]]),(ProjectInfoTable[ProjectName]=OutputTable[[#This Row],[ProjectName]])*ProjectInfoTable[NumberOfReplications]))</f>
        <v>10</v>
      </c>
      <c r="K548" cm="1">
        <f t="array" ref="K548">IFERROR(AVERAGE(IF((OutputTable[GroupByKey]=OutputTable[[#This Row],[GroupByKey]]),(OutputTable[GroupByKey]=OutputTable[[#This Row],[GroupByKey]])*OutputTable[RecordedValue])),0)</f>
        <v>13100.1</v>
      </c>
      <c r="L548" cm="1">
        <f t="array" ref="L548">IFERROR(_xlfn.STDEV.S(IF((OutputTable[GroupByKey]=OutputTable[[#This Row],[GroupByKey]]),(OutputTable[GroupByKey]=OutputTable[[#This Row],[GroupByKey]])*OutputTable[RecordedValue])),0)</f>
        <v>11.46443776786866</v>
      </c>
      <c r="M548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548" cm="1">
        <f t="array" ref="O548">MIN(IF((OutputTable[GroupByKey]=OutputTable[[#This Row],[GroupByKey]]),(OutputTable[GroupByKey]=OutputTable[[#This Row],[GroupByKey]])*OutputTable[RecordedValue]))</f>
        <v>13083</v>
      </c>
      <c r="P548" cm="1">
        <f t="array" ref="P548">MAX(IF((OutputTable[GroupByKey]=OutputTable[[#This Row],[GroupByKey]]),(OutputTable[GroupByKey]=OutputTable[[#This Row],[GroupByKey]])*OutputTable[RecordedValue]))</f>
        <v>13118</v>
      </c>
    </row>
    <row r="549" spans="1:16" x14ac:dyDescent="0.25">
      <c r="A549" t="s">
        <v>67</v>
      </c>
      <c r="B549" t="s">
        <v>243</v>
      </c>
      <c r="C549">
        <v>7</v>
      </c>
      <c r="D549" t="s">
        <v>186</v>
      </c>
      <c r="E549" t="s">
        <v>154</v>
      </c>
      <c r="F549" t="s">
        <v>113</v>
      </c>
      <c r="G549">
        <v>0.72867591318948299</v>
      </c>
      <c r="H549">
        <v>0</v>
      </c>
      <c r="I549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549" cm="1">
        <f t="array" ref="J549">MAX(IF((ProjectInfoTable[ProjectName]=OutputTable[[#This Row],[ProjectName]]),(ProjectInfoTable[ProjectName]=OutputTable[[#This Row],[ProjectName]])*ProjectInfoTable[NumberOfReplications]))</f>
        <v>10</v>
      </c>
      <c r="K549" cm="1">
        <f t="array" ref="K549">IFERROR(AVERAGE(IF((OutputTable[GroupByKey]=OutputTable[[#This Row],[GroupByKey]]),(OutputTable[GroupByKey]=OutputTable[[#This Row],[GroupByKey]])*OutputTable[RecordedValue])),0)</f>
        <v>0.7279059511079462</v>
      </c>
      <c r="L549" cm="1">
        <f t="array" ref="L549">IFERROR(_xlfn.STDEV.S(IF((OutputTable[GroupByKey]=OutputTable[[#This Row],[GroupByKey]]),(OutputTable[GroupByKey]=OutputTable[[#This Row],[GroupByKey]])*OutputTable[RecordedValue])),0)</f>
        <v>7.0848304180243249E-4</v>
      </c>
      <c r="M549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5.0681823671647316E-4</v>
      </c>
      <c r="O549" cm="1">
        <f t="array" ref="O549">MIN(IF((OutputTable[GroupByKey]=OutputTable[[#This Row],[GroupByKey]]),(OutputTable[GroupByKey]=OutputTable[[#This Row],[GroupByKey]])*OutputTable[RecordedValue]))</f>
        <v>0.72665767143328297</v>
      </c>
      <c r="P549" cm="1">
        <f t="array" ref="P549">MAX(IF((OutputTable[GroupByKey]=OutputTable[[#This Row],[GroupByKey]]),(OutputTable[GroupByKey]=OutputTable[[#This Row],[GroupByKey]])*OutputTable[RecordedValue]))</f>
        <v>0.72896261310967603</v>
      </c>
    </row>
    <row r="550" spans="1:16" x14ac:dyDescent="0.25">
      <c r="A550" t="s">
        <v>67</v>
      </c>
      <c r="B550" t="s">
        <v>243</v>
      </c>
      <c r="C550">
        <v>7</v>
      </c>
      <c r="D550" t="s">
        <v>187</v>
      </c>
      <c r="E550" t="s">
        <v>152</v>
      </c>
      <c r="F550" t="s">
        <v>113</v>
      </c>
      <c r="G550">
        <v>13111</v>
      </c>
      <c r="H550">
        <v>0</v>
      </c>
      <c r="I550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550" cm="1">
        <f t="array" ref="J550">MAX(IF((ProjectInfoTable[ProjectName]=OutputTable[[#This Row],[ProjectName]]),(ProjectInfoTable[ProjectName]=OutputTable[[#This Row],[ProjectName]])*ProjectInfoTable[NumberOfReplications]))</f>
        <v>10</v>
      </c>
      <c r="K550" cm="1">
        <f t="array" ref="K550">IFERROR(AVERAGE(IF((OutputTable[GroupByKey]=OutputTable[[#This Row],[GroupByKey]]),(OutputTable[GroupByKey]=OutputTable[[#This Row],[GroupByKey]])*OutputTable[RecordedValue])),0)</f>
        <v>13099.9</v>
      </c>
      <c r="L550" cm="1">
        <f t="array" ref="L550">IFERROR(_xlfn.STDEV.S(IF((OutputTable[GroupByKey]=OutputTable[[#This Row],[GroupByKey]]),(OutputTable[GroupByKey]=OutputTable[[#This Row],[GroupByKey]])*OutputTable[RecordedValue])),0)</f>
        <v>11.761046816598522</v>
      </c>
      <c r="M550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550" cm="1">
        <f t="array" ref="O550">MIN(IF((OutputTable[GroupByKey]=OutputTable[[#This Row],[GroupByKey]]),(OutputTable[GroupByKey]=OutputTable[[#This Row],[GroupByKey]])*OutputTable[RecordedValue]))</f>
        <v>13082</v>
      </c>
      <c r="P550" cm="1">
        <f t="array" ref="P550">MAX(IF((OutputTable[GroupByKey]=OutputTable[[#This Row],[GroupByKey]]),(OutputTable[GroupByKey]=OutputTable[[#This Row],[GroupByKey]])*OutputTable[RecordedValue]))</f>
        <v>13118</v>
      </c>
    </row>
    <row r="551" spans="1:16" x14ac:dyDescent="0.25">
      <c r="A551" t="s">
        <v>67</v>
      </c>
      <c r="B551" t="s">
        <v>243</v>
      </c>
      <c r="C551">
        <v>7</v>
      </c>
      <c r="D551" t="s">
        <v>188</v>
      </c>
      <c r="E551" t="s">
        <v>154</v>
      </c>
      <c r="F551" t="s">
        <v>113</v>
      </c>
      <c r="G551">
        <v>0.95555155789096802</v>
      </c>
      <c r="H551">
        <v>0</v>
      </c>
      <c r="I551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551" cm="1">
        <f t="array" ref="J551">MAX(IF((ProjectInfoTable[ProjectName]=OutputTable[[#This Row],[ProjectName]]),(ProjectInfoTable[ProjectName]=OutputTable[[#This Row],[ProjectName]])*ProjectInfoTable[NumberOfReplications]))</f>
        <v>10</v>
      </c>
      <c r="K551" cm="1">
        <f t="array" ref="K551">IFERROR(AVERAGE(IF((OutputTable[GroupByKey]=OutputTable[[#This Row],[GroupByKey]]),(OutputTable[GroupByKey]=OutputTable[[#This Row],[GroupByKey]])*OutputTable[RecordedValue])),0)</f>
        <v>0.95483842565389732</v>
      </c>
      <c r="L551" cm="1">
        <f t="array" ref="L551">IFERROR(_xlfn.STDEV.S(IF((OutputTable[GroupByKey]=OutputTable[[#This Row],[GroupByKey]]),(OutputTable[GroupByKey]=OutputTable[[#This Row],[GroupByKey]])*OutputTable[RecordedValue])),0)</f>
        <v>7.6849017135544289E-4</v>
      </c>
      <c r="M551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5.497447512496955E-4</v>
      </c>
      <c r="O551" cm="1">
        <f t="array" ref="O551">MIN(IF((OutputTable[GroupByKey]=OutputTable[[#This Row],[GroupByKey]]),(OutputTable[GroupByKey]=OutputTable[[#This Row],[GroupByKey]])*OutputTable[RecordedValue]))</f>
        <v>0.95348679569453398</v>
      </c>
      <c r="P551" cm="1">
        <f t="array" ref="P551">MAX(IF((OutputTable[GroupByKey]=OutputTable[[#This Row],[GroupByKey]]),(OutputTable[GroupByKey]=OutputTable[[#This Row],[GroupByKey]])*OutputTable[RecordedValue]))</f>
        <v>0.95588678098879198</v>
      </c>
    </row>
    <row r="552" spans="1:16" x14ac:dyDescent="0.25">
      <c r="A552" t="s">
        <v>67</v>
      </c>
      <c r="B552" t="s">
        <v>243</v>
      </c>
      <c r="C552">
        <v>7</v>
      </c>
      <c r="D552" t="s">
        <v>189</v>
      </c>
      <c r="E552" t="s">
        <v>152</v>
      </c>
      <c r="F552" t="s">
        <v>113</v>
      </c>
      <c r="G552">
        <v>8238</v>
      </c>
      <c r="H552">
        <v>0</v>
      </c>
      <c r="I552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552" cm="1">
        <f t="array" ref="J552">MAX(IF((ProjectInfoTable[ProjectName]=OutputTable[[#This Row],[ProjectName]]),(ProjectInfoTable[ProjectName]=OutputTable[[#This Row],[ProjectName]])*ProjectInfoTable[NumberOfReplications]))</f>
        <v>10</v>
      </c>
      <c r="K552" cm="1">
        <f t="array" ref="K552">IFERROR(AVERAGE(IF((OutputTable[GroupByKey]=OutputTable[[#This Row],[GroupByKey]]),(OutputTable[GroupByKey]=OutputTable[[#This Row],[GroupByKey]])*OutputTable[RecordedValue])),0)</f>
        <v>8235</v>
      </c>
      <c r="L552" cm="1">
        <f t="array" ref="L552">IFERROR(_xlfn.STDEV.S(IF((OutputTable[GroupByKey]=OutputTable[[#This Row],[GroupByKey]]),(OutputTable[GroupByKey]=OutputTable[[#This Row],[GroupByKey]])*OutputTable[RecordedValue])),0)</f>
        <v>6.5659052011974035</v>
      </c>
      <c r="M552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552" cm="1">
        <f t="array" ref="O552">MIN(IF((OutputTable[GroupByKey]=OutputTable[[#This Row],[GroupByKey]]),(OutputTable[GroupByKey]=OutputTable[[#This Row],[GroupByKey]])*OutputTable[RecordedValue]))</f>
        <v>8223</v>
      </c>
      <c r="P552" cm="1">
        <f t="array" ref="P552">MAX(IF((OutputTable[GroupByKey]=OutputTable[[#This Row],[GroupByKey]]),(OutputTable[GroupByKey]=OutputTable[[#This Row],[GroupByKey]])*OutputTable[RecordedValue]))</f>
        <v>8245</v>
      </c>
    </row>
    <row r="553" spans="1:16" x14ac:dyDescent="0.25">
      <c r="A553" t="s">
        <v>67</v>
      </c>
      <c r="B553" t="s">
        <v>243</v>
      </c>
      <c r="C553">
        <v>7</v>
      </c>
      <c r="D553" t="s">
        <v>190</v>
      </c>
      <c r="E553" t="s">
        <v>154</v>
      </c>
      <c r="F553" t="s">
        <v>113</v>
      </c>
      <c r="G553">
        <v>0.48705635380753198</v>
      </c>
      <c r="H553">
        <v>0</v>
      </c>
      <c r="I553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553" cm="1">
        <f t="array" ref="J553">MAX(IF((ProjectInfoTable[ProjectName]=OutputTable[[#This Row],[ProjectName]]),(ProjectInfoTable[ProjectName]=OutputTable[[#This Row],[ProjectName]])*ProjectInfoTable[NumberOfReplications]))</f>
        <v>10</v>
      </c>
      <c r="K553" cm="1">
        <f t="array" ref="K553">IFERROR(AVERAGE(IF((OutputTable[GroupByKey]=OutputTable[[#This Row],[GroupByKey]]),(OutputTable[GroupByKey]=OutputTable[[#This Row],[GroupByKey]])*OutputTable[RecordedValue])),0)</f>
        <v>0.48622459141633045</v>
      </c>
      <c r="L553" cm="1">
        <f t="array" ref="L553">IFERROR(_xlfn.STDEV.S(IF((OutputTable[GroupByKey]=OutputTable[[#This Row],[GroupByKey]]),(OutputTable[GroupByKey]=OutputTable[[#This Row],[GroupByKey]])*OutputTable[RecordedValue])),0)</f>
        <v>7.2585329819825151E-4</v>
      </c>
      <c r="M553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5.1924416958770345E-4</v>
      </c>
      <c r="O553" cm="1">
        <f t="array" ref="O553">MIN(IF((OutputTable[GroupByKey]=OutputTable[[#This Row],[GroupByKey]]),(OutputTable[GroupByKey]=OutputTable[[#This Row],[GroupByKey]])*OutputTable[RecordedValue]))</f>
        <v>0.48503601840289501</v>
      </c>
      <c r="P553" cm="1">
        <f t="array" ref="P553">MAX(IF((OutputTable[GroupByKey]=OutputTable[[#This Row],[GroupByKey]]),(OutputTable[GroupByKey]=OutputTable[[#This Row],[GroupByKey]])*OutputTable[RecordedValue]))</f>
        <v>0.48724920721519499</v>
      </c>
    </row>
    <row r="554" spans="1:16" x14ac:dyDescent="0.25">
      <c r="A554" t="s">
        <v>67</v>
      </c>
      <c r="B554" t="s">
        <v>243</v>
      </c>
      <c r="C554">
        <v>7</v>
      </c>
      <c r="D554" t="s">
        <v>191</v>
      </c>
      <c r="E554" t="s">
        <v>152</v>
      </c>
      <c r="F554" t="s">
        <v>113</v>
      </c>
      <c r="G554">
        <v>8236</v>
      </c>
      <c r="H554">
        <v>0</v>
      </c>
      <c r="I554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554" cm="1">
        <f t="array" ref="J554">MAX(IF((ProjectInfoTable[ProjectName]=OutputTable[[#This Row],[ProjectName]]),(ProjectInfoTable[ProjectName]=OutputTable[[#This Row],[ProjectName]])*ProjectInfoTable[NumberOfReplications]))</f>
        <v>10</v>
      </c>
      <c r="K554" cm="1">
        <f t="array" ref="K554">IFERROR(AVERAGE(IF((OutputTable[GroupByKey]=OutputTable[[#This Row],[GroupByKey]]),(OutputTable[GroupByKey]=OutputTable[[#This Row],[GroupByKey]])*OutputTable[RecordedValue])),0)</f>
        <v>8233.5</v>
      </c>
      <c r="L554" cm="1">
        <f t="array" ref="L554">IFERROR(_xlfn.STDEV.S(IF((OutputTable[GroupByKey]=OutputTable[[#This Row],[GroupByKey]]),(OutputTable[GroupByKey]=OutputTable[[#This Row],[GroupByKey]])*OutputTable[RecordedValue])),0)</f>
        <v>6.5021364010437201</v>
      </c>
      <c r="M554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554" cm="1">
        <f t="array" ref="O554">MIN(IF((OutputTable[GroupByKey]=OutputTable[[#This Row],[GroupByKey]]),(OutputTable[GroupByKey]=OutputTable[[#This Row],[GroupByKey]])*OutputTable[RecordedValue]))</f>
        <v>8221</v>
      </c>
      <c r="P554" cm="1">
        <f t="array" ref="P554">MAX(IF((OutputTable[GroupByKey]=OutputTable[[#This Row],[GroupByKey]]),(OutputTable[GroupByKey]=OutputTable[[#This Row],[GroupByKey]])*OutputTable[RecordedValue]))</f>
        <v>8243</v>
      </c>
    </row>
    <row r="555" spans="1:16" x14ac:dyDescent="0.25">
      <c r="A555" t="s">
        <v>67</v>
      </c>
      <c r="B555" t="s">
        <v>243</v>
      </c>
      <c r="C555">
        <v>7</v>
      </c>
      <c r="D555" t="s">
        <v>192</v>
      </c>
      <c r="E555" t="s">
        <v>154</v>
      </c>
      <c r="F555" t="s">
        <v>113</v>
      </c>
      <c r="G555">
        <v>0.57218889353149305</v>
      </c>
      <c r="H555">
        <v>0</v>
      </c>
      <c r="I555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555" cm="1">
        <f t="array" ref="J555">MAX(IF((ProjectInfoTable[ProjectName]=OutputTable[[#This Row],[ProjectName]]),(ProjectInfoTable[ProjectName]=OutputTable[[#This Row],[ProjectName]])*ProjectInfoTable[NumberOfReplications]))</f>
        <v>10</v>
      </c>
      <c r="K555" cm="1">
        <f t="array" ref="K555">IFERROR(AVERAGE(IF((OutputTable[GroupByKey]=OutputTable[[#This Row],[GroupByKey]]),(OutputTable[GroupByKey]=OutputTable[[#This Row],[GroupByKey]])*OutputTable[RecordedValue])),0)</f>
        <v>0.57195959594019841</v>
      </c>
      <c r="L555" cm="1">
        <f t="array" ref="L555">IFERROR(_xlfn.STDEV.S(IF((OutputTable[GroupByKey]=OutputTable[[#This Row],[GroupByKey]]),(OutputTable[GroupByKey]=OutputTable[[#This Row],[GroupByKey]])*OutputTable[RecordedValue])),0)</f>
        <v>5.0695895005827636E-4</v>
      </c>
      <c r="M55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3.6265658596782525E-4</v>
      </c>
      <c r="O555" cm="1">
        <f t="array" ref="O555">MIN(IF((OutputTable[GroupByKey]=OutputTable[[#This Row],[GroupByKey]]),(OutputTable[GroupByKey]=OutputTable[[#This Row],[GroupByKey]])*OutputTable[RecordedValue]))</f>
        <v>0.57115702440598504</v>
      </c>
      <c r="P555" cm="1">
        <f t="array" ref="P555">MAX(IF((OutputTable[GroupByKey]=OutputTable[[#This Row],[GroupByKey]]),(OutputTable[GroupByKey]=OutputTable[[#This Row],[GroupByKey]])*OutputTable[RecordedValue]))</f>
        <v>0.57294957522841605</v>
      </c>
    </row>
    <row r="556" spans="1:16" x14ac:dyDescent="0.25">
      <c r="A556" t="s">
        <v>67</v>
      </c>
      <c r="B556" t="s">
        <v>243</v>
      </c>
      <c r="C556">
        <v>7</v>
      </c>
      <c r="D556" t="s">
        <v>193</v>
      </c>
      <c r="E556" t="s">
        <v>152</v>
      </c>
      <c r="F556" t="s">
        <v>113</v>
      </c>
      <c r="G556">
        <v>8234</v>
      </c>
      <c r="H556">
        <v>0</v>
      </c>
      <c r="I556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556" cm="1">
        <f t="array" ref="J556">MAX(IF((ProjectInfoTable[ProjectName]=OutputTable[[#This Row],[ProjectName]]),(ProjectInfoTable[ProjectName]=OutputTable[[#This Row],[ProjectName]])*ProjectInfoTable[NumberOfReplications]))</f>
        <v>10</v>
      </c>
      <c r="K556" cm="1">
        <f t="array" ref="K556">IFERROR(AVERAGE(IF((OutputTable[GroupByKey]=OutputTable[[#This Row],[GroupByKey]]),(OutputTable[GroupByKey]=OutputTable[[#This Row],[GroupByKey]])*OutputTable[RecordedValue])),0)</f>
        <v>8231.5</v>
      </c>
      <c r="L556" cm="1">
        <f t="array" ref="L556">IFERROR(_xlfn.STDEV.S(IF((OutputTable[GroupByKey]=OutputTable[[#This Row],[GroupByKey]]),(OutputTable[GroupByKey]=OutputTable[[#This Row],[GroupByKey]])*OutputTable[RecordedValue])),0)</f>
        <v>6.3464775882199236</v>
      </c>
      <c r="M556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556" cm="1">
        <f t="array" ref="O556">MIN(IF((OutputTable[GroupByKey]=OutputTable[[#This Row],[GroupByKey]]),(OutputTable[GroupByKey]=OutputTable[[#This Row],[GroupByKey]])*OutputTable[RecordedValue]))</f>
        <v>8220</v>
      </c>
      <c r="P556" cm="1">
        <f t="array" ref="P556">MAX(IF((OutputTable[GroupByKey]=OutputTable[[#This Row],[GroupByKey]]),(OutputTable[GroupByKey]=OutputTable[[#This Row],[GroupByKey]])*OutputTable[RecordedValue]))</f>
        <v>8241</v>
      </c>
    </row>
    <row r="557" spans="1:16" x14ac:dyDescent="0.25">
      <c r="A557" t="s">
        <v>67</v>
      </c>
      <c r="B557" t="s">
        <v>243</v>
      </c>
      <c r="C557">
        <v>7</v>
      </c>
      <c r="D557" t="s">
        <v>194</v>
      </c>
      <c r="E557" t="s">
        <v>154</v>
      </c>
      <c r="F557" t="s">
        <v>113</v>
      </c>
      <c r="G557">
        <v>1.00054878018042</v>
      </c>
      <c r="H557">
        <v>0</v>
      </c>
      <c r="I557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557" cm="1">
        <f t="array" ref="J557">MAX(IF((ProjectInfoTable[ProjectName]=OutputTable[[#This Row],[ProjectName]]),(ProjectInfoTable[ProjectName]=OutputTable[[#This Row],[ProjectName]])*ProjectInfoTable[NumberOfReplications]))</f>
        <v>10</v>
      </c>
      <c r="K557" cm="1">
        <f t="array" ref="K557">IFERROR(AVERAGE(IF((OutputTable[GroupByKey]=OutputTable[[#This Row],[GroupByKey]]),(OutputTable[GroupByKey]=OutputTable[[#This Row],[GroupByKey]])*OutputTable[RecordedValue])),0)</f>
        <v>1.0004557942559711</v>
      </c>
      <c r="L557" cm="1">
        <f t="array" ref="L557">IFERROR(_xlfn.STDEV.S(IF((OutputTable[GroupByKey]=OutputTable[[#This Row],[GroupByKey]]),(OutputTable[GroupByKey]=OutputTable[[#This Row],[GroupByKey]])*OutputTable[RecordedValue])),0)</f>
        <v>1.6760007580081014E-4</v>
      </c>
      <c r="M557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1.1989387166531641E-4</v>
      </c>
      <c r="O557" cm="1">
        <f t="array" ref="O557">MIN(IF((OutputTable[GroupByKey]=OutputTable[[#This Row],[GroupByKey]]),(OutputTable[GroupByKey]=OutputTable[[#This Row],[GroupByKey]])*OutputTable[RecordedValue]))</f>
        <v>1.0000655989645</v>
      </c>
      <c r="P557" cm="1">
        <f t="array" ref="P557">MAX(IF((OutputTable[GroupByKey]=OutputTable[[#This Row],[GroupByKey]]),(OutputTable[GroupByKey]=OutputTable[[#This Row],[GroupByKey]])*OutputTable[RecordedValue]))</f>
        <v>1.00068312738094</v>
      </c>
    </row>
    <row r="558" spans="1:16" x14ac:dyDescent="0.25">
      <c r="A558" t="s">
        <v>67</v>
      </c>
      <c r="B558" t="s">
        <v>243</v>
      </c>
      <c r="C558">
        <v>7</v>
      </c>
      <c r="D558" t="s">
        <v>195</v>
      </c>
      <c r="E558" t="s">
        <v>152</v>
      </c>
      <c r="F558" t="s">
        <v>113</v>
      </c>
      <c r="G558">
        <v>8230</v>
      </c>
      <c r="H558">
        <v>0</v>
      </c>
      <c r="I558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558" cm="1">
        <f t="array" ref="J558">MAX(IF((ProjectInfoTable[ProjectName]=OutputTable[[#This Row],[ProjectName]]),(ProjectInfoTable[ProjectName]=OutputTable[[#This Row],[ProjectName]])*ProjectInfoTable[NumberOfReplications]))</f>
        <v>10</v>
      </c>
      <c r="K558" cm="1">
        <f t="array" ref="K558">IFERROR(AVERAGE(IF((OutputTable[GroupByKey]=OutputTable[[#This Row],[GroupByKey]]),(OutputTable[GroupByKey]=OutputTable[[#This Row],[GroupByKey]])*OutputTable[RecordedValue])),0)</f>
        <v>8227.7000000000007</v>
      </c>
      <c r="L558" cm="1">
        <f t="array" ref="L558">IFERROR(_xlfn.STDEV.S(IF((OutputTable[GroupByKey]=OutputTable[[#This Row],[GroupByKey]]),(OutputTable[GroupByKey]=OutputTable[[#This Row],[GroupByKey]])*OutputTable[RecordedValue])),0)</f>
        <v>6.2902040242480748</v>
      </c>
      <c r="M558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558" cm="1">
        <f t="array" ref="O558">MIN(IF((OutputTable[GroupByKey]=OutputTable[[#This Row],[GroupByKey]]),(OutputTable[GroupByKey]=OutputTable[[#This Row],[GroupByKey]])*OutputTable[RecordedValue]))</f>
        <v>8216</v>
      </c>
      <c r="P558" cm="1">
        <f t="array" ref="P558">MAX(IF((OutputTable[GroupByKey]=OutputTable[[#This Row],[GroupByKey]]),(OutputTable[GroupByKey]=OutputTable[[#This Row],[GroupByKey]])*OutputTable[RecordedValue]))</f>
        <v>8237</v>
      </c>
    </row>
    <row r="559" spans="1:16" x14ac:dyDescent="0.25">
      <c r="A559" t="s">
        <v>67</v>
      </c>
      <c r="B559" t="s">
        <v>243</v>
      </c>
      <c r="C559">
        <v>7</v>
      </c>
      <c r="D559" t="s">
        <v>196</v>
      </c>
      <c r="E559" t="s">
        <v>154</v>
      </c>
      <c r="F559" t="s">
        <v>113</v>
      </c>
      <c r="G559">
        <v>0.62668997340539101</v>
      </c>
      <c r="H559">
        <v>0</v>
      </c>
      <c r="I559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559" cm="1">
        <f t="array" ref="J559">MAX(IF((ProjectInfoTable[ProjectName]=OutputTable[[#This Row],[ProjectName]]),(ProjectInfoTable[ProjectName]=OutputTable[[#This Row],[ProjectName]])*ProjectInfoTable[NumberOfReplications]))</f>
        <v>10</v>
      </c>
      <c r="K559" cm="1">
        <f t="array" ref="K559">IFERROR(AVERAGE(IF((OutputTable[GroupByKey]=OutputTable[[#This Row],[GroupByKey]]),(OutputTable[GroupByKey]=OutputTable[[#This Row],[GroupByKey]])*OutputTable[RecordedValue])),0)</f>
        <v>0.62814585354256225</v>
      </c>
      <c r="L559" cm="1">
        <f t="array" ref="L559">IFERROR(_xlfn.STDEV.S(IF((OutputTable[GroupByKey]=OutputTable[[#This Row],[GroupByKey]]),(OutputTable[GroupByKey]=OutputTable[[#This Row],[GroupByKey]])*OutputTable[RecordedValue])),0)</f>
        <v>7.7648569130547428E-4</v>
      </c>
      <c r="M559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5.5546440166277669E-4</v>
      </c>
      <c r="O559" cm="1">
        <f t="array" ref="O559">MIN(IF((OutputTable[GroupByKey]=OutputTable[[#This Row],[GroupByKey]]),(OutputTable[GroupByKey]=OutputTable[[#This Row],[GroupByKey]])*OutputTable[RecordedValue]))</f>
        <v>0.62668997340539101</v>
      </c>
      <c r="P559" cm="1">
        <f t="array" ref="P559">MAX(IF((OutputTable[GroupByKey]=OutputTable[[#This Row],[GroupByKey]]),(OutputTable[GroupByKey]=OutputTable[[#This Row],[GroupByKey]])*OutputTable[RecordedValue]))</f>
        <v>0.629372102267024</v>
      </c>
    </row>
    <row r="560" spans="1:16" x14ac:dyDescent="0.25">
      <c r="A560" t="s">
        <v>67</v>
      </c>
      <c r="B560" t="s">
        <v>243</v>
      </c>
      <c r="C560">
        <v>7</v>
      </c>
      <c r="D560" t="s">
        <v>197</v>
      </c>
      <c r="E560" t="s">
        <v>152</v>
      </c>
      <c r="F560" t="s">
        <v>113</v>
      </c>
      <c r="G560">
        <v>18398</v>
      </c>
      <c r="H560">
        <v>0</v>
      </c>
      <c r="I560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560" cm="1">
        <f t="array" ref="J560">MAX(IF((ProjectInfoTable[ProjectName]=OutputTable[[#This Row],[ProjectName]]),(ProjectInfoTable[ProjectName]=OutputTable[[#This Row],[ProjectName]])*ProjectInfoTable[NumberOfReplications]))</f>
        <v>10</v>
      </c>
      <c r="K560" cm="1">
        <f t="array" ref="K560">IFERROR(AVERAGE(IF((OutputTable[GroupByKey]=OutputTable[[#This Row],[GroupByKey]]),(OutputTable[GroupByKey]=OutputTable[[#This Row],[GroupByKey]])*OutputTable[RecordedValue])),0)</f>
        <v>18392</v>
      </c>
      <c r="L560" cm="1">
        <f t="array" ref="L560">IFERROR(_xlfn.STDEV.S(IF((OutputTable[GroupByKey]=OutputTable[[#This Row],[GroupByKey]]),(OutputTable[GroupByKey]=OutputTable[[#This Row],[GroupByKey]])*OutputTable[RecordedValue])),0)</f>
        <v>12.884098726725126</v>
      </c>
      <c r="M560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560" cm="1">
        <f t="array" ref="O560">MIN(IF((OutputTable[GroupByKey]=OutputTable[[#This Row],[GroupByKey]]),(OutputTable[GroupByKey]=OutputTable[[#This Row],[GroupByKey]])*OutputTable[RecordedValue]))</f>
        <v>18376</v>
      </c>
      <c r="P560" cm="1">
        <f t="array" ref="P560">MAX(IF((OutputTable[GroupByKey]=OutputTable[[#This Row],[GroupByKey]]),(OutputTable[GroupByKey]=OutputTable[[#This Row],[GroupByKey]])*OutputTable[RecordedValue]))</f>
        <v>18407</v>
      </c>
    </row>
    <row r="561" spans="1:16" x14ac:dyDescent="0.25">
      <c r="A561" t="s">
        <v>67</v>
      </c>
      <c r="B561" t="s">
        <v>243</v>
      </c>
      <c r="C561">
        <v>7</v>
      </c>
      <c r="D561" t="s">
        <v>198</v>
      </c>
      <c r="E561" t="s">
        <v>154</v>
      </c>
      <c r="F561" t="s">
        <v>113</v>
      </c>
      <c r="G561">
        <v>0.958151745151268</v>
      </c>
      <c r="H561">
        <v>0</v>
      </c>
      <c r="I561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561" cm="1">
        <f t="array" ref="J561">MAX(IF((ProjectInfoTable[ProjectName]=OutputTable[[#This Row],[ProjectName]]),(ProjectInfoTable[ProjectName]=OutputTable[[#This Row],[ProjectName]])*ProjectInfoTable[NumberOfReplications]))</f>
        <v>10</v>
      </c>
      <c r="K561" cm="1">
        <f t="array" ref="K561">IFERROR(AVERAGE(IF((OutputTable[GroupByKey]=OutputTable[[#This Row],[GroupByKey]]),(OutputTable[GroupByKey]=OutputTable[[#This Row],[GroupByKey]])*OutputTable[RecordedValue])),0)</f>
        <v>0.9578548406389944</v>
      </c>
      <c r="L561" cm="1">
        <f t="array" ref="L561">IFERROR(_xlfn.STDEV.S(IF((OutputTable[GroupByKey]=OutputTable[[#This Row],[GroupByKey]]),(OutputTable[GroupByKey]=OutputTable[[#This Row],[GroupByKey]])*OutputTable[RecordedValue])),0)</f>
        <v>7.0772834598480485E-4</v>
      </c>
      <c r="M561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5.0627835985142609E-4</v>
      </c>
      <c r="O561" cm="1">
        <f t="array" ref="O561">MIN(IF((OutputTable[GroupByKey]=OutputTable[[#This Row],[GroupByKey]]),(OutputTable[GroupByKey]=OutputTable[[#This Row],[GroupByKey]])*OutputTable[RecordedValue]))</f>
        <v>0.95655010461043799</v>
      </c>
      <c r="P561" cm="1">
        <f t="array" ref="P561">MAX(IF((OutputTable[GroupByKey]=OutputTable[[#This Row],[GroupByKey]]),(OutputTable[GroupByKey]=OutputTable[[#This Row],[GroupByKey]])*OutputTable[RecordedValue]))</f>
        <v>0.95869742508961697</v>
      </c>
    </row>
    <row r="562" spans="1:16" x14ac:dyDescent="0.25">
      <c r="A562" t="s">
        <v>67</v>
      </c>
      <c r="B562" t="s">
        <v>243</v>
      </c>
      <c r="C562">
        <v>7</v>
      </c>
      <c r="D562" t="s">
        <v>199</v>
      </c>
      <c r="E562" t="s">
        <v>152</v>
      </c>
      <c r="F562" t="s">
        <v>113</v>
      </c>
      <c r="G562">
        <v>18394</v>
      </c>
      <c r="H562">
        <v>0</v>
      </c>
      <c r="I562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562" cm="1">
        <f t="array" ref="J562">MAX(IF((ProjectInfoTable[ProjectName]=OutputTable[[#This Row],[ProjectName]]),(ProjectInfoTable[ProjectName]=OutputTable[[#This Row],[ProjectName]])*ProjectInfoTable[NumberOfReplications]))</f>
        <v>10</v>
      </c>
      <c r="K562" cm="1">
        <f t="array" ref="K562">IFERROR(AVERAGE(IF((OutputTable[GroupByKey]=OutputTable[[#This Row],[GroupByKey]]),(OutputTable[GroupByKey]=OutputTable[[#This Row],[GroupByKey]])*OutputTable[RecordedValue])),0)</f>
        <v>18389.400000000001</v>
      </c>
      <c r="L562" cm="1">
        <f t="array" ref="L562">IFERROR(_xlfn.STDEV.S(IF((OutputTable[GroupByKey]=OutputTable[[#This Row],[GroupByKey]]),(OutputTable[GroupByKey]=OutputTable[[#This Row],[GroupByKey]])*OutputTable[RecordedValue])),0)</f>
        <v>12.103259432437566</v>
      </c>
      <c r="M562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562" cm="1">
        <f t="array" ref="O562">MIN(IF((OutputTable[GroupByKey]=OutputTable[[#This Row],[GroupByKey]]),(OutputTable[GroupByKey]=OutputTable[[#This Row],[GroupByKey]])*OutputTable[RecordedValue]))</f>
        <v>18376</v>
      </c>
      <c r="P562" cm="1">
        <f t="array" ref="P562">MAX(IF((OutputTable[GroupByKey]=OutputTable[[#This Row],[GroupByKey]]),(OutputTable[GroupByKey]=OutputTable[[#This Row],[GroupByKey]])*OutputTable[RecordedValue]))</f>
        <v>18404</v>
      </c>
    </row>
    <row r="563" spans="1:16" x14ac:dyDescent="0.25">
      <c r="A563" t="s">
        <v>67</v>
      </c>
      <c r="B563" t="s">
        <v>243</v>
      </c>
      <c r="C563">
        <v>7</v>
      </c>
      <c r="D563" t="s">
        <v>200</v>
      </c>
      <c r="E563" t="s">
        <v>154</v>
      </c>
      <c r="F563" t="s">
        <v>113</v>
      </c>
      <c r="G563">
        <v>1.0003476075516899</v>
      </c>
      <c r="H563">
        <v>0</v>
      </c>
      <c r="I563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563" cm="1">
        <f t="array" ref="J563">MAX(IF((ProjectInfoTable[ProjectName]=OutputTable[[#This Row],[ProjectName]]),(ProjectInfoTable[ProjectName]=OutputTable[[#This Row],[ProjectName]])*ProjectInfoTable[NumberOfReplications]))</f>
        <v>10</v>
      </c>
      <c r="K563" cm="1">
        <f t="array" ref="K563">IFERROR(AVERAGE(IF((OutputTable[GroupByKey]=OutputTable[[#This Row],[GroupByKey]]),(OutputTable[GroupByKey]=OutputTable[[#This Row],[GroupByKey]])*OutputTable[RecordedValue])),0)</f>
        <v>1.0003902798422071</v>
      </c>
      <c r="L563" cm="1">
        <f t="array" ref="L563">IFERROR(_xlfn.STDEV.S(IF((OutputTable[GroupByKey]=OutputTable[[#This Row],[GroupByKey]]),(OutputTable[GroupByKey]=OutputTable[[#This Row],[GroupByKey]])*OutputTable[RecordedValue])),0)</f>
        <v>5.593555412291058E-5</v>
      </c>
      <c r="M563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4.0013884931119971E-5</v>
      </c>
      <c r="O563" cm="1">
        <f t="array" ref="O563">MIN(IF((OutputTable[GroupByKey]=OutputTable[[#This Row],[GroupByKey]]),(OutputTable[GroupByKey]=OutputTable[[#This Row],[GroupByKey]])*OutputTable[RecordedValue]))</f>
        <v>1.0003027766980599</v>
      </c>
      <c r="P563" cm="1">
        <f t="array" ref="P563">MAX(IF((OutputTable[GroupByKey]=OutputTable[[#This Row],[GroupByKey]]),(OutputTable[GroupByKey]=OutputTable[[#This Row],[GroupByKey]])*OutputTable[RecordedValue]))</f>
        <v>1.00046792437877</v>
      </c>
    </row>
    <row r="564" spans="1:16" x14ac:dyDescent="0.25">
      <c r="A564" t="s">
        <v>67</v>
      </c>
      <c r="B564" t="s">
        <v>243</v>
      </c>
      <c r="C564">
        <v>7</v>
      </c>
      <c r="D564" t="s">
        <v>201</v>
      </c>
      <c r="E564" t="s">
        <v>202</v>
      </c>
      <c r="F564" t="s">
        <v>87</v>
      </c>
      <c r="G564">
        <v>156930.294881654</v>
      </c>
      <c r="H564">
        <v>0</v>
      </c>
      <c r="I564" t="str">
        <f>OutputTable[[#This Row],[ProjectName]]&amp;OutputTable[[#This Row],[Name]]&amp;OutputTable[[#This Row],[Type]]&amp;OutputTable[[#This Row],[Source]]</f>
        <v>Unnamed ProjectProcess 1 Accum VA TimeAccum VA TimeProcess</v>
      </c>
      <c r="J564" cm="1">
        <f t="array" ref="J564">MAX(IF((ProjectInfoTable[ProjectName]=OutputTable[[#This Row],[ProjectName]]),(ProjectInfoTable[ProjectName]=OutputTable[[#This Row],[ProjectName]])*ProjectInfoTable[NumberOfReplications]))</f>
        <v>10</v>
      </c>
      <c r="K564" cm="1">
        <f t="array" ref="K564">IFERROR(AVERAGE(IF((OutputTable[GroupByKey]=OutputTable[[#This Row],[GroupByKey]]),(OutputTable[GroupByKey]=OutputTable[[#This Row],[GroupByKey]])*OutputTable[RecordedValue])),0)</f>
        <v>157133.73428655442</v>
      </c>
      <c r="L564" cm="1">
        <f t="array" ref="L564">IFERROR(_xlfn.STDEV.S(IF((OutputTable[GroupByKey]=OutputTable[[#This Row],[GroupByKey]]),(OutputTable[GroupByKey]=OutputTable[[#This Row],[GroupByKey]])*OutputTable[RecordedValue])),0)</f>
        <v>123.15330812839177</v>
      </c>
      <c r="M564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88.098569462778244</v>
      </c>
      <c r="O564" cm="1">
        <f t="array" ref="O564">MIN(IF((OutputTable[GroupByKey]=OutputTable[[#This Row],[GroupByKey]]),(OutputTable[GroupByKey]=OutputTable[[#This Row],[GroupByKey]])*OutputTable[RecordedValue]))</f>
        <v>156930.294881654</v>
      </c>
      <c r="P564" cm="1">
        <f t="array" ref="P564">MAX(IF((OutputTable[GroupByKey]=OutputTable[[#This Row],[GroupByKey]]),(OutputTable[GroupByKey]=OutputTable[[#This Row],[GroupByKey]])*OutputTable[RecordedValue]))</f>
        <v>157303.990839153</v>
      </c>
    </row>
    <row r="565" spans="1:16" x14ac:dyDescent="0.25">
      <c r="A565" t="s">
        <v>67</v>
      </c>
      <c r="B565" t="s">
        <v>243</v>
      </c>
      <c r="C565">
        <v>7</v>
      </c>
      <c r="D565" t="s">
        <v>203</v>
      </c>
      <c r="E565" t="s">
        <v>156</v>
      </c>
      <c r="F565" t="s">
        <v>87</v>
      </c>
      <c r="G565">
        <v>13115</v>
      </c>
      <c r="H565">
        <v>0</v>
      </c>
      <c r="I565" t="str">
        <f>OutputTable[[#This Row],[ProjectName]]&amp;OutputTable[[#This Row],[Name]]&amp;OutputTable[[#This Row],[Type]]&amp;OutputTable[[#This Row],[Source]]</f>
        <v>Unnamed ProjectProcess 1 Number InNumber InProcess</v>
      </c>
      <c r="J565" cm="1">
        <f t="array" ref="J565">MAX(IF((ProjectInfoTable[ProjectName]=OutputTable[[#This Row],[ProjectName]]),(ProjectInfoTable[ProjectName]=OutputTable[[#This Row],[ProjectName]])*ProjectInfoTable[NumberOfReplications]))</f>
        <v>10</v>
      </c>
      <c r="K565" cm="1">
        <f t="array" ref="K565">IFERROR(AVERAGE(IF((OutputTable[GroupByKey]=OutputTable[[#This Row],[GroupByKey]]),(OutputTable[GroupByKey]=OutputTable[[#This Row],[GroupByKey]])*OutputTable[RecordedValue])),0)</f>
        <v>13103.5</v>
      </c>
      <c r="L565" cm="1">
        <f t="array" ref="L565">IFERROR(_xlfn.STDEV.S(IF((OutputTable[GroupByKey]=OutputTable[[#This Row],[GroupByKey]]),(OutputTable[GroupByKey]=OutputTable[[#This Row],[GroupByKey]])*OutputTable[RecordedValue])),0)</f>
        <v>11.443095929181249</v>
      </c>
      <c r="M56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565" cm="1">
        <f t="array" ref="O565">MIN(IF((OutputTable[GroupByKey]=OutputTable[[#This Row],[GroupByKey]]),(OutputTable[GroupByKey]=OutputTable[[#This Row],[GroupByKey]])*OutputTable[RecordedValue]))</f>
        <v>13087</v>
      </c>
      <c r="P565" cm="1">
        <f t="array" ref="P565">MAX(IF((OutputTable[GroupByKey]=OutputTable[[#This Row],[GroupByKey]]),(OutputTable[GroupByKey]=OutputTable[[#This Row],[GroupByKey]])*OutputTable[RecordedValue]))</f>
        <v>13120</v>
      </c>
    </row>
    <row r="566" spans="1:16" x14ac:dyDescent="0.25">
      <c r="A566" t="s">
        <v>67</v>
      </c>
      <c r="B566" t="s">
        <v>243</v>
      </c>
      <c r="C566">
        <v>7</v>
      </c>
      <c r="D566" t="s">
        <v>204</v>
      </c>
      <c r="E566" t="s">
        <v>158</v>
      </c>
      <c r="F566" t="s">
        <v>87</v>
      </c>
      <c r="G566">
        <v>13115</v>
      </c>
      <c r="H566">
        <v>0</v>
      </c>
      <c r="I566" t="str">
        <f>OutputTable[[#This Row],[ProjectName]]&amp;OutputTable[[#This Row],[Name]]&amp;OutputTable[[#This Row],[Type]]&amp;OutputTable[[#This Row],[Source]]</f>
        <v>Unnamed ProjectProcess 1 Number OutNumber OutProcess</v>
      </c>
      <c r="J566" cm="1">
        <f t="array" ref="J566">MAX(IF((ProjectInfoTable[ProjectName]=OutputTable[[#This Row],[ProjectName]]),(ProjectInfoTable[ProjectName]=OutputTable[[#This Row],[ProjectName]])*ProjectInfoTable[NumberOfReplications]))</f>
        <v>10</v>
      </c>
      <c r="K566" cm="1">
        <f t="array" ref="K566">IFERROR(AVERAGE(IF((OutputTable[GroupByKey]=OutputTable[[#This Row],[GroupByKey]]),(OutputTable[GroupByKey]=OutputTable[[#This Row],[GroupByKey]])*OutputTable[RecordedValue])),0)</f>
        <v>13103.5</v>
      </c>
      <c r="L566" cm="1">
        <f t="array" ref="L566">IFERROR(_xlfn.STDEV.S(IF((OutputTable[GroupByKey]=OutputTable[[#This Row],[GroupByKey]]),(OutputTable[GroupByKey]=OutputTable[[#This Row],[GroupByKey]])*OutputTable[RecordedValue])),0)</f>
        <v>11.443095929181249</v>
      </c>
      <c r="M566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566" cm="1">
        <f t="array" ref="O566">MIN(IF((OutputTable[GroupByKey]=OutputTable[[#This Row],[GroupByKey]]),(OutputTable[GroupByKey]=OutputTable[[#This Row],[GroupByKey]])*OutputTable[RecordedValue]))</f>
        <v>13087</v>
      </c>
      <c r="P566" cm="1">
        <f t="array" ref="P566">MAX(IF((OutputTable[GroupByKey]=OutputTable[[#This Row],[GroupByKey]]),(OutputTable[GroupByKey]=OutputTable[[#This Row],[GroupByKey]])*OutputTable[RecordedValue]))</f>
        <v>13120</v>
      </c>
    </row>
    <row r="567" spans="1:16" x14ac:dyDescent="0.25">
      <c r="A567" t="s">
        <v>67</v>
      </c>
      <c r="B567" t="s">
        <v>243</v>
      </c>
      <c r="C567">
        <v>7</v>
      </c>
      <c r="D567" t="s">
        <v>205</v>
      </c>
      <c r="E567" t="s">
        <v>202</v>
      </c>
      <c r="F567" t="s">
        <v>87</v>
      </c>
      <c r="G567">
        <v>21830.728539563101</v>
      </c>
      <c r="H567">
        <v>0</v>
      </c>
      <c r="I567" t="str">
        <f>OutputTable[[#This Row],[ProjectName]]&amp;OutputTable[[#This Row],[Name]]&amp;OutputTable[[#This Row],[Type]]&amp;OutputTable[[#This Row],[Source]]</f>
        <v>Unnamed ProjectProcess 14 Accum VA TimeAccum VA TimeProcess</v>
      </c>
      <c r="J567" cm="1">
        <f t="array" ref="J567">MAX(IF((ProjectInfoTable[ProjectName]=OutputTable[[#This Row],[ProjectName]]),(ProjectInfoTable[ProjectName]=OutputTable[[#This Row],[ProjectName]])*ProjectInfoTable[NumberOfReplications]))</f>
        <v>10</v>
      </c>
      <c r="K567" cm="1">
        <f t="array" ref="K567">IFERROR(AVERAGE(IF((OutputTable[GroupByKey]=OutputTable[[#This Row],[GroupByKey]]),(OutputTable[GroupByKey]=OutputTable[[#This Row],[GroupByKey]])*OutputTable[RecordedValue])),0)</f>
        <v>21817.897664333104</v>
      </c>
      <c r="L567" cm="1">
        <f t="array" ref="L567">IFERROR(_xlfn.STDEV.S(IF((OutputTable[GroupByKey]=OutputTable[[#This Row],[GroupByKey]]),(OutputTable[GroupByKey]=OutputTable[[#This Row],[GroupByKey]])*OutputTable[RecordedValue])),0)</f>
        <v>40.377465047897729</v>
      </c>
      <c r="M567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28.884298467602775</v>
      </c>
      <c r="O567" cm="1">
        <f t="array" ref="O567">MIN(IF((OutputTable[GroupByKey]=OutputTable[[#This Row],[GroupByKey]]),(OutputTable[GroupByKey]=OutputTable[[#This Row],[GroupByKey]])*OutputTable[RecordedValue]))</f>
        <v>21737.561928445</v>
      </c>
      <c r="P567" cm="1">
        <f t="array" ref="P567">MAX(IF((OutputTable[GroupByKey]=OutputTable[[#This Row],[GroupByKey]]),(OutputTable[GroupByKey]=OutputTable[[#This Row],[GroupByKey]])*OutputTable[RecordedValue]))</f>
        <v>21880.2668082411</v>
      </c>
    </row>
    <row r="568" spans="1:16" x14ac:dyDescent="0.25">
      <c r="A568" t="s">
        <v>67</v>
      </c>
      <c r="B568" t="s">
        <v>243</v>
      </c>
      <c r="C568">
        <v>7</v>
      </c>
      <c r="D568" t="s">
        <v>206</v>
      </c>
      <c r="E568" t="s">
        <v>156</v>
      </c>
      <c r="F568" t="s">
        <v>87</v>
      </c>
      <c r="G568">
        <v>6553</v>
      </c>
      <c r="H568">
        <v>0</v>
      </c>
      <c r="I568" t="str">
        <f>OutputTable[[#This Row],[ProjectName]]&amp;OutputTable[[#This Row],[Name]]&amp;OutputTable[[#This Row],[Type]]&amp;OutputTable[[#This Row],[Source]]</f>
        <v>Unnamed ProjectProcess 14 Number InNumber InProcess</v>
      </c>
      <c r="J568" cm="1">
        <f t="array" ref="J568">MAX(IF((ProjectInfoTable[ProjectName]=OutputTable[[#This Row],[ProjectName]]),(ProjectInfoTable[ProjectName]=OutputTable[[#This Row],[ProjectName]])*ProjectInfoTable[NumberOfReplications]))</f>
        <v>10</v>
      </c>
      <c r="K568" cm="1">
        <f t="array" ref="K568">IFERROR(AVERAGE(IF((OutputTable[GroupByKey]=OutputTable[[#This Row],[GroupByKey]]),(OutputTable[GroupByKey]=OutputTable[[#This Row],[GroupByKey]])*OutputTable[RecordedValue])),0)</f>
        <v>6547.7</v>
      </c>
      <c r="L568" cm="1">
        <f t="array" ref="L568">IFERROR(_xlfn.STDEV.S(IF((OutputTable[GroupByKey]=OutputTable[[#This Row],[GroupByKey]]),(OutputTable[GroupByKey]=OutputTable[[#This Row],[GroupByKey]])*OutputTable[RecordedValue])),0)</f>
        <v>5.735852159879995</v>
      </c>
      <c r="M568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568" cm="1">
        <f t="array" ref="O568">MIN(IF((OutputTable[GroupByKey]=OutputTable[[#This Row],[GroupByKey]]),(OutputTable[GroupByKey]=OutputTable[[#This Row],[GroupByKey]])*OutputTable[RecordedValue]))</f>
        <v>6540</v>
      </c>
      <c r="P568" cm="1">
        <f t="array" ref="P568">MAX(IF((OutputTable[GroupByKey]=OutputTable[[#This Row],[GroupByKey]]),(OutputTable[GroupByKey]=OutputTable[[#This Row],[GroupByKey]])*OutputTable[RecordedValue]))</f>
        <v>6557</v>
      </c>
    </row>
    <row r="569" spans="1:16" x14ac:dyDescent="0.25">
      <c r="A569" t="s">
        <v>67</v>
      </c>
      <c r="B569" t="s">
        <v>243</v>
      </c>
      <c r="C569">
        <v>7</v>
      </c>
      <c r="D569" t="s">
        <v>207</v>
      </c>
      <c r="E569" t="s">
        <v>158</v>
      </c>
      <c r="F569" t="s">
        <v>87</v>
      </c>
      <c r="G569">
        <v>6553</v>
      </c>
      <c r="H569">
        <v>0</v>
      </c>
      <c r="I569" t="str">
        <f>OutputTable[[#This Row],[ProjectName]]&amp;OutputTable[[#This Row],[Name]]&amp;OutputTable[[#This Row],[Type]]&amp;OutputTable[[#This Row],[Source]]</f>
        <v>Unnamed ProjectProcess 14 Number OutNumber OutProcess</v>
      </c>
      <c r="J569" cm="1">
        <f t="array" ref="J569">MAX(IF((ProjectInfoTable[ProjectName]=OutputTable[[#This Row],[ProjectName]]),(ProjectInfoTable[ProjectName]=OutputTable[[#This Row],[ProjectName]])*ProjectInfoTable[NumberOfReplications]))</f>
        <v>10</v>
      </c>
      <c r="K569" cm="1">
        <f t="array" ref="K569">IFERROR(AVERAGE(IF((OutputTable[GroupByKey]=OutputTable[[#This Row],[GroupByKey]]),(OutputTable[GroupByKey]=OutputTable[[#This Row],[GroupByKey]])*OutputTable[RecordedValue])),0)</f>
        <v>6547.3</v>
      </c>
      <c r="L569" cm="1">
        <f t="array" ref="L569">IFERROR(_xlfn.STDEV.S(IF((OutputTable[GroupByKey]=OutputTable[[#This Row],[GroupByKey]]),(OutputTable[GroupByKey]=OutputTable[[#This Row],[GroupByKey]])*OutputTable[RecordedValue])),0)</f>
        <v>5.7164480035925962</v>
      </c>
      <c r="M569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4.0893005569921828</v>
      </c>
      <c r="O569" cm="1">
        <f t="array" ref="O569">MIN(IF((OutputTable[GroupByKey]=OutputTable[[#This Row],[GroupByKey]]),(OutputTable[GroupByKey]=OutputTable[[#This Row],[GroupByKey]])*OutputTable[RecordedValue]))</f>
        <v>6539</v>
      </c>
      <c r="P569" cm="1">
        <f t="array" ref="P569">MAX(IF((OutputTable[GroupByKey]=OutputTable[[#This Row],[GroupByKey]]),(OutputTable[GroupByKey]=OutputTable[[#This Row],[GroupByKey]])*OutputTable[RecordedValue]))</f>
        <v>6556</v>
      </c>
    </row>
    <row r="570" spans="1:16" x14ac:dyDescent="0.25">
      <c r="A570" t="s">
        <v>67</v>
      </c>
      <c r="B570" t="s">
        <v>243</v>
      </c>
      <c r="C570">
        <v>7</v>
      </c>
      <c r="D570" t="s">
        <v>208</v>
      </c>
      <c r="E570" t="s">
        <v>202</v>
      </c>
      <c r="F570" t="s">
        <v>87</v>
      </c>
      <c r="G570">
        <v>78813.563030885096</v>
      </c>
      <c r="H570">
        <v>0</v>
      </c>
      <c r="I570" t="str">
        <f>OutputTable[[#This Row],[ProjectName]]&amp;OutputTable[[#This Row],[Name]]&amp;OutputTable[[#This Row],[Type]]&amp;OutputTable[[#This Row],[Source]]</f>
        <v>Unnamed ProjectProcess 2 Accum VA TimeAccum VA TimeProcess</v>
      </c>
      <c r="J570" cm="1">
        <f t="array" ref="J570">MAX(IF((ProjectInfoTable[ProjectName]=OutputTable[[#This Row],[ProjectName]]),(ProjectInfoTable[ProjectName]=OutputTable[[#This Row],[ProjectName]])*ProjectInfoTable[NumberOfReplications]))</f>
        <v>10</v>
      </c>
      <c r="K570" cm="1">
        <f t="array" ref="K570">IFERROR(AVERAGE(IF((OutputTable[GroupByKey]=OutputTable[[#This Row],[GroupByKey]]),(OutputTable[GroupByKey]=OutputTable[[#This Row],[GroupByKey]])*OutputTable[RecordedValue])),0)</f>
        <v>78656.282482549519</v>
      </c>
      <c r="L570" cm="1">
        <f t="array" ref="L570">IFERROR(_xlfn.STDEV.S(IF((OutputTable[GroupByKey]=OutputTable[[#This Row],[GroupByKey]]),(OutputTable[GroupByKey]=OutputTable[[#This Row],[GroupByKey]])*OutputTable[RecordedValue])),0)</f>
        <v>139.39621135358072</v>
      </c>
      <c r="M570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99.718042457930338</v>
      </c>
      <c r="O570" cm="1">
        <f t="array" ref="O570">MIN(IF((OutputTable[GroupByKey]=OutputTable[[#This Row],[GroupByKey]]),(OutputTable[GroupByKey]=OutputTable[[#This Row],[GroupByKey]])*OutputTable[RecordedValue]))</f>
        <v>78434.750255210005</v>
      </c>
      <c r="P570" cm="1">
        <f t="array" ref="P570">MAX(IF((OutputTable[GroupByKey]=OutputTable[[#This Row],[GroupByKey]]),(OutputTable[GroupByKey]=OutputTable[[#This Row],[GroupByKey]])*OutputTable[RecordedValue]))</f>
        <v>78879.0340749358</v>
      </c>
    </row>
    <row r="571" spans="1:16" x14ac:dyDescent="0.25">
      <c r="A571" t="s">
        <v>67</v>
      </c>
      <c r="B571" t="s">
        <v>243</v>
      </c>
      <c r="C571">
        <v>7</v>
      </c>
      <c r="D571" t="s">
        <v>209</v>
      </c>
      <c r="E571" t="s">
        <v>156</v>
      </c>
      <c r="F571" t="s">
        <v>87</v>
      </c>
      <c r="G571">
        <v>13111</v>
      </c>
      <c r="H571">
        <v>0</v>
      </c>
      <c r="I571" t="str">
        <f>OutputTable[[#This Row],[ProjectName]]&amp;OutputTable[[#This Row],[Name]]&amp;OutputTable[[#This Row],[Type]]&amp;OutputTable[[#This Row],[Source]]</f>
        <v>Unnamed ProjectProcess 2 Number InNumber InProcess</v>
      </c>
      <c r="J571" cm="1">
        <f t="array" ref="J571">MAX(IF((ProjectInfoTable[ProjectName]=OutputTable[[#This Row],[ProjectName]]),(ProjectInfoTable[ProjectName]=OutputTable[[#This Row],[ProjectName]])*ProjectInfoTable[NumberOfReplications]))</f>
        <v>10</v>
      </c>
      <c r="K571" cm="1">
        <f t="array" ref="K571">IFERROR(AVERAGE(IF((OutputTable[GroupByKey]=OutputTable[[#This Row],[GroupByKey]]),(OutputTable[GroupByKey]=OutputTable[[#This Row],[GroupByKey]])*OutputTable[RecordedValue])),0)</f>
        <v>13100.1</v>
      </c>
      <c r="L571" cm="1">
        <f t="array" ref="L571">IFERROR(_xlfn.STDEV.S(IF((OutputTable[GroupByKey]=OutputTable[[#This Row],[GroupByKey]]),(OutputTable[GroupByKey]=OutputTable[[#This Row],[GroupByKey]])*OutputTable[RecordedValue])),0)</f>
        <v>11.46443776786866</v>
      </c>
      <c r="M571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571" cm="1">
        <f t="array" ref="O571">MIN(IF((OutputTable[GroupByKey]=OutputTable[[#This Row],[GroupByKey]]),(OutputTable[GroupByKey]=OutputTable[[#This Row],[GroupByKey]])*OutputTable[RecordedValue]))</f>
        <v>13083</v>
      </c>
      <c r="P571" cm="1">
        <f t="array" ref="P571">MAX(IF((OutputTable[GroupByKey]=OutputTable[[#This Row],[GroupByKey]]),(OutputTable[GroupByKey]=OutputTable[[#This Row],[GroupByKey]])*OutputTable[RecordedValue]))</f>
        <v>13118</v>
      </c>
    </row>
    <row r="572" spans="1:16" x14ac:dyDescent="0.25">
      <c r="A572" t="s">
        <v>67</v>
      </c>
      <c r="B572" t="s">
        <v>243</v>
      </c>
      <c r="C572">
        <v>7</v>
      </c>
      <c r="D572" t="s">
        <v>210</v>
      </c>
      <c r="E572" t="s">
        <v>158</v>
      </c>
      <c r="F572" t="s">
        <v>87</v>
      </c>
      <c r="G572">
        <v>13111</v>
      </c>
      <c r="H572">
        <v>0</v>
      </c>
      <c r="I572" t="str">
        <f>OutputTable[[#This Row],[ProjectName]]&amp;OutputTable[[#This Row],[Name]]&amp;OutputTable[[#This Row],[Type]]&amp;OutputTable[[#This Row],[Source]]</f>
        <v>Unnamed ProjectProcess 2 Number OutNumber OutProcess</v>
      </c>
      <c r="J572" cm="1">
        <f t="array" ref="J572">MAX(IF((ProjectInfoTable[ProjectName]=OutputTable[[#This Row],[ProjectName]]),(ProjectInfoTable[ProjectName]=OutputTable[[#This Row],[ProjectName]])*ProjectInfoTable[NumberOfReplications]))</f>
        <v>10</v>
      </c>
      <c r="K572" cm="1">
        <f t="array" ref="K572">IFERROR(AVERAGE(IF((OutputTable[GroupByKey]=OutputTable[[#This Row],[GroupByKey]]),(OutputTable[GroupByKey]=OutputTable[[#This Row],[GroupByKey]])*OutputTable[RecordedValue])),0)</f>
        <v>13100.1</v>
      </c>
      <c r="L572" cm="1">
        <f t="array" ref="L572">IFERROR(_xlfn.STDEV.S(IF((OutputTable[GroupByKey]=OutputTable[[#This Row],[GroupByKey]]),(OutputTable[GroupByKey]=OutputTable[[#This Row],[GroupByKey]])*OutputTable[RecordedValue])),0)</f>
        <v>11.46443776786866</v>
      </c>
      <c r="M572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572" cm="1">
        <f t="array" ref="O572">MIN(IF((OutputTable[GroupByKey]=OutputTable[[#This Row],[GroupByKey]]),(OutputTable[GroupByKey]=OutputTable[[#This Row],[GroupByKey]])*OutputTable[RecordedValue]))</f>
        <v>13083</v>
      </c>
      <c r="P572" cm="1">
        <f t="array" ref="P572">MAX(IF((OutputTable[GroupByKey]=OutputTable[[#This Row],[GroupByKey]]),(OutputTable[GroupByKey]=OutputTable[[#This Row],[GroupByKey]])*OutputTable[RecordedValue]))</f>
        <v>13118</v>
      </c>
    </row>
    <row r="573" spans="1:16" x14ac:dyDescent="0.25">
      <c r="A573" t="s">
        <v>67</v>
      </c>
      <c r="B573" t="s">
        <v>243</v>
      </c>
      <c r="C573">
        <v>7</v>
      </c>
      <c r="D573" t="s">
        <v>211</v>
      </c>
      <c r="E573" t="s">
        <v>202</v>
      </c>
      <c r="F573" t="s">
        <v>87</v>
      </c>
      <c r="G573">
        <v>144261.870314292</v>
      </c>
      <c r="H573">
        <v>0</v>
      </c>
      <c r="I573" t="str">
        <f>OutputTable[[#This Row],[ProjectName]]&amp;OutputTable[[#This Row],[Name]]&amp;OutputTable[[#This Row],[Type]]&amp;OutputTable[[#This Row],[Source]]</f>
        <v>Unnamed ProjectProcess 3 Accum VA TimeAccum VA TimeProcess</v>
      </c>
      <c r="J573" cm="1">
        <f t="array" ref="J573">MAX(IF((ProjectInfoTable[ProjectName]=OutputTable[[#This Row],[ProjectName]]),(ProjectInfoTable[ProjectName]=OutputTable[[#This Row],[ProjectName]])*ProjectInfoTable[NumberOfReplications]))</f>
        <v>10</v>
      </c>
      <c r="K573" cm="1">
        <f t="array" ref="K573">IFERROR(AVERAGE(IF((OutputTable[GroupByKey]=OutputTable[[#This Row],[GroupByKey]]),(OutputTable[GroupByKey]=OutputTable[[#This Row],[GroupByKey]])*OutputTable[RecordedValue])),0)</f>
        <v>144088.31566564049</v>
      </c>
      <c r="L573" cm="1">
        <f t="array" ref="L573">IFERROR(_xlfn.STDEV.S(IF((OutputTable[GroupByKey]=OutputTable[[#This Row],[GroupByKey]]),(OutputTable[GroupByKey]=OutputTable[[#This Row],[GroupByKey]])*OutputTable[RecordedValue])),0)</f>
        <v>147.41980686592098</v>
      </c>
      <c r="M573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105.45777691839817</v>
      </c>
      <c r="O573" cm="1">
        <f t="array" ref="O573">MIN(IF((OutputTable[GroupByKey]=OutputTable[[#This Row],[GroupByKey]]),(OutputTable[GroupByKey]=OutputTable[[#This Row],[GroupByKey]])*OutputTable[RecordedValue]))</f>
        <v>143896.696561805</v>
      </c>
      <c r="P573" cm="1">
        <f t="array" ref="P573">MAX(IF((OutputTable[GroupByKey]=OutputTable[[#This Row],[GroupByKey]]),(OutputTable[GroupByKey]=OutputTable[[#This Row],[GroupByKey]])*OutputTable[RecordedValue]))</f>
        <v>144298.22507098701</v>
      </c>
    </row>
    <row r="574" spans="1:16" x14ac:dyDescent="0.25">
      <c r="A574" t="s">
        <v>67</v>
      </c>
      <c r="B574" t="s">
        <v>243</v>
      </c>
      <c r="C574">
        <v>7</v>
      </c>
      <c r="D574" t="s">
        <v>212</v>
      </c>
      <c r="E574" t="s">
        <v>156</v>
      </c>
      <c r="F574" t="s">
        <v>87</v>
      </c>
      <c r="G574">
        <v>13111</v>
      </c>
      <c r="H574">
        <v>0</v>
      </c>
      <c r="I574" t="str">
        <f>OutputTable[[#This Row],[ProjectName]]&amp;OutputTable[[#This Row],[Name]]&amp;OutputTable[[#This Row],[Type]]&amp;OutputTable[[#This Row],[Source]]</f>
        <v>Unnamed ProjectProcess 3 Number InNumber InProcess</v>
      </c>
      <c r="J574" cm="1">
        <f t="array" ref="J574">MAX(IF((ProjectInfoTable[ProjectName]=OutputTable[[#This Row],[ProjectName]]),(ProjectInfoTable[ProjectName]=OutputTable[[#This Row],[ProjectName]])*ProjectInfoTable[NumberOfReplications]))</f>
        <v>10</v>
      </c>
      <c r="K574" cm="1">
        <f t="array" ref="K574">IFERROR(AVERAGE(IF((OutputTable[GroupByKey]=OutputTable[[#This Row],[GroupByKey]]),(OutputTable[GroupByKey]=OutputTable[[#This Row],[GroupByKey]])*OutputTable[RecordedValue])),0)</f>
        <v>13099.9</v>
      </c>
      <c r="L574" cm="1">
        <f t="array" ref="L574">IFERROR(_xlfn.STDEV.S(IF((OutputTable[GroupByKey]=OutputTable[[#This Row],[GroupByKey]]),(OutputTable[GroupByKey]=OutputTable[[#This Row],[GroupByKey]])*OutputTable[RecordedValue])),0)</f>
        <v>11.761046816598522</v>
      </c>
      <c r="M574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574" cm="1">
        <f t="array" ref="O574">MIN(IF((OutputTable[GroupByKey]=OutputTable[[#This Row],[GroupByKey]]),(OutputTable[GroupByKey]=OutputTable[[#This Row],[GroupByKey]])*OutputTable[RecordedValue]))</f>
        <v>13082</v>
      </c>
      <c r="P574" cm="1">
        <f t="array" ref="P574">MAX(IF((OutputTable[GroupByKey]=OutputTable[[#This Row],[GroupByKey]]),(OutputTable[GroupByKey]=OutputTable[[#This Row],[GroupByKey]])*OutputTable[RecordedValue]))</f>
        <v>13118</v>
      </c>
    </row>
    <row r="575" spans="1:16" x14ac:dyDescent="0.25">
      <c r="A575" t="s">
        <v>67</v>
      </c>
      <c r="B575" t="s">
        <v>243</v>
      </c>
      <c r="C575">
        <v>7</v>
      </c>
      <c r="D575" t="s">
        <v>213</v>
      </c>
      <c r="E575" t="s">
        <v>158</v>
      </c>
      <c r="F575" t="s">
        <v>87</v>
      </c>
      <c r="G575">
        <v>13111</v>
      </c>
      <c r="H575">
        <v>0</v>
      </c>
      <c r="I575" t="str">
        <f>OutputTable[[#This Row],[ProjectName]]&amp;OutputTable[[#This Row],[Name]]&amp;OutputTable[[#This Row],[Type]]&amp;OutputTable[[#This Row],[Source]]</f>
        <v>Unnamed ProjectProcess 3 Number OutNumber OutProcess</v>
      </c>
      <c r="J575" cm="1">
        <f t="array" ref="J575">MAX(IF((ProjectInfoTable[ProjectName]=OutputTable[[#This Row],[ProjectName]]),(ProjectInfoTable[ProjectName]=OutputTable[[#This Row],[ProjectName]])*ProjectInfoTable[NumberOfReplications]))</f>
        <v>10</v>
      </c>
      <c r="K575" cm="1">
        <f t="array" ref="K575">IFERROR(AVERAGE(IF((OutputTable[GroupByKey]=OutputTable[[#This Row],[GroupByKey]]),(OutputTable[GroupByKey]=OutputTable[[#This Row],[GroupByKey]])*OutputTable[RecordedValue])),0)</f>
        <v>13099.9</v>
      </c>
      <c r="L575" cm="1">
        <f t="array" ref="L575">IFERROR(_xlfn.STDEV.S(IF((OutputTable[GroupByKey]=OutputTable[[#This Row],[GroupByKey]]),(OutputTable[GroupByKey]=OutputTable[[#This Row],[GroupByKey]])*OutputTable[RecordedValue])),0)</f>
        <v>11.761046816598522</v>
      </c>
      <c r="M57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575" cm="1">
        <f t="array" ref="O575">MIN(IF((OutputTable[GroupByKey]=OutputTable[[#This Row],[GroupByKey]]),(OutputTable[GroupByKey]=OutputTable[[#This Row],[GroupByKey]])*OutputTable[RecordedValue]))</f>
        <v>13082</v>
      </c>
      <c r="P575" cm="1">
        <f t="array" ref="P575">MAX(IF((OutputTable[GroupByKey]=OutputTable[[#This Row],[GroupByKey]]),(OutputTable[GroupByKey]=OutputTable[[#This Row],[GroupByKey]])*OutputTable[RecordedValue]))</f>
        <v>13118</v>
      </c>
    </row>
    <row r="576" spans="1:16" x14ac:dyDescent="0.25">
      <c r="A576" t="s">
        <v>67</v>
      </c>
      <c r="B576" t="s">
        <v>243</v>
      </c>
      <c r="C576">
        <v>7</v>
      </c>
      <c r="D576" t="s">
        <v>214</v>
      </c>
      <c r="E576" t="s">
        <v>202</v>
      </c>
      <c r="F576" t="s">
        <v>87</v>
      </c>
      <c r="G576">
        <v>57660.085307982699</v>
      </c>
      <c r="H576">
        <v>0</v>
      </c>
      <c r="I576" t="str">
        <f>OutputTable[[#This Row],[ProjectName]]&amp;OutputTable[[#This Row],[Name]]&amp;OutputTable[[#This Row],[Type]]&amp;OutputTable[[#This Row],[Source]]</f>
        <v>Unnamed ProjectProcess 4 Accum VA TimeAccum VA TimeProcess</v>
      </c>
      <c r="J576" cm="1">
        <f t="array" ref="J576">MAX(IF((ProjectInfoTable[ProjectName]=OutputTable[[#This Row],[ProjectName]]),(ProjectInfoTable[ProjectName]=OutputTable[[#This Row],[ProjectName]])*ProjectInfoTable[NumberOfReplications]))</f>
        <v>10</v>
      </c>
      <c r="K576" cm="1">
        <f t="array" ref="K576">IFERROR(AVERAGE(IF((OutputTable[GroupByKey]=OutputTable[[#This Row],[GroupByKey]]),(OutputTable[GroupByKey]=OutputTable[[#This Row],[GroupByKey]])*OutputTable[RecordedValue])),0)</f>
        <v>57657.842851106019</v>
      </c>
      <c r="L576" cm="1">
        <f t="array" ref="L576">IFERROR(_xlfn.STDEV.S(IF((OutputTable[GroupByKey]=OutputTable[[#This Row],[GroupByKey]]),(OutputTable[GroupByKey]=OutputTable[[#This Row],[GroupByKey]])*OutputTable[RecordedValue])),0)</f>
        <v>66.206976538127805</v>
      </c>
      <c r="M576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47.361617889987492</v>
      </c>
      <c r="O576" cm="1">
        <f t="array" ref="O576">MIN(IF((OutputTable[GroupByKey]=OutputTable[[#This Row],[GroupByKey]]),(OutputTable[GroupByKey]=OutputTable[[#This Row],[GroupByKey]])*OutputTable[RecordedValue]))</f>
        <v>57569.6670912306</v>
      </c>
      <c r="P576" cm="1">
        <f t="array" ref="P576">MAX(IF((OutputTable[GroupByKey]=OutputTable[[#This Row],[GroupByKey]]),(OutputTable[GroupByKey]=OutputTable[[#This Row],[GroupByKey]])*OutputTable[RecordedValue]))</f>
        <v>57778.887305354197</v>
      </c>
    </row>
    <row r="577" spans="1:16" x14ac:dyDescent="0.25">
      <c r="A577" t="s">
        <v>67</v>
      </c>
      <c r="B577" t="s">
        <v>243</v>
      </c>
      <c r="C577">
        <v>7</v>
      </c>
      <c r="D577" t="s">
        <v>215</v>
      </c>
      <c r="E577" t="s">
        <v>156</v>
      </c>
      <c r="F577" t="s">
        <v>87</v>
      </c>
      <c r="G577">
        <v>8238</v>
      </c>
      <c r="H577">
        <v>0</v>
      </c>
      <c r="I577" t="str">
        <f>OutputTable[[#This Row],[ProjectName]]&amp;OutputTable[[#This Row],[Name]]&amp;OutputTable[[#This Row],[Type]]&amp;OutputTable[[#This Row],[Source]]</f>
        <v>Unnamed ProjectProcess 4 Number InNumber InProcess</v>
      </c>
      <c r="J577" cm="1">
        <f t="array" ref="J577">MAX(IF((ProjectInfoTable[ProjectName]=OutputTable[[#This Row],[ProjectName]]),(ProjectInfoTable[ProjectName]=OutputTable[[#This Row],[ProjectName]])*ProjectInfoTable[NumberOfReplications]))</f>
        <v>10</v>
      </c>
      <c r="K577" cm="1">
        <f t="array" ref="K577">IFERROR(AVERAGE(IF((OutputTable[GroupByKey]=OutputTable[[#This Row],[GroupByKey]]),(OutputTable[GroupByKey]=OutputTable[[#This Row],[GroupByKey]])*OutputTable[RecordedValue])),0)</f>
        <v>8235</v>
      </c>
      <c r="L577" cm="1">
        <f t="array" ref="L577">IFERROR(_xlfn.STDEV.S(IF((OutputTable[GroupByKey]=OutputTable[[#This Row],[GroupByKey]]),(OutputTable[GroupByKey]=OutputTable[[#This Row],[GroupByKey]])*OutputTable[RecordedValue])),0)</f>
        <v>6.5659052011974035</v>
      </c>
      <c r="M577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577" cm="1">
        <f t="array" ref="O577">MIN(IF((OutputTable[GroupByKey]=OutputTable[[#This Row],[GroupByKey]]),(OutputTable[GroupByKey]=OutputTable[[#This Row],[GroupByKey]])*OutputTable[RecordedValue]))</f>
        <v>8223</v>
      </c>
      <c r="P577" cm="1">
        <f t="array" ref="P577">MAX(IF((OutputTable[GroupByKey]=OutputTable[[#This Row],[GroupByKey]]),(OutputTable[GroupByKey]=OutputTable[[#This Row],[GroupByKey]])*OutputTable[RecordedValue]))</f>
        <v>8245</v>
      </c>
    </row>
    <row r="578" spans="1:16" x14ac:dyDescent="0.25">
      <c r="A578" t="s">
        <v>67</v>
      </c>
      <c r="B578" t="s">
        <v>243</v>
      </c>
      <c r="C578">
        <v>7</v>
      </c>
      <c r="D578" t="s">
        <v>216</v>
      </c>
      <c r="E578" t="s">
        <v>158</v>
      </c>
      <c r="F578" t="s">
        <v>87</v>
      </c>
      <c r="G578">
        <v>8238</v>
      </c>
      <c r="H578">
        <v>0</v>
      </c>
      <c r="I578" t="str">
        <f>OutputTable[[#This Row],[ProjectName]]&amp;OutputTable[[#This Row],[Name]]&amp;OutputTable[[#This Row],[Type]]&amp;OutputTable[[#This Row],[Source]]</f>
        <v>Unnamed ProjectProcess 4 Number OutNumber OutProcess</v>
      </c>
      <c r="J578" cm="1">
        <f t="array" ref="J578">MAX(IF((ProjectInfoTable[ProjectName]=OutputTable[[#This Row],[ProjectName]]),(ProjectInfoTable[ProjectName]=OutputTable[[#This Row],[ProjectName]])*ProjectInfoTable[NumberOfReplications]))</f>
        <v>10</v>
      </c>
      <c r="K578" cm="1">
        <f t="array" ref="K578">IFERROR(AVERAGE(IF((OutputTable[GroupByKey]=OutputTable[[#This Row],[GroupByKey]]),(OutputTable[GroupByKey]=OutputTable[[#This Row],[GroupByKey]])*OutputTable[RecordedValue])),0)</f>
        <v>8235</v>
      </c>
      <c r="L578" cm="1">
        <f t="array" ref="L578">IFERROR(_xlfn.STDEV.S(IF((OutputTable[GroupByKey]=OutputTable[[#This Row],[GroupByKey]]),(OutputTable[GroupByKey]=OutputTable[[#This Row],[GroupByKey]])*OutputTable[RecordedValue])),0)</f>
        <v>6.5659052011974035</v>
      </c>
      <c r="M578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578" cm="1">
        <f t="array" ref="O578">MIN(IF((OutputTable[GroupByKey]=OutputTable[[#This Row],[GroupByKey]]),(OutputTable[GroupByKey]=OutputTable[[#This Row],[GroupByKey]])*OutputTable[RecordedValue]))</f>
        <v>8223</v>
      </c>
      <c r="P578" cm="1">
        <f t="array" ref="P578">MAX(IF((OutputTable[GroupByKey]=OutputTable[[#This Row],[GroupByKey]]),(OutputTable[GroupByKey]=OutputTable[[#This Row],[GroupByKey]])*OutputTable[RecordedValue]))</f>
        <v>8245</v>
      </c>
    </row>
    <row r="579" spans="1:16" x14ac:dyDescent="0.25">
      <c r="A579" t="s">
        <v>67</v>
      </c>
      <c r="B579" t="s">
        <v>243</v>
      </c>
      <c r="C579">
        <v>7</v>
      </c>
      <c r="D579" t="s">
        <v>217</v>
      </c>
      <c r="E579" t="s">
        <v>202</v>
      </c>
      <c r="F579" t="s">
        <v>87</v>
      </c>
      <c r="G579">
        <v>82287.012858407106</v>
      </c>
      <c r="H579">
        <v>0</v>
      </c>
      <c r="I579" t="str">
        <f>OutputTable[[#This Row],[ProjectName]]&amp;OutputTable[[#This Row],[Name]]&amp;OutputTable[[#This Row],[Type]]&amp;OutputTable[[#This Row],[Source]]</f>
        <v>Unnamed ProjectProcess 5 Accum VA TimeAccum VA TimeProcess</v>
      </c>
      <c r="J579" cm="1">
        <f t="array" ref="J579">MAX(IF((ProjectInfoTable[ProjectName]=OutputTable[[#This Row],[ProjectName]]),(ProjectInfoTable[ProjectName]=OutputTable[[#This Row],[ProjectName]])*ProjectInfoTable[NumberOfReplications]))</f>
        <v>10</v>
      </c>
      <c r="K579" cm="1">
        <f t="array" ref="K579">IFERROR(AVERAGE(IF((OutputTable[GroupByKey]=OutputTable[[#This Row],[GroupByKey]]),(OutputTable[GroupByKey]=OutputTable[[#This Row],[GroupByKey]])*OutputTable[RecordedValue])),0)</f>
        <v>82354.925585571807</v>
      </c>
      <c r="L579" cm="1">
        <f t="array" ref="L579">IFERROR(_xlfn.STDEV.S(IF((OutputTable[GroupByKey]=OutputTable[[#This Row],[GroupByKey]]),(OutputTable[GroupByKey]=OutputTable[[#This Row],[GroupByKey]])*OutputTable[RecordedValue])),0)</f>
        <v>74.759806822996126</v>
      </c>
      <c r="M579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53.479944099863097</v>
      </c>
      <c r="O579" cm="1">
        <f t="array" ref="O579">MIN(IF((OutputTable[GroupByKey]=OutputTable[[#This Row],[GroupByKey]]),(OutputTable[GroupByKey]=OutputTable[[#This Row],[GroupByKey]])*OutputTable[RecordedValue]))</f>
        <v>82287.012858407106</v>
      </c>
      <c r="P579" cm="1">
        <f t="array" ref="P579">MAX(IF((OutputTable[GroupByKey]=OutputTable[[#This Row],[GroupByKey]]),(OutputTable[GroupByKey]=OutputTable[[#This Row],[GroupByKey]])*OutputTable[RecordedValue]))</f>
        <v>82509.9089339692</v>
      </c>
    </row>
    <row r="580" spans="1:16" x14ac:dyDescent="0.25">
      <c r="A580" t="s">
        <v>67</v>
      </c>
      <c r="B580" t="s">
        <v>243</v>
      </c>
      <c r="C580">
        <v>7</v>
      </c>
      <c r="D580" t="s">
        <v>218</v>
      </c>
      <c r="E580" t="s">
        <v>156</v>
      </c>
      <c r="F580" t="s">
        <v>87</v>
      </c>
      <c r="G580">
        <v>8236</v>
      </c>
      <c r="H580">
        <v>0</v>
      </c>
      <c r="I580" t="str">
        <f>OutputTable[[#This Row],[ProjectName]]&amp;OutputTable[[#This Row],[Name]]&amp;OutputTable[[#This Row],[Type]]&amp;OutputTable[[#This Row],[Source]]</f>
        <v>Unnamed ProjectProcess 5 Number InNumber InProcess</v>
      </c>
      <c r="J580" cm="1">
        <f t="array" ref="J580">MAX(IF((ProjectInfoTable[ProjectName]=OutputTable[[#This Row],[ProjectName]]),(ProjectInfoTable[ProjectName]=OutputTable[[#This Row],[ProjectName]])*ProjectInfoTable[NumberOfReplications]))</f>
        <v>10</v>
      </c>
      <c r="K580" cm="1">
        <f t="array" ref="K580">IFERROR(AVERAGE(IF((OutputTable[GroupByKey]=OutputTable[[#This Row],[GroupByKey]]),(OutputTable[GroupByKey]=OutputTable[[#This Row],[GroupByKey]])*OutputTable[RecordedValue])),0)</f>
        <v>8233.5</v>
      </c>
      <c r="L580" cm="1">
        <f t="array" ref="L580">IFERROR(_xlfn.STDEV.S(IF((OutputTable[GroupByKey]=OutputTable[[#This Row],[GroupByKey]]),(OutputTable[GroupByKey]=OutputTable[[#This Row],[GroupByKey]])*OutputTable[RecordedValue])),0)</f>
        <v>6.5021364010437201</v>
      </c>
      <c r="M580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580" cm="1">
        <f t="array" ref="O580">MIN(IF((OutputTable[GroupByKey]=OutputTable[[#This Row],[GroupByKey]]),(OutputTable[GroupByKey]=OutputTable[[#This Row],[GroupByKey]])*OutputTable[RecordedValue]))</f>
        <v>8221</v>
      </c>
      <c r="P580" cm="1">
        <f t="array" ref="P580">MAX(IF((OutputTable[GroupByKey]=OutputTable[[#This Row],[GroupByKey]]),(OutputTable[GroupByKey]=OutputTable[[#This Row],[GroupByKey]])*OutputTable[RecordedValue]))</f>
        <v>8243</v>
      </c>
    </row>
    <row r="581" spans="1:16" x14ac:dyDescent="0.25">
      <c r="A581" t="s">
        <v>67</v>
      </c>
      <c r="B581" t="s">
        <v>243</v>
      </c>
      <c r="C581">
        <v>7</v>
      </c>
      <c r="D581" t="s">
        <v>219</v>
      </c>
      <c r="E581" t="s">
        <v>158</v>
      </c>
      <c r="F581" t="s">
        <v>87</v>
      </c>
      <c r="G581">
        <v>8236</v>
      </c>
      <c r="H581">
        <v>0</v>
      </c>
      <c r="I581" t="str">
        <f>OutputTable[[#This Row],[ProjectName]]&amp;OutputTable[[#This Row],[Name]]&amp;OutputTable[[#This Row],[Type]]&amp;OutputTable[[#This Row],[Source]]</f>
        <v>Unnamed ProjectProcess 5 Number OutNumber OutProcess</v>
      </c>
      <c r="J581" cm="1">
        <f t="array" ref="J581">MAX(IF((ProjectInfoTable[ProjectName]=OutputTable[[#This Row],[ProjectName]]),(ProjectInfoTable[ProjectName]=OutputTable[[#This Row],[ProjectName]])*ProjectInfoTable[NumberOfReplications]))</f>
        <v>10</v>
      </c>
      <c r="K581" cm="1">
        <f t="array" ref="K581">IFERROR(AVERAGE(IF((OutputTable[GroupByKey]=OutputTable[[#This Row],[GroupByKey]]),(OutputTable[GroupByKey]=OutputTable[[#This Row],[GroupByKey]])*OutputTable[RecordedValue])),0)</f>
        <v>8233.5</v>
      </c>
      <c r="L581" cm="1">
        <f t="array" ref="L581">IFERROR(_xlfn.STDEV.S(IF((OutputTable[GroupByKey]=OutputTable[[#This Row],[GroupByKey]]),(OutputTable[GroupByKey]=OutputTable[[#This Row],[GroupByKey]])*OutputTable[RecordedValue])),0)</f>
        <v>6.5021364010437201</v>
      </c>
      <c r="M581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581" cm="1">
        <f t="array" ref="O581">MIN(IF((OutputTable[GroupByKey]=OutputTable[[#This Row],[GroupByKey]]),(OutputTable[GroupByKey]=OutputTable[[#This Row],[GroupByKey]])*OutputTable[RecordedValue]))</f>
        <v>8221</v>
      </c>
      <c r="P581" cm="1">
        <f t="array" ref="P581">MAX(IF((OutputTable[GroupByKey]=OutputTable[[#This Row],[GroupByKey]]),(OutputTable[GroupByKey]=OutputTable[[#This Row],[GroupByKey]])*OutputTable[RecordedValue]))</f>
        <v>8243</v>
      </c>
    </row>
    <row r="582" spans="1:16" x14ac:dyDescent="0.25">
      <c r="A582" t="s">
        <v>67</v>
      </c>
      <c r="B582" t="s">
        <v>243</v>
      </c>
      <c r="C582">
        <v>7</v>
      </c>
      <c r="D582" t="s">
        <v>220</v>
      </c>
      <c r="E582" t="s">
        <v>202</v>
      </c>
      <c r="F582" t="s">
        <v>87</v>
      </c>
      <c r="G582">
        <v>205732.27016869601</v>
      </c>
      <c r="H582">
        <v>0</v>
      </c>
      <c r="I582" t="str">
        <f>OutputTable[[#This Row],[ProjectName]]&amp;OutputTable[[#This Row],[Name]]&amp;OutputTable[[#This Row],[Type]]&amp;OutputTable[[#This Row],[Source]]</f>
        <v>Unnamed ProjectProcess 6 Accum VA TimeAccum VA TimeProcess</v>
      </c>
      <c r="J582" cm="1">
        <f t="array" ref="J582">MAX(IF((ProjectInfoTable[ProjectName]=OutputTable[[#This Row],[ProjectName]]),(ProjectInfoTable[ProjectName]=OutputTable[[#This Row],[ProjectName]])*ProjectInfoTable[NumberOfReplications]))</f>
        <v>10</v>
      </c>
      <c r="K582" cm="1">
        <f t="array" ref="K582">IFERROR(AVERAGE(IF((OutputTable[GroupByKey]=OutputTable[[#This Row],[GroupByKey]]),(OutputTable[GroupByKey]=OutputTable[[#This Row],[GroupByKey]])*OutputTable[RecordedValue])),0)</f>
        <v>205782.3721339902</v>
      </c>
      <c r="L582" cm="1">
        <f t="array" ref="L582">IFERROR(_xlfn.STDEV.S(IF((OutputTable[GroupByKey]=OutputTable[[#This Row],[GroupByKey]]),(OutputTable[GroupByKey]=OutputTable[[#This Row],[GroupByKey]])*OutputTable[RecordedValue])),0)</f>
        <v>135.17903819323379</v>
      </c>
      <c r="M582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96.701258514002035</v>
      </c>
      <c r="O582" cm="1">
        <f t="array" ref="O582">MIN(IF((OutputTable[GroupByKey]=OutputTable[[#This Row],[GroupByKey]]),(OutputTable[GroupByKey]=OutputTable[[#This Row],[GroupByKey]])*OutputTable[RecordedValue]))</f>
        <v>205554.00796082799</v>
      </c>
      <c r="P582" cm="1">
        <f t="array" ref="P582">MAX(IF((OutputTable[GroupByKey]=OutputTable[[#This Row],[GroupByKey]]),(OutputTable[GroupByKey]=OutputTable[[#This Row],[GroupByKey]])*OutputTable[RecordedValue]))</f>
        <v>205962.665291818</v>
      </c>
    </row>
    <row r="583" spans="1:16" x14ac:dyDescent="0.25">
      <c r="A583" t="s">
        <v>67</v>
      </c>
      <c r="B583" t="s">
        <v>243</v>
      </c>
      <c r="C583">
        <v>7</v>
      </c>
      <c r="D583" t="s">
        <v>221</v>
      </c>
      <c r="E583" t="s">
        <v>156</v>
      </c>
      <c r="F583" t="s">
        <v>87</v>
      </c>
      <c r="G583">
        <v>8234</v>
      </c>
      <c r="H583">
        <v>0</v>
      </c>
      <c r="I583" t="str">
        <f>OutputTable[[#This Row],[ProjectName]]&amp;OutputTable[[#This Row],[Name]]&amp;OutputTable[[#This Row],[Type]]&amp;OutputTable[[#This Row],[Source]]</f>
        <v>Unnamed ProjectProcess 6 Number InNumber InProcess</v>
      </c>
      <c r="J583" cm="1">
        <f t="array" ref="J583">MAX(IF((ProjectInfoTable[ProjectName]=OutputTable[[#This Row],[ProjectName]]),(ProjectInfoTable[ProjectName]=OutputTable[[#This Row],[ProjectName]])*ProjectInfoTable[NumberOfReplications]))</f>
        <v>10</v>
      </c>
      <c r="K583" cm="1">
        <f t="array" ref="K583">IFERROR(AVERAGE(IF((OutputTable[GroupByKey]=OutputTable[[#This Row],[GroupByKey]]),(OutputTable[GroupByKey]=OutputTable[[#This Row],[GroupByKey]])*OutputTable[RecordedValue])),0)</f>
        <v>8231.5</v>
      </c>
      <c r="L583" cm="1">
        <f t="array" ref="L583">IFERROR(_xlfn.STDEV.S(IF((OutputTable[GroupByKey]=OutputTable[[#This Row],[GroupByKey]]),(OutputTable[GroupByKey]=OutputTable[[#This Row],[GroupByKey]])*OutputTable[RecordedValue])),0)</f>
        <v>6.3464775882199236</v>
      </c>
      <c r="M583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583" cm="1">
        <f t="array" ref="O583">MIN(IF((OutputTable[GroupByKey]=OutputTable[[#This Row],[GroupByKey]]),(OutputTable[GroupByKey]=OutputTable[[#This Row],[GroupByKey]])*OutputTable[RecordedValue]))</f>
        <v>8220</v>
      </c>
      <c r="P583" cm="1">
        <f t="array" ref="P583">MAX(IF((OutputTable[GroupByKey]=OutputTable[[#This Row],[GroupByKey]]),(OutputTable[GroupByKey]=OutputTable[[#This Row],[GroupByKey]])*OutputTable[RecordedValue]))</f>
        <v>8241</v>
      </c>
    </row>
    <row r="584" spans="1:16" x14ac:dyDescent="0.25">
      <c r="A584" t="s">
        <v>67</v>
      </c>
      <c r="B584" t="s">
        <v>243</v>
      </c>
      <c r="C584">
        <v>7</v>
      </c>
      <c r="D584" t="s">
        <v>222</v>
      </c>
      <c r="E584" t="s">
        <v>158</v>
      </c>
      <c r="F584" t="s">
        <v>87</v>
      </c>
      <c r="G584">
        <v>8234</v>
      </c>
      <c r="H584">
        <v>0</v>
      </c>
      <c r="I584" t="str">
        <f>OutputTable[[#This Row],[ProjectName]]&amp;OutputTable[[#This Row],[Name]]&amp;OutputTable[[#This Row],[Type]]&amp;OutputTable[[#This Row],[Source]]</f>
        <v>Unnamed ProjectProcess 6 Number OutNumber OutProcess</v>
      </c>
      <c r="J584" cm="1">
        <f t="array" ref="J584">MAX(IF((ProjectInfoTable[ProjectName]=OutputTable[[#This Row],[ProjectName]]),(ProjectInfoTable[ProjectName]=OutputTable[[#This Row],[ProjectName]])*ProjectInfoTable[NumberOfReplications]))</f>
        <v>10</v>
      </c>
      <c r="K584" cm="1">
        <f t="array" ref="K584">IFERROR(AVERAGE(IF((OutputTable[GroupByKey]=OutputTable[[#This Row],[GroupByKey]]),(OutputTable[GroupByKey]=OutputTable[[#This Row],[GroupByKey]])*OutputTable[RecordedValue])),0)</f>
        <v>8231.5</v>
      </c>
      <c r="L584" cm="1">
        <f t="array" ref="L584">IFERROR(_xlfn.STDEV.S(IF((OutputTable[GroupByKey]=OutputTable[[#This Row],[GroupByKey]]),(OutputTable[GroupByKey]=OutputTable[[#This Row],[GroupByKey]])*OutputTable[RecordedValue])),0)</f>
        <v>6.3464775882199236</v>
      </c>
      <c r="M584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584" cm="1">
        <f t="array" ref="O584">MIN(IF((OutputTable[GroupByKey]=OutputTable[[#This Row],[GroupByKey]]),(OutputTable[GroupByKey]=OutputTable[[#This Row],[GroupByKey]])*OutputTable[RecordedValue]))</f>
        <v>8220</v>
      </c>
      <c r="P584" cm="1">
        <f t="array" ref="P584">MAX(IF((OutputTable[GroupByKey]=OutputTable[[#This Row],[GroupByKey]]),(OutputTable[GroupByKey]=OutputTable[[#This Row],[GroupByKey]])*OutputTable[RecordedValue]))</f>
        <v>8241</v>
      </c>
    </row>
    <row r="585" spans="1:16" x14ac:dyDescent="0.25">
      <c r="A585" t="s">
        <v>67</v>
      </c>
      <c r="B585" t="s">
        <v>243</v>
      </c>
      <c r="C585">
        <v>7</v>
      </c>
      <c r="D585" t="s">
        <v>223</v>
      </c>
      <c r="E585" t="s">
        <v>202</v>
      </c>
      <c r="F585" t="s">
        <v>87</v>
      </c>
      <c r="G585">
        <v>98440.860367090107</v>
      </c>
      <c r="H585">
        <v>0</v>
      </c>
      <c r="I585" t="str">
        <f>OutputTable[[#This Row],[ProjectName]]&amp;OutputTable[[#This Row],[Name]]&amp;OutputTable[[#This Row],[Type]]&amp;OutputTable[[#This Row],[Source]]</f>
        <v>Unnamed ProjectProcess 7 Accum VA TimeAccum VA TimeProcess</v>
      </c>
      <c r="J585" cm="1">
        <f t="array" ref="J585">MAX(IF((ProjectInfoTable[ProjectName]=OutputTable[[#This Row],[ProjectName]]),(ProjectInfoTable[ProjectName]=OutputTable[[#This Row],[ProjectName]])*ProjectInfoTable[NumberOfReplications]))</f>
        <v>10</v>
      </c>
      <c r="K585" cm="1">
        <f t="array" ref="K585">IFERROR(AVERAGE(IF((OutputTable[GroupByKey]=OutputTable[[#This Row],[GroupByKey]]),(OutputTable[GroupByKey]=OutputTable[[#This Row],[GroupByKey]])*OutputTable[RecordedValue])),0)</f>
        <v>98625.180720296266</v>
      </c>
      <c r="L585" cm="1">
        <f t="array" ref="L585">IFERROR(_xlfn.STDEV.S(IF((OutputTable[GroupByKey]=OutputTable[[#This Row],[GroupByKey]]),(OutputTable[GroupByKey]=OutputTable[[#This Row],[GroupByKey]])*OutputTable[RecordedValue])),0)</f>
        <v>166.97558012409817</v>
      </c>
      <c r="M58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119.44713437023168</v>
      </c>
      <c r="O585" cm="1">
        <f t="array" ref="O585">MIN(IF((OutputTable[GroupByKey]=OutputTable[[#This Row],[GroupByKey]]),(OutputTable[GroupByKey]=OutputTable[[#This Row],[GroupByKey]])*OutputTable[RecordedValue]))</f>
        <v>98434.330991768598</v>
      </c>
      <c r="P585" cm="1">
        <f t="array" ref="P585">MAX(IF((OutputTable[GroupByKey]=OutputTable[[#This Row],[GroupByKey]]),(OutputTable[GroupByKey]=OutputTable[[#This Row],[GroupByKey]])*OutputTable[RecordedValue]))</f>
        <v>98993.883345143302</v>
      </c>
    </row>
    <row r="586" spans="1:16" x14ac:dyDescent="0.25">
      <c r="A586" t="s">
        <v>67</v>
      </c>
      <c r="B586" t="s">
        <v>243</v>
      </c>
      <c r="C586">
        <v>7</v>
      </c>
      <c r="D586" t="s">
        <v>224</v>
      </c>
      <c r="E586" t="s">
        <v>156</v>
      </c>
      <c r="F586" t="s">
        <v>87</v>
      </c>
      <c r="G586">
        <v>8230</v>
      </c>
      <c r="H586">
        <v>0</v>
      </c>
      <c r="I586" t="str">
        <f>OutputTable[[#This Row],[ProjectName]]&amp;OutputTable[[#This Row],[Name]]&amp;OutputTable[[#This Row],[Type]]&amp;OutputTable[[#This Row],[Source]]</f>
        <v>Unnamed ProjectProcess 7 Number InNumber InProcess</v>
      </c>
      <c r="J586" cm="1">
        <f t="array" ref="J586">MAX(IF((ProjectInfoTable[ProjectName]=OutputTable[[#This Row],[ProjectName]]),(ProjectInfoTable[ProjectName]=OutputTable[[#This Row],[ProjectName]])*ProjectInfoTable[NumberOfReplications]))</f>
        <v>10</v>
      </c>
      <c r="K586" cm="1">
        <f t="array" ref="K586">IFERROR(AVERAGE(IF((OutputTable[GroupByKey]=OutputTable[[#This Row],[GroupByKey]]),(OutputTable[GroupByKey]=OutputTable[[#This Row],[GroupByKey]])*OutputTable[RecordedValue])),0)</f>
        <v>8227.7000000000007</v>
      </c>
      <c r="L586" cm="1">
        <f t="array" ref="L586">IFERROR(_xlfn.STDEV.S(IF((OutputTable[GroupByKey]=OutputTable[[#This Row],[GroupByKey]]),(OutputTable[GroupByKey]=OutputTable[[#This Row],[GroupByKey]])*OutputTable[RecordedValue])),0)</f>
        <v>6.2902040242480748</v>
      </c>
      <c r="M586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586" cm="1">
        <f t="array" ref="O586">MIN(IF((OutputTable[GroupByKey]=OutputTable[[#This Row],[GroupByKey]]),(OutputTable[GroupByKey]=OutputTable[[#This Row],[GroupByKey]])*OutputTable[RecordedValue]))</f>
        <v>8216</v>
      </c>
      <c r="P586" cm="1">
        <f t="array" ref="P586">MAX(IF((OutputTable[GroupByKey]=OutputTable[[#This Row],[GroupByKey]]),(OutputTable[GroupByKey]=OutputTable[[#This Row],[GroupByKey]])*OutputTable[RecordedValue]))</f>
        <v>8237</v>
      </c>
    </row>
    <row r="587" spans="1:16" x14ac:dyDescent="0.25">
      <c r="A587" t="s">
        <v>67</v>
      </c>
      <c r="B587" t="s">
        <v>243</v>
      </c>
      <c r="C587">
        <v>7</v>
      </c>
      <c r="D587" t="s">
        <v>225</v>
      </c>
      <c r="E587" t="s">
        <v>158</v>
      </c>
      <c r="F587" t="s">
        <v>87</v>
      </c>
      <c r="G587">
        <v>8230</v>
      </c>
      <c r="H587">
        <v>0</v>
      </c>
      <c r="I587" t="str">
        <f>OutputTable[[#This Row],[ProjectName]]&amp;OutputTable[[#This Row],[Name]]&amp;OutputTable[[#This Row],[Type]]&amp;OutputTable[[#This Row],[Source]]</f>
        <v>Unnamed ProjectProcess 7 Number OutNumber OutProcess</v>
      </c>
      <c r="J587" cm="1">
        <f t="array" ref="J587">MAX(IF((ProjectInfoTable[ProjectName]=OutputTable[[#This Row],[ProjectName]]),(ProjectInfoTable[ProjectName]=OutputTable[[#This Row],[ProjectName]])*ProjectInfoTable[NumberOfReplications]))</f>
        <v>10</v>
      </c>
      <c r="K587" cm="1">
        <f t="array" ref="K587">IFERROR(AVERAGE(IF((OutputTable[GroupByKey]=OutputTable[[#This Row],[GroupByKey]]),(OutputTable[GroupByKey]=OutputTable[[#This Row],[GroupByKey]])*OutputTable[RecordedValue])),0)</f>
        <v>8227.7000000000007</v>
      </c>
      <c r="L587" cm="1">
        <f t="array" ref="L587">IFERROR(_xlfn.STDEV.S(IF((OutputTable[GroupByKey]=OutputTable[[#This Row],[GroupByKey]]),(OutputTable[GroupByKey]=OutputTable[[#This Row],[GroupByKey]])*OutputTable[RecordedValue])),0)</f>
        <v>6.2902040242480748</v>
      </c>
      <c r="M587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587" cm="1">
        <f t="array" ref="O587">MIN(IF((OutputTable[GroupByKey]=OutputTable[[#This Row],[GroupByKey]]),(OutputTable[GroupByKey]=OutputTable[[#This Row],[GroupByKey]])*OutputTable[RecordedValue]))</f>
        <v>8216</v>
      </c>
      <c r="P587" cm="1">
        <f t="array" ref="P587">MAX(IF((OutputTable[GroupByKey]=OutputTable[[#This Row],[GroupByKey]]),(OutputTable[GroupByKey]=OutputTable[[#This Row],[GroupByKey]])*OutputTable[RecordedValue]))</f>
        <v>8237</v>
      </c>
    </row>
    <row r="588" spans="1:16" x14ac:dyDescent="0.25">
      <c r="A588" t="s">
        <v>67</v>
      </c>
      <c r="B588" t="s">
        <v>243</v>
      </c>
      <c r="C588">
        <v>7</v>
      </c>
      <c r="D588" t="s">
        <v>226</v>
      </c>
      <c r="E588" t="s">
        <v>202</v>
      </c>
      <c r="F588" t="s">
        <v>87</v>
      </c>
      <c r="G588">
        <v>91984.657622033395</v>
      </c>
      <c r="H588">
        <v>0</v>
      </c>
      <c r="I588" t="str">
        <f>OutputTable[[#This Row],[ProjectName]]&amp;OutputTable[[#This Row],[Name]]&amp;OutputTable[[#This Row],[Type]]&amp;OutputTable[[#This Row],[Source]]</f>
        <v>Unnamed ProjectProcess 8 Accum VA TimeAccum VA TimeProcess</v>
      </c>
      <c r="J588" cm="1">
        <f t="array" ref="J588">MAX(IF((ProjectInfoTable[ProjectName]=OutputTable[[#This Row],[ProjectName]]),(ProjectInfoTable[ProjectName]=OutputTable[[#This Row],[ProjectName]])*ProjectInfoTable[NumberOfReplications]))</f>
        <v>10</v>
      </c>
      <c r="K588" cm="1">
        <f t="array" ref="K588">IFERROR(AVERAGE(IF((OutputTable[GroupByKey]=OutputTable[[#This Row],[GroupByKey]]),(OutputTable[GroupByKey]=OutputTable[[#This Row],[GroupByKey]])*OutputTable[RecordedValue])),0)</f>
        <v>91917.034029149756</v>
      </c>
      <c r="L588" cm="1">
        <f t="array" ref="L588">IFERROR(_xlfn.STDEV.S(IF((OutputTable[GroupByKey]=OutputTable[[#This Row],[GroupByKey]]),(OutputTable[GroupByKey]=OutputTable[[#This Row],[GroupByKey]])*OutputTable[RecordedValue])),0)</f>
        <v>167.33037075092571</v>
      </c>
      <c r="M588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119.70093629530641</v>
      </c>
      <c r="O588" cm="1">
        <f t="array" ref="O588">MIN(IF((OutputTable[GroupByKey]=OutputTable[[#This Row],[GroupByKey]]),(OutputTable[GroupByKey]=OutputTable[[#This Row],[GroupByKey]])*OutputTable[RecordedValue]))</f>
        <v>91632.276670136605</v>
      </c>
      <c r="P588" cm="1">
        <f t="array" ref="P588">MAX(IF((OutputTable[GroupByKey]=OutputTable[[#This Row],[GroupByKey]]),(OutputTable[GroupByKey]=OutputTable[[#This Row],[GroupByKey]])*OutputTable[RecordedValue]))</f>
        <v>92162.594279262106</v>
      </c>
    </row>
    <row r="589" spans="1:16" x14ac:dyDescent="0.25">
      <c r="A589" t="s">
        <v>67</v>
      </c>
      <c r="B589" t="s">
        <v>243</v>
      </c>
      <c r="C589">
        <v>7</v>
      </c>
      <c r="D589" t="s">
        <v>227</v>
      </c>
      <c r="E589" t="s">
        <v>156</v>
      </c>
      <c r="F589" t="s">
        <v>87</v>
      </c>
      <c r="G589">
        <v>18398</v>
      </c>
      <c r="H589">
        <v>0</v>
      </c>
      <c r="I589" t="str">
        <f>OutputTable[[#This Row],[ProjectName]]&amp;OutputTable[[#This Row],[Name]]&amp;OutputTable[[#This Row],[Type]]&amp;OutputTable[[#This Row],[Source]]</f>
        <v>Unnamed ProjectProcess 8 Number InNumber InProcess</v>
      </c>
      <c r="J589" cm="1">
        <f t="array" ref="J589">MAX(IF((ProjectInfoTable[ProjectName]=OutputTable[[#This Row],[ProjectName]]),(ProjectInfoTable[ProjectName]=OutputTable[[#This Row],[ProjectName]])*ProjectInfoTable[NumberOfReplications]))</f>
        <v>10</v>
      </c>
      <c r="K589" cm="1">
        <f t="array" ref="K589">IFERROR(AVERAGE(IF((OutputTable[GroupByKey]=OutputTable[[#This Row],[GroupByKey]]),(OutputTable[GroupByKey]=OutputTable[[#This Row],[GroupByKey]])*OutputTable[RecordedValue])),0)</f>
        <v>18392</v>
      </c>
      <c r="L589" cm="1">
        <f t="array" ref="L589">IFERROR(_xlfn.STDEV.S(IF((OutputTable[GroupByKey]=OutputTable[[#This Row],[GroupByKey]]),(OutputTable[GroupByKey]=OutputTable[[#This Row],[GroupByKey]])*OutputTable[RecordedValue])),0)</f>
        <v>12.884098726725126</v>
      </c>
      <c r="M589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589" cm="1">
        <f t="array" ref="O589">MIN(IF((OutputTable[GroupByKey]=OutputTable[[#This Row],[GroupByKey]]),(OutputTable[GroupByKey]=OutputTable[[#This Row],[GroupByKey]])*OutputTable[RecordedValue]))</f>
        <v>18376</v>
      </c>
      <c r="P589" cm="1">
        <f t="array" ref="P589">MAX(IF((OutputTable[GroupByKey]=OutputTable[[#This Row],[GroupByKey]]),(OutputTable[GroupByKey]=OutputTable[[#This Row],[GroupByKey]])*OutputTable[RecordedValue]))</f>
        <v>18407</v>
      </c>
    </row>
    <row r="590" spans="1:16" x14ac:dyDescent="0.25">
      <c r="A590" t="s">
        <v>67</v>
      </c>
      <c r="B590" t="s">
        <v>243</v>
      </c>
      <c r="C590">
        <v>7</v>
      </c>
      <c r="D590" t="s">
        <v>228</v>
      </c>
      <c r="E590" t="s">
        <v>158</v>
      </c>
      <c r="F590" t="s">
        <v>87</v>
      </c>
      <c r="G590">
        <v>18398</v>
      </c>
      <c r="H590">
        <v>0</v>
      </c>
      <c r="I590" t="str">
        <f>OutputTable[[#This Row],[ProjectName]]&amp;OutputTable[[#This Row],[Name]]&amp;OutputTable[[#This Row],[Type]]&amp;OutputTable[[#This Row],[Source]]</f>
        <v>Unnamed ProjectProcess 8 Number OutNumber OutProcess</v>
      </c>
      <c r="J590" cm="1">
        <f t="array" ref="J590">MAX(IF((ProjectInfoTable[ProjectName]=OutputTable[[#This Row],[ProjectName]]),(ProjectInfoTable[ProjectName]=OutputTable[[#This Row],[ProjectName]])*ProjectInfoTable[NumberOfReplications]))</f>
        <v>10</v>
      </c>
      <c r="K590" cm="1">
        <f t="array" ref="K590">IFERROR(AVERAGE(IF((OutputTable[GroupByKey]=OutputTable[[#This Row],[GroupByKey]]),(OutputTable[GroupByKey]=OutputTable[[#This Row],[GroupByKey]])*OutputTable[RecordedValue])),0)</f>
        <v>18392</v>
      </c>
      <c r="L590" cm="1">
        <f t="array" ref="L590">IFERROR(_xlfn.STDEV.S(IF((OutputTable[GroupByKey]=OutputTable[[#This Row],[GroupByKey]]),(OutputTable[GroupByKey]=OutputTable[[#This Row],[GroupByKey]])*OutputTable[RecordedValue])),0)</f>
        <v>12.884098726725126</v>
      </c>
      <c r="M590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590" cm="1">
        <f t="array" ref="O590">MIN(IF((OutputTable[GroupByKey]=OutputTable[[#This Row],[GroupByKey]]),(OutputTable[GroupByKey]=OutputTable[[#This Row],[GroupByKey]])*OutputTable[RecordedValue]))</f>
        <v>18376</v>
      </c>
      <c r="P590" cm="1">
        <f t="array" ref="P590">MAX(IF((OutputTable[GroupByKey]=OutputTable[[#This Row],[GroupByKey]]),(OutputTable[GroupByKey]=OutputTable[[#This Row],[GroupByKey]])*OutputTable[RecordedValue]))</f>
        <v>18407</v>
      </c>
    </row>
    <row r="591" spans="1:16" x14ac:dyDescent="0.25">
      <c r="A591" t="s">
        <v>67</v>
      </c>
      <c r="B591" t="s">
        <v>243</v>
      </c>
      <c r="C591">
        <v>7</v>
      </c>
      <c r="D591" t="s">
        <v>229</v>
      </c>
      <c r="E591" t="s">
        <v>202</v>
      </c>
      <c r="F591" t="s">
        <v>87</v>
      </c>
      <c r="G591">
        <v>104211.38013324099</v>
      </c>
      <c r="H591">
        <v>0</v>
      </c>
      <c r="I591" t="str">
        <f>OutputTable[[#This Row],[ProjectName]]&amp;OutputTable[[#This Row],[Name]]&amp;OutputTable[[#This Row],[Type]]&amp;OutputTable[[#This Row],[Source]]</f>
        <v>Unnamed ProjectProcess 9 Accum VA TimeAccum VA TimeProcess</v>
      </c>
      <c r="J591" cm="1">
        <f t="array" ref="J591">MAX(IF((ProjectInfoTable[ProjectName]=OutputTable[[#This Row],[ProjectName]]),(ProjectInfoTable[ProjectName]=OutputTable[[#This Row],[ProjectName]])*ProjectInfoTable[NumberOfReplications]))</f>
        <v>10</v>
      </c>
      <c r="K591" cm="1">
        <f t="array" ref="K591">IFERROR(AVERAGE(IF((OutputTable[GroupByKey]=OutputTable[[#This Row],[GroupByKey]]),(OutputTable[GroupByKey]=OutputTable[[#This Row],[GroupByKey]])*OutputTable[RecordedValue])),0)</f>
        <v>104198.44406523299</v>
      </c>
      <c r="L591" cm="1">
        <f t="array" ref="L591">IFERROR(_xlfn.STDEV.S(IF((OutputTable[GroupByKey]=OutputTable[[#This Row],[GroupByKey]]),(OutputTable[GroupByKey]=OutputTable[[#This Row],[GroupByKey]])*OutputTable[RecordedValue])),0)</f>
        <v>99.045608472383734</v>
      </c>
      <c r="M591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70.852960026786278</v>
      </c>
      <c r="O591" cm="1">
        <f t="array" ref="O591">MIN(IF((OutputTable[GroupByKey]=OutputTable[[#This Row],[GroupByKey]]),(OutputTable[GroupByKey]=OutputTable[[#This Row],[GroupByKey]])*OutputTable[RecordedValue]))</f>
        <v>104039.320720244</v>
      </c>
      <c r="P591" cm="1">
        <f t="array" ref="P591">MAX(IF((OutputTable[GroupByKey]=OutputTable[[#This Row],[GroupByKey]]),(OutputTable[GroupByKey]=OutputTable[[#This Row],[GroupByKey]])*OutputTable[RecordedValue]))</f>
        <v>104335.096217932</v>
      </c>
    </row>
    <row r="592" spans="1:16" x14ac:dyDescent="0.25">
      <c r="A592" t="s">
        <v>67</v>
      </c>
      <c r="B592" t="s">
        <v>243</v>
      </c>
      <c r="C592">
        <v>7</v>
      </c>
      <c r="D592" t="s">
        <v>230</v>
      </c>
      <c r="E592" t="s">
        <v>156</v>
      </c>
      <c r="F592" t="s">
        <v>87</v>
      </c>
      <c r="G592">
        <v>18394</v>
      </c>
      <c r="H592">
        <v>0</v>
      </c>
      <c r="I592" t="str">
        <f>OutputTable[[#This Row],[ProjectName]]&amp;OutputTable[[#This Row],[Name]]&amp;OutputTable[[#This Row],[Type]]&amp;OutputTable[[#This Row],[Source]]</f>
        <v>Unnamed ProjectProcess 9 Number InNumber InProcess</v>
      </c>
      <c r="J592" cm="1">
        <f t="array" ref="J592">MAX(IF((ProjectInfoTable[ProjectName]=OutputTable[[#This Row],[ProjectName]]),(ProjectInfoTable[ProjectName]=OutputTable[[#This Row],[ProjectName]])*ProjectInfoTable[NumberOfReplications]))</f>
        <v>10</v>
      </c>
      <c r="K592" cm="1">
        <f t="array" ref="K592">IFERROR(AVERAGE(IF((OutputTable[GroupByKey]=OutputTable[[#This Row],[GroupByKey]]),(OutputTable[GroupByKey]=OutputTable[[#This Row],[GroupByKey]])*OutputTable[RecordedValue])),0)</f>
        <v>18389.400000000001</v>
      </c>
      <c r="L592" cm="1">
        <f t="array" ref="L592">IFERROR(_xlfn.STDEV.S(IF((OutputTable[GroupByKey]=OutputTable[[#This Row],[GroupByKey]]),(OutputTable[GroupByKey]=OutputTable[[#This Row],[GroupByKey]])*OutputTable[RecordedValue])),0)</f>
        <v>12.103259432437566</v>
      </c>
      <c r="M592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592" cm="1">
        <f t="array" ref="O592">MIN(IF((OutputTable[GroupByKey]=OutputTable[[#This Row],[GroupByKey]]),(OutputTable[GroupByKey]=OutputTable[[#This Row],[GroupByKey]])*OutputTable[RecordedValue]))</f>
        <v>18376</v>
      </c>
      <c r="P592" cm="1">
        <f t="array" ref="P592">MAX(IF((OutputTable[GroupByKey]=OutputTable[[#This Row],[GroupByKey]]),(OutputTable[GroupByKey]=OutputTable[[#This Row],[GroupByKey]])*OutputTable[RecordedValue]))</f>
        <v>18404</v>
      </c>
    </row>
    <row r="593" spans="1:16" x14ac:dyDescent="0.25">
      <c r="A593" t="s">
        <v>67</v>
      </c>
      <c r="B593" t="s">
        <v>243</v>
      </c>
      <c r="C593">
        <v>7</v>
      </c>
      <c r="D593" t="s">
        <v>231</v>
      </c>
      <c r="E593" t="s">
        <v>158</v>
      </c>
      <c r="F593" t="s">
        <v>87</v>
      </c>
      <c r="G593">
        <v>18394</v>
      </c>
      <c r="H593">
        <v>0</v>
      </c>
      <c r="I593" t="str">
        <f>OutputTable[[#This Row],[ProjectName]]&amp;OutputTable[[#This Row],[Name]]&amp;OutputTable[[#This Row],[Type]]&amp;OutputTable[[#This Row],[Source]]</f>
        <v>Unnamed ProjectProcess 9 Number OutNumber OutProcess</v>
      </c>
      <c r="J593" cm="1">
        <f t="array" ref="J593">MAX(IF((ProjectInfoTable[ProjectName]=OutputTable[[#This Row],[ProjectName]]),(ProjectInfoTable[ProjectName]=OutputTable[[#This Row],[ProjectName]])*ProjectInfoTable[NumberOfReplications]))</f>
        <v>10</v>
      </c>
      <c r="K593" cm="1">
        <f t="array" ref="K593">IFERROR(AVERAGE(IF((OutputTable[GroupByKey]=OutputTable[[#This Row],[GroupByKey]]),(OutputTable[GroupByKey]=OutputTable[[#This Row],[GroupByKey]])*OutputTable[RecordedValue])),0)</f>
        <v>18389.400000000001</v>
      </c>
      <c r="L593" cm="1">
        <f t="array" ref="L593">IFERROR(_xlfn.STDEV.S(IF((OutputTable[GroupByKey]=OutputTable[[#This Row],[GroupByKey]]),(OutputTable[GroupByKey]=OutputTable[[#This Row],[GroupByKey]])*OutputTable[RecordedValue])),0)</f>
        <v>12.103259432437566</v>
      </c>
      <c r="M593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593" cm="1">
        <f t="array" ref="O593">MIN(IF((OutputTable[GroupByKey]=OutputTable[[#This Row],[GroupByKey]]),(OutputTable[GroupByKey]=OutputTable[[#This Row],[GroupByKey]])*OutputTable[RecordedValue]))</f>
        <v>18376</v>
      </c>
      <c r="P593" cm="1">
        <f t="array" ref="P593">MAX(IF((OutputTable[GroupByKey]=OutputTable[[#This Row],[GroupByKey]]),(OutputTable[GroupByKey]=OutputTable[[#This Row],[GroupByKey]])*OutputTable[RecordedValue]))</f>
        <v>18404</v>
      </c>
    </row>
    <row r="594" spans="1:16" x14ac:dyDescent="0.25">
      <c r="A594" t="s">
        <v>67</v>
      </c>
      <c r="B594" t="s">
        <v>243</v>
      </c>
      <c r="C594">
        <v>7</v>
      </c>
      <c r="D594" t="s">
        <v>232</v>
      </c>
      <c r="E594" t="s">
        <v>152</v>
      </c>
      <c r="F594" t="s">
        <v>113</v>
      </c>
      <c r="G594">
        <v>0</v>
      </c>
      <c r="H594">
        <v>0</v>
      </c>
      <c r="I594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594" cm="1">
        <f t="array" ref="J594">MAX(IF((ProjectInfoTable[ProjectName]=OutputTable[[#This Row],[ProjectName]]),(ProjectInfoTable[ProjectName]=OutputTable[[#This Row],[ProjectName]])*ProjectInfoTable[NumberOfReplications]))</f>
        <v>10</v>
      </c>
      <c r="K594" cm="1">
        <f t="array" ref="K594">IFERROR(AVERAGE(IF((OutputTable[GroupByKey]=OutputTable[[#This Row],[GroupByKey]]),(OutputTable[GroupByKey]=OutputTable[[#This Row],[GroupByKey]])*OutputTable[RecordedValue])),0)</f>
        <v>0</v>
      </c>
      <c r="L594" cm="1">
        <f t="array" ref="L594">IFERROR(_xlfn.STDEV.S(IF((OutputTable[GroupByKey]=OutputTable[[#This Row],[GroupByKey]]),(OutputTable[GroupByKey]=OutputTable[[#This Row],[GroupByKey]])*OutputTable[RecordedValue])),0)</f>
        <v>0</v>
      </c>
      <c r="M594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4" cm="1">
        <f t="array" ref="O594">MIN(IF((OutputTable[GroupByKey]=OutputTable[[#This Row],[GroupByKey]]),(OutputTable[GroupByKey]=OutputTable[[#This Row],[GroupByKey]])*OutputTable[RecordedValue]))</f>
        <v>0</v>
      </c>
      <c r="P594" cm="1">
        <f t="array" ref="P594">MAX(IF((OutputTable[GroupByKey]=OutputTable[[#This Row],[GroupByKey]]),(OutputTable[GroupByKey]=OutputTable[[#This Row],[GroupByKey]])*OutputTable[RecordedValue]))</f>
        <v>0</v>
      </c>
    </row>
    <row r="595" spans="1:16" x14ac:dyDescent="0.25">
      <c r="A595" t="s">
        <v>67</v>
      </c>
      <c r="B595" t="s">
        <v>243</v>
      </c>
      <c r="C595">
        <v>7</v>
      </c>
      <c r="D595" t="s">
        <v>233</v>
      </c>
      <c r="E595" t="s">
        <v>154</v>
      </c>
      <c r="F595" t="s">
        <v>113</v>
      </c>
      <c r="G595">
        <v>0</v>
      </c>
      <c r="H595">
        <v>0</v>
      </c>
      <c r="I595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595" cm="1">
        <f t="array" ref="J595">MAX(IF((ProjectInfoTable[ProjectName]=OutputTable[[#This Row],[ProjectName]]),(ProjectInfoTable[ProjectName]=OutputTable[[#This Row],[ProjectName]])*ProjectInfoTable[NumberOfReplications]))</f>
        <v>10</v>
      </c>
      <c r="K595" cm="1">
        <f t="array" ref="K595">IFERROR(AVERAGE(IF((OutputTable[GroupByKey]=OutputTable[[#This Row],[GroupByKey]]),(OutputTable[GroupByKey]=OutputTable[[#This Row],[GroupByKey]])*OutputTable[RecordedValue])),0)</f>
        <v>0</v>
      </c>
      <c r="L595" cm="1">
        <f t="array" ref="L595">IFERROR(_xlfn.STDEV.S(IF((OutputTable[GroupByKey]=OutputTable[[#This Row],[GroupByKey]]),(OutputTable[GroupByKey]=OutputTable[[#This Row],[GroupByKey]])*OutputTable[RecordedValue])),0)</f>
        <v>0</v>
      </c>
      <c r="M59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5" cm="1">
        <f t="array" ref="O595">MIN(IF((OutputTable[GroupByKey]=OutputTable[[#This Row],[GroupByKey]]),(OutputTable[GroupByKey]=OutputTable[[#This Row],[GroupByKey]])*OutputTable[RecordedValue]))</f>
        <v>0</v>
      </c>
      <c r="P595" cm="1">
        <f t="array" ref="P595">MAX(IF((OutputTable[GroupByKey]=OutputTable[[#This Row],[GroupByKey]]),(OutputTable[GroupByKey]=OutputTable[[#This Row],[GroupByKey]])*OutputTable[RecordedValue]))</f>
        <v>0</v>
      </c>
    </row>
    <row r="596" spans="1:16" x14ac:dyDescent="0.25">
      <c r="A596" t="s">
        <v>67</v>
      </c>
      <c r="B596" t="s">
        <v>243</v>
      </c>
      <c r="C596">
        <v>7</v>
      </c>
      <c r="D596" t="s">
        <v>234</v>
      </c>
      <c r="E596" t="s">
        <v>152</v>
      </c>
      <c r="F596" t="s">
        <v>113</v>
      </c>
      <c r="G596">
        <v>141</v>
      </c>
      <c r="H596">
        <v>0</v>
      </c>
      <c r="I596" t="str">
        <f>OutputTable[[#This Row],[ProjectName]]&amp;OutputTable[[#This Row],[Name]]&amp;OutputTable[[#This Row],[Type]]&amp;OutputTable[[#This Row],[Source]]</f>
        <v>Unnamed ProjectSales Rep.NumberSeizedTotal Number SeizedResource</v>
      </c>
      <c r="J596" cm="1">
        <f t="array" ref="J596">MAX(IF((ProjectInfoTable[ProjectName]=OutputTable[[#This Row],[ProjectName]]),(ProjectInfoTable[ProjectName]=OutputTable[[#This Row],[ProjectName]])*ProjectInfoTable[NumberOfReplications]))</f>
        <v>10</v>
      </c>
      <c r="K596" cm="1">
        <f t="array" ref="K596">IFERROR(AVERAGE(IF((OutputTable[GroupByKey]=OutputTable[[#This Row],[GroupByKey]]),(OutputTable[GroupByKey]=OutputTable[[#This Row],[GroupByKey]])*OutputTable[RecordedValue])),0)</f>
        <v>118.7</v>
      </c>
      <c r="L596" cm="1">
        <f t="array" ref="L596">IFERROR(_xlfn.STDEV.S(IF((OutputTable[GroupByKey]=OutputTable[[#This Row],[GroupByKey]]),(OutputTable[GroupByKey]=OutputTable[[#This Row],[GroupByKey]])*OutputTable[RecordedValue])),0)</f>
        <v>12.587913073879887</v>
      </c>
      <c r="M596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596" cm="1">
        <f t="array" ref="O596">MIN(IF((OutputTable[GroupByKey]=OutputTable[[#This Row],[GroupByKey]]),(OutputTable[GroupByKey]=OutputTable[[#This Row],[GroupByKey]])*OutputTable[RecordedValue]))</f>
        <v>95</v>
      </c>
      <c r="P596" cm="1">
        <f t="array" ref="P596">MAX(IF((OutputTable[GroupByKey]=OutputTable[[#This Row],[GroupByKey]]),(OutputTable[GroupByKey]=OutputTable[[#This Row],[GroupByKey]])*OutputTable[RecordedValue]))</f>
        <v>141</v>
      </c>
    </row>
    <row r="597" spans="1:16" x14ac:dyDescent="0.25">
      <c r="A597" t="s">
        <v>67</v>
      </c>
      <c r="B597" t="s">
        <v>243</v>
      </c>
      <c r="C597">
        <v>7</v>
      </c>
      <c r="D597" t="s">
        <v>235</v>
      </c>
      <c r="E597" t="s">
        <v>154</v>
      </c>
      <c r="F597" t="s">
        <v>113</v>
      </c>
      <c r="G597">
        <v>0.39321867243708603</v>
      </c>
      <c r="H597">
        <v>0</v>
      </c>
      <c r="I597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597" cm="1">
        <f t="array" ref="J597">MAX(IF((ProjectInfoTable[ProjectName]=OutputTable[[#This Row],[ProjectName]]),(ProjectInfoTable[ProjectName]=OutputTable[[#This Row],[ProjectName]])*ProjectInfoTable[NumberOfReplications]))</f>
        <v>10</v>
      </c>
      <c r="K597" cm="1">
        <f t="array" ref="K597">IFERROR(AVERAGE(IF((OutputTable[GroupByKey]=OutputTable[[#This Row],[GroupByKey]]),(OutputTable[GroupByKey]=OutputTable[[#This Row],[GroupByKey]])*OutputTable[RecordedValue])),0)</f>
        <v>0.3273551167875815</v>
      </c>
      <c r="L597" cm="1">
        <f t="array" ref="L597">IFERROR(_xlfn.STDEV.S(IF((OutputTable[GroupByKey]=OutputTable[[#This Row],[GroupByKey]]),(OutputTable[GroupByKey]=OutputTable[[#This Row],[GroupByKey]])*OutputTable[RecordedValue])),0)</f>
        <v>3.5172818533154994E-2</v>
      </c>
      <c r="M597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2.5161118640145405E-2</v>
      </c>
      <c r="O597" cm="1">
        <f t="array" ref="O597">MIN(IF((OutputTable[GroupByKey]=OutputTable[[#This Row],[GroupByKey]]),(OutputTable[GroupByKey]=OutputTable[[#This Row],[GroupByKey]])*OutputTable[RecordedValue]))</f>
        <v>0.26933581669894202</v>
      </c>
      <c r="P597" cm="1">
        <f t="array" ref="P597">MAX(IF((OutputTable[GroupByKey]=OutputTable[[#This Row],[GroupByKey]]),(OutputTable[GroupByKey]=OutputTable[[#This Row],[GroupByKey]])*OutputTable[RecordedValue]))</f>
        <v>0.39321867243708603</v>
      </c>
    </row>
    <row r="598" spans="1:16" x14ac:dyDescent="0.25">
      <c r="A598" t="s">
        <v>67</v>
      </c>
      <c r="B598" t="s">
        <v>243</v>
      </c>
      <c r="C598">
        <v>7</v>
      </c>
      <c r="D598" t="s">
        <v>236</v>
      </c>
      <c r="E598" t="s">
        <v>158</v>
      </c>
      <c r="F598" t="s">
        <v>150</v>
      </c>
      <c r="G598">
        <v>2546</v>
      </c>
      <c r="H598">
        <v>0</v>
      </c>
      <c r="I598" t="str">
        <f>OutputTable[[#This Row],[ProjectName]]&amp;OutputTable[[#This Row],[Name]]&amp;OutputTable[[#This Row],[Type]]&amp;OutputTable[[#This Row],[Source]]</f>
        <v>Unnamed ProjectSystem.NumberOutNumber OutSystem</v>
      </c>
      <c r="J598" cm="1">
        <f t="array" ref="J598">MAX(IF((ProjectInfoTable[ProjectName]=OutputTable[[#This Row],[ProjectName]]),(ProjectInfoTable[ProjectName]=OutputTable[[#This Row],[ProjectName]])*ProjectInfoTable[NumberOfReplications]))</f>
        <v>10</v>
      </c>
      <c r="K598" cm="1">
        <f t="array" ref="K598">IFERROR(AVERAGE(IF((OutputTable[GroupByKey]=OutputTable[[#This Row],[GroupByKey]]),(OutputTable[GroupByKey]=OutputTable[[#This Row],[GroupByKey]])*OutputTable[RecordedValue])),0)</f>
        <v>2503.1</v>
      </c>
      <c r="L598" cm="1">
        <f t="array" ref="L598">IFERROR(_xlfn.STDEV.S(IF((OutputTable[GroupByKey]=OutputTable[[#This Row],[GroupByKey]]),(OutputTable[GroupByKey]=OutputTable[[#This Row],[GroupByKey]])*OutputTable[RecordedValue])),0)</f>
        <v>29.72260643573059</v>
      </c>
      <c r="M598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21.262271777248003</v>
      </c>
      <c r="O598" cm="1">
        <f t="array" ref="O598">MIN(IF((OutputTable[GroupByKey]=OutputTable[[#This Row],[GroupByKey]]),(OutputTable[GroupByKey]=OutputTable[[#This Row],[GroupByKey]])*OutputTable[RecordedValue]))</f>
        <v>2457</v>
      </c>
      <c r="P598" cm="1">
        <f t="array" ref="P598">MAX(IF((OutputTable[GroupByKey]=OutputTable[[#This Row],[GroupByKey]]),(OutputTable[GroupByKey]=OutputTable[[#This Row],[GroupByKey]])*OutputTable[RecordedValue]))</f>
        <v>2546</v>
      </c>
    </row>
    <row r="599" spans="1:16" x14ac:dyDescent="0.25">
      <c r="A599" t="s">
        <v>67</v>
      </c>
      <c r="B599" t="s">
        <v>243</v>
      </c>
      <c r="C599">
        <v>7</v>
      </c>
      <c r="D599" t="s">
        <v>237</v>
      </c>
      <c r="E599" t="s">
        <v>156</v>
      </c>
      <c r="F599" t="s">
        <v>76</v>
      </c>
      <c r="G599">
        <v>7836</v>
      </c>
      <c r="H599">
        <v>0</v>
      </c>
      <c r="I599" t="str">
        <f>OutputTable[[#This Row],[ProjectName]]&amp;OutputTable[[#This Row],[Name]]&amp;OutputTable[[#This Row],[Type]]&amp;OutputTable[[#This Row],[Source]]</f>
        <v>Unnamed ProjectWire Harness.NumberInNumber InEntity</v>
      </c>
      <c r="J599" cm="1">
        <f t="array" ref="J599">MAX(IF((ProjectInfoTable[ProjectName]=OutputTable[[#This Row],[ProjectName]]),(ProjectInfoTable[ProjectName]=OutputTable[[#This Row],[ProjectName]])*ProjectInfoTable[NumberOfReplications]))</f>
        <v>10</v>
      </c>
      <c r="K599" cm="1">
        <f t="array" ref="K599">IFERROR(AVERAGE(IF((OutputTable[GroupByKey]=OutputTable[[#This Row],[GroupByKey]]),(OutputTable[GroupByKey]=OutputTable[[#This Row],[GroupByKey]])*OutputTable[RecordedValue])),0)</f>
        <v>7832.8</v>
      </c>
      <c r="L599" cm="1">
        <f t="array" ref="L599">IFERROR(_xlfn.STDEV.S(IF((OutputTable[GroupByKey]=OutputTable[[#This Row],[GroupByKey]]),(OutputTable[GroupByKey]=OutputTable[[#This Row],[GroupByKey]])*OutputTable[RecordedValue])),0)</f>
        <v>7.8287220469811594</v>
      </c>
      <c r="M599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5.6003303812327712</v>
      </c>
      <c r="O599" cm="1">
        <f t="array" ref="O599">MIN(IF((OutputTable[GroupByKey]=OutputTable[[#This Row],[GroupByKey]]),(OutputTable[GroupByKey]=OutputTable[[#This Row],[GroupByKey]])*OutputTable[RecordedValue]))</f>
        <v>7818</v>
      </c>
      <c r="P599" cm="1">
        <f t="array" ref="P599">MAX(IF((OutputTable[GroupByKey]=OutputTable[[#This Row],[GroupByKey]]),(OutputTable[GroupByKey]=OutputTable[[#This Row],[GroupByKey]])*OutputTable[RecordedValue]))</f>
        <v>7845</v>
      </c>
    </row>
    <row r="600" spans="1:16" x14ac:dyDescent="0.25">
      <c r="A600" t="s">
        <v>67</v>
      </c>
      <c r="B600" t="s">
        <v>243</v>
      </c>
      <c r="C600">
        <v>7</v>
      </c>
      <c r="D600" t="s">
        <v>238</v>
      </c>
      <c r="E600" t="s">
        <v>158</v>
      </c>
      <c r="F600" t="s">
        <v>76</v>
      </c>
      <c r="G600">
        <v>7830</v>
      </c>
      <c r="H600">
        <v>0</v>
      </c>
      <c r="I600" t="str">
        <f>OutputTable[[#This Row],[ProjectName]]&amp;OutputTable[[#This Row],[Name]]&amp;OutputTable[[#This Row],[Type]]&amp;OutputTable[[#This Row],[Source]]</f>
        <v>Unnamed ProjectWire Harness.NumberOutNumber OutEntity</v>
      </c>
      <c r="J600" cm="1">
        <f t="array" ref="J600">MAX(IF((ProjectInfoTable[ProjectName]=OutputTable[[#This Row],[ProjectName]]),(ProjectInfoTable[ProjectName]=OutputTable[[#This Row],[ProjectName]])*ProjectInfoTable[NumberOfReplications]))</f>
        <v>10</v>
      </c>
      <c r="K600" cm="1">
        <f t="array" ref="K600">IFERROR(AVERAGE(IF((OutputTable[GroupByKey]=OutputTable[[#This Row],[GroupByKey]]),(OutputTable[GroupByKey]=OutputTable[[#This Row],[GroupByKey]])*OutputTable[RecordedValue])),0)</f>
        <v>7828.3</v>
      </c>
      <c r="L600" cm="1">
        <f t="array" ref="L600">IFERROR(_xlfn.STDEV.S(IF((OutputTable[GroupByKey]=OutputTable[[#This Row],[GroupByKey]]),(OutputTable[GroupByKey]=OutputTable[[#This Row],[GroupByKey]])*OutputTable[RecordedValue])),0)</f>
        <v>7.1032074132433696</v>
      </c>
      <c r="M600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5.0813284776056653</v>
      </c>
      <c r="O600" cm="1">
        <f t="array" ref="O600">MIN(IF((OutputTable[GroupByKey]=OutputTable[[#This Row],[GroupByKey]]),(OutputTable[GroupByKey]=OutputTable[[#This Row],[GroupByKey]])*OutputTable[RecordedValue]))</f>
        <v>7815</v>
      </c>
      <c r="P600" cm="1">
        <f t="array" ref="P600">MAX(IF((OutputTable[GroupByKey]=OutputTable[[#This Row],[GroupByKey]]),(OutputTable[GroupByKey]=OutputTable[[#This Row],[GroupByKey]])*OutputTable[RecordedValue]))</f>
        <v>7840</v>
      </c>
    </row>
    <row r="601" spans="1:16" x14ac:dyDescent="0.25">
      <c r="A601" t="s">
        <v>67</v>
      </c>
      <c r="B601" t="s">
        <v>243</v>
      </c>
      <c r="C601">
        <v>7</v>
      </c>
      <c r="D601" t="s">
        <v>239</v>
      </c>
      <c r="E601" t="s">
        <v>202</v>
      </c>
      <c r="F601" t="s">
        <v>87</v>
      </c>
      <c r="G601">
        <v>63701.424934807801</v>
      </c>
      <c r="H601">
        <v>0</v>
      </c>
      <c r="I601" t="str">
        <f>OutputTable[[#This Row],[ProjectName]]&amp;OutputTable[[#This Row],[Name]]&amp;OutputTable[[#This Row],[Type]]&amp;OutputTable[[#This Row],[Source]]</f>
        <v>Unnamed Projectsales Accum VA TimeAccum VA TimeProcess</v>
      </c>
      <c r="J601" cm="1">
        <f t="array" ref="J601">MAX(IF((ProjectInfoTable[ProjectName]=OutputTable[[#This Row],[ProjectName]]),(ProjectInfoTable[ProjectName]=OutputTable[[#This Row],[ProjectName]])*ProjectInfoTable[NumberOfReplications]))</f>
        <v>10</v>
      </c>
      <c r="K601" cm="1">
        <f t="array" ref="K601">IFERROR(AVERAGE(IF((OutputTable[GroupByKey]=OutputTable[[#This Row],[GroupByKey]]),(OutputTable[GroupByKey]=OutputTable[[#This Row],[GroupByKey]])*OutputTable[RecordedValue])),0)</f>
        <v>53031.528919588192</v>
      </c>
      <c r="L601" cm="1">
        <f t="array" ref="L601">IFERROR(_xlfn.STDEV.S(IF((OutputTable[GroupByKey]=OutputTable[[#This Row],[GroupByKey]]),(OutputTable[GroupByKey]=OutputTable[[#This Row],[GroupByKey]])*OutputTable[RecordedValue])),0)</f>
        <v>5697.9966023710867</v>
      </c>
      <c r="M601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4076.1012197035402</v>
      </c>
      <c r="O601" cm="1">
        <f t="array" ref="O601">MIN(IF((OutputTable[GroupByKey]=OutputTable[[#This Row],[GroupByKey]]),(OutputTable[GroupByKey]=OutputTable[[#This Row],[GroupByKey]])*OutputTable[RecordedValue]))</f>
        <v>43632.402305228599</v>
      </c>
      <c r="P601" cm="1">
        <f t="array" ref="P601">MAX(IF((OutputTable[GroupByKey]=OutputTable[[#This Row],[GroupByKey]]),(OutputTable[GroupByKey]=OutputTable[[#This Row],[GroupByKey]])*OutputTable[RecordedValue]))</f>
        <v>63701.424934807801</v>
      </c>
    </row>
    <row r="602" spans="1:16" x14ac:dyDescent="0.25">
      <c r="A602" t="s">
        <v>67</v>
      </c>
      <c r="B602" t="s">
        <v>243</v>
      </c>
      <c r="C602">
        <v>7</v>
      </c>
      <c r="D602" t="s">
        <v>240</v>
      </c>
      <c r="E602" t="s">
        <v>156</v>
      </c>
      <c r="F602" t="s">
        <v>87</v>
      </c>
      <c r="G602">
        <v>141</v>
      </c>
      <c r="H602">
        <v>0</v>
      </c>
      <c r="I602" t="str">
        <f>OutputTable[[#This Row],[ProjectName]]&amp;OutputTable[[#This Row],[Name]]&amp;OutputTable[[#This Row],[Type]]&amp;OutputTable[[#This Row],[Source]]</f>
        <v>Unnamed Projectsales Number InNumber InProcess</v>
      </c>
      <c r="J602" cm="1">
        <f t="array" ref="J602">MAX(IF((ProjectInfoTable[ProjectName]=OutputTable[[#This Row],[ProjectName]]),(ProjectInfoTable[ProjectName]=OutputTable[[#This Row],[ProjectName]])*ProjectInfoTable[NumberOfReplications]))</f>
        <v>10</v>
      </c>
      <c r="K602" cm="1">
        <f t="array" ref="K602">IFERROR(AVERAGE(IF((OutputTable[GroupByKey]=OutputTable[[#This Row],[GroupByKey]]),(OutputTable[GroupByKey]=OutputTable[[#This Row],[GroupByKey]])*OutputTable[RecordedValue])),0)</f>
        <v>118.7</v>
      </c>
      <c r="L602" cm="1">
        <f t="array" ref="L602">IFERROR(_xlfn.STDEV.S(IF((OutputTable[GroupByKey]=OutputTable[[#This Row],[GroupByKey]]),(OutputTable[GroupByKey]=OutputTable[[#This Row],[GroupByKey]])*OutputTable[RecordedValue])),0)</f>
        <v>12.587913073879887</v>
      </c>
      <c r="M602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602" cm="1">
        <f t="array" ref="O602">MIN(IF((OutputTable[GroupByKey]=OutputTable[[#This Row],[GroupByKey]]),(OutputTable[GroupByKey]=OutputTable[[#This Row],[GroupByKey]])*OutputTable[RecordedValue]))</f>
        <v>95</v>
      </c>
      <c r="P602" cm="1">
        <f t="array" ref="P602">MAX(IF((OutputTable[GroupByKey]=OutputTable[[#This Row],[GroupByKey]]),(OutputTable[GroupByKey]=OutputTable[[#This Row],[GroupByKey]])*OutputTable[RecordedValue]))</f>
        <v>141</v>
      </c>
    </row>
    <row r="603" spans="1:16" x14ac:dyDescent="0.25">
      <c r="A603" t="s">
        <v>67</v>
      </c>
      <c r="B603" t="s">
        <v>243</v>
      </c>
      <c r="C603">
        <v>7</v>
      </c>
      <c r="D603" t="s">
        <v>241</v>
      </c>
      <c r="E603" t="s">
        <v>158</v>
      </c>
      <c r="F603" t="s">
        <v>87</v>
      </c>
      <c r="G603">
        <v>141</v>
      </c>
      <c r="H603">
        <v>0</v>
      </c>
      <c r="I603" t="str">
        <f>OutputTable[[#This Row],[ProjectName]]&amp;OutputTable[[#This Row],[Name]]&amp;OutputTable[[#This Row],[Type]]&amp;OutputTable[[#This Row],[Source]]</f>
        <v>Unnamed Projectsales Number OutNumber OutProcess</v>
      </c>
      <c r="J603" cm="1">
        <f t="array" ref="J603">MAX(IF((ProjectInfoTable[ProjectName]=OutputTable[[#This Row],[ProjectName]]),(ProjectInfoTable[ProjectName]=OutputTable[[#This Row],[ProjectName]])*ProjectInfoTable[NumberOfReplications]))</f>
        <v>10</v>
      </c>
      <c r="K603" cm="1">
        <f t="array" ref="K603">IFERROR(AVERAGE(IF((OutputTable[GroupByKey]=OutputTable[[#This Row],[GroupByKey]]),(OutputTable[GroupByKey]=OutputTable[[#This Row],[GroupByKey]])*OutputTable[RecordedValue])),0)</f>
        <v>118.7</v>
      </c>
      <c r="L603" cm="1">
        <f t="array" ref="L603">IFERROR(_xlfn.STDEV.S(IF((OutputTable[GroupByKey]=OutputTable[[#This Row],[GroupByKey]]),(OutputTable[GroupByKey]=OutputTable[[#This Row],[GroupByKey]])*OutputTable[RecordedValue])),0)</f>
        <v>12.587913073879887</v>
      </c>
      <c r="M603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603" cm="1">
        <f t="array" ref="O603">MIN(IF((OutputTable[GroupByKey]=OutputTable[[#This Row],[GroupByKey]]),(OutputTable[GroupByKey]=OutputTable[[#This Row],[GroupByKey]])*OutputTable[RecordedValue]))</f>
        <v>95</v>
      </c>
      <c r="P603" cm="1">
        <f t="array" ref="P603">MAX(IF((OutputTable[GroupByKey]=OutputTable[[#This Row],[GroupByKey]]),(OutputTable[GroupByKey]=OutputTable[[#This Row],[GroupByKey]])*OutputTable[RecordedValue]))</f>
        <v>141</v>
      </c>
    </row>
    <row r="604" spans="1:16" x14ac:dyDescent="0.25">
      <c r="A604" t="s">
        <v>67</v>
      </c>
      <c r="B604" t="s">
        <v>243</v>
      </c>
      <c r="C604">
        <v>8</v>
      </c>
      <c r="D604" t="s">
        <v>151</v>
      </c>
      <c r="E604" t="s">
        <v>152</v>
      </c>
      <c r="F604" t="s">
        <v>113</v>
      </c>
      <c r="G604">
        <v>6546</v>
      </c>
      <c r="H604">
        <v>0</v>
      </c>
      <c r="I604" t="str">
        <f>OutputTable[[#This Row],[ProjectName]]&amp;OutputTable[[#This Row],[Name]]&amp;OutputTable[[#This Row],[Type]]&amp;OutputTable[[#This Row],[Source]]</f>
        <v>Unnamed ProjectAssembler.NumberSeizedTotal Number SeizedResource</v>
      </c>
      <c r="J604" cm="1">
        <f t="array" ref="J604">MAX(IF((ProjectInfoTable[ProjectName]=OutputTable[[#This Row],[ProjectName]]),(ProjectInfoTable[ProjectName]=OutputTable[[#This Row],[ProjectName]])*ProjectInfoTable[NumberOfReplications]))</f>
        <v>10</v>
      </c>
      <c r="K604" cm="1">
        <f t="array" ref="K604">IFERROR(AVERAGE(IF((OutputTable[GroupByKey]=OutputTable[[#This Row],[GroupByKey]]),(OutputTable[GroupByKey]=OutputTable[[#This Row],[GroupByKey]])*OutputTable[RecordedValue])),0)</f>
        <v>6547.7</v>
      </c>
      <c r="L604" cm="1">
        <f t="array" ref="L604">IFERROR(_xlfn.STDEV.S(IF((OutputTable[GroupByKey]=OutputTable[[#This Row],[GroupByKey]]),(OutputTable[GroupByKey]=OutputTable[[#This Row],[GroupByKey]])*OutputTable[RecordedValue])),0)</f>
        <v>5.735852159879995</v>
      </c>
      <c r="M604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604" cm="1">
        <f t="array" ref="O604">MIN(IF((OutputTable[GroupByKey]=OutputTable[[#This Row],[GroupByKey]]),(OutputTable[GroupByKey]=OutputTable[[#This Row],[GroupByKey]])*OutputTable[RecordedValue]))</f>
        <v>6540</v>
      </c>
      <c r="P604" cm="1">
        <f t="array" ref="P604">MAX(IF((OutputTable[GroupByKey]=OutputTable[[#This Row],[GroupByKey]]),(OutputTable[GroupByKey]=OutputTable[[#This Row],[GroupByKey]])*OutputTable[RecordedValue]))</f>
        <v>6557</v>
      </c>
    </row>
    <row r="605" spans="1:16" x14ac:dyDescent="0.25">
      <c r="A605" t="s">
        <v>67</v>
      </c>
      <c r="B605" t="s">
        <v>243</v>
      </c>
      <c r="C605">
        <v>8</v>
      </c>
      <c r="D605" t="s">
        <v>153</v>
      </c>
      <c r="E605" t="s">
        <v>154</v>
      </c>
      <c r="F605" t="s">
        <v>113</v>
      </c>
      <c r="G605">
        <v>7.5817710089498197E-2</v>
      </c>
      <c r="H605">
        <v>0</v>
      </c>
      <c r="I60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605" cm="1">
        <f t="array" ref="J605">MAX(IF((ProjectInfoTable[ProjectName]=OutputTable[[#This Row],[ProjectName]]),(ProjectInfoTable[ProjectName]=OutputTable[[#This Row],[ProjectName]])*ProjectInfoTable[NumberOfReplications]))</f>
        <v>10</v>
      </c>
      <c r="K605" cm="1">
        <f t="array" ref="K605">IFERROR(AVERAGE(IF((OutputTable[GroupByKey]=OutputTable[[#This Row],[GroupByKey]]),(OutputTable[GroupByKey]=OutputTable[[#This Row],[GroupByKey]])*OutputTable[RecordedValue])),0)</f>
        <v>7.575658911226775E-2</v>
      </c>
      <c r="L605" cm="1">
        <f t="array" ref="L605">IFERROR(_xlfn.STDEV.S(IF((OutputTable[GroupByKey]=OutputTable[[#This Row],[GroupByKey]]),(OutputTable[GroupByKey]=OutputTable[[#This Row],[GroupByKey]])*OutputTable[RecordedValue])),0)</f>
        <v>1.4019953141627205E-4</v>
      </c>
      <c r="M60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1.0029270301248135E-4</v>
      </c>
      <c r="O605" cm="1">
        <f t="array" ref="O605">MIN(IF((OutputTable[GroupByKey]=OutputTable[[#This Row],[GroupByKey]]),(OutputTable[GroupByKey]=OutputTable[[#This Row],[GroupByKey]])*OutputTable[RecordedValue]))</f>
        <v>7.5477645584878503E-2</v>
      </c>
      <c r="P605" cm="1">
        <f t="array" ref="P605">MAX(IF((OutputTable[GroupByKey]=OutputTable[[#This Row],[GroupByKey]]),(OutputTable[GroupByKey]=OutputTable[[#This Row],[GroupByKey]])*OutputTable[RecordedValue]))</f>
        <v>7.5973148639726207E-2</v>
      </c>
    </row>
    <row r="606" spans="1:16" x14ac:dyDescent="0.25">
      <c r="A606" t="s">
        <v>67</v>
      </c>
      <c r="B606" t="s">
        <v>243</v>
      </c>
      <c r="C606">
        <v>8</v>
      </c>
      <c r="D606" t="s">
        <v>155</v>
      </c>
      <c r="E606" t="s">
        <v>156</v>
      </c>
      <c r="F606" t="s">
        <v>76</v>
      </c>
      <c r="G606">
        <v>1088</v>
      </c>
      <c r="H606">
        <v>0</v>
      </c>
      <c r="I606" t="str">
        <f>OutputTable[[#This Row],[ProjectName]]&amp;OutputTable[[#This Row],[Name]]&amp;OutputTable[[#This Row],[Type]]&amp;OutputTable[[#This Row],[Source]]</f>
        <v>Unnamed ProjectCustomer.NumberInNumber InEntity</v>
      </c>
      <c r="J606" cm="1">
        <f t="array" ref="J606">MAX(IF((ProjectInfoTable[ProjectName]=OutputTable[[#This Row],[ProjectName]]),(ProjectInfoTable[ProjectName]=OutputTable[[#This Row],[ProjectName]])*ProjectInfoTable[NumberOfReplications]))</f>
        <v>10</v>
      </c>
      <c r="K606" cm="1">
        <f t="array" ref="K606">IFERROR(AVERAGE(IF((OutputTable[GroupByKey]=OutputTable[[#This Row],[GroupByKey]]),(OutputTable[GroupByKey]=OutputTable[[#This Row],[GroupByKey]])*OutputTable[RecordedValue])),0)</f>
        <v>1090.3</v>
      </c>
      <c r="L606" cm="1">
        <f t="array" ref="L606">IFERROR(_xlfn.STDEV.S(IF((OutputTable[GroupByKey]=OutputTable[[#This Row],[GroupByKey]]),(OutputTable[GroupByKey]=OutputTable[[#This Row],[GroupByKey]])*OutputTable[RecordedValue])),0)</f>
        <v>32.666836734251177</v>
      </c>
      <c r="M606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606" cm="1">
        <f t="array" ref="O606">MIN(IF((OutputTable[GroupByKey]=OutputTable[[#This Row],[GroupByKey]]),(OutputTable[GroupByKey]=OutputTable[[#This Row],[GroupByKey]])*OutputTable[RecordedValue]))</f>
        <v>1042</v>
      </c>
      <c r="P606" cm="1">
        <f t="array" ref="P606">MAX(IF((OutputTable[GroupByKey]=OutputTable[[#This Row],[GroupByKey]]),(OutputTable[GroupByKey]=OutputTable[[#This Row],[GroupByKey]])*OutputTable[RecordedValue]))</f>
        <v>1141</v>
      </c>
    </row>
    <row r="607" spans="1:16" x14ac:dyDescent="0.25">
      <c r="A607" t="s">
        <v>67</v>
      </c>
      <c r="B607" t="s">
        <v>243</v>
      </c>
      <c r="C607">
        <v>8</v>
      </c>
      <c r="D607" t="s">
        <v>157</v>
      </c>
      <c r="E607" t="s">
        <v>158</v>
      </c>
      <c r="F607" t="s">
        <v>76</v>
      </c>
      <c r="G607">
        <v>1088</v>
      </c>
      <c r="H607">
        <v>0</v>
      </c>
      <c r="I607" t="str">
        <f>OutputTable[[#This Row],[ProjectName]]&amp;OutputTable[[#This Row],[Name]]&amp;OutputTable[[#This Row],[Type]]&amp;OutputTable[[#This Row],[Source]]</f>
        <v>Unnamed ProjectCustomer.NumberOutNumber OutEntity</v>
      </c>
      <c r="J607" cm="1">
        <f t="array" ref="J607">MAX(IF((ProjectInfoTable[ProjectName]=OutputTable[[#This Row],[ProjectName]]),(ProjectInfoTable[ProjectName]=OutputTable[[#This Row],[ProjectName]])*ProjectInfoTable[NumberOfReplications]))</f>
        <v>10</v>
      </c>
      <c r="K607" cm="1">
        <f t="array" ref="K607">IFERROR(AVERAGE(IF((OutputTable[GroupByKey]=OutputTable[[#This Row],[GroupByKey]]),(OutputTable[GroupByKey]=OutputTable[[#This Row],[GroupByKey]])*OutputTable[RecordedValue])),0)</f>
        <v>1090.3</v>
      </c>
      <c r="L607" cm="1">
        <f t="array" ref="L607">IFERROR(_xlfn.STDEV.S(IF((OutputTable[GroupByKey]=OutputTable[[#This Row],[GroupByKey]]),(OutputTable[GroupByKey]=OutputTable[[#This Row],[GroupByKey]])*OutputTable[RecordedValue])),0)</f>
        <v>32.666836734251177</v>
      </c>
      <c r="M607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607" cm="1">
        <f t="array" ref="O607">MIN(IF((OutputTable[GroupByKey]=OutputTable[[#This Row],[GroupByKey]]),(OutputTable[GroupByKey]=OutputTable[[#This Row],[GroupByKey]])*OutputTable[RecordedValue]))</f>
        <v>1042</v>
      </c>
      <c r="P607" cm="1">
        <f t="array" ref="P607">MAX(IF((OutputTable[GroupByKey]=OutputTable[[#This Row],[GroupByKey]]),(OutputTable[GroupByKey]=OutputTable[[#This Row],[GroupByKey]])*OutputTable[RecordedValue]))</f>
        <v>1141</v>
      </c>
    </row>
    <row r="608" spans="1:16" x14ac:dyDescent="0.25">
      <c r="A608" t="s">
        <v>67</v>
      </c>
      <c r="B608" t="s">
        <v>243</v>
      </c>
      <c r="C608">
        <v>8</v>
      </c>
      <c r="D608" t="s">
        <v>159</v>
      </c>
      <c r="E608" t="s">
        <v>156</v>
      </c>
      <c r="F608" t="s">
        <v>76</v>
      </c>
      <c r="G608">
        <v>19816</v>
      </c>
      <c r="H608">
        <v>0</v>
      </c>
      <c r="I608" t="str">
        <f>OutputTable[[#This Row],[ProjectName]]&amp;OutputTable[[#This Row],[Name]]&amp;OutputTable[[#This Row],[Type]]&amp;OutputTable[[#This Row],[Source]]</f>
        <v>Unnamed ProjectEntity 1.NumberInNumber InEntity</v>
      </c>
      <c r="J608" cm="1">
        <f t="array" ref="J608">MAX(IF((ProjectInfoTable[ProjectName]=OutputTable[[#This Row],[ProjectName]]),(ProjectInfoTable[ProjectName]=OutputTable[[#This Row],[ProjectName]])*ProjectInfoTable[NumberOfReplications]))</f>
        <v>10</v>
      </c>
      <c r="K608" cm="1">
        <f t="array" ref="K608">IFERROR(AVERAGE(IF((OutputTable[GroupByKey]=OutputTable[[#This Row],[GroupByKey]]),(OutputTable[GroupByKey]=OutputTable[[#This Row],[GroupByKey]])*OutputTable[RecordedValue])),0)</f>
        <v>19822.900000000001</v>
      </c>
      <c r="L608" cm="1">
        <f t="array" ref="L608">IFERROR(_xlfn.STDEV.S(IF((OutputTable[GroupByKey]=OutputTable[[#This Row],[GroupByKey]]),(OutputTable[GroupByKey]=OutputTable[[#This Row],[GroupByKey]])*OutputTable[RecordedValue])),0)</f>
        <v>20.151922985164472</v>
      </c>
      <c r="M608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14.415817276026377</v>
      </c>
      <c r="O608" cm="1">
        <f t="array" ref="O608">MIN(IF((OutputTable[GroupByKey]=OutputTable[[#This Row],[GroupByKey]]),(OutputTable[GroupByKey]=OutputTable[[#This Row],[GroupByKey]])*OutputTable[RecordedValue]))</f>
        <v>19788</v>
      </c>
      <c r="P608" cm="1">
        <f t="array" ref="P608">MAX(IF((OutputTable[GroupByKey]=OutputTable[[#This Row],[GroupByKey]]),(OutputTable[GroupByKey]=OutputTable[[#This Row],[GroupByKey]])*OutputTable[RecordedValue]))</f>
        <v>19852</v>
      </c>
    </row>
    <row r="609" spans="1:16" x14ac:dyDescent="0.25">
      <c r="A609" t="s">
        <v>67</v>
      </c>
      <c r="B609" t="s">
        <v>243</v>
      </c>
      <c r="C609">
        <v>8</v>
      </c>
      <c r="D609" t="s">
        <v>160</v>
      </c>
      <c r="E609" t="s">
        <v>158</v>
      </c>
      <c r="F609" t="s">
        <v>76</v>
      </c>
      <c r="G609">
        <v>19632</v>
      </c>
      <c r="H609">
        <v>0</v>
      </c>
      <c r="I609" t="str">
        <f>OutputTable[[#This Row],[ProjectName]]&amp;OutputTable[[#This Row],[Name]]&amp;OutputTable[[#This Row],[Type]]&amp;OutputTable[[#This Row],[Source]]</f>
        <v>Unnamed ProjectEntity 1.NumberOutNumber OutEntity</v>
      </c>
      <c r="J609" cm="1">
        <f t="array" ref="J609">MAX(IF((ProjectInfoTable[ProjectName]=OutputTable[[#This Row],[ProjectName]]),(ProjectInfoTable[ProjectName]=OutputTable[[#This Row],[ProjectName]])*ProjectInfoTable[NumberOfReplications]))</f>
        <v>10</v>
      </c>
      <c r="K609" cm="1">
        <f t="array" ref="K609">IFERROR(AVERAGE(IF((OutputTable[GroupByKey]=OutputTable[[#This Row],[GroupByKey]]),(OutputTable[GroupByKey]=OutputTable[[#This Row],[GroupByKey]])*OutputTable[RecordedValue])),0)</f>
        <v>19635.599999999999</v>
      </c>
      <c r="L609" cm="1">
        <f t="array" ref="L609">IFERROR(_xlfn.STDEV.S(IF((OutputTable[GroupByKey]=OutputTable[[#This Row],[GroupByKey]]),(OutputTable[GroupByKey]=OutputTable[[#This Row],[GroupByKey]])*OutputTable[RecordedValue])),0)</f>
        <v>15.086417732516889</v>
      </c>
      <c r="M609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609" cm="1">
        <f t="array" ref="O609">MIN(IF((OutputTable[GroupByKey]=OutputTable[[#This Row],[GroupByKey]]),(OutputTable[GroupByKey]=OutputTable[[#This Row],[GroupByKey]])*OutputTable[RecordedValue]))</f>
        <v>19614</v>
      </c>
      <c r="P609" cm="1">
        <f t="array" ref="P609">MAX(IF((OutputTable[GroupByKey]=OutputTable[[#This Row],[GroupByKey]]),(OutputTable[GroupByKey]=OutputTable[[#This Row],[GroupByKey]])*OutputTable[RecordedValue]))</f>
        <v>19662</v>
      </c>
    </row>
    <row r="610" spans="1:16" x14ac:dyDescent="0.25">
      <c r="A610" t="s">
        <v>67</v>
      </c>
      <c r="B610" t="s">
        <v>243</v>
      </c>
      <c r="C610">
        <v>8</v>
      </c>
      <c r="D610" t="s">
        <v>161</v>
      </c>
      <c r="E610" t="s">
        <v>156</v>
      </c>
      <c r="F610" t="s">
        <v>76</v>
      </c>
      <c r="G610">
        <v>8402</v>
      </c>
      <c r="H610">
        <v>0</v>
      </c>
      <c r="I610" t="str">
        <f>OutputTable[[#This Row],[ProjectName]]&amp;OutputTable[[#This Row],[Name]]&amp;OutputTable[[#This Row],[Type]]&amp;OutputTable[[#This Row],[Source]]</f>
        <v>Unnamed ProjectEntity 2.NumberInNumber InEntity</v>
      </c>
      <c r="J610" cm="1">
        <f t="array" ref="J610">MAX(IF((ProjectInfoTable[ProjectName]=OutputTable[[#This Row],[ProjectName]]),(ProjectInfoTable[ProjectName]=OutputTable[[#This Row],[ProjectName]])*ProjectInfoTable[NumberOfReplications]))</f>
        <v>10</v>
      </c>
      <c r="K610" cm="1">
        <f t="array" ref="K610">IFERROR(AVERAGE(IF((OutputTable[GroupByKey]=OutputTable[[#This Row],[GroupByKey]]),(OutputTable[GroupByKey]=OutputTable[[#This Row],[GroupByKey]])*OutputTable[RecordedValue])),0)</f>
        <v>8398</v>
      </c>
      <c r="L610" cm="1">
        <f t="array" ref="L610">IFERROR(_xlfn.STDEV.S(IF((OutputTable[GroupByKey]=OutputTable[[#This Row],[GroupByKey]]),(OutputTable[GroupByKey]=OutputTable[[#This Row],[GroupByKey]])*OutputTable[RecordedValue])),0)</f>
        <v>24.133885813197271</v>
      </c>
      <c r="M610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17.264341884378119</v>
      </c>
      <c r="O610" cm="1">
        <f t="array" ref="O610">MIN(IF((OutputTable[GroupByKey]=OutputTable[[#This Row],[GroupByKey]]),(OutputTable[GroupByKey]=OutputTable[[#This Row],[GroupByKey]])*OutputTable[RecordedValue]))</f>
        <v>8353</v>
      </c>
      <c r="P610" cm="1">
        <f t="array" ref="P610">MAX(IF((OutputTable[GroupByKey]=OutputTable[[#This Row],[GroupByKey]]),(OutputTable[GroupByKey]=OutputTable[[#This Row],[GroupByKey]])*OutputTable[RecordedValue]))</f>
        <v>8437</v>
      </c>
    </row>
    <row r="611" spans="1:16" x14ac:dyDescent="0.25">
      <c r="A611" t="s">
        <v>67</v>
      </c>
      <c r="B611" t="s">
        <v>243</v>
      </c>
      <c r="C611">
        <v>8</v>
      </c>
      <c r="D611" t="s">
        <v>162</v>
      </c>
      <c r="E611" t="s">
        <v>158</v>
      </c>
      <c r="F611" t="s">
        <v>76</v>
      </c>
      <c r="G611">
        <v>6544</v>
      </c>
      <c r="H611">
        <v>0</v>
      </c>
      <c r="I611" t="str">
        <f>OutputTable[[#This Row],[ProjectName]]&amp;OutputTable[[#This Row],[Name]]&amp;OutputTable[[#This Row],[Type]]&amp;OutputTable[[#This Row],[Source]]</f>
        <v>Unnamed ProjectEntity 2.NumberOutNumber OutEntity</v>
      </c>
      <c r="J611" cm="1">
        <f t="array" ref="J611">MAX(IF((ProjectInfoTable[ProjectName]=OutputTable[[#This Row],[ProjectName]]),(ProjectInfoTable[ProjectName]=OutputTable[[#This Row],[ProjectName]])*ProjectInfoTable[NumberOfReplications]))</f>
        <v>10</v>
      </c>
      <c r="K611" cm="1">
        <f t="array" ref="K611">IFERROR(AVERAGE(IF((OutputTable[GroupByKey]=OutputTable[[#This Row],[GroupByKey]]),(OutputTable[GroupByKey]=OutputTable[[#This Row],[GroupByKey]])*OutputTable[RecordedValue])),0)</f>
        <v>6545.2</v>
      </c>
      <c r="L611" cm="1">
        <f t="array" ref="L611">IFERROR(_xlfn.STDEV.S(IF((OutputTable[GroupByKey]=OutputTable[[#This Row],[GroupByKey]]),(OutputTable[GroupByKey]=OutputTable[[#This Row],[GroupByKey]])*OutputTable[RecordedValue])),0)</f>
        <v>5.0288059108389627</v>
      </c>
      <c r="M611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3.5973910371047504</v>
      </c>
      <c r="O611" cm="1">
        <f t="array" ref="O611">MIN(IF((OutputTable[GroupByKey]=OutputTable[[#This Row],[GroupByKey]]),(OutputTable[GroupByKey]=OutputTable[[#This Row],[GroupByKey]])*OutputTable[RecordedValue]))</f>
        <v>6538</v>
      </c>
      <c r="P611" cm="1">
        <f t="array" ref="P611">MAX(IF((OutputTable[GroupByKey]=OutputTable[[#This Row],[GroupByKey]]),(OutputTable[GroupByKey]=OutputTable[[#This Row],[GroupByKey]])*OutputTable[RecordedValue]))</f>
        <v>6554</v>
      </c>
    </row>
    <row r="612" spans="1:16" x14ac:dyDescent="0.25">
      <c r="A612" t="s">
        <v>67</v>
      </c>
      <c r="B612" t="s">
        <v>243</v>
      </c>
      <c r="C612">
        <v>8</v>
      </c>
      <c r="D612" t="s">
        <v>163</v>
      </c>
      <c r="E612" t="s">
        <v>156</v>
      </c>
      <c r="F612" t="s">
        <v>76</v>
      </c>
      <c r="G612">
        <v>27734</v>
      </c>
      <c r="H612">
        <v>0</v>
      </c>
      <c r="I612" t="str">
        <f>OutputTable[[#This Row],[ProjectName]]&amp;OutputTable[[#This Row],[Name]]&amp;OutputTable[[#This Row],[Type]]&amp;OutputTable[[#This Row],[Source]]</f>
        <v>Unnamed ProjectEntity 3.NumberInNumber InEntity</v>
      </c>
      <c r="J612" cm="1">
        <f t="array" ref="J612">MAX(IF((ProjectInfoTable[ProjectName]=OutputTable[[#This Row],[ProjectName]]),(ProjectInfoTable[ProjectName]=OutputTable[[#This Row],[ProjectName]])*ProjectInfoTable[NumberOfReplications]))</f>
        <v>10</v>
      </c>
      <c r="K612" cm="1">
        <f t="array" ref="K612">IFERROR(AVERAGE(IF((OutputTable[GroupByKey]=OutputTable[[#This Row],[GroupByKey]]),(OutputTable[GroupByKey]=OutputTable[[#This Row],[GroupByKey]])*OutputTable[RecordedValue])),0)</f>
        <v>27753.7</v>
      </c>
      <c r="L612" cm="1">
        <f t="array" ref="L612">IFERROR(_xlfn.STDEV.S(IF((OutputTable[GroupByKey]=OutputTable[[#This Row],[GroupByKey]]),(OutputTable[GroupByKey]=OutputTable[[#This Row],[GroupByKey]])*OutputTable[RecordedValue])),0)</f>
        <v>25.447331228768697</v>
      </c>
      <c r="M612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18.203924133022646</v>
      </c>
      <c r="O612" cm="1">
        <f t="array" ref="O612">MIN(IF((OutputTable[GroupByKey]=OutputTable[[#This Row],[GroupByKey]]),(OutputTable[GroupByKey]=OutputTable[[#This Row],[GroupByKey]])*OutputTable[RecordedValue]))</f>
        <v>27724</v>
      </c>
      <c r="P612" cm="1">
        <f t="array" ref="P612">MAX(IF((OutputTable[GroupByKey]=OutputTable[[#This Row],[GroupByKey]]),(OutputTable[GroupByKey]=OutputTable[[#This Row],[GroupByKey]])*OutputTable[RecordedValue]))</f>
        <v>27792</v>
      </c>
    </row>
    <row r="613" spans="1:16" x14ac:dyDescent="0.25">
      <c r="A613" t="s">
        <v>67</v>
      </c>
      <c r="B613" t="s">
        <v>243</v>
      </c>
      <c r="C613">
        <v>8</v>
      </c>
      <c r="D613" t="s">
        <v>164</v>
      </c>
      <c r="E613" t="s">
        <v>158</v>
      </c>
      <c r="F613" t="s">
        <v>76</v>
      </c>
      <c r="G613">
        <v>19632</v>
      </c>
      <c r="H613">
        <v>0</v>
      </c>
      <c r="I613" t="str">
        <f>OutputTable[[#This Row],[ProjectName]]&amp;OutputTable[[#This Row],[Name]]&amp;OutputTable[[#This Row],[Type]]&amp;OutputTable[[#This Row],[Source]]</f>
        <v>Unnamed ProjectEntity 3.NumberOutNumber OutEntity</v>
      </c>
      <c r="J613" cm="1">
        <f t="array" ref="J613">MAX(IF((ProjectInfoTable[ProjectName]=OutputTable[[#This Row],[ProjectName]]),(ProjectInfoTable[ProjectName]=OutputTable[[#This Row],[ProjectName]])*ProjectInfoTable[NumberOfReplications]))</f>
        <v>10</v>
      </c>
      <c r="K613" cm="1">
        <f t="array" ref="K613">IFERROR(AVERAGE(IF((OutputTable[GroupByKey]=OutputTable[[#This Row],[GroupByKey]]),(OutputTable[GroupByKey]=OutputTable[[#This Row],[GroupByKey]])*OutputTable[RecordedValue])),0)</f>
        <v>19635.599999999999</v>
      </c>
      <c r="L613" cm="1">
        <f t="array" ref="L613">IFERROR(_xlfn.STDEV.S(IF((OutputTable[GroupByKey]=OutputTable[[#This Row],[GroupByKey]]),(OutputTable[GroupByKey]=OutputTable[[#This Row],[GroupByKey]])*OutputTable[RecordedValue])),0)</f>
        <v>15.086417732516889</v>
      </c>
      <c r="M613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613" cm="1">
        <f t="array" ref="O613">MIN(IF((OutputTable[GroupByKey]=OutputTable[[#This Row],[GroupByKey]]),(OutputTable[GroupByKey]=OutputTable[[#This Row],[GroupByKey]])*OutputTable[RecordedValue]))</f>
        <v>19614</v>
      </c>
      <c r="P613" cm="1">
        <f t="array" ref="P613">MAX(IF((OutputTable[GroupByKey]=OutputTable[[#This Row],[GroupByKey]]),(OutputTable[GroupByKey]=OutputTable[[#This Row],[GroupByKey]])*OutputTable[RecordedValue]))</f>
        <v>19662</v>
      </c>
    </row>
    <row r="614" spans="1:16" x14ac:dyDescent="0.25">
      <c r="A614" t="s">
        <v>67</v>
      </c>
      <c r="B614" t="s">
        <v>243</v>
      </c>
      <c r="C614">
        <v>8</v>
      </c>
      <c r="D614" t="s">
        <v>165</v>
      </c>
      <c r="E614" t="s">
        <v>152</v>
      </c>
      <c r="F614" t="s">
        <v>113</v>
      </c>
      <c r="G614">
        <v>13100</v>
      </c>
      <c r="H614">
        <v>0</v>
      </c>
      <c r="I614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614" cm="1">
        <f t="array" ref="J614">MAX(IF((ProjectInfoTable[ProjectName]=OutputTable[[#This Row],[ProjectName]]),(ProjectInfoTable[ProjectName]=OutputTable[[#This Row],[ProjectName]])*ProjectInfoTable[NumberOfReplications]))</f>
        <v>10</v>
      </c>
      <c r="K614" cm="1">
        <f t="array" ref="K614">IFERROR(AVERAGE(IF((OutputTable[GroupByKey]=OutputTable[[#This Row],[GroupByKey]]),(OutputTable[GroupByKey]=OutputTable[[#This Row],[GroupByKey]])*OutputTable[RecordedValue])),0)</f>
        <v>13103.5</v>
      </c>
      <c r="L614" cm="1">
        <f t="array" ref="L614">IFERROR(_xlfn.STDEV.S(IF((OutputTable[GroupByKey]=OutputTable[[#This Row],[GroupByKey]]),(OutputTable[GroupByKey]=OutputTable[[#This Row],[GroupByKey]])*OutputTable[RecordedValue])),0)</f>
        <v>11.443095929181249</v>
      </c>
      <c r="M614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614" cm="1">
        <f t="array" ref="O614">MIN(IF((OutputTable[GroupByKey]=OutputTable[[#This Row],[GroupByKey]]),(OutputTable[GroupByKey]=OutputTable[[#This Row],[GroupByKey]])*OutputTable[RecordedValue]))</f>
        <v>13087</v>
      </c>
      <c r="P614" cm="1">
        <f t="array" ref="P614">MAX(IF((OutputTable[GroupByKey]=OutputTable[[#This Row],[GroupByKey]]),(OutputTable[GroupByKey]=OutputTable[[#This Row],[GroupByKey]])*OutputTable[RecordedValue]))</f>
        <v>13120</v>
      </c>
    </row>
    <row r="615" spans="1:16" x14ac:dyDescent="0.25">
      <c r="A615" t="s">
        <v>67</v>
      </c>
      <c r="B615" t="s">
        <v>243</v>
      </c>
      <c r="C615">
        <v>8</v>
      </c>
      <c r="D615" t="s">
        <v>166</v>
      </c>
      <c r="E615" t="s">
        <v>154</v>
      </c>
      <c r="F615" t="s">
        <v>113</v>
      </c>
      <c r="G615">
        <v>0.524046412289632</v>
      </c>
      <c r="H615">
        <v>0</v>
      </c>
      <c r="I615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615" cm="1">
        <f t="array" ref="J615">MAX(IF((ProjectInfoTable[ProjectName]=OutputTable[[#This Row],[ProjectName]]),(ProjectInfoTable[ProjectName]=OutputTable[[#This Row],[ProjectName]])*ProjectInfoTable[NumberOfReplications]))</f>
        <v>10</v>
      </c>
      <c r="K615" cm="1">
        <f t="array" ref="K615">IFERROR(AVERAGE(IF((OutputTable[GroupByKey]=OutputTable[[#This Row],[GroupByKey]]),(OutputTable[GroupByKey]=OutputTable[[#This Row],[GroupByKey]])*OutputTable[RecordedValue])),0)</f>
        <v>0.48160620907873086</v>
      </c>
      <c r="L615" cm="1">
        <f t="array" ref="L615">IFERROR(_xlfn.STDEV.S(IF((OutputTable[GroupByKey]=OutputTable[[#This Row],[GroupByKey]]),(OutputTable[GroupByKey]=OutputTable[[#This Row],[GroupByKey]])*OutputTable[RecordedValue])),0)</f>
        <v>8.6686321722355061E-2</v>
      </c>
      <c r="M61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6.2011658897281531E-2</v>
      </c>
      <c r="O615" cm="1">
        <f t="array" ref="O615">MIN(IF((OutputTable[GroupByKey]=OutputTable[[#This Row],[GroupByKey]]),(OutputTable[GroupByKey]=OutputTable[[#This Row],[GroupByKey]])*OutputTable[RecordedValue]))</f>
        <v>0.292184201252493</v>
      </c>
      <c r="P615" cm="1">
        <f t="array" ref="P615">MAX(IF((OutputTable[GroupByKey]=OutputTable[[#This Row],[GroupByKey]]),(OutputTable[GroupByKey]=OutputTable[[#This Row],[GroupByKey]])*OutputTable[RecordedValue]))</f>
        <v>0.57167989674475905</v>
      </c>
    </row>
    <row r="616" spans="1:16" x14ac:dyDescent="0.25">
      <c r="A616" t="s">
        <v>67</v>
      </c>
      <c r="B616" t="s">
        <v>243</v>
      </c>
      <c r="C616">
        <v>8</v>
      </c>
      <c r="D616" t="s">
        <v>167</v>
      </c>
      <c r="E616" t="s">
        <v>152</v>
      </c>
      <c r="F616" t="s">
        <v>113</v>
      </c>
      <c r="G616">
        <v>13096</v>
      </c>
      <c r="H616">
        <v>0</v>
      </c>
      <c r="I616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616" cm="1">
        <f t="array" ref="J616">MAX(IF((ProjectInfoTable[ProjectName]=OutputTable[[#This Row],[ProjectName]]),(ProjectInfoTable[ProjectName]=OutputTable[[#This Row],[ProjectName]])*ProjectInfoTable[NumberOfReplications]))</f>
        <v>10</v>
      </c>
      <c r="K616" cm="1">
        <f t="array" ref="K616">IFERROR(AVERAGE(IF((OutputTable[GroupByKey]=OutputTable[[#This Row],[GroupByKey]]),(OutputTable[GroupByKey]=OutputTable[[#This Row],[GroupByKey]])*OutputTable[RecordedValue])),0)</f>
        <v>13100.1</v>
      </c>
      <c r="L616" cm="1">
        <f t="array" ref="L616">IFERROR(_xlfn.STDEV.S(IF((OutputTable[GroupByKey]=OutputTable[[#This Row],[GroupByKey]]),(OutputTable[GroupByKey]=OutputTable[[#This Row],[GroupByKey]])*OutputTable[RecordedValue])),0)</f>
        <v>11.46443776786866</v>
      </c>
      <c r="M616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616" cm="1">
        <f t="array" ref="O616">MIN(IF((OutputTable[GroupByKey]=OutputTable[[#This Row],[GroupByKey]]),(OutputTable[GroupByKey]=OutputTable[[#This Row],[GroupByKey]])*OutputTable[RecordedValue]))</f>
        <v>13083</v>
      </c>
      <c r="P616" cm="1">
        <f t="array" ref="P616">MAX(IF((OutputTable[GroupByKey]=OutputTable[[#This Row],[GroupByKey]]),(OutputTable[GroupByKey]=OutputTable[[#This Row],[GroupByKey]])*OutputTable[RecordedValue]))</f>
        <v>13118</v>
      </c>
    </row>
    <row r="617" spans="1:16" x14ac:dyDescent="0.25">
      <c r="A617" t="s">
        <v>67</v>
      </c>
      <c r="B617" t="s">
        <v>243</v>
      </c>
      <c r="C617">
        <v>8</v>
      </c>
      <c r="D617" t="s">
        <v>168</v>
      </c>
      <c r="E617" t="s">
        <v>154</v>
      </c>
      <c r="F617" t="s">
        <v>113</v>
      </c>
      <c r="G617">
        <v>0.20807621157933101</v>
      </c>
      <c r="H617">
        <v>0</v>
      </c>
      <c r="I617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617" cm="1">
        <f t="array" ref="J617">MAX(IF((ProjectInfoTable[ProjectName]=OutputTable[[#This Row],[ProjectName]]),(ProjectInfoTable[ProjectName]=OutputTable[[#This Row],[ProjectName]])*ProjectInfoTable[NumberOfReplications]))</f>
        <v>10</v>
      </c>
      <c r="K617" cm="1">
        <f t="array" ref="K617">IFERROR(AVERAGE(IF((OutputTable[GroupByKey]=OutputTable[[#This Row],[GroupByKey]]),(OutputTable[GroupByKey]=OutputTable[[#This Row],[GroupByKey]])*OutputTable[RecordedValue])),0)</f>
        <v>0.25269289312392168</v>
      </c>
      <c r="L617" cm="1">
        <f t="array" ref="L617">IFERROR(_xlfn.STDEV.S(IF((OutputTable[GroupByKey]=OutputTable[[#This Row],[GroupByKey]]),(OutputTable[GroupByKey]=OutputTable[[#This Row],[GroupByKey]])*OutputTable[RecordedValue])),0)</f>
        <v>4.921401008308305E-2</v>
      </c>
      <c r="M617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3.5205581983443382E-2</v>
      </c>
      <c r="O617" cm="1">
        <f t="array" ref="O617">MIN(IF((OutputTable[GroupByKey]=OutputTable[[#This Row],[GroupByKey]]),(OutputTable[GroupByKey]=OutputTable[[#This Row],[GroupByKey]])*OutputTable[RecordedValue]))</f>
        <v>0.20500025225945601</v>
      </c>
      <c r="P617" cm="1">
        <f t="array" ref="P617">MAX(IF((OutputTable[GroupByKey]=OutputTable[[#This Row],[GroupByKey]]),(OutputTable[GroupByKey]=OutputTable[[#This Row],[GroupByKey]])*OutputTable[RecordedValue]))</f>
        <v>0.33570777662711399</v>
      </c>
    </row>
    <row r="618" spans="1:16" x14ac:dyDescent="0.25">
      <c r="A618" t="s">
        <v>67</v>
      </c>
      <c r="B618" t="s">
        <v>243</v>
      </c>
      <c r="C618">
        <v>8</v>
      </c>
      <c r="D618" t="s">
        <v>169</v>
      </c>
      <c r="E618" t="s">
        <v>152</v>
      </c>
      <c r="F618" t="s">
        <v>113</v>
      </c>
      <c r="G618">
        <v>13096</v>
      </c>
      <c r="H618">
        <v>0</v>
      </c>
      <c r="I618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618" cm="1">
        <f t="array" ref="J618">MAX(IF((ProjectInfoTable[ProjectName]=OutputTable[[#This Row],[ProjectName]]),(ProjectInfoTable[ProjectName]=OutputTable[[#This Row],[ProjectName]])*ProjectInfoTable[NumberOfReplications]))</f>
        <v>10</v>
      </c>
      <c r="K618" cm="1">
        <f t="array" ref="K618">IFERROR(AVERAGE(IF((OutputTable[GroupByKey]=OutputTable[[#This Row],[GroupByKey]]),(OutputTable[GroupByKey]=OutputTable[[#This Row],[GroupByKey]])*OutputTable[RecordedValue])),0)</f>
        <v>13099.9</v>
      </c>
      <c r="L618" cm="1">
        <f t="array" ref="L618">IFERROR(_xlfn.STDEV.S(IF((OutputTable[GroupByKey]=OutputTable[[#This Row],[GroupByKey]]),(OutputTable[GroupByKey]=OutputTable[[#This Row],[GroupByKey]])*OutputTable[RecordedValue])),0)</f>
        <v>11.761046816598522</v>
      </c>
      <c r="M618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618" cm="1">
        <f t="array" ref="O618">MIN(IF((OutputTable[GroupByKey]=OutputTable[[#This Row],[GroupByKey]]),(OutputTable[GroupByKey]=OutputTable[[#This Row],[GroupByKey]])*OutputTable[RecordedValue]))</f>
        <v>13082</v>
      </c>
      <c r="P618" cm="1">
        <f t="array" ref="P618">MAX(IF((OutputTable[GroupByKey]=OutputTable[[#This Row],[GroupByKey]]),(OutputTable[GroupByKey]=OutputTable[[#This Row],[GroupByKey]])*OutputTable[RecordedValue]))</f>
        <v>13118</v>
      </c>
    </row>
    <row r="619" spans="1:16" x14ac:dyDescent="0.25">
      <c r="A619" t="s">
        <v>67</v>
      </c>
      <c r="B619" t="s">
        <v>243</v>
      </c>
      <c r="C619">
        <v>8</v>
      </c>
      <c r="D619" t="s">
        <v>170</v>
      </c>
      <c r="E619" t="s">
        <v>154</v>
      </c>
      <c r="F619" t="s">
        <v>113</v>
      </c>
      <c r="G619">
        <v>0.15142923347384599</v>
      </c>
      <c r="H619">
        <v>0</v>
      </c>
      <c r="I619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619" cm="1">
        <f t="array" ref="J619">MAX(IF((ProjectInfoTable[ProjectName]=OutputTable[[#This Row],[ProjectName]]),(ProjectInfoTable[ProjectName]=OutputTable[[#This Row],[ProjectName]])*ProjectInfoTable[NumberOfReplications]))</f>
        <v>10</v>
      </c>
      <c r="K619" cm="1">
        <f t="array" ref="K619">IFERROR(AVERAGE(IF((OutputTable[GroupByKey]=OutputTable[[#This Row],[GroupByKey]]),(OutputTable[GroupByKey]=OutputTable[[#This Row],[GroupByKey]])*OutputTable[RecordedValue])),0)</f>
        <v>0.151561654865698</v>
      </c>
      <c r="L619" cm="1">
        <f t="array" ref="L619">IFERROR(_xlfn.STDEV.S(IF((OutputTable[GroupByKey]=OutputTable[[#This Row],[GroupByKey]]),(OutputTable[GroupByKey]=OutputTable[[#This Row],[GroupByKey]])*OutputTable[RecordedValue])),0)</f>
        <v>1.2198256688170919E-4</v>
      </c>
      <c r="M619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8.7261071626859165E-5</v>
      </c>
      <c r="O619" cm="1">
        <f t="array" ref="O619">MIN(IF((OutputTable[GroupByKey]=OutputTable[[#This Row],[GroupByKey]]),(OutputTable[GroupByKey]=OutputTable[[#This Row],[GroupByKey]])*OutputTable[RecordedValue]))</f>
        <v>0.15134711042770399</v>
      </c>
      <c r="P619" cm="1">
        <f t="array" ref="P619">MAX(IF((OutputTable[GroupByKey]=OutputTable[[#This Row],[GroupByKey]]),(OutputTable[GroupByKey]=OutputTable[[#This Row],[GroupByKey]])*OutputTable[RecordedValue]))</f>
        <v>0.15172806047441101</v>
      </c>
    </row>
    <row r="620" spans="1:16" x14ac:dyDescent="0.25">
      <c r="A620" t="s">
        <v>67</v>
      </c>
      <c r="B620" t="s">
        <v>243</v>
      </c>
      <c r="C620">
        <v>8</v>
      </c>
      <c r="D620" t="s">
        <v>171</v>
      </c>
      <c r="E620" t="s">
        <v>152</v>
      </c>
      <c r="F620" t="s">
        <v>113</v>
      </c>
      <c r="G620">
        <v>8231</v>
      </c>
      <c r="H620">
        <v>0</v>
      </c>
      <c r="I620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620" cm="1">
        <f t="array" ref="J620">MAX(IF((ProjectInfoTable[ProjectName]=OutputTable[[#This Row],[ProjectName]]),(ProjectInfoTable[ProjectName]=OutputTable[[#This Row],[ProjectName]])*ProjectInfoTable[NumberOfReplications]))</f>
        <v>10</v>
      </c>
      <c r="K620" cm="1">
        <f t="array" ref="K620">IFERROR(AVERAGE(IF((OutputTable[GroupByKey]=OutputTable[[#This Row],[GroupByKey]]),(OutputTable[GroupByKey]=OutputTable[[#This Row],[GroupByKey]])*OutputTable[RecordedValue])),0)</f>
        <v>8235</v>
      </c>
      <c r="L620" cm="1">
        <f t="array" ref="L620">IFERROR(_xlfn.STDEV.S(IF((OutputTable[GroupByKey]=OutputTable[[#This Row],[GroupByKey]]),(OutputTable[GroupByKey]=OutputTable[[#This Row],[GroupByKey]])*OutputTable[RecordedValue])),0)</f>
        <v>6.5659052011974035</v>
      </c>
      <c r="M620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620" cm="1">
        <f t="array" ref="O620">MIN(IF((OutputTable[GroupByKey]=OutputTable[[#This Row],[GroupByKey]]),(OutputTable[GroupByKey]=OutputTable[[#This Row],[GroupByKey]])*OutputTable[RecordedValue]))</f>
        <v>8223</v>
      </c>
      <c r="P620" cm="1">
        <f t="array" ref="P620">MAX(IF((OutputTable[GroupByKey]=OutputTable[[#This Row],[GroupByKey]]),(OutputTable[GroupByKey]=OutputTable[[#This Row],[GroupByKey]])*OutputTable[RecordedValue]))</f>
        <v>8245</v>
      </c>
    </row>
    <row r="621" spans="1:16" x14ac:dyDescent="0.25">
      <c r="A621" t="s">
        <v>67</v>
      </c>
      <c r="B621" t="s">
        <v>243</v>
      </c>
      <c r="C621">
        <v>8</v>
      </c>
      <c r="D621" t="s">
        <v>172</v>
      </c>
      <c r="E621" t="s">
        <v>154</v>
      </c>
      <c r="F621" t="s">
        <v>113</v>
      </c>
      <c r="G621">
        <v>0.91068077194701702</v>
      </c>
      <c r="H621">
        <v>0</v>
      </c>
      <c r="I621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621" cm="1">
        <f t="array" ref="J621">MAX(IF((ProjectInfoTable[ProjectName]=OutputTable[[#This Row],[ProjectName]]),(ProjectInfoTable[ProjectName]=OutputTable[[#This Row],[ProjectName]])*ProjectInfoTable[NumberOfReplications]))</f>
        <v>10</v>
      </c>
      <c r="K621" cm="1">
        <f t="array" ref="K621">IFERROR(AVERAGE(IF((OutputTable[GroupByKey]=OutputTable[[#This Row],[GroupByKey]]),(OutputTable[GroupByKey]=OutputTable[[#This Row],[GroupByKey]])*OutputTable[RecordedValue])),0)</f>
        <v>0.84558522180863771</v>
      </c>
      <c r="L621" cm="1">
        <f t="array" ref="L621">IFERROR(_xlfn.STDEV.S(IF((OutputTable[GroupByKey]=OutputTable[[#This Row],[GroupByKey]]),(OutputTable[GroupByKey]=OutputTable[[#This Row],[GroupByKey]])*OutputTable[RecordedValue])),0)</f>
        <v>0.11694354024491282</v>
      </c>
      <c r="M621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8.3656369122856733E-2</v>
      </c>
      <c r="O621" cm="1">
        <f t="array" ref="O621">MIN(IF((OutputTable[GroupByKey]=OutputTable[[#This Row],[GroupByKey]]),(OutputTable[GroupByKey]=OutputTable[[#This Row],[GroupByKey]])*OutputTable[RecordedValue]))</f>
        <v>0.625269422960122</v>
      </c>
      <c r="P621" cm="1">
        <f t="array" ref="P621">MAX(IF((OutputTable[GroupByKey]=OutputTable[[#This Row],[GroupByKey]]),(OutputTable[GroupByKey]=OutputTable[[#This Row],[GroupByKey]])*OutputTable[RecordedValue]))</f>
        <v>0.95234896906597499</v>
      </c>
    </row>
    <row r="622" spans="1:16" x14ac:dyDescent="0.25">
      <c r="A622" t="s">
        <v>67</v>
      </c>
      <c r="B622" t="s">
        <v>243</v>
      </c>
      <c r="C622">
        <v>8</v>
      </c>
      <c r="D622" t="s">
        <v>173</v>
      </c>
      <c r="E622" t="s">
        <v>152</v>
      </c>
      <c r="F622" t="s">
        <v>113</v>
      </c>
      <c r="G622">
        <v>8229</v>
      </c>
      <c r="H622">
        <v>0</v>
      </c>
      <c r="I622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622" cm="1">
        <f t="array" ref="J622">MAX(IF((ProjectInfoTable[ProjectName]=OutputTable[[#This Row],[ProjectName]]),(ProjectInfoTable[ProjectName]=OutputTable[[#This Row],[ProjectName]])*ProjectInfoTable[NumberOfReplications]))</f>
        <v>10</v>
      </c>
      <c r="K622" cm="1">
        <f t="array" ref="K622">IFERROR(AVERAGE(IF((OutputTable[GroupByKey]=OutputTable[[#This Row],[GroupByKey]]),(OutputTable[GroupByKey]=OutputTable[[#This Row],[GroupByKey]])*OutputTable[RecordedValue])),0)</f>
        <v>8233.5</v>
      </c>
      <c r="L622" cm="1">
        <f t="array" ref="L622">IFERROR(_xlfn.STDEV.S(IF((OutputTable[GroupByKey]=OutputTable[[#This Row],[GroupByKey]]),(OutputTable[GroupByKey]=OutputTable[[#This Row],[GroupByKey]])*OutputTable[RecordedValue])),0)</f>
        <v>6.5021364010437201</v>
      </c>
      <c r="M622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622" cm="1">
        <f t="array" ref="O622">MIN(IF((OutputTable[GroupByKey]=OutputTable[[#This Row],[GroupByKey]]),(OutputTable[GroupByKey]=OutputTable[[#This Row],[GroupByKey]])*OutputTable[RecordedValue]))</f>
        <v>8221</v>
      </c>
      <c r="P622" cm="1">
        <f t="array" ref="P622">MAX(IF((OutputTable[GroupByKey]=OutputTable[[#This Row],[GroupByKey]]),(OutputTable[GroupByKey]=OutputTable[[#This Row],[GroupByKey]])*OutputTable[RecordedValue]))</f>
        <v>8243</v>
      </c>
    </row>
    <row r="623" spans="1:16" x14ac:dyDescent="0.25">
      <c r="A623" t="s">
        <v>67</v>
      </c>
      <c r="B623" t="s">
        <v>243</v>
      </c>
      <c r="C623">
        <v>8</v>
      </c>
      <c r="D623" t="s">
        <v>174</v>
      </c>
      <c r="E623" t="s">
        <v>154</v>
      </c>
      <c r="F623" t="s">
        <v>113</v>
      </c>
      <c r="G623">
        <v>0.72873074612662603</v>
      </c>
      <c r="H623">
        <v>0</v>
      </c>
      <c r="I623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623" cm="1">
        <f t="array" ref="J623">MAX(IF((ProjectInfoTable[ProjectName]=OutputTable[[#This Row],[ProjectName]]),(ProjectInfoTable[ProjectName]=OutputTable[[#This Row],[ProjectName]])*ProjectInfoTable[NumberOfReplications]))</f>
        <v>10</v>
      </c>
      <c r="K623" cm="1">
        <f t="array" ref="K623">IFERROR(AVERAGE(IF((OutputTable[GroupByKey]=OutputTable[[#This Row],[GroupByKey]]),(OutputTable[GroupByKey]=OutputTable[[#This Row],[GroupByKey]])*OutputTable[RecordedValue])),0)</f>
        <v>0.74077431571180286</v>
      </c>
      <c r="L623" cm="1">
        <f t="array" ref="L623">IFERROR(_xlfn.STDEV.S(IF((OutputTable[GroupByKey]=OutputTable[[#This Row],[GroupByKey]]),(OutputTable[GroupByKey]=OutputTable[[#This Row],[GroupByKey]])*OutputTable[RecordedValue])),0)</f>
        <v>6.1280007141721847E-2</v>
      </c>
      <c r="M623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4.3837076306762375E-2</v>
      </c>
      <c r="O623" cm="1">
        <f t="array" ref="O623">MIN(IF((OutputTable[GroupByKey]=OutputTable[[#This Row],[GroupByKey]]),(OutputTable[GroupByKey]=OutputTable[[#This Row],[GroupByKey]])*OutputTable[RecordedValue]))</f>
        <v>0.67060354368791897</v>
      </c>
      <c r="P623" cm="1">
        <f t="array" ref="P623">MAX(IF((OutputTable[GroupByKey]=OutputTable[[#This Row],[GroupByKey]]),(OutputTable[GroupByKey]=OutputTable[[#This Row],[GroupByKey]])*OutputTable[RecordedValue]))</f>
        <v>0.87728997349342697</v>
      </c>
    </row>
    <row r="624" spans="1:16" x14ac:dyDescent="0.25">
      <c r="A624" t="s">
        <v>67</v>
      </c>
      <c r="B624" t="s">
        <v>243</v>
      </c>
      <c r="C624">
        <v>8</v>
      </c>
      <c r="D624" t="s">
        <v>175</v>
      </c>
      <c r="E624" t="s">
        <v>152</v>
      </c>
      <c r="F624" t="s">
        <v>113</v>
      </c>
      <c r="G624">
        <v>8227</v>
      </c>
      <c r="H624">
        <v>0</v>
      </c>
      <c r="I624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624" cm="1">
        <f t="array" ref="J624">MAX(IF((ProjectInfoTable[ProjectName]=OutputTable[[#This Row],[ProjectName]]),(ProjectInfoTable[ProjectName]=OutputTable[[#This Row],[ProjectName]])*ProjectInfoTable[NumberOfReplications]))</f>
        <v>10</v>
      </c>
      <c r="K624" cm="1">
        <f t="array" ref="K624">IFERROR(AVERAGE(IF((OutputTable[GroupByKey]=OutputTable[[#This Row],[GroupByKey]]),(OutputTable[GroupByKey]=OutputTable[[#This Row],[GroupByKey]])*OutputTable[RecordedValue])),0)</f>
        <v>8231.5</v>
      </c>
      <c r="L624" cm="1">
        <f t="array" ref="L624">IFERROR(_xlfn.STDEV.S(IF((OutputTable[GroupByKey]=OutputTable[[#This Row],[GroupByKey]]),(OutputTable[GroupByKey]=OutputTable[[#This Row],[GroupByKey]])*OutputTable[RecordedValue])),0)</f>
        <v>6.3464775882199236</v>
      </c>
      <c r="M624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624" cm="1">
        <f t="array" ref="O624">MIN(IF((OutputTable[GroupByKey]=OutputTable[[#This Row],[GroupByKey]]),(OutputTable[GroupByKey]=OutputTable[[#This Row],[GroupByKey]])*OutputTable[RecordedValue]))</f>
        <v>8220</v>
      </c>
      <c r="P624" cm="1">
        <f t="array" ref="P624">MAX(IF((OutputTable[GroupByKey]=OutputTable[[#This Row],[GroupByKey]]),(OutputTable[GroupByKey]=OutputTable[[#This Row],[GroupByKey]])*OutputTable[RecordedValue]))</f>
        <v>8241</v>
      </c>
    </row>
    <row r="625" spans="1:16" x14ac:dyDescent="0.25">
      <c r="A625" t="s">
        <v>67</v>
      </c>
      <c r="B625" t="s">
        <v>243</v>
      </c>
      <c r="C625">
        <v>8</v>
      </c>
      <c r="D625" t="s">
        <v>176</v>
      </c>
      <c r="E625" t="s">
        <v>154</v>
      </c>
      <c r="F625" t="s">
        <v>113</v>
      </c>
      <c r="G625">
        <v>0.57216816243045499</v>
      </c>
      <c r="H625">
        <v>0</v>
      </c>
      <c r="I625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625" cm="1">
        <f t="array" ref="J625">MAX(IF((ProjectInfoTable[ProjectName]=OutputTable[[#This Row],[ProjectName]]),(ProjectInfoTable[ProjectName]=OutputTable[[#This Row],[ProjectName]])*ProjectInfoTable[NumberOfReplications]))</f>
        <v>10</v>
      </c>
      <c r="K625" cm="1">
        <f t="array" ref="K625">IFERROR(AVERAGE(IF((OutputTable[GroupByKey]=OutputTable[[#This Row],[GroupByKey]]),(OutputTable[GroupByKey]=OutputTable[[#This Row],[GroupByKey]])*OutputTable[RecordedValue])),0)</f>
        <v>0.52391445815006699</v>
      </c>
      <c r="L625" cm="1">
        <f t="array" ref="L625">IFERROR(_xlfn.STDEV.S(IF((OutputTable[GroupByKey]=OutputTable[[#This Row],[GroupByKey]]),(OutputTable[GroupByKey]=OutputTable[[#This Row],[GroupByKey]])*OutputTable[RecordedValue])),0)</f>
        <v>7.0460308415606909E-2</v>
      </c>
      <c r="M62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5.0404268221927347E-2</v>
      </c>
      <c r="O625" cm="1">
        <f t="array" ref="O625">MIN(IF((OutputTable[GroupByKey]=OutputTable[[#This Row],[GroupByKey]]),(OutputTable[GroupByKey]=OutputTable[[#This Row],[GroupByKey]])*OutputTable[RecordedValue]))</f>
        <v>0.36555656561218303</v>
      </c>
      <c r="P625" cm="1">
        <f t="array" ref="P625">MAX(IF((OutputTable[GroupByKey]=OutputTable[[#This Row],[GroupByKey]]),(OutputTable[GroupByKey]=OutputTable[[#This Row],[GroupByKey]])*OutputTable[RecordedValue]))</f>
        <v>0.59886206518967</v>
      </c>
    </row>
    <row r="626" spans="1:16" x14ac:dyDescent="0.25">
      <c r="A626" t="s">
        <v>67</v>
      </c>
      <c r="B626" t="s">
        <v>243</v>
      </c>
      <c r="C626">
        <v>8</v>
      </c>
      <c r="D626" t="s">
        <v>177</v>
      </c>
      <c r="E626" t="s">
        <v>152</v>
      </c>
      <c r="F626" t="s">
        <v>113</v>
      </c>
      <c r="G626">
        <v>8223</v>
      </c>
      <c r="H626">
        <v>0</v>
      </c>
      <c r="I626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626" cm="1">
        <f t="array" ref="J626">MAX(IF((ProjectInfoTable[ProjectName]=OutputTable[[#This Row],[ProjectName]]),(ProjectInfoTable[ProjectName]=OutputTable[[#This Row],[ProjectName]])*ProjectInfoTable[NumberOfReplications]))</f>
        <v>10</v>
      </c>
      <c r="K626" cm="1">
        <f t="array" ref="K626">IFERROR(AVERAGE(IF((OutputTable[GroupByKey]=OutputTable[[#This Row],[GroupByKey]]),(OutputTable[GroupByKey]=OutputTable[[#This Row],[GroupByKey]])*OutputTable[RecordedValue])),0)</f>
        <v>8227.7000000000007</v>
      </c>
      <c r="L626" cm="1">
        <f t="array" ref="L626">IFERROR(_xlfn.STDEV.S(IF((OutputTable[GroupByKey]=OutputTable[[#This Row],[GroupByKey]]),(OutputTable[GroupByKey]=OutputTable[[#This Row],[GroupByKey]])*OutputTable[RecordedValue])),0)</f>
        <v>6.2902040242480748</v>
      </c>
      <c r="M626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626" cm="1">
        <f t="array" ref="O626">MIN(IF((OutputTable[GroupByKey]=OutputTable[[#This Row],[GroupByKey]]),(OutputTable[GroupByKey]=OutputTable[[#This Row],[GroupByKey]])*OutputTable[RecordedValue]))</f>
        <v>8216</v>
      </c>
      <c r="P626" cm="1">
        <f t="array" ref="P626">MAX(IF((OutputTable[GroupByKey]=OutputTable[[#This Row],[GroupByKey]]),(OutputTable[GroupByKey]=OutputTable[[#This Row],[GroupByKey]])*OutputTable[RecordedValue]))</f>
        <v>8237</v>
      </c>
    </row>
    <row r="627" spans="1:16" x14ac:dyDescent="0.25">
      <c r="A627" t="s">
        <v>67</v>
      </c>
      <c r="B627" t="s">
        <v>243</v>
      </c>
      <c r="C627">
        <v>8</v>
      </c>
      <c r="D627" t="s">
        <v>178</v>
      </c>
      <c r="E627" t="s">
        <v>154</v>
      </c>
      <c r="F627" t="s">
        <v>113</v>
      </c>
      <c r="G627">
        <v>0.149751253119838</v>
      </c>
      <c r="H627">
        <v>0</v>
      </c>
      <c r="I627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627" cm="1">
        <f t="array" ref="J627">MAX(IF((ProjectInfoTable[ProjectName]=OutputTable[[#This Row],[ProjectName]]),(ProjectInfoTable[ProjectName]=OutputTable[[#This Row],[ProjectName]])*ProjectInfoTable[NumberOfReplications]))</f>
        <v>10</v>
      </c>
      <c r="K627" cm="1">
        <f t="array" ref="K627">IFERROR(AVERAGE(IF((OutputTable[GroupByKey]=OutputTable[[#This Row],[GroupByKey]]),(OutputTable[GroupByKey]=OutputTable[[#This Row],[GroupByKey]])*OutputTable[RecordedValue])),0)</f>
        <v>0.14955853655775292</v>
      </c>
      <c r="L627" cm="1">
        <f t="array" ref="L627">IFERROR(_xlfn.STDEV.S(IF((OutputTable[GroupByKey]=OutputTable[[#This Row],[GroupByKey]]),(OutputTable[GroupByKey]=OutputTable[[#This Row],[GroupByKey]])*OutputTable[RecordedValue])),0)</f>
        <v>1.8487754554887928E-4</v>
      </c>
      <c r="M627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1.3225342896729691E-4</v>
      </c>
      <c r="O627" cm="1">
        <f t="array" ref="O627">MIN(IF((OutputTable[GroupByKey]=OutputTable[[#This Row],[GroupByKey]]),(OutputTable[GroupByKey]=OutputTable[[#This Row],[GroupByKey]])*OutputTable[RecordedValue]))</f>
        <v>0.14921189842985499</v>
      </c>
      <c r="P627" cm="1">
        <f t="array" ref="P627">MAX(IF((OutputTable[GroupByKey]=OutputTable[[#This Row],[GroupByKey]]),(OutputTable[GroupByKey]=OutputTable[[#This Row],[GroupByKey]])*OutputTable[RecordedValue]))</f>
        <v>0.14985050053976801</v>
      </c>
    </row>
    <row r="628" spans="1:16" x14ac:dyDescent="0.25">
      <c r="A628" t="s">
        <v>67</v>
      </c>
      <c r="B628" t="s">
        <v>243</v>
      </c>
      <c r="C628">
        <v>8</v>
      </c>
      <c r="D628" t="s">
        <v>179</v>
      </c>
      <c r="E628" t="s">
        <v>152</v>
      </c>
      <c r="F628" t="s">
        <v>113</v>
      </c>
      <c r="G628">
        <v>18377</v>
      </c>
      <c r="H628">
        <v>0</v>
      </c>
      <c r="I628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628" cm="1">
        <f t="array" ref="J628">MAX(IF((ProjectInfoTable[ProjectName]=OutputTable[[#This Row],[ProjectName]]),(ProjectInfoTable[ProjectName]=OutputTable[[#This Row],[ProjectName]])*ProjectInfoTable[NumberOfReplications]))</f>
        <v>10</v>
      </c>
      <c r="K628" cm="1">
        <f t="array" ref="K628">IFERROR(AVERAGE(IF((OutputTable[GroupByKey]=OutputTable[[#This Row],[GroupByKey]]),(OutputTable[GroupByKey]=OutputTable[[#This Row],[GroupByKey]])*OutputTable[RecordedValue])),0)</f>
        <v>18392</v>
      </c>
      <c r="L628" cm="1">
        <f t="array" ref="L628">IFERROR(_xlfn.STDEV.S(IF((OutputTable[GroupByKey]=OutputTable[[#This Row],[GroupByKey]]),(OutputTable[GroupByKey]=OutputTable[[#This Row],[GroupByKey]])*OutputTable[RecordedValue])),0)</f>
        <v>12.884098726725126</v>
      </c>
      <c r="M628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628" cm="1">
        <f t="array" ref="O628">MIN(IF((OutputTable[GroupByKey]=OutputTable[[#This Row],[GroupByKey]]),(OutputTable[GroupByKey]=OutputTable[[#This Row],[GroupByKey]])*OutputTable[RecordedValue]))</f>
        <v>18376</v>
      </c>
      <c r="P628" cm="1">
        <f t="array" ref="P628">MAX(IF((OutputTable[GroupByKey]=OutputTable[[#This Row],[GroupByKey]]),(OutputTable[GroupByKey]=OutputTable[[#This Row],[GroupByKey]])*OutputTable[RecordedValue]))</f>
        <v>18407</v>
      </c>
    </row>
    <row r="629" spans="1:16" x14ac:dyDescent="0.25">
      <c r="A629" t="s">
        <v>67</v>
      </c>
      <c r="B629" t="s">
        <v>243</v>
      </c>
      <c r="C629">
        <v>8</v>
      </c>
      <c r="D629" t="s">
        <v>180</v>
      </c>
      <c r="E629" t="s">
        <v>154</v>
      </c>
      <c r="F629" t="s">
        <v>113</v>
      </c>
      <c r="G629">
        <v>0.58338388917401596</v>
      </c>
      <c r="H629">
        <v>0</v>
      </c>
      <c r="I629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629" cm="1">
        <f t="array" ref="J629">MAX(IF((ProjectInfoTable[ProjectName]=OutputTable[[#This Row],[ProjectName]]),(ProjectInfoTable[ProjectName]=OutputTable[[#This Row],[ProjectName]])*ProjectInfoTable[NumberOfReplications]))</f>
        <v>10</v>
      </c>
      <c r="K629" cm="1">
        <f t="array" ref="K629">IFERROR(AVERAGE(IF((OutputTable[GroupByKey]=OutputTable[[#This Row],[GroupByKey]]),(OutputTable[GroupByKey]=OutputTable[[#This Row],[GroupByKey]])*OutputTable[RecordedValue])),0)</f>
        <v>0.78490250681152463</v>
      </c>
      <c r="L629" cm="1">
        <f t="array" ref="L629">IFERROR(_xlfn.STDEV.S(IF((OutputTable[GroupByKey]=OutputTable[[#This Row],[GroupByKey]]),(OutputTable[GroupByKey]=OutputTable[[#This Row],[GroupByKey]])*OutputTable[RecordedValue])),0)</f>
        <v>0.11345978752761485</v>
      </c>
      <c r="M629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8.1164242557843561E-2</v>
      </c>
      <c r="O629" cm="1">
        <f t="array" ref="O629">MIN(IF((OutputTable[GroupByKey]=OutputTable[[#This Row],[GroupByKey]]),(OutputTable[GroupByKey]=OutputTable[[#This Row],[GroupByKey]])*OutputTable[RecordedValue]))</f>
        <v>0.58338388917401596</v>
      </c>
      <c r="P629" cm="1">
        <f t="array" ref="P629">MAX(IF((OutputTable[GroupByKey]=OutputTable[[#This Row],[GroupByKey]]),(OutputTable[GroupByKey]=OutputTable[[#This Row],[GroupByKey]])*OutputTable[RecordedValue]))</f>
        <v>0.90111632059041802</v>
      </c>
    </row>
    <row r="630" spans="1:16" x14ac:dyDescent="0.25">
      <c r="A630" t="s">
        <v>67</v>
      </c>
      <c r="B630" t="s">
        <v>243</v>
      </c>
      <c r="C630">
        <v>8</v>
      </c>
      <c r="D630" t="s">
        <v>181</v>
      </c>
      <c r="E630" t="s">
        <v>152</v>
      </c>
      <c r="F630" t="s">
        <v>113</v>
      </c>
      <c r="G630">
        <v>18377</v>
      </c>
      <c r="H630">
        <v>0</v>
      </c>
      <c r="I630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630" cm="1">
        <f t="array" ref="J630">MAX(IF((ProjectInfoTable[ProjectName]=OutputTable[[#This Row],[ProjectName]]),(ProjectInfoTable[ProjectName]=OutputTable[[#This Row],[ProjectName]])*ProjectInfoTable[NumberOfReplications]))</f>
        <v>10</v>
      </c>
      <c r="K630" cm="1">
        <f t="array" ref="K630">IFERROR(AVERAGE(IF((OutputTable[GroupByKey]=OutputTable[[#This Row],[GroupByKey]]),(OutputTable[GroupByKey]=OutputTable[[#This Row],[GroupByKey]])*OutputTable[RecordedValue])),0)</f>
        <v>18389.400000000001</v>
      </c>
      <c r="L630" cm="1">
        <f t="array" ref="L630">IFERROR(_xlfn.STDEV.S(IF((OutputTable[GroupByKey]=OutputTable[[#This Row],[GroupByKey]]),(OutputTable[GroupByKey]=OutputTable[[#This Row],[GroupByKey]])*OutputTable[RecordedValue])),0)</f>
        <v>12.103259432437566</v>
      </c>
      <c r="M630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630" cm="1">
        <f t="array" ref="O630">MIN(IF((OutputTable[GroupByKey]=OutputTable[[#This Row],[GroupByKey]]),(OutputTable[GroupByKey]=OutputTable[[#This Row],[GroupByKey]])*OutputTable[RecordedValue]))</f>
        <v>18376</v>
      </c>
      <c r="P630" cm="1">
        <f t="array" ref="P630">MAX(IF((OutputTable[GroupByKey]=OutputTable[[#This Row],[GroupByKey]]),(OutputTable[GroupByKey]=OutputTable[[#This Row],[GroupByKey]])*OutputTable[RecordedValue]))</f>
        <v>18404</v>
      </c>
    </row>
    <row r="631" spans="1:16" x14ac:dyDescent="0.25">
      <c r="A631" t="s">
        <v>67</v>
      </c>
      <c r="B631" t="s">
        <v>243</v>
      </c>
      <c r="C631">
        <v>8</v>
      </c>
      <c r="D631" t="s">
        <v>182</v>
      </c>
      <c r="E631" t="s">
        <v>154</v>
      </c>
      <c r="F631" t="s">
        <v>113</v>
      </c>
      <c r="G631">
        <v>0.15880443244107401</v>
      </c>
      <c r="H631">
        <v>0</v>
      </c>
      <c r="I631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631" cm="1">
        <f t="array" ref="J631">MAX(IF((ProjectInfoTable[ProjectName]=OutputTable[[#This Row],[ProjectName]]),(ProjectInfoTable[ProjectName]=OutputTable[[#This Row],[ProjectName]])*ProjectInfoTable[NumberOfReplications]))</f>
        <v>10</v>
      </c>
      <c r="K631" cm="1">
        <f t="array" ref="K631">IFERROR(AVERAGE(IF((OutputTable[GroupByKey]=OutputTable[[#This Row],[GroupByKey]]),(OutputTable[GroupByKey]=OutputTable[[#This Row],[GroupByKey]])*OutputTable[RecordedValue])),0)</f>
        <v>0.15879210791146151</v>
      </c>
      <c r="L631" cm="1">
        <f t="array" ref="L631">IFERROR(_xlfn.STDEV.S(IF((OutputTable[GroupByKey]=OutputTable[[#This Row],[GroupByKey]]),(OutputTable[GroupByKey]=OutputTable[[#This Row],[GroupByKey]])*OutputTable[RecordedValue])),0)</f>
        <v>8.8786593843692651E-6</v>
      </c>
      <c r="M631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6.3514103063698042E-6</v>
      </c>
      <c r="O631" cm="1">
        <f t="array" ref="O631">MIN(IF((OutputTable[GroupByKey]=OutputTable[[#This Row],[GroupByKey]]),(OutputTable[GroupByKey]=OutputTable[[#This Row],[GroupByKey]])*OutputTable[RecordedValue]))</f>
        <v>0.15877821852350199</v>
      </c>
      <c r="P631" cm="1">
        <f t="array" ref="P631">MAX(IF((OutputTable[GroupByKey]=OutputTable[[#This Row],[GroupByKey]]),(OutputTable[GroupByKey]=OutputTable[[#This Row],[GroupByKey]])*OutputTable[RecordedValue]))</f>
        <v>0.15880443244107401</v>
      </c>
    </row>
    <row r="632" spans="1:16" x14ac:dyDescent="0.25">
      <c r="A632" t="s">
        <v>67</v>
      </c>
      <c r="B632" t="s">
        <v>243</v>
      </c>
      <c r="C632">
        <v>8</v>
      </c>
      <c r="D632" t="s">
        <v>183</v>
      </c>
      <c r="E632" t="s">
        <v>152</v>
      </c>
      <c r="F632" t="s">
        <v>113</v>
      </c>
      <c r="G632">
        <v>13100</v>
      </c>
      <c r="H632">
        <v>0</v>
      </c>
      <c r="I632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632" cm="1">
        <f t="array" ref="J632">MAX(IF((ProjectInfoTable[ProjectName]=OutputTable[[#This Row],[ProjectName]]),(ProjectInfoTable[ProjectName]=OutputTable[[#This Row],[ProjectName]])*ProjectInfoTable[NumberOfReplications]))</f>
        <v>10</v>
      </c>
      <c r="K632" cm="1">
        <f t="array" ref="K632">IFERROR(AVERAGE(IF((OutputTable[GroupByKey]=OutputTable[[#This Row],[GroupByKey]]),(OutputTable[GroupByKey]=OutputTable[[#This Row],[GroupByKey]])*OutputTable[RecordedValue])),0)</f>
        <v>13103.5</v>
      </c>
      <c r="L632" cm="1">
        <f t="array" ref="L632">IFERROR(_xlfn.STDEV.S(IF((OutputTable[GroupByKey]=OutputTable[[#This Row],[GroupByKey]]),(OutputTable[GroupByKey]=OutputTable[[#This Row],[GroupByKey]])*OutputTable[RecordedValue])),0)</f>
        <v>11.443095929181249</v>
      </c>
      <c r="M632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632" cm="1">
        <f t="array" ref="O632">MIN(IF((OutputTable[GroupByKey]=OutputTable[[#This Row],[GroupByKey]]),(OutputTable[GroupByKey]=OutputTable[[#This Row],[GroupByKey]])*OutputTable[RecordedValue]))</f>
        <v>13087</v>
      </c>
      <c r="P632" cm="1">
        <f t="array" ref="P632">MAX(IF((OutputTable[GroupByKey]=OutputTable[[#This Row],[GroupByKey]]),(OutputTable[GroupByKey]=OutputTable[[#This Row],[GroupByKey]])*OutputTable[RecordedValue]))</f>
        <v>13120</v>
      </c>
    </row>
    <row r="633" spans="1:16" x14ac:dyDescent="0.25">
      <c r="A633" t="s">
        <v>67</v>
      </c>
      <c r="B633" t="s">
        <v>243</v>
      </c>
      <c r="C633">
        <v>8</v>
      </c>
      <c r="D633" t="s">
        <v>184</v>
      </c>
      <c r="E633" t="s">
        <v>154</v>
      </c>
      <c r="F633" t="s">
        <v>113</v>
      </c>
      <c r="G633">
        <v>1.00059414734778</v>
      </c>
      <c r="H633">
        <v>0</v>
      </c>
      <c r="I633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633" cm="1">
        <f t="array" ref="J633">MAX(IF((ProjectInfoTable[ProjectName]=OutputTable[[#This Row],[ProjectName]]),(ProjectInfoTable[ProjectName]=OutputTable[[#This Row],[ProjectName]])*ProjectInfoTable[NumberOfReplications]))</f>
        <v>10</v>
      </c>
      <c r="K633" cm="1">
        <f t="array" ref="K633">IFERROR(AVERAGE(IF((OutputTable[GroupByKey]=OutputTable[[#This Row],[GroupByKey]]),(OutputTable[GroupByKey]=OutputTable[[#This Row],[GroupByKey]])*OutputTable[RecordedValue])),0)</f>
        <v>1.0004814685732331</v>
      </c>
      <c r="L633" cm="1">
        <f t="array" ref="L633">IFERROR(_xlfn.STDEV.S(IF((OutputTable[GroupByKey]=OutputTable[[#This Row],[GroupByKey]]),(OutputTable[GroupByKey]=OutputTable[[#This Row],[GroupByKey]])*OutputTable[RecordedValue])),0)</f>
        <v>7.4280555176725285E-5</v>
      </c>
      <c r="M633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5.3137108125005439E-5</v>
      </c>
      <c r="O633" cm="1">
        <f t="array" ref="O633">MIN(IF((OutputTable[GroupByKey]=OutputTable[[#This Row],[GroupByKey]]),(OutputTable[GroupByKey]=OutputTable[[#This Row],[GroupByKey]])*OutputTable[RecordedValue]))</f>
        <v>1.00039897320567</v>
      </c>
      <c r="P633" cm="1">
        <f t="array" ref="P633">MAX(IF((OutputTable[GroupByKey]=OutputTable[[#This Row],[GroupByKey]]),(OutputTable[GroupByKey]=OutputTable[[#This Row],[GroupByKey]])*OutputTable[RecordedValue]))</f>
        <v>1.00059414734778</v>
      </c>
    </row>
    <row r="634" spans="1:16" x14ac:dyDescent="0.25">
      <c r="A634" t="s">
        <v>67</v>
      </c>
      <c r="B634" t="s">
        <v>243</v>
      </c>
      <c r="C634">
        <v>8</v>
      </c>
      <c r="D634" t="s">
        <v>185</v>
      </c>
      <c r="E634" t="s">
        <v>152</v>
      </c>
      <c r="F634" t="s">
        <v>113</v>
      </c>
      <c r="G634">
        <v>13096</v>
      </c>
      <c r="H634">
        <v>0</v>
      </c>
      <c r="I634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634" cm="1">
        <f t="array" ref="J634">MAX(IF((ProjectInfoTable[ProjectName]=OutputTable[[#This Row],[ProjectName]]),(ProjectInfoTable[ProjectName]=OutputTable[[#This Row],[ProjectName]])*ProjectInfoTable[NumberOfReplications]))</f>
        <v>10</v>
      </c>
      <c r="K634" cm="1">
        <f t="array" ref="K634">IFERROR(AVERAGE(IF((OutputTable[GroupByKey]=OutputTable[[#This Row],[GroupByKey]]),(OutputTable[GroupByKey]=OutputTable[[#This Row],[GroupByKey]])*OutputTable[RecordedValue])),0)</f>
        <v>13100.1</v>
      </c>
      <c r="L634" cm="1">
        <f t="array" ref="L634">IFERROR(_xlfn.STDEV.S(IF((OutputTable[GroupByKey]=OutputTable[[#This Row],[GroupByKey]]),(OutputTable[GroupByKey]=OutputTable[[#This Row],[GroupByKey]])*OutputTable[RecordedValue])),0)</f>
        <v>11.46443776786866</v>
      </c>
      <c r="M634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634" cm="1">
        <f t="array" ref="O634">MIN(IF((OutputTable[GroupByKey]=OutputTable[[#This Row],[GroupByKey]]),(OutputTable[GroupByKey]=OutputTable[[#This Row],[GroupByKey]])*OutputTable[RecordedValue]))</f>
        <v>13083</v>
      </c>
      <c r="P634" cm="1">
        <f t="array" ref="P634">MAX(IF((OutputTable[GroupByKey]=OutputTable[[#This Row],[GroupByKey]]),(OutputTable[GroupByKey]=OutputTable[[#This Row],[GroupByKey]])*OutputTable[RecordedValue]))</f>
        <v>13118</v>
      </c>
    </row>
    <row r="635" spans="1:16" x14ac:dyDescent="0.25">
      <c r="A635" t="s">
        <v>67</v>
      </c>
      <c r="B635" t="s">
        <v>243</v>
      </c>
      <c r="C635">
        <v>8</v>
      </c>
      <c r="D635" t="s">
        <v>186</v>
      </c>
      <c r="E635" t="s">
        <v>154</v>
      </c>
      <c r="F635" t="s">
        <v>113</v>
      </c>
      <c r="G635">
        <v>0.72833650125062999</v>
      </c>
      <c r="H635">
        <v>0</v>
      </c>
      <c r="I635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635" cm="1">
        <f t="array" ref="J635">MAX(IF((ProjectInfoTable[ProjectName]=OutputTable[[#This Row],[ProjectName]]),(ProjectInfoTable[ProjectName]=OutputTable[[#This Row],[ProjectName]])*ProjectInfoTable[NumberOfReplications]))</f>
        <v>10</v>
      </c>
      <c r="K635" cm="1">
        <f t="array" ref="K635">IFERROR(AVERAGE(IF((OutputTable[GroupByKey]=OutputTable[[#This Row],[GroupByKey]]),(OutputTable[GroupByKey]=OutputTable[[#This Row],[GroupByKey]])*OutputTable[RecordedValue])),0)</f>
        <v>0.7279059511079462</v>
      </c>
      <c r="L635" cm="1">
        <f t="array" ref="L635">IFERROR(_xlfn.STDEV.S(IF((OutputTable[GroupByKey]=OutputTable[[#This Row],[GroupByKey]]),(OutputTable[GroupByKey]=OutputTable[[#This Row],[GroupByKey]])*OutputTable[RecordedValue])),0)</f>
        <v>7.0848304180243249E-4</v>
      </c>
      <c r="M63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5.0681823671647316E-4</v>
      </c>
      <c r="O635" cm="1">
        <f t="array" ref="O635">MIN(IF((OutputTable[GroupByKey]=OutputTable[[#This Row],[GroupByKey]]),(OutputTable[GroupByKey]=OutputTable[[#This Row],[GroupByKey]])*OutputTable[RecordedValue]))</f>
        <v>0.72665767143328297</v>
      </c>
      <c r="P635" cm="1">
        <f t="array" ref="P635">MAX(IF((OutputTable[GroupByKey]=OutputTable[[#This Row],[GroupByKey]]),(OutputTable[GroupByKey]=OutputTable[[#This Row],[GroupByKey]])*OutputTable[RecordedValue]))</f>
        <v>0.72896261310967603</v>
      </c>
    </row>
    <row r="636" spans="1:16" x14ac:dyDescent="0.25">
      <c r="A636" t="s">
        <v>67</v>
      </c>
      <c r="B636" t="s">
        <v>243</v>
      </c>
      <c r="C636">
        <v>8</v>
      </c>
      <c r="D636" t="s">
        <v>187</v>
      </c>
      <c r="E636" t="s">
        <v>152</v>
      </c>
      <c r="F636" t="s">
        <v>113</v>
      </c>
      <c r="G636">
        <v>13096</v>
      </c>
      <c r="H636">
        <v>0</v>
      </c>
      <c r="I636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636" cm="1">
        <f t="array" ref="J636">MAX(IF((ProjectInfoTable[ProjectName]=OutputTable[[#This Row],[ProjectName]]),(ProjectInfoTable[ProjectName]=OutputTable[[#This Row],[ProjectName]])*ProjectInfoTable[NumberOfReplications]))</f>
        <v>10</v>
      </c>
      <c r="K636" cm="1">
        <f t="array" ref="K636">IFERROR(AVERAGE(IF((OutputTable[GroupByKey]=OutputTable[[#This Row],[GroupByKey]]),(OutputTable[GroupByKey]=OutputTable[[#This Row],[GroupByKey]])*OutputTable[RecordedValue])),0)</f>
        <v>13099.9</v>
      </c>
      <c r="L636" cm="1">
        <f t="array" ref="L636">IFERROR(_xlfn.STDEV.S(IF((OutputTable[GroupByKey]=OutputTable[[#This Row],[GroupByKey]]),(OutputTable[GroupByKey]=OutputTable[[#This Row],[GroupByKey]])*OutputTable[RecordedValue])),0)</f>
        <v>11.761046816598522</v>
      </c>
      <c r="M636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636" cm="1">
        <f t="array" ref="O636">MIN(IF((OutputTable[GroupByKey]=OutputTable[[#This Row],[GroupByKey]]),(OutputTable[GroupByKey]=OutputTable[[#This Row],[GroupByKey]])*OutputTable[RecordedValue]))</f>
        <v>13082</v>
      </c>
      <c r="P636" cm="1">
        <f t="array" ref="P636">MAX(IF((OutputTable[GroupByKey]=OutputTable[[#This Row],[GroupByKey]]),(OutputTable[GroupByKey]=OutputTable[[#This Row],[GroupByKey]])*OutputTable[RecordedValue]))</f>
        <v>13118</v>
      </c>
    </row>
    <row r="637" spans="1:16" x14ac:dyDescent="0.25">
      <c r="A637" t="s">
        <v>67</v>
      </c>
      <c r="B637" t="s">
        <v>243</v>
      </c>
      <c r="C637">
        <v>8</v>
      </c>
      <c r="D637" t="s">
        <v>188</v>
      </c>
      <c r="E637" t="s">
        <v>154</v>
      </c>
      <c r="F637" t="s">
        <v>113</v>
      </c>
      <c r="G637">
        <v>0.95400417088523004</v>
      </c>
      <c r="H637">
        <v>0</v>
      </c>
      <c r="I637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637" cm="1">
        <f t="array" ref="J637">MAX(IF((ProjectInfoTable[ProjectName]=OutputTable[[#This Row],[ProjectName]]),(ProjectInfoTable[ProjectName]=OutputTable[[#This Row],[ProjectName]])*ProjectInfoTable[NumberOfReplications]))</f>
        <v>10</v>
      </c>
      <c r="K637" cm="1">
        <f t="array" ref="K637">IFERROR(AVERAGE(IF((OutputTable[GroupByKey]=OutputTable[[#This Row],[GroupByKey]]),(OutputTable[GroupByKey]=OutputTable[[#This Row],[GroupByKey]])*OutputTable[RecordedValue])),0)</f>
        <v>0.95483842565389732</v>
      </c>
      <c r="L637" cm="1">
        <f t="array" ref="L637">IFERROR(_xlfn.STDEV.S(IF((OutputTable[GroupByKey]=OutputTable[[#This Row],[GroupByKey]]),(OutputTable[GroupByKey]=OutputTable[[#This Row],[GroupByKey]])*OutputTable[RecordedValue])),0)</f>
        <v>7.6849017135544289E-4</v>
      </c>
      <c r="M637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5.497447512496955E-4</v>
      </c>
      <c r="O637" cm="1">
        <f t="array" ref="O637">MIN(IF((OutputTable[GroupByKey]=OutputTable[[#This Row],[GroupByKey]]),(OutputTable[GroupByKey]=OutputTable[[#This Row],[GroupByKey]])*OutputTable[RecordedValue]))</f>
        <v>0.95348679569453398</v>
      </c>
      <c r="P637" cm="1">
        <f t="array" ref="P637">MAX(IF((OutputTable[GroupByKey]=OutputTable[[#This Row],[GroupByKey]]),(OutputTable[GroupByKey]=OutputTable[[#This Row],[GroupByKey]])*OutputTable[RecordedValue]))</f>
        <v>0.95588678098879198</v>
      </c>
    </row>
    <row r="638" spans="1:16" x14ac:dyDescent="0.25">
      <c r="A638" t="s">
        <v>67</v>
      </c>
      <c r="B638" t="s">
        <v>243</v>
      </c>
      <c r="C638">
        <v>8</v>
      </c>
      <c r="D638" t="s">
        <v>189</v>
      </c>
      <c r="E638" t="s">
        <v>152</v>
      </c>
      <c r="F638" t="s">
        <v>113</v>
      </c>
      <c r="G638">
        <v>8231</v>
      </c>
      <c r="H638">
        <v>0</v>
      </c>
      <c r="I638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638" cm="1">
        <f t="array" ref="J638">MAX(IF((ProjectInfoTable[ProjectName]=OutputTable[[#This Row],[ProjectName]]),(ProjectInfoTable[ProjectName]=OutputTable[[#This Row],[ProjectName]])*ProjectInfoTable[NumberOfReplications]))</f>
        <v>10</v>
      </c>
      <c r="K638" cm="1">
        <f t="array" ref="K638">IFERROR(AVERAGE(IF((OutputTable[GroupByKey]=OutputTable[[#This Row],[GroupByKey]]),(OutputTable[GroupByKey]=OutputTable[[#This Row],[GroupByKey]])*OutputTable[RecordedValue])),0)</f>
        <v>8235</v>
      </c>
      <c r="L638" cm="1">
        <f t="array" ref="L638">IFERROR(_xlfn.STDEV.S(IF((OutputTable[GroupByKey]=OutputTable[[#This Row],[GroupByKey]]),(OutputTable[GroupByKey]=OutputTable[[#This Row],[GroupByKey]])*OutputTable[RecordedValue])),0)</f>
        <v>6.5659052011974035</v>
      </c>
      <c r="M638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638" cm="1">
        <f t="array" ref="O638">MIN(IF((OutputTable[GroupByKey]=OutputTable[[#This Row],[GroupByKey]]),(OutputTable[GroupByKey]=OutputTable[[#This Row],[GroupByKey]])*OutputTable[RecordedValue]))</f>
        <v>8223</v>
      </c>
      <c r="P638" cm="1">
        <f t="array" ref="P638">MAX(IF((OutputTable[GroupByKey]=OutputTable[[#This Row],[GroupByKey]]),(OutputTable[GroupByKey]=OutputTable[[#This Row],[GroupByKey]])*OutputTable[RecordedValue]))</f>
        <v>8245</v>
      </c>
    </row>
    <row r="639" spans="1:16" x14ac:dyDescent="0.25">
      <c r="A639" t="s">
        <v>67</v>
      </c>
      <c r="B639" t="s">
        <v>243</v>
      </c>
      <c r="C639">
        <v>8</v>
      </c>
      <c r="D639" t="s">
        <v>190</v>
      </c>
      <c r="E639" t="s">
        <v>154</v>
      </c>
      <c r="F639" t="s">
        <v>113</v>
      </c>
      <c r="G639">
        <v>0.48638773398865298</v>
      </c>
      <c r="H639">
        <v>0</v>
      </c>
      <c r="I639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639" cm="1">
        <f t="array" ref="J639">MAX(IF((ProjectInfoTable[ProjectName]=OutputTable[[#This Row],[ProjectName]]),(ProjectInfoTable[ProjectName]=OutputTable[[#This Row],[ProjectName]])*ProjectInfoTable[NumberOfReplications]))</f>
        <v>10</v>
      </c>
      <c r="K639" cm="1">
        <f t="array" ref="K639">IFERROR(AVERAGE(IF((OutputTable[GroupByKey]=OutputTable[[#This Row],[GroupByKey]]),(OutputTable[GroupByKey]=OutputTable[[#This Row],[GroupByKey]])*OutputTable[RecordedValue])),0)</f>
        <v>0.48622459141633045</v>
      </c>
      <c r="L639" cm="1">
        <f t="array" ref="L639">IFERROR(_xlfn.STDEV.S(IF((OutputTable[GroupByKey]=OutputTable[[#This Row],[GroupByKey]]),(OutputTable[GroupByKey]=OutputTable[[#This Row],[GroupByKey]])*OutputTable[RecordedValue])),0)</f>
        <v>7.2585329819825151E-4</v>
      </c>
      <c r="M639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5.1924416958770345E-4</v>
      </c>
      <c r="O639" cm="1">
        <f t="array" ref="O639">MIN(IF((OutputTable[GroupByKey]=OutputTable[[#This Row],[GroupByKey]]),(OutputTable[GroupByKey]=OutputTable[[#This Row],[GroupByKey]])*OutputTable[RecordedValue]))</f>
        <v>0.48503601840289501</v>
      </c>
      <c r="P639" cm="1">
        <f t="array" ref="P639">MAX(IF((OutputTable[GroupByKey]=OutputTable[[#This Row],[GroupByKey]]),(OutputTable[GroupByKey]=OutputTable[[#This Row],[GroupByKey]])*OutputTable[RecordedValue]))</f>
        <v>0.48724920721519499</v>
      </c>
    </row>
    <row r="640" spans="1:16" x14ac:dyDescent="0.25">
      <c r="A640" t="s">
        <v>67</v>
      </c>
      <c r="B640" t="s">
        <v>243</v>
      </c>
      <c r="C640">
        <v>8</v>
      </c>
      <c r="D640" t="s">
        <v>191</v>
      </c>
      <c r="E640" t="s">
        <v>152</v>
      </c>
      <c r="F640" t="s">
        <v>113</v>
      </c>
      <c r="G640">
        <v>8229</v>
      </c>
      <c r="H640">
        <v>0</v>
      </c>
      <c r="I640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640" cm="1">
        <f t="array" ref="J640">MAX(IF((ProjectInfoTable[ProjectName]=OutputTable[[#This Row],[ProjectName]]),(ProjectInfoTable[ProjectName]=OutputTable[[#This Row],[ProjectName]])*ProjectInfoTable[NumberOfReplications]))</f>
        <v>10</v>
      </c>
      <c r="K640" cm="1">
        <f t="array" ref="K640">IFERROR(AVERAGE(IF((OutputTable[GroupByKey]=OutputTable[[#This Row],[GroupByKey]]),(OutputTable[GroupByKey]=OutputTable[[#This Row],[GroupByKey]])*OutputTable[RecordedValue])),0)</f>
        <v>8233.5</v>
      </c>
      <c r="L640" cm="1">
        <f t="array" ref="L640">IFERROR(_xlfn.STDEV.S(IF((OutputTable[GroupByKey]=OutputTable[[#This Row],[GroupByKey]]),(OutputTable[GroupByKey]=OutputTable[[#This Row],[GroupByKey]])*OutputTable[RecordedValue])),0)</f>
        <v>6.5021364010437201</v>
      </c>
      <c r="M640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640" cm="1">
        <f t="array" ref="O640">MIN(IF((OutputTable[GroupByKey]=OutputTable[[#This Row],[GroupByKey]]),(OutputTable[GroupByKey]=OutputTable[[#This Row],[GroupByKey]])*OutputTable[RecordedValue]))</f>
        <v>8221</v>
      </c>
      <c r="P640" cm="1">
        <f t="array" ref="P640">MAX(IF((OutputTable[GroupByKey]=OutputTable[[#This Row],[GroupByKey]]),(OutputTable[GroupByKey]=OutputTable[[#This Row],[GroupByKey]])*OutputTable[RecordedValue]))</f>
        <v>8243</v>
      </c>
    </row>
    <row r="641" spans="1:16" x14ac:dyDescent="0.25">
      <c r="A641" t="s">
        <v>67</v>
      </c>
      <c r="B641" t="s">
        <v>243</v>
      </c>
      <c r="C641">
        <v>8</v>
      </c>
      <c r="D641" t="s">
        <v>192</v>
      </c>
      <c r="E641" t="s">
        <v>154</v>
      </c>
      <c r="F641" t="s">
        <v>113</v>
      </c>
      <c r="G641">
        <v>0.57231948566550495</v>
      </c>
      <c r="H641">
        <v>0</v>
      </c>
      <c r="I641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641" cm="1">
        <f t="array" ref="J641">MAX(IF((ProjectInfoTable[ProjectName]=OutputTable[[#This Row],[ProjectName]]),(ProjectInfoTable[ProjectName]=OutputTable[[#This Row],[ProjectName]])*ProjectInfoTable[NumberOfReplications]))</f>
        <v>10</v>
      </c>
      <c r="K641" cm="1">
        <f t="array" ref="K641">IFERROR(AVERAGE(IF((OutputTable[GroupByKey]=OutputTable[[#This Row],[GroupByKey]]),(OutputTable[GroupByKey]=OutputTable[[#This Row],[GroupByKey]])*OutputTable[RecordedValue])),0)</f>
        <v>0.57195959594019841</v>
      </c>
      <c r="L641" cm="1">
        <f t="array" ref="L641">IFERROR(_xlfn.STDEV.S(IF((OutputTable[GroupByKey]=OutputTable[[#This Row],[GroupByKey]]),(OutputTable[GroupByKey]=OutputTable[[#This Row],[GroupByKey]])*OutputTable[RecordedValue])),0)</f>
        <v>5.0695895005827636E-4</v>
      </c>
      <c r="M641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3.6265658596782525E-4</v>
      </c>
      <c r="O641" cm="1">
        <f t="array" ref="O641">MIN(IF((OutputTable[GroupByKey]=OutputTable[[#This Row],[GroupByKey]]),(OutputTable[GroupByKey]=OutputTable[[#This Row],[GroupByKey]])*OutputTable[RecordedValue]))</f>
        <v>0.57115702440598504</v>
      </c>
      <c r="P641" cm="1">
        <f t="array" ref="P641">MAX(IF((OutputTable[GroupByKey]=OutputTable[[#This Row],[GroupByKey]]),(OutputTable[GroupByKey]=OutputTable[[#This Row],[GroupByKey]])*OutputTable[RecordedValue]))</f>
        <v>0.57294957522841605</v>
      </c>
    </row>
    <row r="642" spans="1:16" x14ac:dyDescent="0.25">
      <c r="A642" t="s">
        <v>67</v>
      </c>
      <c r="B642" t="s">
        <v>243</v>
      </c>
      <c r="C642">
        <v>8</v>
      </c>
      <c r="D642" t="s">
        <v>193</v>
      </c>
      <c r="E642" t="s">
        <v>152</v>
      </c>
      <c r="F642" t="s">
        <v>113</v>
      </c>
      <c r="G642">
        <v>8227</v>
      </c>
      <c r="H642">
        <v>0</v>
      </c>
      <c r="I642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642" cm="1">
        <f t="array" ref="J642">MAX(IF((ProjectInfoTable[ProjectName]=OutputTable[[#This Row],[ProjectName]]),(ProjectInfoTable[ProjectName]=OutputTable[[#This Row],[ProjectName]])*ProjectInfoTable[NumberOfReplications]))</f>
        <v>10</v>
      </c>
      <c r="K642" cm="1">
        <f t="array" ref="K642">IFERROR(AVERAGE(IF((OutputTable[GroupByKey]=OutputTable[[#This Row],[GroupByKey]]),(OutputTable[GroupByKey]=OutputTable[[#This Row],[GroupByKey]])*OutputTable[RecordedValue])),0)</f>
        <v>8231.5</v>
      </c>
      <c r="L642" cm="1">
        <f t="array" ref="L642">IFERROR(_xlfn.STDEV.S(IF((OutputTable[GroupByKey]=OutputTable[[#This Row],[GroupByKey]]),(OutputTable[GroupByKey]=OutputTable[[#This Row],[GroupByKey]])*OutputTable[RecordedValue])),0)</f>
        <v>6.3464775882199236</v>
      </c>
      <c r="M642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642" cm="1">
        <f t="array" ref="O642">MIN(IF((OutputTable[GroupByKey]=OutputTable[[#This Row],[GroupByKey]]),(OutputTable[GroupByKey]=OutputTable[[#This Row],[GroupByKey]])*OutputTable[RecordedValue]))</f>
        <v>8220</v>
      </c>
      <c r="P642" cm="1">
        <f t="array" ref="P642">MAX(IF((OutputTable[GroupByKey]=OutputTable[[#This Row],[GroupByKey]]),(OutputTable[GroupByKey]=OutputTable[[#This Row],[GroupByKey]])*OutputTable[RecordedValue]))</f>
        <v>8241</v>
      </c>
    </row>
    <row r="643" spans="1:16" x14ac:dyDescent="0.25">
      <c r="A643" t="s">
        <v>67</v>
      </c>
      <c r="B643" t="s">
        <v>243</v>
      </c>
      <c r="C643">
        <v>8</v>
      </c>
      <c r="D643" t="s">
        <v>194</v>
      </c>
      <c r="E643" t="s">
        <v>154</v>
      </c>
      <c r="F643" t="s">
        <v>113</v>
      </c>
      <c r="G643">
        <v>1.0003633599411199</v>
      </c>
      <c r="H643">
        <v>0</v>
      </c>
      <c r="I643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643" cm="1">
        <f t="array" ref="J643">MAX(IF((ProjectInfoTable[ProjectName]=OutputTable[[#This Row],[ProjectName]]),(ProjectInfoTable[ProjectName]=OutputTable[[#This Row],[ProjectName]])*ProjectInfoTable[NumberOfReplications]))</f>
        <v>10</v>
      </c>
      <c r="K643" cm="1">
        <f t="array" ref="K643">IFERROR(AVERAGE(IF((OutputTable[GroupByKey]=OutputTable[[#This Row],[GroupByKey]]),(OutputTable[GroupByKey]=OutputTable[[#This Row],[GroupByKey]])*OutputTable[RecordedValue])),0)</f>
        <v>1.0004557942559711</v>
      </c>
      <c r="L643" cm="1">
        <f t="array" ref="L643">IFERROR(_xlfn.STDEV.S(IF((OutputTable[GroupByKey]=OutputTable[[#This Row],[GroupByKey]]),(OutputTable[GroupByKey]=OutputTable[[#This Row],[GroupByKey]])*OutputTable[RecordedValue])),0)</f>
        <v>1.6760007580081014E-4</v>
      </c>
      <c r="M643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1.1989387166531641E-4</v>
      </c>
      <c r="O643" cm="1">
        <f t="array" ref="O643">MIN(IF((OutputTable[GroupByKey]=OutputTable[[#This Row],[GroupByKey]]),(OutputTable[GroupByKey]=OutputTable[[#This Row],[GroupByKey]])*OutputTable[RecordedValue]))</f>
        <v>1.0000655989645</v>
      </c>
      <c r="P643" cm="1">
        <f t="array" ref="P643">MAX(IF((OutputTable[GroupByKey]=OutputTable[[#This Row],[GroupByKey]]),(OutputTable[GroupByKey]=OutputTable[[#This Row],[GroupByKey]])*OutputTable[RecordedValue]))</f>
        <v>1.00068312738094</v>
      </c>
    </row>
    <row r="644" spans="1:16" x14ac:dyDescent="0.25">
      <c r="A644" t="s">
        <v>67</v>
      </c>
      <c r="B644" t="s">
        <v>243</v>
      </c>
      <c r="C644">
        <v>8</v>
      </c>
      <c r="D644" t="s">
        <v>195</v>
      </c>
      <c r="E644" t="s">
        <v>152</v>
      </c>
      <c r="F644" t="s">
        <v>113</v>
      </c>
      <c r="G644">
        <v>8223</v>
      </c>
      <c r="H644">
        <v>0</v>
      </c>
      <c r="I644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644" cm="1">
        <f t="array" ref="J644">MAX(IF((ProjectInfoTable[ProjectName]=OutputTable[[#This Row],[ProjectName]]),(ProjectInfoTable[ProjectName]=OutputTable[[#This Row],[ProjectName]])*ProjectInfoTable[NumberOfReplications]))</f>
        <v>10</v>
      </c>
      <c r="K644" cm="1">
        <f t="array" ref="K644">IFERROR(AVERAGE(IF((OutputTable[GroupByKey]=OutputTable[[#This Row],[GroupByKey]]),(OutputTable[GroupByKey]=OutputTable[[#This Row],[GroupByKey]])*OutputTable[RecordedValue])),0)</f>
        <v>8227.7000000000007</v>
      </c>
      <c r="L644" cm="1">
        <f t="array" ref="L644">IFERROR(_xlfn.STDEV.S(IF((OutputTable[GroupByKey]=OutputTable[[#This Row],[GroupByKey]]),(OutputTable[GroupByKey]=OutputTable[[#This Row],[GroupByKey]])*OutputTable[RecordedValue])),0)</f>
        <v>6.2902040242480748</v>
      </c>
      <c r="M644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644" cm="1">
        <f t="array" ref="O644">MIN(IF((OutputTable[GroupByKey]=OutputTable[[#This Row],[GroupByKey]]),(OutputTable[GroupByKey]=OutputTable[[#This Row],[GroupByKey]])*OutputTable[RecordedValue]))</f>
        <v>8216</v>
      </c>
      <c r="P644" cm="1">
        <f t="array" ref="P644">MAX(IF((OutputTable[GroupByKey]=OutputTable[[#This Row],[GroupByKey]]),(OutputTable[GroupByKey]=OutputTable[[#This Row],[GroupByKey]])*OutputTable[RecordedValue]))</f>
        <v>8237</v>
      </c>
    </row>
    <row r="645" spans="1:16" x14ac:dyDescent="0.25">
      <c r="A645" t="s">
        <v>67</v>
      </c>
      <c r="B645" t="s">
        <v>243</v>
      </c>
      <c r="C645">
        <v>8</v>
      </c>
      <c r="D645" t="s">
        <v>196</v>
      </c>
      <c r="E645" t="s">
        <v>154</v>
      </c>
      <c r="F645" t="s">
        <v>113</v>
      </c>
      <c r="G645">
        <v>0.62895526310332095</v>
      </c>
      <c r="H645">
        <v>0</v>
      </c>
      <c r="I645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645" cm="1">
        <f t="array" ref="J645">MAX(IF((ProjectInfoTable[ProjectName]=OutputTable[[#This Row],[ProjectName]]),(ProjectInfoTable[ProjectName]=OutputTable[[#This Row],[ProjectName]])*ProjectInfoTable[NumberOfReplications]))</f>
        <v>10</v>
      </c>
      <c r="K645" cm="1">
        <f t="array" ref="K645">IFERROR(AVERAGE(IF((OutputTable[GroupByKey]=OutputTable[[#This Row],[GroupByKey]]),(OutputTable[GroupByKey]=OutputTable[[#This Row],[GroupByKey]])*OutputTable[RecordedValue])),0)</f>
        <v>0.62814585354256225</v>
      </c>
      <c r="L645" cm="1">
        <f t="array" ref="L645">IFERROR(_xlfn.STDEV.S(IF((OutputTable[GroupByKey]=OutputTable[[#This Row],[GroupByKey]]),(OutputTable[GroupByKey]=OutputTable[[#This Row],[GroupByKey]])*OutputTable[RecordedValue])),0)</f>
        <v>7.7648569130547428E-4</v>
      </c>
      <c r="M64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5.5546440166277669E-4</v>
      </c>
      <c r="O645" cm="1">
        <f t="array" ref="O645">MIN(IF((OutputTable[GroupByKey]=OutputTable[[#This Row],[GroupByKey]]),(OutputTable[GroupByKey]=OutputTable[[#This Row],[GroupByKey]])*OutputTable[RecordedValue]))</f>
        <v>0.62668997340539101</v>
      </c>
      <c r="P645" cm="1">
        <f t="array" ref="P645">MAX(IF((OutputTable[GroupByKey]=OutputTable[[#This Row],[GroupByKey]]),(OutputTable[GroupByKey]=OutputTable[[#This Row],[GroupByKey]])*OutputTable[RecordedValue]))</f>
        <v>0.629372102267024</v>
      </c>
    </row>
    <row r="646" spans="1:16" x14ac:dyDescent="0.25">
      <c r="A646" t="s">
        <v>67</v>
      </c>
      <c r="B646" t="s">
        <v>243</v>
      </c>
      <c r="C646">
        <v>8</v>
      </c>
      <c r="D646" t="s">
        <v>197</v>
      </c>
      <c r="E646" t="s">
        <v>152</v>
      </c>
      <c r="F646" t="s">
        <v>113</v>
      </c>
      <c r="G646">
        <v>18377</v>
      </c>
      <c r="H646">
        <v>0</v>
      </c>
      <c r="I646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646" cm="1">
        <f t="array" ref="J646">MAX(IF((ProjectInfoTable[ProjectName]=OutputTable[[#This Row],[ProjectName]]),(ProjectInfoTable[ProjectName]=OutputTable[[#This Row],[ProjectName]])*ProjectInfoTable[NumberOfReplications]))</f>
        <v>10</v>
      </c>
      <c r="K646" cm="1">
        <f t="array" ref="K646">IFERROR(AVERAGE(IF((OutputTable[GroupByKey]=OutputTable[[#This Row],[GroupByKey]]),(OutputTable[GroupByKey]=OutputTable[[#This Row],[GroupByKey]])*OutputTable[RecordedValue])),0)</f>
        <v>18392</v>
      </c>
      <c r="L646" cm="1">
        <f t="array" ref="L646">IFERROR(_xlfn.STDEV.S(IF((OutputTable[GroupByKey]=OutputTable[[#This Row],[GroupByKey]]),(OutputTable[GroupByKey]=OutputTable[[#This Row],[GroupByKey]])*OutputTable[RecordedValue])),0)</f>
        <v>12.884098726725126</v>
      </c>
      <c r="M646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646" cm="1">
        <f t="array" ref="O646">MIN(IF((OutputTable[GroupByKey]=OutputTable[[#This Row],[GroupByKey]]),(OutputTable[GroupByKey]=OutputTable[[#This Row],[GroupByKey]])*OutputTable[RecordedValue]))</f>
        <v>18376</v>
      </c>
      <c r="P646" cm="1">
        <f t="array" ref="P646">MAX(IF((OutputTable[GroupByKey]=OutputTable[[#This Row],[GroupByKey]]),(OutputTable[GroupByKey]=OutputTable[[#This Row],[GroupByKey]])*OutputTable[RecordedValue]))</f>
        <v>18407</v>
      </c>
    </row>
    <row r="647" spans="1:16" x14ac:dyDescent="0.25">
      <c r="A647" t="s">
        <v>67</v>
      </c>
      <c r="B647" t="s">
        <v>243</v>
      </c>
      <c r="C647">
        <v>8</v>
      </c>
      <c r="D647" t="s">
        <v>198</v>
      </c>
      <c r="E647" t="s">
        <v>154</v>
      </c>
      <c r="F647" t="s">
        <v>113</v>
      </c>
      <c r="G647">
        <v>0.95666273197671803</v>
      </c>
      <c r="H647">
        <v>0</v>
      </c>
      <c r="I647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647" cm="1">
        <f t="array" ref="J647">MAX(IF((ProjectInfoTable[ProjectName]=OutputTable[[#This Row],[ProjectName]]),(ProjectInfoTable[ProjectName]=OutputTable[[#This Row],[ProjectName]])*ProjectInfoTable[NumberOfReplications]))</f>
        <v>10</v>
      </c>
      <c r="K647" cm="1">
        <f t="array" ref="K647">IFERROR(AVERAGE(IF((OutputTable[GroupByKey]=OutputTable[[#This Row],[GroupByKey]]),(OutputTable[GroupByKey]=OutputTable[[#This Row],[GroupByKey]])*OutputTable[RecordedValue])),0)</f>
        <v>0.9578548406389944</v>
      </c>
      <c r="L647" cm="1">
        <f t="array" ref="L647">IFERROR(_xlfn.STDEV.S(IF((OutputTable[GroupByKey]=OutputTable[[#This Row],[GroupByKey]]),(OutputTable[GroupByKey]=OutputTable[[#This Row],[GroupByKey]])*OutputTable[RecordedValue])),0)</f>
        <v>7.0772834598480485E-4</v>
      </c>
      <c r="M647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5.0627835985142609E-4</v>
      </c>
      <c r="O647" cm="1">
        <f t="array" ref="O647">MIN(IF((OutputTable[GroupByKey]=OutputTable[[#This Row],[GroupByKey]]),(OutputTable[GroupByKey]=OutputTable[[#This Row],[GroupByKey]])*OutputTable[RecordedValue]))</f>
        <v>0.95655010461043799</v>
      </c>
      <c r="P647" cm="1">
        <f t="array" ref="P647">MAX(IF((OutputTable[GroupByKey]=OutputTable[[#This Row],[GroupByKey]]),(OutputTable[GroupByKey]=OutputTable[[#This Row],[GroupByKey]])*OutputTable[RecordedValue]))</f>
        <v>0.95869742508961697</v>
      </c>
    </row>
    <row r="648" spans="1:16" x14ac:dyDescent="0.25">
      <c r="A648" t="s">
        <v>67</v>
      </c>
      <c r="B648" t="s">
        <v>243</v>
      </c>
      <c r="C648">
        <v>8</v>
      </c>
      <c r="D648" t="s">
        <v>199</v>
      </c>
      <c r="E648" t="s">
        <v>152</v>
      </c>
      <c r="F648" t="s">
        <v>113</v>
      </c>
      <c r="G648">
        <v>18377</v>
      </c>
      <c r="H648">
        <v>0</v>
      </c>
      <c r="I648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648" cm="1">
        <f t="array" ref="J648">MAX(IF((ProjectInfoTable[ProjectName]=OutputTable[[#This Row],[ProjectName]]),(ProjectInfoTable[ProjectName]=OutputTable[[#This Row],[ProjectName]])*ProjectInfoTable[NumberOfReplications]))</f>
        <v>10</v>
      </c>
      <c r="K648" cm="1">
        <f t="array" ref="K648">IFERROR(AVERAGE(IF((OutputTable[GroupByKey]=OutputTable[[#This Row],[GroupByKey]]),(OutputTable[GroupByKey]=OutputTable[[#This Row],[GroupByKey]])*OutputTable[RecordedValue])),0)</f>
        <v>18389.400000000001</v>
      </c>
      <c r="L648" cm="1">
        <f t="array" ref="L648">IFERROR(_xlfn.STDEV.S(IF((OutputTable[GroupByKey]=OutputTable[[#This Row],[GroupByKey]]),(OutputTable[GroupByKey]=OutputTable[[#This Row],[GroupByKey]])*OutputTable[RecordedValue])),0)</f>
        <v>12.103259432437566</v>
      </c>
      <c r="M648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648" cm="1">
        <f t="array" ref="O648">MIN(IF((OutputTable[GroupByKey]=OutputTable[[#This Row],[GroupByKey]]),(OutputTable[GroupByKey]=OutputTable[[#This Row],[GroupByKey]])*OutputTable[RecordedValue]))</f>
        <v>18376</v>
      </c>
      <c r="P648" cm="1">
        <f t="array" ref="P648">MAX(IF((OutputTable[GroupByKey]=OutputTable[[#This Row],[GroupByKey]]),(OutputTable[GroupByKey]=OutputTable[[#This Row],[GroupByKey]])*OutputTable[RecordedValue]))</f>
        <v>18404</v>
      </c>
    </row>
    <row r="649" spans="1:16" x14ac:dyDescent="0.25">
      <c r="A649" t="s">
        <v>67</v>
      </c>
      <c r="B649" t="s">
        <v>243</v>
      </c>
      <c r="C649">
        <v>8</v>
      </c>
      <c r="D649" t="s">
        <v>200</v>
      </c>
      <c r="E649" t="s">
        <v>154</v>
      </c>
      <c r="F649" t="s">
        <v>113</v>
      </c>
      <c r="G649">
        <v>1.00046792437877</v>
      </c>
      <c r="H649">
        <v>0</v>
      </c>
      <c r="I649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649" cm="1">
        <f t="array" ref="J649">MAX(IF((ProjectInfoTable[ProjectName]=OutputTable[[#This Row],[ProjectName]]),(ProjectInfoTable[ProjectName]=OutputTable[[#This Row],[ProjectName]])*ProjectInfoTable[NumberOfReplications]))</f>
        <v>10</v>
      </c>
      <c r="K649" cm="1">
        <f t="array" ref="K649">IFERROR(AVERAGE(IF((OutputTable[GroupByKey]=OutputTable[[#This Row],[GroupByKey]]),(OutputTable[GroupByKey]=OutputTable[[#This Row],[GroupByKey]])*OutputTable[RecordedValue])),0)</f>
        <v>1.0003902798422071</v>
      </c>
      <c r="L649" cm="1">
        <f t="array" ref="L649">IFERROR(_xlfn.STDEV.S(IF((OutputTable[GroupByKey]=OutputTable[[#This Row],[GroupByKey]]),(OutputTable[GroupByKey]=OutputTable[[#This Row],[GroupByKey]])*OutputTable[RecordedValue])),0)</f>
        <v>5.593555412291058E-5</v>
      </c>
      <c r="M649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4.0013884931119971E-5</v>
      </c>
      <c r="O649" cm="1">
        <f t="array" ref="O649">MIN(IF((OutputTable[GroupByKey]=OutputTable[[#This Row],[GroupByKey]]),(OutputTable[GroupByKey]=OutputTable[[#This Row],[GroupByKey]])*OutputTable[RecordedValue]))</f>
        <v>1.0003027766980599</v>
      </c>
      <c r="P649" cm="1">
        <f t="array" ref="P649">MAX(IF((OutputTable[GroupByKey]=OutputTable[[#This Row],[GroupByKey]]),(OutputTable[GroupByKey]=OutputTable[[#This Row],[GroupByKey]])*OutputTable[RecordedValue]))</f>
        <v>1.00046792437877</v>
      </c>
    </row>
    <row r="650" spans="1:16" x14ac:dyDescent="0.25">
      <c r="A650" t="s">
        <v>67</v>
      </c>
      <c r="B650" t="s">
        <v>243</v>
      </c>
      <c r="C650">
        <v>8</v>
      </c>
      <c r="D650" t="s">
        <v>201</v>
      </c>
      <c r="E650" t="s">
        <v>202</v>
      </c>
      <c r="F650" t="s">
        <v>87</v>
      </c>
      <c r="G650">
        <v>157303.990839153</v>
      </c>
      <c r="H650">
        <v>0</v>
      </c>
      <c r="I650" t="str">
        <f>OutputTable[[#This Row],[ProjectName]]&amp;OutputTable[[#This Row],[Name]]&amp;OutputTable[[#This Row],[Type]]&amp;OutputTable[[#This Row],[Source]]</f>
        <v>Unnamed ProjectProcess 1 Accum VA TimeAccum VA TimeProcess</v>
      </c>
      <c r="J650" cm="1">
        <f t="array" ref="J650">MAX(IF((ProjectInfoTable[ProjectName]=OutputTable[[#This Row],[ProjectName]]),(ProjectInfoTable[ProjectName]=OutputTable[[#This Row],[ProjectName]])*ProjectInfoTable[NumberOfReplications]))</f>
        <v>10</v>
      </c>
      <c r="K650" cm="1">
        <f t="array" ref="K650">IFERROR(AVERAGE(IF((OutputTable[GroupByKey]=OutputTable[[#This Row],[GroupByKey]]),(OutputTable[GroupByKey]=OutputTable[[#This Row],[GroupByKey]])*OutputTable[RecordedValue])),0)</f>
        <v>157133.73428655442</v>
      </c>
      <c r="L650" cm="1">
        <f t="array" ref="L650">IFERROR(_xlfn.STDEV.S(IF((OutputTable[GroupByKey]=OutputTable[[#This Row],[GroupByKey]]),(OutputTable[GroupByKey]=OutputTable[[#This Row],[GroupByKey]])*OutputTable[RecordedValue])),0)</f>
        <v>123.15330812839177</v>
      </c>
      <c r="M650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88.098569462778244</v>
      </c>
      <c r="O650" cm="1">
        <f t="array" ref="O650">MIN(IF((OutputTable[GroupByKey]=OutputTable[[#This Row],[GroupByKey]]),(OutputTable[GroupByKey]=OutputTable[[#This Row],[GroupByKey]])*OutputTable[RecordedValue]))</f>
        <v>156930.294881654</v>
      </c>
      <c r="P650" cm="1">
        <f t="array" ref="P650">MAX(IF((OutputTable[GroupByKey]=OutputTable[[#This Row],[GroupByKey]]),(OutputTable[GroupByKey]=OutputTable[[#This Row],[GroupByKey]])*OutputTable[RecordedValue]))</f>
        <v>157303.990839153</v>
      </c>
    </row>
    <row r="651" spans="1:16" x14ac:dyDescent="0.25">
      <c r="A651" t="s">
        <v>67</v>
      </c>
      <c r="B651" t="s">
        <v>243</v>
      </c>
      <c r="C651">
        <v>8</v>
      </c>
      <c r="D651" t="s">
        <v>203</v>
      </c>
      <c r="E651" t="s">
        <v>156</v>
      </c>
      <c r="F651" t="s">
        <v>87</v>
      </c>
      <c r="G651">
        <v>13100</v>
      </c>
      <c r="H651">
        <v>0</v>
      </c>
      <c r="I651" t="str">
        <f>OutputTable[[#This Row],[ProjectName]]&amp;OutputTable[[#This Row],[Name]]&amp;OutputTable[[#This Row],[Type]]&amp;OutputTable[[#This Row],[Source]]</f>
        <v>Unnamed ProjectProcess 1 Number InNumber InProcess</v>
      </c>
      <c r="J651" cm="1">
        <f t="array" ref="J651">MAX(IF((ProjectInfoTable[ProjectName]=OutputTable[[#This Row],[ProjectName]]),(ProjectInfoTable[ProjectName]=OutputTable[[#This Row],[ProjectName]])*ProjectInfoTable[NumberOfReplications]))</f>
        <v>10</v>
      </c>
      <c r="K651" cm="1">
        <f t="array" ref="K651">IFERROR(AVERAGE(IF((OutputTable[GroupByKey]=OutputTable[[#This Row],[GroupByKey]]),(OutputTable[GroupByKey]=OutputTable[[#This Row],[GroupByKey]])*OutputTable[RecordedValue])),0)</f>
        <v>13103.5</v>
      </c>
      <c r="L651" cm="1">
        <f t="array" ref="L651">IFERROR(_xlfn.STDEV.S(IF((OutputTable[GroupByKey]=OutputTable[[#This Row],[GroupByKey]]),(OutputTable[GroupByKey]=OutputTable[[#This Row],[GroupByKey]])*OutputTable[RecordedValue])),0)</f>
        <v>11.443095929181249</v>
      </c>
      <c r="M651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651" cm="1">
        <f t="array" ref="O651">MIN(IF((OutputTable[GroupByKey]=OutputTable[[#This Row],[GroupByKey]]),(OutputTable[GroupByKey]=OutputTable[[#This Row],[GroupByKey]])*OutputTable[RecordedValue]))</f>
        <v>13087</v>
      </c>
      <c r="P651" cm="1">
        <f t="array" ref="P651">MAX(IF((OutputTable[GroupByKey]=OutputTable[[#This Row],[GroupByKey]]),(OutputTable[GroupByKey]=OutputTable[[#This Row],[GroupByKey]])*OutputTable[RecordedValue]))</f>
        <v>13120</v>
      </c>
    </row>
    <row r="652" spans="1:16" x14ac:dyDescent="0.25">
      <c r="A652" t="s">
        <v>67</v>
      </c>
      <c r="B652" t="s">
        <v>243</v>
      </c>
      <c r="C652">
        <v>8</v>
      </c>
      <c r="D652" t="s">
        <v>204</v>
      </c>
      <c r="E652" t="s">
        <v>158</v>
      </c>
      <c r="F652" t="s">
        <v>87</v>
      </c>
      <c r="G652">
        <v>13100</v>
      </c>
      <c r="H652">
        <v>0</v>
      </c>
      <c r="I652" t="str">
        <f>OutputTable[[#This Row],[ProjectName]]&amp;OutputTable[[#This Row],[Name]]&amp;OutputTable[[#This Row],[Type]]&amp;OutputTable[[#This Row],[Source]]</f>
        <v>Unnamed ProjectProcess 1 Number OutNumber OutProcess</v>
      </c>
      <c r="J652" cm="1">
        <f t="array" ref="J652">MAX(IF((ProjectInfoTable[ProjectName]=OutputTable[[#This Row],[ProjectName]]),(ProjectInfoTable[ProjectName]=OutputTable[[#This Row],[ProjectName]])*ProjectInfoTable[NumberOfReplications]))</f>
        <v>10</v>
      </c>
      <c r="K652" cm="1">
        <f t="array" ref="K652">IFERROR(AVERAGE(IF((OutputTable[GroupByKey]=OutputTable[[#This Row],[GroupByKey]]),(OutputTable[GroupByKey]=OutputTable[[#This Row],[GroupByKey]])*OutputTable[RecordedValue])),0)</f>
        <v>13103.5</v>
      </c>
      <c r="L652" cm="1">
        <f t="array" ref="L652">IFERROR(_xlfn.STDEV.S(IF((OutputTable[GroupByKey]=OutputTable[[#This Row],[GroupByKey]]),(OutputTable[GroupByKey]=OutputTable[[#This Row],[GroupByKey]])*OutputTable[RecordedValue])),0)</f>
        <v>11.443095929181249</v>
      </c>
      <c r="M652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652" cm="1">
        <f t="array" ref="O652">MIN(IF((OutputTable[GroupByKey]=OutputTable[[#This Row],[GroupByKey]]),(OutputTable[GroupByKey]=OutputTable[[#This Row],[GroupByKey]])*OutputTable[RecordedValue]))</f>
        <v>13087</v>
      </c>
      <c r="P652" cm="1">
        <f t="array" ref="P652">MAX(IF((OutputTable[GroupByKey]=OutputTable[[#This Row],[GroupByKey]]),(OutputTable[GroupByKey]=OutputTable[[#This Row],[GroupByKey]])*OutputTable[RecordedValue]))</f>
        <v>13120</v>
      </c>
    </row>
    <row r="653" spans="1:16" x14ac:dyDescent="0.25">
      <c r="A653" t="s">
        <v>67</v>
      </c>
      <c r="B653" t="s">
        <v>243</v>
      </c>
      <c r="C653">
        <v>8</v>
      </c>
      <c r="D653" t="s">
        <v>205</v>
      </c>
      <c r="E653" t="s">
        <v>202</v>
      </c>
      <c r="F653" t="s">
        <v>87</v>
      </c>
      <c r="G653">
        <v>21835.500505775501</v>
      </c>
      <c r="H653">
        <v>0</v>
      </c>
      <c r="I653" t="str">
        <f>OutputTable[[#This Row],[ProjectName]]&amp;OutputTable[[#This Row],[Name]]&amp;OutputTable[[#This Row],[Type]]&amp;OutputTable[[#This Row],[Source]]</f>
        <v>Unnamed ProjectProcess 14 Accum VA TimeAccum VA TimeProcess</v>
      </c>
      <c r="J653" cm="1">
        <f t="array" ref="J653">MAX(IF((ProjectInfoTable[ProjectName]=OutputTable[[#This Row],[ProjectName]]),(ProjectInfoTable[ProjectName]=OutputTable[[#This Row],[ProjectName]])*ProjectInfoTable[NumberOfReplications]))</f>
        <v>10</v>
      </c>
      <c r="K653" cm="1">
        <f t="array" ref="K653">IFERROR(AVERAGE(IF((OutputTable[GroupByKey]=OutputTable[[#This Row],[GroupByKey]]),(OutputTable[GroupByKey]=OutputTable[[#This Row],[GroupByKey]])*OutputTable[RecordedValue])),0)</f>
        <v>21817.897664333104</v>
      </c>
      <c r="L653" cm="1">
        <f t="array" ref="L653">IFERROR(_xlfn.STDEV.S(IF((OutputTable[GroupByKey]=OutputTable[[#This Row],[GroupByKey]]),(OutputTable[GroupByKey]=OutputTable[[#This Row],[GroupByKey]])*OutputTable[RecordedValue])),0)</f>
        <v>40.377465047897729</v>
      </c>
      <c r="M653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28.884298467602775</v>
      </c>
      <c r="O653" cm="1">
        <f t="array" ref="O653">MIN(IF((OutputTable[GroupByKey]=OutputTable[[#This Row],[GroupByKey]]),(OutputTable[GroupByKey]=OutputTable[[#This Row],[GroupByKey]])*OutputTable[RecordedValue]))</f>
        <v>21737.561928445</v>
      </c>
      <c r="P653" cm="1">
        <f t="array" ref="P653">MAX(IF((OutputTable[GroupByKey]=OutputTable[[#This Row],[GroupByKey]]),(OutputTable[GroupByKey]=OutputTable[[#This Row],[GroupByKey]])*OutputTable[RecordedValue]))</f>
        <v>21880.2668082411</v>
      </c>
    </row>
    <row r="654" spans="1:16" x14ac:dyDescent="0.25">
      <c r="A654" t="s">
        <v>67</v>
      </c>
      <c r="B654" t="s">
        <v>243</v>
      </c>
      <c r="C654">
        <v>8</v>
      </c>
      <c r="D654" t="s">
        <v>206</v>
      </c>
      <c r="E654" t="s">
        <v>156</v>
      </c>
      <c r="F654" t="s">
        <v>87</v>
      </c>
      <c r="G654">
        <v>6546</v>
      </c>
      <c r="H654">
        <v>0</v>
      </c>
      <c r="I654" t="str">
        <f>OutputTable[[#This Row],[ProjectName]]&amp;OutputTable[[#This Row],[Name]]&amp;OutputTable[[#This Row],[Type]]&amp;OutputTable[[#This Row],[Source]]</f>
        <v>Unnamed ProjectProcess 14 Number InNumber InProcess</v>
      </c>
      <c r="J654" cm="1">
        <f t="array" ref="J654">MAX(IF((ProjectInfoTable[ProjectName]=OutputTable[[#This Row],[ProjectName]]),(ProjectInfoTable[ProjectName]=OutputTable[[#This Row],[ProjectName]])*ProjectInfoTable[NumberOfReplications]))</f>
        <v>10</v>
      </c>
      <c r="K654" cm="1">
        <f t="array" ref="K654">IFERROR(AVERAGE(IF((OutputTable[GroupByKey]=OutputTable[[#This Row],[GroupByKey]]),(OutputTable[GroupByKey]=OutputTable[[#This Row],[GroupByKey]])*OutputTable[RecordedValue])),0)</f>
        <v>6547.7</v>
      </c>
      <c r="L654" cm="1">
        <f t="array" ref="L654">IFERROR(_xlfn.STDEV.S(IF((OutputTable[GroupByKey]=OutputTable[[#This Row],[GroupByKey]]),(OutputTable[GroupByKey]=OutputTable[[#This Row],[GroupByKey]])*OutputTable[RecordedValue])),0)</f>
        <v>5.735852159879995</v>
      </c>
      <c r="M654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654" cm="1">
        <f t="array" ref="O654">MIN(IF((OutputTable[GroupByKey]=OutputTable[[#This Row],[GroupByKey]]),(OutputTable[GroupByKey]=OutputTable[[#This Row],[GroupByKey]])*OutputTable[RecordedValue]))</f>
        <v>6540</v>
      </c>
      <c r="P654" cm="1">
        <f t="array" ref="P654">MAX(IF((OutputTable[GroupByKey]=OutputTable[[#This Row],[GroupByKey]]),(OutputTable[GroupByKey]=OutputTable[[#This Row],[GroupByKey]])*OutputTable[RecordedValue]))</f>
        <v>6557</v>
      </c>
    </row>
    <row r="655" spans="1:16" x14ac:dyDescent="0.25">
      <c r="A655" t="s">
        <v>67</v>
      </c>
      <c r="B655" t="s">
        <v>243</v>
      </c>
      <c r="C655">
        <v>8</v>
      </c>
      <c r="D655" t="s">
        <v>207</v>
      </c>
      <c r="E655" t="s">
        <v>158</v>
      </c>
      <c r="F655" t="s">
        <v>87</v>
      </c>
      <c r="G655">
        <v>6545</v>
      </c>
      <c r="H655">
        <v>0</v>
      </c>
      <c r="I655" t="str">
        <f>OutputTable[[#This Row],[ProjectName]]&amp;OutputTable[[#This Row],[Name]]&amp;OutputTable[[#This Row],[Type]]&amp;OutputTable[[#This Row],[Source]]</f>
        <v>Unnamed ProjectProcess 14 Number OutNumber OutProcess</v>
      </c>
      <c r="J655" cm="1">
        <f t="array" ref="J655">MAX(IF((ProjectInfoTable[ProjectName]=OutputTable[[#This Row],[ProjectName]]),(ProjectInfoTable[ProjectName]=OutputTable[[#This Row],[ProjectName]])*ProjectInfoTable[NumberOfReplications]))</f>
        <v>10</v>
      </c>
      <c r="K655" cm="1">
        <f t="array" ref="K655">IFERROR(AVERAGE(IF((OutputTable[GroupByKey]=OutputTable[[#This Row],[GroupByKey]]),(OutputTable[GroupByKey]=OutputTable[[#This Row],[GroupByKey]])*OutputTable[RecordedValue])),0)</f>
        <v>6547.3</v>
      </c>
      <c r="L655" cm="1">
        <f t="array" ref="L655">IFERROR(_xlfn.STDEV.S(IF((OutputTable[GroupByKey]=OutputTable[[#This Row],[GroupByKey]]),(OutputTable[GroupByKey]=OutputTable[[#This Row],[GroupByKey]])*OutputTable[RecordedValue])),0)</f>
        <v>5.7164480035925962</v>
      </c>
      <c r="M65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4.0893005569921828</v>
      </c>
      <c r="O655" cm="1">
        <f t="array" ref="O655">MIN(IF((OutputTable[GroupByKey]=OutputTable[[#This Row],[GroupByKey]]),(OutputTable[GroupByKey]=OutputTable[[#This Row],[GroupByKey]])*OutputTable[RecordedValue]))</f>
        <v>6539</v>
      </c>
      <c r="P655" cm="1">
        <f t="array" ref="P655">MAX(IF((OutputTable[GroupByKey]=OutputTable[[#This Row],[GroupByKey]]),(OutputTable[GroupByKey]=OutputTable[[#This Row],[GroupByKey]])*OutputTable[RecordedValue]))</f>
        <v>6556</v>
      </c>
    </row>
    <row r="656" spans="1:16" x14ac:dyDescent="0.25">
      <c r="A656" t="s">
        <v>67</v>
      </c>
      <c r="B656" t="s">
        <v>243</v>
      </c>
      <c r="C656">
        <v>8</v>
      </c>
      <c r="D656" t="s">
        <v>208</v>
      </c>
      <c r="E656" t="s">
        <v>202</v>
      </c>
      <c r="F656" t="s">
        <v>87</v>
      </c>
      <c r="G656">
        <v>78879.0340749358</v>
      </c>
      <c r="H656">
        <v>0</v>
      </c>
      <c r="I656" t="str">
        <f>OutputTable[[#This Row],[ProjectName]]&amp;OutputTable[[#This Row],[Name]]&amp;OutputTable[[#This Row],[Type]]&amp;OutputTable[[#This Row],[Source]]</f>
        <v>Unnamed ProjectProcess 2 Accum VA TimeAccum VA TimeProcess</v>
      </c>
      <c r="J656" cm="1">
        <f t="array" ref="J656">MAX(IF((ProjectInfoTable[ProjectName]=OutputTable[[#This Row],[ProjectName]]),(ProjectInfoTable[ProjectName]=OutputTable[[#This Row],[ProjectName]])*ProjectInfoTable[NumberOfReplications]))</f>
        <v>10</v>
      </c>
      <c r="K656" cm="1">
        <f t="array" ref="K656">IFERROR(AVERAGE(IF((OutputTable[GroupByKey]=OutputTable[[#This Row],[GroupByKey]]),(OutputTable[GroupByKey]=OutputTable[[#This Row],[GroupByKey]])*OutputTable[RecordedValue])),0)</f>
        <v>78656.282482549519</v>
      </c>
      <c r="L656" cm="1">
        <f t="array" ref="L656">IFERROR(_xlfn.STDEV.S(IF((OutputTable[GroupByKey]=OutputTable[[#This Row],[GroupByKey]]),(OutputTable[GroupByKey]=OutputTable[[#This Row],[GroupByKey]])*OutputTable[RecordedValue])),0)</f>
        <v>139.39621135358072</v>
      </c>
      <c r="M656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99.718042457930338</v>
      </c>
      <c r="O656" cm="1">
        <f t="array" ref="O656">MIN(IF((OutputTable[GroupByKey]=OutputTable[[#This Row],[GroupByKey]]),(OutputTable[GroupByKey]=OutputTable[[#This Row],[GroupByKey]])*OutputTable[RecordedValue]))</f>
        <v>78434.750255210005</v>
      </c>
      <c r="P656" cm="1">
        <f t="array" ref="P656">MAX(IF((OutputTable[GroupByKey]=OutputTable[[#This Row],[GroupByKey]]),(OutputTable[GroupByKey]=OutputTable[[#This Row],[GroupByKey]])*OutputTable[RecordedValue]))</f>
        <v>78879.0340749358</v>
      </c>
    </row>
    <row r="657" spans="1:16" x14ac:dyDescent="0.25">
      <c r="A657" t="s">
        <v>67</v>
      </c>
      <c r="B657" t="s">
        <v>243</v>
      </c>
      <c r="C657">
        <v>8</v>
      </c>
      <c r="D657" t="s">
        <v>209</v>
      </c>
      <c r="E657" t="s">
        <v>156</v>
      </c>
      <c r="F657" t="s">
        <v>87</v>
      </c>
      <c r="G657">
        <v>13096</v>
      </c>
      <c r="H657">
        <v>0</v>
      </c>
      <c r="I657" t="str">
        <f>OutputTable[[#This Row],[ProjectName]]&amp;OutputTable[[#This Row],[Name]]&amp;OutputTable[[#This Row],[Type]]&amp;OutputTable[[#This Row],[Source]]</f>
        <v>Unnamed ProjectProcess 2 Number InNumber InProcess</v>
      </c>
      <c r="J657" cm="1">
        <f t="array" ref="J657">MAX(IF((ProjectInfoTable[ProjectName]=OutputTable[[#This Row],[ProjectName]]),(ProjectInfoTable[ProjectName]=OutputTable[[#This Row],[ProjectName]])*ProjectInfoTable[NumberOfReplications]))</f>
        <v>10</v>
      </c>
      <c r="K657" cm="1">
        <f t="array" ref="K657">IFERROR(AVERAGE(IF((OutputTable[GroupByKey]=OutputTable[[#This Row],[GroupByKey]]),(OutputTable[GroupByKey]=OutputTable[[#This Row],[GroupByKey]])*OutputTable[RecordedValue])),0)</f>
        <v>13100.1</v>
      </c>
      <c r="L657" cm="1">
        <f t="array" ref="L657">IFERROR(_xlfn.STDEV.S(IF((OutputTable[GroupByKey]=OutputTable[[#This Row],[GroupByKey]]),(OutputTable[GroupByKey]=OutputTable[[#This Row],[GroupByKey]])*OutputTable[RecordedValue])),0)</f>
        <v>11.46443776786866</v>
      </c>
      <c r="M657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657" cm="1">
        <f t="array" ref="O657">MIN(IF((OutputTable[GroupByKey]=OutputTable[[#This Row],[GroupByKey]]),(OutputTable[GroupByKey]=OutputTable[[#This Row],[GroupByKey]])*OutputTable[RecordedValue]))</f>
        <v>13083</v>
      </c>
      <c r="P657" cm="1">
        <f t="array" ref="P657">MAX(IF((OutputTable[GroupByKey]=OutputTable[[#This Row],[GroupByKey]]),(OutputTable[GroupByKey]=OutputTable[[#This Row],[GroupByKey]])*OutputTable[RecordedValue]))</f>
        <v>13118</v>
      </c>
    </row>
    <row r="658" spans="1:16" x14ac:dyDescent="0.25">
      <c r="A658" t="s">
        <v>67</v>
      </c>
      <c r="B658" t="s">
        <v>243</v>
      </c>
      <c r="C658">
        <v>8</v>
      </c>
      <c r="D658" t="s">
        <v>210</v>
      </c>
      <c r="E658" t="s">
        <v>158</v>
      </c>
      <c r="F658" t="s">
        <v>87</v>
      </c>
      <c r="G658">
        <v>13096</v>
      </c>
      <c r="H658">
        <v>0</v>
      </c>
      <c r="I658" t="str">
        <f>OutputTable[[#This Row],[ProjectName]]&amp;OutputTable[[#This Row],[Name]]&amp;OutputTable[[#This Row],[Type]]&amp;OutputTable[[#This Row],[Source]]</f>
        <v>Unnamed ProjectProcess 2 Number OutNumber OutProcess</v>
      </c>
      <c r="J658" cm="1">
        <f t="array" ref="J658">MAX(IF((ProjectInfoTable[ProjectName]=OutputTable[[#This Row],[ProjectName]]),(ProjectInfoTable[ProjectName]=OutputTable[[#This Row],[ProjectName]])*ProjectInfoTable[NumberOfReplications]))</f>
        <v>10</v>
      </c>
      <c r="K658" cm="1">
        <f t="array" ref="K658">IFERROR(AVERAGE(IF((OutputTable[GroupByKey]=OutputTable[[#This Row],[GroupByKey]]),(OutputTable[GroupByKey]=OutputTable[[#This Row],[GroupByKey]])*OutputTable[RecordedValue])),0)</f>
        <v>13100.1</v>
      </c>
      <c r="L658" cm="1">
        <f t="array" ref="L658">IFERROR(_xlfn.STDEV.S(IF((OutputTable[GroupByKey]=OutputTable[[#This Row],[GroupByKey]]),(OutputTable[GroupByKey]=OutputTable[[#This Row],[GroupByKey]])*OutputTable[RecordedValue])),0)</f>
        <v>11.46443776786866</v>
      </c>
      <c r="M658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658" cm="1">
        <f t="array" ref="O658">MIN(IF((OutputTable[GroupByKey]=OutputTable[[#This Row],[GroupByKey]]),(OutputTable[GroupByKey]=OutputTable[[#This Row],[GroupByKey]])*OutputTable[RecordedValue]))</f>
        <v>13083</v>
      </c>
      <c r="P658" cm="1">
        <f t="array" ref="P658">MAX(IF((OutputTable[GroupByKey]=OutputTable[[#This Row],[GroupByKey]]),(OutputTable[GroupByKey]=OutputTable[[#This Row],[GroupByKey]])*OutputTable[RecordedValue]))</f>
        <v>13118</v>
      </c>
    </row>
    <row r="659" spans="1:16" x14ac:dyDescent="0.25">
      <c r="A659" t="s">
        <v>67</v>
      </c>
      <c r="B659" t="s">
        <v>243</v>
      </c>
      <c r="C659">
        <v>8</v>
      </c>
      <c r="D659" t="s">
        <v>211</v>
      </c>
      <c r="E659" t="s">
        <v>202</v>
      </c>
      <c r="F659" t="s">
        <v>87</v>
      </c>
      <c r="G659">
        <v>143980.69569238499</v>
      </c>
      <c r="H659">
        <v>0</v>
      </c>
      <c r="I659" t="str">
        <f>OutputTable[[#This Row],[ProjectName]]&amp;OutputTable[[#This Row],[Name]]&amp;OutputTable[[#This Row],[Type]]&amp;OutputTable[[#This Row],[Source]]</f>
        <v>Unnamed ProjectProcess 3 Accum VA TimeAccum VA TimeProcess</v>
      </c>
      <c r="J659" cm="1">
        <f t="array" ref="J659">MAX(IF((ProjectInfoTable[ProjectName]=OutputTable[[#This Row],[ProjectName]]),(ProjectInfoTable[ProjectName]=OutputTable[[#This Row],[ProjectName]])*ProjectInfoTable[NumberOfReplications]))</f>
        <v>10</v>
      </c>
      <c r="K659" cm="1">
        <f t="array" ref="K659">IFERROR(AVERAGE(IF((OutputTable[GroupByKey]=OutputTable[[#This Row],[GroupByKey]]),(OutputTable[GroupByKey]=OutputTable[[#This Row],[GroupByKey]])*OutputTable[RecordedValue])),0)</f>
        <v>144088.31566564049</v>
      </c>
      <c r="L659" cm="1">
        <f t="array" ref="L659">IFERROR(_xlfn.STDEV.S(IF((OutputTable[GroupByKey]=OutputTable[[#This Row],[GroupByKey]]),(OutputTable[GroupByKey]=OutputTable[[#This Row],[GroupByKey]])*OutputTable[RecordedValue])),0)</f>
        <v>147.41980686592098</v>
      </c>
      <c r="M659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105.45777691839817</v>
      </c>
      <c r="O659" cm="1">
        <f t="array" ref="O659">MIN(IF((OutputTable[GroupByKey]=OutputTable[[#This Row],[GroupByKey]]),(OutputTable[GroupByKey]=OutputTable[[#This Row],[GroupByKey]])*OutputTable[RecordedValue]))</f>
        <v>143896.696561805</v>
      </c>
      <c r="P659" cm="1">
        <f t="array" ref="P659">MAX(IF((OutputTable[GroupByKey]=OutputTable[[#This Row],[GroupByKey]]),(OutputTable[GroupByKey]=OutputTable[[#This Row],[GroupByKey]])*OutputTable[RecordedValue]))</f>
        <v>144298.22507098701</v>
      </c>
    </row>
    <row r="660" spans="1:16" x14ac:dyDescent="0.25">
      <c r="A660" t="s">
        <v>67</v>
      </c>
      <c r="B660" t="s">
        <v>243</v>
      </c>
      <c r="C660">
        <v>8</v>
      </c>
      <c r="D660" t="s">
        <v>212</v>
      </c>
      <c r="E660" t="s">
        <v>156</v>
      </c>
      <c r="F660" t="s">
        <v>87</v>
      </c>
      <c r="G660">
        <v>13096</v>
      </c>
      <c r="H660">
        <v>0</v>
      </c>
      <c r="I660" t="str">
        <f>OutputTable[[#This Row],[ProjectName]]&amp;OutputTable[[#This Row],[Name]]&amp;OutputTable[[#This Row],[Type]]&amp;OutputTable[[#This Row],[Source]]</f>
        <v>Unnamed ProjectProcess 3 Number InNumber InProcess</v>
      </c>
      <c r="J660" cm="1">
        <f t="array" ref="J660">MAX(IF((ProjectInfoTable[ProjectName]=OutputTable[[#This Row],[ProjectName]]),(ProjectInfoTable[ProjectName]=OutputTable[[#This Row],[ProjectName]])*ProjectInfoTable[NumberOfReplications]))</f>
        <v>10</v>
      </c>
      <c r="K660" cm="1">
        <f t="array" ref="K660">IFERROR(AVERAGE(IF((OutputTable[GroupByKey]=OutputTable[[#This Row],[GroupByKey]]),(OutputTable[GroupByKey]=OutputTable[[#This Row],[GroupByKey]])*OutputTable[RecordedValue])),0)</f>
        <v>13099.9</v>
      </c>
      <c r="L660" cm="1">
        <f t="array" ref="L660">IFERROR(_xlfn.STDEV.S(IF((OutputTable[GroupByKey]=OutputTable[[#This Row],[GroupByKey]]),(OutputTable[GroupByKey]=OutputTable[[#This Row],[GroupByKey]])*OutputTable[RecordedValue])),0)</f>
        <v>11.761046816598522</v>
      </c>
      <c r="M660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660" cm="1">
        <f t="array" ref="O660">MIN(IF((OutputTable[GroupByKey]=OutputTable[[#This Row],[GroupByKey]]),(OutputTable[GroupByKey]=OutputTable[[#This Row],[GroupByKey]])*OutputTable[RecordedValue]))</f>
        <v>13082</v>
      </c>
      <c r="P660" cm="1">
        <f t="array" ref="P660">MAX(IF((OutputTable[GroupByKey]=OutputTable[[#This Row],[GroupByKey]]),(OutputTable[GroupByKey]=OutputTable[[#This Row],[GroupByKey]])*OutputTable[RecordedValue]))</f>
        <v>13118</v>
      </c>
    </row>
    <row r="661" spans="1:16" x14ac:dyDescent="0.25">
      <c r="A661" t="s">
        <v>67</v>
      </c>
      <c r="B661" t="s">
        <v>243</v>
      </c>
      <c r="C661">
        <v>8</v>
      </c>
      <c r="D661" t="s">
        <v>213</v>
      </c>
      <c r="E661" t="s">
        <v>158</v>
      </c>
      <c r="F661" t="s">
        <v>87</v>
      </c>
      <c r="G661">
        <v>13096</v>
      </c>
      <c r="H661">
        <v>0</v>
      </c>
      <c r="I661" t="str">
        <f>OutputTable[[#This Row],[ProjectName]]&amp;OutputTable[[#This Row],[Name]]&amp;OutputTable[[#This Row],[Type]]&amp;OutputTable[[#This Row],[Source]]</f>
        <v>Unnamed ProjectProcess 3 Number OutNumber OutProcess</v>
      </c>
      <c r="J661" cm="1">
        <f t="array" ref="J661">MAX(IF((ProjectInfoTable[ProjectName]=OutputTable[[#This Row],[ProjectName]]),(ProjectInfoTable[ProjectName]=OutputTable[[#This Row],[ProjectName]])*ProjectInfoTable[NumberOfReplications]))</f>
        <v>10</v>
      </c>
      <c r="K661" cm="1">
        <f t="array" ref="K661">IFERROR(AVERAGE(IF((OutputTable[GroupByKey]=OutputTable[[#This Row],[GroupByKey]]),(OutputTable[GroupByKey]=OutputTable[[#This Row],[GroupByKey]])*OutputTable[RecordedValue])),0)</f>
        <v>13099.9</v>
      </c>
      <c r="L661" cm="1">
        <f t="array" ref="L661">IFERROR(_xlfn.STDEV.S(IF((OutputTable[GroupByKey]=OutputTable[[#This Row],[GroupByKey]]),(OutputTable[GroupByKey]=OutputTable[[#This Row],[GroupByKey]])*OutputTable[RecordedValue])),0)</f>
        <v>11.761046816598522</v>
      </c>
      <c r="M661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661" cm="1">
        <f t="array" ref="O661">MIN(IF((OutputTable[GroupByKey]=OutputTable[[#This Row],[GroupByKey]]),(OutputTable[GroupByKey]=OutputTable[[#This Row],[GroupByKey]])*OutputTable[RecordedValue]))</f>
        <v>13082</v>
      </c>
      <c r="P661" cm="1">
        <f t="array" ref="P661">MAX(IF((OutputTable[GroupByKey]=OutputTable[[#This Row],[GroupByKey]]),(OutputTable[GroupByKey]=OutputTable[[#This Row],[GroupByKey]])*OutputTable[RecordedValue]))</f>
        <v>13118</v>
      </c>
    </row>
    <row r="662" spans="1:16" x14ac:dyDescent="0.25">
      <c r="A662" t="s">
        <v>67</v>
      </c>
      <c r="B662" t="s">
        <v>243</v>
      </c>
      <c r="C662">
        <v>8</v>
      </c>
      <c r="D662" t="s">
        <v>214</v>
      </c>
      <c r="E662" t="s">
        <v>202</v>
      </c>
      <c r="F662" t="s">
        <v>87</v>
      </c>
      <c r="G662">
        <v>57679.978497650598</v>
      </c>
      <c r="H662">
        <v>0</v>
      </c>
      <c r="I662" t="str">
        <f>OutputTable[[#This Row],[ProjectName]]&amp;OutputTable[[#This Row],[Name]]&amp;OutputTable[[#This Row],[Type]]&amp;OutputTable[[#This Row],[Source]]</f>
        <v>Unnamed ProjectProcess 4 Accum VA TimeAccum VA TimeProcess</v>
      </c>
      <c r="J662" cm="1">
        <f t="array" ref="J662">MAX(IF((ProjectInfoTable[ProjectName]=OutputTable[[#This Row],[ProjectName]]),(ProjectInfoTable[ProjectName]=OutputTable[[#This Row],[ProjectName]])*ProjectInfoTable[NumberOfReplications]))</f>
        <v>10</v>
      </c>
      <c r="K662" cm="1">
        <f t="array" ref="K662">IFERROR(AVERAGE(IF((OutputTable[GroupByKey]=OutputTable[[#This Row],[GroupByKey]]),(OutputTable[GroupByKey]=OutputTable[[#This Row],[GroupByKey]])*OutputTable[RecordedValue])),0)</f>
        <v>57657.842851106019</v>
      </c>
      <c r="L662" cm="1">
        <f t="array" ref="L662">IFERROR(_xlfn.STDEV.S(IF((OutputTable[GroupByKey]=OutputTable[[#This Row],[GroupByKey]]),(OutputTable[GroupByKey]=OutputTable[[#This Row],[GroupByKey]])*OutputTable[RecordedValue])),0)</f>
        <v>66.206976538127805</v>
      </c>
      <c r="M662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47.361617889987492</v>
      </c>
      <c r="O662" cm="1">
        <f t="array" ref="O662">MIN(IF((OutputTable[GroupByKey]=OutputTable[[#This Row],[GroupByKey]]),(OutputTable[GroupByKey]=OutputTable[[#This Row],[GroupByKey]])*OutputTable[RecordedValue]))</f>
        <v>57569.6670912306</v>
      </c>
      <c r="P662" cm="1">
        <f t="array" ref="P662">MAX(IF((OutputTable[GroupByKey]=OutputTable[[#This Row],[GroupByKey]]),(OutputTable[GroupByKey]=OutputTable[[#This Row],[GroupByKey]])*OutputTable[RecordedValue]))</f>
        <v>57778.887305354197</v>
      </c>
    </row>
    <row r="663" spans="1:16" x14ac:dyDescent="0.25">
      <c r="A663" t="s">
        <v>67</v>
      </c>
      <c r="B663" t="s">
        <v>243</v>
      </c>
      <c r="C663">
        <v>8</v>
      </c>
      <c r="D663" t="s">
        <v>215</v>
      </c>
      <c r="E663" t="s">
        <v>156</v>
      </c>
      <c r="F663" t="s">
        <v>87</v>
      </c>
      <c r="G663">
        <v>8231</v>
      </c>
      <c r="H663">
        <v>0</v>
      </c>
      <c r="I663" t="str">
        <f>OutputTable[[#This Row],[ProjectName]]&amp;OutputTable[[#This Row],[Name]]&amp;OutputTable[[#This Row],[Type]]&amp;OutputTable[[#This Row],[Source]]</f>
        <v>Unnamed ProjectProcess 4 Number InNumber InProcess</v>
      </c>
      <c r="J663" cm="1">
        <f t="array" ref="J663">MAX(IF((ProjectInfoTable[ProjectName]=OutputTable[[#This Row],[ProjectName]]),(ProjectInfoTable[ProjectName]=OutputTable[[#This Row],[ProjectName]])*ProjectInfoTable[NumberOfReplications]))</f>
        <v>10</v>
      </c>
      <c r="K663" cm="1">
        <f t="array" ref="K663">IFERROR(AVERAGE(IF((OutputTable[GroupByKey]=OutputTable[[#This Row],[GroupByKey]]),(OutputTable[GroupByKey]=OutputTable[[#This Row],[GroupByKey]])*OutputTable[RecordedValue])),0)</f>
        <v>8235</v>
      </c>
      <c r="L663" cm="1">
        <f t="array" ref="L663">IFERROR(_xlfn.STDEV.S(IF((OutputTable[GroupByKey]=OutputTable[[#This Row],[GroupByKey]]),(OutputTable[GroupByKey]=OutputTable[[#This Row],[GroupByKey]])*OutputTable[RecordedValue])),0)</f>
        <v>6.5659052011974035</v>
      </c>
      <c r="M663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663" cm="1">
        <f t="array" ref="O663">MIN(IF((OutputTable[GroupByKey]=OutputTable[[#This Row],[GroupByKey]]),(OutputTable[GroupByKey]=OutputTable[[#This Row],[GroupByKey]])*OutputTable[RecordedValue]))</f>
        <v>8223</v>
      </c>
      <c r="P663" cm="1">
        <f t="array" ref="P663">MAX(IF((OutputTable[GroupByKey]=OutputTable[[#This Row],[GroupByKey]]),(OutputTable[GroupByKey]=OutputTable[[#This Row],[GroupByKey]])*OutputTable[RecordedValue]))</f>
        <v>8245</v>
      </c>
    </row>
    <row r="664" spans="1:16" x14ac:dyDescent="0.25">
      <c r="A664" t="s">
        <v>67</v>
      </c>
      <c r="B664" t="s">
        <v>243</v>
      </c>
      <c r="C664">
        <v>8</v>
      </c>
      <c r="D664" t="s">
        <v>216</v>
      </c>
      <c r="E664" t="s">
        <v>158</v>
      </c>
      <c r="F664" t="s">
        <v>87</v>
      </c>
      <c r="G664">
        <v>8231</v>
      </c>
      <c r="H664">
        <v>0</v>
      </c>
      <c r="I664" t="str">
        <f>OutputTable[[#This Row],[ProjectName]]&amp;OutputTable[[#This Row],[Name]]&amp;OutputTable[[#This Row],[Type]]&amp;OutputTable[[#This Row],[Source]]</f>
        <v>Unnamed ProjectProcess 4 Number OutNumber OutProcess</v>
      </c>
      <c r="J664" cm="1">
        <f t="array" ref="J664">MAX(IF((ProjectInfoTable[ProjectName]=OutputTable[[#This Row],[ProjectName]]),(ProjectInfoTable[ProjectName]=OutputTable[[#This Row],[ProjectName]])*ProjectInfoTable[NumberOfReplications]))</f>
        <v>10</v>
      </c>
      <c r="K664" cm="1">
        <f t="array" ref="K664">IFERROR(AVERAGE(IF((OutputTable[GroupByKey]=OutputTable[[#This Row],[GroupByKey]]),(OutputTable[GroupByKey]=OutputTable[[#This Row],[GroupByKey]])*OutputTable[RecordedValue])),0)</f>
        <v>8235</v>
      </c>
      <c r="L664" cm="1">
        <f t="array" ref="L664">IFERROR(_xlfn.STDEV.S(IF((OutputTable[GroupByKey]=OutputTable[[#This Row],[GroupByKey]]),(OutputTable[GroupByKey]=OutputTable[[#This Row],[GroupByKey]])*OutputTable[RecordedValue])),0)</f>
        <v>6.5659052011974035</v>
      </c>
      <c r="M664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664" cm="1">
        <f t="array" ref="O664">MIN(IF((OutputTable[GroupByKey]=OutputTable[[#This Row],[GroupByKey]]),(OutputTable[GroupByKey]=OutputTable[[#This Row],[GroupByKey]])*OutputTable[RecordedValue]))</f>
        <v>8223</v>
      </c>
      <c r="P664" cm="1">
        <f t="array" ref="P664">MAX(IF((OutputTable[GroupByKey]=OutputTable[[#This Row],[GroupByKey]]),(OutputTable[GroupByKey]=OutputTable[[#This Row],[GroupByKey]])*OutputTable[RecordedValue]))</f>
        <v>8245</v>
      </c>
    </row>
    <row r="665" spans="1:16" x14ac:dyDescent="0.25">
      <c r="A665" t="s">
        <v>67</v>
      </c>
      <c r="B665" t="s">
        <v>243</v>
      </c>
      <c r="C665">
        <v>8</v>
      </c>
      <c r="D665" t="s">
        <v>217</v>
      </c>
      <c r="E665" t="s">
        <v>202</v>
      </c>
      <c r="F665" t="s">
        <v>87</v>
      </c>
      <c r="G665">
        <v>82315.776912688598</v>
      </c>
      <c r="H665">
        <v>0</v>
      </c>
      <c r="I665" t="str">
        <f>OutputTable[[#This Row],[ProjectName]]&amp;OutputTable[[#This Row],[Name]]&amp;OutputTable[[#This Row],[Type]]&amp;OutputTable[[#This Row],[Source]]</f>
        <v>Unnamed ProjectProcess 5 Accum VA TimeAccum VA TimeProcess</v>
      </c>
      <c r="J665" cm="1">
        <f t="array" ref="J665">MAX(IF((ProjectInfoTable[ProjectName]=OutputTable[[#This Row],[ProjectName]]),(ProjectInfoTable[ProjectName]=OutputTable[[#This Row],[ProjectName]])*ProjectInfoTable[NumberOfReplications]))</f>
        <v>10</v>
      </c>
      <c r="K665" cm="1">
        <f t="array" ref="K665">IFERROR(AVERAGE(IF((OutputTable[GroupByKey]=OutputTable[[#This Row],[GroupByKey]]),(OutputTable[GroupByKey]=OutputTable[[#This Row],[GroupByKey]])*OutputTable[RecordedValue])),0)</f>
        <v>82354.925585571807</v>
      </c>
      <c r="L665" cm="1">
        <f t="array" ref="L665">IFERROR(_xlfn.STDEV.S(IF((OutputTable[GroupByKey]=OutputTable[[#This Row],[GroupByKey]]),(OutputTable[GroupByKey]=OutputTable[[#This Row],[GroupByKey]])*OutputTable[RecordedValue])),0)</f>
        <v>74.759806822996126</v>
      </c>
      <c r="M66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53.479944099863097</v>
      </c>
      <c r="O665" cm="1">
        <f t="array" ref="O665">MIN(IF((OutputTable[GroupByKey]=OutputTable[[#This Row],[GroupByKey]]),(OutputTable[GroupByKey]=OutputTable[[#This Row],[GroupByKey]])*OutputTable[RecordedValue]))</f>
        <v>82287.012858407106</v>
      </c>
      <c r="P665" cm="1">
        <f t="array" ref="P665">MAX(IF((OutputTable[GroupByKey]=OutputTable[[#This Row],[GroupByKey]]),(OutputTable[GroupByKey]=OutputTable[[#This Row],[GroupByKey]])*OutputTable[RecordedValue]))</f>
        <v>82509.9089339692</v>
      </c>
    </row>
    <row r="666" spans="1:16" x14ac:dyDescent="0.25">
      <c r="A666" t="s">
        <v>67</v>
      </c>
      <c r="B666" t="s">
        <v>243</v>
      </c>
      <c r="C666">
        <v>8</v>
      </c>
      <c r="D666" t="s">
        <v>218</v>
      </c>
      <c r="E666" t="s">
        <v>156</v>
      </c>
      <c r="F666" t="s">
        <v>87</v>
      </c>
      <c r="G666">
        <v>8229</v>
      </c>
      <c r="H666">
        <v>0</v>
      </c>
      <c r="I666" t="str">
        <f>OutputTable[[#This Row],[ProjectName]]&amp;OutputTable[[#This Row],[Name]]&amp;OutputTable[[#This Row],[Type]]&amp;OutputTable[[#This Row],[Source]]</f>
        <v>Unnamed ProjectProcess 5 Number InNumber InProcess</v>
      </c>
      <c r="J666" cm="1">
        <f t="array" ref="J666">MAX(IF((ProjectInfoTable[ProjectName]=OutputTable[[#This Row],[ProjectName]]),(ProjectInfoTable[ProjectName]=OutputTable[[#This Row],[ProjectName]])*ProjectInfoTable[NumberOfReplications]))</f>
        <v>10</v>
      </c>
      <c r="K666" cm="1">
        <f t="array" ref="K666">IFERROR(AVERAGE(IF((OutputTable[GroupByKey]=OutputTable[[#This Row],[GroupByKey]]),(OutputTable[GroupByKey]=OutputTable[[#This Row],[GroupByKey]])*OutputTable[RecordedValue])),0)</f>
        <v>8233.5</v>
      </c>
      <c r="L666" cm="1">
        <f t="array" ref="L666">IFERROR(_xlfn.STDEV.S(IF((OutputTable[GroupByKey]=OutputTable[[#This Row],[GroupByKey]]),(OutputTable[GroupByKey]=OutputTable[[#This Row],[GroupByKey]])*OutputTable[RecordedValue])),0)</f>
        <v>6.5021364010437201</v>
      </c>
      <c r="M666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666" cm="1">
        <f t="array" ref="O666">MIN(IF((OutputTable[GroupByKey]=OutputTable[[#This Row],[GroupByKey]]),(OutputTable[GroupByKey]=OutputTable[[#This Row],[GroupByKey]])*OutputTable[RecordedValue]))</f>
        <v>8221</v>
      </c>
      <c r="P666" cm="1">
        <f t="array" ref="P666">MAX(IF((OutputTable[GroupByKey]=OutputTable[[#This Row],[GroupByKey]]),(OutputTable[GroupByKey]=OutputTable[[#This Row],[GroupByKey]])*OutputTable[RecordedValue]))</f>
        <v>8243</v>
      </c>
    </row>
    <row r="667" spans="1:16" x14ac:dyDescent="0.25">
      <c r="A667" t="s">
        <v>67</v>
      </c>
      <c r="B667" t="s">
        <v>243</v>
      </c>
      <c r="C667">
        <v>8</v>
      </c>
      <c r="D667" t="s">
        <v>219</v>
      </c>
      <c r="E667" t="s">
        <v>158</v>
      </c>
      <c r="F667" t="s">
        <v>87</v>
      </c>
      <c r="G667">
        <v>8229</v>
      </c>
      <c r="H667">
        <v>0</v>
      </c>
      <c r="I667" t="str">
        <f>OutputTable[[#This Row],[ProjectName]]&amp;OutputTable[[#This Row],[Name]]&amp;OutputTable[[#This Row],[Type]]&amp;OutputTable[[#This Row],[Source]]</f>
        <v>Unnamed ProjectProcess 5 Number OutNumber OutProcess</v>
      </c>
      <c r="J667" cm="1">
        <f t="array" ref="J667">MAX(IF((ProjectInfoTable[ProjectName]=OutputTable[[#This Row],[ProjectName]]),(ProjectInfoTable[ProjectName]=OutputTable[[#This Row],[ProjectName]])*ProjectInfoTable[NumberOfReplications]))</f>
        <v>10</v>
      </c>
      <c r="K667" cm="1">
        <f t="array" ref="K667">IFERROR(AVERAGE(IF((OutputTable[GroupByKey]=OutputTable[[#This Row],[GroupByKey]]),(OutputTable[GroupByKey]=OutputTable[[#This Row],[GroupByKey]])*OutputTable[RecordedValue])),0)</f>
        <v>8233.5</v>
      </c>
      <c r="L667" cm="1">
        <f t="array" ref="L667">IFERROR(_xlfn.STDEV.S(IF((OutputTable[GroupByKey]=OutputTable[[#This Row],[GroupByKey]]),(OutputTable[GroupByKey]=OutputTable[[#This Row],[GroupByKey]])*OutputTable[RecordedValue])),0)</f>
        <v>6.5021364010437201</v>
      </c>
      <c r="M667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667" cm="1">
        <f t="array" ref="O667">MIN(IF((OutputTable[GroupByKey]=OutputTable[[#This Row],[GroupByKey]]),(OutputTable[GroupByKey]=OutputTable[[#This Row],[GroupByKey]])*OutputTable[RecordedValue]))</f>
        <v>8221</v>
      </c>
      <c r="P667" cm="1">
        <f t="array" ref="P667">MAX(IF((OutputTable[GroupByKey]=OutputTable[[#This Row],[GroupByKey]]),(OutputTable[GroupByKey]=OutputTable[[#This Row],[GroupByKey]])*OutputTable[RecordedValue]))</f>
        <v>8243</v>
      </c>
    </row>
    <row r="668" spans="1:16" x14ac:dyDescent="0.25">
      <c r="A668" t="s">
        <v>67</v>
      </c>
      <c r="B668" t="s">
        <v>243</v>
      </c>
      <c r="C668">
        <v>8</v>
      </c>
      <c r="D668" t="s">
        <v>220</v>
      </c>
      <c r="E668" t="s">
        <v>202</v>
      </c>
      <c r="F668" t="s">
        <v>87</v>
      </c>
      <c r="G668">
        <v>205625.98341924901</v>
      </c>
      <c r="H668">
        <v>0</v>
      </c>
      <c r="I668" t="str">
        <f>OutputTable[[#This Row],[ProjectName]]&amp;OutputTable[[#This Row],[Name]]&amp;OutputTable[[#This Row],[Type]]&amp;OutputTable[[#This Row],[Source]]</f>
        <v>Unnamed ProjectProcess 6 Accum VA TimeAccum VA TimeProcess</v>
      </c>
      <c r="J668" cm="1">
        <f t="array" ref="J668">MAX(IF((ProjectInfoTable[ProjectName]=OutputTable[[#This Row],[ProjectName]]),(ProjectInfoTable[ProjectName]=OutputTable[[#This Row],[ProjectName]])*ProjectInfoTable[NumberOfReplications]))</f>
        <v>10</v>
      </c>
      <c r="K668" cm="1">
        <f t="array" ref="K668">IFERROR(AVERAGE(IF((OutputTable[GroupByKey]=OutputTable[[#This Row],[GroupByKey]]),(OutputTable[GroupByKey]=OutputTable[[#This Row],[GroupByKey]])*OutputTable[RecordedValue])),0)</f>
        <v>205782.3721339902</v>
      </c>
      <c r="L668" cm="1">
        <f t="array" ref="L668">IFERROR(_xlfn.STDEV.S(IF((OutputTable[GroupByKey]=OutputTable[[#This Row],[GroupByKey]]),(OutputTable[GroupByKey]=OutputTable[[#This Row],[GroupByKey]])*OutputTable[RecordedValue])),0)</f>
        <v>135.17903819323379</v>
      </c>
      <c r="M668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96.701258514002035</v>
      </c>
      <c r="O668" cm="1">
        <f t="array" ref="O668">MIN(IF((OutputTable[GroupByKey]=OutputTable[[#This Row],[GroupByKey]]),(OutputTable[GroupByKey]=OutputTable[[#This Row],[GroupByKey]])*OutputTable[RecordedValue]))</f>
        <v>205554.00796082799</v>
      </c>
      <c r="P668" cm="1">
        <f t="array" ref="P668">MAX(IF((OutputTable[GroupByKey]=OutputTable[[#This Row],[GroupByKey]]),(OutputTable[GroupByKey]=OutputTable[[#This Row],[GroupByKey]])*OutputTable[RecordedValue]))</f>
        <v>205962.665291818</v>
      </c>
    </row>
    <row r="669" spans="1:16" x14ac:dyDescent="0.25">
      <c r="A669" t="s">
        <v>67</v>
      </c>
      <c r="B669" t="s">
        <v>243</v>
      </c>
      <c r="C669">
        <v>8</v>
      </c>
      <c r="D669" t="s">
        <v>221</v>
      </c>
      <c r="E669" t="s">
        <v>156</v>
      </c>
      <c r="F669" t="s">
        <v>87</v>
      </c>
      <c r="G669">
        <v>8227</v>
      </c>
      <c r="H669">
        <v>0</v>
      </c>
      <c r="I669" t="str">
        <f>OutputTable[[#This Row],[ProjectName]]&amp;OutputTable[[#This Row],[Name]]&amp;OutputTable[[#This Row],[Type]]&amp;OutputTable[[#This Row],[Source]]</f>
        <v>Unnamed ProjectProcess 6 Number InNumber InProcess</v>
      </c>
      <c r="J669" cm="1">
        <f t="array" ref="J669">MAX(IF((ProjectInfoTable[ProjectName]=OutputTable[[#This Row],[ProjectName]]),(ProjectInfoTable[ProjectName]=OutputTable[[#This Row],[ProjectName]])*ProjectInfoTable[NumberOfReplications]))</f>
        <v>10</v>
      </c>
      <c r="K669" cm="1">
        <f t="array" ref="K669">IFERROR(AVERAGE(IF((OutputTable[GroupByKey]=OutputTable[[#This Row],[GroupByKey]]),(OutputTable[GroupByKey]=OutputTable[[#This Row],[GroupByKey]])*OutputTable[RecordedValue])),0)</f>
        <v>8231.5</v>
      </c>
      <c r="L669" cm="1">
        <f t="array" ref="L669">IFERROR(_xlfn.STDEV.S(IF((OutputTable[GroupByKey]=OutputTable[[#This Row],[GroupByKey]]),(OutputTable[GroupByKey]=OutputTable[[#This Row],[GroupByKey]])*OutputTable[RecordedValue])),0)</f>
        <v>6.3464775882199236</v>
      </c>
      <c r="M669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669" cm="1">
        <f t="array" ref="O669">MIN(IF((OutputTable[GroupByKey]=OutputTable[[#This Row],[GroupByKey]]),(OutputTable[GroupByKey]=OutputTable[[#This Row],[GroupByKey]])*OutputTable[RecordedValue]))</f>
        <v>8220</v>
      </c>
      <c r="P669" cm="1">
        <f t="array" ref="P669">MAX(IF((OutputTable[GroupByKey]=OutputTable[[#This Row],[GroupByKey]]),(OutputTable[GroupByKey]=OutputTable[[#This Row],[GroupByKey]])*OutputTable[RecordedValue]))</f>
        <v>8241</v>
      </c>
    </row>
    <row r="670" spans="1:16" x14ac:dyDescent="0.25">
      <c r="A670" t="s">
        <v>67</v>
      </c>
      <c r="B670" t="s">
        <v>243</v>
      </c>
      <c r="C670">
        <v>8</v>
      </c>
      <c r="D670" t="s">
        <v>222</v>
      </c>
      <c r="E670" t="s">
        <v>158</v>
      </c>
      <c r="F670" t="s">
        <v>87</v>
      </c>
      <c r="G670">
        <v>8227</v>
      </c>
      <c r="H670">
        <v>0</v>
      </c>
      <c r="I670" t="str">
        <f>OutputTable[[#This Row],[ProjectName]]&amp;OutputTable[[#This Row],[Name]]&amp;OutputTable[[#This Row],[Type]]&amp;OutputTable[[#This Row],[Source]]</f>
        <v>Unnamed ProjectProcess 6 Number OutNumber OutProcess</v>
      </c>
      <c r="J670" cm="1">
        <f t="array" ref="J670">MAX(IF((ProjectInfoTable[ProjectName]=OutputTable[[#This Row],[ProjectName]]),(ProjectInfoTable[ProjectName]=OutputTable[[#This Row],[ProjectName]])*ProjectInfoTable[NumberOfReplications]))</f>
        <v>10</v>
      </c>
      <c r="K670" cm="1">
        <f t="array" ref="K670">IFERROR(AVERAGE(IF((OutputTable[GroupByKey]=OutputTable[[#This Row],[GroupByKey]]),(OutputTable[GroupByKey]=OutputTable[[#This Row],[GroupByKey]])*OutputTable[RecordedValue])),0)</f>
        <v>8231.5</v>
      </c>
      <c r="L670" cm="1">
        <f t="array" ref="L670">IFERROR(_xlfn.STDEV.S(IF((OutputTable[GroupByKey]=OutputTable[[#This Row],[GroupByKey]]),(OutputTable[GroupByKey]=OutputTable[[#This Row],[GroupByKey]])*OutputTable[RecordedValue])),0)</f>
        <v>6.3464775882199236</v>
      </c>
      <c r="M670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670" cm="1">
        <f t="array" ref="O670">MIN(IF((OutputTable[GroupByKey]=OutputTable[[#This Row],[GroupByKey]]),(OutputTable[GroupByKey]=OutputTable[[#This Row],[GroupByKey]])*OutputTable[RecordedValue]))</f>
        <v>8220</v>
      </c>
      <c r="P670" cm="1">
        <f t="array" ref="P670">MAX(IF((OutputTable[GroupByKey]=OutputTable[[#This Row],[GroupByKey]]),(OutputTable[GroupByKey]=OutputTable[[#This Row],[GroupByKey]])*OutputTable[RecordedValue]))</f>
        <v>8241</v>
      </c>
    </row>
    <row r="671" spans="1:16" x14ac:dyDescent="0.25">
      <c r="A671" t="s">
        <v>67</v>
      </c>
      <c r="B671" t="s">
        <v>243</v>
      </c>
      <c r="C671">
        <v>8</v>
      </c>
      <c r="D671" t="s">
        <v>223</v>
      </c>
      <c r="E671" t="s">
        <v>202</v>
      </c>
      <c r="F671" t="s">
        <v>87</v>
      </c>
      <c r="G671">
        <v>98617.744501525507</v>
      </c>
      <c r="H671">
        <v>0</v>
      </c>
      <c r="I671" t="str">
        <f>OutputTable[[#This Row],[ProjectName]]&amp;OutputTable[[#This Row],[Name]]&amp;OutputTable[[#This Row],[Type]]&amp;OutputTable[[#This Row],[Source]]</f>
        <v>Unnamed ProjectProcess 7 Accum VA TimeAccum VA TimeProcess</v>
      </c>
      <c r="J671" cm="1">
        <f t="array" ref="J671">MAX(IF((ProjectInfoTable[ProjectName]=OutputTable[[#This Row],[ProjectName]]),(ProjectInfoTable[ProjectName]=OutputTable[[#This Row],[ProjectName]])*ProjectInfoTable[NumberOfReplications]))</f>
        <v>10</v>
      </c>
      <c r="K671" cm="1">
        <f t="array" ref="K671">IFERROR(AVERAGE(IF((OutputTable[GroupByKey]=OutputTable[[#This Row],[GroupByKey]]),(OutputTable[GroupByKey]=OutputTable[[#This Row],[GroupByKey]])*OutputTable[RecordedValue])),0)</f>
        <v>98625.180720296266</v>
      </c>
      <c r="L671" cm="1">
        <f t="array" ref="L671">IFERROR(_xlfn.STDEV.S(IF((OutputTable[GroupByKey]=OutputTable[[#This Row],[GroupByKey]]),(OutputTable[GroupByKey]=OutputTable[[#This Row],[GroupByKey]])*OutputTable[RecordedValue])),0)</f>
        <v>166.97558012409817</v>
      </c>
      <c r="M671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119.44713437023168</v>
      </c>
      <c r="O671" cm="1">
        <f t="array" ref="O671">MIN(IF((OutputTable[GroupByKey]=OutputTable[[#This Row],[GroupByKey]]),(OutputTable[GroupByKey]=OutputTable[[#This Row],[GroupByKey]])*OutputTable[RecordedValue]))</f>
        <v>98434.330991768598</v>
      </c>
      <c r="P671" cm="1">
        <f t="array" ref="P671">MAX(IF((OutputTable[GroupByKey]=OutputTable[[#This Row],[GroupByKey]]),(OutputTable[GroupByKey]=OutputTable[[#This Row],[GroupByKey]])*OutputTable[RecordedValue]))</f>
        <v>98993.883345143302</v>
      </c>
    </row>
    <row r="672" spans="1:16" x14ac:dyDescent="0.25">
      <c r="A672" t="s">
        <v>67</v>
      </c>
      <c r="B672" t="s">
        <v>243</v>
      </c>
      <c r="C672">
        <v>8</v>
      </c>
      <c r="D672" t="s">
        <v>224</v>
      </c>
      <c r="E672" t="s">
        <v>156</v>
      </c>
      <c r="F672" t="s">
        <v>87</v>
      </c>
      <c r="G672">
        <v>8223</v>
      </c>
      <c r="H672">
        <v>0</v>
      </c>
      <c r="I672" t="str">
        <f>OutputTable[[#This Row],[ProjectName]]&amp;OutputTable[[#This Row],[Name]]&amp;OutputTable[[#This Row],[Type]]&amp;OutputTable[[#This Row],[Source]]</f>
        <v>Unnamed ProjectProcess 7 Number InNumber InProcess</v>
      </c>
      <c r="J672" cm="1">
        <f t="array" ref="J672">MAX(IF((ProjectInfoTable[ProjectName]=OutputTable[[#This Row],[ProjectName]]),(ProjectInfoTable[ProjectName]=OutputTable[[#This Row],[ProjectName]])*ProjectInfoTable[NumberOfReplications]))</f>
        <v>10</v>
      </c>
      <c r="K672" cm="1">
        <f t="array" ref="K672">IFERROR(AVERAGE(IF((OutputTable[GroupByKey]=OutputTable[[#This Row],[GroupByKey]]),(OutputTable[GroupByKey]=OutputTable[[#This Row],[GroupByKey]])*OutputTable[RecordedValue])),0)</f>
        <v>8227.7000000000007</v>
      </c>
      <c r="L672" cm="1">
        <f t="array" ref="L672">IFERROR(_xlfn.STDEV.S(IF((OutputTable[GroupByKey]=OutputTable[[#This Row],[GroupByKey]]),(OutputTable[GroupByKey]=OutputTable[[#This Row],[GroupByKey]])*OutputTable[RecordedValue])),0)</f>
        <v>6.2902040242480748</v>
      </c>
      <c r="M672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672" cm="1">
        <f t="array" ref="O672">MIN(IF((OutputTable[GroupByKey]=OutputTable[[#This Row],[GroupByKey]]),(OutputTable[GroupByKey]=OutputTable[[#This Row],[GroupByKey]])*OutputTable[RecordedValue]))</f>
        <v>8216</v>
      </c>
      <c r="P672" cm="1">
        <f t="array" ref="P672">MAX(IF((OutputTable[GroupByKey]=OutputTable[[#This Row],[GroupByKey]]),(OutputTable[GroupByKey]=OutputTable[[#This Row],[GroupByKey]])*OutputTable[RecordedValue]))</f>
        <v>8237</v>
      </c>
    </row>
    <row r="673" spans="1:16" x14ac:dyDescent="0.25">
      <c r="A673" t="s">
        <v>67</v>
      </c>
      <c r="B673" t="s">
        <v>243</v>
      </c>
      <c r="C673">
        <v>8</v>
      </c>
      <c r="D673" t="s">
        <v>225</v>
      </c>
      <c r="E673" t="s">
        <v>158</v>
      </c>
      <c r="F673" t="s">
        <v>87</v>
      </c>
      <c r="G673">
        <v>8223</v>
      </c>
      <c r="H673">
        <v>0</v>
      </c>
      <c r="I673" t="str">
        <f>OutputTable[[#This Row],[ProjectName]]&amp;OutputTable[[#This Row],[Name]]&amp;OutputTable[[#This Row],[Type]]&amp;OutputTable[[#This Row],[Source]]</f>
        <v>Unnamed ProjectProcess 7 Number OutNumber OutProcess</v>
      </c>
      <c r="J673" cm="1">
        <f t="array" ref="J673">MAX(IF((ProjectInfoTable[ProjectName]=OutputTable[[#This Row],[ProjectName]]),(ProjectInfoTable[ProjectName]=OutputTable[[#This Row],[ProjectName]])*ProjectInfoTable[NumberOfReplications]))</f>
        <v>10</v>
      </c>
      <c r="K673" cm="1">
        <f t="array" ref="K673">IFERROR(AVERAGE(IF((OutputTable[GroupByKey]=OutputTable[[#This Row],[GroupByKey]]),(OutputTable[GroupByKey]=OutputTable[[#This Row],[GroupByKey]])*OutputTable[RecordedValue])),0)</f>
        <v>8227.7000000000007</v>
      </c>
      <c r="L673" cm="1">
        <f t="array" ref="L673">IFERROR(_xlfn.STDEV.S(IF((OutputTable[GroupByKey]=OutputTable[[#This Row],[GroupByKey]]),(OutputTable[GroupByKey]=OutputTable[[#This Row],[GroupByKey]])*OutputTable[RecordedValue])),0)</f>
        <v>6.2902040242480748</v>
      </c>
      <c r="M673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673" cm="1">
        <f t="array" ref="O673">MIN(IF((OutputTable[GroupByKey]=OutputTable[[#This Row],[GroupByKey]]),(OutputTable[GroupByKey]=OutputTable[[#This Row],[GroupByKey]])*OutputTable[RecordedValue]))</f>
        <v>8216</v>
      </c>
      <c r="P673" cm="1">
        <f t="array" ref="P673">MAX(IF((OutputTable[GroupByKey]=OutputTable[[#This Row],[GroupByKey]]),(OutputTable[GroupByKey]=OutputTable[[#This Row],[GroupByKey]])*OutputTable[RecordedValue]))</f>
        <v>8237</v>
      </c>
    </row>
    <row r="674" spans="1:16" x14ac:dyDescent="0.25">
      <c r="A674" t="s">
        <v>67</v>
      </c>
      <c r="B674" t="s">
        <v>243</v>
      </c>
      <c r="C674">
        <v>8</v>
      </c>
      <c r="D674" t="s">
        <v>226</v>
      </c>
      <c r="E674" t="s">
        <v>202</v>
      </c>
      <c r="F674" t="s">
        <v>87</v>
      </c>
      <c r="G674">
        <v>91671.096702544004</v>
      </c>
      <c r="H674">
        <v>0</v>
      </c>
      <c r="I674" t="str">
        <f>OutputTable[[#This Row],[ProjectName]]&amp;OutputTable[[#This Row],[Name]]&amp;OutputTable[[#This Row],[Type]]&amp;OutputTable[[#This Row],[Source]]</f>
        <v>Unnamed ProjectProcess 8 Accum VA TimeAccum VA TimeProcess</v>
      </c>
      <c r="J674" cm="1">
        <f t="array" ref="J674">MAX(IF((ProjectInfoTable[ProjectName]=OutputTable[[#This Row],[ProjectName]]),(ProjectInfoTable[ProjectName]=OutputTable[[#This Row],[ProjectName]])*ProjectInfoTable[NumberOfReplications]))</f>
        <v>10</v>
      </c>
      <c r="K674" cm="1">
        <f t="array" ref="K674">IFERROR(AVERAGE(IF((OutputTable[GroupByKey]=OutputTable[[#This Row],[GroupByKey]]),(OutputTable[GroupByKey]=OutputTable[[#This Row],[GroupByKey]])*OutputTable[RecordedValue])),0)</f>
        <v>91917.034029149756</v>
      </c>
      <c r="L674" cm="1">
        <f t="array" ref="L674">IFERROR(_xlfn.STDEV.S(IF((OutputTable[GroupByKey]=OutputTable[[#This Row],[GroupByKey]]),(OutputTable[GroupByKey]=OutputTable[[#This Row],[GroupByKey]])*OutputTable[RecordedValue])),0)</f>
        <v>167.33037075092571</v>
      </c>
      <c r="M674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119.70093629530641</v>
      </c>
      <c r="O674" cm="1">
        <f t="array" ref="O674">MIN(IF((OutputTable[GroupByKey]=OutputTable[[#This Row],[GroupByKey]]),(OutputTable[GroupByKey]=OutputTable[[#This Row],[GroupByKey]])*OutputTable[RecordedValue]))</f>
        <v>91632.276670136605</v>
      </c>
      <c r="P674" cm="1">
        <f t="array" ref="P674">MAX(IF((OutputTable[GroupByKey]=OutputTable[[#This Row],[GroupByKey]]),(OutputTable[GroupByKey]=OutputTable[[#This Row],[GroupByKey]])*OutputTable[RecordedValue]))</f>
        <v>92162.594279262106</v>
      </c>
    </row>
    <row r="675" spans="1:16" x14ac:dyDescent="0.25">
      <c r="A675" t="s">
        <v>67</v>
      </c>
      <c r="B675" t="s">
        <v>243</v>
      </c>
      <c r="C675">
        <v>8</v>
      </c>
      <c r="D675" t="s">
        <v>227</v>
      </c>
      <c r="E675" t="s">
        <v>156</v>
      </c>
      <c r="F675" t="s">
        <v>87</v>
      </c>
      <c r="G675">
        <v>18377</v>
      </c>
      <c r="H675">
        <v>0</v>
      </c>
      <c r="I675" t="str">
        <f>OutputTable[[#This Row],[ProjectName]]&amp;OutputTable[[#This Row],[Name]]&amp;OutputTable[[#This Row],[Type]]&amp;OutputTable[[#This Row],[Source]]</f>
        <v>Unnamed ProjectProcess 8 Number InNumber InProcess</v>
      </c>
      <c r="J675" cm="1">
        <f t="array" ref="J675">MAX(IF((ProjectInfoTable[ProjectName]=OutputTable[[#This Row],[ProjectName]]),(ProjectInfoTable[ProjectName]=OutputTable[[#This Row],[ProjectName]])*ProjectInfoTable[NumberOfReplications]))</f>
        <v>10</v>
      </c>
      <c r="K675" cm="1">
        <f t="array" ref="K675">IFERROR(AVERAGE(IF((OutputTable[GroupByKey]=OutputTable[[#This Row],[GroupByKey]]),(OutputTable[GroupByKey]=OutputTable[[#This Row],[GroupByKey]])*OutputTable[RecordedValue])),0)</f>
        <v>18392</v>
      </c>
      <c r="L675" cm="1">
        <f t="array" ref="L675">IFERROR(_xlfn.STDEV.S(IF((OutputTable[GroupByKey]=OutputTable[[#This Row],[GroupByKey]]),(OutputTable[GroupByKey]=OutputTable[[#This Row],[GroupByKey]])*OutputTable[RecordedValue])),0)</f>
        <v>12.884098726725126</v>
      </c>
      <c r="M67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675" cm="1">
        <f t="array" ref="O675">MIN(IF((OutputTable[GroupByKey]=OutputTable[[#This Row],[GroupByKey]]),(OutputTable[GroupByKey]=OutputTable[[#This Row],[GroupByKey]])*OutputTable[RecordedValue]))</f>
        <v>18376</v>
      </c>
      <c r="P675" cm="1">
        <f t="array" ref="P675">MAX(IF((OutputTable[GroupByKey]=OutputTable[[#This Row],[GroupByKey]]),(OutputTable[GroupByKey]=OutputTable[[#This Row],[GroupByKey]])*OutputTable[RecordedValue]))</f>
        <v>18407</v>
      </c>
    </row>
    <row r="676" spans="1:16" x14ac:dyDescent="0.25">
      <c r="A676" t="s">
        <v>67</v>
      </c>
      <c r="B676" t="s">
        <v>243</v>
      </c>
      <c r="C676">
        <v>8</v>
      </c>
      <c r="D676" t="s">
        <v>228</v>
      </c>
      <c r="E676" t="s">
        <v>158</v>
      </c>
      <c r="F676" t="s">
        <v>87</v>
      </c>
      <c r="G676">
        <v>18377</v>
      </c>
      <c r="H676">
        <v>0</v>
      </c>
      <c r="I676" t="str">
        <f>OutputTable[[#This Row],[ProjectName]]&amp;OutputTable[[#This Row],[Name]]&amp;OutputTable[[#This Row],[Type]]&amp;OutputTable[[#This Row],[Source]]</f>
        <v>Unnamed ProjectProcess 8 Number OutNumber OutProcess</v>
      </c>
      <c r="J676" cm="1">
        <f t="array" ref="J676">MAX(IF((ProjectInfoTable[ProjectName]=OutputTable[[#This Row],[ProjectName]]),(ProjectInfoTable[ProjectName]=OutputTable[[#This Row],[ProjectName]])*ProjectInfoTable[NumberOfReplications]))</f>
        <v>10</v>
      </c>
      <c r="K676" cm="1">
        <f t="array" ref="K676">IFERROR(AVERAGE(IF((OutputTable[GroupByKey]=OutputTable[[#This Row],[GroupByKey]]),(OutputTable[GroupByKey]=OutputTable[[#This Row],[GroupByKey]])*OutputTable[RecordedValue])),0)</f>
        <v>18392</v>
      </c>
      <c r="L676" cm="1">
        <f t="array" ref="L676">IFERROR(_xlfn.STDEV.S(IF((OutputTable[GroupByKey]=OutputTable[[#This Row],[GroupByKey]]),(OutputTable[GroupByKey]=OutputTable[[#This Row],[GroupByKey]])*OutputTable[RecordedValue])),0)</f>
        <v>12.884098726725126</v>
      </c>
      <c r="M676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676" cm="1">
        <f t="array" ref="O676">MIN(IF((OutputTable[GroupByKey]=OutputTable[[#This Row],[GroupByKey]]),(OutputTable[GroupByKey]=OutputTable[[#This Row],[GroupByKey]])*OutputTable[RecordedValue]))</f>
        <v>18376</v>
      </c>
      <c r="P676" cm="1">
        <f t="array" ref="P676">MAX(IF((OutputTable[GroupByKey]=OutputTable[[#This Row],[GroupByKey]]),(OutputTable[GroupByKey]=OutputTable[[#This Row],[GroupByKey]])*OutputTable[RecordedValue]))</f>
        <v>18407</v>
      </c>
    </row>
    <row r="677" spans="1:16" x14ac:dyDescent="0.25">
      <c r="A677" t="s">
        <v>67</v>
      </c>
      <c r="B677" t="s">
        <v>243</v>
      </c>
      <c r="C677">
        <v>8</v>
      </c>
      <c r="D677" t="s">
        <v>229</v>
      </c>
      <c r="E677" t="s">
        <v>202</v>
      </c>
      <c r="F677" t="s">
        <v>87</v>
      </c>
      <c r="G677">
        <v>104125.909991159</v>
      </c>
      <c r="H677">
        <v>0</v>
      </c>
      <c r="I677" t="str">
        <f>OutputTable[[#This Row],[ProjectName]]&amp;OutputTable[[#This Row],[Name]]&amp;OutputTable[[#This Row],[Type]]&amp;OutputTable[[#This Row],[Source]]</f>
        <v>Unnamed ProjectProcess 9 Accum VA TimeAccum VA TimeProcess</v>
      </c>
      <c r="J677" cm="1">
        <f t="array" ref="J677">MAX(IF((ProjectInfoTable[ProjectName]=OutputTable[[#This Row],[ProjectName]]),(ProjectInfoTable[ProjectName]=OutputTable[[#This Row],[ProjectName]])*ProjectInfoTable[NumberOfReplications]))</f>
        <v>10</v>
      </c>
      <c r="K677" cm="1">
        <f t="array" ref="K677">IFERROR(AVERAGE(IF((OutputTable[GroupByKey]=OutputTable[[#This Row],[GroupByKey]]),(OutputTable[GroupByKey]=OutputTable[[#This Row],[GroupByKey]])*OutputTable[RecordedValue])),0)</f>
        <v>104198.44406523299</v>
      </c>
      <c r="L677" cm="1">
        <f t="array" ref="L677">IFERROR(_xlfn.STDEV.S(IF((OutputTable[GroupByKey]=OutputTable[[#This Row],[GroupByKey]]),(OutputTable[GroupByKey]=OutputTable[[#This Row],[GroupByKey]])*OutputTable[RecordedValue])),0)</f>
        <v>99.045608472383734</v>
      </c>
      <c r="M677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70.852960026786278</v>
      </c>
      <c r="O677" cm="1">
        <f t="array" ref="O677">MIN(IF((OutputTable[GroupByKey]=OutputTable[[#This Row],[GroupByKey]]),(OutputTable[GroupByKey]=OutputTable[[#This Row],[GroupByKey]])*OutputTable[RecordedValue]))</f>
        <v>104039.320720244</v>
      </c>
      <c r="P677" cm="1">
        <f t="array" ref="P677">MAX(IF((OutputTable[GroupByKey]=OutputTable[[#This Row],[GroupByKey]]),(OutputTable[GroupByKey]=OutputTable[[#This Row],[GroupByKey]])*OutputTable[RecordedValue]))</f>
        <v>104335.096217932</v>
      </c>
    </row>
    <row r="678" spans="1:16" x14ac:dyDescent="0.25">
      <c r="A678" t="s">
        <v>67</v>
      </c>
      <c r="B678" t="s">
        <v>243</v>
      </c>
      <c r="C678">
        <v>8</v>
      </c>
      <c r="D678" t="s">
        <v>230</v>
      </c>
      <c r="E678" t="s">
        <v>156</v>
      </c>
      <c r="F678" t="s">
        <v>87</v>
      </c>
      <c r="G678">
        <v>18377</v>
      </c>
      <c r="H678">
        <v>0</v>
      </c>
      <c r="I678" t="str">
        <f>OutputTable[[#This Row],[ProjectName]]&amp;OutputTable[[#This Row],[Name]]&amp;OutputTable[[#This Row],[Type]]&amp;OutputTable[[#This Row],[Source]]</f>
        <v>Unnamed ProjectProcess 9 Number InNumber InProcess</v>
      </c>
      <c r="J678" cm="1">
        <f t="array" ref="J678">MAX(IF((ProjectInfoTable[ProjectName]=OutputTable[[#This Row],[ProjectName]]),(ProjectInfoTable[ProjectName]=OutputTable[[#This Row],[ProjectName]])*ProjectInfoTable[NumberOfReplications]))</f>
        <v>10</v>
      </c>
      <c r="K678" cm="1">
        <f t="array" ref="K678">IFERROR(AVERAGE(IF((OutputTable[GroupByKey]=OutputTable[[#This Row],[GroupByKey]]),(OutputTable[GroupByKey]=OutputTable[[#This Row],[GroupByKey]])*OutputTable[RecordedValue])),0)</f>
        <v>18389.400000000001</v>
      </c>
      <c r="L678" cm="1">
        <f t="array" ref="L678">IFERROR(_xlfn.STDEV.S(IF((OutputTable[GroupByKey]=OutputTable[[#This Row],[GroupByKey]]),(OutputTable[GroupByKey]=OutputTable[[#This Row],[GroupByKey]])*OutputTable[RecordedValue])),0)</f>
        <v>12.103259432437566</v>
      </c>
      <c r="M678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678" cm="1">
        <f t="array" ref="O678">MIN(IF((OutputTable[GroupByKey]=OutputTable[[#This Row],[GroupByKey]]),(OutputTable[GroupByKey]=OutputTable[[#This Row],[GroupByKey]])*OutputTable[RecordedValue]))</f>
        <v>18376</v>
      </c>
      <c r="P678" cm="1">
        <f t="array" ref="P678">MAX(IF((OutputTable[GroupByKey]=OutputTable[[#This Row],[GroupByKey]]),(OutputTable[GroupByKey]=OutputTable[[#This Row],[GroupByKey]])*OutputTable[RecordedValue]))</f>
        <v>18404</v>
      </c>
    </row>
    <row r="679" spans="1:16" x14ac:dyDescent="0.25">
      <c r="A679" t="s">
        <v>67</v>
      </c>
      <c r="B679" t="s">
        <v>243</v>
      </c>
      <c r="C679">
        <v>8</v>
      </c>
      <c r="D679" t="s">
        <v>231</v>
      </c>
      <c r="E679" t="s">
        <v>158</v>
      </c>
      <c r="F679" t="s">
        <v>87</v>
      </c>
      <c r="G679">
        <v>18377</v>
      </c>
      <c r="H679">
        <v>0</v>
      </c>
      <c r="I679" t="str">
        <f>OutputTable[[#This Row],[ProjectName]]&amp;OutputTable[[#This Row],[Name]]&amp;OutputTable[[#This Row],[Type]]&amp;OutputTable[[#This Row],[Source]]</f>
        <v>Unnamed ProjectProcess 9 Number OutNumber OutProcess</v>
      </c>
      <c r="J679" cm="1">
        <f t="array" ref="J679">MAX(IF((ProjectInfoTable[ProjectName]=OutputTable[[#This Row],[ProjectName]]),(ProjectInfoTable[ProjectName]=OutputTable[[#This Row],[ProjectName]])*ProjectInfoTable[NumberOfReplications]))</f>
        <v>10</v>
      </c>
      <c r="K679" cm="1">
        <f t="array" ref="K679">IFERROR(AVERAGE(IF((OutputTable[GroupByKey]=OutputTable[[#This Row],[GroupByKey]]),(OutputTable[GroupByKey]=OutputTable[[#This Row],[GroupByKey]])*OutputTable[RecordedValue])),0)</f>
        <v>18389.400000000001</v>
      </c>
      <c r="L679" cm="1">
        <f t="array" ref="L679">IFERROR(_xlfn.STDEV.S(IF((OutputTable[GroupByKey]=OutputTable[[#This Row],[GroupByKey]]),(OutputTable[GroupByKey]=OutputTable[[#This Row],[GroupByKey]])*OutputTable[RecordedValue])),0)</f>
        <v>12.103259432437566</v>
      </c>
      <c r="M679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679" cm="1">
        <f t="array" ref="O679">MIN(IF((OutputTable[GroupByKey]=OutputTable[[#This Row],[GroupByKey]]),(OutputTable[GroupByKey]=OutputTable[[#This Row],[GroupByKey]])*OutputTable[RecordedValue]))</f>
        <v>18376</v>
      </c>
      <c r="P679" cm="1">
        <f t="array" ref="P679">MAX(IF((OutputTable[GroupByKey]=OutputTable[[#This Row],[GroupByKey]]),(OutputTable[GroupByKey]=OutputTable[[#This Row],[GroupByKey]])*OutputTable[RecordedValue]))</f>
        <v>18404</v>
      </c>
    </row>
    <row r="680" spans="1:16" x14ac:dyDescent="0.25">
      <c r="A680" t="s">
        <v>67</v>
      </c>
      <c r="B680" t="s">
        <v>243</v>
      </c>
      <c r="C680">
        <v>8</v>
      </c>
      <c r="D680" t="s">
        <v>232</v>
      </c>
      <c r="E680" t="s">
        <v>152</v>
      </c>
      <c r="F680" t="s">
        <v>113</v>
      </c>
      <c r="G680">
        <v>0</v>
      </c>
      <c r="H680">
        <v>0</v>
      </c>
      <c r="I680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680" cm="1">
        <f t="array" ref="J680">MAX(IF((ProjectInfoTable[ProjectName]=OutputTable[[#This Row],[ProjectName]]),(ProjectInfoTable[ProjectName]=OutputTable[[#This Row],[ProjectName]])*ProjectInfoTable[NumberOfReplications]))</f>
        <v>10</v>
      </c>
      <c r="K680" cm="1">
        <f t="array" ref="K680">IFERROR(AVERAGE(IF((OutputTable[GroupByKey]=OutputTable[[#This Row],[GroupByKey]]),(OutputTable[GroupByKey]=OutputTable[[#This Row],[GroupByKey]])*OutputTable[RecordedValue])),0)</f>
        <v>0</v>
      </c>
      <c r="L680" cm="1">
        <f t="array" ref="L680">IFERROR(_xlfn.STDEV.S(IF((OutputTable[GroupByKey]=OutputTable[[#This Row],[GroupByKey]]),(OutputTable[GroupByKey]=OutputTable[[#This Row],[GroupByKey]])*OutputTable[RecordedValue])),0)</f>
        <v>0</v>
      </c>
      <c r="M680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0" cm="1">
        <f t="array" ref="O680">MIN(IF((OutputTable[GroupByKey]=OutputTable[[#This Row],[GroupByKey]]),(OutputTable[GroupByKey]=OutputTable[[#This Row],[GroupByKey]])*OutputTable[RecordedValue]))</f>
        <v>0</v>
      </c>
      <c r="P680" cm="1">
        <f t="array" ref="P680">MAX(IF((OutputTable[GroupByKey]=OutputTable[[#This Row],[GroupByKey]]),(OutputTable[GroupByKey]=OutputTable[[#This Row],[GroupByKey]])*OutputTable[RecordedValue]))</f>
        <v>0</v>
      </c>
    </row>
    <row r="681" spans="1:16" x14ac:dyDescent="0.25">
      <c r="A681" t="s">
        <v>67</v>
      </c>
      <c r="B681" t="s">
        <v>243</v>
      </c>
      <c r="C681">
        <v>8</v>
      </c>
      <c r="D681" t="s">
        <v>233</v>
      </c>
      <c r="E681" t="s">
        <v>154</v>
      </c>
      <c r="F681" t="s">
        <v>113</v>
      </c>
      <c r="G681">
        <v>0</v>
      </c>
      <c r="H681">
        <v>0</v>
      </c>
      <c r="I681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681" cm="1">
        <f t="array" ref="J681">MAX(IF((ProjectInfoTable[ProjectName]=OutputTable[[#This Row],[ProjectName]]),(ProjectInfoTable[ProjectName]=OutputTable[[#This Row],[ProjectName]])*ProjectInfoTable[NumberOfReplications]))</f>
        <v>10</v>
      </c>
      <c r="K681" cm="1">
        <f t="array" ref="K681">IFERROR(AVERAGE(IF((OutputTable[GroupByKey]=OutputTable[[#This Row],[GroupByKey]]),(OutputTable[GroupByKey]=OutputTable[[#This Row],[GroupByKey]])*OutputTable[RecordedValue])),0)</f>
        <v>0</v>
      </c>
      <c r="L681" cm="1">
        <f t="array" ref="L681">IFERROR(_xlfn.STDEV.S(IF((OutputTable[GroupByKey]=OutputTable[[#This Row],[GroupByKey]]),(OutputTable[GroupByKey]=OutputTable[[#This Row],[GroupByKey]])*OutputTable[RecordedValue])),0)</f>
        <v>0</v>
      </c>
      <c r="M681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1" cm="1">
        <f t="array" ref="O681">MIN(IF((OutputTable[GroupByKey]=OutputTable[[#This Row],[GroupByKey]]),(OutputTable[GroupByKey]=OutputTable[[#This Row],[GroupByKey]])*OutputTable[RecordedValue]))</f>
        <v>0</v>
      </c>
      <c r="P681" cm="1">
        <f t="array" ref="P681">MAX(IF((OutputTable[GroupByKey]=OutputTable[[#This Row],[GroupByKey]]),(OutputTable[GroupByKey]=OutputTable[[#This Row],[GroupByKey]])*OutputTable[RecordedValue]))</f>
        <v>0</v>
      </c>
    </row>
    <row r="682" spans="1:16" x14ac:dyDescent="0.25">
      <c r="A682" t="s">
        <v>67</v>
      </c>
      <c r="B682" t="s">
        <v>243</v>
      </c>
      <c r="C682">
        <v>8</v>
      </c>
      <c r="D682" t="s">
        <v>234</v>
      </c>
      <c r="E682" t="s">
        <v>152</v>
      </c>
      <c r="F682" t="s">
        <v>113</v>
      </c>
      <c r="G682">
        <v>117</v>
      </c>
      <c r="H682">
        <v>0</v>
      </c>
      <c r="I682" t="str">
        <f>OutputTable[[#This Row],[ProjectName]]&amp;OutputTable[[#This Row],[Name]]&amp;OutputTable[[#This Row],[Type]]&amp;OutputTable[[#This Row],[Source]]</f>
        <v>Unnamed ProjectSales Rep.NumberSeizedTotal Number SeizedResource</v>
      </c>
      <c r="J682" cm="1">
        <f t="array" ref="J682">MAX(IF((ProjectInfoTable[ProjectName]=OutputTable[[#This Row],[ProjectName]]),(ProjectInfoTable[ProjectName]=OutputTable[[#This Row],[ProjectName]])*ProjectInfoTable[NumberOfReplications]))</f>
        <v>10</v>
      </c>
      <c r="K682" cm="1">
        <f t="array" ref="K682">IFERROR(AVERAGE(IF((OutputTable[GroupByKey]=OutputTable[[#This Row],[GroupByKey]]),(OutputTable[GroupByKey]=OutputTable[[#This Row],[GroupByKey]])*OutputTable[RecordedValue])),0)</f>
        <v>118.7</v>
      </c>
      <c r="L682" cm="1">
        <f t="array" ref="L682">IFERROR(_xlfn.STDEV.S(IF((OutputTable[GroupByKey]=OutputTable[[#This Row],[GroupByKey]]),(OutputTable[GroupByKey]=OutputTable[[#This Row],[GroupByKey]])*OutputTable[RecordedValue])),0)</f>
        <v>12.587913073879887</v>
      </c>
      <c r="M682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682" cm="1">
        <f t="array" ref="O682">MIN(IF((OutputTable[GroupByKey]=OutputTable[[#This Row],[GroupByKey]]),(OutputTable[GroupByKey]=OutputTable[[#This Row],[GroupByKey]])*OutputTable[RecordedValue]))</f>
        <v>95</v>
      </c>
      <c r="P682" cm="1">
        <f t="array" ref="P682">MAX(IF((OutputTable[GroupByKey]=OutputTable[[#This Row],[GroupByKey]]),(OutputTable[GroupByKey]=OutputTable[[#This Row],[GroupByKey]])*OutputTable[RecordedValue]))</f>
        <v>141</v>
      </c>
    </row>
    <row r="683" spans="1:16" x14ac:dyDescent="0.25">
      <c r="A683" t="s">
        <v>67</v>
      </c>
      <c r="B683" t="s">
        <v>243</v>
      </c>
      <c r="C683">
        <v>8</v>
      </c>
      <c r="D683" t="s">
        <v>235</v>
      </c>
      <c r="E683" t="s">
        <v>154</v>
      </c>
      <c r="F683" t="s">
        <v>113</v>
      </c>
      <c r="G683">
        <v>0.32285820207833499</v>
      </c>
      <c r="H683">
        <v>0</v>
      </c>
      <c r="I683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683" cm="1">
        <f t="array" ref="J683">MAX(IF((ProjectInfoTable[ProjectName]=OutputTable[[#This Row],[ProjectName]]),(ProjectInfoTable[ProjectName]=OutputTable[[#This Row],[ProjectName]])*ProjectInfoTable[NumberOfReplications]))</f>
        <v>10</v>
      </c>
      <c r="K683" cm="1">
        <f t="array" ref="K683">IFERROR(AVERAGE(IF((OutputTable[GroupByKey]=OutputTable[[#This Row],[GroupByKey]]),(OutputTable[GroupByKey]=OutputTable[[#This Row],[GroupByKey]])*OutputTable[RecordedValue])),0)</f>
        <v>0.3273551167875815</v>
      </c>
      <c r="L683" cm="1">
        <f t="array" ref="L683">IFERROR(_xlfn.STDEV.S(IF((OutputTable[GroupByKey]=OutputTable[[#This Row],[GroupByKey]]),(OutputTable[GroupByKey]=OutputTable[[#This Row],[GroupByKey]])*OutputTable[RecordedValue])),0)</f>
        <v>3.5172818533154994E-2</v>
      </c>
      <c r="M683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2.5161118640145405E-2</v>
      </c>
      <c r="O683" cm="1">
        <f t="array" ref="O683">MIN(IF((OutputTable[GroupByKey]=OutputTable[[#This Row],[GroupByKey]]),(OutputTable[GroupByKey]=OutputTable[[#This Row],[GroupByKey]])*OutputTable[RecordedValue]))</f>
        <v>0.26933581669894202</v>
      </c>
      <c r="P683" cm="1">
        <f t="array" ref="P683">MAX(IF((OutputTable[GroupByKey]=OutputTable[[#This Row],[GroupByKey]]),(OutputTable[GroupByKey]=OutputTable[[#This Row],[GroupByKey]])*OutputTable[RecordedValue]))</f>
        <v>0.39321867243708603</v>
      </c>
    </row>
    <row r="684" spans="1:16" x14ac:dyDescent="0.25">
      <c r="A684" t="s">
        <v>67</v>
      </c>
      <c r="B684" t="s">
        <v>243</v>
      </c>
      <c r="C684">
        <v>8</v>
      </c>
      <c r="D684" t="s">
        <v>236</v>
      </c>
      <c r="E684" t="s">
        <v>158</v>
      </c>
      <c r="F684" t="s">
        <v>150</v>
      </c>
      <c r="G684">
        <v>2500</v>
      </c>
      <c r="H684">
        <v>0</v>
      </c>
      <c r="I684" t="str">
        <f>OutputTable[[#This Row],[ProjectName]]&amp;OutputTable[[#This Row],[Name]]&amp;OutputTable[[#This Row],[Type]]&amp;OutputTable[[#This Row],[Source]]</f>
        <v>Unnamed ProjectSystem.NumberOutNumber OutSystem</v>
      </c>
      <c r="J684" cm="1">
        <f t="array" ref="J684">MAX(IF((ProjectInfoTable[ProjectName]=OutputTable[[#This Row],[ProjectName]]),(ProjectInfoTable[ProjectName]=OutputTable[[#This Row],[ProjectName]])*ProjectInfoTable[NumberOfReplications]))</f>
        <v>10</v>
      </c>
      <c r="K684" cm="1">
        <f t="array" ref="K684">IFERROR(AVERAGE(IF((OutputTable[GroupByKey]=OutputTable[[#This Row],[GroupByKey]]),(OutputTable[GroupByKey]=OutputTable[[#This Row],[GroupByKey]])*OutputTable[RecordedValue])),0)</f>
        <v>2503.1</v>
      </c>
      <c r="L684" cm="1">
        <f t="array" ref="L684">IFERROR(_xlfn.STDEV.S(IF((OutputTable[GroupByKey]=OutputTable[[#This Row],[GroupByKey]]),(OutputTable[GroupByKey]=OutputTable[[#This Row],[GroupByKey]])*OutputTable[RecordedValue])),0)</f>
        <v>29.72260643573059</v>
      </c>
      <c r="M684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21.262271777248003</v>
      </c>
      <c r="O684" cm="1">
        <f t="array" ref="O684">MIN(IF((OutputTable[GroupByKey]=OutputTable[[#This Row],[GroupByKey]]),(OutputTable[GroupByKey]=OutputTable[[#This Row],[GroupByKey]])*OutputTable[RecordedValue]))</f>
        <v>2457</v>
      </c>
      <c r="P684" cm="1">
        <f t="array" ref="P684">MAX(IF((OutputTable[GroupByKey]=OutputTable[[#This Row],[GroupByKey]]),(OutputTable[GroupByKey]=OutputTable[[#This Row],[GroupByKey]])*OutputTable[RecordedValue]))</f>
        <v>2546</v>
      </c>
    </row>
    <row r="685" spans="1:16" x14ac:dyDescent="0.25">
      <c r="A685" t="s">
        <v>67</v>
      </c>
      <c r="B685" t="s">
        <v>243</v>
      </c>
      <c r="C685">
        <v>8</v>
      </c>
      <c r="D685" t="s">
        <v>237</v>
      </c>
      <c r="E685" t="s">
        <v>156</v>
      </c>
      <c r="F685" t="s">
        <v>76</v>
      </c>
      <c r="G685">
        <v>7831</v>
      </c>
      <c r="H685">
        <v>0</v>
      </c>
      <c r="I685" t="str">
        <f>OutputTable[[#This Row],[ProjectName]]&amp;OutputTable[[#This Row],[Name]]&amp;OutputTable[[#This Row],[Type]]&amp;OutputTable[[#This Row],[Source]]</f>
        <v>Unnamed ProjectWire Harness.NumberInNumber InEntity</v>
      </c>
      <c r="J685" cm="1">
        <f t="array" ref="J685">MAX(IF((ProjectInfoTable[ProjectName]=OutputTable[[#This Row],[ProjectName]]),(ProjectInfoTable[ProjectName]=OutputTable[[#This Row],[ProjectName]])*ProjectInfoTable[NumberOfReplications]))</f>
        <v>10</v>
      </c>
      <c r="K685" cm="1">
        <f t="array" ref="K685">IFERROR(AVERAGE(IF((OutputTable[GroupByKey]=OutputTable[[#This Row],[GroupByKey]]),(OutputTable[GroupByKey]=OutputTable[[#This Row],[GroupByKey]])*OutputTable[RecordedValue])),0)</f>
        <v>7832.8</v>
      </c>
      <c r="L685" cm="1">
        <f t="array" ref="L685">IFERROR(_xlfn.STDEV.S(IF((OutputTable[GroupByKey]=OutputTable[[#This Row],[GroupByKey]]),(OutputTable[GroupByKey]=OutputTable[[#This Row],[GroupByKey]])*OutputTable[RecordedValue])),0)</f>
        <v>7.8287220469811594</v>
      </c>
      <c r="M68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5.6003303812327712</v>
      </c>
      <c r="O685" cm="1">
        <f t="array" ref="O685">MIN(IF((OutputTable[GroupByKey]=OutputTable[[#This Row],[GroupByKey]]),(OutputTable[GroupByKey]=OutputTable[[#This Row],[GroupByKey]])*OutputTable[RecordedValue]))</f>
        <v>7818</v>
      </c>
      <c r="P685" cm="1">
        <f t="array" ref="P685">MAX(IF((OutputTable[GroupByKey]=OutputTable[[#This Row],[GroupByKey]]),(OutputTable[GroupByKey]=OutputTable[[#This Row],[GroupByKey]])*OutputTable[RecordedValue]))</f>
        <v>7845</v>
      </c>
    </row>
    <row r="686" spans="1:16" x14ac:dyDescent="0.25">
      <c r="A686" t="s">
        <v>67</v>
      </c>
      <c r="B686" t="s">
        <v>243</v>
      </c>
      <c r="C686">
        <v>8</v>
      </c>
      <c r="D686" t="s">
        <v>238</v>
      </c>
      <c r="E686" t="s">
        <v>158</v>
      </c>
      <c r="F686" t="s">
        <v>76</v>
      </c>
      <c r="G686">
        <v>7827</v>
      </c>
      <c r="H686">
        <v>0</v>
      </c>
      <c r="I686" t="str">
        <f>OutputTable[[#This Row],[ProjectName]]&amp;OutputTable[[#This Row],[Name]]&amp;OutputTable[[#This Row],[Type]]&amp;OutputTable[[#This Row],[Source]]</f>
        <v>Unnamed ProjectWire Harness.NumberOutNumber OutEntity</v>
      </c>
      <c r="J686" cm="1">
        <f t="array" ref="J686">MAX(IF((ProjectInfoTable[ProjectName]=OutputTable[[#This Row],[ProjectName]]),(ProjectInfoTable[ProjectName]=OutputTable[[#This Row],[ProjectName]])*ProjectInfoTable[NumberOfReplications]))</f>
        <v>10</v>
      </c>
      <c r="K686" cm="1">
        <f t="array" ref="K686">IFERROR(AVERAGE(IF((OutputTable[GroupByKey]=OutputTable[[#This Row],[GroupByKey]]),(OutputTable[GroupByKey]=OutputTable[[#This Row],[GroupByKey]])*OutputTable[RecordedValue])),0)</f>
        <v>7828.3</v>
      </c>
      <c r="L686" cm="1">
        <f t="array" ref="L686">IFERROR(_xlfn.STDEV.S(IF((OutputTable[GroupByKey]=OutputTable[[#This Row],[GroupByKey]]),(OutputTable[GroupByKey]=OutputTable[[#This Row],[GroupByKey]])*OutputTable[RecordedValue])),0)</f>
        <v>7.1032074132433696</v>
      </c>
      <c r="M686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5.0813284776056653</v>
      </c>
      <c r="O686" cm="1">
        <f t="array" ref="O686">MIN(IF((OutputTable[GroupByKey]=OutputTable[[#This Row],[GroupByKey]]),(OutputTable[GroupByKey]=OutputTable[[#This Row],[GroupByKey]])*OutputTable[RecordedValue]))</f>
        <v>7815</v>
      </c>
      <c r="P686" cm="1">
        <f t="array" ref="P686">MAX(IF((OutputTable[GroupByKey]=OutputTable[[#This Row],[GroupByKey]]),(OutputTable[GroupByKey]=OutputTable[[#This Row],[GroupByKey]])*OutputTable[RecordedValue]))</f>
        <v>7840</v>
      </c>
    </row>
    <row r="687" spans="1:16" x14ac:dyDescent="0.25">
      <c r="A687" t="s">
        <v>67</v>
      </c>
      <c r="B687" t="s">
        <v>243</v>
      </c>
      <c r="C687">
        <v>8</v>
      </c>
      <c r="D687" t="s">
        <v>239</v>
      </c>
      <c r="E687" t="s">
        <v>202</v>
      </c>
      <c r="F687" t="s">
        <v>87</v>
      </c>
      <c r="G687">
        <v>52303.028736690299</v>
      </c>
      <c r="H687">
        <v>0</v>
      </c>
      <c r="I687" t="str">
        <f>OutputTable[[#This Row],[ProjectName]]&amp;OutputTable[[#This Row],[Name]]&amp;OutputTable[[#This Row],[Type]]&amp;OutputTable[[#This Row],[Source]]</f>
        <v>Unnamed Projectsales Accum VA TimeAccum VA TimeProcess</v>
      </c>
      <c r="J687" cm="1">
        <f t="array" ref="J687">MAX(IF((ProjectInfoTable[ProjectName]=OutputTable[[#This Row],[ProjectName]]),(ProjectInfoTable[ProjectName]=OutputTable[[#This Row],[ProjectName]])*ProjectInfoTable[NumberOfReplications]))</f>
        <v>10</v>
      </c>
      <c r="K687" cm="1">
        <f t="array" ref="K687">IFERROR(AVERAGE(IF((OutputTable[GroupByKey]=OutputTable[[#This Row],[GroupByKey]]),(OutputTable[GroupByKey]=OutputTable[[#This Row],[GroupByKey]])*OutputTable[RecordedValue])),0)</f>
        <v>53031.528919588192</v>
      </c>
      <c r="L687" cm="1">
        <f t="array" ref="L687">IFERROR(_xlfn.STDEV.S(IF((OutputTable[GroupByKey]=OutputTable[[#This Row],[GroupByKey]]),(OutputTable[GroupByKey]=OutputTable[[#This Row],[GroupByKey]])*OutputTable[RecordedValue])),0)</f>
        <v>5697.9966023710867</v>
      </c>
      <c r="M687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4076.1012197035402</v>
      </c>
      <c r="O687" cm="1">
        <f t="array" ref="O687">MIN(IF((OutputTable[GroupByKey]=OutputTable[[#This Row],[GroupByKey]]),(OutputTable[GroupByKey]=OutputTable[[#This Row],[GroupByKey]])*OutputTable[RecordedValue]))</f>
        <v>43632.402305228599</v>
      </c>
      <c r="P687" cm="1">
        <f t="array" ref="P687">MAX(IF((OutputTable[GroupByKey]=OutputTable[[#This Row],[GroupByKey]]),(OutputTable[GroupByKey]=OutputTable[[#This Row],[GroupByKey]])*OutputTable[RecordedValue]))</f>
        <v>63701.424934807801</v>
      </c>
    </row>
    <row r="688" spans="1:16" x14ac:dyDescent="0.25">
      <c r="A688" t="s">
        <v>67</v>
      </c>
      <c r="B688" t="s">
        <v>243</v>
      </c>
      <c r="C688">
        <v>8</v>
      </c>
      <c r="D688" t="s">
        <v>240</v>
      </c>
      <c r="E688" t="s">
        <v>156</v>
      </c>
      <c r="F688" t="s">
        <v>87</v>
      </c>
      <c r="G688">
        <v>117</v>
      </c>
      <c r="H688">
        <v>0</v>
      </c>
      <c r="I688" t="str">
        <f>OutputTable[[#This Row],[ProjectName]]&amp;OutputTable[[#This Row],[Name]]&amp;OutputTable[[#This Row],[Type]]&amp;OutputTable[[#This Row],[Source]]</f>
        <v>Unnamed Projectsales Number InNumber InProcess</v>
      </c>
      <c r="J688" cm="1">
        <f t="array" ref="J688">MAX(IF((ProjectInfoTable[ProjectName]=OutputTable[[#This Row],[ProjectName]]),(ProjectInfoTable[ProjectName]=OutputTable[[#This Row],[ProjectName]])*ProjectInfoTable[NumberOfReplications]))</f>
        <v>10</v>
      </c>
      <c r="K688" cm="1">
        <f t="array" ref="K688">IFERROR(AVERAGE(IF((OutputTable[GroupByKey]=OutputTable[[#This Row],[GroupByKey]]),(OutputTable[GroupByKey]=OutputTable[[#This Row],[GroupByKey]])*OutputTable[RecordedValue])),0)</f>
        <v>118.7</v>
      </c>
      <c r="L688" cm="1">
        <f t="array" ref="L688">IFERROR(_xlfn.STDEV.S(IF((OutputTable[GroupByKey]=OutputTable[[#This Row],[GroupByKey]]),(OutputTable[GroupByKey]=OutputTable[[#This Row],[GroupByKey]])*OutputTable[RecordedValue])),0)</f>
        <v>12.587913073879887</v>
      </c>
      <c r="M688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688" cm="1">
        <f t="array" ref="O688">MIN(IF((OutputTable[GroupByKey]=OutputTable[[#This Row],[GroupByKey]]),(OutputTable[GroupByKey]=OutputTable[[#This Row],[GroupByKey]])*OutputTable[RecordedValue]))</f>
        <v>95</v>
      </c>
      <c r="P688" cm="1">
        <f t="array" ref="P688">MAX(IF((OutputTable[GroupByKey]=OutputTable[[#This Row],[GroupByKey]]),(OutputTable[GroupByKey]=OutputTable[[#This Row],[GroupByKey]])*OutputTable[RecordedValue]))</f>
        <v>141</v>
      </c>
    </row>
    <row r="689" spans="1:16" x14ac:dyDescent="0.25">
      <c r="A689" t="s">
        <v>67</v>
      </c>
      <c r="B689" t="s">
        <v>243</v>
      </c>
      <c r="C689">
        <v>8</v>
      </c>
      <c r="D689" t="s">
        <v>241</v>
      </c>
      <c r="E689" t="s">
        <v>158</v>
      </c>
      <c r="F689" t="s">
        <v>87</v>
      </c>
      <c r="G689">
        <v>117</v>
      </c>
      <c r="H689">
        <v>0</v>
      </c>
      <c r="I689" t="str">
        <f>OutputTable[[#This Row],[ProjectName]]&amp;OutputTable[[#This Row],[Name]]&amp;OutputTable[[#This Row],[Type]]&amp;OutputTable[[#This Row],[Source]]</f>
        <v>Unnamed Projectsales Number OutNumber OutProcess</v>
      </c>
      <c r="J689" cm="1">
        <f t="array" ref="J689">MAX(IF((ProjectInfoTable[ProjectName]=OutputTable[[#This Row],[ProjectName]]),(ProjectInfoTable[ProjectName]=OutputTable[[#This Row],[ProjectName]])*ProjectInfoTable[NumberOfReplications]))</f>
        <v>10</v>
      </c>
      <c r="K689" cm="1">
        <f t="array" ref="K689">IFERROR(AVERAGE(IF((OutputTable[GroupByKey]=OutputTable[[#This Row],[GroupByKey]]),(OutputTable[GroupByKey]=OutputTable[[#This Row],[GroupByKey]])*OutputTable[RecordedValue])),0)</f>
        <v>118.7</v>
      </c>
      <c r="L689" cm="1">
        <f t="array" ref="L689">IFERROR(_xlfn.STDEV.S(IF((OutputTable[GroupByKey]=OutputTable[[#This Row],[GroupByKey]]),(OutputTable[GroupByKey]=OutputTable[[#This Row],[GroupByKey]])*OutputTable[RecordedValue])),0)</f>
        <v>12.587913073879887</v>
      </c>
      <c r="M689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689" cm="1">
        <f t="array" ref="O689">MIN(IF((OutputTable[GroupByKey]=OutputTable[[#This Row],[GroupByKey]]),(OutputTable[GroupByKey]=OutputTable[[#This Row],[GroupByKey]])*OutputTable[RecordedValue]))</f>
        <v>95</v>
      </c>
      <c r="P689" cm="1">
        <f t="array" ref="P689">MAX(IF((OutputTable[GroupByKey]=OutputTable[[#This Row],[GroupByKey]]),(OutputTable[GroupByKey]=OutputTable[[#This Row],[GroupByKey]])*OutputTable[RecordedValue]))</f>
        <v>141</v>
      </c>
    </row>
    <row r="690" spans="1:16" x14ac:dyDescent="0.25">
      <c r="A690" t="s">
        <v>67</v>
      </c>
      <c r="B690" t="s">
        <v>243</v>
      </c>
      <c r="C690">
        <v>9</v>
      </c>
      <c r="D690" t="s">
        <v>151</v>
      </c>
      <c r="E690" t="s">
        <v>152</v>
      </c>
      <c r="F690" t="s">
        <v>113</v>
      </c>
      <c r="G690">
        <v>6549</v>
      </c>
      <c r="H690">
        <v>0</v>
      </c>
      <c r="I690" t="str">
        <f>OutputTable[[#This Row],[ProjectName]]&amp;OutputTable[[#This Row],[Name]]&amp;OutputTable[[#This Row],[Type]]&amp;OutputTable[[#This Row],[Source]]</f>
        <v>Unnamed ProjectAssembler.NumberSeizedTotal Number SeizedResource</v>
      </c>
      <c r="J690" cm="1">
        <f t="array" ref="J690">MAX(IF((ProjectInfoTable[ProjectName]=OutputTable[[#This Row],[ProjectName]]),(ProjectInfoTable[ProjectName]=OutputTable[[#This Row],[ProjectName]])*ProjectInfoTable[NumberOfReplications]))</f>
        <v>10</v>
      </c>
      <c r="K690" cm="1">
        <f t="array" ref="K690">IFERROR(AVERAGE(IF((OutputTable[GroupByKey]=OutputTable[[#This Row],[GroupByKey]]),(OutputTable[GroupByKey]=OutputTable[[#This Row],[GroupByKey]])*OutputTable[RecordedValue])),0)</f>
        <v>6547.7</v>
      </c>
      <c r="L690" cm="1">
        <f t="array" ref="L690">IFERROR(_xlfn.STDEV.S(IF((OutputTable[GroupByKey]=OutputTable[[#This Row],[GroupByKey]]),(OutputTable[GroupByKey]=OutputTable[[#This Row],[GroupByKey]])*OutputTable[RecordedValue])),0)</f>
        <v>5.735852159879995</v>
      </c>
      <c r="M690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690" cm="1">
        <f t="array" ref="O690">MIN(IF((OutputTable[GroupByKey]=OutputTable[[#This Row],[GroupByKey]]),(OutputTable[GroupByKey]=OutputTable[[#This Row],[GroupByKey]])*OutputTable[RecordedValue]))</f>
        <v>6540</v>
      </c>
      <c r="P690" cm="1">
        <f t="array" ref="P690">MAX(IF((OutputTable[GroupByKey]=OutputTable[[#This Row],[GroupByKey]]),(OutputTable[GroupByKey]=OutputTable[[#This Row],[GroupByKey]])*OutputTable[RecordedValue]))</f>
        <v>6557</v>
      </c>
    </row>
    <row r="691" spans="1:16" x14ac:dyDescent="0.25">
      <c r="A691" t="s">
        <v>67</v>
      </c>
      <c r="B691" t="s">
        <v>243</v>
      </c>
      <c r="C691">
        <v>9</v>
      </c>
      <c r="D691" t="s">
        <v>153</v>
      </c>
      <c r="E691" t="s">
        <v>154</v>
      </c>
      <c r="F691" t="s">
        <v>113</v>
      </c>
      <c r="G691">
        <v>7.5773828369295207E-2</v>
      </c>
      <c r="H691">
        <v>0</v>
      </c>
      <c r="I691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691" cm="1">
        <f t="array" ref="J691">MAX(IF((ProjectInfoTable[ProjectName]=OutputTable[[#This Row],[ProjectName]]),(ProjectInfoTable[ProjectName]=OutputTable[[#This Row],[ProjectName]])*ProjectInfoTable[NumberOfReplications]))</f>
        <v>10</v>
      </c>
      <c r="K691" cm="1">
        <f t="array" ref="K691">IFERROR(AVERAGE(IF((OutputTable[GroupByKey]=OutputTable[[#This Row],[GroupByKey]]),(OutputTable[GroupByKey]=OutputTable[[#This Row],[GroupByKey]])*OutputTable[RecordedValue])),0)</f>
        <v>7.575658911226775E-2</v>
      </c>
      <c r="L691" cm="1">
        <f t="array" ref="L691">IFERROR(_xlfn.STDEV.S(IF((OutputTable[GroupByKey]=OutputTable[[#This Row],[GroupByKey]]),(OutputTable[GroupByKey]=OutputTable[[#This Row],[GroupByKey]])*OutputTable[RecordedValue])),0)</f>
        <v>1.4019953141627205E-4</v>
      </c>
      <c r="M691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1.0029270301248135E-4</v>
      </c>
      <c r="O691" cm="1">
        <f t="array" ref="O691">MIN(IF((OutputTable[GroupByKey]=OutputTable[[#This Row],[GroupByKey]]),(OutputTable[GroupByKey]=OutputTable[[#This Row],[GroupByKey]])*OutputTable[RecordedValue]))</f>
        <v>7.5477645584878503E-2</v>
      </c>
      <c r="P691" cm="1">
        <f t="array" ref="P691">MAX(IF((OutputTable[GroupByKey]=OutputTable[[#This Row],[GroupByKey]]),(OutputTable[GroupByKey]=OutputTable[[#This Row],[GroupByKey]])*OutputTable[RecordedValue]))</f>
        <v>7.5973148639726207E-2</v>
      </c>
    </row>
    <row r="692" spans="1:16" x14ac:dyDescent="0.25">
      <c r="A692" t="s">
        <v>67</v>
      </c>
      <c r="B692" t="s">
        <v>243</v>
      </c>
      <c r="C692">
        <v>9</v>
      </c>
      <c r="D692" t="s">
        <v>155</v>
      </c>
      <c r="E692" t="s">
        <v>156</v>
      </c>
      <c r="F692" t="s">
        <v>76</v>
      </c>
      <c r="G692">
        <v>1042</v>
      </c>
      <c r="H692">
        <v>0</v>
      </c>
      <c r="I692" t="str">
        <f>OutputTable[[#This Row],[ProjectName]]&amp;OutputTable[[#This Row],[Name]]&amp;OutputTable[[#This Row],[Type]]&amp;OutputTable[[#This Row],[Source]]</f>
        <v>Unnamed ProjectCustomer.NumberInNumber InEntity</v>
      </c>
      <c r="J692" cm="1">
        <f t="array" ref="J692">MAX(IF((ProjectInfoTable[ProjectName]=OutputTable[[#This Row],[ProjectName]]),(ProjectInfoTable[ProjectName]=OutputTable[[#This Row],[ProjectName]])*ProjectInfoTable[NumberOfReplications]))</f>
        <v>10</v>
      </c>
      <c r="K692" cm="1">
        <f t="array" ref="K692">IFERROR(AVERAGE(IF((OutputTable[GroupByKey]=OutputTable[[#This Row],[GroupByKey]]),(OutputTable[GroupByKey]=OutputTable[[#This Row],[GroupByKey]])*OutputTable[RecordedValue])),0)</f>
        <v>1090.3</v>
      </c>
      <c r="L692" cm="1">
        <f t="array" ref="L692">IFERROR(_xlfn.STDEV.S(IF((OutputTable[GroupByKey]=OutputTable[[#This Row],[GroupByKey]]),(OutputTable[GroupByKey]=OutputTable[[#This Row],[GroupByKey]])*OutputTable[RecordedValue])),0)</f>
        <v>32.666836734251177</v>
      </c>
      <c r="M692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692" cm="1">
        <f t="array" ref="O692">MIN(IF((OutputTable[GroupByKey]=OutputTable[[#This Row],[GroupByKey]]),(OutputTable[GroupByKey]=OutputTable[[#This Row],[GroupByKey]])*OutputTable[RecordedValue]))</f>
        <v>1042</v>
      </c>
      <c r="P692" cm="1">
        <f t="array" ref="P692">MAX(IF((OutputTable[GroupByKey]=OutputTable[[#This Row],[GroupByKey]]),(OutputTable[GroupByKey]=OutputTable[[#This Row],[GroupByKey]])*OutputTable[RecordedValue]))</f>
        <v>1141</v>
      </c>
    </row>
    <row r="693" spans="1:16" x14ac:dyDescent="0.25">
      <c r="A693" t="s">
        <v>67</v>
      </c>
      <c r="B693" t="s">
        <v>243</v>
      </c>
      <c r="C693">
        <v>9</v>
      </c>
      <c r="D693" t="s">
        <v>157</v>
      </c>
      <c r="E693" t="s">
        <v>158</v>
      </c>
      <c r="F693" t="s">
        <v>76</v>
      </c>
      <c r="G693">
        <v>1042</v>
      </c>
      <c r="H693">
        <v>0</v>
      </c>
      <c r="I693" t="str">
        <f>OutputTable[[#This Row],[ProjectName]]&amp;OutputTable[[#This Row],[Name]]&amp;OutputTable[[#This Row],[Type]]&amp;OutputTable[[#This Row],[Source]]</f>
        <v>Unnamed ProjectCustomer.NumberOutNumber OutEntity</v>
      </c>
      <c r="J693" cm="1">
        <f t="array" ref="J693">MAX(IF((ProjectInfoTable[ProjectName]=OutputTable[[#This Row],[ProjectName]]),(ProjectInfoTable[ProjectName]=OutputTable[[#This Row],[ProjectName]])*ProjectInfoTable[NumberOfReplications]))</f>
        <v>10</v>
      </c>
      <c r="K693" cm="1">
        <f t="array" ref="K693">IFERROR(AVERAGE(IF((OutputTable[GroupByKey]=OutputTable[[#This Row],[GroupByKey]]),(OutputTable[GroupByKey]=OutputTable[[#This Row],[GroupByKey]])*OutputTable[RecordedValue])),0)</f>
        <v>1090.3</v>
      </c>
      <c r="L693" cm="1">
        <f t="array" ref="L693">IFERROR(_xlfn.STDEV.S(IF((OutputTable[GroupByKey]=OutputTable[[#This Row],[GroupByKey]]),(OutputTable[GroupByKey]=OutputTable[[#This Row],[GroupByKey]])*OutputTable[RecordedValue])),0)</f>
        <v>32.666836734251177</v>
      </c>
      <c r="M693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693" cm="1">
        <f t="array" ref="O693">MIN(IF((OutputTable[GroupByKey]=OutputTable[[#This Row],[GroupByKey]]),(OutputTable[GroupByKey]=OutputTable[[#This Row],[GroupByKey]])*OutputTable[RecordedValue]))</f>
        <v>1042</v>
      </c>
      <c r="P693" cm="1">
        <f t="array" ref="P693">MAX(IF((OutputTable[GroupByKey]=OutputTable[[#This Row],[GroupByKey]]),(OutputTable[GroupByKey]=OutputTable[[#This Row],[GroupByKey]])*OutputTable[RecordedValue]))</f>
        <v>1141</v>
      </c>
    </row>
    <row r="694" spans="1:16" x14ac:dyDescent="0.25">
      <c r="A694" t="s">
        <v>67</v>
      </c>
      <c r="B694" t="s">
        <v>243</v>
      </c>
      <c r="C694">
        <v>9</v>
      </c>
      <c r="D694" t="s">
        <v>159</v>
      </c>
      <c r="E694" t="s">
        <v>156</v>
      </c>
      <c r="F694" t="s">
        <v>76</v>
      </c>
      <c r="G694">
        <v>19852</v>
      </c>
      <c r="H694">
        <v>0</v>
      </c>
      <c r="I694" t="str">
        <f>OutputTable[[#This Row],[ProjectName]]&amp;OutputTable[[#This Row],[Name]]&amp;OutputTable[[#This Row],[Type]]&amp;OutputTable[[#This Row],[Source]]</f>
        <v>Unnamed ProjectEntity 1.NumberInNumber InEntity</v>
      </c>
      <c r="J694" cm="1">
        <f t="array" ref="J694">MAX(IF((ProjectInfoTable[ProjectName]=OutputTable[[#This Row],[ProjectName]]),(ProjectInfoTable[ProjectName]=OutputTable[[#This Row],[ProjectName]])*ProjectInfoTable[NumberOfReplications]))</f>
        <v>10</v>
      </c>
      <c r="K694" cm="1">
        <f t="array" ref="K694">IFERROR(AVERAGE(IF((OutputTable[GroupByKey]=OutputTable[[#This Row],[GroupByKey]]),(OutputTable[GroupByKey]=OutputTable[[#This Row],[GroupByKey]])*OutputTable[RecordedValue])),0)</f>
        <v>19822.900000000001</v>
      </c>
      <c r="L694" cm="1">
        <f t="array" ref="L694">IFERROR(_xlfn.STDEV.S(IF((OutputTable[GroupByKey]=OutputTable[[#This Row],[GroupByKey]]),(OutputTable[GroupByKey]=OutputTable[[#This Row],[GroupByKey]])*OutputTable[RecordedValue])),0)</f>
        <v>20.151922985164472</v>
      </c>
      <c r="M694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14.415817276026377</v>
      </c>
      <c r="O694" cm="1">
        <f t="array" ref="O694">MIN(IF((OutputTable[GroupByKey]=OutputTable[[#This Row],[GroupByKey]]),(OutputTable[GroupByKey]=OutputTable[[#This Row],[GroupByKey]])*OutputTable[RecordedValue]))</f>
        <v>19788</v>
      </c>
      <c r="P694" cm="1">
        <f t="array" ref="P694">MAX(IF((OutputTable[GroupByKey]=OutputTable[[#This Row],[GroupByKey]]),(OutputTable[GroupByKey]=OutputTable[[#This Row],[GroupByKey]])*OutputTable[RecordedValue]))</f>
        <v>19852</v>
      </c>
    </row>
    <row r="695" spans="1:16" x14ac:dyDescent="0.25">
      <c r="A695" t="s">
        <v>67</v>
      </c>
      <c r="B695" t="s">
        <v>243</v>
      </c>
      <c r="C695">
        <v>9</v>
      </c>
      <c r="D695" t="s">
        <v>160</v>
      </c>
      <c r="E695" t="s">
        <v>158</v>
      </c>
      <c r="F695" t="s">
        <v>76</v>
      </c>
      <c r="G695">
        <v>19641</v>
      </c>
      <c r="H695">
        <v>0</v>
      </c>
      <c r="I695" t="str">
        <f>OutputTable[[#This Row],[ProjectName]]&amp;OutputTable[[#This Row],[Name]]&amp;OutputTable[[#This Row],[Type]]&amp;OutputTable[[#This Row],[Source]]</f>
        <v>Unnamed ProjectEntity 1.NumberOutNumber OutEntity</v>
      </c>
      <c r="J695" cm="1">
        <f t="array" ref="J695">MAX(IF((ProjectInfoTable[ProjectName]=OutputTable[[#This Row],[ProjectName]]),(ProjectInfoTable[ProjectName]=OutputTable[[#This Row],[ProjectName]])*ProjectInfoTable[NumberOfReplications]))</f>
        <v>10</v>
      </c>
      <c r="K695" cm="1">
        <f t="array" ref="K695">IFERROR(AVERAGE(IF((OutputTable[GroupByKey]=OutputTable[[#This Row],[GroupByKey]]),(OutputTable[GroupByKey]=OutputTable[[#This Row],[GroupByKey]])*OutputTable[RecordedValue])),0)</f>
        <v>19635.599999999999</v>
      </c>
      <c r="L695" cm="1">
        <f t="array" ref="L695">IFERROR(_xlfn.STDEV.S(IF((OutputTable[GroupByKey]=OutputTable[[#This Row],[GroupByKey]]),(OutputTable[GroupByKey]=OutputTable[[#This Row],[GroupByKey]])*OutputTable[RecordedValue])),0)</f>
        <v>15.086417732516889</v>
      </c>
      <c r="M69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695" cm="1">
        <f t="array" ref="O695">MIN(IF((OutputTable[GroupByKey]=OutputTable[[#This Row],[GroupByKey]]),(OutputTable[GroupByKey]=OutputTable[[#This Row],[GroupByKey]])*OutputTable[RecordedValue]))</f>
        <v>19614</v>
      </c>
      <c r="P695" cm="1">
        <f t="array" ref="P695">MAX(IF((OutputTable[GroupByKey]=OutputTable[[#This Row],[GroupByKey]]),(OutputTable[GroupByKey]=OutputTable[[#This Row],[GroupByKey]])*OutputTable[RecordedValue]))</f>
        <v>19662</v>
      </c>
    </row>
    <row r="696" spans="1:16" x14ac:dyDescent="0.25">
      <c r="A696" t="s">
        <v>67</v>
      </c>
      <c r="B696" t="s">
        <v>243</v>
      </c>
      <c r="C696">
        <v>9</v>
      </c>
      <c r="D696" t="s">
        <v>161</v>
      </c>
      <c r="E696" t="s">
        <v>156</v>
      </c>
      <c r="F696" t="s">
        <v>76</v>
      </c>
      <c r="G696">
        <v>8381</v>
      </c>
      <c r="H696">
        <v>0</v>
      </c>
      <c r="I696" t="str">
        <f>OutputTable[[#This Row],[ProjectName]]&amp;OutputTable[[#This Row],[Name]]&amp;OutputTable[[#This Row],[Type]]&amp;OutputTable[[#This Row],[Source]]</f>
        <v>Unnamed ProjectEntity 2.NumberInNumber InEntity</v>
      </c>
      <c r="J696" cm="1">
        <f t="array" ref="J696">MAX(IF((ProjectInfoTable[ProjectName]=OutputTable[[#This Row],[ProjectName]]),(ProjectInfoTable[ProjectName]=OutputTable[[#This Row],[ProjectName]])*ProjectInfoTable[NumberOfReplications]))</f>
        <v>10</v>
      </c>
      <c r="K696" cm="1">
        <f t="array" ref="K696">IFERROR(AVERAGE(IF((OutputTable[GroupByKey]=OutputTable[[#This Row],[GroupByKey]]),(OutputTable[GroupByKey]=OutputTable[[#This Row],[GroupByKey]])*OutputTable[RecordedValue])),0)</f>
        <v>8398</v>
      </c>
      <c r="L696" cm="1">
        <f t="array" ref="L696">IFERROR(_xlfn.STDEV.S(IF((OutputTable[GroupByKey]=OutputTable[[#This Row],[GroupByKey]]),(OutputTable[GroupByKey]=OutputTable[[#This Row],[GroupByKey]])*OutputTable[RecordedValue])),0)</f>
        <v>24.133885813197271</v>
      </c>
      <c r="M696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17.264341884378119</v>
      </c>
      <c r="O696" cm="1">
        <f t="array" ref="O696">MIN(IF((OutputTable[GroupByKey]=OutputTable[[#This Row],[GroupByKey]]),(OutputTable[GroupByKey]=OutputTable[[#This Row],[GroupByKey]])*OutputTable[RecordedValue]))</f>
        <v>8353</v>
      </c>
      <c r="P696" cm="1">
        <f t="array" ref="P696">MAX(IF((OutputTable[GroupByKey]=OutputTable[[#This Row],[GroupByKey]]),(OutputTable[GroupByKey]=OutputTable[[#This Row],[GroupByKey]])*OutputTable[RecordedValue]))</f>
        <v>8437</v>
      </c>
    </row>
    <row r="697" spans="1:16" x14ac:dyDescent="0.25">
      <c r="A697" t="s">
        <v>67</v>
      </c>
      <c r="B697" t="s">
        <v>243</v>
      </c>
      <c r="C697">
        <v>9</v>
      </c>
      <c r="D697" t="s">
        <v>162</v>
      </c>
      <c r="E697" t="s">
        <v>158</v>
      </c>
      <c r="F697" t="s">
        <v>76</v>
      </c>
      <c r="G697">
        <v>6547</v>
      </c>
      <c r="H697">
        <v>0</v>
      </c>
      <c r="I697" t="str">
        <f>OutputTable[[#This Row],[ProjectName]]&amp;OutputTable[[#This Row],[Name]]&amp;OutputTable[[#This Row],[Type]]&amp;OutputTable[[#This Row],[Source]]</f>
        <v>Unnamed ProjectEntity 2.NumberOutNumber OutEntity</v>
      </c>
      <c r="J697" cm="1">
        <f t="array" ref="J697">MAX(IF((ProjectInfoTable[ProjectName]=OutputTable[[#This Row],[ProjectName]]),(ProjectInfoTable[ProjectName]=OutputTable[[#This Row],[ProjectName]])*ProjectInfoTable[NumberOfReplications]))</f>
        <v>10</v>
      </c>
      <c r="K697" cm="1">
        <f t="array" ref="K697">IFERROR(AVERAGE(IF((OutputTable[GroupByKey]=OutputTable[[#This Row],[GroupByKey]]),(OutputTable[GroupByKey]=OutputTable[[#This Row],[GroupByKey]])*OutputTable[RecordedValue])),0)</f>
        <v>6545.2</v>
      </c>
      <c r="L697" cm="1">
        <f t="array" ref="L697">IFERROR(_xlfn.STDEV.S(IF((OutputTable[GroupByKey]=OutputTable[[#This Row],[GroupByKey]]),(OutputTable[GroupByKey]=OutputTable[[#This Row],[GroupByKey]])*OutputTable[RecordedValue])),0)</f>
        <v>5.0288059108389627</v>
      </c>
      <c r="M697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3.5973910371047504</v>
      </c>
      <c r="O697" cm="1">
        <f t="array" ref="O697">MIN(IF((OutputTable[GroupByKey]=OutputTable[[#This Row],[GroupByKey]]),(OutputTable[GroupByKey]=OutputTable[[#This Row],[GroupByKey]])*OutputTable[RecordedValue]))</f>
        <v>6538</v>
      </c>
      <c r="P697" cm="1">
        <f t="array" ref="P697">MAX(IF((OutputTable[GroupByKey]=OutputTable[[#This Row],[GroupByKey]]),(OutputTable[GroupByKey]=OutputTable[[#This Row],[GroupByKey]])*OutputTable[RecordedValue]))</f>
        <v>6554</v>
      </c>
    </row>
    <row r="698" spans="1:16" x14ac:dyDescent="0.25">
      <c r="A698" t="s">
        <v>67</v>
      </c>
      <c r="B698" t="s">
        <v>243</v>
      </c>
      <c r="C698">
        <v>9</v>
      </c>
      <c r="D698" t="s">
        <v>163</v>
      </c>
      <c r="E698" t="s">
        <v>156</v>
      </c>
      <c r="F698" t="s">
        <v>76</v>
      </c>
      <c r="G698">
        <v>27787</v>
      </c>
      <c r="H698">
        <v>0</v>
      </c>
      <c r="I698" t="str">
        <f>OutputTable[[#This Row],[ProjectName]]&amp;OutputTable[[#This Row],[Name]]&amp;OutputTable[[#This Row],[Type]]&amp;OutputTable[[#This Row],[Source]]</f>
        <v>Unnamed ProjectEntity 3.NumberInNumber InEntity</v>
      </c>
      <c r="J698" cm="1">
        <f t="array" ref="J698">MAX(IF((ProjectInfoTable[ProjectName]=OutputTable[[#This Row],[ProjectName]]),(ProjectInfoTable[ProjectName]=OutputTable[[#This Row],[ProjectName]])*ProjectInfoTable[NumberOfReplications]))</f>
        <v>10</v>
      </c>
      <c r="K698" cm="1">
        <f t="array" ref="K698">IFERROR(AVERAGE(IF((OutputTable[GroupByKey]=OutputTable[[#This Row],[GroupByKey]]),(OutputTable[GroupByKey]=OutputTable[[#This Row],[GroupByKey]])*OutputTable[RecordedValue])),0)</f>
        <v>27753.7</v>
      </c>
      <c r="L698" cm="1">
        <f t="array" ref="L698">IFERROR(_xlfn.STDEV.S(IF((OutputTable[GroupByKey]=OutputTable[[#This Row],[GroupByKey]]),(OutputTable[GroupByKey]=OutputTable[[#This Row],[GroupByKey]])*OutputTable[RecordedValue])),0)</f>
        <v>25.447331228768697</v>
      </c>
      <c r="M698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18.203924133022646</v>
      </c>
      <c r="O698" cm="1">
        <f t="array" ref="O698">MIN(IF((OutputTable[GroupByKey]=OutputTable[[#This Row],[GroupByKey]]),(OutputTable[GroupByKey]=OutputTable[[#This Row],[GroupByKey]])*OutputTable[RecordedValue]))</f>
        <v>27724</v>
      </c>
      <c r="P698" cm="1">
        <f t="array" ref="P698">MAX(IF((OutputTable[GroupByKey]=OutputTable[[#This Row],[GroupByKey]]),(OutputTable[GroupByKey]=OutputTable[[#This Row],[GroupByKey]])*OutputTable[RecordedValue]))</f>
        <v>27792</v>
      </c>
    </row>
    <row r="699" spans="1:16" x14ac:dyDescent="0.25">
      <c r="A699" t="s">
        <v>67</v>
      </c>
      <c r="B699" t="s">
        <v>243</v>
      </c>
      <c r="C699">
        <v>9</v>
      </c>
      <c r="D699" t="s">
        <v>164</v>
      </c>
      <c r="E699" t="s">
        <v>158</v>
      </c>
      <c r="F699" t="s">
        <v>76</v>
      </c>
      <c r="G699">
        <v>19641</v>
      </c>
      <c r="H699">
        <v>0</v>
      </c>
      <c r="I699" t="str">
        <f>OutputTable[[#This Row],[ProjectName]]&amp;OutputTable[[#This Row],[Name]]&amp;OutputTable[[#This Row],[Type]]&amp;OutputTable[[#This Row],[Source]]</f>
        <v>Unnamed ProjectEntity 3.NumberOutNumber OutEntity</v>
      </c>
      <c r="J699" cm="1">
        <f t="array" ref="J699">MAX(IF((ProjectInfoTable[ProjectName]=OutputTable[[#This Row],[ProjectName]]),(ProjectInfoTable[ProjectName]=OutputTable[[#This Row],[ProjectName]])*ProjectInfoTable[NumberOfReplications]))</f>
        <v>10</v>
      </c>
      <c r="K699" cm="1">
        <f t="array" ref="K699">IFERROR(AVERAGE(IF((OutputTable[GroupByKey]=OutputTable[[#This Row],[GroupByKey]]),(OutputTable[GroupByKey]=OutputTable[[#This Row],[GroupByKey]])*OutputTable[RecordedValue])),0)</f>
        <v>19635.599999999999</v>
      </c>
      <c r="L699" cm="1">
        <f t="array" ref="L699">IFERROR(_xlfn.STDEV.S(IF((OutputTable[GroupByKey]=OutputTable[[#This Row],[GroupByKey]]),(OutputTable[GroupByKey]=OutputTable[[#This Row],[GroupByKey]])*OutputTable[RecordedValue])),0)</f>
        <v>15.086417732516889</v>
      </c>
      <c r="M699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699" cm="1">
        <f t="array" ref="O699">MIN(IF((OutputTable[GroupByKey]=OutputTable[[#This Row],[GroupByKey]]),(OutputTable[GroupByKey]=OutputTable[[#This Row],[GroupByKey]])*OutputTable[RecordedValue]))</f>
        <v>19614</v>
      </c>
      <c r="P699" cm="1">
        <f t="array" ref="P699">MAX(IF((OutputTable[GroupByKey]=OutputTable[[#This Row],[GroupByKey]]),(OutputTable[GroupByKey]=OutputTable[[#This Row],[GroupByKey]])*OutputTable[RecordedValue]))</f>
        <v>19662</v>
      </c>
    </row>
    <row r="700" spans="1:16" x14ac:dyDescent="0.25">
      <c r="A700" t="s">
        <v>67</v>
      </c>
      <c r="B700" t="s">
        <v>243</v>
      </c>
      <c r="C700">
        <v>9</v>
      </c>
      <c r="D700" t="s">
        <v>165</v>
      </c>
      <c r="E700" t="s">
        <v>152</v>
      </c>
      <c r="F700" t="s">
        <v>113</v>
      </c>
      <c r="G700">
        <v>13109</v>
      </c>
      <c r="H700">
        <v>0</v>
      </c>
      <c r="I700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700" cm="1">
        <f t="array" ref="J700">MAX(IF((ProjectInfoTable[ProjectName]=OutputTable[[#This Row],[ProjectName]]),(ProjectInfoTable[ProjectName]=OutputTable[[#This Row],[ProjectName]])*ProjectInfoTable[NumberOfReplications]))</f>
        <v>10</v>
      </c>
      <c r="K700" cm="1">
        <f t="array" ref="K700">IFERROR(AVERAGE(IF((OutputTable[GroupByKey]=OutputTable[[#This Row],[GroupByKey]]),(OutputTable[GroupByKey]=OutputTable[[#This Row],[GroupByKey]])*OutputTable[RecordedValue])),0)</f>
        <v>13103.5</v>
      </c>
      <c r="L700" cm="1">
        <f t="array" ref="L700">IFERROR(_xlfn.STDEV.S(IF((OutputTable[GroupByKey]=OutputTable[[#This Row],[GroupByKey]]),(OutputTable[GroupByKey]=OutputTable[[#This Row],[GroupByKey]])*OutputTable[RecordedValue])),0)</f>
        <v>11.443095929181249</v>
      </c>
      <c r="M700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700" cm="1">
        <f t="array" ref="O700">MIN(IF((OutputTable[GroupByKey]=OutputTable[[#This Row],[GroupByKey]]),(OutputTable[GroupByKey]=OutputTable[[#This Row],[GroupByKey]])*OutputTable[RecordedValue]))</f>
        <v>13087</v>
      </c>
      <c r="P700" cm="1">
        <f t="array" ref="P700">MAX(IF((OutputTable[GroupByKey]=OutputTable[[#This Row],[GroupByKey]]),(OutputTable[GroupByKey]=OutputTable[[#This Row],[GroupByKey]])*OutputTable[RecordedValue]))</f>
        <v>13120</v>
      </c>
    </row>
    <row r="701" spans="1:16" x14ac:dyDescent="0.25">
      <c r="A701" t="s">
        <v>67</v>
      </c>
      <c r="B701" t="s">
        <v>243</v>
      </c>
      <c r="C701">
        <v>9</v>
      </c>
      <c r="D701" t="s">
        <v>166</v>
      </c>
      <c r="E701" t="s">
        <v>154</v>
      </c>
      <c r="F701" t="s">
        <v>113</v>
      </c>
      <c r="G701">
        <v>0.50180782276445501</v>
      </c>
      <c r="H701">
        <v>0</v>
      </c>
      <c r="I701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701" cm="1">
        <f t="array" ref="J701">MAX(IF((ProjectInfoTable[ProjectName]=OutputTable[[#This Row],[ProjectName]]),(ProjectInfoTable[ProjectName]=OutputTable[[#This Row],[ProjectName]])*ProjectInfoTable[NumberOfReplications]))</f>
        <v>10</v>
      </c>
      <c r="K701" cm="1">
        <f t="array" ref="K701">IFERROR(AVERAGE(IF((OutputTable[GroupByKey]=OutputTable[[#This Row],[GroupByKey]]),(OutputTable[GroupByKey]=OutputTable[[#This Row],[GroupByKey]])*OutputTable[RecordedValue])),0)</f>
        <v>0.48160620907873086</v>
      </c>
      <c r="L701" cm="1">
        <f t="array" ref="L701">IFERROR(_xlfn.STDEV.S(IF((OutputTable[GroupByKey]=OutputTable[[#This Row],[GroupByKey]]),(OutputTable[GroupByKey]=OutputTable[[#This Row],[GroupByKey]])*OutputTable[RecordedValue])),0)</f>
        <v>8.6686321722355061E-2</v>
      </c>
      <c r="M701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6.2011658897281531E-2</v>
      </c>
      <c r="O701" cm="1">
        <f t="array" ref="O701">MIN(IF((OutputTable[GroupByKey]=OutputTable[[#This Row],[GroupByKey]]),(OutputTable[GroupByKey]=OutputTable[[#This Row],[GroupByKey]])*OutputTable[RecordedValue]))</f>
        <v>0.292184201252493</v>
      </c>
      <c r="P701" cm="1">
        <f t="array" ref="P701">MAX(IF((OutputTable[GroupByKey]=OutputTable[[#This Row],[GroupByKey]]),(OutputTable[GroupByKey]=OutputTable[[#This Row],[GroupByKey]])*OutputTable[RecordedValue]))</f>
        <v>0.57167989674475905</v>
      </c>
    </row>
    <row r="702" spans="1:16" x14ac:dyDescent="0.25">
      <c r="A702" t="s">
        <v>67</v>
      </c>
      <c r="B702" t="s">
        <v>243</v>
      </c>
      <c r="C702">
        <v>9</v>
      </c>
      <c r="D702" t="s">
        <v>167</v>
      </c>
      <c r="E702" t="s">
        <v>152</v>
      </c>
      <c r="F702" t="s">
        <v>113</v>
      </c>
      <c r="G702">
        <v>13105</v>
      </c>
      <c r="H702">
        <v>0</v>
      </c>
      <c r="I702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702" cm="1">
        <f t="array" ref="J702">MAX(IF((ProjectInfoTable[ProjectName]=OutputTable[[#This Row],[ProjectName]]),(ProjectInfoTable[ProjectName]=OutputTable[[#This Row],[ProjectName]])*ProjectInfoTable[NumberOfReplications]))</f>
        <v>10</v>
      </c>
      <c r="K702" cm="1">
        <f t="array" ref="K702">IFERROR(AVERAGE(IF((OutputTable[GroupByKey]=OutputTable[[#This Row],[GroupByKey]]),(OutputTable[GroupByKey]=OutputTable[[#This Row],[GroupByKey]])*OutputTable[RecordedValue])),0)</f>
        <v>13100.1</v>
      </c>
      <c r="L702" cm="1">
        <f t="array" ref="L702">IFERROR(_xlfn.STDEV.S(IF((OutputTable[GroupByKey]=OutputTable[[#This Row],[GroupByKey]]),(OutputTable[GroupByKey]=OutputTable[[#This Row],[GroupByKey]])*OutputTable[RecordedValue])),0)</f>
        <v>11.46443776786866</v>
      </c>
      <c r="M702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702" cm="1">
        <f t="array" ref="O702">MIN(IF((OutputTable[GroupByKey]=OutputTable[[#This Row],[GroupByKey]]),(OutputTable[GroupByKey]=OutputTable[[#This Row],[GroupByKey]])*OutputTable[RecordedValue]))</f>
        <v>13083</v>
      </c>
      <c r="P702" cm="1">
        <f t="array" ref="P702">MAX(IF((OutputTable[GroupByKey]=OutputTable[[#This Row],[GroupByKey]]),(OutputTable[GroupByKey]=OutputTable[[#This Row],[GroupByKey]])*OutputTable[RecordedValue]))</f>
        <v>13118</v>
      </c>
    </row>
    <row r="703" spans="1:16" x14ac:dyDescent="0.25">
      <c r="A703" t="s">
        <v>67</v>
      </c>
      <c r="B703" t="s">
        <v>243</v>
      </c>
      <c r="C703">
        <v>9</v>
      </c>
      <c r="D703" t="s">
        <v>168</v>
      </c>
      <c r="E703" t="s">
        <v>154</v>
      </c>
      <c r="F703" t="s">
        <v>113</v>
      </c>
      <c r="G703">
        <v>0.20500025225945601</v>
      </c>
      <c r="H703">
        <v>0</v>
      </c>
      <c r="I703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703" cm="1">
        <f t="array" ref="J703">MAX(IF((ProjectInfoTable[ProjectName]=OutputTable[[#This Row],[ProjectName]]),(ProjectInfoTable[ProjectName]=OutputTable[[#This Row],[ProjectName]])*ProjectInfoTable[NumberOfReplications]))</f>
        <v>10</v>
      </c>
      <c r="K703" cm="1">
        <f t="array" ref="K703">IFERROR(AVERAGE(IF((OutputTable[GroupByKey]=OutputTable[[#This Row],[GroupByKey]]),(OutputTable[GroupByKey]=OutputTable[[#This Row],[GroupByKey]])*OutputTable[RecordedValue])),0)</f>
        <v>0.25269289312392168</v>
      </c>
      <c r="L703" cm="1">
        <f t="array" ref="L703">IFERROR(_xlfn.STDEV.S(IF((OutputTable[GroupByKey]=OutputTable[[#This Row],[GroupByKey]]),(OutputTable[GroupByKey]=OutputTable[[#This Row],[GroupByKey]])*OutputTable[RecordedValue])),0)</f>
        <v>4.921401008308305E-2</v>
      </c>
      <c r="M703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3.5205581983443382E-2</v>
      </c>
      <c r="O703" cm="1">
        <f t="array" ref="O703">MIN(IF((OutputTable[GroupByKey]=OutputTable[[#This Row],[GroupByKey]]),(OutputTable[GroupByKey]=OutputTable[[#This Row],[GroupByKey]])*OutputTable[RecordedValue]))</f>
        <v>0.20500025225945601</v>
      </c>
      <c r="P703" cm="1">
        <f t="array" ref="P703">MAX(IF((OutputTable[GroupByKey]=OutputTable[[#This Row],[GroupByKey]]),(OutputTable[GroupByKey]=OutputTable[[#This Row],[GroupByKey]])*OutputTable[RecordedValue]))</f>
        <v>0.33570777662711399</v>
      </c>
    </row>
    <row r="704" spans="1:16" x14ac:dyDescent="0.25">
      <c r="A704" t="s">
        <v>67</v>
      </c>
      <c r="B704" t="s">
        <v>243</v>
      </c>
      <c r="C704">
        <v>9</v>
      </c>
      <c r="D704" t="s">
        <v>169</v>
      </c>
      <c r="E704" t="s">
        <v>152</v>
      </c>
      <c r="F704" t="s">
        <v>113</v>
      </c>
      <c r="G704">
        <v>13105</v>
      </c>
      <c r="H704">
        <v>0</v>
      </c>
      <c r="I704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704" cm="1">
        <f t="array" ref="J704">MAX(IF((ProjectInfoTable[ProjectName]=OutputTable[[#This Row],[ProjectName]]),(ProjectInfoTable[ProjectName]=OutputTable[[#This Row],[ProjectName]])*ProjectInfoTable[NumberOfReplications]))</f>
        <v>10</v>
      </c>
      <c r="K704" cm="1">
        <f t="array" ref="K704">IFERROR(AVERAGE(IF((OutputTable[GroupByKey]=OutputTable[[#This Row],[GroupByKey]]),(OutputTable[GroupByKey]=OutputTable[[#This Row],[GroupByKey]])*OutputTable[RecordedValue])),0)</f>
        <v>13099.9</v>
      </c>
      <c r="L704" cm="1">
        <f t="array" ref="L704">IFERROR(_xlfn.STDEV.S(IF((OutputTable[GroupByKey]=OutputTable[[#This Row],[GroupByKey]]),(OutputTable[GroupByKey]=OutputTable[[#This Row],[GroupByKey]])*OutputTable[RecordedValue])),0)</f>
        <v>11.761046816598522</v>
      </c>
      <c r="M704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704" cm="1">
        <f t="array" ref="O704">MIN(IF((OutputTable[GroupByKey]=OutputTable[[#This Row],[GroupByKey]]),(OutputTable[GroupByKey]=OutputTable[[#This Row],[GroupByKey]])*OutputTable[RecordedValue]))</f>
        <v>13082</v>
      </c>
      <c r="P704" cm="1">
        <f t="array" ref="P704">MAX(IF((OutputTable[GroupByKey]=OutputTable[[#This Row],[GroupByKey]]),(OutputTable[GroupByKey]=OutputTable[[#This Row],[GroupByKey]])*OutputTable[RecordedValue]))</f>
        <v>13118</v>
      </c>
    </row>
    <row r="705" spans="1:16" x14ac:dyDescent="0.25">
      <c r="A705" t="s">
        <v>67</v>
      </c>
      <c r="B705" t="s">
        <v>243</v>
      </c>
      <c r="C705">
        <v>9</v>
      </c>
      <c r="D705" t="s">
        <v>170</v>
      </c>
      <c r="E705" t="s">
        <v>154</v>
      </c>
      <c r="F705" t="s">
        <v>113</v>
      </c>
      <c r="G705">
        <v>0.15161344276824301</v>
      </c>
      <c r="H705">
        <v>0</v>
      </c>
      <c r="I705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705" cm="1">
        <f t="array" ref="J705">MAX(IF((ProjectInfoTable[ProjectName]=OutputTable[[#This Row],[ProjectName]]),(ProjectInfoTable[ProjectName]=OutputTable[[#This Row],[ProjectName]])*ProjectInfoTable[NumberOfReplications]))</f>
        <v>10</v>
      </c>
      <c r="K705" cm="1">
        <f t="array" ref="K705">IFERROR(AVERAGE(IF((OutputTable[GroupByKey]=OutputTable[[#This Row],[GroupByKey]]),(OutputTable[GroupByKey]=OutputTable[[#This Row],[GroupByKey]])*OutputTable[RecordedValue])),0)</f>
        <v>0.151561654865698</v>
      </c>
      <c r="L705" cm="1">
        <f t="array" ref="L705">IFERROR(_xlfn.STDEV.S(IF((OutputTable[GroupByKey]=OutputTable[[#This Row],[GroupByKey]]),(OutputTable[GroupByKey]=OutputTable[[#This Row],[GroupByKey]])*OutputTable[RecordedValue])),0)</f>
        <v>1.2198256688170919E-4</v>
      </c>
      <c r="M70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8.7261071626859165E-5</v>
      </c>
      <c r="O705" cm="1">
        <f t="array" ref="O705">MIN(IF((OutputTable[GroupByKey]=OutputTable[[#This Row],[GroupByKey]]),(OutputTable[GroupByKey]=OutputTable[[#This Row],[GroupByKey]])*OutputTable[RecordedValue]))</f>
        <v>0.15134711042770399</v>
      </c>
      <c r="P705" cm="1">
        <f t="array" ref="P705">MAX(IF((OutputTable[GroupByKey]=OutputTable[[#This Row],[GroupByKey]]),(OutputTable[GroupByKey]=OutputTable[[#This Row],[GroupByKey]])*OutputTable[RecordedValue]))</f>
        <v>0.15172806047441101</v>
      </c>
    </row>
    <row r="706" spans="1:16" x14ac:dyDescent="0.25">
      <c r="A706" t="s">
        <v>67</v>
      </c>
      <c r="B706" t="s">
        <v>243</v>
      </c>
      <c r="C706">
        <v>9</v>
      </c>
      <c r="D706" t="s">
        <v>171</v>
      </c>
      <c r="E706" t="s">
        <v>152</v>
      </c>
      <c r="F706" t="s">
        <v>113</v>
      </c>
      <c r="G706">
        <v>8234</v>
      </c>
      <c r="H706">
        <v>0</v>
      </c>
      <c r="I706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706" cm="1">
        <f t="array" ref="J706">MAX(IF((ProjectInfoTable[ProjectName]=OutputTable[[#This Row],[ProjectName]]),(ProjectInfoTable[ProjectName]=OutputTable[[#This Row],[ProjectName]])*ProjectInfoTable[NumberOfReplications]))</f>
        <v>10</v>
      </c>
      <c r="K706" cm="1">
        <f t="array" ref="K706">IFERROR(AVERAGE(IF((OutputTable[GroupByKey]=OutputTable[[#This Row],[GroupByKey]]),(OutputTable[GroupByKey]=OutputTable[[#This Row],[GroupByKey]])*OutputTable[RecordedValue])),0)</f>
        <v>8235</v>
      </c>
      <c r="L706" cm="1">
        <f t="array" ref="L706">IFERROR(_xlfn.STDEV.S(IF((OutputTable[GroupByKey]=OutputTable[[#This Row],[GroupByKey]]),(OutputTable[GroupByKey]=OutputTable[[#This Row],[GroupByKey]])*OutputTable[RecordedValue])),0)</f>
        <v>6.5659052011974035</v>
      </c>
      <c r="M706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706" cm="1">
        <f t="array" ref="O706">MIN(IF((OutputTable[GroupByKey]=OutputTable[[#This Row],[GroupByKey]]),(OutputTable[GroupByKey]=OutputTable[[#This Row],[GroupByKey]])*OutputTable[RecordedValue]))</f>
        <v>8223</v>
      </c>
      <c r="P706" cm="1">
        <f t="array" ref="P706">MAX(IF((OutputTable[GroupByKey]=OutputTable[[#This Row],[GroupByKey]]),(OutputTable[GroupByKey]=OutputTable[[#This Row],[GroupByKey]])*OutputTable[RecordedValue]))</f>
        <v>8245</v>
      </c>
    </row>
    <row r="707" spans="1:16" x14ac:dyDescent="0.25">
      <c r="A707" t="s">
        <v>67</v>
      </c>
      <c r="B707" t="s">
        <v>243</v>
      </c>
      <c r="C707">
        <v>9</v>
      </c>
      <c r="D707" t="s">
        <v>172</v>
      </c>
      <c r="E707" t="s">
        <v>154</v>
      </c>
      <c r="F707" t="s">
        <v>113</v>
      </c>
      <c r="G707">
        <v>0.76791739835693196</v>
      </c>
      <c r="H707">
        <v>0</v>
      </c>
      <c r="I707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707" cm="1">
        <f t="array" ref="J707">MAX(IF((ProjectInfoTable[ProjectName]=OutputTable[[#This Row],[ProjectName]]),(ProjectInfoTable[ProjectName]=OutputTable[[#This Row],[ProjectName]])*ProjectInfoTable[NumberOfReplications]))</f>
        <v>10</v>
      </c>
      <c r="K707" cm="1">
        <f t="array" ref="K707">IFERROR(AVERAGE(IF((OutputTable[GroupByKey]=OutputTable[[#This Row],[GroupByKey]]),(OutputTable[GroupByKey]=OutputTable[[#This Row],[GroupByKey]])*OutputTable[RecordedValue])),0)</f>
        <v>0.84558522180863771</v>
      </c>
      <c r="L707" cm="1">
        <f t="array" ref="L707">IFERROR(_xlfn.STDEV.S(IF((OutputTable[GroupByKey]=OutputTable[[#This Row],[GroupByKey]]),(OutputTable[GroupByKey]=OutputTable[[#This Row],[GroupByKey]])*OutputTable[RecordedValue])),0)</f>
        <v>0.11694354024491282</v>
      </c>
      <c r="M707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8.3656369122856733E-2</v>
      </c>
      <c r="O707" cm="1">
        <f t="array" ref="O707">MIN(IF((OutputTable[GroupByKey]=OutputTable[[#This Row],[GroupByKey]]),(OutputTable[GroupByKey]=OutputTable[[#This Row],[GroupByKey]])*OutputTable[RecordedValue]))</f>
        <v>0.625269422960122</v>
      </c>
      <c r="P707" cm="1">
        <f t="array" ref="P707">MAX(IF((OutputTable[GroupByKey]=OutputTable[[#This Row],[GroupByKey]]),(OutputTable[GroupByKey]=OutputTable[[#This Row],[GroupByKey]])*OutputTable[RecordedValue]))</f>
        <v>0.95234896906597499</v>
      </c>
    </row>
    <row r="708" spans="1:16" x14ac:dyDescent="0.25">
      <c r="A708" t="s">
        <v>67</v>
      </c>
      <c r="B708" t="s">
        <v>243</v>
      </c>
      <c r="C708">
        <v>9</v>
      </c>
      <c r="D708" t="s">
        <v>173</v>
      </c>
      <c r="E708" t="s">
        <v>152</v>
      </c>
      <c r="F708" t="s">
        <v>113</v>
      </c>
      <c r="G708">
        <v>8233</v>
      </c>
      <c r="H708">
        <v>0</v>
      </c>
      <c r="I708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708" cm="1">
        <f t="array" ref="J708">MAX(IF((ProjectInfoTable[ProjectName]=OutputTable[[#This Row],[ProjectName]]),(ProjectInfoTable[ProjectName]=OutputTable[[#This Row],[ProjectName]])*ProjectInfoTable[NumberOfReplications]))</f>
        <v>10</v>
      </c>
      <c r="K708" cm="1">
        <f t="array" ref="K708">IFERROR(AVERAGE(IF((OutputTable[GroupByKey]=OutputTable[[#This Row],[GroupByKey]]),(OutputTable[GroupByKey]=OutputTable[[#This Row],[GroupByKey]])*OutputTable[RecordedValue])),0)</f>
        <v>8233.5</v>
      </c>
      <c r="L708" cm="1">
        <f t="array" ref="L708">IFERROR(_xlfn.STDEV.S(IF((OutputTable[GroupByKey]=OutputTable[[#This Row],[GroupByKey]]),(OutputTable[GroupByKey]=OutputTable[[#This Row],[GroupByKey]])*OutputTable[RecordedValue])),0)</f>
        <v>6.5021364010437201</v>
      </c>
      <c r="M708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708" cm="1">
        <f t="array" ref="O708">MIN(IF((OutputTable[GroupByKey]=OutputTable[[#This Row],[GroupByKey]]),(OutputTable[GroupByKey]=OutputTable[[#This Row],[GroupByKey]])*OutputTable[RecordedValue]))</f>
        <v>8221</v>
      </c>
      <c r="P708" cm="1">
        <f t="array" ref="P708">MAX(IF((OutputTable[GroupByKey]=OutputTable[[#This Row],[GroupByKey]]),(OutputTable[GroupByKey]=OutputTable[[#This Row],[GroupByKey]])*OutputTable[RecordedValue]))</f>
        <v>8243</v>
      </c>
    </row>
    <row r="709" spans="1:16" x14ac:dyDescent="0.25">
      <c r="A709" t="s">
        <v>67</v>
      </c>
      <c r="B709" t="s">
        <v>243</v>
      </c>
      <c r="C709">
        <v>9</v>
      </c>
      <c r="D709" t="s">
        <v>174</v>
      </c>
      <c r="E709" t="s">
        <v>154</v>
      </c>
      <c r="F709" t="s">
        <v>113</v>
      </c>
      <c r="G709">
        <v>0.67060354368791897</v>
      </c>
      <c r="H709">
        <v>0</v>
      </c>
      <c r="I709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709" cm="1">
        <f t="array" ref="J709">MAX(IF((ProjectInfoTable[ProjectName]=OutputTable[[#This Row],[ProjectName]]),(ProjectInfoTable[ProjectName]=OutputTable[[#This Row],[ProjectName]])*ProjectInfoTable[NumberOfReplications]))</f>
        <v>10</v>
      </c>
      <c r="K709" cm="1">
        <f t="array" ref="K709">IFERROR(AVERAGE(IF((OutputTable[GroupByKey]=OutputTable[[#This Row],[GroupByKey]]),(OutputTable[GroupByKey]=OutputTable[[#This Row],[GroupByKey]])*OutputTable[RecordedValue])),0)</f>
        <v>0.74077431571180286</v>
      </c>
      <c r="L709" cm="1">
        <f t="array" ref="L709">IFERROR(_xlfn.STDEV.S(IF((OutputTable[GroupByKey]=OutputTable[[#This Row],[GroupByKey]]),(OutputTable[GroupByKey]=OutputTable[[#This Row],[GroupByKey]])*OutputTable[RecordedValue])),0)</f>
        <v>6.1280007141721847E-2</v>
      </c>
      <c r="M709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4.3837076306762375E-2</v>
      </c>
      <c r="O709" cm="1">
        <f t="array" ref="O709">MIN(IF((OutputTable[GroupByKey]=OutputTable[[#This Row],[GroupByKey]]),(OutputTable[GroupByKey]=OutputTable[[#This Row],[GroupByKey]])*OutputTable[RecordedValue]))</f>
        <v>0.67060354368791897</v>
      </c>
      <c r="P709" cm="1">
        <f t="array" ref="P709">MAX(IF((OutputTable[GroupByKey]=OutputTable[[#This Row],[GroupByKey]]),(OutputTable[GroupByKey]=OutputTable[[#This Row],[GroupByKey]])*OutputTable[RecordedValue]))</f>
        <v>0.87728997349342697</v>
      </c>
    </row>
    <row r="710" spans="1:16" x14ac:dyDescent="0.25">
      <c r="A710" t="s">
        <v>67</v>
      </c>
      <c r="B710" t="s">
        <v>243</v>
      </c>
      <c r="C710">
        <v>9</v>
      </c>
      <c r="D710" t="s">
        <v>175</v>
      </c>
      <c r="E710" t="s">
        <v>152</v>
      </c>
      <c r="F710" t="s">
        <v>113</v>
      </c>
      <c r="G710">
        <v>8232</v>
      </c>
      <c r="H710">
        <v>0</v>
      </c>
      <c r="I710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710" cm="1">
        <f t="array" ref="J710">MAX(IF((ProjectInfoTable[ProjectName]=OutputTable[[#This Row],[ProjectName]]),(ProjectInfoTable[ProjectName]=OutputTable[[#This Row],[ProjectName]])*ProjectInfoTable[NumberOfReplications]))</f>
        <v>10</v>
      </c>
      <c r="K710" cm="1">
        <f t="array" ref="K710">IFERROR(AVERAGE(IF((OutputTable[GroupByKey]=OutputTable[[#This Row],[GroupByKey]]),(OutputTable[GroupByKey]=OutputTable[[#This Row],[GroupByKey]])*OutputTable[RecordedValue])),0)</f>
        <v>8231.5</v>
      </c>
      <c r="L710" cm="1">
        <f t="array" ref="L710">IFERROR(_xlfn.STDEV.S(IF((OutputTable[GroupByKey]=OutputTable[[#This Row],[GroupByKey]]),(OutputTable[GroupByKey]=OutputTable[[#This Row],[GroupByKey]])*OutputTable[RecordedValue])),0)</f>
        <v>6.3464775882199236</v>
      </c>
      <c r="M710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710" cm="1">
        <f t="array" ref="O710">MIN(IF((OutputTable[GroupByKey]=OutputTable[[#This Row],[GroupByKey]]),(OutputTable[GroupByKey]=OutputTable[[#This Row],[GroupByKey]])*OutputTable[RecordedValue]))</f>
        <v>8220</v>
      </c>
      <c r="P710" cm="1">
        <f t="array" ref="P710">MAX(IF((OutputTable[GroupByKey]=OutputTable[[#This Row],[GroupByKey]]),(OutputTable[GroupByKey]=OutputTable[[#This Row],[GroupByKey]])*OutputTable[RecordedValue]))</f>
        <v>8241</v>
      </c>
    </row>
    <row r="711" spans="1:16" x14ac:dyDescent="0.25">
      <c r="A711" t="s">
        <v>67</v>
      </c>
      <c r="B711" t="s">
        <v>243</v>
      </c>
      <c r="C711">
        <v>9</v>
      </c>
      <c r="D711" t="s">
        <v>176</v>
      </c>
      <c r="E711" t="s">
        <v>154</v>
      </c>
      <c r="F711" t="s">
        <v>113</v>
      </c>
      <c r="G711">
        <v>0.576472905152423</v>
      </c>
      <c r="H711">
        <v>0</v>
      </c>
      <c r="I711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711" cm="1">
        <f t="array" ref="J711">MAX(IF((ProjectInfoTable[ProjectName]=OutputTable[[#This Row],[ProjectName]]),(ProjectInfoTable[ProjectName]=OutputTable[[#This Row],[ProjectName]])*ProjectInfoTable[NumberOfReplications]))</f>
        <v>10</v>
      </c>
      <c r="K711" cm="1">
        <f t="array" ref="K711">IFERROR(AVERAGE(IF((OutputTable[GroupByKey]=OutputTable[[#This Row],[GroupByKey]]),(OutputTable[GroupByKey]=OutputTable[[#This Row],[GroupByKey]])*OutputTable[RecordedValue])),0)</f>
        <v>0.52391445815006699</v>
      </c>
      <c r="L711" cm="1">
        <f t="array" ref="L711">IFERROR(_xlfn.STDEV.S(IF((OutputTable[GroupByKey]=OutputTable[[#This Row],[GroupByKey]]),(OutputTable[GroupByKey]=OutputTable[[#This Row],[GroupByKey]])*OutputTable[RecordedValue])),0)</f>
        <v>7.0460308415606909E-2</v>
      </c>
      <c r="M711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5.0404268221927347E-2</v>
      </c>
      <c r="O711" cm="1">
        <f t="array" ref="O711">MIN(IF((OutputTable[GroupByKey]=OutputTable[[#This Row],[GroupByKey]]),(OutputTable[GroupByKey]=OutputTable[[#This Row],[GroupByKey]])*OutputTable[RecordedValue]))</f>
        <v>0.36555656561218303</v>
      </c>
      <c r="P711" cm="1">
        <f t="array" ref="P711">MAX(IF((OutputTable[GroupByKey]=OutputTable[[#This Row],[GroupByKey]]),(OutputTable[GroupByKey]=OutputTable[[#This Row],[GroupByKey]])*OutputTable[RecordedValue]))</f>
        <v>0.59886206518967</v>
      </c>
    </row>
    <row r="712" spans="1:16" x14ac:dyDescent="0.25">
      <c r="A712" t="s">
        <v>67</v>
      </c>
      <c r="B712" t="s">
        <v>243</v>
      </c>
      <c r="C712">
        <v>9</v>
      </c>
      <c r="D712" t="s">
        <v>177</v>
      </c>
      <c r="E712" t="s">
        <v>152</v>
      </c>
      <c r="F712" t="s">
        <v>113</v>
      </c>
      <c r="G712">
        <v>8228</v>
      </c>
      <c r="H712">
        <v>0</v>
      </c>
      <c r="I712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712" cm="1">
        <f t="array" ref="J712">MAX(IF((ProjectInfoTable[ProjectName]=OutputTable[[#This Row],[ProjectName]]),(ProjectInfoTable[ProjectName]=OutputTable[[#This Row],[ProjectName]])*ProjectInfoTable[NumberOfReplications]))</f>
        <v>10</v>
      </c>
      <c r="K712" cm="1">
        <f t="array" ref="K712">IFERROR(AVERAGE(IF((OutputTable[GroupByKey]=OutputTable[[#This Row],[GroupByKey]]),(OutputTable[GroupByKey]=OutputTable[[#This Row],[GroupByKey]])*OutputTable[RecordedValue])),0)</f>
        <v>8227.7000000000007</v>
      </c>
      <c r="L712" cm="1">
        <f t="array" ref="L712">IFERROR(_xlfn.STDEV.S(IF((OutputTable[GroupByKey]=OutputTable[[#This Row],[GroupByKey]]),(OutputTable[GroupByKey]=OutputTable[[#This Row],[GroupByKey]])*OutputTable[RecordedValue])),0)</f>
        <v>6.2902040242480748</v>
      </c>
      <c r="M712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712" cm="1">
        <f t="array" ref="O712">MIN(IF((OutputTable[GroupByKey]=OutputTable[[#This Row],[GroupByKey]]),(OutputTable[GroupByKey]=OutputTable[[#This Row],[GroupByKey]])*OutputTable[RecordedValue]))</f>
        <v>8216</v>
      </c>
      <c r="P712" cm="1">
        <f t="array" ref="P712">MAX(IF((OutputTable[GroupByKey]=OutputTable[[#This Row],[GroupByKey]]),(OutputTable[GroupByKey]=OutputTable[[#This Row],[GroupByKey]])*OutputTable[RecordedValue]))</f>
        <v>8237</v>
      </c>
    </row>
    <row r="713" spans="1:16" x14ac:dyDescent="0.25">
      <c r="A713" t="s">
        <v>67</v>
      </c>
      <c r="B713" t="s">
        <v>243</v>
      </c>
      <c r="C713">
        <v>9</v>
      </c>
      <c r="D713" t="s">
        <v>178</v>
      </c>
      <c r="E713" t="s">
        <v>154</v>
      </c>
      <c r="F713" t="s">
        <v>113</v>
      </c>
      <c r="G713">
        <v>0.14963690394859999</v>
      </c>
      <c r="H713">
        <v>0</v>
      </c>
      <c r="I713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713" cm="1">
        <f t="array" ref="J713">MAX(IF((ProjectInfoTable[ProjectName]=OutputTable[[#This Row],[ProjectName]]),(ProjectInfoTable[ProjectName]=OutputTable[[#This Row],[ProjectName]])*ProjectInfoTable[NumberOfReplications]))</f>
        <v>10</v>
      </c>
      <c r="K713" cm="1">
        <f t="array" ref="K713">IFERROR(AVERAGE(IF((OutputTable[GroupByKey]=OutputTable[[#This Row],[GroupByKey]]),(OutputTable[GroupByKey]=OutputTable[[#This Row],[GroupByKey]])*OutputTable[RecordedValue])),0)</f>
        <v>0.14955853655775292</v>
      </c>
      <c r="L713" cm="1">
        <f t="array" ref="L713">IFERROR(_xlfn.STDEV.S(IF((OutputTable[GroupByKey]=OutputTable[[#This Row],[GroupByKey]]),(OutputTable[GroupByKey]=OutputTable[[#This Row],[GroupByKey]])*OutputTable[RecordedValue])),0)</f>
        <v>1.8487754554887928E-4</v>
      </c>
      <c r="M713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1.3225342896729691E-4</v>
      </c>
      <c r="O713" cm="1">
        <f t="array" ref="O713">MIN(IF((OutputTable[GroupByKey]=OutputTable[[#This Row],[GroupByKey]]),(OutputTable[GroupByKey]=OutputTable[[#This Row],[GroupByKey]])*OutputTable[RecordedValue]))</f>
        <v>0.14921189842985499</v>
      </c>
      <c r="P713" cm="1">
        <f t="array" ref="P713">MAX(IF((OutputTable[GroupByKey]=OutputTable[[#This Row],[GroupByKey]]),(OutputTable[GroupByKey]=OutputTable[[#This Row],[GroupByKey]])*OutputTable[RecordedValue]))</f>
        <v>0.14985050053976801</v>
      </c>
    </row>
    <row r="714" spans="1:16" x14ac:dyDescent="0.25">
      <c r="A714" t="s">
        <v>67</v>
      </c>
      <c r="B714" t="s">
        <v>243</v>
      </c>
      <c r="C714">
        <v>9</v>
      </c>
      <c r="D714" t="s">
        <v>179</v>
      </c>
      <c r="E714" t="s">
        <v>152</v>
      </c>
      <c r="F714" t="s">
        <v>113</v>
      </c>
      <c r="G714">
        <v>18405</v>
      </c>
      <c r="H714">
        <v>0</v>
      </c>
      <c r="I714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714" cm="1">
        <f t="array" ref="J714">MAX(IF((ProjectInfoTable[ProjectName]=OutputTable[[#This Row],[ProjectName]]),(ProjectInfoTable[ProjectName]=OutputTable[[#This Row],[ProjectName]])*ProjectInfoTable[NumberOfReplications]))</f>
        <v>10</v>
      </c>
      <c r="K714" cm="1">
        <f t="array" ref="K714">IFERROR(AVERAGE(IF((OutputTable[GroupByKey]=OutputTable[[#This Row],[GroupByKey]]),(OutputTable[GroupByKey]=OutputTable[[#This Row],[GroupByKey]])*OutputTable[RecordedValue])),0)</f>
        <v>18392</v>
      </c>
      <c r="L714" cm="1">
        <f t="array" ref="L714">IFERROR(_xlfn.STDEV.S(IF((OutputTable[GroupByKey]=OutputTable[[#This Row],[GroupByKey]]),(OutputTable[GroupByKey]=OutputTable[[#This Row],[GroupByKey]])*OutputTable[RecordedValue])),0)</f>
        <v>12.884098726725126</v>
      </c>
      <c r="M714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714" cm="1">
        <f t="array" ref="O714">MIN(IF((OutputTable[GroupByKey]=OutputTable[[#This Row],[GroupByKey]]),(OutputTable[GroupByKey]=OutputTable[[#This Row],[GroupByKey]])*OutputTable[RecordedValue]))</f>
        <v>18376</v>
      </c>
      <c r="P714" cm="1">
        <f t="array" ref="P714">MAX(IF((OutputTable[GroupByKey]=OutputTable[[#This Row],[GroupByKey]]),(OutputTable[GroupByKey]=OutputTable[[#This Row],[GroupByKey]])*OutputTable[RecordedValue]))</f>
        <v>18407</v>
      </c>
    </row>
    <row r="715" spans="1:16" x14ac:dyDescent="0.25">
      <c r="A715" t="s">
        <v>67</v>
      </c>
      <c r="B715" t="s">
        <v>243</v>
      </c>
      <c r="C715">
        <v>9</v>
      </c>
      <c r="D715" t="s">
        <v>180</v>
      </c>
      <c r="E715" t="s">
        <v>154</v>
      </c>
      <c r="F715" t="s">
        <v>113</v>
      </c>
      <c r="G715">
        <v>0.71327089804470101</v>
      </c>
      <c r="H715">
        <v>0</v>
      </c>
      <c r="I715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715" cm="1">
        <f t="array" ref="J715">MAX(IF((ProjectInfoTable[ProjectName]=OutputTable[[#This Row],[ProjectName]]),(ProjectInfoTable[ProjectName]=OutputTable[[#This Row],[ProjectName]])*ProjectInfoTable[NumberOfReplications]))</f>
        <v>10</v>
      </c>
      <c r="K715" cm="1">
        <f t="array" ref="K715">IFERROR(AVERAGE(IF((OutputTable[GroupByKey]=OutputTable[[#This Row],[GroupByKey]]),(OutputTable[GroupByKey]=OutputTable[[#This Row],[GroupByKey]])*OutputTable[RecordedValue])),0)</f>
        <v>0.78490250681152463</v>
      </c>
      <c r="L715" cm="1">
        <f t="array" ref="L715">IFERROR(_xlfn.STDEV.S(IF((OutputTable[GroupByKey]=OutputTable[[#This Row],[GroupByKey]]),(OutputTable[GroupByKey]=OutputTable[[#This Row],[GroupByKey]])*OutputTable[RecordedValue])),0)</f>
        <v>0.11345978752761485</v>
      </c>
      <c r="M71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8.1164242557843561E-2</v>
      </c>
      <c r="O715" cm="1">
        <f t="array" ref="O715">MIN(IF((OutputTable[GroupByKey]=OutputTable[[#This Row],[GroupByKey]]),(OutputTable[GroupByKey]=OutputTable[[#This Row],[GroupByKey]])*OutputTable[RecordedValue]))</f>
        <v>0.58338388917401596</v>
      </c>
      <c r="P715" cm="1">
        <f t="array" ref="P715">MAX(IF((OutputTable[GroupByKey]=OutputTable[[#This Row],[GroupByKey]]),(OutputTable[GroupByKey]=OutputTable[[#This Row],[GroupByKey]])*OutputTable[RecordedValue]))</f>
        <v>0.90111632059041802</v>
      </c>
    </row>
    <row r="716" spans="1:16" x14ac:dyDescent="0.25">
      <c r="A716" t="s">
        <v>67</v>
      </c>
      <c r="B716" t="s">
        <v>243</v>
      </c>
      <c r="C716">
        <v>9</v>
      </c>
      <c r="D716" t="s">
        <v>181</v>
      </c>
      <c r="E716" t="s">
        <v>152</v>
      </c>
      <c r="F716" t="s">
        <v>113</v>
      </c>
      <c r="G716">
        <v>18403</v>
      </c>
      <c r="H716">
        <v>0</v>
      </c>
      <c r="I716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716" cm="1">
        <f t="array" ref="J716">MAX(IF((ProjectInfoTable[ProjectName]=OutputTable[[#This Row],[ProjectName]]),(ProjectInfoTable[ProjectName]=OutputTable[[#This Row],[ProjectName]])*ProjectInfoTable[NumberOfReplications]))</f>
        <v>10</v>
      </c>
      <c r="K716" cm="1">
        <f t="array" ref="K716">IFERROR(AVERAGE(IF((OutputTable[GroupByKey]=OutputTable[[#This Row],[GroupByKey]]),(OutputTable[GroupByKey]=OutputTable[[#This Row],[GroupByKey]])*OutputTable[RecordedValue])),0)</f>
        <v>18389.400000000001</v>
      </c>
      <c r="L716" cm="1">
        <f t="array" ref="L716">IFERROR(_xlfn.STDEV.S(IF((OutputTable[GroupByKey]=OutputTable[[#This Row],[GroupByKey]]),(OutputTable[GroupByKey]=OutputTable[[#This Row],[GroupByKey]])*OutputTable[RecordedValue])),0)</f>
        <v>12.103259432437566</v>
      </c>
      <c r="M716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716" cm="1">
        <f t="array" ref="O716">MIN(IF((OutputTable[GroupByKey]=OutputTable[[#This Row],[GroupByKey]]),(OutputTable[GroupByKey]=OutputTable[[#This Row],[GroupByKey]])*OutputTable[RecordedValue]))</f>
        <v>18376</v>
      </c>
      <c r="P716" cm="1">
        <f t="array" ref="P716">MAX(IF((OutputTable[GroupByKey]=OutputTable[[#This Row],[GroupByKey]]),(OutputTable[GroupByKey]=OutputTable[[#This Row],[GroupByKey]])*OutputTable[RecordedValue]))</f>
        <v>18404</v>
      </c>
    </row>
    <row r="717" spans="1:16" x14ac:dyDescent="0.25">
      <c r="A717" t="s">
        <v>67</v>
      </c>
      <c r="B717" t="s">
        <v>243</v>
      </c>
      <c r="C717">
        <v>9</v>
      </c>
      <c r="D717" t="s">
        <v>182</v>
      </c>
      <c r="E717" t="s">
        <v>154</v>
      </c>
      <c r="F717" t="s">
        <v>113</v>
      </c>
      <c r="G717">
        <v>0.158791905918479</v>
      </c>
      <c r="H717">
        <v>0</v>
      </c>
      <c r="I717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717" cm="1">
        <f t="array" ref="J717">MAX(IF((ProjectInfoTable[ProjectName]=OutputTable[[#This Row],[ProjectName]]),(ProjectInfoTable[ProjectName]=OutputTable[[#This Row],[ProjectName]])*ProjectInfoTable[NumberOfReplications]))</f>
        <v>10</v>
      </c>
      <c r="K717" cm="1">
        <f t="array" ref="K717">IFERROR(AVERAGE(IF((OutputTable[GroupByKey]=OutputTable[[#This Row],[GroupByKey]]),(OutputTable[GroupByKey]=OutputTable[[#This Row],[GroupByKey]])*OutputTable[RecordedValue])),0)</f>
        <v>0.15879210791146151</v>
      </c>
      <c r="L717" cm="1">
        <f t="array" ref="L717">IFERROR(_xlfn.STDEV.S(IF((OutputTable[GroupByKey]=OutputTable[[#This Row],[GroupByKey]]),(OutputTable[GroupByKey]=OutputTable[[#This Row],[GroupByKey]])*OutputTable[RecordedValue])),0)</f>
        <v>8.8786593843692651E-6</v>
      </c>
      <c r="M717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6.3514103063698042E-6</v>
      </c>
      <c r="O717" cm="1">
        <f t="array" ref="O717">MIN(IF((OutputTable[GroupByKey]=OutputTable[[#This Row],[GroupByKey]]),(OutputTable[GroupByKey]=OutputTable[[#This Row],[GroupByKey]])*OutputTable[RecordedValue]))</f>
        <v>0.15877821852350199</v>
      </c>
      <c r="P717" cm="1">
        <f t="array" ref="P717">MAX(IF((OutputTable[GroupByKey]=OutputTable[[#This Row],[GroupByKey]]),(OutputTable[GroupByKey]=OutputTable[[#This Row],[GroupByKey]])*OutputTable[RecordedValue]))</f>
        <v>0.15880443244107401</v>
      </c>
    </row>
    <row r="718" spans="1:16" x14ac:dyDescent="0.25">
      <c r="A718" t="s">
        <v>67</v>
      </c>
      <c r="B718" t="s">
        <v>243</v>
      </c>
      <c r="C718">
        <v>9</v>
      </c>
      <c r="D718" t="s">
        <v>183</v>
      </c>
      <c r="E718" t="s">
        <v>152</v>
      </c>
      <c r="F718" t="s">
        <v>113</v>
      </c>
      <c r="G718">
        <v>13109</v>
      </c>
      <c r="H718">
        <v>0</v>
      </c>
      <c r="I718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718" cm="1">
        <f t="array" ref="J718">MAX(IF((ProjectInfoTable[ProjectName]=OutputTable[[#This Row],[ProjectName]]),(ProjectInfoTable[ProjectName]=OutputTable[[#This Row],[ProjectName]])*ProjectInfoTable[NumberOfReplications]))</f>
        <v>10</v>
      </c>
      <c r="K718" cm="1">
        <f t="array" ref="K718">IFERROR(AVERAGE(IF((OutputTable[GroupByKey]=OutputTable[[#This Row],[GroupByKey]]),(OutputTable[GroupByKey]=OutputTable[[#This Row],[GroupByKey]])*OutputTable[RecordedValue])),0)</f>
        <v>13103.5</v>
      </c>
      <c r="L718" cm="1">
        <f t="array" ref="L718">IFERROR(_xlfn.STDEV.S(IF((OutputTable[GroupByKey]=OutputTable[[#This Row],[GroupByKey]]),(OutputTable[GroupByKey]=OutputTable[[#This Row],[GroupByKey]])*OutputTable[RecordedValue])),0)</f>
        <v>11.443095929181249</v>
      </c>
      <c r="M718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718" cm="1">
        <f t="array" ref="O718">MIN(IF((OutputTable[GroupByKey]=OutputTable[[#This Row],[GroupByKey]]),(OutputTable[GroupByKey]=OutputTable[[#This Row],[GroupByKey]])*OutputTable[RecordedValue]))</f>
        <v>13087</v>
      </c>
      <c r="P718" cm="1">
        <f t="array" ref="P718">MAX(IF((OutputTable[GroupByKey]=OutputTable[[#This Row],[GroupByKey]]),(OutputTable[GroupByKey]=OutputTable[[#This Row],[GroupByKey]])*OutputTable[RecordedValue]))</f>
        <v>13120</v>
      </c>
    </row>
    <row r="719" spans="1:16" x14ac:dyDescent="0.25">
      <c r="A719" t="s">
        <v>67</v>
      </c>
      <c r="B719" t="s">
        <v>243</v>
      </c>
      <c r="C719">
        <v>9</v>
      </c>
      <c r="D719" t="s">
        <v>184</v>
      </c>
      <c r="E719" t="s">
        <v>154</v>
      </c>
      <c r="F719" t="s">
        <v>113</v>
      </c>
      <c r="G719">
        <v>1.0005692298036499</v>
      </c>
      <c r="H719">
        <v>0</v>
      </c>
      <c r="I719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719" cm="1">
        <f t="array" ref="J719">MAX(IF((ProjectInfoTable[ProjectName]=OutputTable[[#This Row],[ProjectName]]),(ProjectInfoTable[ProjectName]=OutputTable[[#This Row],[ProjectName]])*ProjectInfoTable[NumberOfReplications]))</f>
        <v>10</v>
      </c>
      <c r="K719" cm="1">
        <f t="array" ref="K719">IFERROR(AVERAGE(IF((OutputTable[GroupByKey]=OutputTable[[#This Row],[GroupByKey]]),(OutputTable[GroupByKey]=OutputTable[[#This Row],[GroupByKey]])*OutputTable[RecordedValue])),0)</f>
        <v>1.0004814685732331</v>
      </c>
      <c r="L719" cm="1">
        <f t="array" ref="L719">IFERROR(_xlfn.STDEV.S(IF((OutputTable[GroupByKey]=OutputTable[[#This Row],[GroupByKey]]),(OutputTable[GroupByKey]=OutputTable[[#This Row],[GroupByKey]])*OutputTable[RecordedValue])),0)</f>
        <v>7.4280555176725285E-5</v>
      </c>
      <c r="M719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5.3137108125005439E-5</v>
      </c>
      <c r="O719" cm="1">
        <f t="array" ref="O719">MIN(IF((OutputTable[GroupByKey]=OutputTable[[#This Row],[GroupByKey]]),(OutputTable[GroupByKey]=OutputTable[[#This Row],[GroupByKey]])*OutputTable[RecordedValue]))</f>
        <v>1.00039897320567</v>
      </c>
      <c r="P719" cm="1">
        <f t="array" ref="P719">MAX(IF((OutputTable[GroupByKey]=OutputTable[[#This Row],[GroupByKey]]),(OutputTable[GroupByKey]=OutputTable[[#This Row],[GroupByKey]])*OutputTable[RecordedValue]))</f>
        <v>1.00059414734778</v>
      </c>
    </row>
    <row r="720" spans="1:16" x14ac:dyDescent="0.25">
      <c r="A720" t="s">
        <v>67</v>
      </c>
      <c r="B720" t="s">
        <v>243</v>
      </c>
      <c r="C720">
        <v>9</v>
      </c>
      <c r="D720" t="s">
        <v>185</v>
      </c>
      <c r="E720" t="s">
        <v>152</v>
      </c>
      <c r="F720" t="s">
        <v>113</v>
      </c>
      <c r="G720">
        <v>13105</v>
      </c>
      <c r="H720">
        <v>0</v>
      </c>
      <c r="I720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720" cm="1">
        <f t="array" ref="J720">MAX(IF((ProjectInfoTable[ProjectName]=OutputTable[[#This Row],[ProjectName]]),(ProjectInfoTable[ProjectName]=OutputTable[[#This Row],[ProjectName]])*ProjectInfoTable[NumberOfReplications]))</f>
        <v>10</v>
      </c>
      <c r="K720" cm="1">
        <f t="array" ref="K720">IFERROR(AVERAGE(IF((OutputTable[GroupByKey]=OutputTable[[#This Row],[GroupByKey]]),(OutputTable[GroupByKey]=OutputTable[[#This Row],[GroupByKey]])*OutputTable[RecordedValue])),0)</f>
        <v>13100.1</v>
      </c>
      <c r="L720" cm="1">
        <f t="array" ref="L720">IFERROR(_xlfn.STDEV.S(IF((OutputTable[GroupByKey]=OutputTable[[#This Row],[GroupByKey]]),(OutputTable[GroupByKey]=OutputTable[[#This Row],[GroupByKey]])*OutputTable[RecordedValue])),0)</f>
        <v>11.46443776786866</v>
      </c>
      <c r="M720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720" cm="1">
        <f t="array" ref="O720">MIN(IF((OutputTable[GroupByKey]=OutputTable[[#This Row],[GroupByKey]]),(OutputTable[GroupByKey]=OutputTable[[#This Row],[GroupByKey]])*OutputTable[RecordedValue]))</f>
        <v>13083</v>
      </c>
      <c r="P720" cm="1">
        <f t="array" ref="P720">MAX(IF((OutputTable[GroupByKey]=OutputTable[[#This Row],[GroupByKey]]),(OutputTable[GroupByKey]=OutputTable[[#This Row],[GroupByKey]])*OutputTable[RecordedValue]))</f>
        <v>13118</v>
      </c>
    </row>
    <row r="721" spans="1:16" x14ac:dyDescent="0.25">
      <c r="A721" t="s">
        <v>67</v>
      </c>
      <c r="B721" t="s">
        <v>243</v>
      </c>
      <c r="C721">
        <v>9</v>
      </c>
      <c r="D721" t="s">
        <v>186</v>
      </c>
      <c r="E721" t="s">
        <v>154</v>
      </c>
      <c r="F721" t="s">
        <v>113</v>
      </c>
      <c r="G721">
        <v>0.72744804216956305</v>
      </c>
      <c r="H721">
        <v>0</v>
      </c>
      <c r="I721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721" cm="1">
        <f t="array" ref="J721">MAX(IF((ProjectInfoTable[ProjectName]=OutputTable[[#This Row],[ProjectName]]),(ProjectInfoTable[ProjectName]=OutputTable[[#This Row],[ProjectName]])*ProjectInfoTable[NumberOfReplications]))</f>
        <v>10</v>
      </c>
      <c r="K721" cm="1">
        <f t="array" ref="K721">IFERROR(AVERAGE(IF((OutputTable[GroupByKey]=OutputTable[[#This Row],[GroupByKey]]),(OutputTable[GroupByKey]=OutputTable[[#This Row],[GroupByKey]])*OutputTable[RecordedValue])),0)</f>
        <v>0.7279059511079462</v>
      </c>
      <c r="L721" cm="1">
        <f t="array" ref="L721">IFERROR(_xlfn.STDEV.S(IF((OutputTable[GroupByKey]=OutputTable[[#This Row],[GroupByKey]]),(OutputTable[GroupByKey]=OutputTable[[#This Row],[GroupByKey]])*OutputTable[RecordedValue])),0)</f>
        <v>7.0848304180243249E-4</v>
      </c>
      <c r="M721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5.0681823671647316E-4</v>
      </c>
      <c r="O721" cm="1">
        <f t="array" ref="O721">MIN(IF((OutputTable[GroupByKey]=OutputTable[[#This Row],[GroupByKey]]),(OutputTable[GroupByKey]=OutputTable[[#This Row],[GroupByKey]])*OutputTable[RecordedValue]))</f>
        <v>0.72665767143328297</v>
      </c>
      <c r="P721" cm="1">
        <f t="array" ref="P721">MAX(IF((OutputTable[GroupByKey]=OutputTable[[#This Row],[GroupByKey]]),(OutputTable[GroupByKey]=OutputTable[[#This Row],[GroupByKey]])*OutputTable[RecordedValue]))</f>
        <v>0.72896261310967603</v>
      </c>
    </row>
    <row r="722" spans="1:16" x14ac:dyDescent="0.25">
      <c r="A722" t="s">
        <v>67</v>
      </c>
      <c r="B722" t="s">
        <v>243</v>
      </c>
      <c r="C722">
        <v>9</v>
      </c>
      <c r="D722" t="s">
        <v>187</v>
      </c>
      <c r="E722" t="s">
        <v>152</v>
      </c>
      <c r="F722" t="s">
        <v>113</v>
      </c>
      <c r="G722">
        <v>13105</v>
      </c>
      <c r="H722">
        <v>0</v>
      </c>
      <c r="I722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722" cm="1">
        <f t="array" ref="J722">MAX(IF((ProjectInfoTable[ProjectName]=OutputTable[[#This Row],[ProjectName]]),(ProjectInfoTable[ProjectName]=OutputTable[[#This Row],[ProjectName]])*ProjectInfoTable[NumberOfReplications]))</f>
        <v>10</v>
      </c>
      <c r="K722" cm="1">
        <f t="array" ref="K722">IFERROR(AVERAGE(IF((OutputTable[GroupByKey]=OutputTable[[#This Row],[GroupByKey]]),(OutputTable[GroupByKey]=OutputTable[[#This Row],[GroupByKey]])*OutputTable[RecordedValue])),0)</f>
        <v>13099.9</v>
      </c>
      <c r="L722" cm="1">
        <f t="array" ref="L722">IFERROR(_xlfn.STDEV.S(IF((OutputTable[GroupByKey]=OutputTable[[#This Row],[GroupByKey]]),(OutputTable[GroupByKey]=OutputTable[[#This Row],[GroupByKey]])*OutputTable[RecordedValue])),0)</f>
        <v>11.761046816598522</v>
      </c>
      <c r="M722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722" cm="1">
        <f t="array" ref="O722">MIN(IF((OutputTable[GroupByKey]=OutputTable[[#This Row],[GroupByKey]]),(OutputTable[GroupByKey]=OutputTable[[#This Row],[GroupByKey]])*OutputTable[RecordedValue]))</f>
        <v>13082</v>
      </c>
      <c r="P722" cm="1">
        <f t="array" ref="P722">MAX(IF((OutputTable[GroupByKey]=OutputTable[[#This Row],[GroupByKey]]),(OutputTable[GroupByKey]=OutputTable[[#This Row],[GroupByKey]])*OutputTable[RecordedValue]))</f>
        <v>13118</v>
      </c>
    </row>
    <row r="723" spans="1:16" x14ac:dyDescent="0.25">
      <c r="A723" t="s">
        <v>67</v>
      </c>
      <c r="B723" t="s">
        <v>243</v>
      </c>
      <c r="C723">
        <v>9</v>
      </c>
      <c r="D723" t="s">
        <v>188</v>
      </c>
      <c r="E723" t="s">
        <v>154</v>
      </c>
      <c r="F723" t="s">
        <v>113</v>
      </c>
      <c r="G723">
        <v>0.95516468943993305</v>
      </c>
      <c r="H723">
        <v>0</v>
      </c>
      <c r="I723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723" cm="1">
        <f t="array" ref="J723">MAX(IF((ProjectInfoTable[ProjectName]=OutputTable[[#This Row],[ProjectName]]),(ProjectInfoTable[ProjectName]=OutputTable[[#This Row],[ProjectName]])*ProjectInfoTable[NumberOfReplications]))</f>
        <v>10</v>
      </c>
      <c r="K723" cm="1">
        <f t="array" ref="K723">IFERROR(AVERAGE(IF((OutputTable[GroupByKey]=OutputTable[[#This Row],[GroupByKey]]),(OutputTable[GroupByKey]=OutputTable[[#This Row],[GroupByKey]])*OutputTable[RecordedValue])),0)</f>
        <v>0.95483842565389732</v>
      </c>
      <c r="L723" cm="1">
        <f t="array" ref="L723">IFERROR(_xlfn.STDEV.S(IF((OutputTable[GroupByKey]=OutputTable[[#This Row],[GroupByKey]]),(OutputTable[GroupByKey]=OutputTable[[#This Row],[GroupByKey]])*OutputTable[RecordedValue])),0)</f>
        <v>7.6849017135544289E-4</v>
      </c>
      <c r="M723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5.497447512496955E-4</v>
      </c>
      <c r="O723" cm="1">
        <f t="array" ref="O723">MIN(IF((OutputTable[GroupByKey]=OutputTable[[#This Row],[GroupByKey]]),(OutputTable[GroupByKey]=OutputTable[[#This Row],[GroupByKey]])*OutputTable[RecordedValue]))</f>
        <v>0.95348679569453398</v>
      </c>
      <c r="P723" cm="1">
        <f t="array" ref="P723">MAX(IF((OutputTable[GroupByKey]=OutputTable[[#This Row],[GroupByKey]]),(OutputTable[GroupByKey]=OutputTable[[#This Row],[GroupByKey]])*OutputTable[RecordedValue]))</f>
        <v>0.95588678098879198</v>
      </c>
    </row>
    <row r="724" spans="1:16" x14ac:dyDescent="0.25">
      <c r="A724" t="s">
        <v>67</v>
      </c>
      <c r="B724" t="s">
        <v>243</v>
      </c>
      <c r="C724">
        <v>9</v>
      </c>
      <c r="D724" t="s">
        <v>189</v>
      </c>
      <c r="E724" t="s">
        <v>152</v>
      </c>
      <c r="F724" t="s">
        <v>113</v>
      </c>
      <c r="G724">
        <v>8234</v>
      </c>
      <c r="H724">
        <v>0</v>
      </c>
      <c r="I724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724" cm="1">
        <f t="array" ref="J724">MAX(IF((ProjectInfoTable[ProjectName]=OutputTable[[#This Row],[ProjectName]]),(ProjectInfoTable[ProjectName]=OutputTable[[#This Row],[ProjectName]])*ProjectInfoTable[NumberOfReplications]))</f>
        <v>10</v>
      </c>
      <c r="K724" cm="1">
        <f t="array" ref="K724">IFERROR(AVERAGE(IF((OutputTable[GroupByKey]=OutputTable[[#This Row],[GroupByKey]]),(OutputTable[GroupByKey]=OutputTable[[#This Row],[GroupByKey]])*OutputTable[RecordedValue])),0)</f>
        <v>8235</v>
      </c>
      <c r="L724" cm="1">
        <f t="array" ref="L724">IFERROR(_xlfn.STDEV.S(IF((OutputTable[GroupByKey]=OutputTable[[#This Row],[GroupByKey]]),(OutputTable[GroupByKey]=OutputTable[[#This Row],[GroupByKey]])*OutputTable[RecordedValue])),0)</f>
        <v>6.5659052011974035</v>
      </c>
      <c r="M724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724" cm="1">
        <f t="array" ref="O724">MIN(IF((OutputTable[GroupByKey]=OutputTable[[#This Row],[GroupByKey]]),(OutputTable[GroupByKey]=OutputTable[[#This Row],[GroupByKey]])*OutputTable[RecordedValue]))</f>
        <v>8223</v>
      </c>
      <c r="P724" cm="1">
        <f t="array" ref="P724">MAX(IF((OutputTable[GroupByKey]=OutputTable[[#This Row],[GroupByKey]]),(OutputTable[GroupByKey]=OutputTable[[#This Row],[GroupByKey]])*OutputTable[RecordedValue]))</f>
        <v>8245</v>
      </c>
    </row>
    <row r="725" spans="1:16" x14ac:dyDescent="0.25">
      <c r="A725" t="s">
        <v>67</v>
      </c>
      <c r="B725" t="s">
        <v>243</v>
      </c>
      <c r="C725">
        <v>9</v>
      </c>
      <c r="D725" t="s">
        <v>190</v>
      </c>
      <c r="E725" t="s">
        <v>154</v>
      </c>
      <c r="F725" t="s">
        <v>113</v>
      </c>
      <c r="G725">
        <v>0.48560638966303898</v>
      </c>
      <c r="H725">
        <v>0</v>
      </c>
      <c r="I725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725" cm="1">
        <f t="array" ref="J725">MAX(IF((ProjectInfoTable[ProjectName]=OutputTable[[#This Row],[ProjectName]]),(ProjectInfoTable[ProjectName]=OutputTable[[#This Row],[ProjectName]])*ProjectInfoTable[NumberOfReplications]))</f>
        <v>10</v>
      </c>
      <c r="K725" cm="1">
        <f t="array" ref="K725">IFERROR(AVERAGE(IF((OutputTable[GroupByKey]=OutputTable[[#This Row],[GroupByKey]]),(OutputTable[GroupByKey]=OutputTable[[#This Row],[GroupByKey]])*OutputTable[RecordedValue])),0)</f>
        <v>0.48622459141633045</v>
      </c>
      <c r="L725" cm="1">
        <f t="array" ref="L725">IFERROR(_xlfn.STDEV.S(IF((OutputTable[GroupByKey]=OutputTable[[#This Row],[GroupByKey]]),(OutputTable[GroupByKey]=OutputTable[[#This Row],[GroupByKey]])*OutputTable[RecordedValue])),0)</f>
        <v>7.2585329819825151E-4</v>
      </c>
      <c r="M72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5.1924416958770345E-4</v>
      </c>
      <c r="O725" cm="1">
        <f t="array" ref="O725">MIN(IF((OutputTable[GroupByKey]=OutputTable[[#This Row],[GroupByKey]]),(OutputTable[GroupByKey]=OutputTable[[#This Row],[GroupByKey]])*OutputTable[RecordedValue]))</f>
        <v>0.48503601840289501</v>
      </c>
      <c r="P725" cm="1">
        <f t="array" ref="P725">MAX(IF((OutputTable[GroupByKey]=OutputTable[[#This Row],[GroupByKey]]),(OutputTable[GroupByKey]=OutputTable[[#This Row],[GroupByKey]])*OutputTable[RecordedValue]))</f>
        <v>0.48724920721519499</v>
      </c>
    </row>
    <row r="726" spans="1:16" x14ac:dyDescent="0.25">
      <c r="A726" t="s">
        <v>67</v>
      </c>
      <c r="B726" t="s">
        <v>243</v>
      </c>
      <c r="C726">
        <v>9</v>
      </c>
      <c r="D726" t="s">
        <v>191</v>
      </c>
      <c r="E726" t="s">
        <v>152</v>
      </c>
      <c r="F726" t="s">
        <v>113</v>
      </c>
      <c r="G726">
        <v>8233</v>
      </c>
      <c r="H726">
        <v>0</v>
      </c>
      <c r="I726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726" cm="1">
        <f t="array" ref="J726">MAX(IF((ProjectInfoTable[ProjectName]=OutputTable[[#This Row],[ProjectName]]),(ProjectInfoTable[ProjectName]=OutputTable[[#This Row],[ProjectName]])*ProjectInfoTable[NumberOfReplications]))</f>
        <v>10</v>
      </c>
      <c r="K726" cm="1">
        <f t="array" ref="K726">IFERROR(AVERAGE(IF((OutputTable[GroupByKey]=OutputTable[[#This Row],[GroupByKey]]),(OutputTable[GroupByKey]=OutputTable[[#This Row],[GroupByKey]])*OutputTable[RecordedValue])),0)</f>
        <v>8233.5</v>
      </c>
      <c r="L726" cm="1">
        <f t="array" ref="L726">IFERROR(_xlfn.STDEV.S(IF((OutputTable[GroupByKey]=OutputTable[[#This Row],[GroupByKey]]),(OutputTable[GroupByKey]=OutputTable[[#This Row],[GroupByKey]])*OutputTable[RecordedValue])),0)</f>
        <v>6.5021364010437201</v>
      </c>
      <c r="M726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726" cm="1">
        <f t="array" ref="O726">MIN(IF((OutputTable[GroupByKey]=OutputTable[[#This Row],[GroupByKey]]),(OutputTable[GroupByKey]=OutputTable[[#This Row],[GroupByKey]])*OutputTable[RecordedValue]))</f>
        <v>8221</v>
      </c>
      <c r="P726" cm="1">
        <f t="array" ref="P726">MAX(IF((OutputTable[GroupByKey]=OutputTable[[#This Row],[GroupByKey]]),(OutputTable[GroupByKey]=OutputTable[[#This Row],[GroupByKey]])*OutputTable[RecordedValue]))</f>
        <v>8243</v>
      </c>
    </row>
    <row r="727" spans="1:16" x14ac:dyDescent="0.25">
      <c r="A727" t="s">
        <v>67</v>
      </c>
      <c r="B727" t="s">
        <v>243</v>
      </c>
      <c r="C727">
        <v>9</v>
      </c>
      <c r="D727" t="s">
        <v>192</v>
      </c>
      <c r="E727" t="s">
        <v>154</v>
      </c>
      <c r="F727" t="s">
        <v>113</v>
      </c>
      <c r="G727">
        <v>0.57192062592470805</v>
      </c>
      <c r="H727">
        <v>0</v>
      </c>
      <c r="I727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727" cm="1">
        <f t="array" ref="J727">MAX(IF((ProjectInfoTable[ProjectName]=OutputTable[[#This Row],[ProjectName]]),(ProjectInfoTable[ProjectName]=OutputTable[[#This Row],[ProjectName]])*ProjectInfoTable[NumberOfReplications]))</f>
        <v>10</v>
      </c>
      <c r="K727" cm="1">
        <f t="array" ref="K727">IFERROR(AVERAGE(IF((OutputTable[GroupByKey]=OutputTable[[#This Row],[GroupByKey]]),(OutputTable[GroupByKey]=OutputTable[[#This Row],[GroupByKey]])*OutputTable[RecordedValue])),0)</f>
        <v>0.57195959594019841</v>
      </c>
      <c r="L727" cm="1">
        <f t="array" ref="L727">IFERROR(_xlfn.STDEV.S(IF((OutputTable[GroupByKey]=OutputTable[[#This Row],[GroupByKey]]),(OutputTable[GroupByKey]=OutputTable[[#This Row],[GroupByKey]])*OutputTable[RecordedValue])),0)</f>
        <v>5.0695895005827636E-4</v>
      </c>
      <c r="M727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3.6265658596782525E-4</v>
      </c>
      <c r="O727" cm="1">
        <f t="array" ref="O727">MIN(IF((OutputTable[GroupByKey]=OutputTable[[#This Row],[GroupByKey]]),(OutputTable[GroupByKey]=OutputTable[[#This Row],[GroupByKey]])*OutputTable[RecordedValue]))</f>
        <v>0.57115702440598504</v>
      </c>
      <c r="P727" cm="1">
        <f t="array" ref="P727">MAX(IF((OutputTable[GroupByKey]=OutputTable[[#This Row],[GroupByKey]]),(OutputTable[GroupByKey]=OutputTable[[#This Row],[GroupByKey]])*OutputTable[RecordedValue]))</f>
        <v>0.57294957522841605</v>
      </c>
    </row>
    <row r="728" spans="1:16" x14ac:dyDescent="0.25">
      <c r="A728" t="s">
        <v>67</v>
      </c>
      <c r="B728" t="s">
        <v>243</v>
      </c>
      <c r="C728">
        <v>9</v>
      </c>
      <c r="D728" t="s">
        <v>193</v>
      </c>
      <c r="E728" t="s">
        <v>152</v>
      </c>
      <c r="F728" t="s">
        <v>113</v>
      </c>
      <c r="G728">
        <v>8232</v>
      </c>
      <c r="H728">
        <v>0</v>
      </c>
      <c r="I728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728" cm="1">
        <f t="array" ref="J728">MAX(IF((ProjectInfoTable[ProjectName]=OutputTable[[#This Row],[ProjectName]]),(ProjectInfoTable[ProjectName]=OutputTable[[#This Row],[ProjectName]])*ProjectInfoTable[NumberOfReplications]))</f>
        <v>10</v>
      </c>
      <c r="K728" cm="1">
        <f t="array" ref="K728">IFERROR(AVERAGE(IF((OutputTable[GroupByKey]=OutputTable[[#This Row],[GroupByKey]]),(OutputTable[GroupByKey]=OutputTable[[#This Row],[GroupByKey]])*OutputTable[RecordedValue])),0)</f>
        <v>8231.5</v>
      </c>
      <c r="L728" cm="1">
        <f t="array" ref="L728">IFERROR(_xlfn.STDEV.S(IF((OutputTable[GroupByKey]=OutputTable[[#This Row],[GroupByKey]]),(OutputTable[GroupByKey]=OutputTable[[#This Row],[GroupByKey]])*OutputTable[RecordedValue])),0)</f>
        <v>6.3464775882199236</v>
      </c>
      <c r="M728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728" cm="1">
        <f t="array" ref="O728">MIN(IF((OutputTable[GroupByKey]=OutputTable[[#This Row],[GroupByKey]]),(OutputTable[GroupByKey]=OutputTable[[#This Row],[GroupByKey]])*OutputTable[RecordedValue]))</f>
        <v>8220</v>
      </c>
      <c r="P728" cm="1">
        <f t="array" ref="P728">MAX(IF((OutputTable[GroupByKey]=OutputTable[[#This Row],[GroupByKey]]),(OutputTable[GroupByKey]=OutputTable[[#This Row],[GroupByKey]])*OutputTable[RecordedValue]))</f>
        <v>8241</v>
      </c>
    </row>
    <row r="729" spans="1:16" x14ac:dyDescent="0.25">
      <c r="A729" t="s">
        <v>67</v>
      </c>
      <c r="B729" t="s">
        <v>243</v>
      </c>
      <c r="C729">
        <v>9</v>
      </c>
      <c r="D729" t="s">
        <v>194</v>
      </c>
      <c r="E729" t="s">
        <v>154</v>
      </c>
      <c r="F729" t="s">
        <v>113</v>
      </c>
      <c r="G729">
        <v>1.0005682354656</v>
      </c>
      <c r="H729">
        <v>0</v>
      </c>
      <c r="I729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729" cm="1">
        <f t="array" ref="J729">MAX(IF((ProjectInfoTable[ProjectName]=OutputTable[[#This Row],[ProjectName]]),(ProjectInfoTable[ProjectName]=OutputTable[[#This Row],[ProjectName]])*ProjectInfoTable[NumberOfReplications]))</f>
        <v>10</v>
      </c>
      <c r="K729" cm="1">
        <f t="array" ref="K729">IFERROR(AVERAGE(IF((OutputTable[GroupByKey]=OutputTable[[#This Row],[GroupByKey]]),(OutputTable[GroupByKey]=OutputTable[[#This Row],[GroupByKey]])*OutputTable[RecordedValue])),0)</f>
        <v>1.0004557942559711</v>
      </c>
      <c r="L729" cm="1">
        <f t="array" ref="L729">IFERROR(_xlfn.STDEV.S(IF((OutputTable[GroupByKey]=OutputTable[[#This Row],[GroupByKey]]),(OutputTable[GroupByKey]=OutputTable[[#This Row],[GroupByKey]])*OutputTable[RecordedValue])),0)</f>
        <v>1.6760007580081014E-4</v>
      </c>
      <c r="M729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1.1989387166531641E-4</v>
      </c>
      <c r="O729" cm="1">
        <f t="array" ref="O729">MIN(IF((OutputTable[GroupByKey]=OutputTable[[#This Row],[GroupByKey]]),(OutputTable[GroupByKey]=OutputTable[[#This Row],[GroupByKey]])*OutputTable[RecordedValue]))</f>
        <v>1.0000655989645</v>
      </c>
      <c r="P729" cm="1">
        <f t="array" ref="P729">MAX(IF((OutputTable[GroupByKey]=OutputTable[[#This Row],[GroupByKey]]),(OutputTable[GroupByKey]=OutputTable[[#This Row],[GroupByKey]])*OutputTable[RecordedValue]))</f>
        <v>1.00068312738094</v>
      </c>
    </row>
    <row r="730" spans="1:16" x14ac:dyDescent="0.25">
      <c r="A730" t="s">
        <v>67</v>
      </c>
      <c r="B730" t="s">
        <v>243</v>
      </c>
      <c r="C730">
        <v>9</v>
      </c>
      <c r="D730" t="s">
        <v>195</v>
      </c>
      <c r="E730" t="s">
        <v>152</v>
      </c>
      <c r="F730" t="s">
        <v>113</v>
      </c>
      <c r="G730">
        <v>8228</v>
      </c>
      <c r="H730">
        <v>0</v>
      </c>
      <c r="I730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730" cm="1">
        <f t="array" ref="J730">MAX(IF((ProjectInfoTable[ProjectName]=OutputTable[[#This Row],[ProjectName]]),(ProjectInfoTable[ProjectName]=OutputTable[[#This Row],[ProjectName]])*ProjectInfoTable[NumberOfReplications]))</f>
        <v>10</v>
      </c>
      <c r="K730" cm="1">
        <f t="array" ref="K730">IFERROR(AVERAGE(IF((OutputTable[GroupByKey]=OutputTable[[#This Row],[GroupByKey]]),(OutputTable[GroupByKey]=OutputTable[[#This Row],[GroupByKey]])*OutputTable[RecordedValue])),0)</f>
        <v>8227.7000000000007</v>
      </c>
      <c r="L730" cm="1">
        <f t="array" ref="L730">IFERROR(_xlfn.STDEV.S(IF((OutputTable[GroupByKey]=OutputTable[[#This Row],[GroupByKey]]),(OutputTable[GroupByKey]=OutputTable[[#This Row],[GroupByKey]])*OutputTable[RecordedValue])),0)</f>
        <v>6.2902040242480748</v>
      </c>
      <c r="M730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730" cm="1">
        <f t="array" ref="O730">MIN(IF((OutputTable[GroupByKey]=OutputTable[[#This Row],[GroupByKey]]),(OutputTable[GroupByKey]=OutputTable[[#This Row],[GroupByKey]])*OutputTable[RecordedValue]))</f>
        <v>8216</v>
      </c>
      <c r="P730" cm="1">
        <f t="array" ref="P730">MAX(IF((OutputTable[GroupByKey]=OutputTable[[#This Row],[GroupByKey]]),(OutputTable[GroupByKey]=OutputTable[[#This Row],[GroupByKey]])*OutputTable[RecordedValue]))</f>
        <v>8237</v>
      </c>
    </row>
    <row r="731" spans="1:16" x14ac:dyDescent="0.25">
      <c r="A731" t="s">
        <v>67</v>
      </c>
      <c r="B731" t="s">
        <v>243</v>
      </c>
      <c r="C731">
        <v>9</v>
      </c>
      <c r="D731" t="s">
        <v>196</v>
      </c>
      <c r="E731" t="s">
        <v>154</v>
      </c>
      <c r="F731" t="s">
        <v>113</v>
      </c>
      <c r="G731">
        <v>0.62847499658412098</v>
      </c>
      <c r="H731">
        <v>0</v>
      </c>
      <c r="I731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731" cm="1">
        <f t="array" ref="J731">MAX(IF((ProjectInfoTable[ProjectName]=OutputTable[[#This Row],[ProjectName]]),(ProjectInfoTable[ProjectName]=OutputTable[[#This Row],[ProjectName]])*ProjectInfoTable[NumberOfReplications]))</f>
        <v>10</v>
      </c>
      <c r="K731" cm="1">
        <f t="array" ref="K731">IFERROR(AVERAGE(IF((OutputTable[GroupByKey]=OutputTable[[#This Row],[GroupByKey]]),(OutputTable[GroupByKey]=OutputTable[[#This Row],[GroupByKey]])*OutputTable[RecordedValue])),0)</f>
        <v>0.62814585354256225</v>
      </c>
      <c r="L731" cm="1">
        <f t="array" ref="L731">IFERROR(_xlfn.STDEV.S(IF((OutputTable[GroupByKey]=OutputTable[[#This Row],[GroupByKey]]),(OutputTable[GroupByKey]=OutputTable[[#This Row],[GroupByKey]])*OutputTable[RecordedValue])),0)</f>
        <v>7.7648569130547428E-4</v>
      </c>
      <c r="M731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5.5546440166277669E-4</v>
      </c>
      <c r="O731" cm="1">
        <f t="array" ref="O731">MIN(IF((OutputTable[GroupByKey]=OutputTable[[#This Row],[GroupByKey]]),(OutputTable[GroupByKey]=OutputTable[[#This Row],[GroupByKey]])*OutputTable[RecordedValue]))</f>
        <v>0.62668997340539101</v>
      </c>
      <c r="P731" cm="1">
        <f t="array" ref="P731">MAX(IF((OutputTable[GroupByKey]=OutputTable[[#This Row],[GroupByKey]]),(OutputTable[GroupByKey]=OutputTable[[#This Row],[GroupByKey]])*OutputTable[RecordedValue]))</f>
        <v>0.629372102267024</v>
      </c>
    </row>
    <row r="732" spans="1:16" x14ac:dyDescent="0.25">
      <c r="A732" t="s">
        <v>67</v>
      </c>
      <c r="B732" t="s">
        <v>243</v>
      </c>
      <c r="C732">
        <v>9</v>
      </c>
      <c r="D732" t="s">
        <v>197</v>
      </c>
      <c r="E732" t="s">
        <v>152</v>
      </c>
      <c r="F732" t="s">
        <v>113</v>
      </c>
      <c r="G732">
        <v>18405</v>
      </c>
      <c r="H732">
        <v>0</v>
      </c>
      <c r="I732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732" cm="1">
        <f t="array" ref="J732">MAX(IF((ProjectInfoTable[ProjectName]=OutputTable[[#This Row],[ProjectName]]),(ProjectInfoTable[ProjectName]=OutputTable[[#This Row],[ProjectName]])*ProjectInfoTable[NumberOfReplications]))</f>
        <v>10</v>
      </c>
      <c r="K732" cm="1">
        <f t="array" ref="K732">IFERROR(AVERAGE(IF((OutputTable[GroupByKey]=OutputTable[[#This Row],[GroupByKey]]),(OutputTable[GroupByKey]=OutputTable[[#This Row],[GroupByKey]])*OutputTable[RecordedValue])),0)</f>
        <v>18392</v>
      </c>
      <c r="L732" cm="1">
        <f t="array" ref="L732">IFERROR(_xlfn.STDEV.S(IF((OutputTable[GroupByKey]=OutputTable[[#This Row],[GroupByKey]]),(OutputTable[GroupByKey]=OutputTable[[#This Row],[GroupByKey]])*OutputTable[RecordedValue])),0)</f>
        <v>12.884098726725126</v>
      </c>
      <c r="M732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732" cm="1">
        <f t="array" ref="O732">MIN(IF((OutputTable[GroupByKey]=OutputTable[[#This Row],[GroupByKey]]),(OutputTable[GroupByKey]=OutputTable[[#This Row],[GroupByKey]])*OutputTable[RecordedValue]))</f>
        <v>18376</v>
      </c>
      <c r="P732" cm="1">
        <f t="array" ref="P732">MAX(IF((OutputTable[GroupByKey]=OutputTable[[#This Row],[GroupByKey]]),(OutputTable[GroupByKey]=OutputTable[[#This Row],[GroupByKey]])*OutputTable[RecordedValue]))</f>
        <v>18407</v>
      </c>
    </row>
    <row r="733" spans="1:16" x14ac:dyDescent="0.25">
      <c r="A733" t="s">
        <v>67</v>
      </c>
      <c r="B733" t="s">
        <v>243</v>
      </c>
      <c r="C733">
        <v>9</v>
      </c>
      <c r="D733" t="s">
        <v>198</v>
      </c>
      <c r="E733" t="s">
        <v>154</v>
      </c>
      <c r="F733" t="s">
        <v>113</v>
      </c>
      <c r="G733">
        <v>0.95813880859956901</v>
      </c>
      <c r="H733">
        <v>0</v>
      </c>
      <c r="I733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733" cm="1">
        <f t="array" ref="J733">MAX(IF((ProjectInfoTable[ProjectName]=OutputTable[[#This Row],[ProjectName]]),(ProjectInfoTable[ProjectName]=OutputTable[[#This Row],[ProjectName]])*ProjectInfoTable[NumberOfReplications]))</f>
        <v>10</v>
      </c>
      <c r="K733" cm="1">
        <f t="array" ref="K733">IFERROR(AVERAGE(IF((OutputTable[GroupByKey]=OutputTable[[#This Row],[GroupByKey]]),(OutputTable[GroupByKey]=OutputTable[[#This Row],[GroupByKey]])*OutputTable[RecordedValue])),0)</f>
        <v>0.9578548406389944</v>
      </c>
      <c r="L733" cm="1">
        <f t="array" ref="L733">IFERROR(_xlfn.STDEV.S(IF((OutputTable[GroupByKey]=OutputTable[[#This Row],[GroupByKey]]),(OutputTable[GroupByKey]=OutputTable[[#This Row],[GroupByKey]])*OutputTable[RecordedValue])),0)</f>
        <v>7.0772834598480485E-4</v>
      </c>
      <c r="M733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5.0627835985142609E-4</v>
      </c>
      <c r="O733" cm="1">
        <f t="array" ref="O733">MIN(IF((OutputTable[GroupByKey]=OutputTable[[#This Row],[GroupByKey]]),(OutputTable[GroupByKey]=OutputTable[[#This Row],[GroupByKey]])*OutputTable[RecordedValue]))</f>
        <v>0.95655010461043799</v>
      </c>
      <c r="P733" cm="1">
        <f t="array" ref="P733">MAX(IF((OutputTable[GroupByKey]=OutputTable[[#This Row],[GroupByKey]]),(OutputTable[GroupByKey]=OutputTable[[#This Row],[GroupByKey]])*OutputTable[RecordedValue]))</f>
        <v>0.95869742508961697</v>
      </c>
    </row>
    <row r="734" spans="1:16" x14ac:dyDescent="0.25">
      <c r="A734" t="s">
        <v>67</v>
      </c>
      <c r="B734" t="s">
        <v>243</v>
      </c>
      <c r="C734">
        <v>9</v>
      </c>
      <c r="D734" t="s">
        <v>199</v>
      </c>
      <c r="E734" t="s">
        <v>152</v>
      </c>
      <c r="F734" t="s">
        <v>113</v>
      </c>
      <c r="G734">
        <v>18403</v>
      </c>
      <c r="H734">
        <v>0</v>
      </c>
      <c r="I734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734" cm="1">
        <f t="array" ref="J734">MAX(IF((ProjectInfoTable[ProjectName]=OutputTable[[#This Row],[ProjectName]]),(ProjectInfoTable[ProjectName]=OutputTable[[#This Row],[ProjectName]])*ProjectInfoTable[NumberOfReplications]))</f>
        <v>10</v>
      </c>
      <c r="K734" cm="1">
        <f t="array" ref="K734">IFERROR(AVERAGE(IF((OutputTable[GroupByKey]=OutputTable[[#This Row],[GroupByKey]]),(OutputTable[GroupByKey]=OutputTable[[#This Row],[GroupByKey]])*OutputTable[RecordedValue])),0)</f>
        <v>18389.400000000001</v>
      </c>
      <c r="L734" cm="1">
        <f t="array" ref="L734">IFERROR(_xlfn.STDEV.S(IF((OutputTable[GroupByKey]=OutputTable[[#This Row],[GroupByKey]]),(OutputTable[GroupByKey]=OutputTable[[#This Row],[GroupByKey]])*OutputTable[RecordedValue])),0)</f>
        <v>12.103259432437566</v>
      </c>
      <c r="M734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734" cm="1">
        <f t="array" ref="O734">MIN(IF((OutputTable[GroupByKey]=OutputTable[[#This Row],[GroupByKey]]),(OutputTable[GroupByKey]=OutputTable[[#This Row],[GroupByKey]])*OutputTable[RecordedValue]))</f>
        <v>18376</v>
      </c>
      <c r="P734" cm="1">
        <f t="array" ref="P734">MAX(IF((OutputTable[GroupByKey]=OutputTable[[#This Row],[GroupByKey]]),(OutputTable[GroupByKey]=OutputTable[[#This Row],[GroupByKey]])*OutputTable[RecordedValue]))</f>
        <v>18404</v>
      </c>
    </row>
    <row r="735" spans="1:16" x14ac:dyDescent="0.25">
      <c r="A735" t="s">
        <v>67</v>
      </c>
      <c r="B735" t="s">
        <v>243</v>
      </c>
      <c r="C735">
        <v>9</v>
      </c>
      <c r="D735" t="s">
        <v>200</v>
      </c>
      <c r="E735" t="s">
        <v>154</v>
      </c>
      <c r="F735" t="s">
        <v>113</v>
      </c>
      <c r="G735">
        <v>1.0003890072864201</v>
      </c>
      <c r="H735">
        <v>0</v>
      </c>
      <c r="I735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735" cm="1">
        <f t="array" ref="J735">MAX(IF((ProjectInfoTable[ProjectName]=OutputTable[[#This Row],[ProjectName]]),(ProjectInfoTable[ProjectName]=OutputTable[[#This Row],[ProjectName]])*ProjectInfoTable[NumberOfReplications]))</f>
        <v>10</v>
      </c>
      <c r="K735" cm="1">
        <f t="array" ref="K735">IFERROR(AVERAGE(IF((OutputTable[GroupByKey]=OutputTable[[#This Row],[GroupByKey]]),(OutputTable[GroupByKey]=OutputTable[[#This Row],[GroupByKey]])*OutputTable[RecordedValue])),0)</f>
        <v>1.0003902798422071</v>
      </c>
      <c r="L735" cm="1">
        <f t="array" ref="L735">IFERROR(_xlfn.STDEV.S(IF((OutputTable[GroupByKey]=OutputTable[[#This Row],[GroupByKey]]),(OutputTable[GroupByKey]=OutputTable[[#This Row],[GroupByKey]])*OutputTable[RecordedValue])),0)</f>
        <v>5.593555412291058E-5</v>
      </c>
      <c r="M73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4.0013884931119971E-5</v>
      </c>
      <c r="O735" cm="1">
        <f t="array" ref="O735">MIN(IF((OutputTable[GroupByKey]=OutputTable[[#This Row],[GroupByKey]]),(OutputTable[GroupByKey]=OutputTable[[#This Row],[GroupByKey]])*OutputTable[RecordedValue]))</f>
        <v>1.0003027766980599</v>
      </c>
      <c r="P735" cm="1">
        <f t="array" ref="P735">MAX(IF((OutputTable[GroupByKey]=OutputTable[[#This Row],[GroupByKey]]),(OutputTable[GroupByKey]=OutputTable[[#This Row],[GroupByKey]])*OutputTable[RecordedValue]))</f>
        <v>1.00046792437877</v>
      </c>
    </row>
    <row r="736" spans="1:16" x14ac:dyDescent="0.25">
      <c r="A736" t="s">
        <v>67</v>
      </c>
      <c r="B736" t="s">
        <v>243</v>
      </c>
      <c r="C736">
        <v>9</v>
      </c>
      <c r="D736" t="s">
        <v>201</v>
      </c>
      <c r="E736" t="s">
        <v>202</v>
      </c>
      <c r="F736" t="s">
        <v>87</v>
      </c>
      <c r="G736">
        <v>157064.62425213799</v>
      </c>
      <c r="H736">
        <v>0</v>
      </c>
      <c r="I736" t="str">
        <f>OutputTable[[#This Row],[ProjectName]]&amp;OutputTable[[#This Row],[Name]]&amp;OutputTable[[#This Row],[Type]]&amp;OutputTable[[#This Row],[Source]]</f>
        <v>Unnamed ProjectProcess 1 Accum VA TimeAccum VA TimeProcess</v>
      </c>
      <c r="J736" cm="1">
        <f t="array" ref="J736">MAX(IF((ProjectInfoTable[ProjectName]=OutputTable[[#This Row],[ProjectName]]),(ProjectInfoTable[ProjectName]=OutputTable[[#This Row],[ProjectName]])*ProjectInfoTable[NumberOfReplications]))</f>
        <v>10</v>
      </c>
      <c r="K736" cm="1">
        <f t="array" ref="K736">IFERROR(AVERAGE(IF((OutputTable[GroupByKey]=OutputTable[[#This Row],[GroupByKey]]),(OutputTable[GroupByKey]=OutputTable[[#This Row],[GroupByKey]])*OutputTable[RecordedValue])),0)</f>
        <v>157133.73428655442</v>
      </c>
      <c r="L736" cm="1">
        <f t="array" ref="L736">IFERROR(_xlfn.STDEV.S(IF((OutputTable[GroupByKey]=OutputTable[[#This Row],[GroupByKey]]),(OutputTable[GroupByKey]=OutputTable[[#This Row],[GroupByKey]])*OutputTable[RecordedValue])),0)</f>
        <v>123.15330812839177</v>
      </c>
      <c r="M736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88.098569462778244</v>
      </c>
      <c r="O736" cm="1">
        <f t="array" ref="O736">MIN(IF((OutputTable[GroupByKey]=OutputTable[[#This Row],[GroupByKey]]),(OutputTable[GroupByKey]=OutputTable[[#This Row],[GroupByKey]])*OutputTable[RecordedValue]))</f>
        <v>156930.294881654</v>
      </c>
      <c r="P736" cm="1">
        <f t="array" ref="P736">MAX(IF((OutputTable[GroupByKey]=OutputTable[[#This Row],[GroupByKey]]),(OutputTable[GroupByKey]=OutputTable[[#This Row],[GroupByKey]])*OutputTable[RecordedValue]))</f>
        <v>157303.990839153</v>
      </c>
    </row>
    <row r="737" spans="1:16" x14ac:dyDescent="0.25">
      <c r="A737" t="s">
        <v>67</v>
      </c>
      <c r="B737" t="s">
        <v>243</v>
      </c>
      <c r="C737">
        <v>9</v>
      </c>
      <c r="D737" t="s">
        <v>203</v>
      </c>
      <c r="E737" t="s">
        <v>156</v>
      </c>
      <c r="F737" t="s">
        <v>87</v>
      </c>
      <c r="G737">
        <v>13109</v>
      </c>
      <c r="H737">
        <v>0</v>
      </c>
      <c r="I737" t="str">
        <f>OutputTable[[#This Row],[ProjectName]]&amp;OutputTable[[#This Row],[Name]]&amp;OutputTable[[#This Row],[Type]]&amp;OutputTable[[#This Row],[Source]]</f>
        <v>Unnamed ProjectProcess 1 Number InNumber InProcess</v>
      </c>
      <c r="J737" cm="1">
        <f t="array" ref="J737">MAX(IF((ProjectInfoTable[ProjectName]=OutputTable[[#This Row],[ProjectName]]),(ProjectInfoTable[ProjectName]=OutputTable[[#This Row],[ProjectName]])*ProjectInfoTable[NumberOfReplications]))</f>
        <v>10</v>
      </c>
      <c r="K737" cm="1">
        <f t="array" ref="K737">IFERROR(AVERAGE(IF((OutputTable[GroupByKey]=OutputTable[[#This Row],[GroupByKey]]),(OutputTable[GroupByKey]=OutputTable[[#This Row],[GroupByKey]])*OutputTable[RecordedValue])),0)</f>
        <v>13103.5</v>
      </c>
      <c r="L737" cm="1">
        <f t="array" ref="L737">IFERROR(_xlfn.STDEV.S(IF((OutputTable[GroupByKey]=OutputTable[[#This Row],[GroupByKey]]),(OutputTable[GroupByKey]=OutputTable[[#This Row],[GroupByKey]])*OutputTable[RecordedValue])),0)</f>
        <v>11.443095929181249</v>
      </c>
      <c r="M737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737" cm="1">
        <f t="array" ref="O737">MIN(IF((OutputTable[GroupByKey]=OutputTable[[#This Row],[GroupByKey]]),(OutputTable[GroupByKey]=OutputTable[[#This Row],[GroupByKey]])*OutputTable[RecordedValue]))</f>
        <v>13087</v>
      </c>
      <c r="P737" cm="1">
        <f t="array" ref="P737">MAX(IF((OutputTable[GroupByKey]=OutputTable[[#This Row],[GroupByKey]]),(OutputTable[GroupByKey]=OutputTable[[#This Row],[GroupByKey]])*OutputTable[RecordedValue]))</f>
        <v>13120</v>
      </c>
    </row>
    <row r="738" spans="1:16" x14ac:dyDescent="0.25">
      <c r="A738" t="s">
        <v>67</v>
      </c>
      <c r="B738" t="s">
        <v>243</v>
      </c>
      <c r="C738">
        <v>9</v>
      </c>
      <c r="D738" t="s">
        <v>204</v>
      </c>
      <c r="E738" t="s">
        <v>158</v>
      </c>
      <c r="F738" t="s">
        <v>87</v>
      </c>
      <c r="G738">
        <v>13109</v>
      </c>
      <c r="H738">
        <v>0</v>
      </c>
      <c r="I738" t="str">
        <f>OutputTable[[#This Row],[ProjectName]]&amp;OutputTable[[#This Row],[Name]]&amp;OutputTable[[#This Row],[Type]]&amp;OutputTable[[#This Row],[Source]]</f>
        <v>Unnamed ProjectProcess 1 Number OutNumber OutProcess</v>
      </c>
      <c r="J738" cm="1">
        <f t="array" ref="J738">MAX(IF((ProjectInfoTable[ProjectName]=OutputTable[[#This Row],[ProjectName]]),(ProjectInfoTable[ProjectName]=OutputTable[[#This Row],[ProjectName]])*ProjectInfoTable[NumberOfReplications]))</f>
        <v>10</v>
      </c>
      <c r="K738" cm="1">
        <f t="array" ref="K738">IFERROR(AVERAGE(IF((OutputTable[GroupByKey]=OutputTable[[#This Row],[GroupByKey]]),(OutputTable[GroupByKey]=OutputTable[[#This Row],[GroupByKey]])*OutputTable[RecordedValue])),0)</f>
        <v>13103.5</v>
      </c>
      <c r="L738" cm="1">
        <f t="array" ref="L738">IFERROR(_xlfn.STDEV.S(IF((OutputTable[GroupByKey]=OutputTable[[#This Row],[GroupByKey]]),(OutputTable[GroupByKey]=OutputTable[[#This Row],[GroupByKey]])*OutputTable[RecordedValue])),0)</f>
        <v>11.443095929181249</v>
      </c>
      <c r="M738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738" cm="1">
        <f t="array" ref="O738">MIN(IF((OutputTable[GroupByKey]=OutputTable[[#This Row],[GroupByKey]]),(OutputTable[GroupByKey]=OutputTable[[#This Row],[GroupByKey]])*OutputTable[RecordedValue]))</f>
        <v>13087</v>
      </c>
      <c r="P738" cm="1">
        <f t="array" ref="P738">MAX(IF((OutputTable[GroupByKey]=OutputTable[[#This Row],[GroupByKey]]),(OutputTable[GroupByKey]=OutputTable[[#This Row],[GroupByKey]])*OutputTable[RecordedValue]))</f>
        <v>13120</v>
      </c>
    </row>
    <row r="739" spans="1:16" x14ac:dyDescent="0.25">
      <c r="A739" t="s">
        <v>67</v>
      </c>
      <c r="B739" t="s">
        <v>243</v>
      </c>
      <c r="C739">
        <v>9</v>
      </c>
      <c r="D739" t="s">
        <v>205</v>
      </c>
      <c r="E739" t="s">
        <v>202</v>
      </c>
      <c r="F739" t="s">
        <v>87</v>
      </c>
      <c r="G739">
        <v>21822.862570357</v>
      </c>
      <c r="H739">
        <v>0</v>
      </c>
      <c r="I739" t="str">
        <f>OutputTable[[#This Row],[ProjectName]]&amp;OutputTable[[#This Row],[Name]]&amp;OutputTable[[#This Row],[Type]]&amp;OutputTable[[#This Row],[Source]]</f>
        <v>Unnamed ProjectProcess 14 Accum VA TimeAccum VA TimeProcess</v>
      </c>
      <c r="J739" cm="1">
        <f t="array" ref="J739">MAX(IF((ProjectInfoTable[ProjectName]=OutputTable[[#This Row],[ProjectName]]),(ProjectInfoTable[ProjectName]=OutputTable[[#This Row],[ProjectName]])*ProjectInfoTable[NumberOfReplications]))</f>
        <v>10</v>
      </c>
      <c r="K739" cm="1">
        <f t="array" ref="K739">IFERROR(AVERAGE(IF((OutputTable[GroupByKey]=OutputTable[[#This Row],[GroupByKey]]),(OutputTable[GroupByKey]=OutputTable[[#This Row],[GroupByKey]])*OutputTable[RecordedValue])),0)</f>
        <v>21817.897664333104</v>
      </c>
      <c r="L739" cm="1">
        <f t="array" ref="L739">IFERROR(_xlfn.STDEV.S(IF((OutputTable[GroupByKey]=OutputTable[[#This Row],[GroupByKey]]),(OutputTable[GroupByKey]=OutputTable[[#This Row],[GroupByKey]])*OutputTable[RecordedValue])),0)</f>
        <v>40.377465047897729</v>
      </c>
      <c r="M739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28.884298467602775</v>
      </c>
      <c r="O739" cm="1">
        <f t="array" ref="O739">MIN(IF((OutputTable[GroupByKey]=OutputTable[[#This Row],[GroupByKey]]),(OutputTable[GroupByKey]=OutputTable[[#This Row],[GroupByKey]])*OutputTable[RecordedValue]))</f>
        <v>21737.561928445</v>
      </c>
      <c r="P739" cm="1">
        <f t="array" ref="P739">MAX(IF((OutputTable[GroupByKey]=OutputTable[[#This Row],[GroupByKey]]),(OutputTable[GroupByKey]=OutputTable[[#This Row],[GroupByKey]])*OutputTable[RecordedValue]))</f>
        <v>21880.2668082411</v>
      </c>
    </row>
    <row r="740" spans="1:16" x14ac:dyDescent="0.25">
      <c r="A740" t="s">
        <v>67</v>
      </c>
      <c r="B740" t="s">
        <v>243</v>
      </c>
      <c r="C740">
        <v>9</v>
      </c>
      <c r="D740" t="s">
        <v>206</v>
      </c>
      <c r="E740" t="s">
        <v>156</v>
      </c>
      <c r="F740" t="s">
        <v>87</v>
      </c>
      <c r="G740">
        <v>6549</v>
      </c>
      <c r="H740">
        <v>0</v>
      </c>
      <c r="I740" t="str">
        <f>OutputTable[[#This Row],[ProjectName]]&amp;OutputTable[[#This Row],[Name]]&amp;OutputTable[[#This Row],[Type]]&amp;OutputTable[[#This Row],[Source]]</f>
        <v>Unnamed ProjectProcess 14 Number InNumber InProcess</v>
      </c>
      <c r="J740" cm="1">
        <f t="array" ref="J740">MAX(IF((ProjectInfoTable[ProjectName]=OutputTable[[#This Row],[ProjectName]]),(ProjectInfoTable[ProjectName]=OutputTable[[#This Row],[ProjectName]])*ProjectInfoTable[NumberOfReplications]))</f>
        <v>10</v>
      </c>
      <c r="K740" cm="1">
        <f t="array" ref="K740">IFERROR(AVERAGE(IF((OutputTable[GroupByKey]=OutputTable[[#This Row],[GroupByKey]]),(OutputTable[GroupByKey]=OutputTable[[#This Row],[GroupByKey]])*OutputTable[RecordedValue])),0)</f>
        <v>6547.7</v>
      </c>
      <c r="L740" cm="1">
        <f t="array" ref="L740">IFERROR(_xlfn.STDEV.S(IF((OutputTable[GroupByKey]=OutputTable[[#This Row],[GroupByKey]]),(OutputTable[GroupByKey]=OutputTable[[#This Row],[GroupByKey]])*OutputTable[RecordedValue])),0)</f>
        <v>5.735852159879995</v>
      </c>
      <c r="M740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740" cm="1">
        <f t="array" ref="O740">MIN(IF((OutputTable[GroupByKey]=OutputTable[[#This Row],[GroupByKey]]),(OutputTable[GroupByKey]=OutputTable[[#This Row],[GroupByKey]])*OutputTable[RecordedValue]))</f>
        <v>6540</v>
      </c>
      <c r="P740" cm="1">
        <f t="array" ref="P740">MAX(IF((OutputTable[GroupByKey]=OutputTable[[#This Row],[GroupByKey]]),(OutputTable[GroupByKey]=OutputTable[[#This Row],[GroupByKey]])*OutputTable[RecordedValue]))</f>
        <v>6557</v>
      </c>
    </row>
    <row r="741" spans="1:16" x14ac:dyDescent="0.25">
      <c r="A741" t="s">
        <v>67</v>
      </c>
      <c r="B741" t="s">
        <v>243</v>
      </c>
      <c r="C741">
        <v>9</v>
      </c>
      <c r="D741" t="s">
        <v>207</v>
      </c>
      <c r="E741" t="s">
        <v>158</v>
      </c>
      <c r="F741" t="s">
        <v>87</v>
      </c>
      <c r="G741">
        <v>6549</v>
      </c>
      <c r="H741">
        <v>0</v>
      </c>
      <c r="I741" t="str">
        <f>OutputTable[[#This Row],[ProjectName]]&amp;OutputTable[[#This Row],[Name]]&amp;OutputTable[[#This Row],[Type]]&amp;OutputTable[[#This Row],[Source]]</f>
        <v>Unnamed ProjectProcess 14 Number OutNumber OutProcess</v>
      </c>
      <c r="J741" cm="1">
        <f t="array" ref="J741">MAX(IF((ProjectInfoTable[ProjectName]=OutputTable[[#This Row],[ProjectName]]),(ProjectInfoTable[ProjectName]=OutputTable[[#This Row],[ProjectName]])*ProjectInfoTable[NumberOfReplications]))</f>
        <v>10</v>
      </c>
      <c r="K741" cm="1">
        <f t="array" ref="K741">IFERROR(AVERAGE(IF((OutputTable[GroupByKey]=OutputTable[[#This Row],[GroupByKey]]),(OutputTable[GroupByKey]=OutputTable[[#This Row],[GroupByKey]])*OutputTable[RecordedValue])),0)</f>
        <v>6547.3</v>
      </c>
      <c r="L741" cm="1">
        <f t="array" ref="L741">IFERROR(_xlfn.STDEV.S(IF((OutputTable[GroupByKey]=OutputTable[[#This Row],[GroupByKey]]),(OutputTable[GroupByKey]=OutputTable[[#This Row],[GroupByKey]])*OutputTable[RecordedValue])),0)</f>
        <v>5.7164480035925962</v>
      </c>
      <c r="M741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4.0893005569921828</v>
      </c>
      <c r="O741" cm="1">
        <f t="array" ref="O741">MIN(IF((OutputTable[GroupByKey]=OutputTable[[#This Row],[GroupByKey]]),(OutputTable[GroupByKey]=OutputTable[[#This Row],[GroupByKey]])*OutputTable[RecordedValue]))</f>
        <v>6539</v>
      </c>
      <c r="P741" cm="1">
        <f t="array" ref="P741">MAX(IF((OutputTable[GroupByKey]=OutputTable[[#This Row],[GroupByKey]]),(OutputTable[GroupByKey]=OutputTable[[#This Row],[GroupByKey]])*OutputTable[RecordedValue]))</f>
        <v>6556</v>
      </c>
    </row>
    <row r="742" spans="1:16" x14ac:dyDescent="0.25">
      <c r="A742" t="s">
        <v>67</v>
      </c>
      <c r="B742" t="s">
        <v>243</v>
      </c>
      <c r="C742">
        <v>9</v>
      </c>
      <c r="D742" t="s">
        <v>208</v>
      </c>
      <c r="E742" t="s">
        <v>202</v>
      </c>
      <c r="F742" t="s">
        <v>87</v>
      </c>
      <c r="G742">
        <v>78547.593491032807</v>
      </c>
      <c r="H742">
        <v>0</v>
      </c>
      <c r="I742" t="str">
        <f>OutputTable[[#This Row],[ProjectName]]&amp;OutputTable[[#This Row],[Name]]&amp;OutputTable[[#This Row],[Type]]&amp;OutputTable[[#This Row],[Source]]</f>
        <v>Unnamed ProjectProcess 2 Accum VA TimeAccum VA TimeProcess</v>
      </c>
      <c r="J742" cm="1">
        <f t="array" ref="J742">MAX(IF((ProjectInfoTable[ProjectName]=OutputTable[[#This Row],[ProjectName]]),(ProjectInfoTable[ProjectName]=OutputTable[[#This Row],[ProjectName]])*ProjectInfoTable[NumberOfReplications]))</f>
        <v>10</v>
      </c>
      <c r="K742" cm="1">
        <f t="array" ref="K742">IFERROR(AVERAGE(IF((OutputTable[GroupByKey]=OutputTable[[#This Row],[GroupByKey]]),(OutputTable[GroupByKey]=OutputTable[[#This Row],[GroupByKey]])*OutputTable[RecordedValue])),0)</f>
        <v>78656.282482549519</v>
      </c>
      <c r="L742" cm="1">
        <f t="array" ref="L742">IFERROR(_xlfn.STDEV.S(IF((OutputTable[GroupByKey]=OutputTable[[#This Row],[GroupByKey]]),(OutputTable[GroupByKey]=OutputTable[[#This Row],[GroupByKey]])*OutputTable[RecordedValue])),0)</f>
        <v>139.39621135358072</v>
      </c>
      <c r="M742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99.718042457930338</v>
      </c>
      <c r="O742" cm="1">
        <f t="array" ref="O742">MIN(IF((OutputTable[GroupByKey]=OutputTable[[#This Row],[GroupByKey]]),(OutputTable[GroupByKey]=OutputTable[[#This Row],[GroupByKey]])*OutputTable[RecordedValue]))</f>
        <v>78434.750255210005</v>
      </c>
      <c r="P742" cm="1">
        <f t="array" ref="P742">MAX(IF((OutputTable[GroupByKey]=OutputTable[[#This Row],[GroupByKey]]),(OutputTable[GroupByKey]=OutputTable[[#This Row],[GroupByKey]])*OutputTable[RecordedValue]))</f>
        <v>78879.0340749358</v>
      </c>
    </row>
    <row r="743" spans="1:16" x14ac:dyDescent="0.25">
      <c r="A743" t="s">
        <v>67</v>
      </c>
      <c r="B743" t="s">
        <v>243</v>
      </c>
      <c r="C743">
        <v>9</v>
      </c>
      <c r="D743" t="s">
        <v>209</v>
      </c>
      <c r="E743" t="s">
        <v>156</v>
      </c>
      <c r="F743" t="s">
        <v>87</v>
      </c>
      <c r="G743">
        <v>13105</v>
      </c>
      <c r="H743">
        <v>0</v>
      </c>
      <c r="I743" t="str">
        <f>OutputTable[[#This Row],[ProjectName]]&amp;OutputTable[[#This Row],[Name]]&amp;OutputTable[[#This Row],[Type]]&amp;OutputTable[[#This Row],[Source]]</f>
        <v>Unnamed ProjectProcess 2 Number InNumber InProcess</v>
      </c>
      <c r="J743" cm="1">
        <f t="array" ref="J743">MAX(IF((ProjectInfoTable[ProjectName]=OutputTable[[#This Row],[ProjectName]]),(ProjectInfoTable[ProjectName]=OutputTable[[#This Row],[ProjectName]])*ProjectInfoTable[NumberOfReplications]))</f>
        <v>10</v>
      </c>
      <c r="K743" cm="1">
        <f t="array" ref="K743">IFERROR(AVERAGE(IF((OutputTable[GroupByKey]=OutputTable[[#This Row],[GroupByKey]]),(OutputTable[GroupByKey]=OutputTable[[#This Row],[GroupByKey]])*OutputTable[RecordedValue])),0)</f>
        <v>13100.1</v>
      </c>
      <c r="L743" cm="1">
        <f t="array" ref="L743">IFERROR(_xlfn.STDEV.S(IF((OutputTable[GroupByKey]=OutputTable[[#This Row],[GroupByKey]]),(OutputTable[GroupByKey]=OutputTable[[#This Row],[GroupByKey]])*OutputTable[RecordedValue])),0)</f>
        <v>11.46443776786866</v>
      </c>
      <c r="M743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743" cm="1">
        <f t="array" ref="O743">MIN(IF((OutputTable[GroupByKey]=OutputTable[[#This Row],[GroupByKey]]),(OutputTable[GroupByKey]=OutputTable[[#This Row],[GroupByKey]])*OutputTable[RecordedValue]))</f>
        <v>13083</v>
      </c>
      <c r="P743" cm="1">
        <f t="array" ref="P743">MAX(IF((OutputTable[GroupByKey]=OutputTable[[#This Row],[GroupByKey]]),(OutputTable[GroupByKey]=OutputTable[[#This Row],[GroupByKey]])*OutputTable[RecordedValue]))</f>
        <v>13118</v>
      </c>
    </row>
    <row r="744" spans="1:16" x14ac:dyDescent="0.25">
      <c r="A744" t="s">
        <v>67</v>
      </c>
      <c r="B744" t="s">
        <v>243</v>
      </c>
      <c r="C744">
        <v>9</v>
      </c>
      <c r="D744" t="s">
        <v>210</v>
      </c>
      <c r="E744" t="s">
        <v>158</v>
      </c>
      <c r="F744" t="s">
        <v>87</v>
      </c>
      <c r="G744">
        <v>13105</v>
      </c>
      <c r="H744">
        <v>0</v>
      </c>
      <c r="I744" t="str">
        <f>OutputTable[[#This Row],[ProjectName]]&amp;OutputTable[[#This Row],[Name]]&amp;OutputTable[[#This Row],[Type]]&amp;OutputTable[[#This Row],[Source]]</f>
        <v>Unnamed ProjectProcess 2 Number OutNumber OutProcess</v>
      </c>
      <c r="J744" cm="1">
        <f t="array" ref="J744">MAX(IF((ProjectInfoTable[ProjectName]=OutputTable[[#This Row],[ProjectName]]),(ProjectInfoTable[ProjectName]=OutputTable[[#This Row],[ProjectName]])*ProjectInfoTable[NumberOfReplications]))</f>
        <v>10</v>
      </c>
      <c r="K744" cm="1">
        <f t="array" ref="K744">IFERROR(AVERAGE(IF((OutputTable[GroupByKey]=OutputTable[[#This Row],[GroupByKey]]),(OutputTable[GroupByKey]=OutputTable[[#This Row],[GroupByKey]])*OutputTable[RecordedValue])),0)</f>
        <v>13100.1</v>
      </c>
      <c r="L744" cm="1">
        <f t="array" ref="L744">IFERROR(_xlfn.STDEV.S(IF((OutputTable[GroupByKey]=OutputTable[[#This Row],[GroupByKey]]),(OutputTable[GroupByKey]=OutputTable[[#This Row],[GroupByKey]])*OutputTable[RecordedValue])),0)</f>
        <v>11.46443776786866</v>
      </c>
      <c r="M744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744" cm="1">
        <f t="array" ref="O744">MIN(IF((OutputTable[GroupByKey]=OutputTable[[#This Row],[GroupByKey]]),(OutputTable[GroupByKey]=OutputTable[[#This Row],[GroupByKey]])*OutputTable[RecordedValue]))</f>
        <v>13083</v>
      </c>
      <c r="P744" cm="1">
        <f t="array" ref="P744">MAX(IF((OutputTable[GroupByKey]=OutputTable[[#This Row],[GroupByKey]]),(OutputTable[GroupByKey]=OutputTable[[#This Row],[GroupByKey]])*OutputTable[RecordedValue]))</f>
        <v>13118</v>
      </c>
    </row>
    <row r="745" spans="1:16" x14ac:dyDescent="0.25">
      <c r="A745" t="s">
        <v>67</v>
      </c>
      <c r="B745" t="s">
        <v>243</v>
      </c>
      <c r="C745">
        <v>9</v>
      </c>
      <c r="D745" t="s">
        <v>211</v>
      </c>
      <c r="E745" t="s">
        <v>202</v>
      </c>
      <c r="F745" t="s">
        <v>87</v>
      </c>
      <c r="G745">
        <v>144212.537612021</v>
      </c>
      <c r="H745">
        <v>0</v>
      </c>
      <c r="I745" t="str">
        <f>OutputTable[[#This Row],[ProjectName]]&amp;OutputTable[[#This Row],[Name]]&amp;OutputTable[[#This Row],[Type]]&amp;OutputTable[[#This Row],[Source]]</f>
        <v>Unnamed ProjectProcess 3 Accum VA TimeAccum VA TimeProcess</v>
      </c>
      <c r="J745" cm="1">
        <f t="array" ref="J745">MAX(IF((ProjectInfoTable[ProjectName]=OutputTable[[#This Row],[ProjectName]]),(ProjectInfoTable[ProjectName]=OutputTable[[#This Row],[ProjectName]])*ProjectInfoTable[NumberOfReplications]))</f>
        <v>10</v>
      </c>
      <c r="K745" cm="1">
        <f t="array" ref="K745">IFERROR(AVERAGE(IF((OutputTable[GroupByKey]=OutputTable[[#This Row],[GroupByKey]]),(OutputTable[GroupByKey]=OutputTable[[#This Row],[GroupByKey]])*OutputTable[RecordedValue])),0)</f>
        <v>144088.31566564049</v>
      </c>
      <c r="L745" cm="1">
        <f t="array" ref="L745">IFERROR(_xlfn.STDEV.S(IF((OutputTable[GroupByKey]=OutputTable[[#This Row],[GroupByKey]]),(OutputTable[GroupByKey]=OutputTable[[#This Row],[GroupByKey]])*OutputTable[RecordedValue])),0)</f>
        <v>147.41980686592098</v>
      </c>
      <c r="M74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105.45777691839817</v>
      </c>
      <c r="O745" cm="1">
        <f t="array" ref="O745">MIN(IF((OutputTable[GroupByKey]=OutputTable[[#This Row],[GroupByKey]]),(OutputTable[GroupByKey]=OutputTable[[#This Row],[GroupByKey]])*OutputTable[RecordedValue]))</f>
        <v>143896.696561805</v>
      </c>
      <c r="P745" cm="1">
        <f t="array" ref="P745">MAX(IF((OutputTable[GroupByKey]=OutputTable[[#This Row],[GroupByKey]]),(OutputTable[GroupByKey]=OutputTable[[#This Row],[GroupByKey]])*OutputTable[RecordedValue]))</f>
        <v>144298.22507098701</v>
      </c>
    </row>
    <row r="746" spans="1:16" x14ac:dyDescent="0.25">
      <c r="A746" t="s">
        <v>67</v>
      </c>
      <c r="B746" t="s">
        <v>243</v>
      </c>
      <c r="C746">
        <v>9</v>
      </c>
      <c r="D746" t="s">
        <v>212</v>
      </c>
      <c r="E746" t="s">
        <v>156</v>
      </c>
      <c r="F746" t="s">
        <v>87</v>
      </c>
      <c r="G746">
        <v>13105</v>
      </c>
      <c r="H746">
        <v>0</v>
      </c>
      <c r="I746" t="str">
        <f>OutputTable[[#This Row],[ProjectName]]&amp;OutputTable[[#This Row],[Name]]&amp;OutputTable[[#This Row],[Type]]&amp;OutputTable[[#This Row],[Source]]</f>
        <v>Unnamed ProjectProcess 3 Number InNumber InProcess</v>
      </c>
      <c r="J746" cm="1">
        <f t="array" ref="J746">MAX(IF((ProjectInfoTable[ProjectName]=OutputTable[[#This Row],[ProjectName]]),(ProjectInfoTable[ProjectName]=OutputTable[[#This Row],[ProjectName]])*ProjectInfoTable[NumberOfReplications]))</f>
        <v>10</v>
      </c>
      <c r="K746" cm="1">
        <f t="array" ref="K746">IFERROR(AVERAGE(IF((OutputTable[GroupByKey]=OutputTable[[#This Row],[GroupByKey]]),(OutputTable[GroupByKey]=OutputTable[[#This Row],[GroupByKey]])*OutputTable[RecordedValue])),0)</f>
        <v>13099.9</v>
      </c>
      <c r="L746" cm="1">
        <f t="array" ref="L746">IFERROR(_xlfn.STDEV.S(IF((OutputTable[GroupByKey]=OutputTable[[#This Row],[GroupByKey]]),(OutputTable[GroupByKey]=OutputTable[[#This Row],[GroupByKey]])*OutputTable[RecordedValue])),0)</f>
        <v>11.761046816598522</v>
      </c>
      <c r="M746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746" cm="1">
        <f t="array" ref="O746">MIN(IF((OutputTable[GroupByKey]=OutputTable[[#This Row],[GroupByKey]]),(OutputTable[GroupByKey]=OutputTable[[#This Row],[GroupByKey]])*OutputTable[RecordedValue]))</f>
        <v>13082</v>
      </c>
      <c r="P746" cm="1">
        <f t="array" ref="P746">MAX(IF((OutputTable[GroupByKey]=OutputTable[[#This Row],[GroupByKey]]),(OutputTable[GroupByKey]=OutputTable[[#This Row],[GroupByKey]])*OutputTable[RecordedValue]))</f>
        <v>13118</v>
      </c>
    </row>
    <row r="747" spans="1:16" x14ac:dyDescent="0.25">
      <c r="A747" t="s">
        <v>67</v>
      </c>
      <c r="B747" t="s">
        <v>243</v>
      </c>
      <c r="C747">
        <v>9</v>
      </c>
      <c r="D747" t="s">
        <v>213</v>
      </c>
      <c r="E747" t="s">
        <v>158</v>
      </c>
      <c r="F747" t="s">
        <v>87</v>
      </c>
      <c r="G747">
        <v>13105</v>
      </c>
      <c r="H747">
        <v>0</v>
      </c>
      <c r="I747" t="str">
        <f>OutputTable[[#This Row],[ProjectName]]&amp;OutputTable[[#This Row],[Name]]&amp;OutputTable[[#This Row],[Type]]&amp;OutputTable[[#This Row],[Source]]</f>
        <v>Unnamed ProjectProcess 3 Number OutNumber OutProcess</v>
      </c>
      <c r="J747" cm="1">
        <f t="array" ref="J747">MAX(IF((ProjectInfoTable[ProjectName]=OutputTable[[#This Row],[ProjectName]]),(ProjectInfoTable[ProjectName]=OutputTable[[#This Row],[ProjectName]])*ProjectInfoTable[NumberOfReplications]))</f>
        <v>10</v>
      </c>
      <c r="K747" cm="1">
        <f t="array" ref="K747">IFERROR(AVERAGE(IF((OutputTable[GroupByKey]=OutputTable[[#This Row],[GroupByKey]]),(OutputTable[GroupByKey]=OutputTable[[#This Row],[GroupByKey]])*OutputTable[RecordedValue])),0)</f>
        <v>13099.9</v>
      </c>
      <c r="L747" cm="1">
        <f t="array" ref="L747">IFERROR(_xlfn.STDEV.S(IF((OutputTable[GroupByKey]=OutputTable[[#This Row],[GroupByKey]]),(OutputTable[GroupByKey]=OutputTable[[#This Row],[GroupByKey]])*OutputTable[RecordedValue])),0)</f>
        <v>11.761046816598522</v>
      </c>
      <c r="M747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747" cm="1">
        <f t="array" ref="O747">MIN(IF((OutputTable[GroupByKey]=OutputTable[[#This Row],[GroupByKey]]),(OutputTable[GroupByKey]=OutputTable[[#This Row],[GroupByKey]])*OutputTable[RecordedValue]))</f>
        <v>13082</v>
      </c>
      <c r="P747" cm="1">
        <f t="array" ref="P747">MAX(IF((OutputTable[GroupByKey]=OutputTable[[#This Row],[GroupByKey]]),(OutputTable[GroupByKey]=OutputTable[[#This Row],[GroupByKey]])*OutputTable[RecordedValue]))</f>
        <v>13118</v>
      </c>
    </row>
    <row r="748" spans="1:16" x14ac:dyDescent="0.25">
      <c r="A748" t="s">
        <v>67</v>
      </c>
      <c r="B748" t="s">
        <v>243</v>
      </c>
      <c r="C748">
        <v>9</v>
      </c>
      <c r="D748" t="s">
        <v>214</v>
      </c>
      <c r="E748" t="s">
        <v>202</v>
      </c>
      <c r="F748" t="s">
        <v>87</v>
      </c>
      <c r="G748">
        <v>57580.234661251197</v>
      </c>
      <c r="H748">
        <v>0</v>
      </c>
      <c r="I748" t="str">
        <f>OutputTable[[#This Row],[ProjectName]]&amp;OutputTable[[#This Row],[Name]]&amp;OutputTable[[#This Row],[Type]]&amp;OutputTable[[#This Row],[Source]]</f>
        <v>Unnamed ProjectProcess 4 Accum VA TimeAccum VA TimeProcess</v>
      </c>
      <c r="J748" cm="1">
        <f t="array" ref="J748">MAX(IF((ProjectInfoTable[ProjectName]=OutputTable[[#This Row],[ProjectName]]),(ProjectInfoTable[ProjectName]=OutputTable[[#This Row],[ProjectName]])*ProjectInfoTable[NumberOfReplications]))</f>
        <v>10</v>
      </c>
      <c r="K748" cm="1">
        <f t="array" ref="K748">IFERROR(AVERAGE(IF((OutputTable[GroupByKey]=OutputTable[[#This Row],[GroupByKey]]),(OutputTable[GroupByKey]=OutputTable[[#This Row],[GroupByKey]])*OutputTable[RecordedValue])),0)</f>
        <v>57657.842851106019</v>
      </c>
      <c r="L748" cm="1">
        <f t="array" ref="L748">IFERROR(_xlfn.STDEV.S(IF((OutputTable[GroupByKey]=OutputTable[[#This Row],[GroupByKey]]),(OutputTable[GroupByKey]=OutputTable[[#This Row],[GroupByKey]])*OutputTable[RecordedValue])),0)</f>
        <v>66.206976538127805</v>
      </c>
      <c r="M748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47.361617889987492</v>
      </c>
      <c r="O748" cm="1">
        <f t="array" ref="O748">MIN(IF((OutputTable[GroupByKey]=OutputTable[[#This Row],[GroupByKey]]),(OutputTable[GroupByKey]=OutputTable[[#This Row],[GroupByKey]])*OutputTable[RecordedValue]))</f>
        <v>57569.6670912306</v>
      </c>
      <c r="P748" cm="1">
        <f t="array" ref="P748">MAX(IF((OutputTable[GroupByKey]=OutputTable[[#This Row],[GroupByKey]]),(OutputTable[GroupByKey]=OutputTable[[#This Row],[GroupByKey]])*OutputTable[RecordedValue]))</f>
        <v>57778.887305354197</v>
      </c>
    </row>
    <row r="749" spans="1:16" x14ac:dyDescent="0.25">
      <c r="A749" t="s">
        <v>67</v>
      </c>
      <c r="B749" t="s">
        <v>243</v>
      </c>
      <c r="C749">
        <v>9</v>
      </c>
      <c r="D749" t="s">
        <v>215</v>
      </c>
      <c r="E749" t="s">
        <v>156</v>
      </c>
      <c r="F749" t="s">
        <v>87</v>
      </c>
      <c r="G749">
        <v>8234</v>
      </c>
      <c r="H749">
        <v>0</v>
      </c>
      <c r="I749" t="str">
        <f>OutputTable[[#This Row],[ProjectName]]&amp;OutputTable[[#This Row],[Name]]&amp;OutputTable[[#This Row],[Type]]&amp;OutputTable[[#This Row],[Source]]</f>
        <v>Unnamed ProjectProcess 4 Number InNumber InProcess</v>
      </c>
      <c r="J749" cm="1">
        <f t="array" ref="J749">MAX(IF((ProjectInfoTable[ProjectName]=OutputTable[[#This Row],[ProjectName]]),(ProjectInfoTable[ProjectName]=OutputTable[[#This Row],[ProjectName]])*ProjectInfoTable[NumberOfReplications]))</f>
        <v>10</v>
      </c>
      <c r="K749" cm="1">
        <f t="array" ref="K749">IFERROR(AVERAGE(IF((OutputTable[GroupByKey]=OutputTable[[#This Row],[GroupByKey]]),(OutputTable[GroupByKey]=OutputTable[[#This Row],[GroupByKey]])*OutputTable[RecordedValue])),0)</f>
        <v>8235</v>
      </c>
      <c r="L749" cm="1">
        <f t="array" ref="L749">IFERROR(_xlfn.STDEV.S(IF((OutputTable[GroupByKey]=OutputTable[[#This Row],[GroupByKey]]),(OutputTable[GroupByKey]=OutputTable[[#This Row],[GroupByKey]])*OutputTable[RecordedValue])),0)</f>
        <v>6.5659052011974035</v>
      </c>
      <c r="M749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749" cm="1">
        <f t="array" ref="O749">MIN(IF((OutputTable[GroupByKey]=OutputTable[[#This Row],[GroupByKey]]),(OutputTable[GroupByKey]=OutputTable[[#This Row],[GroupByKey]])*OutputTable[RecordedValue]))</f>
        <v>8223</v>
      </c>
      <c r="P749" cm="1">
        <f t="array" ref="P749">MAX(IF((OutputTable[GroupByKey]=OutputTable[[#This Row],[GroupByKey]]),(OutputTable[GroupByKey]=OutputTable[[#This Row],[GroupByKey]])*OutputTable[RecordedValue]))</f>
        <v>8245</v>
      </c>
    </row>
    <row r="750" spans="1:16" x14ac:dyDescent="0.25">
      <c r="A750" t="s">
        <v>67</v>
      </c>
      <c r="B750" t="s">
        <v>243</v>
      </c>
      <c r="C750">
        <v>9</v>
      </c>
      <c r="D750" t="s">
        <v>216</v>
      </c>
      <c r="E750" t="s">
        <v>158</v>
      </c>
      <c r="F750" t="s">
        <v>87</v>
      </c>
      <c r="G750">
        <v>8234</v>
      </c>
      <c r="H750">
        <v>0</v>
      </c>
      <c r="I750" t="str">
        <f>OutputTable[[#This Row],[ProjectName]]&amp;OutputTable[[#This Row],[Name]]&amp;OutputTable[[#This Row],[Type]]&amp;OutputTable[[#This Row],[Source]]</f>
        <v>Unnamed ProjectProcess 4 Number OutNumber OutProcess</v>
      </c>
      <c r="J750" cm="1">
        <f t="array" ref="J750">MAX(IF((ProjectInfoTable[ProjectName]=OutputTable[[#This Row],[ProjectName]]),(ProjectInfoTable[ProjectName]=OutputTable[[#This Row],[ProjectName]])*ProjectInfoTable[NumberOfReplications]))</f>
        <v>10</v>
      </c>
      <c r="K750" cm="1">
        <f t="array" ref="K750">IFERROR(AVERAGE(IF((OutputTable[GroupByKey]=OutputTable[[#This Row],[GroupByKey]]),(OutputTable[GroupByKey]=OutputTable[[#This Row],[GroupByKey]])*OutputTable[RecordedValue])),0)</f>
        <v>8235</v>
      </c>
      <c r="L750" cm="1">
        <f t="array" ref="L750">IFERROR(_xlfn.STDEV.S(IF((OutputTable[GroupByKey]=OutputTable[[#This Row],[GroupByKey]]),(OutputTable[GroupByKey]=OutputTable[[#This Row],[GroupByKey]])*OutputTable[RecordedValue])),0)</f>
        <v>6.5659052011974035</v>
      </c>
      <c r="M750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750" cm="1">
        <f t="array" ref="O750">MIN(IF((OutputTable[GroupByKey]=OutputTable[[#This Row],[GroupByKey]]),(OutputTable[GroupByKey]=OutputTable[[#This Row],[GroupByKey]])*OutputTable[RecordedValue]))</f>
        <v>8223</v>
      </c>
      <c r="P750" cm="1">
        <f t="array" ref="P750">MAX(IF((OutputTable[GroupByKey]=OutputTable[[#This Row],[GroupByKey]]),(OutputTable[GroupByKey]=OutputTable[[#This Row],[GroupByKey]])*OutputTable[RecordedValue]))</f>
        <v>8245</v>
      </c>
    </row>
    <row r="751" spans="1:16" x14ac:dyDescent="0.25">
      <c r="A751" t="s">
        <v>67</v>
      </c>
      <c r="B751" t="s">
        <v>243</v>
      </c>
      <c r="C751">
        <v>9</v>
      </c>
      <c r="D751" t="s">
        <v>217</v>
      </c>
      <c r="E751" t="s">
        <v>202</v>
      </c>
      <c r="F751" t="s">
        <v>87</v>
      </c>
      <c r="G751">
        <v>82359.233074604301</v>
      </c>
      <c r="H751">
        <v>0</v>
      </c>
      <c r="I751" t="str">
        <f>OutputTable[[#This Row],[ProjectName]]&amp;OutputTable[[#This Row],[Name]]&amp;OutputTable[[#This Row],[Type]]&amp;OutputTable[[#This Row],[Source]]</f>
        <v>Unnamed ProjectProcess 5 Accum VA TimeAccum VA TimeProcess</v>
      </c>
      <c r="J751" cm="1">
        <f t="array" ref="J751">MAX(IF((ProjectInfoTable[ProjectName]=OutputTable[[#This Row],[ProjectName]]),(ProjectInfoTable[ProjectName]=OutputTable[[#This Row],[ProjectName]])*ProjectInfoTable[NumberOfReplications]))</f>
        <v>10</v>
      </c>
      <c r="K751" cm="1">
        <f t="array" ref="K751">IFERROR(AVERAGE(IF((OutputTable[GroupByKey]=OutputTable[[#This Row],[GroupByKey]]),(OutputTable[GroupByKey]=OutputTable[[#This Row],[GroupByKey]])*OutputTable[RecordedValue])),0)</f>
        <v>82354.925585571807</v>
      </c>
      <c r="L751" cm="1">
        <f t="array" ref="L751">IFERROR(_xlfn.STDEV.S(IF((OutputTable[GroupByKey]=OutputTable[[#This Row],[GroupByKey]]),(OutputTable[GroupByKey]=OutputTable[[#This Row],[GroupByKey]])*OutputTable[RecordedValue])),0)</f>
        <v>74.759806822996126</v>
      </c>
      <c r="M751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53.479944099863097</v>
      </c>
      <c r="O751" cm="1">
        <f t="array" ref="O751">MIN(IF((OutputTable[GroupByKey]=OutputTable[[#This Row],[GroupByKey]]),(OutputTable[GroupByKey]=OutputTable[[#This Row],[GroupByKey]])*OutputTable[RecordedValue]))</f>
        <v>82287.012858407106</v>
      </c>
      <c r="P751" cm="1">
        <f t="array" ref="P751">MAX(IF((OutputTable[GroupByKey]=OutputTable[[#This Row],[GroupByKey]]),(OutputTable[GroupByKey]=OutputTable[[#This Row],[GroupByKey]])*OutputTable[RecordedValue]))</f>
        <v>82509.9089339692</v>
      </c>
    </row>
    <row r="752" spans="1:16" x14ac:dyDescent="0.25">
      <c r="A752" t="s">
        <v>67</v>
      </c>
      <c r="B752" t="s">
        <v>243</v>
      </c>
      <c r="C752">
        <v>9</v>
      </c>
      <c r="D752" t="s">
        <v>218</v>
      </c>
      <c r="E752" t="s">
        <v>156</v>
      </c>
      <c r="F752" t="s">
        <v>87</v>
      </c>
      <c r="G752">
        <v>8233</v>
      </c>
      <c r="H752">
        <v>0</v>
      </c>
      <c r="I752" t="str">
        <f>OutputTable[[#This Row],[ProjectName]]&amp;OutputTable[[#This Row],[Name]]&amp;OutputTable[[#This Row],[Type]]&amp;OutputTable[[#This Row],[Source]]</f>
        <v>Unnamed ProjectProcess 5 Number InNumber InProcess</v>
      </c>
      <c r="J752" cm="1">
        <f t="array" ref="J752">MAX(IF((ProjectInfoTable[ProjectName]=OutputTable[[#This Row],[ProjectName]]),(ProjectInfoTable[ProjectName]=OutputTable[[#This Row],[ProjectName]])*ProjectInfoTable[NumberOfReplications]))</f>
        <v>10</v>
      </c>
      <c r="K752" cm="1">
        <f t="array" ref="K752">IFERROR(AVERAGE(IF((OutputTable[GroupByKey]=OutputTable[[#This Row],[GroupByKey]]),(OutputTable[GroupByKey]=OutputTable[[#This Row],[GroupByKey]])*OutputTable[RecordedValue])),0)</f>
        <v>8233.5</v>
      </c>
      <c r="L752" cm="1">
        <f t="array" ref="L752">IFERROR(_xlfn.STDEV.S(IF((OutputTable[GroupByKey]=OutputTable[[#This Row],[GroupByKey]]),(OutputTable[GroupByKey]=OutputTable[[#This Row],[GroupByKey]])*OutputTable[RecordedValue])),0)</f>
        <v>6.5021364010437201</v>
      </c>
      <c r="M752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752" cm="1">
        <f t="array" ref="O752">MIN(IF((OutputTable[GroupByKey]=OutputTable[[#This Row],[GroupByKey]]),(OutputTable[GroupByKey]=OutputTable[[#This Row],[GroupByKey]])*OutputTable[RecordedValue]))</f>
        <v>8221</v>
      </c>
      <c r="P752" cm="1">
        <f t="array" ref="P752">MAX(IF((OutputTable[GroupByKey]=OutputTable[[#This Row],[GroupByKey]]),(OutputTable[GroupByKey]=OutputTable[[#This Row],[GroupByKey]])*OutputTable[RecordedValue]))</f>
        <v>8243</v>
      </c>
    </row>
    <row r="753" spans="1:16" x14ac:dyDescent="0.25">
      <c r="A753" t="s">
        <v>67</v>
      </c>
      <c r="B753" t="s">
        <v>243</v>
      </c>
      <c r="C753">
        <v>9</v>
      </c>
      <c r="D753" t="s">
        <v>219</v>
      </c>
      <c r="E753" t="s">
        <v>158</v>
      </c>
      <c r="F753" t="s">
        <v>87</v>
      </c>
      <c r="G753">
        <v>8233</v>
      </c>
      <c r="H753">
        <v>0</v>
      </c>
      <c r="I753" t="str">
        <f>OutputTable[[#This Row],[ProjectName]]&amp;OutputTable[[#This Row],[Name]]&amp;OutputTable[[#This Row],[Type]]&amp;OutputTable[[#This Row],[Source]]</f>
        <v>Unnamed ProjectProcess 5 Number OutNumber OutProcess</v>
      </c>
      <c r="J753" cm="1">
        <f t="array" ref="J753">MAX(IF((ProjectInfoTable[ProjectName]=OutputTable[[#This Row],[ProjectName]]),(ProjectInfoTable[ProjectName]=OutputTable[[#This Row],[ProjectName]])*ProjectInfoTable[NumberOfReplications]))</f>
        <v>10</v>
      </c>
      <c r="K753" cm="1">
        <f t="array" ref="K753">IFERROR(AVERAGE(IF((OutputTable[GroupByKey]=OutputTable[[#This Row],[GroupByKey]]),(OutputTable[GroupByKey]=OutputTable[[#This Row],[GroupByKey]])*OutputTable[RecordedValue])),0)</f>
        <v>8233.5</v>
      </c>
      <c r="L753" cm="1">
        <f t="array" ref="L753">IFERROR(_xlfn.STDEV.S(IF((OutputTable[GroupByKey]=OutputTable[[#This Row],[GroupByKey]]),(OutputTable[GroupByKey]=OutputTable[[#This Row],[GroupByKey]])*OutputTable[RecordedValue])),0)</f>
        <v>6.5021364010437201</v>
      </c>
      <c r="M753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753" cm="1">
        <f t="array" ref="O753">MIN(IF((OutputTable[GroupByKey]=OutputTable[[#This Row],[GroupByKey]]),(OutputTable[GroupByKey]=OutputTable[[#This Row],[GroupByKey]])*OutputTable[RecordedValue]))</f>
        <v>8221</v>
      </c>
      <c r="P753" cm="1">
        <f t="array" ref="P753">MAX(IF((OutputTable[GroupByKey]=OutputTable[[#This Row],[GroupByKey]]),(OutputTable[GroupByKey]=OutputTable[[#This Row],[GroupByKey]])*OutputTable[RecordedValue]))</f>
        <v>8243</v>
      </c>
    </row>
    <row r="754" spans="1:16" x14ac:dyDescent="0.25">
      <c r="A754" t="s">
        <v>67</v>
      </c>
      <c r="B754" t="s">
        <v>243</v>
      </c>
      <c r="C754">
        <v>9</v>
      </c>
      <c r="D754" t="s">
        <v>220</v>
      </c>
      <c r="E754" t="s">
        <v>202</v>
      </c>
      <c r="F754" t="s">
        <v>87</v>
      </c>
      <c r="G754">
        <v>205686.859289171</v>
      </c>
      <c r="H754">
        <v>0</v>
      </c>
      <c r="I754" t="str">
        <f>OutputTable[[#This Row],[ProjectName]]&amp;OutputTable[[#This Row],[Name]]&amp;OutputTable[[#This Row],[Type]]&amp;OutputTable[[#This Row],[Source]]</f>
        <v>Unnamed ProjectProcess 6 Accum VA TimeAccum VA TimeProcess</v>
      </c>
      <c r="J754" cm="1">
        <f t="array" ref="J754">MAX(IF((ProjectInfoTable[ProjectName]=OutputTable[[#This Row],[ProjectName]]),(ProjectInfoTable[ProjectName]=OutputTable[[#This Row],[ProjectName]])*ProjectInfoTable[NumberOfReplications]))</f>
        <v>10</v>
      </c>
      <c r="K754" cm="1">
        <f t="array" ref="K754">IFERROR(AVERAGE(IF((OutputTable[GroupByKey]=OutputTable[[#This Row],[GroupByKey]]),(OutputTable[GroupByKey]=OutputTable[[#This Row],[GroupByKey]])*OutputTable[RecordedValue])),0)</f>
        <v>205782.3721339902</v>
      </c>
      <c r="L754" cm="1">
        <f t="array" ref="L754">IFERROR(_xlfn.STDEV.S(IF((OutputTable[GroupByKey]=OutputTable[[#This Row],[GroupByKey]]),(OutputTable[GroupByKey]=OutputTable[[#This Row],[GroupByKey]])*OutputTable[RecordedValue])),0)</f>
        <v>135.17903819323379</v>
      </c>
      <c r="M754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96.701258514002035</v>
      </c>
      <c r="O754" cm="1">
        <f t="array" ref="O754">MIN(IF((OutputTable[GroupByKey]=OutputTable[[#This Row],[GroupByKey]]),(OutputTable[GroupByKey]=OutputTable[[#This Row],[GroupByKey]])*OutputTable[RecordedValue]))</f>
        <v>205554.00796082799</v>
      </c>
      <c r="P754" cm="1">
        <f t="array" ref="P754">MAX(IF((OutputTable[GroupByKey]=OutputTable[[#This Row],[GroupByKey]]),(OutputTable[GroupByKey]=OutputTable[[#This Row],[GroupByKey]])*OutputTable[RecordedValue]))</f>
        <v>205962.665291818</v>
      </c>
    </row>
    <row r="755" spans="1:16" x14ac:dyDescent="0.25">
      <c r="A755" t="s">
        <v>67</v>
      </c>
      <c r="B755" t="s">
        <v>243</v>
      </c>
      <c r="C755">
        <v>9</v>
      </c>
      <c r="D755" t="s">
        <v>221</v>
      </c>
      <c r="E755" t="s">
        <v>156</v>
      </c>
      <c r="F755" t="s">
        <v>87</v>
      </c>
      <c r="G755">
        <v>8232</v>
      </c>
      <c r="H755">
        <v>0</v>
      </c>
      <c r="I755" t="str">
        <f>OutputTable[[#This Row],[ProjectName]]&amp;OutputTable[[#This Row],[Name]]&amp;OutputTable[[#This Row],[Type]]&amp;OutputTable[[#This Row],[Source]]</f>
        <v>Unnamed ProjectProcess 6 Number InNumber InProcess</v>
      </c>
      <c r="J755" cm="1">
        <f t="array" ref="J755">MAX(IF((ProjectInfoTable[ProjectName]=OutputTable[[#This Row],[ProjectName]]),(ProjectInfoTable[ProjectName]=OutputTable[[#This Row],[ProjectName]])*ProjectInfoTable[NumberOfReplications]))</f>
        <v>10</v>
      </c>
      <c r="K755" cm="1">
        <f t="array" ref="K755">IFERROR(AVERAGE(IF((OutputTable[GroupByKey]=OutputTable[[#This Row],[GroupByKey]]),(OutputTable[GroupByKey]=OutputTable[[#This Row],[GroupByKey]])*OutputTable[RecordedValue])),0)</f>
        <v>8231.5</v>
      </c>
      <c r="L755" cm="1">
        <f t="array" ref="L755">IFERROR(_xlfn.STDEV.S(IF((OutputTable[GroupByKey]=OutputTable[[#This Row],[GroupByKey]]),(OutputTable[GroupByKey]=OutputTable[[#This Row],[GroupByKey]])*OutputTable[RecordedValue])),0)</f>
        <v>6.3464775882199236</v>
      </c>
      <c r="M75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755" cm="1">
        <f t="array" ref="O755">MIN(IF((OutputTable[GroupByKey]=OutputTable[[#This Row],[GroupByKey]]),(OutputTable[GroupByKey]=OutputTable[[#This Row],[GroupByKey]])*OutputTable[RecordedValue]))</f>
        <v>8220</v>
      </c>
      <c r="P755" cm="1">
        <f t="array" ref="P755">MAX(IF((OutputTable[GroupByKey]=OutputTable[[#This Row],[GroupByKey]]),(OutputTable[GroupByKey]=OutputTable[[#This Row],[GroupByKey]])*OutputTable[RecordedValue]))</f>
        <v>8241</v>
      </c>
    </row>
    <row r="756" spans="1:16" x14ac:dyDescent="0.25">
      <c r="A756" t="s">
        <v>67</v>
      </c>
      <c r="B756" t="s">
        <v>243</v>
      </c>
      <c r="C756">
        <v>9</v>
      </c>
      <c r="D756" t="s">
        <v>222</v>
      </c>
      <c r="E756" t="s">
        <v>158</v>
      </c>
      <c r="F756" t="s">
        <v>87</v>
      </c>
      <c r="G756">
        <v>8232</v>
      </c>
      <c r="H756">
        <v>0</v>
      </c>
      <c r="I756" t="str">
        <f>OutputTable[[#This Row],[ProjectName]]&amp;OutputTable[[#This Row],[Name]]&amp;OutputTable[[#This Row],[Type]]&amp;OutputTable[[#This Row],[Source]]</f>
        <v>Unnamed ProjectProcess 6 Number OutNumber OutProcess</v>
      </c>
      <c r="J756" cm="1">
        <f t="array" ref="J756">MAX(IF((ProjectInfoTable[ProjectName]=OutputTable[[#This Row],[ProjectName]]),(ProjectInfoTable[ProjectName]=OutputTable[[#This Row],[ProjectName]])*ProjectInfoTable[NumberOfReplications]))</f>
        <v>10</v>
      </c>
      <c r="K756" cm="1">
        <f t="array" ref="K756">IFERROR(AVERAGE(IF((OutputTable[GroupByKey]=OutputTable[[#This Row],[GroupByKey]]),(OutputTable[GroupByKey]=OutputTable[[#This Row],[GroupByKey]])*OutputTable[RecordedValue])),0)</f>
        <v>8231.5</v>
      </c>
      <c r="L756" cm="1">
        <f t="array" ref="L756">IFERROR(_xlfn.STDEV.S(IF((OutputTable[GroupByKey]=OutputTable[[#This Row],[GroupByKey]]),(OutputTable[GroupByKey]=OutputTable[[#This Row],[GroupByKey]])*OutputTable[RecordedValue])),0)</f>
        <v>6.3464775882199236</v>
      </c>
      <c r="M756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756" cm="1">
        <f t="array" ref="O756">MIN(IF((OutputTable[GroupByKey]=OutputTable[[#This Row],[GroupByKey]]),(OutputTable[GroupByKey]=OutputTable[[#This Row],[GroupByKey]])*OutputTable[RecordedValue]))</f>
        <v>8220</v>
      </c>
      <c r="P756" cm="1">
        <f t="array" ref="P756">MAX(IF((OutputTable[GroupByKey]=OutputTable[[#This Row],[GroupByKey]]),(OutputTable[GroupByKey]=OutputTable[[#This Row],[GroupByKey]])*OutputTable[RecordedValue]))</f>
        <v>8241</v>
      </c>
    </row>
    <row r="757" spans="1:16" x14ac:dyDescent="0.25">
      <c r="A757" t="s">
        <v>67</v>
      </c>
      <c r="B757" t="s">
        <v>243</v>
      </c>
      <c r="C757">
        <v>9</v>
      </c>
      <c r="D757" t="s">
        <v>223</v>
      </c>
      <c r="E757" t="s">
        <v>202</v>
      </c>
      <c r="F757" t="s">
        <v>87</v>
      </c>
      <c r="G757">
        <v>98575.001200446495</v>
      </c>
      <c r="H757">
        <v>0</v>
      </c>
      <c r="I757" t="str">
        <f>OutputTable[[#This Row],[ProjectName]]&amp;OutputTable[[#This Row],[Name]]&amp;OutputTable[[#This Row],[Type]]&amp;OutputTable[[#This Row],[Source]]</f>
        <v>Unnamed ProjectProcess 7 Accum VA TimeAccum VA TimeProcess</v>
      </c>
      <c r="J757" cm="1">
        <f t="array" ref="J757">MAX(IF((ProjectInfoTable[ProjectName]=OutputTable[[#This Row],[ProjectName]]),(ProjectInfoTable[ProjectName]=OutputTable[[#This Row],[ProjectName]])*ProjectInfoTable[NumberOfReplications]))</f>
        <v>10</v>
      </c>
      <c r="K757" cm="1">
        <f t="array" ref="K757">IFERROR(AVERAGE(IF((OutputTable[GroupByKey]=OutputTable[[#This Row],[GroupByKey]]),(OutputTable[GroupByKey]=OutputTable[[#This Row],[GroupByKey]])*OutputTable[RecordedValue])),0)</f>
        <v>98625.180720296266</v>
      </c>
      <c r="L757" cm="1">
        <f t="array" ref="L757">IFERROR(_xlfn.STDEV.S(IF((OutputTable[GroupByKey]=OutputTable[[#This Row],[GroupByKey]]),(OutputTable[GroupByKey]=OutputTable[[#This Row],[GroupByKey]])*OutputTable[RecordedValue])),0)</f>
        <v>166.97558012409817</v>
      </c>
      <c r="M757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119.44713437023168</v>
      </c>
      <c r="O757" cm="1">
        <f t="array" ref="O757">MIN(IF((OutputTable[GroupByKey]=OutputTable[[#This Row],[GroupByKey]]),(OutputTable[GroupByKey]=OutputTable[[#This Row],[GroupByKey]])*OutputTable[RecordedValue]))</f>
        <v>98434.330991768598</v>
      </c>
      <c r="P757" cm="1">
        <f t="array" ref="P757">MAX(IF((OutputTable[GroupByKey]=OutputTable[[#This Row],[GroupByKey]]),(OutputTable[GroupByKey]=OutputTable[[#This Row],[GroupByKey]])*OutputTable[RecordedValue]))</f>
        <v>98993.883345143302</v>
      </c>
    </row>
    <row r="758" spans="1:16" x14ac:dyDescent="0.25">
      <c r="A758" t="s">
        <v>67</v>
      </c>
      <c r="B758" t="s">
        <v>243</v>
      </c>
      <c r="C758">
        <v>9</v>
      </c>
      <c r="D758" t="s">
        <v>224</v>
      </c>
      <c r="E758" t="s">
        <v>156</v>
      </c>
      <c r="F758" t="s">
        <v>87</v>
      </c>
      <c r="G758">
        <v>8228</v>
      </c>
      <c r="H758">
        <v>0</v>
      </c>
      <c r="I758" t="str">
        <f>OutputTable[[#This Row],[ProjectName]]&amp;OutputTable[[#This Row],[Name]]&amp;OutputTable[[#This Row],[Type]]&amp;OutputTable[[#This Row],[Source]]</f>
        <v>Unnamed ProjectProcess 7 Number InNumber InProcess</v>
      </c>
      <c r="J758" cm="1">
        <f t="array" ref="J758">MAX(IF((ProjectInfoTable[ProjectName]=OutputTable[[#This Row],[ProjectName]]),(ProjectInfoTable[ProjectName]=OutputTable[[#This Row],[ProjectName]])*ProjectInfoTable[NumberOfReplications]))</f>
        <v>10</v>
      </c>
      <c r="K758" cm="1">
        <f t="array" ref="K758">IFERROR(AVERAGE(IF((OutputTable[GroupByKey]=OutputTable[[#This Row],[GroupByKey]]),(OutputTable[GroupByKey]=OutputTable[[#This Row],[GroupByKey]])*OutputTable[RecordedValue])),0)</f>
        <v>8227.7000000000007</v>
      </c>
      <c r="L758" cm="1">
        <f t="array" ref="L758">IFERROR(_xlfn.STDEV.S(IF((OutputTable[GroupByKey]=OutputTable[[#This Row],[GroupByKey]]),(OutputTable[GroupByKey]=OutputTable[[#This Row],[GroupByKey]])*OutputTable[RecordedValue])),0)</f>
        <v>6.2902040242480748</v>
      </c>
      <c r="M758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758" cm="1">
        <f t="array" ref="O758">MIN(IF((OutputTable[GroupByKey]=OutputTable[[#This Row],[GroupByKey]]),(OutputTable[GroupByKey]=OutputTable[[#This Row],[GroupByKey]])*OutputTable[RecordedValue]))</f>
        <v>8216</v>
      </c>
      <c r="P758" cm="1">
        <f t="array" ref="P758">MAX(IF((OutputTable[GroupByKey]=OutputTable[[#This Row],[GroupByKey]]),(OutputTable[GroupByKey]=OutputTable[[#This Row],[GroupByKey]])*OutputTable[RecordedValue]))</f>
        <v>8237</v>
      </c>
    </row>
    <row r="759" spans="1:16" x14ac:dyDescent="0.25">
      <c r="A759" t="s">
        <v>67</v>
      </c>
      <c r="B759" t="s">
        <v>243</v>
      </c>
      <c r="C759">
        <v>9</v>
      </c>
      <c r="D759" t="s">
        <v>225</v>
      </c>
      <c r="E759" t="s">
        <v>158</v>
      </c>
      <c r="F759" t="s">
        <v>87</v>
      </c>
      <c r="G759">
        <v>8228</v>
      </c>
      <c r="H759">
        <v>0</v>
      </c>
      <c r="I759" t="str">
        <f>OutputTable[[#This Row],[ProjectName]]&amp;OutputTable[[#This Row],[Name]]&amp;OutputTable[[#This Row],[Type]]&amp;OutputTable[[#This Row],[Source]]</f>
        <v>Unnamed ProjectProcess 7 Number OutNumber OutProcess</v>
      </c>
      <c r="J759" cm="1">
        <f t="array" ref="J759">MAX(IF((ProjectInfoTable[ProjectName]=OutputTable[[#This Row],[ProjectName]]),(ProjectInfoTable[ProjectName]=OutputTable[[#This Row],[ProjectName]])*ProjectInfoTable[NumberOfReplications]))</f>
        <v>10</v>
      </c>
      <c r="K759" cm="1">
        <f t="array" ref="K759">IFERROR(AVERAGE(IF((OutputTable[GroupByKey]=OutputTable[[#This Row],[GroupByKey]]),(OutputTable[GroupByKey]=OutputTable[[#This Row],[GroupByKey]])*OutputTable[RecordedValue])),0)</f>
        <v>8227.7000000000007</v>
      </c>
      <c r="L759" cm="1">
        <f t="array" ref="L759">IFERROR(_xlfn.STDEV.S(IF((OutputTable[GroupByKey]=OutputTable[[#This Row],[GroupByKey]]),(OutputTable[GroupByKey]=OutputTable[[#This Row],[GroupByKey]])*OutputTable[RecordedValue])),0)</f>
        <v>6.2902040242480748</v>
      </c>
      <c r="M759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759" cm="1">
        <f t="array" ref="O759">MIN(IF((OutputTable[GroupByKey]=OutputTable[[#This Row],[GroupByKey]]),(OutputTable[GroupByKey]=OutputTable[[#This Row],[GroupByKey]])*OutputTable[RecordedValue]))</f>
        <v>8216</v>
      </c>
      <c r="P759" cm="1">
        <f t="array" ref="P759">MAX(IF((OutputTable[GroupByKey]=OutputTable[[#This Row],[GroupByKey]]),(OutputTable[GroupByKey]=OutputTable[[#This Row],[GroupByKey]])*OutputTable[RecordedValue]))</f>
        <v>8237</v>
      </c>
    </row>
    <row r="760" spans="1:16" x14ac:dyDescent="0.25">
      <c r="A760" t="s">
        <v>67</v>
      </c>
      <c r="B760" t="s">
        <v>243</v>
      </c>
      <c r="C760">
        <v>9</v>
      </c>
      <c r="D760" t="s">
        <v>226</v>
      </c>
      <c r="E760" t="s">
        <v>202</v>
      </c>
      <c r="F760" t="s">
        <v>87</v>
      </c>
      <c r="G760">
        <v>92162.594279262106</v>
      </c>
      <c r="H760">
        <v>0</v>
      </c>
      <c r="I760" t="str">
        <f>OutputTable[[#This Row],[ProjectName]]&amp;OutputTable[[#This Row],[Name]]&amp;OutputTable[[#This Row],[Type]]&amp;OutputTable[[#This Row],[Source]]</f>
        <v>Unnamed ProjectProcess 8 Accum VA TimeAccum VA TimeProcess</v>
      </c>
      <c r="J760" cm="1">
        <f t="array" ref="J760">MAX(IF((ProjectInfoTable[ProjectName]=OutputTable[[#This Row],[ProjectName]]),(ProjectInfoTable[ProjectName]=OutputTable[[#This Row],[ProjectName]])*ProjectInfoTable[NumberOfReplications]))</f>
        <v>10</v>
      </c>
      <c r="K760" cm="1">
        <f t="array" ref="K760">IFERROR(AVERAGE(IF((OutputTable[GroupByKey]=OutputTable[[#This Row],[GroupByKey]]),(OutputTable[GroupByKey]=OutputTable[[#This Row],[GroupByKey]])*OutputTable[RecordedValue])),0)</f>
        <v>91917.034029149756</v>
      </c>
      <c r="L760" cm="1">
        <f t="array" ref="L760">IFERROR(_xlfn.STDEV.S(IF((OutputTable[GroupByKey]=OutputTable[[#This Row],[GroupByKey]]),(OutputTable[GroupByKey]=OutputTable[[#This Row],[GroupByKey]])*OutputTable[RecordedValue])),0)</f>
        <v>167.33037075092571</v>
      </c>
      <c r="M760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119.70093629530641</v>
      </c>
      <c r="O760" cm="1">
        <f t="array" ref="O760">MIN(IF((OutputTable[GroupByKey]=OutputTable[[#This Row],[GroupByKey]]),(OutputTable[GroupByKey]=OutputTable[[#This Row],[GroupByKey]])*OutputTable[RecordedValue]))</f>
        <v>91632.276670136605</v>
      </c>
      <c r="P760" cm="1">
        <f t="array" ref="P760">MAX(IF((OutputTable[GroupByKey]=OutputTable[[#This Row],[GroupByKey]]),(OutputTable[GroupByKey]=OutputTable[[#This Row],[GroupByKey]])*OutputTable[RecordedValue]))</f>
        <v>92162.594279262106</v>
      </c>
    </row>
    <row r="761" spans="1:16" x14ac:dyDescent="0.25">
      <c r="A761" t="s">
        <v>67</v>
      </c>
      <c r="B761" t="s">
        <v>243</v>
      </c>
      <c r="C761">
        <v>9</v>
      </c>
      <c r="D761" t="s">
        <v>227</v>
      </c>
      <c r="E761" t="s">
        <v>156</v>
      </c>
      <c r="F761" t="s">
        <v>87</v>
      </c>
      <c r="G761">
        <v>18405</v>
      </c>
      <c r="H761">
        <v>0</v>
      </c>
      <c r="I761" t="str">
        <f>OutputTable[[#This Row],[ProjectName]]&amp;OutputTable[[#This Row],[Name]]&amp;OutputTable[[#This Row],[Type]]&amp;OutputTable[[#This Row],[Source]]</f>
        <v>Unnamed ProjectProcess 8 Number InNumber InProcess</v>
      </c>
      <c r="J761" cm="1">
        <f t="array" ref="J761">MAX(IF((ProjectInfoTable[ProjectName]=OutputTable[[#This Row],[ProjectName]]),(ProjectInfoTable[ProjectName]=OutputTable[[#This Row],[ProjectName]])*ProjectInfoTable[NumberOfReplications]))</f>
        <v>10</v>
      </c>
      <c r="K761" cm="1">
        <f t="array" ref="K761">IFERROR(AVERAGE(IF((OutputTable[GroupByKey]=OutputTable[[#This Row],[GroupByKey]]),(OutputTable[GroupByKey]=OutputTable[[#This Row],[GroupByKey]])*OutputTable[RecordedValue])),0)</f>
        <v>18392</v>
      </c>
      <c r="L761" cm="1">
        <f t="array" ref="L761">IFERROR(_xlfn.STDEV.S(IF((OutputTable[GroupByKey]=OutputTable[[#This Row],[GroupByKey]]),(OutputTable[GroupByKey]=OutputTable[[#This Row],[GroupByKey]])*OutputTable[RecordedValue])),0)</f>
        <v>12.884098726725126</v>
      </c>
      <c r="M761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761" cm="1">
        <f t="array" ref="O761">MIN(IF((OutputTable[GroupByKey]=OutputTable[[#This Row],[GroupByKey]]),(OutputTable[GroupByKey]=OutputTable[[#This Row],[GroupByKey]])*OutputTable[RecordedValue]))</f>
        <v>18376</v>
      </c>
      <c r="P761" cm="1">
        <f t="array" ref="P761">MAX(IF((OutputTable[GroupByKey]=OutputTable[[#This Row],[GroupByKey]]),(OutputTable[GroupByKey]=OutputTable[[#This Row],[GroupByKey]])*OutputTable[RecordedValue]))</f>
        <v>18407</v>
      </c>
    </row>
    <row r="762" spans="1:16" x14ac:dyDescent="0.25">
      <c r="A762" t="s">
        <v>67</v>
      </c>
      <c r="B762" t="s">
        <v>243</v>
      </c>
      <c r="C762">
        <v>9</v>
      </c>
      <c r="D762" t="s">
        <v>228</v>
      </c>
      <c r="E762" t="s">
        <v>158</v>
      </c>
      <c r="F762" t="s">
        <v>87</v>
      </c>
      <c r="G762">
        <v>18405</v>
      </c>
      <c r="H762">
        <v>0</v>
      </c>
      <c r="I762" t="str">
        <f>OutputTable[[#This Row],[ProjectName]]&amp;OutputTable[[#This Row],[Name]]&amp;OutputTable[[#This Row],[Type]]&amp;OutputTable[[#This Row],[Source]]</f>
        <v>Unnamed ProjectProcess 8 Number OutNumber OutProcess</v>
      </c>
      <c r="J762" cm="1">
        <f t="array" ref="J762">MAX(IF((ProjectInfoTable[ProjectName]=OutputTable[[#This Row],[ProjectName]]),(ProjectInfoTable[ProjectName]=OutputTable[[#This Row],[ProjectName]])*ProjectInfoTable[NumberOfReplications]))</f>
        <v>10</v>
      </c>
      <c r="K762" cm="1">
        <f t="array" ref="K762">IFERROR(AVERAGE(IF((OutputTable[GroupByKey]=OutputTable[[#This Row],[GroupByKey]]),(OutputTable[GroupByKey]=OutputTable[[#This Row],[GroupByKey]])*OutputTable[RecordedValue])),0)</f>
        <v>18392</v>
      </c>
      <c r="L762" cm="1">
        <f t="array" ref="L762">IFERROR(_xlfn.STDEV.S(IF((OutputTable[GroupByKey]=OutputTable[[#This Row],[GroupByKey]]),(OutputTable[GroupByKey]=OutputTable[[#This Row],[GroupByKey]])*OutputTable[RecordedValue])),0)</f>
        <v>12.884098726725126</v>
      </c>
      <c r="M762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762" cm="1">
        <f t="array" ref="O762">MIN(IF((OutputTable[GroupByKey]=OutputTable[[#This Row],[GroupByKey]]),(OutputTable[GroupByKey]=OutputTable[[#This Row],[GroupByKey]])*OutputTable[RecordedValue]))</f>
        <v>18376</v>
      </c>
      <c r="P762" cm="1">
        <f t="array" ref="P762">MAX(IF((OutputTable[GroupByKey]=OutputTable[[#This Row],[GroupByKey]]),(OutputTable[GroupByKey]=OutputTable[[#This Row],[GroupByKey]])*OutputTable[RecordedValue]))</f>
        <v>18407</v>
      </c>
    </row>
    <row r="763" spans="1:16" x14ac:dyDescent="0.25">
      <c r="A763" t="s">
        <v>67</v>
      </c>
      <c r="B763" t="s">
        <v>243</v>
      </c>
      <c r="C763">
        <v>9</v>
      </c>
      <c r="D763" t="s">
        <v>229</v>
      </c>
      <c r="E763" t="s">
        <v>202</v>
      </c>
      <c r="F763" t="s">
        <v>87</v>
      </c>
      <c r="G763">
        <v>104214.90812610299</v>
      </c>
      <c r="H763">
        <v>0</v>
      </c>
      <c r="I763" t="str">
        <f>OutputTable[[#This Row],[ProjectName]]&amp;OutputTable[[#This Row],[Name]]&amp;OutputTable[[#This Row],[Type]]&amp;OutputTable[[#This Row],[Source]]</f>
        <v>Unnamed ProjectProcess 9 Accum VA TimeAccum VA TimeProcess</v>
      </c>
      <c r="J763" cm="1">
        <f t="array" ref="J763">MAX(IF((ProjectInfoTable[ProjectName]=OutputTable[[#This Row],[ProjectName]]),(ProjectInfoTable[ProjectName]=OutputTable[[#This Row],[ProjectName]])*ProjectInfoTable[NumberOfReplications]))</f>
        <v>10</v>
      </c>
      <c r="K763" cm="1">
        <f t="array" ref="K763">IFERROR(AVERAGE(IF((OutputTable[GroupByKey]=OutputTable[[#This Row],[GroupByKey]]),(OutputTable[GroupByKey]=OutputTable[[#This Row],[GroupByKey]])*OutputTable[RecordedValue])),0)</f>
        <v>104198.44406523299</v>
      </c>
      <c r="L763" cm="1">
        <f t="array" ref="L763">IFERROR(_xlfn.STDEV.S(IF((OutputTable[GroupByKey]=OutputTable[[#This Row],[GroupByKey]]),(OutputTable[GroupByKey]=OutputTable[[#This Row],[GroupByKey]])*OutputTable[RecordedValue])),0)</f>
        <v>99.045608472383734</v>
      </c>
      <c r="M763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70.852960026786278</v>
      </c>
      <c r="O763" cm="1">
        <f t="array" ref="O763">MIN(IF((OutputTable[GroupByKey]=OutputTable[[#This Row],[GroupByKey]]),(OutputTable[GroupByKey]=OutputTable[[#This Row],[GroupByKey]])*OutputTable[RecordedValue]))</f>
        <v>104039.320720244</v>
      </c>
      <c r="P763" cm="1">
        <f t="array" ref="P763">MAX(IF((OutputTable[GroupByKey]=OutputTable[[#This Row],[GroupByKey]]),(OutputTable[GroupByKey]=OutputTable[[#This Row],[GroupByKey]])*OutputTable[RecordedValue]))</f>
        <v>104335.096217932</v>
      </c>
    </row>
    <row r="764" spans="1:16" x14ac:dyDescent="0.25">
      <c r="A764" t="s">
        <v>67</v>
      </c>
      <c r="B764" t="s">
        <v>243</v>
      </c>
      <c r="C764">
        <v>9</v>
      </c>
      <c r="D764" t="s">
        <v>230</v>
      </c>
      <c r="E764" t="s">
        <v>156</v>
      </c>
      <c r="F764" t="s">
        <v>87</v>
      </c>
      <c r="G764">
        <v>18403</v>
      </c>
      <c r="H764">
        <v>0</v>
      </c>
      <c r="I764" t="str">
        <f>OutputTable[[#This Row],[ProjectName]]&amp;OutputTable[[#This Row],[Name]]&amp;OutputTable[[#This Row],[Type]]&amp;OutputTable[[#This Row],[Source]]</f>
        <v>Unnamed ProjectProcess 9 Number InNumber InProcess</v>
      </c>
      <c r="J764" cm="1">
        <f t="array" ref="J764">MAX(IF((ProjectInfoTable[ProjectName]=OutputTable[[#This Row],[ProjectName]]),(ProjectInfoTable[ProjectName]=OutputTable[[#This Row],[ProjectName]])*ProjectInfoTable[NumberOfReplications]))</f>
        <v>10</v>
      </c>
      <c r="K764" cm="1">
        <f t="array" ref="K764">IFERROR(AVERAGE(IF((OutputTable[GroupByKey]=OutputTable[[#This Row],[GroupByKey]]),(OutputTable[GroupByKey]=OutputTable[[#This Row],[GroupByKey]])*OutputTable[RecordedValue])),0)</f>
        <v>18389.400000000001</v>
      </c>
      <c r="L764" cm="1">
        <f t="array" ref="L764">IFERROR(_xlfn.STDEV.S(IF((OutputTable[GroupByKey]=OutputTable[[#This Row],[GroupByKey]]),(OutputTable[GroupByKey]=OutputTable[[#This Row],[GroupByKey]])*OutputTable[RecordedValue])),0)</f>
        <v>12.103259432437566</v>
      </c>
      <c r="M764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764" cm="1">
        <f t="array" ref="O764">MIN(IF((OutputTable[GroupByKey]=OutputTable[[#This Row],[GroupByKey]]),(OutputTable[GroupByKey]=OutputTable[[#This Row],[GroupByKey]])*OutputTable[RecordedValue]))</f>
        <v>18376</v>
      </c>
      <c r="P764" cm="1">
        <f t="array" ref="P764">MAX(IF((OutputTable[GroupByKey]=OutputTable[[#This Row],[GroupByKey]]),(OutputTable[GroupByKey]=OutputTable[[#This Row],[GroupByKey]])*OutputTable[RecordedValue]))</f>
        <v>18404</v>
      </c>
    </row>
    <row r="765" spans="1:16" x14ac:dyDescent="0.25">
      <c r="A765" t="s">
        <v>67</v>
      </c>
      <c r="B765" t="s">
        <v>243</v>
      </c>
      <c r="C765">
        <v>9</v>
      </c>
      <c r="D765" t="s">
        <v>231</v>
      </c>
      <c r="E765" t="s">
        <v>158</v>
      </c>
      <c r="F765" t="s">
        <v>87</v>
      </c>
      <c r="G765">
        <v>18403</v>
      </c>
      <c r="H765">
        <v>0</v>
      </c>
      <c r="I765" t="str">
        <f>OutputTable[[#This Row],[ProjectName]]&amp;OutputTable[[#This Row],[Name]]&amp;OutputTable[[#This Row],[Type]]&amp;OutputTable[[#This Row],[Source]]</f>
        <v>Unnamed ProjectProcess 9 Number OutNumber OutProcess</v>
      </c>
      <c r="J765" cm="1">
        <f t="array" ref="J765">MAX(IF((ProjectInfoTable[ProjectName]=OutputTable[[#This Row],[ProjectName]]),(ProjectInfoTable[ProjectName]=OutputTable[[#This Row],[ProjectName]])*ProjectInfoTable[NumberOfReplications]))</f>
        <v>10</v>
      </c>
      <c r="K765" cm="1">
        <f t="array" ref="K765">IFERROR(AVERAGE(IF((OutputTable[GroupByKey]=OutputTable[[#This Row],[GroupByKey]]),(OutputTable[GroupByKey]=OutputTable[[#This Row],[GroupByKey]])*OutputTable[RecordedValue])),0)</f>
        <v>18389.400000000001</v>
      </c>
      <c r="L765" cm="1">
        <f t="array" ref="L765">IFERROR(_xlfn.STDEV.S(IF((OutputTable[GroupByKey]=OutputTable[[#This Row],[GroupByKey]]),(OutputTable[GroupByKey]=OutputTable[[#This Row],[GroupByKey]])*OutputTable[RecordedValue])),0)</f>
        <v>12.103259432437566</v>
      </c>
      <c r="M76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765" cm="1">
        <f t="array" ref="O765">MIN(IF((OutputTable[GroupByKey]=OutputTable[[#This Row],[GroupByKey]]),(OutputTable[GroupByKey]=OutputTable[[#This Row],[GroupByKey]])*OutputTable[RecordedValue]))</f>
        <v>18376</v>
      </c>
      <c r="P765" cm="1">
        <f t="array" ref="P765">MAX(IF((OutputTable[GroupByKey]=OutputTable[[#This Row],[GroupByKey]]),(OutputTable[GroupByKey]=OutputTable[[#This Row],[GroupByKey]])*OutputTable[RecordedValue]))</f>
        <v>18404</v>
      </c>
    </row>
    <row r="766" spans="1:16" x14ac:dyDescent="0.25">
      <c r="A766" t="s">
        <v>67</v>
      </c>
      <c r="B766" t="s">
        <v>243</v>
      </c>
      <c r="C766">
        <v>9</v>
      </c>
      <c r="D766" t="s">
        <v>232</v>
      </c>
      <c r="E766" t="s">
        <v>152</v>
      </c>
      <c r="F766" t="s">
        <v>113</v>
      </c>
      <c r="G766">
        <v>0</v>
      </c>
      <c r="H766">
        <v>0</v>
      </c>
      <c r="I766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766" cm="1">
        <f t="array" ref="J766">MAX(IF((ProjectInfoTable[ProjectName]=OutputTable[[#This Row],[ProjectName]]),(ProjectInfoTable[ProjectName]=OutputTable[[#This Row],[ProjectName]])*ProjectInfoTable[NumberOfReplications]))</f>
        <v>10</v>
      </c>
      <c r="K766" cm="1">
        <f t="array" ref="K766">IFERROR(AVERAGE(IF((OutputTable[GroupByKey]=OutputTable[[#This Row],[GroupByKey]]),(OutputTable[GroupByKey]=OutputTable[[#This Row],[GroupByKey]])*OutputTable[RecordedValue])),0)</f>
        <v>0</v>
      </c>
      <c r="L766" cm="1">
        <f t="array" ref="L766">IFERROR(_xlfn.STDEV.S(IF((OutputTable[GroupByKey]=OutputTable[[#This Row],[GroupByKey]]),(OutputTable[GroupByKey]=OutputTable[[#This Row],[GroupByKey]])*OutputTable[RecordedValue])),0)</f>
        <v>0</v>
      </c>
      <c r="M766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6" cm="1">
        <f t="array" ref="O766">MIN(IF((OutputTable[GroupByKey]=OutputTable[[#This Row],[GroupByKey]]),(OutputTable[GroupByKey]=OutputTable[[#This Row],[GroupByKey]])*OutputTable[RecordedValue]))</f>
        <v>0</v>
      </c>
      <c r="P766" cm="1">
        <f t="array" ref="P766">MAX(IF((OutputTable[GroupByKey]=OutputTable[[#This Row],[GroupByKey]]),(OutputTable[GroupByKey]=OutputTable[[#This Row],[GroupByKey]])*OutputTable[RecordedValue]))</f>
        <v>0</v>
      </c>
    </row>
    <row r="767" spans="1:16" x14ac:dyDescent="0.25">
      <c r="A767" t="s">
        <v>67</v>
      </c>
      <c r="B767" t="s">
        <v>243</v>
      </c>
      <c r="C767">
        <v>9</v>
      </c>
      <c r="D767" t="s">
        <v>233</v>
      </c>
      <c r="E767" t="s">
        <v>154</v>
      </c>
      <c r="F767" t="s">
        <v>113</v>
      </c>
      <c r="G767">
        <v>0</v>
      </c>
      <c r="H767">
        <v>0</v>
      </c>
      <c r="I767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767" cm="1">
        <f t="array" ref="J767">MAX(IF((ProjectInfoTable[ProjectName]=OutputTable[[#This Row],[ProjectName]]),(ProjectInfoTable[ProjectName]=OutputTable[[#This Row],[ProjectName]])*ProjectInfoTable[NumberOfReplications]))</f>
        <v>10</v>
      </c>
      <c r="K767" cm="1">
        <f t="array" ref="K767">IFERROR(AVERAGE(IF((OutputTable[GroupByKey]=OutputTable[[#This Row],[GroupByKey]]),(OutputTable[GroupByKey]=OutputTable[[#This Row],[GroupByKey]])*OutputTable[RecordedValue])),0)</f>
        <v>0</v>
      </c>
      <c r="L767" cm="1">
        <f t="array" ref="L767">IFERROR(_xlfn.STDEV.S(IF((OutputTable[GroupByKey]=OutputTable[[#This Row],[GroupByKey]]),(OutputTable[GroupByKey]=OutputTable[[#This Row],[GroupByKey]])*OutputTable[RecordedValue])),0)</f>
        <v>0</v>
      </c>
      <c r="M767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7" cm="1">
        <f t="array" ref="O767">MIN(IF((OutputTable[GroupByKey]=OutputTable[[#This Row],[GroupByKey]]),(OutputTable[GroupByKey]=OutputTable[[#This Row],[GroupByKey]])*OutputTable[RecordedValue]))</f>
        <v>0</v>
      </c>
      <c r="P767" cm="1">
        <f t="array" ref="P767">MAX(IF((OutputTable[GroupByKey]=OutputTable[[#This Row],[GroupByKey]]),(OutputTable[GroupByKey]=OutputTable[[#This Row],[GroupByKey]])*OutputTable[RecordedValue]))</f>
        <v>0</v>
      </c>
    </row>
    <row r="768" spans="1:16" x14ac:dyDescent="0.25">
      <c r="A768" t="s">
        <v>67</v>
      </c>
      <c r="B768" t="s">
        <v>243</v>
      </c>
      <c r="C768">
        <v>9</v>
      </c>
      <c r="D768" t="s">
        <v>234</v>
      </c>
      <c r="E768" t="s">
        <v>152</v>
      </c>
      <c r="F768" t="s">
        <v>113</v>
      </c>
      <c r="G768">
        <v>118</v>
      </c>
      <c r="H768">
        <v>0</v>
      </c>
      <c r="I768" t="str">
        <f>OutputTable[[#This Row],[ProjectName]]&amp;OutputTable[[#This Row],[Name]]&amp;OutputTable[[#This Row],[Type]]&amp;OutputTable[[#This Row],[Source]]</f>
        <v>Unnamed ProjectSales Rep.NumberSeizedTotal Number SeizedResource</v>
      </c>
      <c r="J768" cm="1">
        <f t="array" ref="J768">MAX(IF((ProjectInfoTable[ProjectName]=OutputTable[[#This Row],[ProjectName]]),(ProjectInfoTable[ProjectName]=OutputTable[[#This Row],[ProjectName]])*ProjectInfoTable[NumberOfReplications]))</f>
        <v>10</v>
      </c>
      <c r="K768" cm="1">
        <f t="array" ref="K768">IFERROR(AVERAGE(IF((OutputTable[GroupByKey]=OutputTable[[#This Row],[GroupByKey]]),(OutputTable[GroupByKey]=OutputTable[[#This Row],[GroupByKey]])*OutputTable[RecordedValue])),0)</f>
        <v>118.7</v>
      </c>
      <c r="L768" cm="1">
        <f t="array" ref="L768">IFERROR(_xlfn.STDEV.S(IF((OutputTable[GroupByKey]=OutputTable[[#This Row],[GroupByKey]]),(OutputTable[GroupByKey]=OutputTable[[#This Row],[GroupByKey]])*OutputTable[RecordedValue])),0)</f>
        <v>12.587913073879887</v>
      </c>
      <c r="M768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768" cm="1">
        <f t="array" ref="O768">MIN(IF((OutputTable[GroupByKey]=OutputTable[[#This Row],[GroupByKey]]),(OutputTable[GroupByKey]=OutputTable[[#This Row],[GroupByKey]])*OutputTable[RecordedValue]))</f>
        <v>95</v>
      </c>
      <c r="P768" cm="1">
        <f t="array" ref="P768">MAX(IF((OutputTable[GroupByKey]=OutputTable[[#This Row],[GroupByKey]]),(OutputTable[GroupByKey]=OutputTable[[#This Row],[GroupByKey]])*OutputTable[RecordedValue]))</f>
        <v>141</v>
      </c>
    </row>
    <row r="769" spans="1:16" x14ac:dyDescent="0.25">
      <c r="A769" t="s">
        <v>67</v>
      </c>
      <c r="B769" t="s">
        <v>243</v>
      </c>
      <c r="C769">
        <v>9</v>
      </c>
      <c r="D769" t="s">
        <v>235</v>
      </c>
      <c r="E769" t="s">
        <v>154</v>
      </c>
      <c r="F769" t="s">
        <v>113</v>
      </c>
      <c r="G769">
        <v>0.31356704004323499</v>
      </c>
      <c r="H769">
        <v>0</v>
      </c>
      <c r="I769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769" cm="1">
        <f t="array" ref="J769">MAX(IF((ProjectInfoTable[ProjectName]=OutputTable[[#This Row],[ProjectName]]),(ProjectInfoTable[ProjectName]=OutputTable[[#This Row],[ProjectName]])*ProjectInfoTable[NumberOfReplications]))</f>
        <v>10</v>
      </c>
      <c r="K769" cm="1">
        <f t="array" ref="K769">IFERROR(AVERAGE(IF((OutputTable[GroupByKey]=OutputTable[[#This Row],[GroupByKey]]),(OutputTable[GroupByKey]=OutputTable[[#This Row],[GroupByKey]])*OutputTable[RecordedValue])),0)</f>
        <v>0.3273551167875815</v>
      </c>
      <c r="L769" cm="1">
        <f t="array" ref="L769">IFERROR(_xlfn.STDEV.S(IF((OutputTable[GroupByKey]=OutputTable[[#This Row],[GroupByKey]]),(OutputTable[GroupByKey]=OutputTable[[#This Row],[GroupByKey]])*OutputTable[RecordedValue])),0)</f>
        <v>3.5172818533154994E-2</v>
      </c>
      <c r="M769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2.5161118640145405E-2</v>
      </c>
      <c r="O769" cm="1">
        <f t="array" ref="O769">MIN(IF((OutputTable[GroupByKey]=OutputTable[[#This Row],[GroupByKey]]),(OutputTable[GroupByKey]=OutputTable[[#This Row],[GroupByKey]])*OutputTable[RecordedValue]))</f>
        <v>0.26933581669894202</v>
      </c>
      <c r="P769" cm="1">
        <f t="array" ref="P769">MAX(IF((OutputTable[GroupByKey]=OutputTable[[#This Row],[GroupByKey]]),(OutputTable[GroupByKey]=OutputTable[[#This Row],[GroupByKey]])*OutputTable[RecordedValue]))</f>
        <v>0.39321867243708603</v>
      </c>
    </row>
    <row r="770" spans="1:16" x14ac:dyDescent="0.25">
      <c r="A770" t="s">
        <v>67</v>
      </c>
      <c r="B770" t="s">
        <v>243</v>
      </c>
      <c r="C770">
        <v>9</v>
      </c>
      <c r="D770" t="s">
        <v>236</v>
      </c>
      <c r="E770" t="s">
        <v>158</v>
      </c>
      <c r="F770" t="s">
        <v>150</v>
      </c>
      <c r="G770">
        <v>2457</v>
      </c>
      <c r="H770">
        <v>0</v>
      </c>
      <c r="I770" t="str">
        <f>OutputTable[[#This Row],[ProjectName]]&amp;OutputTable[[#This Row],[Name]]&amp;OutputTable[[#This Row],[Type]]&amp;OutputTable[[#This Row],[Source]]</f>
        <v>Unnamed ProjectSystem.NumberOutNumber OutSystem</v>
      </c>
      <c r="J770" cm="1">
        <f t="array" ref="J770">MAX(IF((ProjectInfoTable[ProjectName]=OutputTable[[#This Row],[ProjectName]]),(ProjectInfoTable[ProjectName]=OutputTable[[#This Row],[ProjectName]])*ProjectInfoTable[NumberOfReplications]))</f>
        <v>10</v>
      </c>
      <c r="K770" cm="1">
        <f t="array" ref="K770">IFERROR(AVERAGE(IF((OutputTable[GroupByKey]=OutputTable[[#This Row],[GroupByKey]]),(OutputTable[GroupByKey]=OutputTable[[#This Row],[GroupByKey]])*OutputTable[RecordedValue])),0)</f>
        <v>2503.1</v>
      </c>
      <c r="L770" cm="1">
        <f t="array" ref="L770">IFERROR(_xlfn.STDEV.S(IF((OutputTable[GroupByKey]=OutputTable[[#This Row],[GroupByKey]]),(OutputTable[GroupByKey]=OutputTable[[#This Row],[GroupByKey]])*OutputTable[RecordedValue])),0)</f>
        <v>29.72260643573059</v>
      </c>
      <c r="M770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21.262271777248003</v>
      </c>
      <c r="O770" cm="1">
        <f t="array" ref="O770">MIN(IF((OutputTable[GroupByKey]=OutputTable[[#This Row],[GroupByKey]]),(OutputTable[GroupByKey]=OutputTable[[#This Row],[GroupByKey]])*OutputTable[RecordedValue]))</f>
        <v>2457</v>
      </c>
      <c r="P770" cm="1">
        <f t="array" ref="P770">MAX(IF((OutputTable[GroupByKey]=OutputTable[[#This Row],[GroupByKey]]),(OutputTable[GroupByKey]=OutputTable[[#This Row],[GroupByKey]])*OutputTable[RecordedValue]))</f>
        <v>2546</v>
      </c>
    </row>
    <row r="771" spans="1:16" x14ac:dyDescent="0.25">
      <c r="A771" t="s">
        <v>67</v>
      </c>
      <c r="B771" t="s">
        <v>243</v>
      </c>
      <c r="C771">
        <v>9</v>
      </c>
      <c r="D771" t="s">
        <v>237</v>
      </c>
      <c r="E771" t="s">
        <v>156</v>
      </c>
      <c r="F771" t="s">
        <v>76</v>
      </c>
      <c r="G771">
        <v>7835</v>
      </c>
      <c r="H771">
        <v>0</v>
      </c>
      <c r="I771" t="str">
        <f>OutputTable[[#This Row],[ProjectName]]&amp;OutputTable[[#This Row],[Name]]&amp;OutputTable[[#This Row],[Type]]&amp;OutputTable[[#This Row],[Source]]</f>
        <v>Unnamed ProjectWire Harness.NumberInNumber InEntity</v>
      </c>
      <c r="J771" cm="1">
        <f t="array" ref="J771">MAX(IF((ProjectInfoTable[ProjectName]=OutputTable[[#This Row],[ProjectName]]),(ProjectInfoTable[ProjectName]=OutputTable[[#This Row],[ProjectName]])*ProjectInfoTable[NumberOfReplications]))</f>
        <v>10</v>
      </c>
      <c r="K771" cm="1">
        <f t="array" ref="K771">IFERROR(AVERAGE(IF((OutputTable[GroupByKey]=OutputTable[[#This Row],[GroupByKey]]),(OutputTable[GroupByKey]=OutputTable[[#This Row],[GroupByKey]])*OutputTable[RecordedValue])),0)</f>
        <v>7832.8</v>
      </c>
      <c r="L771" cm="1">
        <f t="array" ref="L771">IFERROR(_xlfn.STDEV.S(IF((OutputTable[GroupByKey]=OutputTable[[#This Row],[GroupByKey]]),(OutputTable[GroupByKey]=OutputTable[[#This Row],[GroupByKey]])*OutputTable[RecordedValue])),0)</f>
        <v>7.8287220469811594</v>
      </c>
      <c r="M771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5.6003303812327712</v>
      </c>
      <c r="O771" cm="1">
        <f t="array" ref="O771">MIN(IF((OutputTable[GroupByKey]=OutputTable[[#This Row],[GroupByKey]]),(OutputTable[GroupByKey]=OutputTable[[#This Row],[GroupByKey]])*OutputTable[RecordedValue]))</f>
        <v>7818</v>
      </c>
      <c r="P771" cm="1">
        <f t="array" ref="P771">MAX(IF((OutputTable[GroupByKey]=OutputTable[[#This Row],[GroupByKey]]),(OutputTable[GroupByKey]=OutputTable[[#This Row],[GroupByKey]])*OutputTable[RecordedValue]))</f>
        <v>7845</v>
      </c>
    </row>
    <row r="772" spans="1:16" x14ac:dyDescent="0.25">
      <c r="A772" t="s">
        <v>67</v>
      </c>
      <c r="B772" t="s">
        <v>243</v>
      </c>
      <c r="C772">
        <v>9</v>
      </c>
      <c r="D772" t="s">
        <v>238</v>
      </c>
      <c r="E772" t="s">
        <v>158</v>
      </c>
      <c r="F772" t="s">
        <v>76</v>
      </c>
      <c r="G772">
        <v>7830</v>
      </c>
      <c r="H772">
        <v>0</v>
      </c>
      <c r="I772" t="str">
        <f>OutputTable[[#This Row],[ProjectName]]&amp;OutputTable[[#This Row],[Name]]&amp;OutputTable[[#This Row],[Type]]&amp;OutputTable[[#This Row],[Source]]</f>
        <v>Unnamed ProjectWire Harness.NumberOutNumber OutEntity</v>
      </c>
      <c r="J772" cm="1">
        <f t="array" ref="J772">MAX(IF((ProjectInfoTable[ProjectName]=OutputTable[[#This Row],[ProjectName]]),(ProjectInfoTable[ProjectName]=OutputTable[[#This Row],[ProjectName]])*ProjectInfoTable[NumberOfReplications]))</f>
        <v>10</v>
      </c>
      <c r="K772" cm="1">
        <f t="array" ref="K772">IFERROR(AVERAGE(IF((OutputTable[GroupByKey]=OutputTable[[#This Row],[GroupByKey]]),(OutputTable[GroupByKey]=OutputTable[[#This Row],[GroupByKey]])*OutputTable[RecordedValue])),0)</f>
        <v>7828.3</v>
      </c>
      <c r="L772" cm="1">
        <f t="array" ref="L772">IFERROR(_xlfn.STDEV.S(IF((OutputTable[GroupByKey]=OutputTable[[#This Row],[GroupByKey]]),(OutputTable[GroupByKey]=OutputTable[[#This Row],[GroupByKey]])*OutputTable[RecordedValue])),0)</f>
        <v>7.1032074132433696</v>
      </c>
      <c r="M772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5.0813284776056653</v>
      </c>
      <c r="O772" cm="1">
        <f t="array" ref="O772">MIN(IF((OutputTable[GroupByKey]=OutputTable[[#This Row],[GroupByKey]]),(OutputTable[GroupByKey]=OutputTable[[#This Row],[GroupByKey]])*OutputTable[RecordedValue]))</f>
        <v>7815</v>
      </c>
      <c r="P772" cm="1">
        <f t="array" ref="P772">MAX(IF((OutputTable[GroupByKey]=OutputTable[[#This Row],[GroupByKey]]),(OutputTable[GroupByKey]=OutputTable[[#This Row],[GroupByKey]])*OutputTable[RecordedValue]))</f>
        <v>7840</v>
      </c>
    </row>
    <row r="773" spans="1:16" x14ac:dyDescent="0.25">
      <c r="A773" t="s">
        <v>67</v>
      </c>
      <c r="B773" t="s">
        <v>243</v>
      </c>
      <c r="C773">
        <v>9</v>
      </c>
      <c r="D773" t="s">
        <v>239</v>
      </c>
      <c r="E773" t="s">
        <v>202</v>
      </c>
      <c r="F773" t="s">
        <v>87</v>
      </c>
      <c r="G773">
        <v>50797.860487004</v>
      </c>
      <c r="H773">
        <v>0</v>
      </c>
      <c r="I773" t="str">
        <f>OutputTable[[#This Row],[ProjectName]]&amp;OutputTable[[#This Row],[Name]]&amp;OutputTable[[#This Row],[Type]]&amp;OutputTable[[#This Row],[Source]]</f>
        <v>Unnamed Projectsales Accum VA TimeAccum VA TimeProcess</v>
      </c>
      <c r="J773" cm="1">
        <f t="array" ref="J773">MAX(IF((ProjectInfoTable[ProjectName]=OutputTable[[#This Row],[ProjectName]]),(ProjectInfoTable[ProjectName]=OutputTable[[#This Row],[ProjectName]])*ProjectInfoTable[NumberOfReplications]))</f>
        <v>10</v>
      </c>
      <c r="K773" cm="1">
        <f t="array" ref="K773">IFERROR(AVERAGE(IF((OutputTable[GroupByKey]=OutputTable[[#This Row],[GroupByKey]]),(OutputTable[GroupByKey]=OutputTable[[#This Row],[GroupByKey]])*OutputTable[RecordedValue])),0)</f>
        <v>53031.528919588192</v>
      </c>
      <c r="L773" cm="1">
        <f t="array" ref="L773">IFERROR(_xlfn.STDEV.S(IF((OutputTable[GroupByKey]=OutputTable[[#This Row],[GroupByKey]]),(OutputTable[GroupByKey]=OutputTable[[#This Row],[GroupByKey]])*OutputTable[RecordedValue])),0)</f>
        <v>5697.9966023710867</v>
      </c>
      <c r="M773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4076.1012197035402</v>
      </c>
      <c r="O773" cm="1">
        <f t="array" ref="O773">MIN(IF((OutputTable[GroupByKey]=OutputTable[[#This Row],[GroupByKey]]),(OutputTable[GroupByKey]=OutputTable[[#This Row],[GroupByKey]])*OutputTable[RecordedValue]))</f>
        <v>43632.402305228599</v>
      </c>
      <c r="P773" cm="1">
        <f t="array" ref="P773">MAX(IF((OutputTable[GroupByKey]=OutputTable[[#This Row],[GroupByKey]]),(OutputTable[GroupByKey]=OutputTable[[#This Row],[GroupByKey]])*OutputTable[RecordedValue]))</f>
        <v>63701.424934807801</v>
      </c>
    </row>
    <row r="774" spans="1:16" x14ac:dyDescent="0.25">
      <c r="A774" t="s">
        <v>67</v>
      </c>
      <c r="B774" t="s">
        <v>243</v>
      </c>
      <c r="C774">
        <v>9</v>
      </c>
      <c r="D774" t="s">
        <v>240</v>
      </c>
      <c r="E774" t="s">
        <v>156</v>
      </c>
      <c r="F774" t="s">
        <v>87</v>
      </c>
      <c r="G774">
        <v>118</v>
      </c>
      <c r="H774">
        <v>0</v>
      </c>
      <c r="I774" t="str">
        <f>OutputTable[[#This Row],[ProjectName]]&amp;OutputTable[[#This Row],[Name]]&amp;OutputTable[[#This Row],[Type]]&amp;OutputTable[[#This Row],[Source]]</f>
        <v>Unnamed Projectsales Number InNumber InProcess</v>
      </c>
      <c r="J774" cm="1">
        <f t="array" ref="J774">MAX(IF((ProjectInfoTable[ProjectName]=OutputTable[[#This Row],[ProjectName]]),(ProjectInfoTable[ProjectName]=OutputTable[[#This Row],[ProjectName]])*ProjectInfoTable[NumberOfReplications]))</f>
        <v>10</v>
      </c>
      <c r="K774" cm="1">
        <f t="array" ref="K774">IFERROR(AVERAGE(IF((OutputTable[GroupByKey]=OutputTable[[#This Row],[GroupByKey]]),(OutputTable[GroupByKey]=OutputTable[[#This Row],[GroupByKey]])*OutputTable[RecordedValue])),0)</f>
        <v>118.7</v>
      </c>
      <c r="L774" cm="1">
        <f t="array" ref="L774">IFERROR(_xlfn.STDEV.S(IF((OutputTable[GroupByKey]=OutputTable[[#This Row],[GroupByKey]]),(OutputTable[GroupByKey]=OutputTable[[#This Row],[GroupByKey]])*OutputTable[RecordedValue])),0)</f>
        <v>12.587913073879887</v>
      </c>
      <c r="M774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774" cm="1">
        <f t="array" ref="O774">MIN(IF((OutputTable[GroupByKey]=OutputTable[[#This Row],[GroupByKey]]),(OutputTable[GroupByKey]=OutputTable[[#This Row],[GroupByKey]])*OutputTable[RecordedValue]))</f>
        <v>95</v>
      </c>
      <c r="P774" cm="1">
        <f t="array" ref="P774">MAX(IF((OutputTable[GroupByKey]=OutputTable[[#This Row],[GroupByKey]]),(OutputTable[GroupByKey]=OutputTable[[#This Row],[GroupByKey]])*OutputTable[RecordedValue]))</f>
        <v>141</v>
      </c>
    </row>
    <row r="775" spans="1:16" x14ac:dyDescent="0.25">
      <c r="A775" t="s">
        <v>67</v>
      </c>
      <c r="B775" t="s">
        <v>243</v>
      </c>
      <c r="C775">
        <v>9</v>
      </c>
      <c r="D775" t="s">
        <v>241</v>
      </c>
      <c r="E775" t="s">
        <v>158</v>
      </c>
      <c r="F775" t="s">
        <v>87</v>
      </c>
      <c r="G775">
        <v>118</v>
      </c>
      <c r="H775">
        <v>0</v>
      </c>
      <c r="I775" t="str">
        <f>OutputTable[[#This Row],[ProjectName]]&amp;OutputTable[[#This Row],[Name]]&amp;OutputTable[[#This Row],[Type]]&amp;OutputTable[[#This Row],[Source]]</f>
        <v>Unnamed Projectsales Number OutNumber OutProcess</v>
      </c>
      <c r="J775" cm="1">
        <f t="array" ref="J775">MAX(IF((ProjectInfoTable[ProjectName]=OutputTable[[#This Row],[ProjectName]]),(ProjectInfoTable[ProjectName]=OutputTable[[#This Row],[ProjectName]])*ProjectInfoTable[NumberOfReplications]))</f>
        <v>10</v>
      </c>
      <c r="K775" cm="1">
        <f t="array" ref="K775">IFERROR(AVERAGE(IF((OutputTable[GroupByKey]=OutputTable[[#This Row],[GroupByKey]]),(OutputTable[GroupByKey]=OutputTable[[#This Row],[GroupByKey]])*OutputTable[RecordedValue])),0)</f>
        <v>118.7</v>
      </c>
      <c r="L775" cm="1">
        <f t="array" ref="L775">IFERROR(_xlfn.STDEV.S(IF((OutputTable[GroupByKey]=OutputTable[[#This Row],[GroupByKey]]),(OutputTable[GroupByKey]=OutputTable[[#This Row],[GroupByKey]])*OutputTable[RecordedValue])),0)</f>
        <v>12.587913073879887</v>
      </c>
      <c r="M77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775" cm="1">
        <f t="array" ref="O775">MIN(IF((OutputTable[GroupByKey]=OutputTable[[#This Row],[GroupByKey]]),(OutputTable[GroupByKey]=OutputTable[[#This Row],[GroupByKey]])*OutputTable[RecordedValue]))</f>
        <v>95</v>
      </c>
      <c r="P775" cm="1">
        <f t="array" ref="P775">MAX(IF((OutputTable[GroupByKey]=OutputTable[[#This Row],[GroupByKey]]),(OutputTable[GroupByKey]=OutputTable[[#This Row],[GroupByKey]])*OutputTable[RecordedValue]))</f>
        <v>141</v>
      </c>
    </row>
    <row r="776" spans="1:16" x14ac:dyDescent="0.25">
      <c r="A776" t="s">
        <v>67</v>
      </c>
      <c r="B776" t="s">
        <v>243</v>
      </c>
      <c r="C776">
        <v>10</v>
      </c>
      <c r="D776" t="s">
        <v>151</v>
      </c>
      <c r="E776" t="s">
        <v>152</v>
      </c>
      <c r="F776" t="s">
        <v>113</v>
      </c>
      <c r="G776">
        <v>6540</v>
      </c>
      <c r="H776">
        <v>0</v>
      </c>
      <c r="I776" t="str">
        <f>OutputTable[[#This Row],[ProjectName]]&amp;OutputTable[[#This Row],[Name]]&amp;OutputTable[[#This Row],[Type]]&amp;OutputTable[[#This Row],[Source]]</f>
        <v>Unnamed ProjectAssembler.NumberSeizedTotal Number SeizedResource</v>
      </c>
      <c r="J776" cm="1">
        <f t="array" ref="J776">MAX(IF((ProjectInfoTable[ProjectName]=OutputTable[[#This Row],[ProjectName]]),(ProjectInfoTable[ProjectName]=OutputTable[[#This Row],[ProjectName]])*ProjectInfoTable[NumberOfReplications]))</f>
        <v>10</v>
      </c>
      <c r="K776" cm="1">
        <f t="array" ref="K776">IFERROR(AVERAGE(IF((OutputTable[GroupByKey]=OutputTable[[#This Row],[GroupByKey]]),(OutputTable[GroupByKey]=OutputTable[[#This Row],[GroupByKey]])*OutputTable[RecordedValue])),0)</f>
        <v>6547.7</v>
      </c>
      <c r="L776" cm="1">
        <f t="array" ref="L776">IFERROR(_xlfn.STDEV.S(IF((OutputTable[GroupByKey]=OutputTable[[#This Row],[GroupByKey]]),(OutputTable[GroupByKey]=OutputTable[[#This Row],[GroupByKey]])*OutputTable[RecordedValue])),0)</f>
        <v>5.735852159879995</v>
      </c>
      <c r="M776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776" cm="1">
        <f t="array" ref="O776">MIN(IF((OutputTable[GroupByKey]=OutputTable[[#This Row],[GroupByKey]]),(OutputTable[GroupByKey]=OutputTable[[#This Row],[GroupByKey]])*OutputTable[RecordedValue]))</f>
        <v>6540</v>
      </c>
      <c r="P776" cm="1">
        <f t="array" ref="P776">MAX(IF((OutputTable[GroupByKey]=OutputTable[[#This Row],[GroupByKey]]),(OutputTable[GroupByKey]=OutputTable[[#This Row],[GroupByKey]])*OutputTable[RecordedValue]))</f>
        <v>6557</v>
      </c>
    </row>
    <row r="777" spans="1:16" x14ac:dyDescent="0.25">
      <c r="A777" t="s">
        <v>67</v>
      </c>
      <c r="B777" t="s">
        <v>243</v>
      </c>
      <c r="C777">
        <v>10</v>
      </c>
      <c r="D777" t="s">
        <v>153</v>
      </c>
      <c r="E777" t="s">
        <v>154</v>
      </c>
      <c r="F777" t="s">
        <v>113</v>
      </c>
      <c r="G777">
        <v>7.5973148639726207E-2</v>
      </c>
      <c r="H777">
        <v>0</v>
      </c>
      <c r="I777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777" cm="1">
        <f t="array" ref="J777">MAX(IF((ProjectInfoTable[ProjectName]=OutputTable[[#This Row],[ProjectName]]),(ProjectInfoTable[ProjectName]=OutputTable[[#This Row],[ProjectName]])*ProjectInfoTable[NumberOfReplications]))</f>
        <v>10</v>
      </c>
      <c r="K777" cm="1">
        <f t="array" ref="K777">IFERROR(AVERAGE(IF((OutputTable[GroupByKey]=OutputTable[[#This Row],[GroupByKey]]),(OutputTable[GroupByKey]=OutputTable[[#This Row],[GroupByKey]])*OutputTable[RecordedValue])),0)</f>
        <v>7.575658911226775E-2</v>
      </c>
      <c r="L777" cm="1">
        <f t="array" ref="L777">IFERROR(_xlfn.STDEV.S(IF((OutputTable[GroupByKey]=OutputTable[[#This Row],[GroupByKey]]),(OutputTable[GroupByKey]=OutputTable[[#This Row],[GroupByKey]])*OutputTable[RecordedValue])),0)</f>
        <v>1.4019953141627205E-4</v>
      </c>
      <c r="M777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1.0029270301248135E-4</v>
      </c>
      <c r="O777" cm="1">
        <f t="array" ref="O777">MIN(IF((OutputTable[GroupByKey]=OutputTable[[#This Row],[GroupByKey]]),(OutputTable[GroupByKey]=OutputTable[[#This Row],[GroupByKey]])*OutputTable[RecordedValue]))</f>
        <v>7.5477645584878503E-2</v>
      </c>
      <c r="P777" cm="1">
        <f t="array" ref="P777">MAX(IF((OutputTable[GroupByKey]=OutputTable[[#This Row],[GroupByKey]]),(OutputTable[GroupByKey]=OutputTable[[#This Row],[GroupByKey]])*OutputTable[RecordedValue]))</f>
        <v>7.5973148639726207E-2</v>
      </c>
    </row>
    <row r="778" spans="1:16" x14ac:dyDescent="0.25">
      <c r="A778" t="s">
        <v>67</v>
      </c>
      <c r="B778" t="s">
        <v>243</v>
      </c>
      <c r="C778">
        <v>10</v>
      </c>
      <c r="D778" t="s">
        <v>155</v>
      </c>
      <c r="E778" t="s">
        <v>156</v>
      </c>
      <c r="F778" t="s">
        <v>76</v>
      </c>
      <c r="G778">
        <v>1067</v>
      </c>
      <c r="H778">
        <v>0</v>
      </c>
      <c r="I778" t="str">
        <f>OutputTable[[#This Row],[ProjectName]]&amp;OutputTable[[#This Row],[Name]]&amp;OutputTable[[#This Row],[Type]]&amp;OutputTable[[#This Row],[Source]]</f>
        <v>Unnamed ProjectCustomer.NumberInNumber InEntity</v>
      </c>
      <c r="J778" cm="1">
        <f t="array" ref="J778">MAX(IF((ProjectInfoTable[ProjectName]=OutputTable[[#This Row],[ProjectName]]),(ProjectInfoTable[ProjectName]=OutputTable[[#This Row],[ProjectName]])*ProjectInfoTable[NumberOfReplications]))</f>
        <v>10</v>
      </c>
      <c r="K778" cm="1">
        <f t="array" ref="K778">IFERROR(AVERAGE(IF((OutputTable[GroupByKey]=OutputTable[[#This Row],[GroupByKey]]),(OutputTable[GroupByKey]=OutputTable[[#This Row],[GroupByKey]])*OutputTable[RecordedValue])),0)</f>
        <v>1090.3</v>
      </c>
      <c r="L778" cm="1">
        <f t="array" ref="L778">IFERROR(_xlfn.STDEV.S(IF((OutputTable[GroupByKey]=OutputTable[[#This Row],[GroupByKey]]),(OutputTable[GroupByKey]=OutputTable[[#This Row],[GroupByKey]])*OutputTable[RecordedValue])),0)</f>
        <v>32.666836734251177</v>
      </c>
      <c r="M778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778" cm="1">
        <f t="array" ref="O778">MIN(IF((OutputTable[GroupByKey]=OutputTable[[#This Row],[GroupByKey]]),(OutputTable[GroupByKey]=OutputTable[[#This Row],[GroupByKey]])*OutputTable[RecordedValue]))</f>
        <v>1042</v>
      </c>
      <c r="P778" cm="1">
        <f t="array" ref="P778">MAX(IF((OutputTable[GroupByKey]=OutputTable[[#This Row],[GroupByKey]]),(OutputTable[GroupByKey]=OutputTable[[#This Row],[GroupByKey]])*OutputTable[RecordedValue]))</f>
        <v>1141</v>
      </c>
    </row>
    <row r="779" spans="1:16" x14ac:dyDescent="0.25">
      <c r="A779" t="s">
        <v>67</v>
      </c>
      <c r="B779" t="s">
        <v>243</v>
      </c>
      <c r="C779">
        <v>10</v>
      </c>
      <c r="D779" t="s">
        <v>157</v>
      </c>
      <c r="E779" t="s">
        <v>158</v>
      </c>
      <c r="F779" t="s">
        <v>76</v>
      </c>
      <c r="G779">
        <v>1067</v>
      </c>
      <c r="H779">
        <v>0</v>
      </c>
      <c r="I779" t="str">
        <f>OutputTable[[#This Row],[ProjectName]]&amp;OutputTable[[#This Row],[Name]]&amp;OutputTable[[#This Row],[Type]]&amp;OutputTable[[#This Row],[Source]]</f>
        <v>Unnamed ProjectCustomer.NumberOutNumber OutEntity</v>
      </c>
      <c r="J779" cm="1">
        <f t="array" ref="J779">MAX(IF((ProjectInfoTable[ProjectName]=OutputTable[[#This Row],[ProjectName]]),(ProjectInfoTable[ProjectName]=OutputTable[[#This Row],[ProjectName]])*ProjectInfoTable[NumberOfReplications]))</f>
        <v>10</v>
      </c>
      <c r="K779" cm="1">
        <f t="array" ref="K779">IFERROR(AVERAGE(IF((OutputTable[GroupByKey]=OutputTable[[#This Row],[GroupByKey]]),(OutputTable[GroupByKey]=OutputTable[[#This Row],[GroupByKey]])*OutputTable[RecordedValue])),0)</f>
        <v>1090.3</v>
      </c>
      <c r="L779" cm="1">
        <f t="array" ref="L779">IFERROR(_xlfn.STDEV.S(IF((OutputTable[GroupByKey]=OutputTable[[#This Row],[GroupByKey]]),(OutputTable[GroupByKey]=OutputTable[[#This Row],[GroupByKey]])*OutputTable[RecordedValue])),0)</f>
        <v>32.666836734251177</v>
      </c>
      <c r="M779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23.368447254062772</v>
      </c>
      <c r="O779" cm="1">
        <f t="array" ref="O779">MIN(IF((OutputTable[GroupByKey]=OutputTable[[#This Row],[GroupByKey]]),(OutputTable[GroupByKey]=OutputTable[[#This Row],[GroupByKey]])*OutputTable[RecordedValue]))</f>
        <v>1042</v>
      </c>
      <c r="P779" cm="1">
        <f t="array" ref="P779">MAX(IF((OutputTable[GroupByKey]=OutputTable[[#This Row],[GroupByKey]]),(OutputTable[GroupByKey]=OutputTable[[#This Row],[GroupByKey]])*OutputTable[RecordedValue]))</f>
        <v>1141</v>
      </c>
    </row>
    <row r="780" spans="1:16" x14ac:dyDescent="0.25">
      <c r="A780" t="s">
        <v>67</v>
      </c>
      <c r="B780" t="s">
        <v>243</v>
      </c>
      <c r="C780">
        <v>10</v>
      </c>
      <c r="D780" t="s">
        <v>159</v>
      </c>
      <c r="E780" t="s">
        <v>156</v>
      </c>
      <c r="F780" t="s">
        <v>76</v>
      </c>
      <c r="G780">
        <v>19807</v>
      </c>
      <c r="H780">
        <v>0</v>
      </c>
      <c r="I780" t="str">
        <f>OutputTable[[#This Row],[ProjectName]]&amp;OutputTable[[#This Row],[Name]]&amp;OutputTable[[#This Row],[Type]]&amp;OutputTable[[#This Row],[Source]]</f>
        <v>Unnamed ProjectEntity 1.NumberInNumber InEntity</v>
      </c>
      <c r="J780" cm="1">
        <f t="array" ref="J780">MAX(IF((ProjectInfoTable[ProjectName]=OutputTable[[#This Row],[ProjectName]]),(ProjectInfoTable[ProjectName]=OutputTable[[#This Row],[ProjectName]])*ProjectInfoTable[NumberOfReplications]))</f>
        <v>10</v>
      </c>
      <c r="K780" cm="1">
        <f t="array" ref="K780">IFERROR(AVERAGE(IF((OutputTable[GroupByKey]=OutputTable[[#This Row],[GroupByKey]]),(OutputTable[GroupByKey]=OutputTable[[#This Row],[GroupByKey]])*OutputTable[RecordedValue])),0)</f>
        <v>19822.900000000001</v>
      </c>
      <c r="L780" cm="1">
        <f t="array" ref="L780">IFERROR(_xlfn.STDEV.S(IF((OutputTable[GroupByKey]=OutputTable[[#This Row],[GroupByKey]]),(OutputTable[GroupByKey]=OutputTable[[#This Row],[GroupByKey]])*OutputTable[RecordedValue])),0)</f>
        <v>20.151922985164472</v>
      </c>
      <c r="M780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14.415817276026377</v>
      </c>
      <c r="O780" cm="1">
        <f t="array" ref="O780">MIN(IF((OutputTable[GroupByKey]=OutputTable[[#This Row],[GroupByKey]]),(OutputTable[GroupByKey]=OutputTable[[#This Row],[GroupByKey]])*OutputTable[RecordedValue]))</f>
        <v>19788</v>
      </c>
      <c r="P780" cm="1">
        <f t="array" ref="P780">MAX(IF((OutputTable[GroupByKey]=OutputTable[[#This Row],[GroupByKey]]),(OutputTable[GroupByKey]=OutputTable[[#This Row],[GroupByKey]])*OutputTable[RecordedValue]))</f>
        <v>19852</v>
      </c>
    </row>
    <row r="781" spans="1:16" x14ac:dyDescent="0.25">
      <c r="A781" t="s">
        <v>67</v>
      </c>
      <c r="B781" t="s">
        <v>243</v>
      </c>
      <c r="C781">
        <v>10</v>
      </c>
      <c r="D781" t="s">
        <v>160</v>
      </c>
      <c r="E781" t="s">
        <v>158</v>
      </c>
      <c r="F781" t="s">
        <v>76</v>
      </c>
      <c r="G781">
        <v>19614</v>
      </c>
      <c r="H781">
        <v>0</v>
      </c>
      <c r="I781" t="str">
        <f>OutputTable[[#This Row],[ProjectName]]&amp;OutputTable[[#This Row],[Name]]&amp;OutputTable[[#This Row],[Type]]&amp;OutputTable[[#This Row],[Source]]</f>
        <v>Unnamed ProjectEntity 1.NumberOutNumber OutEntity</v>
      </c>
      <c r="J781" cm="1">
        <f t="array" ref="J781">MAX(IF((ProjectInfoTable[ProjectName]=OutputTable[[#This Row],[ProjectName]]),(ProjectInfoTable[ProjectName]=OutputTable[[#This Row],[ProjectName]])*ProjectInfoTable[NumberOfReplications]))</f>
        <v>10</v>
      </c>
      <c r="K781" cm="1">
        <f t="array" ref="K781">IFERROR(AVERAGE(IF((OutputTable[GroupByKey]=OutputTable[[#This Row],[GroupByKey]]),(OutputTable[GroupByKey]=OutputTable[[#This Row],[GroupByKey]])*OutputTable[RecordedValue])),0)</f>
        <v>19635.599999999999</v>
      </c>
      <c r="L781" cm="1">
        <f t="array" ref="L781">IFERROR(_xlfn.STDEV.S(IF((OutputTable[GroupByKey]=OutputTable[[#This Row],[GroupByKey]]),(OutputTable[GroupByKey]=OutputTable[[#This Row],[GroupByKey]])*OutputTable[RecordedValue])),0)</f>
        <v>15.086417732516889</v>
      </c>
      <c r="M781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781" cm="1">
        <f t="array" ref="O781">MIN(IF((OutputTable[GroupByKey]=OutputTable[[#This Row],[GroupByKey]]),(OutputTable[GroupByKey]=OutputTable[[#This Row],[GroupByKey]])*OutputTable[RecordedValue]))</f>
        <v>19614</v>
      </c>
      <c r="P781" cm="1">
        <f t="array" ref="P781">MAX(IF((OutputTable[GroupByKey]=OutputTable[[#This Row],[GroupByKey]]),(OutputTable[GroupByKey]=OutputTable[[#This Row],[GroupByKey]])*OutputTable[RecordedValue]))</f>
        <v>19662</v>
      </c>
    </row>
    <row r="782" spans="1:16" x14ac:dyDescent="0.25">
      <c r="A782" t="s">
        <v>67</v>
      </c>
      <c r="B782" t="s">
        <v>243</v>
      </c>
      <c r="C782">
        <v>10</v>
      </c>
      <c r="D782" t="s">
        <v>161</v>
      </c>
      <c r="E782" t="s">
        <v>156</v>
      </c>
      <c r="F782" t="s">
        <v>76</v>
      </c>
      <c r="G782">
        <v>8391</v>
      </c>
      <c r="H782">
        <v>0</v>
      </c>
      <c r="I782" t="str">
        <f>OutputTable[[#This Row],[ProjectName]]&amp;OutputTable[[#This Row],[Name]]&amp;OutputTable[[#This Row],[Type]]&amp;OutputTable[[#This Row],[Source]]</f>
        <v>Unnamed ProjectEntity 2.NumberInNumber InEntity</v>
      </c>
      <c r="J782" cm="1">
        <f t="array" ref="J782">MAX(IF((ProjectInfoTable[ProjectName]=OutputTable[[#This Row],[ProjectName]]),(ProjectInfoTable[ProjectName]=OutputTable[[#This Row],[ProjectName]])*ProjectInfoTable[NumberOfReplications]))</f>
        <v>10</v>
      </c>
      <c r="K782" cm="1">
        <f t="array" ref="K782">IFERROR(AVERAGE(IF((OutputTable[GroupByKey]=OutputTable[[#This Row],[GroupByKey]]),(OutputTable[GroupByKey]=OutputTable[[#This Row],[GroupByKey]])*OutputTable[RecordedValue])),0)</f>
        <v>8398</v>
      </c>
      <c r="L782" cm="1">
        <f t="array" ref="L782">IFERROR(_xlfn.STDEV.S(IF((OutputTable[GroupByKey]=OutputTable[[#This Row],[GroupByKey]]),(OutputTable[GroupByKey]=OutputTable[[#This Row],[GroupByKey]])*OutputTable[RecordedValue])),0)</f>
        <v>24.133885813197271</v>
      </c>
      <c r="M782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17.264341884378119</v>
      </c>
      <c r="O782" cm="1">
        <f t="array" ref="O782">MIN(IF((OutputTable[GroupByKey]=OutputTable[[#This Row],[GroupByKey]]),(OutputTable[GroupByKey]=OutputTable[[#This Row],[GroupByKey]])*OutputTable[RecordedValue]))</f>
        <v>8353</v>
      </c>
      <c r="P782" cm="1">
        <f t="array" ref="P782">MAX(IF((OutputTable[GroupByKey]=OutputTable[[#This Row],[GroupByKey]]),(OutputTable[GroupByKey]=OutputTable[[#This Row],[GroupByKey]])*OutputTable[RecordedValue]))</f>
        <v>8437</v>
      </c>
    </row>
    <row r="783" spans="1:16" x14ac:dyDescent="0.25">
      <c r="A783" t="s">
        <v>67</v>
      </c>
      <c r="B783" t="s">
        <v>243</v>
      </c>
      <c r="C783">
        <v>10</v>
      </c>
      <c r="D783" t="s">
        <v>162</v>
      </c>
      <c r="E783" t="s">
        <v>158</v>
      </c>
      <c r="F783" t="s">
        <v>76</v>
      </c>
      <c r="G783">
        <v>6538</v>
      </c>
      <c r="H783">
        <v>0</v>
      </c>
      <c r="I783" t="str">
        <f>OutputTable[[#This Row],[ProjectName]]&amp;OutputTable[[#This Row],[Name]]&amp;OutputTable[[#This Row],[Type]]&amp;OutputTable[[#This Row],[Source]]</f>
        <v>Unnamed ProjectEntity 2.NumberOutNumber OutEntity</v>
      </c>
      <c r="J783" cm="1">
        <f t="array" ref="J783">MAX(IF((ProjectInfoTable[ProjectName]=OutputTable[[#This Row],[ProjectName]]),(ProjectInfoTable[ProjectName]=OutputTable[[#This Row],[ProjectName]])*ProjectInfoTable[NumberOfReplications]))</f>
        <v>10</v>
      </c>
      <c r="K783" cm="1">
        <f t="array" ref="K783">IFERROR(AVERAGE(IF((OutputTable[GroupByKey]=OutputTable[[#This Row],[GroupByKey]]),(OutputTable[GroupByKey]=OutputTable[[#This Row],[GroupByKey]])*OutputTable[RecordedValue])),0)</f>
        <v>6545.2</v>
      </c>
      <c r="L783" cm="1">
        <f t="array" ref="L783">IFERROR(_xlfn.STDEV.S(IF((OutputTable[GroupByKey]=OutputTable[[#This Row],[GroupByKey]]),(OutputTable[GroupByKey]=OutputTable[[#This Row],[GroupByKey]])*OutputTable[RecordedValue])),0)</f>
        <v>5.0288059108389627</v>
      </c>
      <c r="M783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3.5973910371047504</v>
      </c>
      <c r="O783" cm="1">
        <f t="array" ref="O783">MIN(IF((OutputTable[GroupByKey]=OutputTable[[#This Row],[GroupByKey]]),(OutputTable[GroupByKey]=OutputTable[[#This Row],[GroupByKey]])*OutputTable[RecordedValue]))</f>
        <v>6538</v>
      </c>
      <c r="P783" cm="1">
        <f t="array" ref="P783">MAX(IF((OutputTable[GroupByKey]=OutputTable[[#This Row],[GroupByKey]]),(OutputTable[GroupByKey]=OutputTable[[#This Row],[GroupByKey]])*OutputTable[RecordedValue]))</f>
        <v>6554</v>
      </c>
    </row>
    <row r="784" spans="1:16" x14ac:dyDescent="0.25">
      <c r="A784" t="s">
        <v>67</v>
      </c>
      <c r="B784" t="s">
        <v>243</v>
      </c>
      <c r="C784">
        <v>10</v>
      </c>
      <c r="D784" t="s">
        <v>163</v>
      </c>
      <c r="E784" t="s">
        <v>156</v>
      </c>
      <c r="F784" t="s">
        <v>76</v>
      </c>
      <c r="G784">
        <v>27735</v>
      </c>
      <c r="H784">
        <v>0</v>
      </c>
      <c r="I784" t="str">
        <f>OutputTable[[#This Row],[ProjectName]]&amp;OutputTable[[#This Row],[Name]]&amp;OutputTable[[#This Row],[Type]]&amp;OutputTable[[#This Row],[Source]]</f>
        <v>Unnamed ProjectEntity 3.NumberInNumber InEntity</v>
      </c>
      <c r="J784" cm="1">
        <f t="array" ref="J784">MAX(IF((ProjectInfoTable[ProjectName]=OutputTable[[#This Row],[ProjectName]]),(ProjectInfoTable[ProjectName]=OutputTable[[#This Row],[ProjectName]])*ProjectInfoTable[NumberOfReplications]))</f>
        <v>10</v>
      </c>
      <c r="K784" cm="1">
        <f t="array" ref="K784">IFERROR(AVERAGE(IF((OutputTable[GroupByKey]=OutputTable[[#This Row],[GroupByKey]]),(OutputTable[GroupByKey]=OutputTable[[#This Row],[GroupByKey]])*OutputTable[RecordedValue])),0)</f>
        <v>27753.7</v>
      </c>
      <c r="L784" cm="1">
        <f t="array" ref="L784">IFERROR(_xlfn.STDEV.S(IF((OutputTable[GroupByKey]=OutputTable[[#This Row],[GroupByKey]]),(OutputTable[GroupByKey]=OutputTable[[#This Row],[GroupByKey]])*OutputTable[RecordedValue])),0)</f>
        <v>25.447331228768697</v>
      </c>
      <c r="M784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18.203924133022646</v>
      </c>
      <c r="O784" cm="1">
        <f t="array" ref="O784">MIN(IF((OutputTable[GroupByKey]=OutputTable[[#This Row],[GroupByKey]]),(OutputTable[GroupByKey]=OutputTable[[#This Row],[GroupByKey]])*OutputTable[RecordedValue]))</f>
        <v>27724</v>
      </c>
      <c r="P784" cm="1">
        <f t="array" ref="P784">MAX(IF((OutputTable[GroupByKey]=OutputTable[[#This Row],[GroupByKey]]),(OutputTable[GroupByKey]=OutputTable[[#This Row],[GroupByKey]])*OutputTable[RecordedValue]))</f>
        <v>27792</v>
      </c>
    </row>
    <row r="785" spans="1:16" x14ac:dyDescent="0.25">
      <c r="A785" t="s">
        <v>67</v>
      </c>
      <c r="B785" t="s">
        <v>243</v>
      </c>
      <c r="C785">
        <v>10</v>
      </c>
      <c r="D785" t="s">
        <v>164</v>
      </c>
      <c r="E785" t="s">
        <v>158</v>
      </c>
      <c r="F785" t="s">
        <v>76</v>
      </c>
      <c r="G785">
        <v>19614</v>
      </c>
      <c r="H785">
        <v>0</v>
      </c>
      <c r="I785" t="str">
        <f>OutputTable[[#This Row],[ProjectName]]&amp;OutputTable[[#This Row],[Name]]&amp;OutputTable[[#This Row],[Type]]&amp;OutputTable[[#This Row],[Source]]</f>
        <v>Unnamed ProjectEntity 3.NumberOutNumber OutEntity</v>
      </c>
      <c r="J785" cm="1">
        <f t="array" ref="J785">MAX(IF((ProjectInfoTable[ProjectName]=OutputTable[[#This Row],[ProjectName]]),(ProjectInfoTable[ProjectName]=OutputTable[[#This Row],[ProjectName]])*ProjectInfoTable[NumberOfReplications]))</f>
        <v>10</v>
      </c>
      <c r="K785" cm="1">
        <f t="array" ref="K785">IFERROR(AVERAGE(IF((OutputTable[GroupByKey]=OutputTable[[#This Row],[GroupByKey]]),(OutputTable[GroupByKey]=OutputTable[[#This Row],[GroupByKey]])*OutputTable[RecordedValue])),0)</f>
        <v>19635.599999999999</v>
      </c>
      <c r="L785" cm="1">
        <f t="array" ref="L785">IFERROR(_xlfn.STDEV.S(IF((OutputTable[GroupByKey]=OutputTable[[#This Row],[GroupByKey]]),(OutputTable[GroupByKey]=OutputTable[[#This Row],[GroupByKey]])*OutputTable[RecordedValue])),0)</f>
        <v>15.086417732516889</v>
      </c>
      <c r="M78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10.792173111314252</v>
      </c>
      <c r="O785" cm="1">
        <f t="array" ref="O785">MIN(IF((OutputTable[GroupByKey]=OutputTable[[#This Row],[GroupByKey]]),(OutputTable[GroupByKey]=OutputTable[[#This Row],[GroupByKey]])*OutputTable[RecordedValue]))</f>
        <v>19614</v>
      </c>
      <c r="P785" cm="1">
        <f t="array" ref="P785">MAX(IF((OutputTable[GroupByKey]=OutputTable[[#This Row],[GroupByKey]]),(OutputTable[GroupByKey]=OutputTable[[#This Row],[GroupByKey]])*OutputTable[RecordedValue]))</f>
        <v>19662</v>
      </c>
    </row>
    <row r="786" spans="1:16" x14ac:dyDescent="0.25">
      <c r="A786" t="s">
        <v>67</v>
      </c>
      <c r="B786" t="s">
        <v>243</v>
      </c>
      <c r="C786">
        <v>10</v>
      </c>
      <c r="D786" t="s">
        <v>165</v>
      </c>
      <c r="E786" t="s">
        <v>152</v>
      </c>
      <c r="F786" t="s">
        <v>113</v>
      </c>
      <c r="G786">
        <v>13087</v>
      </c>
      <c r="H786">
        <v>0</v>
      </c>
      <c r="I786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786" cm="1">
        <f t="array" ref="J786">MAX(IF((ProjectInfoTable[ProjectName]=OutputTable[[#This Row],[ProjectName]]),(ProjectInfoTable[ProjectName]=OutputTable[[#This Row],[ProjectName]])*ProjectInfoTable[NumberOfReplications]))</f>
        <v>10</v>
      </c>
      <c r="K786" cm="1">
        <f t="array" ref="K786">IFERROR(AVERAGE(IF((OutputTable[GroupByKey]=OutputTable[[#This Row],[GroupByKey]]),(OutputTable[GroupByKey]=OutputTable[[#This Row],[GroupByKey]])*OutputTable[RecordedValue])),0)</f>
        <v>13103.5</v>
      </c>
      <c r="L786" cm="1">
        <f t="array" ref="L786">IFERROR(_xlfn.STDEV.S(IF((OutputTable[GroupByKey]=OutputTable[[#This Row],[GroupByKey]]),(OutputTable[GroupByKey]=OutputTable[[#This Row],[GroupByKey]])*OutputTable[RecordedValue])),0)</f>
        <v>11.443095929181249</v>
      </c>
      <c r="M786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786" cm="1">
        <f t="array" ref="O786">MIN(IF((OutputTable[GroupByKey]=OutputTable[[#This Row],[GroupByKey]]),(OutputTable[GroupByKey]=OutputTable[[#This Row],[GroupByKey]])*OutputTable[RecordedValue]))</f>
        <v>13087</v>
      </c>
      <c r="P786" cm="1">
        <f t="array" ref="P786">MAX(IF((OutputTable[GroupByKey]=OutputTable[[#This Row],[GroupByKey]]),(OutputTable[GroupByKey]=OutputTable[[#This Row],[GroupByKey]])*OutputTable[RecordedValue]))</f>
        <v>13120</v>
      </c>
    </row>
    <row r="787" spans="1:16" x14ac:dyDescent="0.25">
      <c r="A787" t="s">
        <v>67</v>
      </c>
      <c r="B787" t="s">
        <v>243</v>
      </c>
      <c r="C787">
        <v>10</v>
      </c>
      <c r="D787" t="s">
        <v>166</v>
      </c>
      <c r="E787" t="s">
        <v>154</v>
      </c>
      <c r="F787" t="s">
        <v>113</v>
      </c>
      <c r="G787">
        <v>0.550753639344426</v>
      </c>
      <c r="H787">
        <v>0</v>
      </c>
      <c r="I787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787" cm="1">
        <f t="array" ref="J787">MAX(IF((ProjectInfoTable[ProjectName]=OutputTable[[#This Row],[ProjectName]]),(ProjectInfoTable[ProjectName]=OutputTable[[#This Row],[ProjectName]])*ProjectInfoTable[NumberOfReplications]))</f>
        <v>10</v>
      </c>
      <c r="K787" cm="1">
        <f t="array" ref="K787">IFERROR(AVERAGE(IF((OutputTable[GroupByKey]=OutputTable[[#This Row],[GroupByKey]]),(OutputTable[GroupByKey]=OutputTable[[#This Row],[GroupByKey]])*OutputTable[RecordedValue])),0)</f>
        <v>0.48160620907873086</v>
      </c>
      <c r="L787" cm="1">
        <f t="array" ref="L787">IFERROR(_xlfn.STDEV.S(IF((OutputTable[GroupByKey]=OutputTable[[#This Row],[GroupByKey]]),(OutputTable[GroupByKey]=OutputTable[[#This Row],[GroupByKey]])*OutputTable[RecordedValue])),0)</f>
        <v>8.6686321722355061E-2</v>
      </c>
      <c r="M787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6.2011658897281531E-2</v>
      </c>
      <c r="O787" cm="1">
        <f t="array" ref="O787">MIN(IF((OutputTable[GroupByKey]=OutputTable[[#This Row],[GroupByKey]]),(OutputTable[GroupByKey]=OutputTable[[#This Row],[GroupByKey]])*OutputTable[RecordedValue]))</f>
        <v>0.292184201252493</v>
      </c>
      <c r="P787" cm="1">
        <f t="array" ref="P787">MAX(IF((OutputTable[GroupByKey]=OutputTable[[#This Row],[GroupByKey]]),(OutputTable[GroupByKey]=OutputTable[[#This Row],[GroupByKey]])*OutputTable[RecordedValue]))</f>
        <v>0.57167989674475905</v>
      </c>
    </row>
    <row r="788" spans="1:16" x14ac:dyDescent="0.25">
      <c r="A788" t="s">
        <v>67</v>
      </c>
      <c r="B788" t="s">
        <v>243</v>
      </c>
      <c r="C788">
        <v>10</v>
      </c>
      <c r="D788" t="s">
        <v>167</v>
      </c>
      <c r="E788" t="s">
        <v>152</v>
      </c>
      <c r="F788" t="s">
        <v>113</v>
      </c>
      <c r="G788">
        <v>13083</v>
      </c>
      <c r="H788">
        <v>0</v>
      </c>
      <c r="I788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788" cm="1">
        <f t="array" ref="J788">MAX(IF((ProjectInfoTable[ProjectName]=OutputTable[[#This Row],[ProjectName]]),(ProjectInfoTable[ProjectName]=OutputTable[[#This Row],[ProjectName]])*ProjectInfoTable[NumberOfReplications]))</f>
        <v>10</v>
      </c>
      <c r="K788" cm="1">
        <f t="array" ref="K788">IFERROR(AVERAGE(IF((OutputTable[GroupByKey]=OutputTable[[#This Row],[GroupByKey]]),(OutputTable[GroupByKey]=OutputTable[[#This Row],[GroupByKey]])*OutputTable[RecordedValue])),0)</f>
        <v>13100.1</v>
      </c>
      <c r="L788" cm="1">
        <f t="array" ref="L788">IFERROR(_xlfn.STDEV.S(IF((OutputTable[GroupByKey]=OutputTable[[#This Row],[GroupByKey]]),(OutputTable[GroupByKey]=OutputTable[[#This Row],[GroupByKey]])*OutputTable[RecordedValue])),0)</f>
        <v>11.46443776786866</v>
      </c>
      <c r="M788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788" cm="1">
        <f t="array" ref="O788">MIN(IF((OutputTable[GroupByKey]=OutputTable[[#This Row],[GroupByKey]]),(OutputTable[GroupByKey]=OutputTable[[#This Row],[GroupByKey]])*OutputTable[RecordedValue]))</f>
        <v>13083</v>
      </c>
      <c r="P788" cm="1">
        <f t="array" ref="P788">MAX(IF((OutputTable[GroupByKey]=OutputTable[[#This Row],[GroupByKey]]),(OutputTable[GroupByKey]=OutputTable[[#This Row],[GroupByKey]])*OutputTable[RecordedValue]))</f>
        <v>13118</v>
      </c>
    </row>
    <row r="789" spans="1:16" x14ac:dyDescent="0.25">
      <c r="A789" t="s">
        <v>67</v>
      </c>
      <c r="B789" t="s">
        <v>243</v>
      </c>
      <c r="C789">
        <v>10</v>
      </c>
      <c r="D789" t="s">
        <v>168</v>
      </c>
      <c r="E789" t="s">
        <v>154</v>
      </c>
      <c r="F789" t="s">
        <v>113</v>
      </c>
      <c r="G789">
        <v>0.29666542624047798</v>
      </c>
      <c r="H789">
        <v>0</v>
      </c>
      <c r="I789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789" cm="1">
        <f t="array" ref="J789">MAX(IF((ProjectInfoTable[ProjectName]=OutputTable[[#This Row],[ProjectName]]),(ProjectInfoTable[ProjectName]=OutputTable[[#This Row],[ProjectName]])*ProjectInfoTable[NumberOfReplications]))</f>
        <v>10</v>
      </c>
      <c r="K789" cm="1">
        <f t="array" ref="K789">IFERROR(AVERAGE(IF((OutputTable[GroupByKey]=OutputTable[[#This Row],[GroupByKey]]),(OutputTable[GroupByKey]=OutputTable[[#This Row],[GroupByKey]])*OutputTable[RecordedValue])),0)</f>
        <v>0.25269289312392168</v>
      </c>
      <c r="L789" cm="1">
        <f t="array" ref="L789">IFERROR(_xlfn.STDEV.S(IF((OutputTable[GroupByKey]=OutputTable[[#This Row],[GroupByKey]]),(OutputTable[GroupByKey]=OutputTable[[#This Row],[GroupByKey]])*OutputTable[RecordedValue])),0)</f>
        <v>4.921401008308305E-2</v>
      </c>
      <c r="M789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3.5205581983443382E-2</v>
      </c>
      <c r="O789" cm="1">
        <f t="array" ref="O789">MIN(IF((OutputTable[GroupByKey]=OutputTable[[#This Row],[GroupByKey]]),(OutputTable[GroupByKey]=OutputTable[[#This Row],[GroupByKey]])*OutputTable[RecordedValue]))</f>
        <v>0.20500025225945601</v>
      </c>
      <c r="P789" cm="1">
        <f t="array" ref="P789">MAX(IF((OutputTable[GroupByKey]=OutputTable[[#This Row],[GroupByKey]]),(OutputTable[GroupByKey]=OutputTable[[#This Row],[GroupByKey]])*OutputTable[RecordedValue]))</f>
        <v>0.33570777662711399</v>
      </c>
    </row>
    <row r="790" spans="1:16" x14ac:dyDescent="0.25">
      <c r="A790" t="s">
        <v>67</v>
      </c>
      <c r="B790" t="s">
        <v>243</v>
      </c>
      <c r="C790">
        <v>10</v>
      </c>
      <c r="D790" t="s">
        <v>169</v>
      </c>
      <c r="E790" t="s">
        <v>152</v>
      </c>
      <c r="F790" t="s">
        <v>113</v>
      </c>
      <c r="G790">
        <v>13082</v>
      </c>
      <c r="H790">
        <v>0</v>
      </c>
      <c r="I790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790" cm="1">
        <f t="array" ref="J790">MAX(IF((ProjectInfoTable[ProjectName]=OutputTable[[#This Row],[ProjectName]]),(ProjectInfoTable[ProjectName]=OutputTable[[#This Row],[ProjectName]])*ProjectInfoTable[NumberOfReplications]))</f>
        <v>10</v>
      </c>
      <c r="K790" cm="1">
        <f t="array" ref="K790">IFERROR(AVERAGE(IF((OutputTable[GroupByKey]=OutputTable[[#This Row],[GroupByKey]]),(OutputTable[GroupByKey]=OutputTable[[#This Row],[GroupByKey]])*OutputTable[RecordedValue])),0)</f>
        <v>13099.9</v>
      </c>
      <c r="L790" cm="1">
        <f t="array" ref="L790">IFERROR(_xlfn.STDEV.S(IF((OutputTable[GroupByKey]=OutputTable[[#This Row],[GroupByKey]]),(OutputTable[GroupByKey]=OutputTable[[#This Row],[GroupByKey]])*OutputTable[RecordedValue])),0)</f>
        <v>11.761046816598522</v>
      </c>
      <c r="M790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790" cm="1">
        <f t="array" ref="O790">MIN(IF((OutputTable[GroupByKey]=OutputTable[[#This Row],[GroupByKey]]),(OutputTable[GroupByKey]=OutputTable[[#This Row],[GroupByKey]])*OutputTable[RecordedValue]))</f>
        <v>13082</v>
      </c>
      <c r="P790" cm="1">
        <f t="array" ref="P790">MAX(IF((OutputTable[GroupByKey]=OutputTable[[#This Row],[GroupByKey]]),(OutputTable[GroupByKey]=OutputTable[[#This Row],[GroupByKey]])*OutputTable[RecordedValue]))</f>
        <v>13118</v>
      </c>
    </row>
    <row r="791" spans="1:16" x14ac:dyDescent="0.25">
      <c r="A791" t="s">
        <v>67</v>
      </c>
      <c r="B791" t="s">
        <v>243</v>
      </c>
      <c r="C791">
        <v>10</v>
      </c>
      <c r="D791" t="s">
        <v>170</v>
      </c>
      <c r="E791" t="s">
        <v>154</v>
      </c>
      <c r="F791" t="s">
        <v>113</v>
      </c>
      <c r="G791">
        <v>0.15134711042770399</v>
      </c>
      <c r="H791">
        <v>0</v>
      </c>
      <c r="I791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791" cm="1">
        <f t="array" ref="J791">MAX(IF((ProjectInfoTable[ProjectName]=OutputTable[[#This Row],[ProjectName]]),(ProjectInfoTable[ProjectName]=OutputTable[[#This Row],[ProjectName]])*ProjectInfoTable[NumberOfReplications]))</f>
        <v>10</v>
      </c>
      <c r="K791" cm="1">
        <f t="array" ref="K791">IFERROR(AVERAGE(IF((OutputTable[GroupByKey]=OutputTable[[#This Row],[GroupByKey]]),(OutputTable[GroupByKey]=OutputTable[[#This Row],[GroupByKey]])*OutputTable[RecordedValue])),0)</f>
        <v>0.151561654865698</v>
      </c>
      <c r="L791" cm="1">
        <f t="array" ref="L791">IFERROR(_xlfn.STDEV.S(IF((OutputTable[GroupByKey]=OutputTable[[#This Row],[GroupByKey]]),(OutputTable[GroupByKey]=OutputTable[[#This Row],[GroupByKey]])*OutputTable[RecordedValue])),0)</f>
        <v>1.2198256688170919E-4</v>
      </c>
      <c r="M791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8.7261071626859165E-5</v>
      </c>
      <c r="O791" cm="1">
        <f t="array" ref="O791">MIN(IF((OutputTable[GroupByKey]=OutputTable[[#This Row],[GroupByKey]]),(OutputTable[GroupByKey]=OutputTable[[#This Row],[GroupByKey]])*OutputTable[RecordedValue]))</f>
        <v>0.15134711042770399</v>
      </c>
      <c r="P791" cm="1">
        <f t="array" ref="P791">MAX(IF((OutputTable[GroupByKey]=OutputTable[[#This Row],[GroupByKey]]),(OutputTable[GroupByKey]=OutputTable[[#This Row],[GroupByKey]])*OutputTable[RecordedValue]))</f>
        <v>0.15172806047441101</v>
      </c>
    </row>
    <row r="792" spans="1:16" x14ac:dyDescent="0.25">
      <c r="A792" t="s">
        <v>67</v>
      </c>
      <c r="B792" t="s">
        <v>243</v>
      </c>
      <c r="C792">
        <v>10</v>
      </c>
      <c r="D792" t="s">
        <v>171</v>
      </c>
      <c r="E792" t="s">
        <v>152</v>
      </c>
      <c r="F792" t="s">
        <v>113</v>
      </c>
      <c r="G792">
        <v>8234</v>
      </c>
      <c r="H792">
        <v>0</v>
      </c>
      <c r="I792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792" cm="1">
        <f t="array" ref="J792">MAX(IF((ProjectInfoTable[ProjectName]=OutputTable[[#This Row],[ProjectName]]),(ProjectInfoTable[ProjectName]=OutputTable[[#This Row],[ProjectName]])*ProjectInfoTable[NumberOfReplications]))</f>
        <v>10</v>
      </c>
      <c r="K792" cm="1">
        <f t="array" ref="K792">IFERROR(AVERAGE(IF((OutputTable[GroupByKey]=OutputTable[[#This Row],[GroupByKey]]),(OutputTable[GroupByKey]=OutputTable[[#This Row],[GroupByKey]])*OutputTable[RecordedValue])),0)</f>
        <v>8235</v>
      </c>
      <c r="L792" cm="1">
        <f t="array" ref="L792">IFERROR(_xlfn.STDEV.S(IF((OutputTable[GroupByKey]=OutputTable[[#This Row],[GroupByKey]]),(OutputTable[GroupByKey]=OutputTable[[#This Row],[GroupByKey]])*OutputTable[RecordedValue])),0)</f>
        <v>6.5659052011974035</v>
      </c>
      <c r="M792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792" cm="1">
        <f t="array" ref="O792">MIN(IF((OutputTable[GroupByKey]=OutputTable[[#This Row],[GroupByKey]]),(OutputTable[GroupByKey]=OutputTable[[#This Row],[GroupByKey]])*OutputTable[RecordedValue]))</f>
        <v>8223</v>
      </c>
      <c r="P792" cm="1">
        <f t="array" ref="P792">MAX(IF((OutputTable[GroupByKey]=OutputTable[[#This Row],[GroupByKey]]),(OutputTable[GroupByKey]=OutputTable[[#This Row],[GroupByKey]])*OutputTable[RecordedValue]))</f>
        <v>8245</v>
      </c>
    </row>
    <row r="793" spans="1:16" x14ac:dyDescent="0.25">
      <c r="A793" t="s">
        <v>67</v>
      </c>
      <c r="B793" t="s">
        <v>243</v>
      </c>
      <c r="C793">
        <v>10</v>
      </c>
      <c r="D793" t="s">
        <v>172</v>
      </c>
      <c r="E793" t="s">
        <v>154</v>
      </c>
      <c r="F793" t="s">
        <v>113</v>
      </c>
      <c r="G793">
        <v>0.76800145485650095</v>
      </c>
      <c r="H793">
        <v>0</v>
      </c>
      <c r="I793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793" cm="1">
        <f t="array" ref="J793">MAX(IF((ProjectInfoTable[ProjectName]=OutputTable[[#This Row],[ProjectName]]),(ProjectInfoTable[ProjectName]=OutputTable[[#This Row],[ProjectName]])*ProjectInfoTable[NumberOfReplications]))</f>
        <v>10</v>
      </c>
      <c r="K793" cm="1">
        <f t="array" ref="K793">IFERROR(AVERAGE(IF((OutputTable[GroupByKey]=OutputTable[[#This Row],[GroupByKey]]),(OutputTable[GroupByKey]=OutputTable[[#This Row],[GroupByKey]])*OutputTable[RecordedValue])),0)</f>
        <v>0.84558522180863771</v>
      </c>
      <c r="L793" cm="1">
        <f t="array" ref="L793">IFERROR(_xlfn.STDEV.S(IF((OutputTable[GroupByKey]=OutputTable[[#This Row],[GroupByKey]]),(OutputTable[GroupByKey]=OutputTable[[#This Row],[GroupByKey]])*OutputTable[RecordedValue])),0)</f>
        <v>0.11694354024491282</v>
      </c>
      <c r="M793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8.3656369122856733E-2</v>
      </c>
      <c r="O793" cm="1">
        <f t="array" ref="O793">MIN(IF((OutputTable[GroupByKey]=OutputTable[[#This Row],[GroupByKey]]),(OutputTable[GroupByKey]=OutputTable[[#This Row],[GroupByKey]])*OutputTable[RecordedValue]))</f>
        <v>0.625269422960122</v>
      </c>
      <c r="P793" cm="1">
        <f t="array" ref="P793">MAX(IF((OutputTable[GroupByKey]=OutputTable[[#This Row],[GroupByKey]]),(OutputTable[GroupByKey]=OutputTable[[#This Row],[GroupByKey]])*OutputTable[RecordedValue]))</f>
        <v>0.95234896906597499</v>
      </c>
    </row>
    <row r="794" spans="1:16" x14ac:dyDescent="0.25">
      <c r="A794" t="s">
        <v>67</v>
      </c>
      <c r="B794" t="s">
        <v>243</v>
      </c>
      <c r="C794">
        <v>10</v>
      </c>
      <c r="D794" t="s">
        <v>173</v>
      </c>
      <c r="E794" t="s">
        <v>152</v>
      </c>
      <c r="F794" t="s">
        <v>113</v>
      </c>
      <c r="G794">
        <v>8233</v>
      </c>
      <c r="H794">
        <v>0</v>
      </c>
      <c r="I794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794" cm="1">
        <f t="array" ref="J794">MAX(IF((ProjectInfoTable[ProjectName]=OutputTable[[#This Row],[ProjectName]]),(ProjectInfoTable[ProjectName]=OutputTable[[#This Row],[ProjectName]])*ProjectInfoTable[NumberOfReplications]))</f>
        <v>10</v>
      </c>
      <c r="K794" cm="1">
        <f t="array" ref="K794">IFERROR(AVERAGE(IF((OutputTable[GroupByKey]=OutputTable[[#This Row],[GroupByKey]]),(OutputTable[GroupByKey]=OutputTable[[#This Row],[GroupByKey]])*OutputTable[RecordedValue])),0)</f>
        <v>8233.5</v>
      </c>
      <c r="L794" cm="1">
        <f t="array" ref="L794">IFERROR(_xlfn.STDEV.S(IF((OutputTable[GroupByKey]=OutputTable[[#This Row],[GroupByKey]]),(OutputTable[GroupByKey]=OutputTable[[#This Row],[GroupByKey]])*OutputTable[RecordedValue])),0)</f>
        <v>6.5021364010437201</v>
      </c>
      <c r="M794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794" cm="1">
        <f t="array" ref="O794">MIN(IF((OutputTable[GroupByKey]=OutputTable[[#This Row],[GroupByKey]]),(OutputTable[GroupByKey]=OutputTable[[#This Row],[GroupByKey]])*OutputTable[RecordedValue]))</f>
        <v>8221</v>
      </c>
      <c r="P794" cm="1">
        <f t="array" ref="P794">MAX(IF((OutputTable[GroupByKey]=OutputTable[[#This Row],[GroupByKey]]),(OutputTable[GroupByKey]=OutputTable[[#This Row],[GroupByKey]])*OutputTable[RecordedValue]))</f>
        <v>8243</v>
      </c>
    </row>
    <row r="795" spans="1:16" x14ac:dyDescent="0.25">
      <c r="A795" t="s">
        <v>67</v>
      </c>
      <c r="B795" t="s">
        <v>243</v>
      </c>
      <c r="C795">
        <v>10</v>
      </c>
      <c r="D795" t="s">
        <v>174</v>
      </c>
      <c r="E795" t="s">
        <v>154</v>
      </c>
      <c r="F795" t="s">
        <v>113</v>
      </c>
      <c r="G795">
        <v>0.87728997349342697</v>
      </c>
      <c r="H795">
        <v>0</v>
      </c>
      <c r="I795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795" cm="1">
        <f t="array" ref="J795">MAX(IF((ProjectInfoTable[ProjectName]=OutputTable[[#This Row],[ProjectName]]),(ProjectInfoTable[ProjectName]=OutputTable[[#This Row],[ProjectName]])*ProjectInfoTable[NumberOfReplications]))</f>
        <v>10</v>
      </c>
      <c r="K795" cm="1">
        <f t="array" ref="K795">IFERROR(AVERAGE(IF((OutputTable[GroupByKey]=OutputTable[[#This Row],[GroupByKey]]),(OutputTable[GroupByKey]=OutputTable[[#This Row],[GroupByKey]])*OutputTable[RecordedValue])),0)</f>
        <v>0.74077431571180286</v>
      </c>
      <c r="L795" cm="1">
        <f t="array" ref="L795">IFERROR(_xlfn.STDEV.S(IF((OutputTable[GroupByKey]=OutputTable[[#This Row],[GroupByKey]]),(OutputTable[GroupByKey]=OutputTable[[#This Row],[GroupByKey]])*OutputTable[RecordedValue])),0)</f>
        <v>6.1280007141721847E-2</v>
      </c>
      <c r="M79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4.3837076306762375E-2</v>
      </c>
      <c r="O795" cm="1">
        <f t="array" ref="O795">MIN(IF((OutputTable[GroupByKey]=OutputTable[[#This Row],[GroupByKey]]),(OutputTable[GroupByKey]=OutputTable[[#This Row],[GroupByKey]])*OutputTable[RecordedValue]))</f>
        <v>0.67060354368791897</v>
      </c>
      <c r="P795" cm="1">
        <f t="array" ref="P795">MAX(IF((OutputTable[GroupByKey]=OutputTable[[#This Row],[GroupByKey]]),(OutputTable[GroupByKey]=OutputTable[[#This Row],[GroupByKey]])*OutputTable[RecordedValue]))</f>
        <v>0.87728997349342697</v>
      </c>
    </row>
    <row r="796" spans="1:16" x14ac:dyDescent="0.25">
      <c r="A796" t="s">
        <v>67</v>
      </c>
      <c r="B796" t="s">
        <v>243</v>
      </c>
      <c r="C796">
        <v>10</v>
      </c>
      <c r="D796" t="s">
        <v>175</v>
      </c>
      <c r="E796" t="s">
        <v>152</v>
      </c>
      <c r="F796" t="s">
        <v>113</v>
      </c>
      <c r="G796">
        <v>8229</v>
      </c>
      <c r="H796">
        <v>0</v>
      </c>
      <c r="I796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796" cm="1">
        <f t="array" ref="J796">MAX(IF((ProjectInfoTable[ProjectName]=OutputTable[[#This Row],[ProjectName]]),(ProjectInfoTable[ProjectName]=OutputTable[[#This Row],[ProjectName]])*ProjectInfoTable[NumberOfReplications]))</f>
        <v>10</v>
      </c>
      <c r="K796" cm="1">
        <f t="array" ref="K796">IFERROR(AVERAGE(IF((OutputTable[GroupByKey]=OutputTable[[#This Row],[GroupByKey]]),(OutputTable[GroupByKey]=OutputTable[[#This Row],[GroupByKey]])*OutputTable[RecordedValue])),0)</f>
        <v>8231.5</v>
      </c>
      <c r="L796" cm="1">
        <f t="array" ref="L796">IFERROR(_xlfn.STDEV.S(IF((OutputTable[GroupByKey]=OutputTable[[#This Row],[GroupByKey]]),(OutputTable[GroupByKey]=OutputTable[[#This Row],[GroupByKey]])*OutputTable[RecordedValue])),0)</f>
        <v>6.3464775882199236</v>
      </c>
      <c r="M796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796" cm="1">
        <f t="array" ref="O796">MIN(IF((OutputTable[GroupByKey]=OutputTable[[#This Row],[GroupByKey]]),(OutputTable[GroupByKey]=OutputTable[[#This Row],[GroupByKey]])*OutputTable[RecordedValue]))</f>
        <v>8220</v>
      </c>
      <c r="P796" cm="1">
        <f t="array" ref="P796">MAX(IF((OutputTable[GroupByKey]=OutputTable[[#This Row],[GroupByKey]]),(OutputTable[GroupByKey]=OutputTable[[#This Row],[GroupByKey]])*OutputTable[RecordedValue]))</f>
        <v>8241</v>
      </c>
    </row>
    <row r="797" spans="1:16" x14ac:dyDescent="0.25">
      <c r="A797" t="s">
        <v>67</v>
      </c>
      <c r="B797" t="s">
        <v>243</v>
      </c>
      <c r="C797">
        <v>10</v>
      </c>
      <c r="D797" t="s">
        <v>176</v>
      </c>
      <c r="E797" t="s">
        <v>154</v>
      </c>
      <c r="F797" t="s">
        <v>113</v>
      </c>
      <c r="G797">
        <v>0.36555656561218303</v>
      </c>
      <c r="H797">
        <v>0</v>
      </c>
      <c r="I797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797" cm="1">
        <f t="array" ref="J797">MAX(IF((ProjectInfoTable[ProjectName]=OutputTable[[#This Row],[ProjectName]]),(ProjectInfoTable[ProjectName]=OutputTable[[#This Row],[ProjectName]])*ProjectInfoTable[NumberOfReplications]))</f>
        <v>10</v>
      </c>
      <c r="K797" cm="1">
        <f t="array" ref="K797">IFERROR(AVERAGE(IF((OutputTable[GroupByKey]=OutputTable[[#This Row],[GroupByKey]]),(OutputTable[GroupByKey]=OutputTable[[#This Row],[GroupByKey]])*OutputTable[RecordedValue])),0)</f>
        <v>0.52391445815006699</v>
      </c>
      <c r="L797" cm="1">
        <f t="array" ref="L797">IFERROR(_xlfn.STDEV.S(IF((OutputTable[GroupByKey]=OutputTable[[#This Row],[GroupByKey]]),(OutputTable[GroupByKey]=OutputTable[[#This Row],[GroupByKey]])*OutputTable[RecordedValue])),0)</f>
        <v>7.0460308415606909E-2</v>
      </c>
      <c r="M797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5.0404268221927347E-2</v>
      </c>
      <c r="O797" cm="1">
        <f t="array" ref="O797">MIN(IF((OutputTable[GroupByKey]=OutputTable[[#This Row],[GroupByKey]]),(OutputTable[GroupByKey]=OutputTable[[#This Row],[GroupByKey]])*OutputTable[RecordedValue]))</f>
        <v>0.36555656561218303</v>
      </c>
      <c r="P797" cm="1">
        <f t="array" ref="P797">MAX(IF((OutputTable[GroupByKey]=OutputTable[[#This Row],[GroupByKey]]),(OutputTable[GroupByKey]=OutputTable[[#This Row],[GroupByKey]])*OutputTable[RecordedValue]))</f>
        <v>0.59886206518967</v>
      </c>
    </row>
    <row r="798" spans="1:16" x14ac:dyDescent="0.25">
      <c r="A798" t="s">
        <v>67</v>
      </c>
      <c r="B798" t="s">
        <v>243</v>
      </c>
      <c r="C798">
        <v>10</v>
      </c>
      <c r="D798" t="s">
        <v>177</v>
      </c>
      <c r="E798" t="s">
        <v>152</v>
      </c>
      <c r="F798" t="s">
        <v>113</v>
      </c>
      <c r="G798">
        <v>8227</v>
      </c>
      <c r="H798">
        <v>0</v>
      </c>
      <c r="I798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798" cm="1">
        <f t="array" ref="J798">MAX(IF((ProjectInfoTable[ProjectName]=OutputTable[[#This Row],[ProjectName]]),(ProjectInfoTable[ProjectName]=OutputTable[[#This Row],[ProjectName]])*ProjectInfoTable[NumberOfReplications]))</f>
        <v>10</v>
      </c>
      <c r="K798" cm="1">
        <f t="array" ref="K798">IFERROR(AVERAGE(IF((OutputTable[GroupByKey]=OutputTable[[#This Row],[GroupByKey]]),(OutputTable[GroupByKey]=OutputTable[[#This Row],[GroupByKey]])*OutputTable[RecordedValue])),0)</f>
        <v>8227.7000000000007</v>
      </c>
      <c r="L798" cm="1">
        <f t="array" ref="L798">IFERROR(_xlfn.STDEV.S(IF((OutputTable[GroupByKey]=OutputTable[[#This Row],[GroupByKey]]),(OutputTable[GroupByKey]=OutputTable[[#This Row],[GroupByKey]])*OutputTable[RecordedValue])),0)</f>
        <v>6.2902040242480748</v>
      </c>
      <c r="M798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798" cm="1">
        <f t="array" ref="O798">MIN(IF((OutputTable[GroupByKey]=OutputTable[[#This Row],[GroupByKey]]),(OutputTable[GroupByKey]=OutputTable[[#This Row],[GroupByKey]])*OutputTable[RecordedValue]))</f>
        <v>8216</v>
      </c>
      <c r="P798" cm="1">
        <f t="array" ref="P798">MAX(IF((OutputTable[GroupByKey]=OutputTable[[#This Row],[GroupByKey]]),(OutputTable[GroupByKey]=OutputTable[[#This Row],[GroupByKey]])*OutputTable[RecordedValue]))</f>
        <v>8237</v>
      </c>
    </row>
    <row r="799" spans="1:16" x14ac:dyDescent="0.25">
      <c r="A799" t="s">
        <v>67</v>
      </c>
      <c r="B799" t="s">
        <v>243</v>
      </c>
      <c r="C799">
        <v>10</v>
      </c>
      <c r="D799" t="s">
        <v>178</v>
      </c>
      <c r="E799" t="s">
        <v>154</v>
      </c>
      <c r="F799" t="s">
        <v>113</v>
      </c>
      <c r="G799">
        <v>0.149575791309499</v>
      </c>
      <c r="H799">
        <v>0</v>
      </c>
      <c r="I799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799" cm="1">
        <f t="array" ref="J799">MAX(IF((ProjectInfoTable[ProjectName]=OutputTable[[#This Row],[ProjectName]]),(ProjectInfoTable[ProjectName]=OutputTable[[#This Row],[ProjectName]])*ProjectInfoTable[NumberOfReplications]))</f>
        <v>10</v>
      </c>
      <c r="K799" cm="1">
        <f t="array" ref="K799">IFERROR(AVERAGE(IF((OutputTable[GroupByKey]=OutputTable[[#This Row],[GroupByKey]]),(OutputTable[GroupByKey]=OutputTable[[#This Row],[GroupByKey]])*OutputTable[RecordedValue])),0)</f>
        <v>0.14955853655775292</v>
      </c>
      <c r="L799" cm="1">
        <f t="array" ref="L799">IFERROR(_xlfn.STDEV.S(IF((OutputTable[GroupByKey]=OutputTable[[#This Row],[GroupByKey]]),(OutputTable[GroupByKey]=OutputTable[[#This Row],[GroupByKey]])*OutputTable[RecordedValue])),0)</f>
        <v>1.8487754554887928E-4</v>
      </c>
      <c r="M799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1.3225342896729691E-4</v>
      </c>
      <c r="O799" cm="1">
        <f t="array" ref="O799">MIN(IF((OutputTable[GroupByKey]=OutputTable[[#This Row],[GroupByKey]]),(OutputTable[GroupByKey]=OutputTable[[#This Row],[GroupByKey]])*OutputTable[RecordedValue]))</f>
        <v>0.14921189842985499</v>
      </c>
      <c r="P799" cm="1">
        <f t="array" ref="P799">MAX(IF((OutputTable[GroupByKey]=OutputTable[[#This Row],[GroupByKey]]),(OutputTable[GroupByKey]=OutputTable[[#This Row],[GroupByKey]])*OutputTable[RecordedValue]))</f>
        <v>0.14985050053976801</v>
      </c>
    </row>
    <row r="800" spans="1:16" x14ac:dyDescent="0.25">
      <c r="A800" t="s">
        <v>67</v>
      </c>
      <c r="B800" t="s">
        <v>243</v>
      </c>
      <c r="C800">
        <v>10</v>
      </c>
      <c r="D800" t="s">
        <v>179</v>
      </c>
      <c r="E800" t="s">
        <v>152</v>
      </c>
      <c r="F800" t="s">
        <v>113</v>
      </c>
      <c r="G800">
        <v>18380</v>
      </c>
      <c r="H800">
        <v>0</v>
      </c>
      <c r="I800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800" cm="1">
        <f t="array" ref="J800">MAX(IF((ProjectInfoTable[ProjectName]=OutputTable[[#This Row],[ProjectName]]),(ProjectInfoTable[ProjectName]=OutputTable[[#This Row],[ProjectName]])*ProjectInfoTable[NumberOfReplications]))</f>
        <v>10</v>
      </c>
      <c r="K800" cm="1">
        <f t="array" ref="K800">IFERROR(AVERAGE(IF((OutputTable[GroupByKey]=OutputTable[[#This Row],[GroupByKey]]),(OutputTable[GroupByKey]=OutputTable[[#This Row],[GroupByKey]])*OutputTable[RecordedValue])),0)</f>
        <v>18392</v>
      </c>
      <c r="L800" cm="1">
        <f t="array" ref="L800">IFERROR(_xlfn.STDEV.S(IF((OutputTable[GroupByKey]=OutputTable[[#This Row],[GroupByKey]]),(OutputTable[GroupByKey]=OutputTable[[#This Row],[GroupByKey]])*OutputTable[RecordedValue])),0)</f>
        <v>12.884098726725126</v>
      </c>
      <c r="M800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800" cm="1">
        <f t="array" ref="O800">MIN(IF((OutputTable[GroupByKey]=OutputTable[[#This Row],[GroupByKey]]),(OutputTable[GroupByKey]=OutputTable[[#This Row],[GroupByKey]])*OutputTable[RecordedValue]))</f>
        <v>18376</v>
      </c>
      <c r="P800" cm="1">
        <f t="array" ref="P800">MAX(IF((OutputTable[GroupByKey]=OutputTable[[#This Row],[GroupByKey]]),(OutputTable[GroupByKey]=OutputTable[[#This Row],[GroupByKey]])*OutputTable[RecordedValue]))</f>
        <v>18407</v>
      </c>
    </row>
    <row r="801" spans="1:16" x14ac:dyDescent="0.25">
      <c r="A801" t="s">
        <v>67</v>
      </c>
      <c r="B801" t="s">
        <v>243</v>
      </c>
      <c r="C801">
        <v>10</v>
      </c>
      <c r="D801" t="s">
        <v>180</v>
      </c>
      <c r="E801" t="s">
        <v>154</v>
      </c>
      <c r="F801" t="s">
        <v>113</v>
      </c>
      <c r="G801">
        <v>0.80781939617605003</v>
      </c>
      <c r="H801">
        <v>0</v>
      </c>
      <c r="I801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801" cm="1">
        <f t="array" ref="J801">MAX(IF((ProjectInfoTable[ProjectName]=OutputTable[[#This Row],[ProjectName]]),(ProjectInfoTable[ProjectName]=OutputTable[[#This Row],[ProjectName]])*ProjectInfoTable[NumberOfReplications]))</f>
        <v>10</v>
      </c>
      <c r="K801" cm="1">
        <f t="array" ref="K801">IFERROR(AVERAGE(IF((OutputTable[GroupByKey]=OutputTable[[#This Row],[GroupByKey]]),(OutputTable[GroupByKey]=OutputTable[[#This Row],[GroupByKey]])*OutputTable[RecordedValue])),0)</f>
        <v>0.78490250681152463</v>
      </c>
      <c r="L801" cm="1">
        <f t="array" ref="L801">IFERROR(_xlfn.STDEV.S(IF((OutputTable[GroupByKey]=OutputTable[[#This Row],[GroupByKey]]),(OutputTable[GroupByKey]=OutputTable[[#This Row],[GroupByKey]])*OutputTable[RecordedValue])),0)</f>
        <v>0.11345978752761485</v>
      </c>
      <c r="M801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8.1164242557843561E-2</v>
      </c>
      <c r="O801" cm="1">
        <f t="array" ref="O801">MIN(IF((OutputTable[GroupByKey]=OutputTable[[#This Row],[GroupByKey]]),(OutputTable[GroupByKey]=OutputTable[[#This Row],[GroupByKey]])*OutputTable[RecordedValue]))</f>
        <v>0.58338388917401596</v>
      </c>
      <c r="P801" cm="1">
        <f t="array" ref="P801">MAX(IF((OutputTable[GroupByKey]=OutputTable[[#This Row],[GroupByKey]]),(OutputTable[GroupByKey]=OutputTable[[#This Row],[GroupByKey]])*OutputTable[RecordedValue]))</f>
        <v>0.90111632059041802</v>
      </c>
    </row>
    <row r="802" spans="1:16" x14ac:dyDescent="0.25">
      <c r="A802" t="s">
        <v>67</v>
      </c>
      <c r="B802" t="s">
        <v>243</v>
      </c>
      <c r="C802">
        <v>10</v>
      </c>
      <c r="D802" t="s">
        <v>181</v>
      </c>
      <c r="E802" t="s">
        <v>152</v>
      </c>
      <c r="F802" t="s">
        <v>113</v>
      </c>
      <c r="G802">
        <v>18377</v>
      </c>
      <c r="H802">
        <v>0</v>
      </c>
      <c r="I802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802" cm="1">
        <f t="array" ref="J802">MAX(IF((ProjectInfoTable[ProjectName]=OutputTable[[#This Row],[ProjectName]]),(ProjectInfoTable[ProjectName]=OutputTable[[#This Row],[ProjectName]])*ProjectInfoTable[NumberOfReplications]))</f>
        <v>10</v>
      </c>
      <c r="K802" cm="1">
        <f t="array" ref="K802">IFERROR(AVERAGE(IF((OutputTable[GroupByKey]=OutputTable[[#This Row],[GroupByKey]]),(OutputTable[GroupByKey]=OutputTable[[#This Row],[GroupByKey]])*OutputTable[RecordedValue])),0)</f>
        <v>18389.400000000001</v>
      </c>
      <c r="L802" cm="1">
        <f t="array" ref="L802">IFERROR(_xlfn.STDEV.S(IF((OutputTable[GroupByKey]=OutputTable[[#This Row],[GroupByKey]]),(OutputTable[GroupByKey]=OutputTable[[#This Row],[GroupByKey]])*OutputTable[RecordedValue])),0)</f>
        <v>12.103259432437566</v>
      </c>
      <c r="M802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802" cm="1">
        <f t="array" ref="O802">MIN(IF((OutputTable[GroupByKey]=OutputTable[[#This Row],[GroupByKey]]),(OutputTable[GroupByKey]=OutputTable[[#This Row],[GroupByKey]])*OutputTable[RecordedValue]))</f>
        <v>18376</v>
      </c>
      <c r="P802" cm="1">
        <f t="array" ref="P802">MAX(IF((OutputTable[GroupByKey]=OutputTable[[#This Row],[GroupByKey]]),(OutputTable[GroupByKey]=OutputTable[[#This Row],[GroupByKey]])*OutputTable[RecordedValue]))</f>
        <v>18404</v>
      </c>
    </row>
    <row r="803" spans="1:16" x14ac:dyDescent="0.25">
      <c r="A803" t="s">
        <v>67</v>
      </c>
      <c r="B803" t="s">
        <v>243</v>
      </c>
      <c r="C803">
        <v>10</v>
      </c>
      <c r="D803" t="s">
        <v>182</v>
      </c>
      <c r="E803" t="s">
        <v>154</v>
      </c>
      <c r="F803" t="s">
        <v>113</v>
      </c>
      <c r="G803">
        <v>0.15879494389172899</v>
      </c>
      <c r="H803">
        <v>0</v>
      </c>
      <c r="I803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803" cm="1">
        <f t="array" ref="J803">MAX(IF((ProjectInfoTable[ProjectName]=OutputTable[[#This Row],[ProjectName]]),(ProjectInfoTable[ProjectName]=OutputTable[[#This Row],[ProjectName]])*ProjectInfoTable[NumberOfReplications]))</f>
        <v>10</v>
      </c>
      <c r="K803" cm="1">
        <f t="array" ref="K803">IFERROR(AVERAGE(IF((OutputTable[GroupByKey]=OutputTable[[#This Row],[GroupByKey]]),(OutputTable[GroupByKey]=OutputTable[[#This Row],[GroupByKey]])*OutputTable[RecordedValue])),0)</f>
        <v>0.15879210791146151</v>
      </c>
      <c r="L803" cm="1">
        <f t="array" ref="L803">IFERROR(_xlfn.STDEV.S(IF((OutputTable[GroupByKey]=OutputTable[[#This Row],[GroupByKey]]),(OutputTable[GroupByKey]=OutputTable[[#This Row],[GroupByKey]])*OutputTable[RecordedValue])),0)</f>
        <v>8.8786593843692651E-6</v>
      </c>
      <c r="M803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6.3514103063698042E-6</v>
      </c>
      <c r="O803" cm="1">
        <f t="array" ref="O803">MIN(IF((OutputTable[GroupByKey]=OutputTable[[#This Row],[GroupByKey]]),(OutputTable[GroupByKey]=OutputTable[[#This Row],[GroupByKey]])*OutputTable[RecordedValue]))</f>
        <v>0.15877821852350199</v>
      </c>
      <c r="P803" cm="1">
        <f t="array" ref="P803">MAX(IF((OutputTable[GroupByKey]=OutputTable[[#This Row],[GroupByKey]]),(OutputTable[GroupByKey]=OutputTable[[#This Row],[GroupByKey]])*OutputTable[RecordedValue]))</f>
        <v>0.15880443244107401</v>
      </c>
    </row>
    <row r="804" spans="1:16" x14ac:dyDescent="0.25">
      <c r="A804" t="s">
        <v>67</v>
      </c>
      <c r="B804" t="s">
        <v>243</v>
      </c>
      <c r="C804">
        <v>10</v>
      </c>
      <c r="D804" t="s">
        <v>183</v>
      </c>
      <c r="E804" t="s">
        <v>152</v>
      </c>
      <c r="F804" t="s">
        <v>113</v>
      </c>
      <c r="G804">
        <v>13087</v>
      </c>
      <c r="H804">
        <v>0</v>
      </c>
      <c r="I804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804" cm="1">
        <f t="array" ref="J804">MAX(IF((ProjectInfoTable[ProjectName]=OutputTable[[#This Row],[ProjectName]]),(ProjectInfoTable[ProjectName]=OutputTable[[#This Row],[ProjectName]])*ProjectInfoTable[NumberOfReplications]))</f>
        <v>10</v>
      </c>
      <c r="K804" cm="1">
        <f t="array" ref="K804">IFERROR(AVERAGE(IF((OutputTable[GroupByKey]=OutputTable[[#This Row],[GroupByKey]]),(OutputTable[GroupByKey]=OutputTable[[#This Row],[GroupByKey]])*OutputTable[RecordedValue])),0)</f>
        <v>13103.5</v>
      </c>
      <c r="L804" cm="1">
        <f t="array" ref="L804">IFERROR(_xlfn.STDEV.S(IF((OutputTable[GroupByKey]=OutputTable[[#This Row],[GroupByKey]]),(OutputTable[GroupByKey]=OutputTable[[#This Row],[GroupByKey]])*OutputTable[RecordedValue])),0)</f>
        <v>11.443095929181249</v>
      </c>
      <c r="M804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804" cm="1">
        <f t="array" ref="O804">MIN(IF((OutputTable[GroupByKey]=OutputTable[[#This Row],[GroupByKey]]),(OutputTable[GroupByKey]=OutputTable[[#This Row],[GroupByKey]])*OutputTable[RecordedValue]))</f>
        <v>13087</v>
      </c>
      <c r="P804" cm="1">
        <f t="array" ref="P804">MAX(IF((OutputTable[GroupByKey]=OutputTable[[#This Row],[GroupByKey]]),(OutputTable[GroupByKey]=OutputTable[[#This Row],[GroupByKey]])*OutputTable[RecordedValue]))</f>
        <v>13120</v>
      </c>
    </row>
    <row r="805" spans="1:16" x14ac:dyDescent="0.25">
      <c r="A805" t="s">
        <v>67</v>
      </c>
      <c r="B805" t="s">
        <v>243</v>
      </c>
      <c r="C805">
        <v>10</v>
      </c>
      <c r="D805" t="s">
        <v>184</v>
      </c>
      <c r="E805" t="s">
        <v>154</v>
      </c>
      <c r="F805" t="s">
        <v>113</v>
      </c>
      <c r="G805">
        <v>1.00047098494938</v>
      </c>
      <c r="H805">
        <v>0</v>
      </c>
      <c r="I805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805" cm="1">
        <f t="array" ref="J805">MAX(IF((ProjectInfoTable[ProjectName]=OutputTable[[#This Row],[ProjectName]]),(ProjectInfoTable[ProjectName]=OutputTable[[#This Row],[ProjectName]])*ProjectInfoTable[NumberOfReplications]))</f>
        <v>10</v>
      </c>
      <c r="K805" cm="1">
        <f t="array" ref="K805">IFERROR(AVERAGE(IF((OutputTable[GroupByKey]=OutputTable[[#This Row],[GroupByKey]]),(OutputTable[GroupByKey]=OutputTable[[#This Row],[GroupByKey]])*OutputTable[RecordedValue])),0)</f>
        <v>1.0004814685732331</v>
      </c>
      <c r="L805" cm="1">
        <f t="array" ref="L805">IFERROR(_xlfn.STDEV.S(IF((OutputTable[GroupByKey]=OutputTable[[#This Row],[GroupByKey]]),(OutputTable[GroupByKey]=OutputTable[[#This Row],[GroupByKey]])*OutputTable[RecordedValue])),0)</f>
        <v>7.4280555176725285E-5</v>
      </c>
      <c r="M80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5.3137108125005439E-5</v>
      </c>
      <c r="O805" cm="1">
        <f t="array" ref="O805">MIN(IF((OutputTable[GroupByKey]=OutputTable[[#This Row],[GroupByKey]]),(OutputTable[GroupByKey]=OutputTable[[#This Row],[GroupByKey]])*OutputTable[RecordedValue]))</f>
        <v>1.00039897320567</v>
      </c>
      <c r="P805" cm="1">
        <f t="array" ref="P805">MAX(IF((OutputTable[GroupByKey]=OutputTable[[#This Row],[GroupByKey]]),(OutputTable[GroupByKey]=OutputTable[[#This Row],[GroupByKey]])*OutputTable[RecordedValue]))</f>
        <v>1.00059414734778</v>
      </c>
    </row>
    <row r="806" spans="1:16" x14ac:dyDescent="0.25">
      <c r="A806" t="s">
        <v>67</v>
      </c>
      <c r="B806" t="s">
        <v>243</v>
      </c>
      <c r="C806">
        <v>10</v>
      </c>
      <c r="D806" t="s">
        <v>185</v>
      </c>
      <c r="E806" t="s">
        <v>152</v>
      </c>
      <c r="F806" t="s">
        <v>113</v>
      </c>
      <c r="G806">
        <v>13083</v>
      </c>
      <c r="H806">
        <v>0</v>
      </c>
      <c r="I806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806" cm="1">
        <f t="array" ref="J806">MAX(IF((ProjectInfoTable[ProjectName]=OutputTable[[#This Row],[ProjectName]]),(ProjectInfoTable[ProjectName]=OutputTable[[#This Row],[ProjectName]])*ProjectInfoTable[NumberOfReplications]))</f>
        <v>10</v>
      </c>
      <c r="K806" cm="1">
        <f t="array" ref="K806">IFERROR(AVERAGE(IF((OutputTable[GroupByKey]=OutputTable[[#This Row],[GroupByKey]]),(OutputTable[GroupByKey]=OutputTable[[#This Row],[GroupByKey]])*OutputTable[RecordedValue])),0)</f>
        <v>13100.1</v>
      </c>
      <c r="L806" cm="1">
        <f t="array" ref="L806">IFERROR(_xlfn.STDEV.S(IF((OutputTable[GroupByKey]=OutputTable[[#This Row],[GroupByKey]]),(OutputTable[GroupByKey]=OutputTable[[#This Row],[GroupByKey]])*OutputTable[RecordedValue])),0)</f>
        <v>11.46443776786866</v>
      </c>
      <c r="M806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806" cm="1">
        <f t="array" ref="O806">MIN(IF((OutputTable[GroupByKey]=OutputTable[[#This Row],[GroupByKey]]),(OutputTable[GroupByKey]=OutputTable[[#This Row],[GroupByKey]])*OutputTable[RecordedValue]))</f>
        <v>13083</v>
      </c>
      <c r="P806" cm="1">
        <f t="array" ref="P806">MAX(IF((OutputTable[GroupByKey]=OutputTable[[#This Row],[GroupByKey]]),(OutputTable[GroupByKey]=OutputTable[[#This Row],[GroupByKey]])*OutputTable[RecordedValue]))</f>
        <v>13118</v>
      </c>
    </row>
    <row r="807" spans="1:16" x14ac:dyDescent="0.25">
      <c r="A807" t="s">
        <v>67</v>
      </c>
      <c r="B807" t="s">
        <v>243</v>
      </c>
      <c r="C807">
        <v>10</v>
      </c>
      <c r="D807" t="s">
        <v>186</v>
      </c>
      <c r="E807" t="s">
        <v>154</v>
      </c>
      <c r="F807" t="s">
        <v>113</v>
      </c>
      <c r="G807">
        <v>0.72718315208869699</v>
      </c>
      <c r="H807">
        <v>0</v>
      </c>
      <c r="I807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807" cm="1">
        <f t="array" ref="J807">MAX(IF((ProjectInfoTable[ProjectName]=OutputTable[[#This Row],[ProjectName]]),(ProjectInfoTable[ProjectName]=OutputTable[[#This Row],[ProjectName]])*ProjectInfoTable[NumberOfReplications]))</f>
        <v>10</v>
      </c>
      <c r="K807" cm="1">
        <f t="array" ref="K807">IFERROR(AVERAGE(IF((OutputTable[GroupByKey]=OutputTable[[#This Row],[GroupByKey]]),(OutputTable[GroupByKey]=OutputTable[[#This Row],[GroupByKey]])*OutputTable[RecordedValue])),0)</f>
        <v>0.7279059511079462</v>
      </c>
      <c r="L807" cm="1">
        <f t="array" ref="L807">IFERROR(_xlfn.STDEV.S(IF((OutputTable[GroupByKey]=OutputTable[[#This Row],[GroupByKey]]),(OutputTable[GroupByKey]=OutputTable[[#This Row],[GroupByKey]])*OutputTable[RecordedValue])),0)</f>
        <v>7.0848304180243249E-4</v>
      </c>
      <c r="M807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5.0681823671647316E-4</v>
      </c>
      <c r="O807" cm="1">
        <f t="array" ref="O807">MIN(IF((OutputTable[GroupByKey]=OutputTable[[#This Row],[GroupByKey]]),(OutputTable[GroupByKey]=OutputTable[[#This Row],[GroupByKey]])*OutputTable[RecordedValue]))</f>
        <v>0.72665767143328297</v>
      </c>
      <c r="P807" cm="1">
        <f t="array" ref="P807">MAX(IF((OutputTable[GroupByKey]=OutputTable[[#This Row],[GroupByKey]]),(OutputTable[GroupByKey]=OutputTable[[#This Row],[GroupByKey]])*OutputTable[RecordedValue]))</f>
        <v>0.72896261310967603</v>
      </c>
    </row>
    <row r="808" spans="1:16" x14ac:dyDescent="0.25">
      <c r="A808" t="s">
        <v>67</v>
      </c>
      <c r="B808" t="s">
        <v>243</v>
      </c>
      <c r="C808">
        <v>10</v>
      </c>
      <c r="D808" t="s">
        <v>187</v>
      </c>
      <c r="E808" t="s">
        <v>152</v>
      </c>
      <c r="F808" t="s">
        <v>113</v>
      </c>
      <c r="G808">
        <v>13082</v>
      </c>
      <c r="H808">
        <v>0</v>
      </c>
      <c r="I808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808" cm="1">
        <f t="array" ref="J808">MAX(IF((ProjectInfoTable[ProjectName]=OutputTable[[#This Row],[ProjectName]]),(ProjectInfoTable[ProjectName]=OutputTable[[#This Row],[ProjectName]])*ProjectInfoTable[NumberOfReplications]))</f>
        <v>10</v>
      </c>
      <c r="K808" cm="1">
        <f t="array" ref="K808">IFERROR(AVERAGE(IF((OutputTable[GroupByKey]=OutputTable[[#This Row],[GroupByKey]]),(OutputTable[GroupByKey]=OutputTable[[#This Row],[GroupByKey]])*OutputTable[RecordedValue])),0)</f>
        <v>13099.9</v>
      </c>
      <c r="L808" cm="1">
        <f t="array" ref="L808">IFERROR(_xlfn.STDEV.S(IF((OutputTable[GroupByKey]=OutputTable[[#This Row],[GroupByKey]]),(OutputTable[GroupByKey]=OutputTable[[#This Row],[GroupByKey]])*OutputTable[RecordedValue])),0)</f>
        <v>11.761046816598522</v>
      </c>
      <c r="M808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808" cm="1">
        <f t="array" ref="O808">MIN(IF((OutputTable[GroupByKey]=OutputTable[[#This Row],[GroupByKey]]),(OutputTable[GroupByKey]=OutputTable[[#This Row],[GroupByKey]])*OutputTable[RecordedValue]))</f>
        <v>13082</v>
      </c>
      <c r="P808" cm="1">
        <f t="array" ref="P808">MAX(IF((OutputTable[GroupByKey]=OutputTable[[#This Row],[GroupByKey]]),(OutputTable[GroupByKey]=OutputTable[[#This Row],[GroupByKey]])*OutputTable[RecordedValue]))</f>
        <v>13118</v>
      </c>
    </row>
    <row r="809" spans="1:16" x14ac:dyDescent="0.25">
      <c r="A809" t="s">
        <v>67</v>
      </c>
      <c r="B809" t="s">
        <v>243</v>
      </c>
      <c r="C809">
        <v>10</v>
      </c>
      <c r="D809" t="s">
        <v>188</v>
      </c>
      <c r="E809" t="s">
        <v>154</v>
      </c>
      <c r="F809" t="s">
        <v>113</v>
      </c>
      <c r="G809">
        <v>0.95348679569453398</v>
      </c>
      <c r="H809">
        <v>0</v>
      </c>
      <c r="I809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809" cm="1">
        <f t="array" ref="J809">MAX(IF((ProjectInfoTable[ProjectName]=OutputTable[[#This Row],[ProjectName]]),(ProjectInfoTable[ProjectName]=OutputTable[[#This Row],[ProjectName]])*ProjectInfoTable[NumberOfReplications]))</f>
        <v>10</v>
      </c>
      <c r="K809" cm="1">
        <f t="array" ref="K809">IFERROR(AVERAGE(IF((OutputTable[GroupByKey]=OutputTable[[#This Row],[GroupByKey]]),(OutputTable[GroupByKey]=OutputTable[[#This Row],[GroupByKey]])*OutputTable[RecordedValue])),0)</f>
        <v>0.95483842565389732</v>
      </c>
      <c r="L809" cm="1">
        <f t="array" ref="L809">IFERROR(_xlfn.STDEV.S(IF((OutputTable[GroupByKey]=OutputTable[[#This Row],[GroupByKey]]),(OutputTable[GroupByKey]=OutputTable[[#This Row],[GroupByKey]])*OutputTable[RecordedValue])),0)</f>
        <v>7.6849017135544289E-4</v>
      </c>
      <c r="M809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5.497447512496955E-4</v>
      </c>
      <c r="O809" cm="1">
        <f t="array" ref="O809">MIN(IF((OutputTable[GroupByKey]=OutputTable[[#This Row],[GroupByKey]]),(OutputTable[GroupByKey]=OutputTable[[#This Row],[GroupByKey]])*OutputTable[RecordedValue]))</f>
        <v>0.95348679569453398</v>
      </c>
      <c r="P809" cm="1">
        <f t="array" ref="P809">MAX(IF((OutputTable[GroupByKey]=OutputTable[[#This Row],[GroupByKey]]),(OutputTable[GroupByKey]=OutputTable[[#This Row],[GroupByKey]])*OutputTable[RecordedValue]))</f>
        <v>0.95588678098879198</v>
      </c>
    </row>
    <row r="810" spans="1:16" x14ac:dyDescent="0.25">
      <c r="A810" t="s">
        <v>67</v>
      </c>
      <c r="B810" t="s">
        <v>243</v>
      </c>
      <c r="C810">
        <v>10</v>
      </c>
      <c r="D810" t="s">
        <v>189</v>
      </c>
      <c r="E810" t="s">
        <v>152</v>
      </c>
      <c r="F810" t="s">
        <v>113</v>
      </c>
      <c r="G810">
        <v>8234</v>
      </c>
      <c r="H810">
        <v>0</v>
      </c>
      <c r="I810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810" cm="1">
        <f t="array" ref="J810">MAX(IF((ProjectInfoTable[ProjectName]=OutputTable[[#This Row],[ProjectName]]),(ProjectInfoTable[ProjectName]=OutputTable[[#This Row],[ProjectName]])*ProjectInfoTable[NumberOfReplications]))</f>
        <v>10</v>
      </c>
      <c r="K810" cm="1">
        <f t="array" ref="K810">IFERROR(AVERAGE(IF((OutputTable[GroupByKey]=OutputTable[[#This Row],[GroupByKey]]),(OutputTable[GroupByKey]=OutputTable[[#This Row],[GroupByKey]])*OutputTable[RecordedValue])),0)</f>
        <v>8235</v>
      </c>
      <c r="L810" cm="1">
        <f t="array" ref="L810">IFERROR(_xlfn.STDEV.S(IF((OutputTable[GroupByKey]=OutputTable[[#This Row],[GroupByKey]]),(OutputTable[GroupByKey]=OutputTable[[#This Row],[GroupByKey]])*OutputTable[RecordedValue])),0)</f>
        <v>6.5659052011974035</v>
      </c>
      <c r="M810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810" cm="1">
        <f t="array" ref="O810">MIN(IF((OutputTable[GroupByKey]=OutputTable[[#This Row],[GroupByKey]]),(OutputTable[GroupByKey]=OutputTable[[#This Row],[GroupByKey]])*OutputTable[RecordedValue]))</f>
        <v>8223</v>
      </c>
      <c r="P810" cm="1">
        <f t="array" ref="P810">MAX(IF((OutputTable[GroupByKey]=OutputTable[[#This Row],[GroupByKey]]),(OutputTable[GroupByKey]=OutputTable[[#This Row],[GroupByKey]])*OutputTable[RecordedValue]))</f>
        <v>8245</v>
      </c>
    </row>
    <row r="811" spans="1:16" x14ac:dyDescent="0.25">
      <c r="A811" t="s">
        <v>67</v>
      </c>
      <c r="B811" t="s">
        <v>243</v>
      </c>
      <c r="C811">
        <v>10</v>
      </c>
      <c r="D811" t="s">
        <v>190</v>
      </c>
      <c r="E811" t="s">
        <v>154</v>
      </c>
      <c r="F811" t="s">
        <v>113</v>
      </c>
      <c r="G811">
        <v>0.48565433932069701</v>
      </c>
      <c r="H811">
        <v>0</v>
      </c>
      <c r="I811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811" cm="1">
        <f t="array" ref="J811">MAX(IF((ProjectInfoTable[ProjectName]=OutputTable[[#This Row],[ProjectName]]),(ProjectInfoTable[ProjectName]=OutputTable[[#This Row],[ProjectName]])*ProjectInfoTable[NumberOfReplications]))</f>
        <v>10</v>
      </c>
      <c r="K811" cm="1">
        <f t="array" ref="K811">IFERROR(AVERAGE(IF((OutputTable[GroupByKey]=OutputTable[[#This Row],[GroupByKey]]),(OutputTable[GroupByKey]=OutputTable[[#This Row],[GroupByKey]])*OutputTable[RecordedValue])),0)</f>
        <v>0.48622459141633045</v>
      </c>
      <c r="L811" cm="1">
        <f t="array" ref="L811">IFERROR(_xlfn.STDEV.S(IF((OutputTable[GroupByKey]=OutputTable[[#This Row],[GroupByKey]]),(OutputTable[GroupByKey]=OutputTable[[#This Row],[GroupByKey]])*OutputTable[RecordedValue])),0)</f>
        <v>7.2585329819825151E-4</v>
      </c>
      <c r="M811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5.1924416958770345E-4</v>
      </c>
      <c r="O811" cm="1">
        <f t="array" ref="O811">MIN(IF((OutputTable[GroupByKey]=OutputTable[[#This Row],[GroupByKey]]),(OutputTable[GroupByKey]=OutputTable[[#This Row],[GroupByKey]])*OutputTable[RecordedValue]))</f>
        <v>0.48503601840289501</v>
      </c>
      <c r="P811" cm="1">
        <f t="array" ref="P811">MAX(IF((OutputTable[GroupByKey]=OutputTable[[#This Row],[GroupByKey]]),(OutputTable[GroupByKey]=OutputTable[[#This Row],[GroupByKey]])*OutputTable[RecordedValue]))</f>
        <v>0.48724920721519499</v>
      </c>
    </row>
    <row r="812" spans="1:16" x14ac:dyDescent="0.25">
      <c r="A812" t="s">
        <v>67</v>
      </c>
      <c r="B812" t="s">
        <v>243</v>
      </c>
      <c r="C812">
        <v>10</v>
      </c>
      <c r="D812" t="s">
        <v>191</v>
      </c>
      <c r="E812" t="s">
        <v>152</v>
      </c>
      <c r="F812" t="s">
        <v>113</v>
      </c>
      <c r="G812">
        <v>8233</v>
      </c>
      <c r="H812">
        <v>0</v>
      </c>
      <c r="I812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812" cm="1">
        <f t="array" ref="J812">MAX(IF((ProjectInfoTable[ProjectName]=OutputTable[[#This Row],[ProjectName]]),(ProjectInfoTable[ProjectName]=OutputTable[[#This Row],[ProjectName]])*ProjectInfoTable[NumberOfReplications]))</f>
        <v>10</v>
      </c>
      <c r="K812" cm="1">
        <f t="array" ref="K812">IFERROR(AVERAGE(IF((OutputTable[GroupByKey]=OutputTable[[#This Row],[GroupByKey]]),(OutputTable[GroupByKey]=OutputTable[[#This Row],[GroupByKey]])*OutputTable[RecordedValue])),0)</f>
        <v>8233.5</v>
      </c>
      <c r="L812" cm="1">
        <f t="array" ref="L812">IFERROR(_xlfn.STDEV.S(IF((OutputTable[GroupByKey]=OutputTable[[#This Row],[GroupByKey]]),(OutputTable[GroupByKey]=OutputTable[[#This Row],[GroupByKey]])*OutputTable[RecordedValue])),0)</f>
        <v>6.5021364010437201</v>
      </c>
      <c r="M812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812" cm="1">
        <f t="array" ref="O812">MIN(IF((OutputTable[GroupByKey]=OutputTable[[#This Row],[GroupByKey]]),(OutputTable[GroupByKey]=OutputTable[[#This Row],[GroupByKey]])*OutputTable[RecordedValue]))</f>
        <v>8221</v>
      </c>
      <c r="P812" cm="1">
        <f t="array" ref="P812">MAX(IF((OutputTable[GroupByKey]=OutputTable[[#This Row],[GroupByKey]]),(OutputTable[GroupByKey]=OutputTable[[#This Row],[GroupByKey]])*OutputTable[RecordedValue]))</f>
        <v>8243</v>
      </c>
    </row>
    <row r="813" spans="1:16" x14ac:dyDescent="0.25">
      <c r="A813" t="s">
        <v>67</v>
      </c>
      <c r="B813" t="s">
        <v>243</v>
      </c>
      <c r="C813">
        <v>10</v>
      </c>
      <c r="D813" t="s">
        <v>192</v>
      </c>
      <c r="E813" t="s">
        <v>154</v>
      </c>
      <c r="F813" t="s">
        <v>113</v>
      </c>
      <c r="G813">
        <v>0.57115702440598504</v>
      </c>
      <c r="H813">
        <v>0</v>
      </c>
      <c r="I813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813" cm="1">
        <f t="array" ref="J813">MAX(IF((ProjectInfoTable[ProjectName]=OutputTable[[#This Row],[ProjectName]]),(ProjectInfoTable[ProjectName]=OutputTable[[#This Row],[ProjectName]])*ProjectInfoTable[NumberOfReplications]))</f>
        <v>10</v>
      </c>
      <c r="K813" cm="1">
        <f t="array" ref="K813">IFERROR(AVERAGE(IF((OutputTable[GroupByKey]=OutputTable[[#This Row],[GroupByKey]]),(OutputTable[GroupByKey]=OutputTable[[#This Row],[GroupByKey]])*OutputTable[RecordedValue])),0)</f>
        <v>0.57195959594019841</v>
      </c>
      <c r="L813" cm="1">
        <f t="array" ref="L813">IFERROR(_xlfn.STDEV.S(IF((OutputTable[GroupByKey]=OutputTable[[#This Row],[GroupByKey]]),(OutputTable[GroupByKey]=OutputTable[[#This Row],[GroupByKey]])*OutputTable[RecordedValue])),0)</f>
        <v>5.0695895005827636E-4</v>
      </c>
      <c r="M813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3.6265658596782525E-4</v>
      </c>
      <c r="O813" cm="1">
        <f t="array" ref="O813">MIN(IF((OutputTable[GroupByKey]=OutputTable[[#This Row],[GroupByKey]]),(OutputTable[GroupByKey]=OutputTable[[#This Row],[GroupByKey]])*OutputTable[RecordedValue]))</f>
        <v>0.57115702440598504</v>
      </c>
      <c r="P813" cm="1">
        <f t="array" ref="P813">MAX(IF((OutputTable[GroupByKey]=OutputTable[[#This Row],[GroupByKey]]),(OutputTable[GroupByKey]=OutputTable[[#This Row],[GroupByKey]])*OutputTable[RecordedValue]))</f>
        <v>0.57294957522841605</v>
      </c>
    </row>
    <row r="814" spans="1:16" x14ac:dyDescent="0.25">
      <c r="A814" t="s">
        <v>67</v>
      </c>
      <c r="B814" t="s">
        <v>243</v>
      </c>
      <c r="C814">
        <v>10</v>
      </c>
      <c r="D814" t="s">
        <v>193</v>
      </c>
      <c r="E814" t="s">
        <v>152</v>
      </c>
      <c r="F814" t="s">
        <v>113</v>
      </c>
      <c r="G814">
        <v>8229</v>
      </c>
      <c r="H814">
        <v>0</v>
      </c>
      <c r="I814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814" cm="1">
        <f t="array" ref="J814">MAX(IF((ProjectInfoTable[ProjectName]=OutputTable[[#This Row],[ProjectName]]),(ProjectInfoTable[ProjectName]=OutputTable[[#This Row],[ProjectName]])*ProjectInfoTable[NumberOfReplications]))</f>
        <v>10</v>
      </c>
      <c r="K814" cm="1">
        <f t="array" ref="K814">IFERROR(AVERAGE(IF((OutputTable[GroupByKey]=OutputTable[[#This Row],[GroupByKey]]),(OutputTable[GroupByKey]=OutputTable[[#This Row],[GroupByKey]])*OutputTable[RecordedValue])),0)</f>
        <v>8231.5</v>
      </c>
      <c r="L814" cm="1">
        <f t="array" ref="L814">IFERROR(_xlfn.STDEV.S(IF((OutputTable[GroupByKey]=OutputTable[[#This Row],[GroupByKey]]),(OutputTable[GroupByKey]=OutputTable[[#This Row],[GroupByKey]])*OutputTable[RecordedValue])),0)</f>
        <v>6.3464775882199236</v>
      </c>
      <c r="M814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814" cm="1">
        <f t="array" ref="O814">MIN(IF((OutputTable[GroupByKey]=OutputTable[[#This Row],[GroupByKey]]),(OutputTable[GroupByKey]=OutputTable[[#This Row],[GroupByKey]])*OutputTable[RecordedValue]))</f>
        <v>8220</v>
      </c>
      <c r="P814" cm="1">
        <f t="array" ref="P814">MAX(IF((OutputTable[GroupByKey]=OutputTable[[#This Row],[GroupByKey]]),(OutputTable[GroupByKey]=OutputTable[[#This Row],[GroupByKey]])*OutputTable[RecordedValue]))</f>
        <v>8241</v>
      </c>
    </row>
    <row r="815" spans="1:16" x14ac:dyDescent="0.25">
      <c r="A815" t="s">
        <v>67</v>
      </c>
      <c r="B815" t="s">
        <v>243</v>
      </c>
      <c r="C815">
        <v>10</v>
      </c>
      <c r="D815" t="s">
        <v>194</v>
      </c>
      <c r="E815" t="s">
        <v>154</v>
      </c>
      <c r="F815" t="s">
        <v>113</v>
      </c>
      <c r="G815">
        <v>1.0003993479336799</v>
      </c>
      <c r="H815">
        <v>0</v>
      </c>
      <c r="I815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815" cm="1">
        <f t="array" ref="J815">MAX(IF((ProjectInfoTable[ProjectName]=OutputTable[[#This Row],[ProjectName]]),(ProjectInfoTable[ProjectName]=OutputTable[[#This Row],[ProjectName]])*ProjectInfoTable[NumberOfReplications]))</f>
        <v>10</v>
      </c>
      <c r="K815" cm="1">
        <f t="array" ref="K815">IFERROR(AVERAGE(IF((OutputTable[GroupByKey]=OutputTable[[#This Row],[GroupByKey]]),(OutputTable[GroupByKey]=OutputTable[[#This Row],[GroupByKey]])*OutputTable[RecordedValue])),0)</f>
        <v>1.0004557942559711</v>
      </c>
      <c r="L815" cm="1">
        <f t="array" ref="L815">IFERROR(_xlfn.STDEV.S(IF((OutputTable[GroupByKey]=OutputTable[[#This Row],[GroupByKey]]),(OutputTable[GroupByKey]=OutputTable[[#This Row],[GroupByKey]])*OutputTable[RecordedValue])),0)</f>
        <v>1.6760007580081014E-4</v>
      </c>
      <c r="M81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1.1989387166531641E-4</v>
      </c>
      <c r="O815" cm="1">
        <f t="array" ref="O815">MIN(IF((OutputTable[GroupByKey]=OutputTable[[#This Row],[GroupByKey]]),(OutputTable[GroupByKey]=OutputTable[[#This Row],[GroupByKey]])*OutputTable[RecordedValue]))</f>
        <v>1.0000655989645</v>
      </c>
      <c r="P815" cm="1">
        <f t="array" ref="P815">MAX(IF((OutputTable[GroupByKey]=OutputTable[[#This Row],[GroupByKey]]),(OutputTable[GroupByKey]=OutputTable[[#This Row],[GroupByKey]])*OutputTable[RecordedValue]))</f>
        <v>1.00068312738094</v>
      </c>
    </row>
    <row r="816" spans="1:16" x14ac:dyDescent="0.25">
      <c r="A816" t="s">
        <v>67</v>
      </c>
      <c r="B816" t="s">
        <v>243</v>
      </c>
      <c r="C816">
        <v>10</v>
      </c>
      <c r="D816" t="s">
        <v>195</v>
      </c>
      <c r="E816" t="s">
        <v>152</v>
      </c>
      <c r="F816" t="s">
        <v>113</v>
      </c>
      <c r="G816">
        <v>8227</v>
      </c>
      <c r="H816">
        <v>0</v>
      </c>
      <c r="I816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816" cm="1">
        <f t="array" ref="J816">MAX(IF((ProjectInfoTable[ProjectName]=OutputTable[[#This Row],[ProjectName]]),(ProjectInfoTable[ProjectName]=OutputTable[[#This Row],[ProjectName]])*ProjectInfoTable[NumberOfReplications]))</f>
        <v>10</v>
      </c>
      <c r="K816" cm="1">
        <f t="array" ref="K816">IFERROR(AVERAGE(IF((OutputTable[GroupByKey]=OutputTable[[#This Row],[GroupByKey]]),(OutputTable[GroupByKey]=OutputTable[[#This Row],[GroupByKey]])*OutputTable[RecordedValue])),0)</f>
        <v>8227.7000000000007</v>
      </c>
      <c r="L816" cm="1">
        <f t="array" ref="L816">IFERROR(_xlfn.STDEV.S(IF((OutputTable[GroupByKey]=OutputTable[[#This Row],[GroupByKey]]),(OutputTable[GroupByKey]=OutputTable[[#This Row],[GroupByKey]])*OutputTable[RecordedValue])),0)</f>
        <v>6.2902040242480748</v>
      </c>
      <c r="M816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816" cm="1">
        <f t="array" ref="O816">MIN(IF((OutputTable[GroupByKey]=OutputTable[[#This Row],[GroupByKey]]),(OutputTable[GroupByKey]=OutputTable[[#This Row],[GroupByKey]])*OutputTable[RecordedValue]))</f>
        <v>8216</v>
      </c>
      <c r="P816" cm="1">
        <f t="array" ref="P816">MAX(IF((OutputTable[GroupByKey]=OutputTable[[#This Row],[GroupByKey]]),(OutputTable[GroupByKey]=OutputTable[[#This Row],[GroupByKey]])*OutputTable[RecordedValue]))</f>
        <v>8237</v>
      </c>
    </row>
    <row r="817" spans="1:16" x14ac:dyDescent="0.25">
      <c r="A817" t="s">
        <v>67</v>
      </c>
      <c r="B817" t="s">
        <v>243</v>
      </c>
      <c r="C817">
        <v>10</v>
      </c>
      <c r="D817" t="s">
        <v>196</v>
      </c>
      <c r="E817" t="s">
        <v>154</v>
      </c>
      <c r="F817" t="s">
        <v>113</v>
      </c>
      <c r="G817">
        <v>0.62821832349989604</v>
      </c>
      <c r="H817">
        <v>0</v>
      </c>
      <c r="I817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817" cm="1">
        <f t="array" ref="J817">MAX(IF((ProjectInfoTable[ProjectName]=OutputTable[[#This Row],[ProjectName]]),(ProjectInfoTable[ProjectName]=OutputTable[[#This Row],[ProjectName]])*ProjectInfoTable[NumberOfReplications]))</f>
        <v>10</v>
      </c>
      <c r="K817" cm="1">
        <f t="array" ref="K817">IFERROR(AVERAGE(IF((OutputTable[GroupByKey]=OutputTable[[#This Row],[GroupByKey]]),(OutputTable[GroupByKey]=OutputTable[[#This Row],[GroupByKey]])*OutputTable[RecordedValue])),0)</f>
        <v>0.62814585354256225</v>
      </c>
      <c r="L817" cm="1">
        <f t="array" ref="L817">IFERROR(_xlfn.STDEV.S(IF((OutputTable[GroupByKey]=OutputTable[[#This Row],[GroupByKey]]),(OutputTable[GroupByKey]=OutputTable[[#This Row],[GroupByKey]])*OutputTable[RecordedValue])),0)</f>
        <v>7.7648569130547428E-4</v>
      </c>
      <c r="M817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5.5546440166277669E-4</v>
      </c>
      <c r="O817" cm="1">
        <f t="array" ref="O817">MIN(IF((OutputTable[GroupByKey]=OutputTable[[#This Row],[GroupByKey]]),(OutputTable[GroupByKey]=OutputTable[[#This Row],[GroupByKey]])*OutputTable[RecordedValue]))</f>
        <v>0.62668997340539101</v>
      </c>
      <c r="P817" cm="1">
        <f t="array" ref="P817">MAX(IF((OutputTable[GroupByKey]=OutputTable[[#This Row],[GroupByKey]]),(OutputTable[GroupByKey]=OutputTable[[#This Row],[GroupByKey]])*OutputTable[RecordedValue]))</f>
        <v>0.629372102267024</v>
      </c>
    </row>
    <row r="818" spans="1:16" x14ac:dyDescent="0.25">
      <c r="A818" t="s">
        <v>67</v>
      </c>
      <c r="B818" t="s">
        <v>243</v>
      </c>
      <c r="C818">
        <v>10</v>
      </c>
      <c r="D818" t="s">
        <v>197</v>
      </c>
      <c r="E818" t="s">
        <v>152</v>
      </c>
      <c r="F818" t="s">
        <v>113</v>
      </c>
      <c r="G818">
        <v>18380</v>
      </c>
      <c r="H818">
        <v>0</v>
      </c>
      <c r="I818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818" cm="1">
        <f t="array" ref="J818">MAX(IF((ProjectInfoTable[ProjectName]=OutputTable[[#This Row],[ProjectName]]),(ProjectInfoTable[ProjectName]=OutputTable[[#This Row],[ProjectName]])*ProjectInfoTable[NumberOfReplications]))</f>
        <v>10</v>
      </c>
      <c r="K818" cm="1">
        <f t="array" ref="K818">IFERROR(AVERAGE(IF((OutputTable[GroupByKey]=OutputTable[[#This Row],[GroupByKey]]),(OutputTable[GroupByKey]=OutputTable[[#This Row],[GroupByKey]])*OutputTable[RecordedValue])),0)</f>
        <v>18392</v>
      </c>
      <c r="L818" cm="1">
        <f t="array" ref="L818">IFERROR(_xlfn.STDEV.S(IF((OutputTable[GroupByKey]=OutputTable[[#This Row],[GroupByKey]]),(OutputTable[GroupByKey]=OutputTable[[#This Row],[GroupByKey]])*OutputTable[RecordedValue])),0)</f>
        <v>12.884098726725126</v>
      </c>
      <c r="M818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818" cm="1">
        <f t="array" ref="O818">MIN(IF((OutputTable[GroupByKey]=OutputTable[[#This Row],[GroupByKey]]),(OutputTable[GroupByKey]=OutputTable[[#This Row],[GroupByKey]])*OutputTable[RecordedValue]))</f>
        <v>18376</v>
      </c>
      <c r="P818" cm="1">
        <f t="array" ref="P818">MAX(IF((OutputTable[GroupByKey]=OutputTable[[#This Row],[GroupByKey]]),(OutputTable[GroupByKey]=OutputTable[[#This Row],[GroupByKey]])*OutputTable[RecordedValue]))</f>
        <v>18407</v>
      </c>
    </row>
    <row r="819" spans="1:16" x14ac:dyDescent="0.25">
      <c r="A819" t="s">
        <v>67</v>
      </c>
      <c r="B819" t="s">
        <v>243</v>
      </c>
      <c r="C819">
        <v>10</v>
      </c>
      <c r="D819" t="s">
        <v>198</v>
      </c>
      <c r="E819" t="s">
        <v>154</v>
      </c>
      <c r="F819" t="s">
        <v>113</v>
      </c>
      <c r="G819">
        <v>0.95655010461043799</v>
      </c>
      <c r="H819">
        <v>0</v>
      </c>
      <c r="I819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819" cm="1">
        <f t="array" ref="J819">MAX(IF((ProjectInfoTable[ProjectName]=OutputTable[[#This Row],[ProjectName]]),(ProjectInfoTable[ProjectName]=OutputTable[[#This Row],[ProjectName]])*ProjectInfoTable[NumberOfReplications]))</f>
        <v>10</v>
      </c>
      <c r="K819" cm="1">
        <f t="array" ref="K819">IFERROR(AVERAGE(IF((OutputTable[GroupByKey]=OutputTable[[#This Row],[GroupByKey]]),(OutputTable[GroupByKey]=OutputTable[[#This Row],[GroupByKey]])*OutputTable[RecordedValue])),0)</f>
        <v>0.9578548406389944</v>
      </c>
      <c r="L819" cm="1">
        <f t="array" ref="L819">IFERROR(_xlfn.STDEV.S(IF((OutputTable[GroupByKey]=OutputTable[[#This Row],[GroupByKey]]),(OutputTable[GroupByKey]=OutputTable[[#This Row],[GroupByKey]])*OutputTable[RecordedValue])),0)</f>
        <v>7.0772834598480485E-4</v>
      </c>
      <c r="M819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5.0627835985142609E-4</v>
      </c>
      <c r="O819" cm="1">
        <f t="array" ref="O819">MIN(IF((OutputTable[GroupByKey]=OutputTable[[#This Row],[GroupByKey]]),(OutputTable[GroupByKey]=OutputTable[[#This Row],[GroupByKey]])*OutputTable[RecordedValue]))</f>
        <v>0.95655010461043799</v>
      </c>
      <c r="P819" cm="1">
        <f t="array" ref="P819">MAX(IF((OutputTable[GroupByKey]=OutputTable[[#This Row],[GroupByKey]]),(OutputTable[GroupByKey]=OutputTable[[#This Row],[GroupByKey]])*OutputTable[RecordedValue]))</f>
        <v>0.95869742508961697</v>
      </c>
    </row>
    <row r="820" spans="1:16" x14ac:dyDescent="0.25">
      <c r="A820" t="s">
        <v>67</v>
      </c>
      <c r="B820" t="s">
        <v>243</v>
      </c>
      <c r="C820">
        <v>10</v>
      </c>
      <c r="D820" t="s">
        <v>199</v>
      </c>
      <c r="E820" t="s">
        <v>152</v>
      </c>
      <c r="F820" t="s">
        <v>113</v>
      </c>
      <c r="G820">
        <v>18377</v>
      </c>
      <c r="H820">
        <v>0</v>
      </c>
      <c r="I820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820" cm="1">
        <f t="array" ref="J820">MAX(IF((ProjectInfoTable[ProjectName]=OutputTable[[#This Row],[ProjectName]]),(ProjectInfoTable[ProjectName]=OutputTable[[#This Row],[ProjectName]])*ProjectInfoTable[NumberOfReplications]))</f>
        <v>10</v>
      </c>
      <c r="K820" cm="1">
        <f t="array" ref="K820">IFERROR(AVERAGE(IF((OutputTable[GroupByKey]=OutputTable[[#This Row],[GroupByKey]]),(OutputTable[GroupByKey]=OutputTable[[#This Row],[GroupByKey]])*OutputTable[RecordedValue])),0)</f>
        <v>18389.400000000001</v>
      </c>
      <c r="L820" cm="1">
        <f t="array" ref="L820">IFERROR(_xlfn.STDEV.S(IF((OutputTable[GroupByKey]=OutputTable[[#This Row],[GroupByKey]]),(OutputTable[GroupByKey]=OutputTable[[#This Row],[GroupByKey]])*OutputTable[RecordedValue])),0)</f>
        <v>12.103259432437566</v>
      </c>
      <c r="M820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820" cm="1">
        <f t="array" ref="O820">MIN(IF((OutputTable[GroupByKey]=OutputTable[[#This Row],[GroupByKey]]),(OutputTable[GroupByKey]=OutputTable[[#This Row],[GroupByKey]])*OutputTable[RecordedValue]))</f>
        <v>18376</v>
      </c>
      <c r="P820" cm="1">
        <f t="array" ref="P820">MAX(IF((OutputTable[GroupByKey]=OutputTable[[#This Row],[GroupByKey]]),(OutputTable[GroupByKey]=OutputTable[[#This Row],[GroupByKey]])*OutputTable[RecordedValue]))</f>
        <v>18404</v>
      </c>
    </row>
    <row r="821" spans="1:16" x14ac:dyDescent="0.25">
      <c r="A821" t="s">
        <v>67</v>
      </c>
      <c r="B821" t="s">
        <v>243</v>
      </c>
      <c r="C821">
        <v>10</v>
      </c>
      <c r="D821" t="s">
        <v>200</v>
      </c>
      <c r="E821" t="s">
        <v>154</v>
      </c>
      <c r="F821" t="s">
        <v>113</v>
      </c>
      <c r="G821">
        <v>1.00040814651789</v>
      </c>
      <c r="H821">
        <v>0</v>
      </c>
      <c r="I821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821" cm="1">
        <f t="array" ref="J821">MAX(IF((ProjectInfoTable[ProjectName]=OutputTable[[#This Row],[ProjectName]]),(ProjectInfoTable[ProjectName]=OutputTable[[#This Row],[ProjectName]])*ProjectInfoTable[NumberOfReplications]))</f>
        <v>10</v>
      </c>
      <c r="K821" cm="1">
        <f t="array" ref="K821">IFERROR(AVERAGE(IF((OutputTable[GroupByKey]=OutputTable[[#This Row],[GroupByKey]]),(OutputTable[GroupByKey]=OutputTable[[#This Row],[GroupByKey]])*OutputTable[RecordedValue])),0)</f>
        <v>1.0003902798422071</v>
      </c>
      <c r="L821" cm="1">
        <f t="array" ref="L821">IFERROR(_xlfn.STDEV.S(IF((OutputTable[GroupByKey]=OutputTable[[#This Row],[GroupByKey]]),(OutputTable[GroupByKey]=OutputTable[[#This Row],[GroupByKey]])*OutputTable[RecordedValue])),0)</f>
        <v>5.593555412291058E-5</v>
      </c>
      <c r="M821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4.0013884931119971E-5</v>
      </c>
      <c r="O821" cm="1">
        <f t="array" ref="O821">MIN(IF((OutputTable[GroupByKey]=OutputTable[[#This Row],[GroupByKey]]),(OutputTable[GroupByKey]=OutputTable[[#This Row],[GroupByKey]])*OutputTable[RecordedValue]))</f>
        <v>1.0003027766980599</v>
      </c>
      <c r="P821" cm="1">
        <f t="array" ref="P821">MAX(IF((OutputTable[GroupByKey]=OutputTable[[#This Row],[GroupByKey]]),(OutputTable[GroupByKey]=OutputTable[[#This Row],[GroupByKey]])*OutputTable[RecordedValue]))</f>
        <v>1.00046792437877</v>
      </c>
    </row>
    <row r="822" spans="1:16" x14ac:dyDescent="0.25">
      <c r="A822" t="s">
        <v>67</v>
      </c>
      <c r="B822" t="s">
        <v>243</v>
      </c>
      <c r="C822">
        <v>10</v>
      </c>
      <c r="D822" t="s">
        <v>201</v>
      </c>
      <c r="E822" t="s">
        <v>202</v>
      </c>
      <c r="F822" t="s">
        <v>87</v>
      </c>
      <c r="G822">
        <v>157105.13790975901</v>
      </c>
      <c r="H822">
        <v>0</v>
      </c>
      <c r="I822" t="str">
        <f>OutputTable[[#This Row],[ProjectName]]&amp;OutputTable[[#This Row],[Name]]&amp;OutputTable[[#This Row],[Type]]&amp;OutputTable[[#This Row],[Source]]</f>
        <v>Unnamed ProjectProcess 1 Accum VA TimeAccum VA TimeProcess</v>
      </c>
      <c r="J822" cm="1">
        <f t="array" ref="J822">MAX(IF((ProjectInfoTable[ProjectName]=OutputTable[[#This Row],[ProjectName]]),(ProjectInfoTable[ProjectName]=OutputTable[[#This Row],[ProjectName]])*ProjectInfoTable[NumberOfReplications]))</f>
        <v>10</v>
      </c>
      <c r="K822" cm="1">
        <f t="array" ref="K822">IFERROR(AVERAGE(IF((OutputTable[GroupByKey]=OutputTable[[#This Row],[GroupByKey]]),(OutputTable[GroupByKey]=OutputTable[[#This Row],[GroupByKey]])*OutputTable[RecordedValue])),0)</f>
        <v>157133.73428655442</v>
      </c>
      <c r="L822" cm="1">
        <f t="array" ref="L822">IFERROR(_xlfn.STDEV.S(IF((OutputTable[GroupByKey]=OutputTable[[#This Row],[GroupByKey]]),(OutputTable[GroupByKey]=OutputTable[[#This Row],[GroupByKey]])*OutputTable[RecordedValue])),0)</f>
        <v>123.15330812839177</v>
      </c>
      <c r="M822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88.098569462778244</v>
      </c>
      <c r="O822" cm="1">
        <f t="array" ref="O822">MIN(IF((OutputTable[GroupByKey]=OutputTable[[#This Row],[GroupByKey]]),(OutputTable[GroupByKey]=OutputTable[[#This Row],[GroupByKey]])*OutputTable[RecordedValue]))</f>
        <v>156930.294881654</v>
      </c>
      <c r="P822" cm="1">
        <f t="array" ref="P822">MAX(IF((OutputTable[GroupByKey]=OutputTable[[#This Row],[GroupByKey]]),(OutputTable[GroupByKey]=OutputTable[[#This Row],[GroupByKey]])*OutputTable[RecordedValue]))</f>
        <v>157303.990839153</v>
      </c>
    </row>
    <row r="823" spans="1:16" x14ac:dyDescent="0.25">
      <c r="A823" t="s">
        <v>67</v>
      </c>
      <c r="B823" t="s">
        <v>243</v>
      </c>
      <c r="C823">
        <v>10</v>
      </c>
      <c r="D823" t="s">
        <v>203</v>
      </c>
      <c r="E823" t="s">
        <v>156</v>
      </c>
      <c r="F823" t="s">
        <v>87</v>
      </c>
      <c r="G823">
        <v>13087</v>
      </c>
      <c r="H823">
        <v>0</v>
      </c>
      <c r="I823" t="str">
        <f>OutputTable[[#This Row],[ProjectName]]&amp;OutputTable[[#This Row],[Name]]&amp;OutputTable[[#This Row],[Type]]&amp;OutputTable[[#This Row],[Source]]</f>
        <v>Unnamed ProjectProcess 1 Number InNumber InProcess</v>
      </c>
      <c r="J823" cm="1">
        <f t="array" ref="J823">MAX(IF((ProjectInfoTable[ProjectName]=OutputTable[[#This Row],[ProjectName]]),(ProjectInfoTable[ProjectName]=OutputTable[[#This Row],[ProjectName]])*ProjectInfoTable[NumberOfReplications]))</f>
        <v>10</v>
      </c>
      <c r="K823" cm="1">
        <f t="array" ref="K823">IFERROR(AVERAGE(IF((OutputTable[GroupByKey]=OutputTable[[#This Row],[GroupByKey]]),(OutputTable[GroupByKey]=OutputTable[[#This Row],[GroupByKey]])*OutputTable[RecordedValue])),0)</f>
        <v>13103.5</v>
      </c>
      <c r="L823" cm="1">
        <f t="array" ref="L823">IFERROR(_xlfn.STDEV.S(IF((OutputTable[GroupByKey]=OutputTable[[#This Row],[GroupByKey]]),(OutputTable[GroupByKey]=OutputTable[[#This Row],[GroupByKey]])*OutputTable[RecordedValue])),0)</f>
        <v>11.443095929181249</v>
      </c>
      <c r="M823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823" cm="1">
        <f t="array" ref="O823">MIN(IF((OutputTable[GroupByKey]=OutputTable[[#This Row],[GroupByKey]]),(OutputTable[GroupByKey]=OutputTable[[#This Row],[GroupByKey]])*OutputTable[RecordedValue]))</f>
        <v>13087</v>
      </c>
      <c r="P823" cm="1">
        <f t="array" ref="P823">MAX(IF((OutputTable[GroupByKey]=OutputTable[[#This Row],[GroupByKey]]),(OutputTable[GroupByKey]=OutputTable[[#This Row],[GroupByKey]])*OutputTable[RecordedValue]))</f>
        <v>13120</v>
      </c>
    </row>
    <row r="824" spans="1:16" x14ac:dyDescent="0.25">
      <c r="A824" t="s">
        <v>67</v>
      </c>
      <c r="B824" t="s">
        <v>243</v>
      </c>
      <c r="C824">
        <v>10</v>
      </c>
      <c r="D824" t="s">
        <v>204</v>
      </c>
      <c r="E824" t="s">
        <v>158</v>
      </c>
      <c r="F824" t="s">
        <v>87</v>
      </c>
      <c r="G824">
        <v>13087</v>
      </c>
      <c r="H824">
        <v>0</v>
      </c>
      <c r="I824" t="str">
        <f>OutputTable[[#This Row],[ProjectName]]&amp;OutputTable[[#This Row],[Name]]&amp;OutputTable[[#This Row],[Type]]&amp;OutputTable[[#This Row],[Source]]</f>
        <v>Unnamed ProjectProcess 1 Number OutNumber OutProcess</v>
      </c>
      <c r="J824" cm="1">
        <f t="array" ref="J824">MAX(IF((ProjectInfoTable[ProjectName]=OutputTable[[#This Row],[ProjectName]]),(ProjectInfoTable[ProjectName]=OutputTable[[#This Row],[ProjectName]])*ProjectInfoTable[NumberOfReplications]))</f>
        <v>10</v>
      </c>
      <c r="K824" cm="1">
        <f t="array" ref="K824">IFERROR(AVERAGE(IF((OutputTable[GroupByKey]=OutputTable[[#This Row],[GroupByKey]]),(OutputTable[GroupByKey]=OutputTable[[#This Row],[GroupByKey]])*OutputTable[RecordedValue])),0)</f>
        <v>13103.5</v>
      </c>
      <c r="L824" cm="1">
        <f t="array" ref="L824">IFERROR(_xlfn.STDEV.S(IF((OutputTable[GroupByKey]=OutputTable[[#This Row],[GroupByKey]]),(OutputTable[GroupByKey]=OutputTable[[#This Row],[GroupByKey]])*OutputTable[RecordedValue])),0)</f>
        <v>11.443095929181249</v>
      </c>
      <c r="M824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8.1858976986246059</v>
      </c>
      <c r="O824" cm="1">
        <f t="array" ref="O824">MIN(IF((OutputTable[GroupByKey]=OutputTable[[#This Row],[GroupByKey]]),(OutputTable[GroupByKey]=OutputTable[[#This Row],[GroupByKey]])*OutputTable[RecordedValue]))</f>
        <v>13087</v>
      </c>
      <c r="P824" cm="1">
        <f t="array" ref="P824">MAX(IF((OutputTable[GroupByKey]=OutputTable[[#This Row],[GroupByKey]]),(OutputTable[GroupByKey]=OutputTable[[#This Row],[GroupByKey]])*OutputTable[RecordedValue]))</f>
        <v>13120</v>
      </c>
    </row>
    <row r="825" spans="1:16" x14ac:dyDescent="0.25">
      <c r="A825" t="s">
        <v>67</v>
      </c>
      <c r="B825" t="s">
        <v>243</v>
      </c>
      <c r="C825">
        <v>10</v>
      </c>
      <c r="D825" t="s">
        <v>205</v>
      </c>
      <c r="E825" t="s">
        <v>202</v>
      </c>
      <c r="F825" t="s">
        <v>87</v>
      </c>
      <c r="G825">
        <v>21880.2668082411</v>
      </c>
      <c r="H825">
        <v>0</v>
      </c>
      <c r="I825" t="str">
        <f>OutputTable[[#This Row],[ProjectName]]&amp;OutputTable[[#This Row],[Name]]&amp;OutputTable[[#This Row],[Type]]&amp;OutputTable[[#This Row],[Source]]</f>
        <v>Unnamed ProjectProcess 14 Accum VA TimeAccum VA TimeProcess</v>
      </c>
      <c r="J825" cm="1">
        <f t="array" ref="J825">MAX(IF((ProjectInfoTable[ProjectName]=OutputTable[[#This Row],[ProjectName]]),(ProjectInfoTable[ProjectName]=OutputTable[[#This Row],[ProjectName]])*ProjectInfoTable[NumberOfReplications]))</f>
        <v>10</v>
      </c>
      <c r="K825" cm="1">
        <f t="array" ref="K825">IFERROR(AVERAGE(IF((OutputTable[GroupByKey]=OutputTable[[#This Row],[GroupByKey]]),(OutputTable[GroupByKey]=OutputTable[[#This Row],[GroupByKey]])*OutputTable[RecordedValue])),0)</f>
        <v>21817.897664333104</v>
      </c>
      <c r="L825" cm="1">
        <f t="array" ref="L825">IFERROR(_xlfn.STDEV.S(IF((OutputTable[GroupByKey]=OutputTable[[#This Row],[GroupByKey]]),(OutputTable[GroupByKey]=OutputTable[[#This Row],[GroupByKey]])*OutputTable[RecordedValue])),0)</f>
        <v>40.377465047897729</v>
      </c>
      <c r="M82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28.884298467602775</v>
      </c>
      <c r="O825" cm="1">
        <f t="array" ref="O825">MIN(IF((OutputTable[GroupByKey]=OutputTable[[#This Row],[GroupByKey]]),(OutputTable[GroupByKey]=OutputTable[[#This Row],[GroupByKey]])*OutputTable[RecordedValue]))</f>
        <v>21737.561928445</v>
      </c>
      <c r="P825" cm="1">
        <f t="array" ref="P825">MAX(IF((OutputTable[GroupByKey]=OutputTable[[#This Row],[GroupByKey]]),(OutputTable[GroupByKey]=OutputTable[[#This Row],[GroupByKey]])*OutputTable[RecordedValue]))</f>
        <v>21880.2668082411</v>
      </c>
    </row>
    <row r="826" spans="1:16" x14ac:dyDescent="0.25">
      <c r="A826" t="s">
        <v>67</v>
      </c>
      <c r="B826" t="s">
        <v>243</v>
      </c>
      <c r="C826">
        <v>10</v>
      </c>
      <c r="D826" t="s">
        <v>206</v>
      </c>
      <c r="E826" t="s">
        <v>156</v>
      </c>
      <c r="F826" t="s">
        <v>87</v>
      </c>
      <c r="G826">
        <v>6540</v>
      </c>
      <c r="H826">
        <v>0</v>
      </c>
      <c r="I826" t="str">
        <f>OutputTable[[#This Row],[ProjectName]]&amp;OutputTable[[#This Row],[Name]]&amp;OutputTable[[#This Row],[Type]]&amp;OutputTable[[#This Row],[Source]]</f>
        <v>Unnamed ProjectProcess 14 Number InNumber InProcess</v>
      </c>
      <c r="J826" cm="1">
        <f t="array" ref="J826">MAX(IF((ProjectInfoTable[ProjectName]=OutputTable[[#This Row],[ProjectName]]),(ProjectInfoTable[ProjectName]=OutputTable[[#This Row],[ProjectName]])*ProjectInfoTable[NumberOfReplications]))</f>
        <v>10</v>
      </c>
      <c r="K826" cm="1">
        <f t="array" ref="K826">IFERROR(AVERAGE(IF((OutputTable[GroupByKey]=OutputTable[[#This Row],[GroupByKey]]),(OutputTable[GroupByKey]=OutputTable[[#This Row],[GroupByKey]])*OutputTable[RecordedValue])),0)</f>
        <v>6547.7</v>
      </c>
      <c r="L826" cm="1">
        <f t="array" ref="L826">IFERROR(_xlfn.STDEV.S(IF((OutputTable[GroupByKey]=OutputTable[[#This Row],[GroupByKey]]),(OutputTable[GroupByKey]=OutputTable[[#This Row],[GroupByKey]])*OutputTable[RecordedValue])),0)</f>
        <v>5.735852159879995</v>
      </c>
      <c r="M826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4.1031814541969078</v>
      </c>
      <c r="O826" cm="1">
        <f t="array" ref="O826">MIN(IF((OutputTable[GroupByKey]=OutputTable[[#This Row],[GroupByKey]]),(OutputTable[GroupByKey]=OutputTable[[#This Row],[GroupByKey]])*OutputTable[RecordedValue]))</f>
        <v>6540</v>
      </c>
      <c r="P826" cm="1">
        <f t="array" ref="P826">MAX(IF((OutputTable[GroupByKey]=OutputTable[[#This Row],[GroupByKey]]),(OutputTable[GroupByKey]=OutputTable[[#This Row],[GroupByKey]])*OutputTable[RecordedValue]))</f>
        <v>6557</v>
      </c>
    </row>
    <row r="827" spans="1:16" x14ac:dyDescent="0.25">
      <c r="A827" t="s">
        <v>67</v>
      </c>
      <c r="B827" t="s">
        <v>243</v>
      </c>
      <c r="C827">
        <v>10</v>
      </c>
      <c r="D827" t="s">
        <v>207</v>
      </c>
      <c r="E827" t="s">
        <v>158</v>
      </c>
      <c r="F827" t="s">
        <v>87</v>
      </c>
      <c r="G827">
        <v>6539</v>
      </c>
      <c r="H827">
        <v>0</v>
      </c>
      <c r="I827" t="str">
        <f>OutputTable[[#This Row],[ProjectName]]&amp;OutputTable[[#This Row],[Name]]&amp;OutputTable[[#This Row],[Type]]&amp;OutputTable[[#This Row],[Source]]</f>
        <v>Unnamed ProjectProcess 14 Number OutNumber OutProcess</v>
      </c>
      <c r="J827" cm="1">
        <f t="array" ref="J827">MAX(IF((ProjectInfoTable[ProjectName]=OutputTable[[#This Row],[ProjectName]]),(ProjectInfoTable[ProjectName]=OutputTable[[#This Row],[ProjectName]])*ProjectInfoTable[NumberOfReplications]))</f>
        <v>10</v>
      </c>
      <c r="K827" cm="1">
        <f t="array" ref="K827">IFERROR(AVERAGE(IF((OutputTable[GroupByKey]=OutputTable[[#This Row],[GroupByKey]]),(OutputTable[GroupByKey]=OutputTable[[#This Row],[GroupByKey]])*OutputTable[RecordedValue])),0)</f>
        <v>6547.3</v>
      </c>
      <c r="L827" cm="1">
        <f t="array" ref="L827">IFERROR(_xlfn.STDEV.S(IF((OutputTable[GroupByKey]=OutputTable[[#This Row],[GroupByKey]]),(OutputTable[GroupByKey]=OutputTable[[#This Row],[GroupByKey]])*OutputTable[RecordedValue])),0)</f>
        <v>5.7164480035925962</v>
      </c>
      <c r="M827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4.0893005569921828</v>
      </c>
      <c r="O827" cm="1">
        <f t="array" ref="O827">MIN(IF((OutputTable[GroupByKey]=OutputTable[[#This Row],[GroupByKey]]),(OutputTable[GroupByKey]=OutputTable[[#This Row],[GroupByKey]])*OutputTable[RecordedValue]))</f>
        <v>6539</v>
      </c>
      <c r="P827" cm="1">
        <f t="array" ref="P827">MAX(IF((OutputTable[GroupByKey]=OutputTable[[#This Row],[GroupByKey]]),(OutputTable[GroupByKey]=OutputTable[[#This Row],[GroupByKey]])*OutputTable[RecordedValue]))</f>
        <v>6556</v>
      </c>
    </row>
    <row r="828" spans="1:16" x14ac:dyDescent="0.25">
      <c r="A828" t="s">
        <v>67</v>
      </c>
      <c r="B828" t="s">
        <v>243</v>
      </c>
      <c r="C828">
        <v>10</v>
      </c>
      <c r="D828" t="s">
        <v>208</v>
      </c>
      <c r="E828" t="s">
        <v>202</v>
      </c>
      <c r="F828" t="s">
        <v>87</v>
      </c>
      <c r="G828">
        <v>78677.962556306797</v>
      </c>
      <c r="H828">
        <v>0</v>
      </c>
      <c r="I828" t="str">
        <f>OutputTable[[#This Row],[ProjectName]]&amp;OutputTable[[#This Row],[Name]]&amp;OutputTable[[#This Row],[Type]]&amp;OutputTable[[#This Row],[Source]]</f>
        <v>Unnamed ProjectProcess 2 Accum VA TimeAccum VA TimeProcess</v>
      </c>
      <c r="J828" cm="1">
        <f t="array" ref="J828">MAX(IF((ProjectInfoTable[ProjectName]=OutputTable[[#This Row],[ProjectName]]),(ProjectInfoTable[ProjectName]=OutputTable[[#This Row],[ProjectName]])*ProjectInfoTable[NumberOfReplications]))</f>
        <v>10</v>
      </c>
      <c r="K828" cm="1">
        <f t="array" ref="K828">IFERROR(AVERAGE(IF((OutputTable[GroupByKey]=OutputTable[[#This Row],[GroupByKey]]),(OutputTable[GroupByKey]=OutputTable[[#This Row],[GroupByKey]])*OutputTable[RecordedValue])),0)</f>
        <v>78656.282482549519</v>
      </c>
      <c r="L828" cm="1">
        <f t="array" ref="L828">IFERROR(_xlfn.STDEV.S(IF((OutputTable[GroupByKey]=OutputTable[[#This Row],[GroupByKey]]),(OutputTable[GroupByKey]=OutputTable[[#This Row],[GroupByKey]])*OutputTable[RecordedValue])),0)</f>
        <v>139.39621135358072</v>
      </c>
      <c r="M828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99.718042457930338</v>
      </c>
      <c r="O828" cm="1">
        <f t="array" ref="O828">MIN(IF((OutputTable[GroupByKey]=OutputTable[[#This Row],[GroupByKey]]),(OutputTable[GroupByKey]=OutputTable[[#This Row],[GroupByKey]])*OutputTable[RecordedValue]))</f>
        <v>78434.750255210005</v>
      </c>
      <c r="P828" cm="1">
        <f t="array" ref="P828">MAX(IF((OutputTable[GroupByKey]=OutputTable[[#This Row],[GroupByKey]]),(OutputTable[GroupByKey]=OutputTable[[#This Row],[GroupByKey]])*OutputTable[RecordedValue]))</f>
        <v>78879.0340749358</v>
      </c>
    </row>
    <row r="829" spans="1:16" x14ac:dyDescent="0.25">
      <c r="A829" t="s">
        <v>67</v>
      </c>
      <c r="B829" t="s">
        <v>243</v>
      </c>
      <c r="C829">
        <v>10</v>
      </c>
      <c r="D829" t="s">
        <v>209</v>
      </c>
      <c r="E829" t="s">
        <v>156</v>
      </c>
      <c r="F829" t="s">
        <v>87</v>
      </c>
      <c r="G829">
        <v>13083</v>
      </c>
      <c r="H829">
        <v>0</v>
      </c>
      <c r="I829" t="str">
        <f>OutputTable[[#This Row],[ProjectName]]&amp;OutputTable[[#This Row],[Name]]&amp;OutputTable[[#This Row],[Type]]&amp;OutputTable[[#This Row],[Source]]</f>
        <v>Unnamed ProjectProcess 2 Number InNumber InProcess</v>
      </c>
      <c r="J829" cm="1">
        <f t="array" ref="J829">MAX(IF((ProjectInfoTable[ProjectName]=OutputTable[[#This Row],[ProjectName]]),(ProjectInfoTable[ProjectName]=OutputTable[[#This Row],[ProjectName]])*ProjectInfoTable[NumberOfReplications]))</f>
        <v>10</v>
      </c>
      <c r="K829" cm="1">
        <f t="array" ref="K829">IFERROR(AVERAGE(IF((OutputTable[GroupByKey]=OutputTable[[#This Row],[GroupByKey]]),(OutputTable[GroupByKey]=OutputTable[[#This Row],[GroupByKey]])*OutputTable[RecordedValue])),0)</f>
        <v>13100.1</v>
      </c>
      <c r="L829" cm="1">
        <f t="array" ref="L829">IFERROR(_xlfn.STDEV.S(IF((OutputTable[GroupByKey]=OutputTable[[#This Row],[GroupByKey]]),(OutputTable[GroupByKey]=OutputTable[[#This Row],[GroupByKey]])*OutputTable[RecordedValue])),0)</f>
        <v>11.46443776786866</v>
      </c>
      <c r="M829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829" cm="1">
        <f t="array" ref="O829">MIN(IF((OutputTable[GroupByKey]=OutputTable[[#This Row],[GroupByKey]]),(OutputTable[GroupByKey]=OutputTable[[#This Row],[GroupByKey]])*OutputTable[RecordedValue]))</f>
        <v>13083</v>
      </c>
      <c r="P829" cm="1">
        <f t="array" ref="P829">MAX(IF((OutputTable[GroupByKey]=OutputTable[[#This Row],[GroupByKey]]),(OutputTable[GroupByKey]=OutputTable[[#This Row],[GroupByKey]])*OutputTable[RecordedValue]))</f>
        <v>13118</v>
      </c>
    </row>
    <row r="830" spans="1:16" x14ac:dyDescent="0.25">
      <c r="A830" t="s">
        <v>67</v>
      </c>
      <c r="B830" t="s">
        <v>243</v>
      </c>
      <c r="C830">
        <v>10</v>
      </c>
      <c r="D830" t="s">
        <v>210</v>
      </c>
      <c r="E830" t="s">
        <v>158</v>
      </c>
      <c r="F830" t="s">
        <v>87</v>
      </c>
      <c r="G830">
        <v>13083</v>
      </c>
      <c r="H830">
        <v>0</v>
      </c>
      <c r="I830" t="str">
        <f>OutputTable[[#This Row],[ProjectName]]&amp;OutputTable[[#This Row],[Name]]&amp;OutputTable[[#This Row],[Type]]&amp;OutputTable[[#This Row],[Source]]</f>
        <v>Unnamed ProjectProcess 2 Number OutNumber OutProcess</v>
      </c>
      <c r="J830" cm="1">
        <f t="array" ref="J830">MAX(IF((ProjectInfoTable[ProjectName]=OutputTable[[#This Row],[ProjectName]]),(ProjectInfoTable[ProjectName]=OutputTable[[#This Row],[ProjectName]])*ProjectInfoTable[NumberOfReplications]))</f>
        <v>10</v>
      </c>
      <c r="K830" cm="1">
        <f t="array" ref="K830">IFERROR(AVERAGE(IF((OutputTable[GroupByKey]=OutputTable[[#This Row],[GroupByKey]]),(OutputTable[GroupByKey]=OutputTable[[#This Row],[GroupByKey]])*OutputTable[RecordedValue])),0)</f>
        <v>13100.1</v>
      </c>
      <c r="L830" cm="1">
        <f t="array" ref="L830">IFERROR(_xlfn.STDEV.S(IF((OutputTable[GroupByKey]=OutputTable[[#This Row],[GroupByKey]]),(OutputTable[GroupByKey]=OutputTable[[#This Row],[GroupByKey]])*OutputTable[RecordedValue])),0)</f>
        <v>11.46443776786866</v>
      </c>
      <c r="M830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8.2011647303157567</v>
      </c>
      <c r="O830" cm="1">
        <f t="array" ref="O830">MIN(IF((OutputTable[GroupByKey]=OutputTable[[#This Row],[GroupByKey]]),(OutputTable[GroupByKey]=OutputTable[[#This Row],[GroupByKey]])*OutputTable[RecordedValue]))</f>
        <v>13083</v>
      </c>
      <c r="P830" cm="1">
        <f t="array" ref="P830">MAX(IF((OutputTable[GroupByKey]=OutputTable[[#This Row],[GroupByKey]]),(OutputTable[GroupByKey]=OutputTable[[#This Row],[GroupByKey]])*OutputTable[RecordedValue]))</f>
        <v>13118</v>
      </c>
    </row>
    <row r="831" spans="1:16" x14ac:dyDescent="0.25">
      <c r="A831" t="s">
        <v>67</v>
      </c>
      <c r="B831" t="s">
        <v>243</v>
      </c>
      <c r="C831">
        <v>10</v>
      </c>
      <c r="D831" t="s">
        <v>211</v>
      </c>
      <c r="E831" t="s">
        <v>202</v>
      </c>
      <c r="F831" t="s">
        <v>87</v>
      </c>
      <c r="G831">
        <v>143896.696561805</v>
      </c>
      <c r="H831">
        <v>0</v>
      </c>
      <c r="I831" t="str">
        <f>OutputTable[[#This Row],[ProjectName]]&amp;OutputTable[[#This Row],[Name]]&amp;OutputTable[[#This Row],[Type]]&amp;OutputTable[[#This Row],[Source]]</f>
        <v>Unnamed ProjectProcess 3 Accum VA TimeAccum VA TimeProcess</v>
      </c>
      <c r="J831" cm="1">
        <f t="array" ref="J831">MAX(IF((ProjectInfoTable[ProjectName]=OutputTable[[#This Row],[ProjectName]]),(ProjectInfoTable[ProjectName]=OutputTable[[#This Row],[ProjectName]])*ProjectInfoTable[NumberOfReplications]))</f>
        <v>10</v>
      </c>
      <c r="K831" cm="1">
        <f t="array" ref="K831">IFERROR(AVERAGE(IF((OutputTable[GroupByKey]=OutputTable[[#This Row],[GroupByKey]]),(OutputTable[GroupByKey]=OutputTable[[#This Row],[GroupByKey]])*OutputTable[RecordedValue])),0)</f>
        <v>144088.31566564049</v>
      </c>
      <c r="L831" cm="1">
        <f t="array" ref="L831">IFERROR(_xlfn.STDEV.S(IF((OutputTable[GroupByKey]=OutputTable[[#This Row],[GroupByKey]]),(OutputTable[GroupByKey]=OutputTable[[#This Row],[GroupByKey]])*OutputTable[RecordedValue])),0)</f>
        <v>147.41980686592098</v>
      </c>
      <c r="M831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105.45777691839817</v>
      </c>
      <c r="O831" cm="1">
        <f t="array" ref="O831">MIN(IF((OutputTable[GroupByKey]=OutputTable[[#This Row],[GroupByKey]]),(OutputTable[GroupByKey]=OutputTable[[#This Row],[GroupByKey]])*OutputTable[RecordedValue]))</f>
        <v>143896.696561805</v>
      </c>
      <c r="P831" cm="1">
        <f t="array" ref="P831">MAX(IF((OutputTable[GroupByKey]=OutputTable[[#This Row],[GroupByKey]]),(OutputTable[GroupByKey]=OutputTable[[#This Row],[GroupByKey]])*OutputTable[RecordedValue]))</f>
        <v>144298.22507098701</v>
      </c>
    </row>
    <row r="832" spans="1:16" x14ac:dyDescent="0.25">
      <c r="A832" t="s">
        <v>67</v>
      </c>
      <c r="B832" t="s">
        <v>243</v>
      </c>
      <c r="C832">
        <v>10</v>
      </c>
      <c r="D832" t="s">
        <v>212</v>
      </c>
      <c r="E832" t="s">
        <v>156</v>
      </c>
      <c r="F832" t="s">
        <v>87</v>
      </c>
      <c r="G832">
        <v>13082</v>
      </c>
      <c r="H832">
        <v>0</v>
      </c>
      <c r="I832" t="str">
        <f>OutputTable[[#This Row],[ProjectName]]&amp;OutputTable[[#This Row],[Name]]&amp;OutputTable[[#This Row],[Type]]&amp;OutputTable[[#This Row],[Source]]</f>
        <v>Unnamed ProjectProcess 3 Number InNumber InProcess</v>
      </c>
      <c r="J832" cm="1">
        <f t="array" ref="J832">MAX(IF((ProjectInfoTable[ProjectName]=OutputTable[[#This Row],[ProjectName]]),(ProjectInfoTable[ProjectName]=OutputTable[[#This Row],[ProjectName]])*ProjectInfoTable[NumberOfReplications]))</f>
        <v>10</v>
      </c>
      <c r="K832" cm="1">
        <f t="array" ref="K832">IFERROR(AVERAGE(IF((OutputTable[GroupByKey]=OutputTable[[#This Row],[GroupByKey]]),(OutputTable[GroupByKey]=OutputTable[[#This Row],[GroupByKey]])*OutputTable[RecordedValue])),0)</f>
        <v>13099.9</v>
      </c>
      <c r="L832" cm="1">
        <f t="array" ref="L832">IFERROR(_xlfn.STDEV.S(IF((OutputTable[GroupByKey]=OutputTable[[#This Row],[GroupByKey]]),(OutputTable[GroupByKey]=OutputTable[[#This Row],[GroupByKey]])*OutputTable[RecordedValue])),0)</f>
        <v>11.761046816598522</v>
      </c>
      <c r="M832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832" cm="1">
        <f t="array" ref="O832">MIN(IF((OutputTable[GroupByKey]=OutputTable[[#This Row],[GroupByKey]]),(OutputTable[GroupByKey]=OutputTable[[#This Row],[GroupByKey]])*OutputTable[RecordedValue]))</f>
        <v>13082</v>
      </c>
      <c r="P832" cm="1">
        <f t="array" ref="P832">MAX(IF((OutputTable[GroupByKey]=OutputTable[[#This Row],[GroupByKey]]),(OutputTable[GroupByKey]=OutputTable[[#This Row],[GroupByKey]])*OutputTable[RecordedValue]))</f>
        <v>13118</v>
      </c>
    </row>
    <row r="833" spans="1:16" x14ac:dyDescent="0.25">
      <c r="A833" t="s">
        <v>67</v>
      </c>
      <c r="B833" t="s">
        <v>243</v>
      </c>
      <c r="C833">
        <v>10</v>
      </c>
      <c r="D833" t="s">
        <v>213</v>
      </c>
      <c r="E833" t="s">
        <v>158</v>
      </c>
      <c r="F833" t="s">
        <v>87</v>
      </c>
      <c r="G833">
        <v>13082</v>
      </c>
      <c r="H833">
        <v>0</v>
      </c>
      <c r="I833" t="str">
        <f>OutputTable[[#This Row],[ProjectName]]&amp;OutputTable[[#This Row],[Name]]&amp;OutputTable[[#This Row],[Type]]&amp;OutputTable[[#This Row],[Source]]</f>
        <v>Unnamed ProjectProcess 3 Number OutNumber OutProcess</v>
      </c>
      <c r="J833" cm="1">
        <f t="array" ref="J833">MAX(IF((ProjectInfoTable[ProjectName]=OutputTable[[#This Row],[ProjectName]]),(ProjectInfoTable[ProjectName]=OutputTable[[#This Row],[ProjectName]])*ProjectInfoTable[NumberOfReplications]))</f>
        <v>10</v>
      </c>
      <c r="K833" cm="1">
        <f t="array" ref="K833">IFERROR(AVERAGE(IF((OutputTable[GroupByKey]=OutputTable[[#This Row],[GroupByKey]]),(OutputTable[GroupByKey]=OutputTable[[#This Row],[GroupByKey]])*OutputTable[RecordedValue])),0)</f>
        <v>13099.9</v>
      </c>
      <c r="L833" cm="1">
        <f t="array" ref="L833">IFERROR(_xlfn.STDEV.S(IF((OutputTable[GroupByKey]=OutputTable[[#This Row],[GroupByKey]]),(OutputTable[GroupByKey]=OutputTable[[#This Row],[GroupByKey]])*OutputTable[RecordedValue])),0)</f>
        <v>11.761046816598522</v>
      </c>
      <c r="M833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8.4133460616980535</v>
      </c>
      <c r="O833" cm="1">
        <f t="array" ref="O833">MIN(IF((OutputTable[GroupByKey]=OutputTable[[#This Row],[GroupByKey]]),(OutputTable[GroupByKey]=OutputTable[[#This Row],[GroupByKey]])*OutputTable[RecordedValue]))</f>
        <v>13082</v>
      </c>
      <c r="P833" cm="1">
        <f t="array" ref="P833">MAX(IF((OutputTable[GroupByKey]=OutputTable[[#This Row],[GroupByKey]]),(OutputTable[GroupByKey]=OutputTable[[#This Row],[GroupByKey]])*OutputTable[RecordedValue]))</f>
        <v>13118</v>
      </c>
    </row>
    <row r="834" spans="1:16" x14ac:dyDescent="0.25">
      <c r="A834" t="s">
        <v>67</v>
      </c>
      <c r="B834" t="s">
        <v>243</v>
      </c>
      <c r="C834">
        <v>10</v>
      </c>
      <c r="D834" t="s">
        <v>214</v>
      </c>
      <c r="E834" t="s">
        <v>202</v>
      </c>
      <c r="F834" t="s">
        <v>87</v>
      </c>
      <c r="G834">
        <v>57665.733595564699</v>
      </c>
      <c r="H834">
        <v>0</v>
      </c>
      <c r="I834" t="str">
        <f>OutputTable[[#This Row],[ProjectName]]&amp;OutputTable[[#This Row],[Name]]&amp;OutputTable[[#This Row],[Type]]&amp;OutputTable[[#This Row],[Source]]</f>
        <v>Unnamed ProjectProcess 4 Accum VA TimeAccum VA TimeProcess</v>
      </c>
      <c r="J834" cm="1">
        <f t="array" ref="J834">MAX(IF((ProjectInfoTable[ProjectName]=OutputTable[[#This Row],[ProjectName]]),(ProjectInfoTable[ProjectName]=OutputTable[[#This Row],[ProjectName]])*ProjectInfoTable[NumberOfReplications]))</f>
        <v>10</v>
      </c>
      <c r="K834" cm="1">
        <f t="array" ref="K834">IFERROR(AVERAGE(IF((OutputTable[GroupByKey]=OutputTable[[#This Row],[GroupByKey]]),(OutputTable[GroupByKey]=OutputTable[[#This Row],[GroupByKey]])*OutputTable[RecordedValue])),0)</f>
        <v>57657.842851106019</v>
      </c>
      <c r="L834" cm="1">
        <f t="array" ref="L834">IFERROR(_xlfn.STDEV.S(IF((OutputTable[GroupByKey]=OutputTable[[#This Row],[GroupByKey]]),(OutputTable[GroupByKey]=OutputTable[[#This Row],[GroupByKey]])*OutputTable[RecordedValue])),0)</f>
        <v>66.206976538127805</v>
      </c>
      <c r="M834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47.361617889987492</v>
      </c>
      <c r="O834" cm="1">
        <f t="array" ref="O834">MIN(IF((OutputTable[GroupByKey]=OutputTable[[#This Row],[GroupByKey]]),(OutputTable[GroupByKey]=OutputTable[[#This Row],[GroupByKey]])*OutputTable[RecordedValue]))</f>
        <v>57569.6670912306</v>
      </c>
      <c r="P834" cm="1">
        <f t="array" ref="P834">MAX(IF((OutputTable[GroupByKey]=OutputTable[[#This Row],[GroupByKey]]),(OutputTable[GroupByKey]=OutputTable[[#This Row],[GroupByKey]])*OutputTable[RecordedValue]))</f>
        <v>57778.887305354197</v>
      </c>
    </row>
    <row r="835" spans="1:16" x14ac:dyDescent="0.25">
      <c r="A835" t="s">
        <v>67</v>
      </c>
      <c r="B835" t="s">
        <v>243</v>
      </c>
      <c r="C835">
        <v>10</v>
      </c>
      <c r="D835" t="s">
        <v>215</v>
      </c>
      <c r="E835" t="s">
        <v>156</v>
      </c>
      <c r="F835" t="s">
        <v>87</v>
      </c>
      <c r="G835">
        <v>8234</v>
      </c>
      <c r="H835">
        <v>0</v>
      </c>
      <c r="I835" t="str">
        <f>OutputTable[[#This Row],[ProjectName]]&amp;OutputTable[[#This Row],[Name]]&amp;OutputTable[[#This Row],[Type]]&amp;OutputTable[[#This Row],[Source]]</f>
        <v>Unnamed ProjectProcess 4 Number InNumber InProcess</v>
      </c>
      <c r="J835" cm="1">
        <f t="array" ref="J835">MAX(IF((ProjectInfoTable[ProjectName]=OutputTable[[#This Row],[ProjectName]]),(ProjectInfoTable[ProjectName]=OutputTable[[#This Row],[ProjectName]])*ProjectInfoTable[NumberOfReplications]))</f>
        <v>10</v>
      </c>
      <c r="K835" cm="1">
        <f t="array" ref="K835">IFERROR(AVERAGE(IF((OutputTable[GroupByKey]=OutputTable[[#This Row],[GroupByKey]]),(OutputTable[GroupByKey]=OutputTable[[#This Row],[GroupByKey]])*OutputTable[RecordedValue])),0)</f>
        <v>8235</v>
      </c>
      <c r="L835" cm="1">
        <f t="array" ref="L835">IFERROR(_xlfn.STDEV.S(IF((OutputTable[GroupByKey]=OutputTable[[#This Row],[GroupByKey]]),(OutputTable[GroupByKey]=OutputTable[[#This Row],[GroupByKey]])*OutputTable[RecordedValue])),0)</f>
        <v>6.5659052011974035</v>
      </c>
      <c r="M83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835" cm="1">
        <f t="array" ref="O835">MIN(IF((OutputTable[GroupByKey]=OutputTable[[#This Row],[GroupByKey]]),(OutputTable[GroupByKey]=OutputTable[[#This Row],[GroupByKey]])*OutputTable[RecordedValue]))</f>
        <v>8223</v>
      </c>
      <c r="P835" cm="1">
        <f t="array" ref="P835">MAX(IF((OutputTable[GroupByKey]=OutputTable[[#This Row],[GroupByKey]]),(OutputTable[GroupByKey]=OutputTable[[#This Row],[GroupByKey]])*OutputTable[RecordedValue]))</f>
        <v>8245</v>
      </c>
    </row>
    <row r="836" spans="1:16" x14ac:dyDescent="0.25">
      <c r="A836" t="s">
        <v>67</v>
      </c>
      <c r="B836" t="s">
        <v>243</v>
      </c>
      <c r="C836">
        <v>10</v>
      </c>
      <c r="D836" t="s">
        <v>216</v>
      </c>
      <c r="E836" t="s">
        <v>158</v>
      </c>
      <c r="F836" t="s">
        <v>87</v>
      </c>
      <c r="G836">
        <v>8234</v>
      </c>
      <c r="H836">
        <v>0</v>
      </c>
      <c r="I836" t="str">
        <f>OutputTable[[#This Row],[ProjectName]]&amp;OutputTable[[#This Row],[Name]]&amp;OutputTable[[#This Row],[Type]]&amp;OutputTable[[#This Row],[Source]]</f>
        <v>Unnamed ProjectProcess 4 Number OutNumber OutProcess</v>
      </c>
      <c r="J836" cm="1">
        <f t="array" ref="J836">MAX(IF((ProjectInfoTable[ProjectName]=OutputTable[[#This Row],[ProjectName]]),(ProjectInfoTable[ProjectName]=OutputTable[[#This Row],[ProjectName]])*ProjectInfoTable[NumberOfReplications]))</f>
        <v>10</v>
      </c>
      <c r="K836" cm="1">
        <f t="array" ref="K836">IFERROR(AVERAGE(IF((OutputTable[GroupByKey]=OutputTable[[#This Row],[GroupByKey]]),(OutputTable[GroupByKey]=OutputTable[[#This Row],[GroupByKey]])*OutputTable[RecordedValue])),0)</f>
        <v>8235</v>
      </c>
      <c r="L836" cm="1">
        <f t="array" ref="L836">IFERROR(_xlfn.STDEV.S(IF((OutputTable[GroupByKey]=OutputTable[[#This Row],[GroupByKey]]),(OutputTable[GroupByKey]=OutputTable[[#This Row],[GroupByKey]])*OutputTable[RecordedValue])),0)</f>
        <v>6.5659052011974035</v>
      </c>
      <c r="M836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4.6969656296252689</v>
      </c>
      <c r="O836" cm="1">
        <f t="array" ref="O836">MIN(IF((OutputTable[GroupByKey]=OutputTable[[#This Row],[GroupByKey]]),(OutputTable[GroupByKey]=OutputTable[[#This Row],[GroupByKey]])*OutputTable[RecordedValue]))</f>
        <v>8223</v>
      </c>
      <c r="P836" cm="1">
        <f t="array" ref="P836">MAX(IF((OutputTable[GroupByKey]=OutputTable[[#This Row],[GroupByKey]]),(OutputTable[GroupByKey]=OutputTable[[#This Row],[GroupByKey]])*OutputTable[RecordedValue]))</f>
        <v>8245</v>
      </c>
    </row>
    <row r="837" spans="1:16" x14ac:dyDescent="0.25">
      <c r="A837" t="s">
        <v>67</v>
      </c>
      <c r="B837" t="s">
        <v>243</v>
      </c>
      <c r="C837">
        <v>10</v>
      </c>
      <c r="D837" t="s">
        <v>217</v>
      </c>
      <c r="E837" t="s">
        <v>202</v>
      </c>
      <c r="F837" t="s">
        <v>87</v>
      </c>
      <c r="G837">
        <v>82315.576478386502</v>
      </c>
      <c r="H837">
        <v>0</v>
      </c>
      <c r="I837" t="str">
        <f>OutputTable[[#This Row],[ProjectName]]&amp;OutputTable[[#This Row],[Name]]&amp;OutputTable[[#This Row],[Type]]&amp;OutputTable[[#This Row],[Source]]</f>
        <v>Unnamed ProjectProcess 5 Accum VA TimeAccum VA TimeProcess</v>
      </c>
      <c r="J837" cm="1">
        <f t="array" ref="J837">MAX(IF((ProjectInfoTable[ProjectName]=OutputTable[[#This Row],[ProjectName]]),(ProjectInfoTable[ProjectName]=OutputTable[[#This Row],[ProjectName]])*ProjectInfoTable[NumberOfReplications]))</f>
        <v>10</v>
      </c>
      <c r="K837" cm="1">
        <f t="array" ref="K837">IFERROR(AVERAGE(IF((OutputTable[GroupByKey]=OutputTable[[#This Row],[GroupByKey]]),(OutputTable[GroupByKey]=OutputTable[[#This Row],[GroupByKey]])*OutputTable[RecordedValue])),0)</f>
        <v>82354.925585571807</v>
      </c>
      <c r="L837" cm="1">
        <f t="array" ref="L837">IFERROR(_xlfn.STDEV.S(IF((OutputTable[GroupByKey]=OutputTable[[#This Row],[GroupByKey]]),(OutputTable[GroupByKey]=OutputTable[[#This Row],[GroupByKey]])*OutputTable[RecordedValue])),0)</f>
        <v>74.759806822996126</v>
      </c>
      <c r="M837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53.479944099863097</v>
      </c>
      <c r="O837" cm="1">
        <f t="array" ref="O837">MIN(IF((OutputTable[GroupByKey]=OutputTable[[#This Row],[GroupByKey]]),(OutputTable[GroupByKey]=OutputTable[[#This Row],[GroupByKey]])*OutputTable[RecordedValue]))</f>
        <v>82287.012858407106</v>
      </c>
      <c r="P837" cm="1">
        <f t="array" ref="P837">MAX(IF((OutputTable[GroupByKey]=OutputTable[[#This Row],[GroupByKey]]),(OutputTable[GroupByKey]=OutputTable[[#This Row],[GroupByKey]])*OutputTable[RecordedValue]))</f>
        <v>82509.9089339692</v>
      </c>
    </row>
    <row r="838" spans="1:16" x14ac:dyDescent="0.25">
      <c r="A838" t="s">
        <v>67</v>
      </c>
      <c r="B838" t="s">
        <v>243</v>
      </c>
      <c r="C838">
        <v>10</v>
      </c>
      <c r="D838" t="s">
        <v>218</v>
      </c>
      <c r="E838" t="s">
        <v>156</v>
      </c>
      <c r="F838" t="s">
        <v>87</v>
      </c>
      <c r="G838">
        <v>8233</v>
      </c>
      <c r="H838">
        <v>0</v>
      </c>
      <c r="I838" t="str">
        <f>OutputTable[[#This Row],[ProjectName]]&amp;OutputTable[[#This Row],[Name]]&amp;OutputTable[[#This Row],[Type]]&amp;OutputTable[[#This Row],[Source]]</f>
        <v>Unnamed ProjectProcess 5 Number InNumber InProcess</v>
      </c>
      <c r="J838" cm="1">
        <f t="array" ref="J838">MAX(IF((ProjectInfoTable[ProjectName]=OutputTable[[#This Row],[ProjectName]]),(ProjectInfoTable[ProjectName]=OutputTable[[#This Row],[ProjectName]])*ProjectInfoTable[NumberOfReplications]))</f>
        <v>10</v>
      </c>
      <c r="K838" cm="1">
        <f t="array" ref="K838">IFERROR(AVERAGE(IF((OutputTable[GroupByKey]=OutputTable[[#This Row],[GroupByKey]]),(OutputTable[GroupByKey]=OutputTable[[#This Row],[GroupByKey]])*OutputTable[RecordedValue])),0)</f>
        <v>8233.5</v>
      </c>
      <c r="L838" cm="1">
        <f t="array" ref="L838">IFERROR(_xlfn.STDEV.S(IF((OutputTable[GroupByKey]=OutputTable[[#This Row],[GroupByKey]]),(OutputTable[GroupByKey]=OutputTable[[#This Row],[GroupByKey]])*OutputTable[RecordedValue])),0)</f>
        <v>6.5021364010437201</v>
      </c>
      <c r="M838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838" cm="1">
        <f t="array" ref="O838">MIN(IF((OutputTable[GroupByKey]=OutputTable[[#This Row],[GroupByKey]]),(OutputTable[GroupByKey]=OutputTable[[#This Row],[GroupByKey]])*OutputTable[RecordedValue]))</f>
        <v>8221</v>
      </c>
      <c r="P838" cm="1">
        <f t="array" ref="P838">MAX(IF((OutputTable[GroupByKey]=OutputTable[[#This Row],[GroupByKey]]),(OutputTable[GroupByKey]=OutputTable[[#This Row],[GroupByKey]])*OutputTable[RecordedValue]))</f>
        <v>8243</v>
      </c>
    </row>
    <row r="839" spans="1:16" x14ac:dyDescent="0.25">
      <c r="A839" t="s">
        <v>67</v>
      </c>
      <c r="B839" t="s">
        <v>243</v>
      </c>
      <c r="C839">
        <v>10</v>
      </c>
      <c r="D839" t="s">
        <v>219</v>
      </c>
      <c r="E839" t="s">
        <v>158</v>
      </c>
      <c r="F839" t="s">
        <v>87</v>
      </c>
      <c r="G839">
        <v>8233</v>
      </c>
      <c r="H839">
        <v>0</v>
      </c>
      <c r="I839" t="str">
        <f>OutputTable[[#This Row],[ProjectName]]&amp;OutputTable[[#This Row],[Name]]&amp;OutputTable[[#This Row],[Type]]&amp;OutputTable[[#This Row],[Source]]</f>
        <v>Unnamed ProjectProcess 5 Number OutNumber OutProcess</v>
      </c>
      <c r="J839" cm="1">
        <f t="array" ref="J839">MAX(IF((ProjectInfoTable[ProjectName]=OutputTable[[#This Row],[ProjectName]]),(ProjectInfoTable[ProjectName]=OutputTable[[#This Row],[ProjectName]])*ProjectInfoTable[NumberOfReplications]))</f>
        <v>10</v>
      </c>
      <c r="K839" cm="1">
        <f t="array" ref="K839">IFERROR(AVERAGE(IF((OutputTable[GroupByKey]=OutputTable[[#This Row],[GroupByKey]]),(OutputTable[GroupByKey]=OutputTable[[#This Row],[GroupByKey]])*OutputTable[RecordedValue])),0)</f>
        <v>8233.5</v>
      </c>
      <c r="L839" cm="1">
        <f t="array" ref="L839">IFERROR(_xlfn.STDEV.S(IF((OutputTable[GroupByKey]=OutputTable[[#This Row],[GroupByKey]]),(OutputTable[GroupByKey]=OutputTable[[#This Row],[GroupByKey]])*OutputTable[RecordedValue])),0)</f>
        <v>6.5021364010437201</v>
      </c>
      <c r="M839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4.6513481780498687</v>
      </c>
      <c r="O839" cm="1">
        <f t="array" ref="O839">MIN(IF((OutputTable[GroupByKey]=OutputTable[[#This Row],[GroupByKey]]),(OutputTable[GroupByKey]=OutputTable[[#This Row],[GroupByKey]])*OutputTable[RecordedValue]))</f>
        <v>8221</v>
      </c>
      <c r="P839" cm="1">
        <f t="array" ref="P839">MAX(IF((OutputTable[GroupByKey]=OutputTable[[#This Row],[GroupByKey]]),(OutputTable[GroupByKey]=OutputTable[[#This Row],[GroupByKey]])*OutputTable[RecordedValue]))</f>
        <v>8243</v>
      </c>
    </row>
    <row r="840" spans="1:16" x14ac:dyDescent="0.25">
      <c r="A840" t="s">
        <v>67</v>
      </c>
      <c r="B840" t="s">
        <v>243</v>
      </c>
      <c r="C840">
        <v>10</v>
      </c>
      <c r="D840" t="s">
        <v>220</v>
      </c>
      <c r="E840" t="s">
        <v>202</v>
      </c>
      <c r="F840" t="s">
        <v>87</v>
      </c>
      <c r="G840">
        <v>205888.07578343301</v>
      </c>
      <c r="H840">
        <v>0</v>
      </c>
      <c r="I840" t="str">
        <f>OutputTable[[#This Row],[ProjectName]]&amp;OutputTable[[#This Row],[Name]]&amp;OutputTable[[#This Row],[Type]]&amp;OutputTable[[#This Row],[Source]]</f>
        <v>Unnamed ProjectProcess 6 Accum VA TimeAccum VA TimeProcess</v>
      </c>
      <c r="J840" cm="1">
        <f t="array" ref="J840">MAX(IF((ProjectInfoTable[ProjectName]=OutputTable[[#This Row],[ProjectName]]),(ProjectInfoTable[ProjectName]=OutputTable[[#This Row],[ProjectName]])*ProjectInfoTable[NumberOfReplications]))</f>
        <v>10</v>
      </c>
      <c r="K840" cm="1">
        <f t="array" ref="K840">IFERROR(AVERAGE(IF((OutputTable[GroupByKey]=OutputTable[[#This Row],[GroupByKey]]),(OutputTable[GroupByKey]=OutputTable[[#This Row],[GroupByKey]])*OutputTable[RecordedValue])),0)</f>
        <v>205782.3721339902</v>
      </c>
      <c r="L840" cm="1">
        <f t="array" ref="L840">IFERROR(_xlfn.STDEV.S(IF((OutputTable[GroupByKey]=OutputTable[[#This Row],[GroupByKey]]),(OutputTable[GroupByKey]=OutputTable[[#This Row],[GroupByKey]])*OutputTable[RecordedValue])),0)</f>
        <v>135.17903819323379</v>
      </c>
      <c r="M840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96.701258514002035</v>
      </c>
      <c r="O840" cm="1">
        <f t="array" ref="O840">MIN(IF((OutputTable[GroupByKey]=OutputTable[[#This Row],[GroupByKey]]),(OutputTable[GroupByKey]=OutputTable[[#This Row],[GroupByKey]])*OutputTable[RecordedValue]))</f>
        <v>205554.00796082799</v>
      </c>
      <c r="P840" cm="1">
        <f t="array" ref="P840">MAX(IF((OutputTable[GroupByKey]=OutputTable[[#This Row],[GroupByKey]]),(OutputTable[GroupByKey]=OutputTable[[#This Row],[GroupByKey]])*OutputTable[RecordedValue]))</f>
        <v>205962.665291818</v>
      </c>
    </row>
    <row r="841" spans="1:16" x14ac:dyDescent="0.25">
      <c r="A841" t="s">
        <v>67</v>
      </c>
      <c r="B841" t="s">
        <v>243</v>
      </c>
      <c r="C841">
        <v>10</v>
      </c>
      <c r="D841" t="s">
        <v>221</v>
      </c>
      <c r="E841" t="s">
        <v>156</v>
      </c>
      <c r="F841" t="s">
        <v>87</v>
      </c>
      <c r="G841">
        <v>8229</v>
      </c>
      <c r="H841">
        <v>0</v>
      </c>
      <c r="I841" t="str">
        <f>OutputTable[[#This Row],[ProjectName]]&amp;OutputTable[[#This Row],[Name]]&amp;OutputTable[[#This Row],[Type]]&amp;OutputTable[[#This Row],[Source]]</f>
        <v>Unnamed ProjectProcess 6 Number InNumber InProcess</v>
      </c>
      <c r="J841" cm="1">
        <f t="array" ref="J841">MAX(IF((ProjectInfoTable[ProjectName]=OutputTable[[#This Row],[ProjectName]]),(ProjectInfoTable[ProjectName]=OutputTable[[#This Row],[ProjectName]])*ProjectInfoTable[NumberOfReplications]))</f>
        <v>10</v>
      </c>
      <c r="K841" cm="1">
        <f t="array" ref="K841">IFERROR(AVERAGE(IF((OutputTable[GroupByKey]=OutputTable[[#This Row],[GroupByKey]]),(OutputTable[GroupByKey]=OutputTable[[#This Row],[GroupByKey]])*OutputTable[RecordedValue])),0)</f>
        <v>8231.5</v>
      </c>
      <c r="L841" cm="1">
        <f t="array" ref="L841">IFERROR(_xlfn.STDEV.S(IF((OutputTable[GroupByKey]=OutputTable[[#This Row],[GroupByKey]]),(OutputTable[GroupByKey]=OutputTable[[#This Row],[GroupByKey]])*OutputTable[RecordedValue])),0)</f>
        <v>6.3464775882199236</v>
      </c>
      <c r="M841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841" cm="1">
        <f t="array" ref="O841">MIN(IF((OutputTable[GroupByKey]=OutputTable[[#This Row],[GroupByKey]]),(OutputTable[GroupByKey]=OutputTable[[#This Row],[GroupByKey]])*OutputTable[RecordedValue]))</f>
        <v>8220</v>
      </c>
      <c r="P841" cm="1">
        <f t="array" ref="P841">MAX(IF((OutputTable[GroupByKey]=OutputTable[[#This Row],[GroupByKey]]),(OutputTable[GroupByKey]=OutputTable[[#This Row],[GroupByKey]])*OutputTable[RecordedValue]))</f>
        <v>8241</v>
      </c>
    </row>
    <row r="842" spans="1:16" x14ac:dyDescent="0.25">
      <c r="A842" t="s">
        <v>67</v>
      </c>
      <c r="B842" t="s">
        <v>243</v>
      </c>
      <c r="C842">
        <v>10</v>
      </c>
      <c r="D842" t="s">
        <v>222</v>
      </c>
      <c r="E842" t="s">
        <v>158</v>
      </c>
      <c r="F842" t="s">
        <v>87</v>
      </c>
      <c r="G842">
        <v>8229</v>
      </c>
      <c r="H842">
        <v>0</v>
      </c>
      <c r="I842" t="str">
        <f>OutputTable[[#This Row],[ProjectName]]&amp;OutputTable[[#This Row],[Name]]&amp;OutputTable[[#This Row],[Type]]&amp;OutputTable[[#This Row],[Source]]</f>
        <v>Unnamed ProjectProcess 6 Number OutNumber OutProcess</v>
      </c>
      <c r="J842" cm="1">
        <f t="array" ref="J842">MAX(IF((ProjectInfoTable[ProjectName]=OutputTable[[#This Row],[ProjectName]]),(ProjectInfoTable[ProjectName]=OutputTable[[#This Row],[ProjectName]])*ProjectInfoTable[NumberOfReplications]))</f>
        <v>10</v>
      </c>
      <c r="K842" cm="1">
        <f t="array" ref="K842">IFERROR(AVERAGE(IF((OutputTable[GroupByKey]=OutputTable[[#This Row],[GroupByKey]]),(OutputTable[GroupByKey]=OutputTable[[#This Row],[GroupByKey]])*OutputTable[RecordedValue])),0)</f>
        <v>8231.5</v>
      </c>
      <c r="L842" cm="1">
        <f t="array" ref="L842">IFERROR(_xlfn.STDEV.S(IF((OutputTable[GroupByKey]=OutputTable[[#This Row],[GroupByKey]]),(OutputTable[GroupByKey]=OutputTable[[#This Row],[GroupByKey]])*OutputTable[RecordedValue])),0)</f>
        <v>6.3464775882199236</v>
      </c>
      <c r="M842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4.5399965713211703</v>
      </c>
      <c r="O842" cm="1">
        <f t="array" ref="O842">MIN(IF((OutputTable[GroupByKey]=OutputTable[[#This Row],[GroupByKey]]),(OutputTable[GroupByKey]=OutputTable[[#This Row],[GroupByKey]])*OutputTable[RecordedValue]))</f>
        <v>8220</v>
      </c>
      <c r="P842" cm="1">
        <f t="array" ref="P842">MAX(IF((OutputTable[GroupByKey]=OutputTable[[#This Row],[GroupByKey]]),(OutputTable[GroupByKey]=OutputTable[[#This Row],[GroupByKey]])*OutputTable[RecordedValue]))</f>
        <v>8241</v>
      </c>
    </row>
    <row r="843" spans="1:16" x14ac:dyDescent="0.25">
      <c r="A843" t="s">
        <v>67</v>
      </c>
      <c r="B843" t="s">
        <v>243</v>
      </c>
      <c r="C843">
        <v>10</v>
      </c>
      <c r="D843" t="s">
        <v>223</v>
      </c>
      <c r="E843" t="s">
        <v>202</v>
      </c>
      <c r="F843" t="s">
        <v>87</v>
      </c>
      <c r="G843">
        <v>98807.261865613298</v>
      </c>
      <c r="H843">
        <v>0</v>
      </c>
      <c r="I843" t="str">
        <f>OutputTable[[#This Row],[ProjectName]]&amp;OutputTable[[#This Row],[Name]]&amp;OutputTable[[#This Row],[Type]]&amp;OutputTable[[#This Row],[Source]]</f>
        <v>Unnamed ProjectProcess 7 Accum VA TimeAccum VA TimeProcess</v>
      </c>
      <c r="J843" cm="1">
        <f t="array" ref="J843">MAX(IF((ProjectInfoTable[ProjectName]=OutputTable[[#This Row],[ProjectName]]),(ProjectInfoTable[ProjectName]=OutputTable[[#This Row],[ProjectName]])*ProjectInfoTable[NumberOfReplications]))</f>
        <v>10</v>
      </c>
      <c r="K843" cm="1">
        <f t="array" ref="K843">IFERROR(AVERAGE(IF((OutputTable[GroupByKey]=OutputTable[[#This Row],[GroupByKey]]),(OutputTable[GroupByKey]=OutputTable[[#This Row],[GroupByKey]])*OutputTable[RecordedValue])),0)</f>
        <v>98625.180720296266</v>
      </c>
      <c r="L843" cm="1">
        <f t="array" ref="L843">IFERROR(_xlfn.STDEV.S(IF((OutputTable[GroupByKey]=OutputTable[[#This Row],[GroupByKey]]),(OutputTable[GroupByKey]=OutputTable[[#This Row],[GroupByKey]])*OutputTable[RecordedValue])),0)</f>
        <v>166.97558012409817</v>
      </c>
      <c r="M843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119.44713437023168</v>
      </c>
      <c r="O843" cm="1">
        <f t="array" ref="O843">MIN(IF((OutputTable[GroupByKey]=OutputTable[[#This Row],[GroupByKey]]),(OutputTable[GroupByKey]=OutputTable[[#This Row],[GroupByKey]])*OutputTable[RecordedValue]))</f>
        <v>98434.330991768598</v>
      </c>
      <c r="P843" cm="1">
        <f t="array" ref="P843">MAX(IF((OutputTable[GroupByKey]=OutputTable[[#This Row],[GroupByKey]]),(OutputTable[GroupByKey]=OutputTable[[#This Row],[GroupByKey]])*OutputTable[RecordedValue]))</f>
        <v>98993.883345143302</v>
      </c>
    </row>
    <row r="844" spans="1:16" x14ac:dyDescent="0.25">
      <c r="A844" t="s">
        <v>67</v>
      </c>
      <c r="B844" t="s">
        <v>243</v>
      </c>
      <c r="C844">
        <v>10</v>
      </c>
      <c r="D844" t="s">
        <v>224</v>
      </c>
      <c r="E844" t="s">
        <v>156</v>
      </c>
      <c r="F844" t="s">
        <v>87</v>
      </c>
      <c r="G844">
        <v>8227</v>
      </c>
      <c r="H844">
        <v>0</v>
      </c>
      <c r="I844" t="str">
        <f>OutputTable[[#This Row],[ProjectName]]&amp;OutputTable[[#This Row],[Name]]&amp;OutputTable[[#This Row],[Type]]&amp;OutputTable[[#This Row],[Source]]</f>
        <v>Unnamed ProjectProcess 7 Number InNumber InProcess</v>
      </c>
      <c r="J844" cm="1">
        <f t="array" ref="J844">MAX(IF((ProjectInfoTable[ProjectName]=OutputTable[[#This Row],[ProjectName]]),(ProjectInfoTable[ProjectName]=OutputTable[[#This Row],[ProjectName]])*ProjectInfoTable[NumberOfReplications]))</f>
        <v>10</v>
      </c>
      <c r="K844" cm="1">
        <f t="array" ref="K844">IFERROR(AVERAGE(IF((OutputTable[GroupByKey]=OutputTable[[#This Row],[GroupByKey]]),(OutputTable[GroupByKey]=OutputTable[[#This Row],[GroupByKey]])*OutputTable[RecordedValue])),0)</f>
        <v>8227.7000000000007</v>
      </c>
      <c r="L844" cm="1">
        <f t="array" ref="L844">IFERROR(_xlfn.STDEV.S(IF((OutputTable[GroupByKey]=OutputTable[[#This Row],[GroupByKey]]),(OutputTable[GroupByKey]=OutputTable[[#This Row],[GroupByKey]])*OutputTable[RecordedValue])),0)</f>
        <v>6.2902040242480748</v>
      </c>
      <c r="M844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844" cm="1">
        <f t="array" ref="O844">MIN(IF((OutputTable[GroupByKey]=OutputTable[[#This Row],[GroupByKey]]),(OutputTable[GroupByKey]=OutputTable[[#This Row],[GroupByKey]])*OutputTable[RecordedValue]))</f>
        <v>8216</v>
      </c>
      <c r="P844" cm="1">
        <f t="array" ref="P844">MAX(IF((OutputTable[GroupByKey]=OutputTable[[#This Row],[GroupByKey]]),(OutputTable[GroupByKey]=OutputTable[[#This Row],[GroupByKey]])*OutputTable[RecordedValue]))</f>
        <v>8237</v>
      </c>
    </row>
    <row r="845" spans="1:16" x14ac:dyDescent="0.25">
      <c r="A845" t="s">
        <v>67</v>
      </c>
      <c r="B845" t="s">
        <v>243</v>
      </c>
      <c r="C845">
        <v>10</v>
      </c>
      <c r="D845" t="s">
        <v>225</v>
      </c>
      <c r="E845" t="s">
        <v>158</v>
      </c>
      <c r="F845" t="s">
        <v>87</v>
      </c>
      <c r="G845">
        <v>8227</v>
      </c>
      <c r="H845">
        <v>0</v>
      </c>
      <c r="I845" t="str">
        <f>OutputTable[[#This Row],[ProjectName]]&amp;OutputTable[[#This Row],[Name]]&amp;OutputTable[[#This Row],[Type]]&amp;OutputTable[[#This Row],[Source]]</f>
        <v>Unnamed ProjectProcess 7 Number OutNumber OutProcess</v>
      </c>
      <c r="J845" cm="1">
        <f t="array" ref="J845">MAX(IF((ProjectInfoTable[ProjectName]=OutputTable[[#This Row],[ProjectName]]),(ProjectInfoTable[ProjectName]=OutputTable[[#This Row],[ProjectName]])*ProjectInfoTable[NumberOfReplications]))</f>
        <v>10</v>
      </c>
      <c r="K845" cm="1">
        <f t="array" ref="K845">IFERROR(AVERAGE(IF((OutputTable[GroupByKey]=OutputTable[[#This Row],[GroupByKey]]),(OutputTable[GroupByKey]=OutputTable[[#This Row],[GroupByKey]])*OutputTable[RecordedValue])),0)</f>
        <v>8227.7000000000007</v>
      </c>
      <c r="L845" cm="1">
        <f t="array" ref="L845">IFERROR(_xlfn.STDEV.S(IF((OutputTable[GroupByKey]=OutputTable[[#This Row],[GroupByKey]]),(OutputTable[GroupByKey]=OutputTable[[#This Row],[GroupByKey]])*OutputTable[RecordedValue])),0)</f>
        <v>6.2902040242480748</v>
      </c>
      <c r="M84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4.4997408887103267</v>
      </c>
      <c r="O845" cm="1">
        <f t="array" ref="O845">MIN(IF((OutputTable[GroupByKey]=OutputTable[[#This Row],[GroupByKey]]),(OutputTable[GroupByKey]=OutputTable[[#This Row],[GroupByKey]])*OutputTable[RecordedValue]))</f>
        <v>8216</v>
      </c>
      <c r="P845" cm="1">
        <f t="array" ref="P845">MAX(IF((OutputTable[GroupByKey]=OutputTable[[#This Row],[GroupByKey]]),(OutputTable[GroupByKey]=OutputTable[[#This Row],[GroupByKey]])*OutputTable[RecordedValue]))</f>
        <v>8237</v>
      </c>
    </row>
    <row r="846" spans="1:16" x14ac:dyDescent="0.25">
      <c r="A846" t="s">
        <v>67</v>
      </c>
      <c r="B846" t="s">
        <v>243</v>
      </c>
      <c r="C846">
        <v>10</v>
      </c>
      <c r="D846" t="s">
        <v>226</v>
      </c>
      <c r="E846" t="s">
        <v>202</v>
      </c>
      <c r="F846" t="s">
        <v>87</v>
      </c>
      <c r="G846">
        <v>91632.276670136605</v>
      </c>
      <c r="H846">
        <v>0</v>
      </c>
      <c r="I846" t="str">
        <f>OutputTable[[#This Row],[ProjectName]]&amp;OutputTable[[#This Row],[Name]]&amp;OutputTable[[#This Row],[Type]]&amp;OutputTable[[#This Row],[Source]]</f>
        <v>Unnamed ProjectProcess 8 Accum VA TimeAccum VA TimeProcess</v>
      </c>
      <c r="J846" cm="1">
        <f t="array" ref="J846">MAX(IF((ProjectInfoTable[ProjectName]=OutputTable[[#This Row],[ProjectName]]),(ProjectInfoTable[ProjectName]=OutputTable[[#This Row],[ProjectName]])*ProjectInfoTable[NumberOfReplications]))</f>
        <v>10</v>
      </c>
      <c r="K846" cm="1">
        <f t="array" ref="K846">IFERROR(AVERAGE(IF((OutputTable[GroupByKey]=OutputTable[[#This Row],[GroupByKey]]),(OutputTable[GroupByKey]=OutputTable[[#This Row],[GroupByKey]])*OutputTable[RecordedValue])),0)</f>
        <v>91917.034029149756</v>
      </c>
      <c r="L846" cm="1">
        <f t="array" ref="L846">IFERROR(_xlfn.STDEV.S(IF((OutputTable[GroupByKey]=OutputTable[[#This Row],[GroupByKey]]),(OutputTable[GroupByKey]=OutputTable[[#This Row],[GroupByKey]])*OutputTable[RecordedValue])),0)</f>
        <v>167.33037075092571</v>
      </c>
      <c r="M846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119.70093629530641</v>
      </c>
      <c r="O846" cm="1">
        <f t="array" ref="O846">MIN(IF((OutputTable[GroupByKey]=OutputTable[[#This Row],[GroupByKey]]),(OutputTable[GroupByKey]=OutputTable[[#This Row],[GroupByKey]])*OutputTable[RecordedValue]))</f>
        <v>91632.276670136605</v>
      </c>
      <c r="P846" cm="1">
        <f t="array" ref="P846">MAX(IF((OutputTable[GroupByKey]=OutputTable[[#This Row],[GroupByKey]]),(OutputTable[GroupByKey]=OutputTable[[#This Row],[GroupByKey]])*OutputTable[RecordedValue]))</f>
        <v>92162.594279262106</v>
      </c>
    </row>
    <row r="847" spans="1:16" x14ac:dyDescent="0.25">
      <c r="A847" t="s">
        <v>67</v>
      </c>
      <c r="B847" t="s">
        <v>243</v>
      </c>
      <c r="C847">
        <v>10</v>
      </c>
      <c r="D847" t="s">
        <v>227</v>
      </c>
      <c r="E847" t="s">
        <v>156</v>
      </c>
      <c r="F847" t="s">
        <v>87</v>
      </c>
      <c r="G847">
        <v>18380</v>
      </c>
      <c r="H847">
        <v>0</v>
      </c>
      <c r="I847" t="str">
        <f>OutputTable[[#This Row],[ProjectName]]&amp;OutputTable[[#This Row],[Name]]&amp;OutputTable[[#This Row],[Type]]&amp;OutputTable[[#This Row],[Source]]</f>
        <v>Unnamed ProjectProcess 8 Number InNumber InProcess</v>
      </c>
      <c r="J847" cm="1">
        <f t="array" ref="J847">MAX(IF((ProjectInfoTable[ProjectName]=OutputTable[[#This Row],[ProjectName]]),(ProjectInfoTable[ProjectName]=OutputTable[[#This Row],[ProjectName]])*ProjectInfoTable[NumberOfReplications]))</f>
        <v>10</v>
      </c>
      <c r="K847" cm="1">
        <f t="array" ref="K847">IFERROR(AVERAGE(IF((OutputTable[GroupByKey]=OutputTable[[#This Row],[GroupByKey]]),(OutputTable[GroupByKey]=OutputTable[[#This Row],[GroupByKey]])*OutputTable[RecordedValue])),0)</f>
        <v>18392</v>
      </c>
      <c r="L847" cm="1">
        <f t="array" ref="L847">IFERROR(_xlfn.STDEV.S(IF((OutputTable[GroupByKey]=OutputTable[[#This Row],[GroupByKey]]),(OutputTable[GroupByKey]=OutputTable[[#This Row],[GroupByKey]])*OutputTable[RecordedValue])),0)</f>
        <v>12.884098726725126</v>
      </c>
      <c r="M847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847" cm="1">
        <f t="array" ref="O847">MIN(IF((OutputTable[GroupByKey]=OutputTable[[#This Row],[GroupByKey]]),(OutputTable[GroupByKey]=OutputTable[[#This Row],[GroupByKey]])*OutputTable[RecordedValue]))</f>
        <v>18376</v>
      </c>
      <c r="P847" cm="1">
        <f t="array" ref="P847">MAX(IF((OutputTable[GroupByKey]=OutputTable[[#This Row],[GroupByKey]]),(OutputTable[GroupByKey]=OutputTable[[#This Row],[GroupByKey]])*OutputTable[RecordedValue]))</f>
        <v>18407</v>
      </c>
    </row>
    <row r="848" spans="1:16" x14ac:dyDescent="0.25">
      <c r="A848" t="s">
        <v>67</v>
      </c>
      <c r="B848" t="s">
        <v>243</v>
      </c>
      <c r="C848">
        <v>10</v>
      </c>
      <c r="D848" t="s">
        <v>228</v>
      </c>
      <c r="E848" t="s">
        <v>158</v>
      </c>
      <c r="F848" t="s">
        <v>87</v>
      </c>
      <c r="G848">
        <v>18380</v>
      </c>
      <c r="H848">
        <v>0</v>
      </c>
      <c r="I848" t="str">
        <f>OutputTable[[#This Row],[ProjectName]]&amp;OutputTable[[#This Row],[Name]]&amp;OutputTable[[#This Row],[Type]]&amp;OutputTable[[#This Row],[Source]]</f>
        <v>Unnamed ProjectProcess 8 Number OutNumber OutProcess</v>
      </c>
      <c r="J848" cm="1">
        <f t="array" ref="J848">MAX(IF((ProjectInfoTable[ProjectName]=OutputTable[[#This Row],[ProjectName]]),(ProjectInfoTable[ProjectName]=OutputTable[[#This Row],[ProjectName]])*ProjectInfoTable[NumberOfReplications]))</f>
        <v>10</v>
      </c>
      <c r="K848" cm="1">
        <f t="array" ref="K848">IFERROR(AVERAGE(IF((OutputTable[GroupByKey]=OutputTable[[#This Row],[GroupByKey]]),(OutputTable[GroupByKey]=OutputTable[[#This Row],[GroupByKey]])*OutputTable[RecordedValue])),0)</f>
        <v>18392</v>
      </c>
      <c r="L848" cm="1">
        <f t="array" ref="L848">IFERROR(_xlfn.STDEV.S(IF((OutputTable[GroupByKey]=OutputTable[[#This Row],[GroupByKey]]),(OutputTable[GroupByKey]=OutputTable[[#This Row],[GroupByKey]])*OutputTable[RecordedValue])),0)</f>
        <v>12.884098726725126</v>
      </c>
      <c r="M848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9.2167290013706662</v>
      </c>
      <c r="O848" cm="1">
        <f t="array" ref="O848">MIN(IF((OutputTable[GroupByKey]=OutputTable[[#This Row],[GroupByKey]]),(OutputTable[GroupByKey]=OutputTable[[#This Row],[GroupByKey]])*OutputTable[RecordedValue]))</f>
        <v>18376</v>
      </c>
      <c r="P848" cm="1">
        <f t="array" ref="P848">MAX(IF((OutputTable[GroupByKey]=OutputTable[[#This Row],[GroupByKey]]),(OutputTable[GroupByKey]=OutputTable[[#This Row],[GroupByKey]])*OutputTable[RecordedValue]))</f>
        <v>18407</v>
      </c>
    </row>
    <row r="849" spans="1:16" x14ac:dyDescent="0.25">
      <c r="A849" t="s">
        <v>67</v>
      </c>
      <c r="B849" t="s">
        <v>243</v>
      </c>
      <c r="C849">
        <v>10</v>
      </c>
      <c r="D849" t="s">
        <v>229</v>
      </c>
      <c r="E849" t="s">
        <v>202</v>
      </c>
      <c r="F849" t="s">
        <v>87</v>
      </c>
      <c r="G849">
        <v>104039.320720244</v>
      </c>
      <c r="H849">
        <v>0</v>
      </c>
      <c r="I849" t="str">
        <f>OutputTable[[#This Row],[ProjectName]]&amp;OutputTable[[#This Row],[Name]]&amp;OutputTable[[#This Row],[Type]]&amp;OutputTable[[#This Row],[Source]]</f>
        <v>Unnamed ProjectProcess 9 Accum VA TimeAccum VA TimeProcess</v>
      </c>
      <c r="J849" cm="1">
        <f t="array" ref="J849">MAX(IF((ProjectInfoTable[ProjectName]=OutputTable[[#This Row],[ProjectName]]),(ProjectInfoTable[ProjectName]=OutputTable[[#This Row],[ProjectName]])*ProjectInfoTable[NumberOfReplications]))</f>
        <v>10</v>
      </c>
      <c r="K849" cm="1">
        <f t="array" ref="K849">IFERROR(AVERAGE(IF((OutputTable[GroupByKey]=OutputTable[[#This Row],[GroupByKey]]),(OutputTable[GroupByKey]=OutputTable[[#This Row],[GroupByKey]])*OutputTable[RecordedValue])),0)</f>
        <v>104198.44406523299</v>
      </c>
      <c r="L849" cm="1">
        <f t="array" ref="L849">IFERROR(_xlfn.STDEV.S(IF((OutputTable[GroupByKey]=OutputTable[[#This Row],[GroupByKey]]),(OutputTable[GroupByKey]=OutputTable[[#This Row],[GroupByKey]])*OutputTable[RecordedValue])),0)</f>
        <v>99.045608472383734</v>
      </c>
      <c r="M849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70.852960026786278</v>
      </c>
      <c r="O849" cm="1">
        <f t="array" ref="O849">MIN(IF((OutputTable[GroupByKey]=OutputTable[[#This Row],[GroupByKey]]),(OutputTable[GroupByKey]=OutputTable[[#This Row],[GroupByKey]])*OutputTable[RecordedValue]))</f>
        <v>104039.320720244</v>
      </c>
      <c r="P849" cm="1">
        <f t="array" ref="P849">MAX(IF((OutputTable[GroupByKey]=OutputTable[[#This Row],[GroupByKey]]),(OutputTable[GroupByKey]=OutputTable[[#This Row],[GroupByKey]])*OutputTable[RecordedValue]))</f>
        <v>104335.096217932</v>
      </c>
    </row>
    <row r="850" spans="1:16" x14ac:dyDescent="0.25">
      <c r="A850" t="s">
        <v>67</v>
      </c>
      <c r="B850" t="s">
        <v>243</v>
      </c>
      <c r="C850">
        <v>10</v>
      </c>
      <c r="D850" t="s">
        <v>230</v>
      </c>
      <c r="E850" t="s">
        <v>156</v>
      </c>
      <c r="F850" t="s">
        <v>87</v>
      </c>
      <c r="G850">
        <v>18377</v>
      </c>
      <c r="H850">
        <v>0</v>
      </c>
      <c r="I850" t="str">
        <f>OutputTable[[#This Row],[ProjectName]]&amp;OutputTable[[#This Row],[Name]]&amp;OutputTable[[#This Row],[Type]]&amp;OutputTable[[#This Row],[Source]]</f>
        <v>Unnamed ProjectProcess 9 Number InNumber InProcess</v>
      </c>
      <c r="J850" cm="1">
        <f t="array" ref="J850">MAX(IF((ProjectInfoTable[ProjectName]=OutputTable[[#This Row],[ProjectName]]),(ProjectInfoTable[ProjectName]=OutputTable[[#This Row],[ProjectName]])*ProjectInfoTable[NumberOfReplications]))</f>
        <v>10</v>
      </c>
      <c r="K850" cm="1">
        <f t="array" ref="K850">IFERROR(AVERAGE(IF((OutputTable[GroupByKey]=OutputTable[[#This Row],[GroupByKey]]),(OutputTable[GroupByKey]=OutputTable[[#This Row],[GroupByKey]])*OutputTable[RecordedValue])),0)</f>
        <v>18389.400000000001</v>
      </c>
      <c r="L850" cm="1">
        <f t="array" ref="L850">IFERROR(_xlfn.STDEV.S(IF((OutputTable[GroupByKey]=OutputTable[[#This Row],[GroupByKey]]),(OutputTable[GroupByKey]=OutputTable[[#This Row],[GroupByKey]])*OutputTable[RecordedValue])),0)</f>
        <v>12.103259432437566</v>
      </c>
      <c r="M850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850" cm="1">
        <f t="array" ref="O850">MIN(IF((OutputTable[GroupByKey]=OutputTable[[#This Row],[GroupByKey]]),(OutputTable[GroupByKey]=OutputTable[[#This Row],[GroupByKey]])*OutputTable[RecordedValue]))</f>
        <v>18376</v>
      </c>
      <c r="P850" cm="1">
        <f t="array" ref="P850">MAX(IF((OutputTable[GroupByKey]=OutputTable[[#This Row],[GroupByKey]]),(OutputTable[GroupByKey]=OutputTable[[#This Row],[GroupByKey]])*OutputTable[RecordedValue]))</f>
        <v>18404</v>
      </c>
    </row>
    <row r="851" spans="1:16" x14ac:dyDescent="0.25">
      <c r="A851" t="s">
        <v>67</v>
      </c>
      <c r="B851" t="s">
        <v>243</v>
      </c>
      <c r="C851">
        <v>10</v>
      </c>
      <c r="D851" t="s">
        <v>231</v>
      </c>
      <c r="E851" t="s">
        <v>158</v>
      </c>
      <c r="F851" t="s">
        <v>87</v>
      </c>
      <c r="G851">
        <v>18377</v>
      </c>
      <c r="H851">
        <v>0</v>
      </c>
      <c r="I851" t="str">
        <f>OutputTable[[#This Row],[ProjectName]]&amp;OutputTable[[#This Row],[Name]]&amp;OutputTable[[#This Row],[Type]]&amp;OutputTable[[#This Row],[Source]]</f>
        <v>Unnamed ProjectProcess 9 Number OutNumber OutProcess</v>
      </c>
      <c r="J851" cm="1">
        <f t="array" ref="J851">MAX(IF((ProjectInfoTable[ProjectName]=OutputTable[[#This Row],[ProjectName]]),(ProjectInfoTable[ProjectName]=OutputTable[[#This Row],[ProjectName]])*ProjectInfoTable[NumberOfReplications]))</f>
        <v>10</v>
      </c>
      <c r="K851" cm="1">
        <f t="array" ref="K851">IFERROR(AVERAGE(IF((OutputTable[GroupByKey]=OutputTable[[#This Row],[GroupByKey]]),(OutputTable[GroupByKey]=OutputTable[[#This Row],[GroupByKey]])*OutputTable[RecordedValue])),0)</f>
        <v>18389.400000000001</v>
      </c>
      <c r="L851" cm="1">
        <f t="array" ref="L851">IFERROR(_xlfn.STDEV.S(IF((OutputTable[GroupByKey]=OutputTable[[#This Row],[GroupByKey]]),(OutputTable[GroupByKey]=OutputTable[[#This Row],[GroupByKey]])*OutputTable[RecordedValue])),0)</f>
        <v>12.103259432437566</v>
      </c>
      <c r="M851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8.6581502197487996</v>
      </c>
      <c r="O851" cm="1">
        <f t="array" ref="O851">MIN(IF((OutputTable[GroupByKey]=OutputTable[[#This Row],[GroupByKey]]),(OutputTable[GroupByKey]=OutputTable[[#This Row],[GroupByKey]])*OutputTable[RecordedValue]))</f>
        <v>18376</v>
      </c>
      <c r="P851" cm="1">
        <f t="array" ref="P851">MAX(IF((OutputTable[GroupByKey]=OutputTable[[#This Row],[GroupByKey]]),(OutputTable[GroupByKey]=OutputTable[[#This Row],[GroupByKey]])*OutputTable[RecordedValue]))</f>
        <v>18404</v>
      </c>
    </row>
    <row r="852" spans="1:16" x14ac:dyDescent="0.25">
      <c r="A852" t="s">
        <v>67</v>
      </c>
      <c r="B852" t="s">
        <v>243</v>
      </c>
      <c r="C852">
        <v>10</v>
      </c>
      <c r="D852" t="s">
        <v>232</v>
      </c>
      <c r="E852" t="s">
        <v>152</v>
      </c>
      <c r="F852" t="s">
        <v>113</v>
      </c>
      <c r="G852">
        <v>0</v>
      </c>
      <c r="H852">
        <v>0</v>
      </c>
      <c r="I852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852" cm="1">
        <f t="array" ref="J852">MAX(IF((ProjectInfoTable[ProjectName]=OutputTable[[#This Row],[ProjectName]]),(ProjectInfoTable[ProjectName]=OutputTable[[#This Row],[ProjectName]])*ProjectInfoTable[NumberOfReplications]))</f>
        <v>10</v>
      </c>
      <c r="K852" cm="1">
        <f t="array" ref="K852">IFERROR(AVERAGE(IF((OutputTable[GroupByKey]=OutputTable[[#This Row],[GroupByKey]]),(OutputTable[GroupByKey]=OutputTable[[#This Row],[GroupByKey]])*OutputTable[RecordedValue])),0)</f>
        <v>0</v>
      </c>
      <c r="L852" cm="1">
        <f t="array" ref="L852">IFERROR(_xlfn.STDEV.S(IF((OutputTable[GroupByKey]=OutputTable[[#This Row],[GroupByKey]]),(OutputTable[GroupByKey]=OutputTable[[#This Row],[GroupByKey]])*OutputTable[RecordedValue])),0)</f>
        <v>0</v>
      </c>
      <c r="M852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2" cm="1">
        <f t="array" ref="O852">MIN(IF((OutputTable[GroupByKey]=OutputTable[[#This Row],[GroupByKey]]),(OutputTable[GroupByKey]=OutputTable[[#This Row],[GroupByKey]])*OutputTable[RecordedValue]))</f>
        <v>0</v>
      </c>
      <c r="P852" cm="1">
        <f t="array" ref="P852">MAX(IF((OutputTable[GroupByKey]=OutputTable[[#This Row],[GroupByKey]]),(OutputTable[GroupByKey]=OutputTable[[#This Row],[GroupByKey]])*OutputTable[RecordedValue]))</f>
        <v>0</v>
      </c>
    </row>
    <row r="853" spans="1:16" x14ac:dyDescent="0.25">
      <c r="A853" t="s">
        <v>67</v>
      </c>
      <c r="B853" t="s">
        <v>243</v>
      </c>
      <c r="C853">
        <v>10</v>
      </c>
      <c r="D853" t="s">
        <v>233</v>
      </c>
      <c r="E853" t="s">
        <v>154</v>
      </c>
      <c r="F853" t="s">
        <v>113</v>
      </c>
      <c r="G853">
        <v>0</v>
      </c>
      <c r="H853">
        <v>0</v>
      </c>
      <c r="I853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853" cm="1">
        <f t="array" ref="J853">MAX(IF((ProjectInfoTable[ProjectName]=OutputTable[[#This Row],[ProjectName]]),(ProjectInfoTable[ProjectName]=OutputTable[[#This Row],[ProjectName]])*ProjectInfoTable[NumberOfReplications]))</f>
        <v>10</v>
      </c>
      <c r="K853" cm="1">
        <f t="array" ref="K853">IFERROR(AVERAGE(IF((OutputTable[GroupByKey]=OutputTable[[#This Row],[GroupByKey]]),(OutputTable[GroupByKey]=OutputTable[[#This Row],[GroupByKey]])*OutputTable[RecordedValue])),0)</f>
        <v>0</v>
      </c>
      <c r="L853" cm="1">
        <f t="array" ref="L853">IFERROR(_xlfn.STDEV.S(IF((OutputTable[GroupByKey]=OutputTable[[#This Row],[GroupByKey]]),(OutputTable[GroupByKey]=OutputTable[[#This Row],[GroupByKey]])*OutputTable[RecordedValue])),0)</f>
        <v>0</v>
      </c>
      <c r="M853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3" cm="1">
        <f t="array" ref="O853">MIN(IF((OutputTable[GroupByKey]=OutputTable[[#This Row],[GroupByKey]]),(OutputTable[GroupByKey]=OutputTable[[#This Row],[GroupByKey]])*OutputTable[RecordedValue]))</f>
        <v>0</v>
      </c>
      <c r="P853" cm="1">
        <f t="array" ref="P853">MAX(IF((OutputTable[GroupByKey]=OutputTable[[#This Row],[GroupByKey]]),(OutputTable[GroupByKey]=OutputTable[[#This Row],[GroupByKey]])*OutputTable[RecordedValue]))</f>
        <v>0</v>
      </c>
    </row>
    <row r="854" spans="1:16" x14ac:dyDescent="0.25">
      <c r="A854" t="s">
        <v>67</v>
      </c>
      <c r="B854" t="s">
        <v>243</v>
      </c>
      <c r="C854">
        <v>10</v>
      </c>
      <c r="D854" t="s">
        <v>234</v>
      </c>
      <c r="E854" t="s">
        <v>152</v>
      </c>
      <c r="F854" t="s">
        <v>113</v>
      </c>
      <c r="G854">
        <v>119</v>
      </c>
      <c r="H854">
        <v>0</v>
      </c>
      <c r="I854" t="str">
        <f>OutputTable[[#This Row],[ProjectName]]&amp;OutputTable[[#This Row],[Name]]&amp;OutputTable[[#This Row],[Type]]&amp;OutputTable[[#This Row],[Source]]</f>
        <v>Unnamed ProjectSales Rep.NumberSeizedTotal Number SeizedResource</v>
      </c>
      <c r="J854" cm="1">
        <f t="array" ref="J854">MAX(IF((ProjectInfoTable[ProjectName]=OutputTable[[#This Row],[ProjectName]]),(ProjectInfoTable[ProjectName]=OutputTable[[#This Row],[ProjectName]])*ProjectInfoTable[NumberOfReplications]))</f>
        <v>10</v>
      </c>
      <c r="K854" cm="1">
        <f t="array" ref="K854">IFERROR(AVERAGE(IF((OutputTable[GroupByKey]=OutputTable[[#This Row],[GroupByKey]]),(OutputTable[GroupByKey]=OutputTable[[#This Row],[GroupByKey]])*OutputTable[RecordedValue])),0)</f>
        <v>118.7</v>
      </c>
      <c r="L854" cm="1">
        <f t="array" ref="L854">IFERROR(_xlfn.STDEV.S(IF((OutputTable[GroupByKey]=OutputTable[[#This Row],[GroupByKey]]),(OutputTable[GroupByKey]=OutputTable[[#This Row],[GroupByKey]])*OutputTable[RecordedValue])),0)</f>
        <v>12.587913073879887</v>
      </c>
      <c r="M854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854" cm="1">
        <f t="array" ref="O854">MIN(IF((OutputTable[GroupByKey]=OutputTable[[#This Row],[GroupByKey]]),(OutputTable[GroupByKey]=OutputTable[[#This Row],[GroupByKey]])*OutputTable[RecordedValue]))</f>
        <v>95</v>
      </c>
      <c r="P854" cm="1">
        <f t="array" ref="P854">MAX(IF((OutputTable[GroupByKey]=OutputTable[[#This Row],[GroupByKey]]),(OutputTable[GroupByKey]=OutputTable[[#This Row],[GroupByKey]])*OutputTable[RecordedValue]))</f>
        <v>141</v>
      </c>
    </row>
    <row r="855" spans="1:16" x14ac:dyDescent="0.25">
      <c r="A855" t="s">
        <v>67</v>
      </c>
      <c r="B855" t="s">
        <v>243</v>
      </c>
      <c r="C855">
        <v>10</v>
      </c>
      <c r="D855" t="s">
        <v>235</v>
      </c>
      <c r="E855" t="s">
        <v>154</v>
      </c>
      <c r="F855" t="s">
        <v>113</v>
      </c>
      <c r="G855">
        <v>0.32028528579217302</v>
      </c>
      <c r="H855">
        <v>0</v>
      </c>
      <c r="I855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855" cm="1">
        <f t="array" ref="J855">MAX(IF((ProjectInfoTable[ProjectName]=OutputTable[[#This Row],[ProjectName]]),(ProjectInfoTable[ProjectName]=OutputTable[[#This Row],[ProjectName]])*ProjectInfoTable[NumberOfReplications]))</f>
        <v>10</v>
      </c>
      <c r="K855" cm="1">
        <f t="array" ref="K855">IFERROR(AVERAGE(IF((OutputTable[GroupByKey]=OutputTable[[#This Row],[GroupByKey]]),(OutputTable[GroupByKey]=OutputTable[[#This Row],[GroupByKey]])*OutputTable[RecordedValue])),0)</f>
        <v>0.3273551167875815</v>
      </c>
      <c r="L855" cm="1">
        <f t="array" ref="L855">IFERROR(_xlfn.STDEV.S(IF((OutputTable[GroupByKey]=OutputTable[[#This Row],[GroupByKey]]),(OutputTable[GroupByKey]=OutputTable[[#This Row],[GroupByKey]])*OutputTable[RecordedValue])),0)</f>
        <v>3.5172818533154994E-2</v>
      </c>
      <c r="M85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2.5161118640145405E-2</v>
      </c>
      <c r="O855" cm="1">
        <f t="array" ref="O855">MIN(IF((OutputTable[GroupByKey]=OutputTable[[#This Row],[GroupByKey]]),(OutputTable[GroupByKey]=OutputTable[[#This Row],[GroupByKey]])*OutputTable[RecordedValue]))</f>
        <v>0.26933581669894202</v>
      </c>
      <c r="P855" cm="1">
        <f t="array" ref="P855">MAX(IF((OutputTable[GroupByKey]=OutputTable[[#This Row],[GroupByKey]]),(OutputTable[GroupByKey]=OutputTable[[#This Row],[GroupByKey]])*OutputTable[RecordedValue]))</f>
        <v>0.39321867243708603</v>
      </c>
    </row>
    <row r="856" spans="1:16" x14ac:dyDescent="0.25">
      <c r="A856" t="s">
        <v>67</v>
      </c>
      <c r="B856" t="s">
        <v>243</v>
      </c>
      <c r="C856">
        <v>10</v>
      </c>
      <c r="D856" t="s">
        <v>236</v>
      </c>
      <c r="E856" t="s">
        <v>158</v>
      </c>
      <c r="F856" t="s">
        <v>150</v>
      </c>
      <c r="G856">
        <v>2497</v>
      </c>
      <c r="H856">
        <v>0</v>
      </c>
      <c r="I856" t="str">
        <f>OutputTable[[#This Row],[ProjectName]]&amp;OutputTable[[#This Row],[Name]]&amp;OutputTable[[#This Row],[Type]]&amp;OutputTable[[#This Row],[Source]]</f>
        <v>Unnamed ProjectSystem.NumberOutNumber OutSystem</v>
      </c>
      <c r="J856" cm="1">
        <f t="array" ref="J856">MAX(IF((ProjectInfoTable[ProjectName]=OutputTable[[#This Row],[ProjectName]]),(ProjectInfoTable[ProjectName]=OutputTable[[#This Row],[ProjectName]])*ProjectInfoTable[NumberOfReplications]))</f>
        <v>10</v>
      </c>
      <c r="K856" cm="1">
        <f t="array" ref="K856">IFERROR(AVERAGE(IF((OutputTable[GroupByKey]=OutputTable[[#This Row],[GroupByKey]]),(OutputTable[GroupByKey]=OutputTable[[#This Row],[GroupByKey]])*OutputTable[RecordedValue])),0)</f>
        <v>2503.1</v>
      </c>
      <c r="L856" cm="1">
        <f t="array" ref="L856">IFERROR(_xlfn.STDEV.S(IF((OutputTable[GroupByKey]=OutputTable[[#This Row],[GroupByKey]]),(OutputTable[GroupByKey]=OutputTable[[#This Row],[GroupByKey]])*OutputTable[RecordedValue])),0)</f>
        <v>29.72260643573059</v>
      </c>
      <c r="M856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21.262271777248003</v>
      </c>
      <c r="O856" cm="1">
        <f t="array" ref="O856">MIN(IF((OutputTable[GroupByKey]=OutputTable[[#This Row],[GroupByKey]]),(OutputTable[GroupByKey]=OutputTable[[#This Row],[GroupByKey]])*OutputTable[RecordedValue]))</f>
        <v>2457</v>
      </c>
      <c r="P856" cm="1">
        <f t="array" ref="P856">MAX(IF((OutputTable[GroupByKey]=OutputTable[[#This Row],[GroupByKey]]),(OutputTable[GroupByKey]=OutputTable[[#This Row],[GroupByKey]])*OutputTable[RecordedValue]))</f>
        <v>2546</v>
      </c>
    </row>
    <row r="857" spans="1:16" x14ac:dyDescent="0.25">
      <c r="A857" t="s">
        <v>67</v>
      </c>
      <c r="B857" t="s">
        <v>243</v>
      </c>
      <c r="C857">
        <v>10</v>
      </c>
      <c r="D857" t="s">
        <v>237</v>
      </c>
      <c r="E857" t="s">
        <v>156</v>
      </c>
      <c r="F857" t="s">
        <v>76</v>
      </c>
      <c r="G857">
        <v>7818</v>
      </c>
      <c r="H857">
        <v>0</v>
      </c>
      <c r="I857" t="str">
        <f>OutputTable[[#This Row],[ProjectName]]&amp;OutputTable[[#This Row],[Name]]&amp;OutputTable[[#This Row],[Type]]&amp;OutputTable[[#This Row],[Source]]</f>
        <v>Unnamed ProjectWire Harness.NumberInNumber InEntity</v>
      </c>
      <c r="J857" cm="1">
        <f t="array" ref="J857">MAX(IF((ProjectInfoTable[ProjectName]=OutputTable[[#This Row],[ProjectName]]),(ProjectInfoTable[ProjectName]=OutputTable[[#This Row],[ProjectName]])*ProjectInfoTable[NumberOfReplications]))</f>
        <v>10</v>
      </c>
      <c r="K857" cm="1">
        <f t="array" ref="K857">IFERROR(AVERAGE(IF((OutputTable[GroupByKey]=OutputTable[[#This Row],[GroupByKey]]),(OutputTable[GroupByKey]=OutputTable[[#This Row],[GroupByKey]])*OutputTable[RecordedValue])),0)</f>
        <v>7832.8</v>
      </c>
      <c r="L857" cm="1">
        <f t="array" ref="L857">IFERROR(_xlfn.STDEV.S(IF((OutputTable[GroupByKey]=OutputTable[[#This Row],[GroupByKey]]),(OutputTable[GroupByKey]=OutputTable[[#This Row],[GroupByKey]])*OutputTable[RecordedValue])),0)</f>
        <v>7.8287220469811594</v>
      </c>
      <c r="M857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5.6003303812327712</v>
      </c>
      <c r="O857" cm="1">
        <f t="array" ref="O857">MIN(IF((OutputTable[GroupByKey]=OutputTable[[#This Row],[GroupByKey]]),(OutputTable[GroupByKey]=OutputTable[[#This Row],[GroupByKey]])*OutputTable[RecordedValue]))</f>
        <v>7818</v>
      </c>
      <c r="P857" cm="1">
        <f t="array" ref="P857">MAX(IF((OutputTable[GroupByKey]=OutputTable[[#This Row],[GroupByKey]]),(OutputTable[GroupByKey]=OutputTable[[#This Row],[GroupByKey]])*OutputTable[RecordedValue]))</f>
        <v>7845</v>
      </c>
    </row>
    <row r="858" spans="1:16" x14ac:dyDescent="0.25">
      <c r="A858" t="s">
        <v>67</v>
      </c>
      <c r="B858" t="s">
        <v>243</v>
      </c>
      <c r="C858">
        <v>10</v>
      </c>
      <c r="D858" t="s">
        <v>238</v>
      </c>
      <c r="E858" t="s">
        <v>158</v>
      </c>
      <c r="F858" t="s">
        <v>76</v>
      </c>
      <c r="G858">
        <v>7815</v>
      </c>
      <c r="H858">
        <v>0</v>
      </c>
      <c r="I858" t="str">
        <f>OutputTable[[#This Row],[ProjectName]]&amp;OutputTable[[#This Row],[Name]]&amp;OutputTable[[#This Row],[Type]]&amp;OutputTable[[#This Row],[Source]]</f>
        <v>Unnamed ProjectWire Harness.NumberOutNumber OutEntity</v>
      </c>
      <c r="J858" cm="1">
        <f t="array" ref="J858">MAX(IF((ProjectInfoTable[ProjectName]=OutputTable[[#This Row],[ProjectName]]),(ProjectInfoTable[ProjectName]=OutputTable[[#This Row],[ProjectName]])*ProjectInfoTable[NumberOfReplications]))</f>
        <v>10</v>
      </c>
      <c r="K858" cm="1">
        <f t="array" ref="K858">IFERROR(AVERAGE(IF((OutputTable[GroupByKey]=OutputTable[[#This Row],[GroupByKey]]),(OutputTable[GroupByKey]=OutputTable[[#This Row],[GroupByKey]])*OutputTable[RecordedValue])),0)</f>
        <v>7828.3</v>
      </c>
      <c r="L858" cm="1">
        <f t="array" ref="L858">IFERROR(_xlfn.STDEV.S(IF((OutputTable[GroupByKey]=OutputTable[[#This Row],[GroupByKey]]),(OutputTable[GroupByKey]=OutputTable[[#This Row],[GroupByKey]])*OutputTable[RecordedValue])),0)</f>
        <v>7.1032074132433696</v>
      </c>
      <c r="M858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5.0813284776056653</v>
      </c>
      <c r="O858" cm="1">
        <f t="array" ref="O858">MIN(IF((OutputTable[GroupByKey]=OutputTable[[#This Row],[GroupByKey]]),(OutputTable[GroupByKey]=OutputTable[[#This Row],[GroupByKey]])*OutputTable[RecordedValue]))</f>
        <v>7815</v>
      </c>
      <c r="P858" cm="1">
        <f t="array" ref="P858">MAX(IF((OutputTable[GroupByKey]=OutputTable[[#This Row],[GroupByKey]]),(OutputTable[GroupByKey]=OutputTable[[#This Row],[GroupByKey]])*OutputTable[RecordedValue]))</f>
        <v>7840</v>
      </c>
    </row>
    <row r="859" spans="1:16" x14ac:dyDescent="0.25">
      <c r="A859" t="s">
        <v>67</v>
      </c>
      <c r="B859" t="s">
        <v>243</v>
      </c>
      <c r="C859">
        <v>10</v>
      </c>
      <c r="D859" t="s">
        <v>239</v>
      </c>
      <c r="E859" t="s">
        <v>202</v>
      </c>
      <c r="F859" t="s">
        <v>87</v>
      </c>
      <c r="G859">
        <v>51886.216298332103</v>
      </c>
      <c r="H859">
        <v>0</v>
      </c>
      <c r="I859" t="str">
        <f>OutputTable[[#This Row],[ProjectName]]&amp;OutputTable[[#This Row],[Name]]&amp;OutputTable[[#This Row],[Type]]&amp;OutputTable[[#This Row],[Source]]</f>
        <v>Unnamed Projectsales Accum VA TimeAccum VA TimeProcess</v>
      </c>
      <c r="J859" cm="1">
        <f t="array" ref="J859">MAX(IF((ProjectInfoTable[ProjectName]=OutputTable[[#This Row],[ProjectName]]),(ProjectInfoTable[ProjectName]=OutputTable[[#This Row],[ProjectName]])*ProjectInfoTable[NumberOfReplications]))</f>
        <v>10</v>
      </c>
      <c r="K859" cm="1">
        <f t="array" ref="K859">IFERROR(AVERAGE(IF((OutputTable[GroupByKey]=OutputTable[[#This Row],[GroupByKey]]),(OutputTable[GroupByKey]=OutputTable[[#This Row],[GroupByKey]])*OutputTable[RecordedValue])),0)</f>
        <v>53031.528919588192</v>
      </c>
      <c r="L859" cm="1">
        <f t="array" ref="L859">IFERROR(_xlfn.STDEV.S(IF((OutputTable[GroupByKey]=OutputTable[[#This Row],[GroupByKey]]),(OutputTable[GroupByKey]=OutputTable[[#This Row],[GroupByKey]])*OutputTable[RecordedValue])),0)</f>
        <v>5697.9966023710867</v>
      </c>
      <c r="M859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4076.1012197035402</v>
      </c>
      <c r="O859" cm="1">
        <f t="array" ref="O859">MIN(IF((OutputTable[GroupByKey]=OutputTable[[#This Row],[GroupByKey]]),(OutputTable[GroupByKey]=OutputTable[[#This Row],[GroupByKey]])*OutputTable[RecordedValue]))</f>
        <v>43632.402305228599</v>
      </c>
      <c r="P859" cm="1">
        <f t="array" ref="P859">MAX(IF((OutputTable[GroupByKey]=OutputTable[[#This Row],[GroupByKey]]),(OutputTable[GroupByKey]=OutputTable[[#This Row],[GroupByKey]])*OutputTable[RecordedValue]))</f>
        <v>63701.424934807801</v>
      </c>
    </row>
    <row r="860" spans="1:16" x14ac:dyDescent="0.25">
      <c r="A860" t="s">
        <v>67</v>
      </c>
      <c r="B860" t="s">
        <v>243</v>
      </c>
      <c r="C860">
        <v>10</v>
      </c>
      <c r="D860" t="s">
        <v>240</v>
      </c>
      <c r="E860" t="s">
        <v>156</v>
      </c>
      <c r="F860" t="s">
        <v>87</v>
      </c>
      <c r="G860">
        <v>119</v>
      </c>
      <c r="H860">
        <v>0</v>
      </c>
      <c r="I860" t="str">
        <f>OutputTable[[#This Row],[ProjectName]]&amp;OutputTable[[#This Row],[Name]]&amp;OutputTable[[#This Row],[Type]]&amp;OutputTable[[#This Row],[Source]]</f>
        <v>Unnamed Projectsales Number InNumber InProcess</v>
      </c>
      <c r="J860" cm="1">
        <f t="array" ref="J860">MAX(IF((ProjectInfoTable[ProjectName]=OutputTable[[#This Row],[ProjectName]]),(ProjectInfoTable[ProjectName]=OutputTable[[#This Row],[ProjectName]])*ProjectInfoTable[NumberOfReplications]))</f>
        <v>10</v>
      </c>
      <c r="K860" cm="1">
        <f t="array" ref="K860">IFERROR(AVERAGE(IF((OutputTable[GroupByKey]=OutputTable[[#This Row],[GroupByKey]]),(OutputTable[GroupByKey]=OutputTable[[#This Row],[GroupByKey]])*OutputTable[RecordedValue])),0)</f>
        <v>118.7</v>
      </c>
      <c r="L860" cm="1">
        <f t="array" ref="L860">IFERROR(_xlfn.STDEV.S(IF((OutputTable[GroupByKey]=OutputTable[[#This Row],[GroupByKey]]),(OutputTable[GroupByKey]=OutputTable[[#This Row],[GroupByKey]])*OutputTable[RecordedValue])),0)</f>
        <v>12.587913073879887</v>
      </c>
      <c r="M860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860" cm="1">
        <f t="array" ref="O860">MIN(IF((OutputTable[GroupByKey]=OutputTable[[#This Row],[GroupByKey]]),(OutputTable[GroupByKey]=OutputTable[[#This Row],[GroupByKey]])*OutputTable[RecordedValue]))</f>
        <v>95</v>
      </c>
      <c r="P860" cm="1">
        <f t="array" ref="P860">MAX(IF((OutputTable[GroupByKey]=OutputTable[[#This Row],[GroupByKey]]),(OutputTable[GroupByKey]=OutputTable[[#This Row],[GroupByKey]])*OutputTable[RecordedValue]))</f>
        <v>141</v>
      </c>
    </row>
    <row r="861" spans="1:16" x14ac:dyDescent="0.25">
      <c r="A861" t="s">
        <v>67</v>
      </c>
      <c r="B861" t="s">
        <v>243</v>
      </c>
      <c r="C861">
        <v>10</v>
      </c>
      <c r="D861" t="s">
        <v>241</v>
      </c>
      <c r="E861" t="s">
        <v>158</v>
      </c>
      <c r="F861" t="s">
        <v>87</v>
      </c>
      <c r="G861">
        <v>119</v>
      </c>
      <c r="H861">
        <v>0</v>
      </c>
      <c r="I861" t="str">
        <f>OutputTable[[#This Row],[ProjectName]]&amp;OutputTable[[#This Row],[Name]]&amp;OutputTable[[#This Row],[Type]]&amp;OutputTable[[#This Row],[Source]]</f>
        <v>Unnamed Projectsales Number OutNumber OutProcess</v>
      </c>
      <c r="J861" cm="1">
        <f t="array" ref="J861">MAX(IF((ProjectInfoTable[ProjectName]=OutputTable[[#This Row],[ProjectName]]),(ProjectInfoTable[ProjectName]=OutputTable[[#This Row],[ProjectName]])*ProjectInfoTable[NumberOfReplications]))</f>
        <v>10</v>
      </c>
      <c r="K861" cm="1">
        <f t="array" ref="K861">IFERROR(AVERAGE(IF((OutputTable[GroupByKey]=OutputTable[[#This Row],[GroupByKey]]),(OutputTable[GroupByKey]=OutputTable[[#This Row],[GroupByKey]])*OutputTable[RecordedValue])),0)</f>
        <v>118.7</v>
      </c>
      <c r="L861" cm="1">
        <f t="array" ref="L861">IFERROR(_xlfn.STDEV.S(IF((OutputTable[GroupByKey]=OutputTable[[#This Row],[GroupByKey]]),(OutputTable[GroupByKey]=OutputTable[[#This Row],[GroupByKey]])*OutputTable[RecordedValue])),0)</f>
        <v>12.587913073879887</v>
      </c>
      <c r="M861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9.0048505491583946</v>
      </c>
      <c r="O861" cm="1">
        <f t="array" ref="O861">MIN(IF((OutputTable[GroupByKey]=OutputTable[[#This Row],[GroupByKey]]),(OutputTable[GroupByKey]=OutputTable[[#This Row],[GroupByKey]])*OutputTable[RecordedValue]))</f>
        <v>95</v>
      </c>
      <c r="P861" cm="1">
        <f t="array" ref="P861">MAX(IF((OutputTable[GroupByKey]=OutputTable[[#This Row],[GroupByKey]]),(OutputTable[GroupByKey]=OutputTable[[#This Row],[GroupByKey]])*OutputTable[RecordedValue]))</f>
        <v>141</v>
      </c>
    </row>
  </sheetData>
  <phoneticPr fontId="2" type="noConversion"/>
  <conditionalFormatting sqref="I2:P861">
    <cfRule type="expression" dxfId="11" priority="2">
      <formula>MOD(ROW(),2)=0</formula>
    </cfRule>
  </conditionalFormatting>
  <conditionalFormatting sqref="N2:N861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Tolga Kara</cp:lastModifiedBy>
  <cp:lastPrinted>2022-03-22T10:33:10Z</cp:lastPrinted>
  <dcterms:created xsi:type="dcterms:W3CDTF">2020-06-29T21:30:31Z</dcterms:created>
  <dcterms:modified xsi:type="dcterms:W3CDTF">2025-12-30T19:09:49Z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